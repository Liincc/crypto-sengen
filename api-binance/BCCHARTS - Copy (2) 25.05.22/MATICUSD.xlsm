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24203FB-E128-4B2A-A5C3-988C1153D6F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12" i="1"/>
  <c r="Q1012" i="1" s="1"/>
  <c r="R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12" i="1"/>
  <c r="T1012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3"/>
  <c r="C133" i="3" s="1"/>
  <c r="C136" i="3" s="1"/>
  <c r="C122" i="5"/>
  <c r="C133" i="5" s="1"/>
  <c r="D136" i="5" s="1"/>
  <c r="C116" i="5"/>
  <c r="C122" i="4"/>
  <c r="C133" i="4" s="1"/>
  <c r="C136" i="4" s="1"/>
  <c r="C116" i="4"/>
  <c r="C118" i="4"/>
  <c r="R1011" i="1"/>
  <c r="C118" i="3"/>
  <c r="C116" i="3"/>
  <c r="D136" i="3" l="1"/>
  <c r="C138" i="3" s="1"/>
  <c r="C136" i="5"/>
  <c r="C138" i="5" s="1"/>
  <c r="D136" i="4"/>
  <c r="C138" i="4" s="1"/>
  <c r="R1010" i="1"/>
  <c r="S1011" i="1"/>
  <c r="T1011" i="1" s="1"/>
  <c r="R1009" i="1" l="1"/>
  <c r="S1010" i="1"/>
  <c r="T1010" i="1" s="1"/>
  <c r="S1009" i="1" l="1"/>
  <c r="T1009" i="1" s="1"/>
  <c r="R1008" i="1"/>
  <c r="R1007" i="1" l="1"/>
  <c r="S1008" i="1"/>
  <c r="T1008" i="1" s="1"/>
  <c r="R1006" i="1" l="1"/>
  <c r="S1007" i="1"/>
  <c r="T1007" i="1" s="1"/>
  <c r="S1006" i="1" l="1"/>
  <c r="T1006" i="1" s="1"/>
  <c r="R1005" i="1"/>
  <c r="R1004" i="1" l="1"/>
  <c r="S1005" i="1"/>
  <c r="T1005" i="1" s="1"/>
  <c r="S1004" i="1" l="1"/>
  <c r="T1004" i="1" s="1"/>
  <c r="R1003" i="1"/>
  <c r="S1003" i="1" l="1"/>
  <c r="T1003" i="1" s="1"/>
  <c r="R1002" i="1"/>
  <c r="S1002" i="1" l="1"/>
  <c r="T1002" i="1" s="1"/>
  <c r="R1001" i="1"/>
  <c r="S1001" i="1" l="1"/>
  <c r="T1001" i="1" s="1"/>
  <c r="R1000" i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S996" i="1" l="1"/>
  <c r="T996" i="1" s="1"/>
  <c r="R995" i="1"/>
  <c r="R994" i="1" l="1"/>
  <c r="S995" i="1"/>
  <c r="T995" i="1" s="1"/>
  <c r="S994" i="1" l="1"/>
  <c r="T994" i="1" s="1"/>
  <c r="R993" i="1"/>
  <c r="R992" i="1" l="1"/>
  <c r="S993" i="1"/>
  <c r="T993" i="1" s="1"/>
  <c r="S992" i="1" l="1"/>
  <c r="T992" i="1" s="1"/>
  <c r="R991" i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S987" i="1" l="1"/>
  <c r="T987" i="1" s="1"/>
  <c r="R986" i="1"/>
  <c r="S986" i="1" l="1"/>
  <c r="T986" i="1" s="1"/>
  <c r="R985" i="1"/>
  <c r="R984" i="1" l="1"/>
  <c r="S985" i="1"/>
  <c r="T985" i="1" s="1"/>
  <c r="S984" i="1" l="1"/>
  <c r="T984" i="1" s="1"/>
  <c r="R983" i="1"/>
  <c r="R982" i="1" l="1"/>
  <c r="S983" i="1"/>
  <c r="T983" i="1" s="1"/>
  <c r="R981" i="1" l="1"/>
  <c r="S982" i="1"/>
  <c r="T982" i="1" s="1"/>
  <c r="S981" i="1" l="1"/>
  <c r="T981" i="1" s="1"/>
  <c r="R980" i="1"/>
  <c r="R979" i="1" l="1"/>
  <c r="S980" i="1"/>
  <c r="T980" i="1" s="1"/>
  <c r="S979" i="1" l="1"/>
  <c r="T979" i="1" s="1"/>
  <c r="R978" i="1"/>
  <c r="S978" i="1" l="1"/>
  <c r="T978" i="1" s="1"/>
  <c r="R977" i="1"/>
  <c r="R976" i="1" l="1"/>
  <c r="S977" i="1"/>
  <c r="T977" i="1" s="1"/>
  <c r="S976" i="1" l="1"/>
  <c r="T976" i="1" s="1"/>
  <c r="R975" i="1"/>
  <c r="R974" i="1" l="1"/>
  <c r="S975" i="1"/>
  <c r="T975" i="1" s="1"/>
  <c r="S974" i="1" l="1"/>
  <c r="T974" i="1" s="1"/>
  <c r="R973" i="1"/>
  <c r="S973" i="1" l="1"/>
  <c r="T973" i="1" s="1"/>
  <c r="R972" i="1"/>
  <c r="R971" i="1" l="1"/>
  <c r="S972" i="1"/>
  <c r="T972" i="1" s="1"/>
  <c r="S971" i="1" l="1"/>
  <c r="T971" i="1" s="1"/>
  <c r="R970" i="1"/>
  <c r="R969" i="1" l="1"/>
  <c r="S970" i="1"/>
  <c r="T970" i="1" s="1"/>
  <c r="S969" i="1" l="1"/>
  <c r="T969" i="1" s="1"/>
  <c r="R968" i="1"/>
  <c r="R967" i="1" l="1"/>
  <c r="S968" i="1"/>
  <c r="T968" i="1" s="1"/>
  <c r="R966" i="1" l="1"/>
  <c r="S967" i="1"/>
  <c r="T967" i="1" s="1"/>
  <c r="S966" i="1" l="1"/>
  <c r="T966" i="1" s="1"/>
  <c r="R965" i="1"/>
  <c r="R964" i="1" l="1"/>
  <c r="S965" i="1"/>
  <c r="T965" i="1" s="1"/>
  <c r="S964" i="1" l="1"/>
  <c r="T964" i="1" s="1"/>
  <c r="R963" i="1"/>
  <c r="S963" i="1" l="1"/>
  <c r="T963" i="1" s="1"/>
  <c r="R962" i="1"/>
  <c r="S962" i="1" l="1"/>
  <c r="T962" i="1" s="1"/>
  <c r="R961" i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S957" i="1" l="1"/>
  <c r="T957" i="1" s="1"/>
  <c r="R956" i="1"/>
  <c r="S956" i="1" l="1"/>
  <c r="T956" i="1" s="1"/>
  <c r="R955" i="1"/>
  <c r="R954" i="1" l="1"/>
  <c r="S955" i="1"/>
  <c r="T955" i="1" s="1"/>
  <c r="S954" i="1" l="1"/>
  <c r="T954" i="1" s="1"/>
  <c r="R953" i="1"/>
  <c r="R952" i="1" l="1"/>
  <c r="S953" i="1"/>
  <c r="T953" i="1" s="1"/>
  <c r="S952" i="1" l="1"/>
  <c r="T952" i="1" s="1"/>
  <c r="R951" i="1"/>
  <c r="S951" i="1" l="1"/>
  <c r="T951" i="1" s="1"/>
  <c r="R950" i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S946" i="1" l="1"/>
  <c r="T946" i="1" s="1"/>
  <c r="R945" i="1"/>
  <c r="R944" i="1" l="1"/>
  <c r="S945" i="1"/>
  <c r="T945" i="1" s="1"/>
  <c r="S944" i="1" l="1"/>
  <c r="T944" i="1" s="1"/>
  <c r="R943" i="1"/>
  <c r="S943" i="1" l="1"/>
  <c r="T943" i="1" s="1"/>
  <c r="R942" i="1"/>
  <c r="R941" i="1" l="1"/>
  <c r="S942" i="1"/>
  <c r="T942" i="1" s="1"/>
  <c r="S941" i="1" l="1"/>
  <c r="T941" i="1" s="1"/>
  <c r="R940" i="1"/>
  <c r="R939" i="1" l="1"/>
  <c r="S940" i="1"/>
  <c r="T940" i="1" s="1"/>
  <c r="R938" i="1" l="1"/>
  <c r="S939" i="1"/>
  <c r="T939" i="1" s="1"/>
  <c r="S938" i="1" l="1"/>
  <c r="T938" i="1" s="1"/>
  <c r="R937" i="1"/>
  <c r="R936" i="1" l="1"/>
  <c r="S937" i="1"/>
  <c r="T937" i="1" s="1"/>
  <c r="S936" i="1" l="1"/>
  <c r="T936" i="1" s="1"/>
  <c r="R935" i="1"/>
  <c r="S935" i="1" l="1"/>
  <c r="T935" i="1" s="1"/>
  <c r="R934" i="1"/>
  <c r="R933" i="1" l="1"/>
  <c r="S934" i="1"/>
  <c r="T934" i="1" s="1"/>
  <c r="S933" i="1" l="1"/>
  <c r="T933" i="1" s="1"/>
  <c r="R932" i="1"/>
  <c r="S932" i="1" l="1"/>
  <c r="T932" i="1" s="1"/>
  <c r="R931" i="1"/>
  <c r="R930" i="1" l="1"/>
  <c r="S931" i="1"/>
  <c r="T931" i="1" s="1"/>
  <c r="S930" i="1" l="1"/>
  <c r="T930" i="1" s="1"/>
  <c r="R929" i="1"/>
  <c r="R928" i="1" l="1"/>
  <c r="S929" i="1"/>
  <c r="T929" i="1" s="1"/>
  <c r="R927" i="1" l="1"/>
  <c r="S928" i="1"/>
  <c r="T928" i="1" s="1"/>
  <c r="S927" i="1" l="1"/>
  <c r="T927" i="1" s="1"/>
  <c r="R926" i="1"/>
  <c r="R925" i="1" l="1"/>
  <c r="S926" i="1"/>
  <c r="T926" i="1" s="1"/>
  <c r="S925" i="1" l="1"/>
  <c r="T925" i="1" s="1"/>
  <c r="R924" i="1"/>
  <c r="S924" i="1" l="1"/>
  <c r="T924" i="1" s="1"/>
  <c r="R923" i="1"/>
  <c r="R922" i="1" l="1"/>
  <c r="S923" i="1"/>
  <c r="T923" i="1" s="1"/>
  <c r="S922" i="1" l="1"/>
  <c r="T922" i="1" s="1"/>
  <c r="R921" i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S916" i="1" l="1"/>
  <c r="T916" i="1" s="1"/>
  <c r="R915" i="1"/>
  <c r="R914" i="1" l="1"/>
  <c r="S915" i="1"/>
  <c r="T915" i="1" s="1"/>
  <c r="S914" i="1" l="1"/>
  <c r="T914" i="1" s="1"/>
  <c r="R913" i="1"/>
  <c r="S913" i="1" l="1"/>
  <c r="T913" i="1" s="1"/>
  <c r="R912" i="1"/>
  <c r="R911" i="1" l="1"/>
  <c r="S912" i="1"/>
  <c r="T912" i="1" s="1"/>
  <c r="R910" i="1" l="1"/>
  <c r="S911" i="1"/>
  <c r="T911" i="1" s="1"/>
  <c r="R909" i="1" l="1"/>
  <c r="S910" i="1"/>
  <c r="T910" i="1" s="1"/>
  <c r="S909" i="1" l="1"/>
  <c r="T909" i="1" s="1"/>
  <c r="R908" i="1"/>
  <c r="S908" i="1" l="1"/>
  <c r="T908" i="1" s="1"/>
  <c r="R907" i="1"/>
  <c r="R906" i="1" l="1"/>
  <c r="S907" i="1"/>
  <c r="T907" i="1" s="1"/>
  <c r="R905" i="1" l="1"/>
  <c r="S906" i="1"/>
  <c r="T906" i="1" s="1"/>
  <c r="S905" i="1" l="1"/>
  <c r="T905" i="1" s="1"/>
  <c r="R904" i="1"/>
  <c r="R903" i="1" l="1"/>
  <c r="S904" i="1"/>
  <c r="T904" i="1" s="1"/>
  <c r="S903" i="1" l="1"/>
  <c r="T903" i="1" s="1"/>
  <c r="R902" i="1"/>
  <c r="S902" i="1" l="1"/>
  <c r="T902" i="1" s="1"/>
  <c r="R901" i="1"/>
  <c r="R900" i="1" l="1"/>
  <c r="S901" i="1"/>
  <c r="T901" i="1" s="1"/>
  <c r="S900" i="1" l="1"/>
  <c r="T900" i="1" s="1"/>
  <c r="R899" i="1"/>
  <c r="R898" i="1" l="1"/>
  <c r="S899" i="1"/>
  <c r="T899" i="1" s="1"/>
  <c r="R897" i="1" l="1"/>
  <c r="S898" i="1"/>
  <c r="T898" i="1" s="1"/>
  <c r="S897" i="1" l="1"/>
  <c r="T897" i="1" s="1"/>
  <c r="R896" i="1"/>
  <c r="R895" i="1" l="1"/>
  <c r="S896" i="1"/>
  <c r="T896" i="1" s="1"/>
  <c r="S895" i="1" l="1"/>
  <c r="T895" i="1" s="1"/>
  <c r="R894" i="1"/>
  <c r="S894" i="1" l="1"/>
  <c r="T894" i="1" s="1"/>
  <c r="R893" i="1"/>
  <c r="R892" i="1" l="1"/>
  <c r="S893" i="1"/>
  <c r="T893" i="1" s="1"/>
  <c r="S892" i="1" l="1"/>
  <c r="T892" i="1" s="1"/>
  <c r="R891" i="1"/>
  <c r="S891" i="1" l="1"/>
  <c r="T891" i="1" s="1"/>
  <c r="R890" i="1"/>
  <c r="R889" i="1" l="1"/>
  <c r="S890" i="1"/>
  <c r="T890" i="1" s="1"/>
  <c r="S889" i="1" l="1"/>
  <c r="T889" i="1" s="1"/>
  <c r="R888" i="1"/>
  <c r="R887" i="1" l="1"/>
  <c r="S888" i="1"/>
  <c r="T888" i="1" s="1"/>
  <c r="R886" i="1" l="1"/>
  <c r="S887" i="1"/>
  <c r="T887" i="1" s="1"/>
  <c r="S886" i="1" l="1"/>
  <c r="T886" i="1" s="1"/>
  <c r="R885" i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S881" i="1" l="1"/>
  <c r="T881" i="1" s="1"/>
  <c r="R880" i="1"/>
  <c r="S880" i="1" l="1"/>
  <c r="T880" i="1" s="1"/>
  <c r="R879" i="1"/>
  <c r="S879" i="1" l="1"/>
  <c r="T879" i="1" s="1"/>
  <c r="R878" i="1"/>
  <c r="S878" i="1" l="1"/>
  <c r="T878" i="1" s="1"/>
  <c r="R877" i="1"/>
  <c r="S877" i="1" l="1"/>
  <c r="T877" i="1" s="1"/>
  <c r="R876" i="1"/>
  <c r="S876" i="1" l="1"/>
  <c r="T876" i="1" s="1"/>
  <c r="R875" i="1"/>
  <c r="R874" i="1" l="1"/>
  <c r="S875" i="1"/>
  <c r="T875" i="1" s="1"/>
  <c r="S874" i="1" l="1"/>
  <c r="T874" i="1" s="1"/>
  <c r="R873" i="1"/>
  <c r="R872" i="1" l="1"/>
  <c r="S873" i="1"/>
  <c r="T873" i="1" s="1"/>
  <c r="R871" i="1" l="1"/>
  <c r="S872" i="1"/>
  <c r="T872" i="1" s="1"/>
  <c r="S871" i="1" l="1"/>
  <c r="T871" i="1" s="1"/>
  <c r="R870" i="1"/>
  <c r="R869" i="1" l="1"/>
  <c r="S870" i="1"/>
  <c r="T870" i="1" s="1"/>
  <c r="S869" i="1" l="1"/>
  <c r="T869" i="1" s="1"/>
  <c r="R868" i="1"/>
  <c r="S868" i="1" l="1"/>
  <c r="T868" i="1" s="1"/>
  <c r="R867" i="1"/>
  <c r="R866" i="1" l="1"/>
  <c r="S867" i="1"/>
  <c r="T867" i="1" s="1"/>
  <c r="S866" i="1" l="1"/>
  <c r="T866" i="1" s="1"/>
  <c r="R865" i="1"/>
  <c r="S865" i="1" l="1"/>
  <c r="T865" i="1" s="1"/>
  <c r="R864" i="1"/>
  <c r="R863" i="1" l="1"/>
  <c r="S864" i="1"/>
  <c r="T864" i="1" s="1"/>
  <c r="S863" i="1" l="1"/>
  <c r="T863" i="1" s="1"/>
  <c r="R862" i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S852" i="1" l="1"/>
  <c r="T852" i="1" s="1"/>
  <c r="R851" i="1"/>
  <c r="S851" i="1" l="1"/>
  <c r="T851" i="1" s="1"/>
  <c r="R850" i="1"/>
  <c r="S850" i="1" l="1"/>
  <c r="T850" i="1" s="1"/>
  <c r="R849" i="1"/>
  <c r="S849" i="1" l="1"/>
  <c r="T849" i="1" s="1"/>
  <c r="R848" i="1"/>
  <c r="S848" i="1" l="1"/>
  <c r="T848" i="1" s="1"/>
  <c r="R847" i="1"/>
  <c r="S847" i="1" l="1"/>
  <c r="T847" i="1" s="1"/>
  <c r="R846" i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S842" i="1" l="1"/>
  <c r="T842" i="1" s="1"/>
  <c r="R841" i="1"/>
  <c r="R840" i="1" l="1"/>
  <c r="S841" i="1"/>
  <c r="T841" i="1" s="1"/>
  <c r="S840" i="1" l="1"/>
  <c r="T840" i="1" s="1"/>
  <c r="R839" i="1"/>
  <c r="S839" i="1" l="1"/>
  <c r="T839" i="1" s="1"/>
  <c r="R838" i="1"/>
  <c r="R837" i="1" l="1"/>
  <c r="S838" i="1"/>
  <c r="T838" i="1" s="1"/>
  <c r="S837" i="1" l="1"/>
  <c r="T837" i="1" s="1"/>
  <c r="R836" i="1"/>
  <c r="R835" i="1" l="1"/>
  <c r="S836" i="1"/>
  <c r="T836" i="1" s="1"/>
  <c r="S835" i="1" l="1"/>
  <c r="T835" i="1" s="1"/>
  <c r="R834" i="1"/>
  <c r="S834" i="1" l="1"/>
  <c r="T834" i="1" s="1"/>
  <c r="R833" i="1"/>
  <c r="R832" i="1" l="1"/>
  <c r="S833" i="1"/>
  <c r="T833" i="1" s="1"/>
  <c r="S832" i="1" l="1"/>
  <c r="T832" i="1" s="1"/>
  <c r="R831" i="1"/>
  <c r="R830" i="1" l="1"/>
  <c r="S831" i="1"/>
  <c r="T831" i="1" s="1"/>
  <c r="R829" i="1" l="1"/>
  <c r="S830" i="1"/>
  <c r="T830" i="1" s="1"/>
  <c r="S829" i="1" l="1"/>
  <c r="T829" i="1" s="1"/>
  <c r="R828" i="1"/>
  <c r="S828" i="1" l="1"/>
  <c r="T828" i="1" s="1"/>
  <c r="R827" i="1"/>
  <c r="S827" i="1" l="1"/>
  <c r="T827" i="1" s="1"/>
  <c r="R826" i="1"/>
  <c r="S826" i="1" l="1"/>
  <c r="T826" i="1" s="1"/>
  <c r="R825" i="1"/>
  <c r="S825" i="1" l="1"/>
  <c r="T825" i="1" s="1"/>
  <c r="R824" i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S820" i="1" l="1"/>
  <c r="T820" i="1" s="1"/>
  <c r="R819" i="1"/>
  <c r="R818" i="1" l="1"/>
  <c r="S819" i="1"/>
  <c r="T819" i="1" s="1"/>
  <c r="S818" i="1" l="1"/>
  <c r="T818" i="1" s="1"/>
  <c r="R817" i="1"/>
  <c r="S817" i="1" l="1"/>
  <c r="T817" i="1" s="1"/>
  <c r="R816" i="1"/>
  <c r="R815" i="1" l="1"/>
  <c r="S816" i="1"/>
  <c r="T816" i="1" s="1"/>
  <c r="S815" i="1" l="1"/>
  <c r="T815" i="1" s="1"/>
  <c r="R814" i="1"/>
  <c r="R813" i="1" l="1"/>
  <c r="S814" i="1"/>
  <c r="T814" i="1" s="1"/>
  <c r="R812" i="1" l="1"/>
  <c r="S813" i="1"/>
  <c r="T813" i="1" s="1"/>
  <c r="S812" i="1" l="1"/>
  <c r="T812" i="1" s="1"/>
  <c r="R811" i="1"/>
  <c r="S811" i="1" l="1"/>
  <c r="T811" i="1" s="1"/>
  <c r="R810" i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S806" i="1" l="1"/>
  <c r="T806" i="1" s="1"/>
  <c r="R805" i="1"/>
  <c r="S805" i="1" l="1"/>
  <c r="T805" i="1" s="1"/>
  <c r="R804" i="1"/>
  <c r="S804" i="1" l="1"/>
  <c r="T804" i="1" s="1"/>
  <c r="R803" i="1"/>
  <c r="S803" i="1" l="1"/>
  <c r="T803" i="1" s="1"/>
  <c r="R802" i="1"/>
  <c r="R801" i="1" l="1"/>
  <c r="S802" i="1"/>
  <c r="T802" i="1" s="1"/>
  <c r="R800" i="1" l="1"/>
  <c r="S801" i="1"/>
  <c r="T801" i="1" s="1"/>
  <c r="R799" i="1" l="1"/>
  <c r="S800" i="1"/>
  <c r="T800" i="1" s="1"/>
  <c r="S799" i="1" l="1"/>
  <c r="T799" i="1" s="1"/>
  <c r="R798" i="1"/>
  <c r="S798" i="1" l="1"/>
  <c r="T798" i="1" s="1"/>
  <c r="R797" i="1"/>
  <c r="S797" i="1" l="1"/>
  <c r="T797" i="1" s="1"/>
  <c r="R796" i="1"/>
  <c r="R795" i="1" l="1"/>
  <c r="S796" i="1"/>
  <c r="T796" i="1" s="1"/>
  <c r="S795" i="1" l="1"/>
  <c r="T795" i="1" s="1"/>
  <c r="R794" i="1"/>
  <c r="R793" i="1" l="1"/>
  <c r="S794" i="1"/>
  <c r="T794" i="1" s="1"/>
  <c r="R792" i="1" l="1"/>
  <c r="S793" i="1"/>
  <c r="T793" i="1" s="1"/>
  <c r="S792" i="1" l="1"/>
  <c r="T792" i="1" s="1"/>
  <c r="R791" i="1"/>
  <c r="R790" i="1" l="1"/>
  <c r="S791" i="1"/>
  <c r="T791" i="1" s="1"/>
  <c r="S790" i="1" l="1"/>
  <c r="T790" i="1" s="1"/>
  <c r="R789" i="1"/>
  <c r="S789" i="1" l="1"/>
  <c r="T789" i="1" s="1"/>
  <c r="R788" i="1"/>
  <c r="R787" i="1" l="1"/>
  <c r="S788" i="1"/>
  <c r="T788" i="1" s="1"/>
  <c r="S787" i="1" l="1"/>
  <c r="T787" i="1" s="1"/>
  <c r="R786" i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S782" i="1" l="1"/>
  <c r="T782" i="1" s="1"/>
  <c r="R781" i="1"/>
  <c r="S781" i="1" l="1"/>
  <c r="T781" i="1" s="1"/>
  <c r="R780" i="1"/>
  <c r="S780" i="1" l="1"/>
  <c r="T780" i="1" s="1"/>
  <c r="R779" i="1"/>
  <c r="S779" i="1" l="1"/>
  <c r="T779" i="1" s="1"/>
  <c r="R778" i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S774" i="1" l="1"/>
  <c r="T774" i="1" s="1"/>
  <c r="R773" i="1"/>
  <c r="S773" i="1" l="1"/>
  <c r="T773" i="1" s="1"/>
  <c r="R772" i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S768" i="1" l="1"/>
  <c r="T768" i="1" s="1"/>
  <c r="R767" i="1"/>
  <c r="S767" i="1" l="1"/>
  <c r="T767" i="1" s="1"/>
  <c r="R766" i="1"/>
  <c r="S766" i="1" l="1"/>
  <c r="T766" i="1" s="1"/>
  <c r="R765" i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S758" i="1" l="1"/>
  <c r="T758" i="1" s="1"/>
  <c r="R757" i="1"/>
  <c r="R756" i="1" l="1"/>
  <c r="S757" i="1"/>
  <c r="T757" i="1" s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S749" i="1" l="1"/>
  <c r="T749" i="1" s="1"/>
  <c r="R748" i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S730" i="1" l="1"/>
  <c r="T730" i="1" s="1"/>
  <c r="R729" i="1"/>
  <c r="R728" i="1" l="1"/>
  <c r="S729" i="1"/>
  <c r="T729" i="1" s="1"/>
  <c r="S728" i="1" l="1"/>
  <c r="T728" i="1" s="1"/>
  <c r="R727" i="1"/>
  <c r="R726" i="1" l="1"/>
  <c r="S727" i="1"/>
  <c r="T727" i="1" s="1"/>
  <c r="R725" i="1" l="1"/>
  <c r="S726" i="1"/>
  <c r="T726" i="1" s="1"/>
  <c r="S725" i="1" l="1"/>
  <c r="T725" i="1" s="1"/>
  <c r="R724" i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S672" i="1" l="1"/>
  <c r="T672" i="1" s="1"/>
  <c r="R671" i="1"/>
  <c r="S671" i="1" l="1"/>
  <c r="T671" i="1" s="1"/>
  <c r="R670" i="1"/>
  <c r="S670" i="1" l="1"/>
  <c r="T670" i="1" s="1"/>
  <c r="R669" i="1"/>
  <c r="S669" i="1" l="1"/>
  <c r="T669" i="1" s="1"/>
  <c r="R668" i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R646" i="1" l="1"/>
  <c r="S647" i="1"/>
  <c r="T647" i="1" s="1"/>
  <c r="S646" i="1" l="1"/>
  <c r="T646" i="1" s="1"/>
  <c r="R645" i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R626" i="1" l="1"/>
  <c r="S627" i="1"/>
  <c r="T627" i="1" s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S612" i="1" l="1"/>
  <c r="T612" i="1" s="1"/>
  <c r="R611" i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S602" i="1" l="1"/>
  <c r="T602" i="1" s="1"/>
  <c r="R601" i="1"/>
  <c r="S601" i="1" l="1"/>
  <c r="T601" i="1" s="1"/>
  <c r="R600" i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S571" i="1" l="1"/>
  <c r="T571" i="1" s="1"/>
  <c r="R570" i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R563" i="1" l="1"/>
  <c r="S564" i="1"/>
  <c r="T564" i="1" s="1"/>
  <c r="S563" i="1" l="1"/>
  <c r="T563" i="1" s="1"/>
  <c r="R562" i="1"/>
  <c r="S562" i="1" l="1"/>
  <c r="T562" i="1" s="1"/>
  <c r="R561" i="1"/>
  <c r="R560" i="1" l="1"/>
  <c r="S561" i="1"/>
  <c r="T561" i="1" s="1"/>
  <c r="S560" i="1" l="1"/>
  <c r="T560" i="1" s="1"/>
  <c r="R559" i="1"/>
  <c r="R558" i="1" l="1"/>
  <c r="S559" i="1"/>
  <c r="T559" i="1" s="1"/>
  <c r="S558" i="1" l="1"/>
  <c r="T558" i="1" s="1"/>
  <c r="R557" i="1"/>
  <c r="R556" i="1" l="1"/>
  <c r="S557" i="1"/>
  <c r="T557" i="1" s="1"/>
  <c r="R555" i="1" l="1"/>
  <c r="S556" i="1"/>
  <c r="T556" i="1" s="1"/>
  <c r="S555" i="1" l="1"/>
  <c r="T555" i="1" s="1"/>
  <c r="R554" i="1"/>
  <c r="R553" i="1" l="1"/>
  <c r="S554" i="1"/>
  <c r="T554" i="1" s="1"/>
  <c r="S553" i="1" l="1"/>
  <c r="T553" i="1" s="1"/>
  <c r="R552" i="1"/>
  <c r="S552" i="1" l="1"/>
  <c r="T552" i="1" s="1"/>
  <c r="R551" i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S536" i="1" l="1"/>
  <c r="T536" i="1" s="1"/>
  <c r="R535" i="1"/>
  <c r="S535" i="1" l="1"/>
  <c r="T535" i="1" s="1"/>
  <c r="R534" i="1"/>
  <c r="R533" i="1" l="1"/>
  <c r="S534" i="1"/>
  <c r="T534" i="1" s="1"/>
  <c r="S533" i="1" l="1"/>
  <c r="T533" i="1" s="1"/>
  <c r="R532" i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S518" i="1" l="1"/>
  <c r="T518" i="1" s="1"/>
  <c r="R517" i="1"/>
  <c r="S517" i="1" l="1"/>
  <c r="T517" i="1" s="1"/>
  <c r="R516" i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S509" i="1" l="1"/>
  <c r="T509" i="1" s="1"/>
  <c r="R508" i="1"/>
  <c r="R507" i="1" l="1"/>
  <c r="S508" i="1"/>
  <c r="T508" i="1" s="1"/>
  <c r="S507" i="1" l="1"/>
  <c r="T507" i="1" s="1"/>
  <c r="R506" i="1"/>
  <c r="S506" i="1" l="1"/>
  <c r="T506" i="1" s="1"/>
  <c r="R505" i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S490" i="1" l="1"/>
  <c r="T490" i="1" s="1"/>
  <c r="R489" i="1"/>
  <c r="R488" i="1" l="1"/>
  <c r="S489" i="1"/>
  <c r="T489" i="1" s="1"/>
  <c r="R487" i="1" l="1"/>
  <c r="S488" i="1"/>
  <c r="T488" i="1" s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S478" i="1" l="1"/>
  <c r="T478" i="1" s="1"/>
  <c r="R477" i="1"/>
  <c r="S477" i="1" l="1"/>
  <c r="T477" i="1" s="1"/>
  <c r="R476" i="1"/>
  <c r="S476" i="1" l="1"/>
  <c r="T476" i="1" s="1"/>
  <c r="R475" i="1"/>
  <c r="R474" i="1" l="1"/>
  <c r="S475" i="1"/>
  <c r="T475" i="1" s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R469" i="1" l="1"/>
  <c r="S470" i="1"/>
  <c r="T470" i="1" s="1"/>
  <c r="S469" i="1" l="1"/>
  <c r="T469" i="1" s="1"/>
  <c r="R468" i="1"/>
  <c r="S468" i="1" l="1"/>
  <c r="T468" i="1" s="1"/>
  <c r="R467" i="1"/>
  <c r="R466" i="1" l="1"/>
  <c r="S467" i="1"/>
  <c r="T467" i="1" s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S459" i="1" l="1"/>
  <c r="T459" i="1" s="1"/>
  <c r="R458" i="1"/>
  <c r="S458" i="1" l="1"/>
  <c r="T458" i="1" s="1"/>
  <c r="R457" i="1"/>
  <c r="R456" i="1" l="1"/>
  <c r="S457" i="1"/>
  <c r="T457" i="1" s="1"/>
  <c r="S456" i="1" l="1"/>
  <c r="T456" i="1" s="1"/>
  <c r="R455" i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S446" i="1" l="1"/>
  <c r="T446" i="1" s="1"/>
  <c r="R445" i="1"/>
  <c r="S445" i="1" l="1"/>
  <c r="T445" i="1" s="1"/>
  <c r="R444" i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S438" i="1" l="1"/>
  <c r="T438" i="1" s="1"/>
  <c r="R437" i="1"/>
  <c r="S437" i="1" l="1"/>
  <c r="T437" i="1" s="1"/>
  <c r="R436" i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R422" i="1" l="1"/>
  <c r="S423" i="1"/>
  <c r="T423" i="1" s="1"/>
  <c r="S422" i="1" l="1"/>
  <c r="T422" i="1" s="1"/>
  <c r="R421" i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R414" i="1" l="1"/>
  <c r="S415" i="1"/>
  <c r="T415" i="1" s="1"/>
  <c r="S414" i="1" l="1"/>
  <c r="T414" i="1" s="1"/>
  <c r="R413" i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S408" i="1" l="1"/>
  <c r="T408" i="1" s="1"/>
  <c r="R407" i="1"/>
  <c r="S407" i="1" l="1"/>
  <c r="T407" i="1" s="1"/>
  <c r="R406" i="1"/>
  <c r="S406" i="1" l="1"/>
  <c r="T406" i="1" s="1"/>
  <c r="R405" i="1"/>
  <c r="S405" i="1" l="1"/>
  <c r="T405" i="1" s="1"/>
  <c r="R404" i="1"/>
  <c r="S404" i="1" l="1"/>
  <c r="T404" i="1" s="1"/>
  <c r="R403" i="1"/>
  <c r="R402" i="1" l="1"/>
  <c r="S403" i="1"/>
  <c r="T403" i="1" s="1"/>
  <c r="R401" i="1" l="1"/>
  <c r="S402" i="1"/>
  <c r="T402" i="1" s="1"/>
  <c r="S401" i="1" l="1"/>
  <c r="T401" i="1" s="1"/>
  <c r="R400" i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R390" i="1" l="1"/>
  <c r="S391" i="1"/>
  <c r="T391" i="1" s="1"/>
  <c r="S390" i="1" l="1"/>
  <c r="T390" i="1" s="1"/>
  <c r="R389" i="1"/>
  <c r="R388" i="1" l="1"/>
  <c r="S389" i="1"/>
  <c r="T389" i="1" s="1"/>
  <c r="S388" i="1" l="1"/>
  <c r="T388" i="1" s="1"/>
  <c r="R387" i="1"/>
  <c r="S387" i="1" l="1"/>
  <c r="T387" i="1" s="1"/>
  <c r="R386" i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R377" i="1" l="1"/>
  <c r="S378" i="1"/>
  <c r="T378" i="1" s="1"/>
  <c r="S377" i="1" l="1"/>
  <c r="T377" i="1" s="1"/>
  <c r="R376" i="1"/>
  <c r="R375" i="1" l="1"/>
  <c r="S376" i="1"/>
  <c r="T376" i="1" s="1"/>
  <c r="S375" i="1" l="1"/>
  <c r="T375" i="1" s="1"/>
  <c r="R374" i="1"/>
  <c r="R373" i="1" l="1"/>
  <c r="S374" i="1"/>
  <c r="T374" i="1" s="1"/>
  <c r="R372" i="1" l="1"/>
  <c r="S373" i="1"/>
  <c r="T373" i="1" s="1"/>
  <c r="S372" i="1" l="1"/>
  <c r="T372" i="1" s="1"/>
  <c r="R371" i="1"/>
  <c r="R370" i="1" l="1"/>
  <c r="S371" i="1"/>
  <c r="T371" i="1" s="1"/>
  <c r="S370" i="1" l="1"/>
  <c r="T370" i="1" s="1"/>
  <c r="R369" i="1"/>
  <c r="S369" i="1" l="1"/>
  <c r="T369" i="1" s="1"/>
  <c r="R368" i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S347" i="1" l="1"/>
  <c r="T347" i="1" s="1"/>
  <c r="R346" i="1"/>
  <c r="R345" i="1" l="1"/>
  <c r="S346" i="1"/>
  <c r="T346" i="1" s="1"/>
  <c r="S345" i="1" l="1"/>
  <c r="T345" i="1" s="1"/>
  <c r="R344" i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S321" i="1" l="1"/>
  <c r="T321" i="1" s="1"/>
  <c r="R320" i="1"/>
  <c r="S320" i="1" l="1"/>
  <c r="T320" i="1" s="1"/>
  <c r="R319" i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S288" i="1" l="1"/>
  <c r="T288" i="1" s="1"/>
  <c r="R287" i="1"/>
  <c r="S287" i="1" l="1"/>
  <c r="T287" i="1" s="1"/>
  <c r="R286" i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S273" i="1" l="1"/>
  <c r="T273" i="1" s="1"/>
  <c r="R272" i="1"/>
  <c r="S272" i="1" l="1"/>
  <c r="T272" i="1" s="1"/>
  <c r="R271" i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S257" i="1" l="1"/>
  <c r="T257" i="1" s="1"/>
  <c r="R256" i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S252" i="1" l="1"/>
  <c r="T252" i="1" s="1"/>
  <c r="R251" i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S226" i="1" l="1"/>
  <c r="T226" i="1" s="1"/>
  <c r="R225" i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S221" i="1" l="1"/>
  <c r="T221" i="1" s="1"/>
  <c r="R220" i="1"/>
  <c r="S220" i="1" l="1"/>
  <c r="T220" i="1" s="1"/>
  <c r="R219" i="1"/>
  <c r="S219" i="1" l="1"/>
  <c r="T219" i="1" s="1"/>
  <c r="R218" i="1"/>
  <c r="R217" i="1" l="1"/>
  <c r="S218" i="1"/>
  <c r="T218" i="1" s="1"/>
  <c r="S217" i="1" l="1"/>
  <c r="T217" i="1" s="1"/>
  <c r="R216" i="1"/>
  <c r="S216" i="1" l="1"/>
  <c r="T216" i="1" s="1"/>
  <c r="R215" i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S207" i="1" l="1"/>
  <c r="T207" i="1" s="1"/>
  <c r="R206" i="1"/>
  <c r="S206" i="1" l="1"/>
  <c r="T206" i="1" s="1"/>
  <c r="R205" i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R180" i="1" l="1"/>
  <c r="S181" i="1"/>
  <c r="T181" i="1" s="1"/>
  <c r="R179" i="1" l="1"/>
  <c r="S180" i="1"/>
  <c r="T180" i="1" s="1"/>
  <c r="S179" i="1" l="1"/>
  <c r="T179" i="1" s="1"/>
  <c r="R178" i="1"/>
  <c r="S178" i="1" l="1"/>
  <c r="T178" i="1" s="1"/>
  <c r="R177" i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S170" i="1" l="1"/>
  <c r="T170" i="1" s="1"/>
  <c r="R169" i="1"/>
  <c r="S169" i="1" l="1"/>
  <c r="T169" i="1" s="1"/>
  <c r="R168" i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S151" i="1" l="1"/>
  <c r="T151" i="1" s="1"/>
  <c r="R150" i="1"/>
  <c r="R149" i="1" l="1"/>
  <c r="S150" i="1"/>
  <c r="T150" i="1" s="1"/>
  <c r="S149" i="1" l="1"/>
  <c r="T149" i="1" s="1"/>
  <c r="R148" i="1"/>
  <c r="S148" i="1" l="1"/>
  <c r="T148" i="1" s="1"/>
  <c r="R147" i="1"/>
  <c r="R146" i="1" l="1"/>
  <c r="S147" i="1"/>
  <c r="T147" i="1" s="1"/>
  <c r="S146" i="1" l="1"/>
  <c r="T146" i="1" s="1"/>
  <c r="R145" i="1"/>
  <c r="R144" i="1" l="1"/>
  <c r="S145" i="1"/>
  <c r="T145" i="1" s="1"/>
  <c r="S144" i="1" l="1"/>
  <c r="T144" i="1" s="1"/>
  <c r="R143" i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S134" i="1" l="1"/>
  <c r="T134" i="1" s="1"/>
  <c r="R133" i="1"/>
  <c r="S133" i="1" l="1"/>
  <c r="T133" i="1" s="1"/>
  <c r="R132" i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S128" i="1" l="1"/>
  <c r="T128" i="1" s="1"/>
  <c r="R127" i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S102" i="1" l="1"/>
  <c r="T102" i="1" s="1"/>
  <c r="R101" i="1"/>
  <c r="S101" i="1" l="1"/>
  <c r="T101" i="1" s="1"/>
  <c r="R100" i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R91" i="1" l="1"/>
  <c r="S92" i="1"/>
  <c r="T92" i="1" s="1"/>
  <c r="S91" i="1" l="1"/>
  <c r="T91" i="1" s="1"/>
  <c r="R90" i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S43" i="1" l="1"/>
  <c r="T43" i="1" s="1"/>
  <c r="R42" i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<sst xmlns="http://schemas.openxmlformats.org/spreadsheetml/2006/main" count="10980" uniqueCount="35">
  <si>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</si>
  <si>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</si>
  <si>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</si>
  <si>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</si>
  <si>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</si>
  <si>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</si>
  <si>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</si>
  <si>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</si>
  <si>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</si>
  <si>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</si>
  <si>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</si>
  <si>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</si>
  <si>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</si>
  <si>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</si>
  <si>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</si>
  <si>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</si>
  <si>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</si>
  <si>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</si>
  <si>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</si>
  <si>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</si>
  <si>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</si>
  <si>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</si>
  <si>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</si>
  <si>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</si>
  <si>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</si>
  <si>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</si>
  <si>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</si>
  <si>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</si>
  <si>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</si>
  <si>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</si>
  <si>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</si>
  <si>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</si>
  <si>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</si>
  <si>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</si>
  <si>
    <t>mati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</si>
</sst>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1.5469999999999999</c:v>
                </c:pt>
                <c:pt idx="1">
                  <c:v>1.59</c:v>
                </c:pt>
                <c:pt idx="2">
                  <c:v>1.5589999999999999</c:v>
                </c:pt>
                <c:pt idx="3">
                  <c:v>1.506</c:v>
                </c:pt>
                <c:pt idx="4">
                  <c:v>1.617</c:v>
                </c:pt>
                <c:pt idx="5">
                  <c:v>1.536</c:v>
                </c:pt>
                <c:pt idx="6">
                  <c:v>1.6990000000000001</c:v>
                </c:pt>
                <c:pt idx="7">
                  <c:v>1.96</c:v>
                </c:pt>
                <c:pt idx="8">
                  <c:v>2.0299999999999998</c:v>
                </c:pt>
                <c:pt idx="9">
                  <c:v>2.12</c:v>
                </c:pt>
                <c:pt idx="10">
                  <c:v>2.2189999999999999</c:v>
                </c:pt>
                <c:pt idx="11">
                  <c:v>2.3319999999999999</c:v>
                </c:pt>
                <c:pt idx="12">
                  <c:v>2.3460000000000001</c:v>
                </c:pt>
                <c:pt idx="13">
                  <c:v>2.3340000000000001</c:v>
                </c:pt>
                <c:pt idx="14">
                  <c:v>2.2650000000000001</c:v>
                </c:pt>
                <c:pt idx="15">
                  <c:v>2.3980000000000001</c:v>
                </c:pt>
                <c:pt idx="16">
                  <c:v>2.36</c:v>
                </c:pt>
                <c:pt idx="17">
                  <c:v>2.0710000000000002</c:v>
                </c:pt>
                <c:pt idx="18">
                  <c:v>2.1139999999999999</c:v>
                </c:pt>
                <c:pt idx="19">
                  <c:v>1.9850000000000001</c:v>
                </c:pt>
                <c:pt idx="20">
                  <c:v>2.0529999999999999</c:v>
                </c:pt>
                <c:pt idx="21">
                  <c:v>2.2509999999999999</c:v>
                </c:pt>
                <c:pt idx="22">
                  <c:v>2.1819999999999999</c:v>
                </c:pt>
                <c:pt idx="23">
                  <c:v>2.3650000000000002</c:v>
                </c:pt>
                <c:pt idx="24">
                  <c:v>2.4319999999999999</c:v>
                </c:pt>
                <c:pt idx="25">
                  <c:v>2.5499999999999998</c:v>
                </c:pt>
                <c:pt idx="26">
                  <c:v>2.5720000000000001</c:v>
                </c:pt>
                <c:pt idx="27">
                  <c:v>2.524</c:v>
                </c:pt>
                <c:pt idx="28">
                  <c:v>2.5529999999999999</c:v>
                </c:pt>
                <c:pt idx="29">
                  <c:v>2.4740000000000002</c:v>
                </c:pt>
                <c:pt idx="30">
                  <c:v>2.492</c:v>
                </c:pt>
                <c:pt idx="31">
                  <c:v>2.7280000000000002</c:v>
                </c:pt>
                <c:pt idx="32">
                  <c:v>2.8759999999999999</c:v>
                </c:pt>
                <c:pt idx="33">
                  <c:v>2.6389999999999998</c:v>
                </c:pt>
                <c:pt idx="34">
                  <c:v>2.4670000000000001</c:v>
                </c:pt>
                <c:pt idx="35">
                  <c:v>2.6829999999999998</c:v>
                </c:pt>
                <c:pt idx="36">
                  <c:v>2.5009999999999999</c:v>
                </c:pt>
                <c:pt idx="37">
                  <c:v>2.3719999999999999</c:v>
                </c:pt>
                <c:pt idx="38">
                  <c:v>2.13</c:v>
                </c:pt>
                <c:pt idx="39">
                  <c:v>2.222</c:v>
                </c:pt>
                <c:pt idx="40">
                  <c:v>2.234</c:v>
                </c:pt>
                <c:pt idx="41">
                  <c:v>2.1269999999999998</c:v>
                </c:pt>
                <c:pt idx="42">
                  <c:v>2.0699999999999998</c:v>
                </c:pt>
                <c:pt idx="43">
                  <c:v>2.129</c:v>
                </c:pt>
                <c:pt idx="44">
                  <c:v>1.94</c:v>
                </c:pt>
                <c:pt idx="45">
                  <c:v>1.8169999999999999</c:v>
                </c:pt>
                <c:pt idx="46">
                  <c:v>2.0840000000000001</c:v>
                </c:pt>
                <c:pt idx="47">
                  <c:v>2.09</c:v>
                </c:pt>
                <c:pt idx="48">
                  <c:v>2.0920000000000001</c:v>
                </c:pt>
                <c:pt idx="49">
                  <c:v>2.085</c:v>
                </c:pt>
                <c:pt idx="50">
                  <c:v>2.4209999999999998</c:v>
                </c:pt>
                <c:pt idx="51">
                  <c:v>2.3439999999999999</c:v>
                </c:pt>
                <c:pt idx="52">
                  <c:v>2.2770000000000001</c:v>
                </c:pt>
                <c:pt idx="53">
                  <c:v>2.0510000000000002</c:v>
                </c:pt>
                <c:pt idx="54">
                  <c:v>1.9750000000000001</c:v>
                </c:pt>
                <c:pt idx="55">
                  <c:v>2.27</c:v>
                </c:pt>
                <c:pt idx="56">
                  <c:v>2.1230000000000002</c:v>
                </c:pt>
                <c:pt idx="57">
                  <c:v>2.0049999999999999</c:v>
                </c:pt>
                <c:pt idx="58">
                  <c:v>1.7849999999999999</c:v>
                </c:pt>
                <c:pt idx="59">
                  <c:v>1.8160000000000001</c:v>
                </c:pt>
                <c:pt idx="60">
                  <c:v>1.6519999999999999</c:v>
                </c:pt>
                <c:pt idx="61">
                  <c:v>1.613</c:v>
                </c:pt>
                <c:pt idx="62">
                  <c:v>1.64</c:v>
                </c:pt>
                <c:pt idx="63">
                  <c:v>1.925</c:v>
                </c:pt>
                <c:pt idx="64">
                  <c:v>1.8129999999999999</c:v>
                </c:pt>
                <c:pt idx="65">
                  <c:v>1.7509999999999999</c:v>
                </c:pt>
                <c:pt idx="66">
                  <c:v>1.5589999999999999</c:v>
                </c:pt>
                <c:pt idx="67">
                  <c:v>1.5980000000000001</c:v>
                </c:pt>
                <c:pt idx="68">
                  <c:v>1.6639999999999999</c:v>
                </c:pt>
                <c:pt idx="69">
                  <c:v>1.6220000000000001</c:v>
                </c:pt>
                <c:pt idx="70">
                  <c:v>1.494</c:v>
                </c:pt>
                <c:pt idx="71">
                  <c:v>1.637</c:v>
                </c:pt>
                <c:pt idx="72">
                  <c:v>1.5589999999999999</c:v>
                </c:pt>
                <c:pt idx="73">
                  <c:v>1.694</c:v>
                </c:pt>
                <c:pt idx="74">
                  <c:v>1.728</c:v>
                </c:pt>
                <c:pt idx="75">
                  <c:v>1.75</c:v>
                </c:pt>
                <c:pt idx="76">
                  <c:v>1.7150000000000001</c:v>
                </c:pt>
                <c:pt idx="77">
                  <c:v>1.754</c:v>
                </c:pt>
                <c:pt idx="78">
                  <c:v>1.7</c:v>
                </c:pt>
                <c:pt idx="79">
                  <c:v>1.7749999999999999</c:v>
                </c:pt>
                <c:pt idx="80">
                  <c:v>1.893</c:v>
                </c:pt>
                <c:pt idx="81">
                  <c:v>1.8859999999999999</c:v>
                </c:pt>
                <c:pt idx="82">
                  <c:v>1.883</c:v>
                </c:pt>
                <c:pt idx="83">
                  <c:v>1.8959999999999999</c:v>
                </c:pt>
                <c:pt idx="84">
                  <c:v>1.9159999999999999</c:v>
                </c:pt>
                <c:pt idx="85">
                  <c:v>2.0390000000000001</c:v>
                </c:pt>
                <c:pt idx="86">
                  <c:v>1.9390000000000001</c:v>
                </c:pt>
                <c:pt idx="87">
                  <c:v>1.9019999999999999</c:v>
                </c:pt>
                <c:pt idx="88">
                  <c:v>1.9390000000000001</c:v>
                </c:pt>
                <c:pt idx="89">
                  <c:v>1.869</c:v>
                </c:pt>
                <c:pt idx="90">
                  <c:v>2.0219999999999998</c:v>
                </c:pt>
                <c:pt idx="91">
                  <c:v>2.1339999999999999</c:v>
                </c:pt>
                <c:pt idx="92">
                  <c:v>1.7569999999999999</c:v>
                </c:pt>
                <c:pt idx="93">
                  <c:v>1.734</c:v>
                </c:pt>
                <c:pt idx="94">
                  <c:v>1.673</c:v>
                </c:pt>
                <c:pt idx="95">
                  <c:v>1.571</c:v>
                </c:pt>
                <c:pt idx="96">
                  <c:v>1.641</c:v>
                </c:pt>
                <c:pt idx="97">
                  <c:v>1.5169999999999999</c:v>
                </c:pt>
                <c:pt idx="98">
                  <c:v>1.5049999999999999</c:v>
                </c:pt>
                <c:pt idx="99">
                  <c:v>1.534</c:v>
                </c:pt>
                <c:pt idx="100">
                  <c:v>1.472</c:v>
                </c:pt>
                <c:pt idx="101">
                  <c:v>1.4790000000000001</c:v>
                </c:pt>
                <c:pt idx="102">
                  <c:v>1.4570000000000001</c:v>
                </c:pt>
                <c:pt idx="103">
                  <c:v>1.5069999999999999</c:v>
                </c:pt>
                <c:pt idx="104">
                  <c:v>1.5940000000000001</c:v>
                </c:pt>
                <c:pt idx="105">
                  <c:v>1.264</c:v>
                </c:pt>
                <c:pt idx="106">
                  <c:v>1.2410000000000001</c:v>
                </c:pt>
                <c:pt idx="107">
                  <c:v>1.2230000000000001</c:v>
                </c:pt>
                <c:pt idx="108">
                  <c:v>1.242</c:v>
                </c:pt>
                <c:pt idx="109">
                  <c:v>1.244</c:v>
                </c:pt>
                <c:pt idx="110">
                  <c:v>1.3520000000000001</c:v>
                </c:pt>
                <c:pt idx="111">
                  <c:v>1.3440000000000001</c:v>
                </c:pt>
                <c:pt idx="112">
                  <c:v>1.276</c:v>
                </c:pt>
                <c:pt idx="113">
                  <c:v>1.2569999999999999</c:v>
                </c:pt>
                <c:pt idx="114">
                  <c:v>1.3149999999999999</c:v>
                </c:pt>
                <c:pt idx="115">
                  <c:v>1.278</c:v>
                </c:pt>
                <c:pt idx="116">
                  <c:v>1.3180000000000001</c:v>
                </c:pt>
                <c:pt idx="117">
                  <c:v>1.292</c:v>
                </c:pt>
                <c:pt idx="118">
                  <c:v>1.266</c:v>
                </c:pt>
                <c:pt idx="119">
                  <c:v>1.1279999999999999</c:v>
                </c:pt>
                <c:pt idx="120">
                  <c:v>1.099</c:v>
                </c:pt>
                <c:pt idx="121">
                  <c:v>1.05</c:v>
                </c:pt>
                <c:pt idx="122">
                  <c:v>1.0840000000000001</c:v>
                </c:pt>
                <c:pt idx="123">
                  <c:v>1.123</c:v>
                </c:pt>
                <c:pt idx="124">
                  <c:v>1.121</c:v>
                </c:pt>
                <c:pt idx="125">
                  <c:v>1.1259999999999999</c:v>
                </c:pt>
                <c:pt idx="126">
                  <c:v>1.2250000000000001</c:v>
                </c:pt>
                <c:pt idx="127">
                  <c:v>1.23</c:v>
                </c:pt>
                <c:pt idx="128">
                  <c:v>1.0469999999999999</c:v>
                </c:pt>
                <c:pt idx="129">
                  <c:v>1.216</c:v>
                </c:pt>
                <c:pt idx="130">
                  <c:v>1.3149999999999999</c:v>
                </c:pt>
                <c:pt idx="131">
                  <c:v>1.3660000000000001</c:v>
                </c:pt>
                <c:pt idx="132">
                  <c:v>1.4219999999999999</c:v>
                </c:pt>
                <c:pt idx="133">
                  <c:v>1.3839999999999999</c:v>
                </c:pt>
                <c:pt idx="134">
                  <c:v>1.4159999999999999</c:v>
                </c:pt>
                <c:pt idx="135">
                  <c:v>1.3180000000000001</c:v>
                </c:pt>
                <c:pt idx="136">
                  <c:v>1.248</c:v>
                </c:pt>
                <c:pt idx="137">
                  <c:v>1.3280000000000001</c:v>
                </c:pt>
                <c:pt idx="138">
                  <c:v>1.3160000000000001</c:v>
                </c:pt>
                <c:pt idx="139">
                  <c:v>1.304</c:v>
                </c:pt>
                <c:pt idx="140">
                  <c:v>1.367</c:v>
                </c:pt>
                <c:pt idx="141">
                  <c:v>1.3340000000000001</c:v>
                </c:pt>
                <c:pt idx="142">
                  <c:v>1.3620000000000001</c:v>
                </c:pt>
                <c:pt idx="143">
                  <c:v>1.643</c:v>
                </c:pt>
                <c:pt idx="144">
                  <c:v>1.68</c:v>
                </c:pt>
                <c:pt idx="145">
                  <c:v>1.7390000000000001</c:v>
                </c:pt>
                <c:pt idx="146">
                  <c:v>1.4570000000000001</c:v>
                </c:pt>
                <c:pt idx="147">
                  <c:v>1.4450000000000001</c:v>
                </c:pt>
                <c:pt idx="148">
                  <c:v>1.47</c:v>
                </c:pt>
                <c:pt idx="149">
                  <c:v>1.3360000000000001</c:v>
                </c:pt>
                <c:pt idx="150">
                  <c:v>1.319</c:v>
                </c:pt>
                <c:pt idx="151">
                  <c:v>1.4179999999999999</c:v>
                </c:pt>
                <c:pt idx="152">
                  <c:v>1.458</c:v>
                </c:pt>
                <c:pt idx="153">
                  <c:v>1.518</c:v>
                </c:pt>
                <c:pt idx="154">
                  <c:v>1.3720000000000001</c:v>
                </c:pt>
                <c:pt idx="155">
                  <c:v>1.5273699999999999</c:v>
                </c:pt>
                <c:pt idx="156">
                  <c:v>1.4737100000000001</c:v>
                </c:pt>
                <c:pt idx="157">
                  <c:v>1.6248199999999999</c:v>
                </c:pt>
                <c:pt idx="158">
                  <c:v>1.64453</c:v>
                </c:pt>
                <c:pt idx="159">
                  <c:v>1.58324</c:v>
                </c:pt>
                <c:pt idx="160">
                  <c:v>1.54956</c:v>
                </c:pt>
                <c:pt idx="161">
                  <c:v>1.4705600000000001</c:v>
                </c:pt>
                <c:pt idx="162">
                  <c:v>1.3336399999999999</c:v>
                </c:pt>
                <c:pt idx="163">
                  <c:v>1.34998</c:v>
                </c:pt>
                <c:pt idx="164">
                  <c:v>1.4196299999999999</c:v>
                </c:pt>
                <c:pt idx="165">
                  <c:v>1.4666600000000001</c:v>
                </c:pt>
                <c:pt idx="166">
                  <c:v>1.4416</c:v>
                </c:pt>
                <c:pt idx="167">
                  <c:v>1.51075</c:v>
                </c:pt>
                <c:pt idx="168">
                  <c:v>1.32175</c:v>
                </c:pt>
                <c:pt idx="169">
                  <c:v>1.3711500000000001</c:v>
                </c:pt>
                <c:pt idx="170">
                  <c:v>1.15611</c:v>
                </c:pt>
                <c:pt idx="171">
                  <c:v>1.12629</c:v>
                </c:pt>
                <c:pt idx="172">
                  <c:v>1.0812900000000001</c:v>
                </c:pt>
                <c:pt idx="173">
                  <c:v>1.16618</c:v>
                </c:pt>
                <c:pt idx="174">
                  <c:v>1.0809299999999999</c:v>
                </c:pt>
                <c:pt idx="175">
                  <c:v>1.06558</c:v>
                </c:pt>
                <c:pt idx="176">
                  <c:v>1.0538700000000001</c:v>
                </c:pt>
                <c:pt idx="177">
                  <c:v>1.0224899999999999</c:v>
                </c:pt>
                <c:pt idx="178">
                  <c:v>1.0454000000000001</c:v>
                </c:pt>
                <c:pt idx="179">
                  <c:v>1.0494300000000001</c:v>
                </c:pt>
                <c:pt idx="180">
                  <c:v>1.08246</c:v>
                </c:pt>
                <c:pt idx="181">
                  <c:v>1.06595</c:v>
                </c:pt>
                <c:pt idx="182">
                  <c:v>1.0279400000000001</c:v>
                </c:pt>
                <c:pt idx="183">
                  <c:v>1.01803</c:v>
                </c:pt>
                <c:pt idx="184">
                  <c:v>1.04</c:v>
                </c:pt>
                <c:pt idx="185">
                  <c:v>1.01403</c:v>
                </c:pt>
                <c:pt idx="186">
                  <c:v>0.93910000000000005</c:v>
                </c:pt>
                <c:pt idx="187">
                  <c:v>0.94833999999999996</c:v>
                </c:pt>
                <c:pt idx="188">
                  <c:v>0.94855999999999996</c:v>
                </c:pt>
                <c:pt idx="189">
                  <c:v>0.88061999999999996</c:v>
                </c:pt>
                <c:pt idx="190">
                  <c:v>0.88832999999999995</c:v>
                </c:pt>
                <c:pt idx="191">
                  <c:v>0.68891999999999998</c:v>
                </c:pt>
                <c:pt idx="192">
                  <c:v>0.73285</c:v>
                </c:pt>
                <c:pt idx="193">
                  <c:v>0.79369999999999996</c:v>
                </c:pt>
                <c:pt idx="194">
                  <c:v>0.80125999999999997</c:v>
                </c:pt>
                <c:pt idx="195">
                  <c:v>0.81149000000000004</c:v>
                </c:pt>
                <c:pt idx="196">
                  <c:v>0.87912999999999997</c:v>
                </c:pt>
                <c:pt idx="197">
                  <c:v>0.92959000000000003</c:v>
                </c:pt>
                <c:pt idx="198">
                  <c:v>0.94572000000000001</c:v>
                </c:pt>
                <c:pt idx="199">
                  <c:v>0.99456</c:v>
                </c:pt>
                <c:pt idx="200">
                  <c:v>1.0423100000000001</c:v>
                </c:pt>
                <c:pt idx="201">
                  <c:v>1.0302</c:v>
                </c:pt>
                <c:pt idx="202">
                  <c:v>1.052</c:v>
                </c:pt>
                <c:pt idx="203">
                  <c:v>1.04172</c:v>
                </c:pt>
                <c:pt idx="204">
                  <c:v>1.1279999999999999</c:v>
                </c:pt>
                <c:pt idx="205">
                  <c:v>1.13028</c:v>
                </c:pt>
                <c:pt idx="206">
                  <c:v>1.10063</c:v>
                </c:pt>
                <c:pt idx="207">
                  <c:v>1.14733</c:v>
                </c:pt>
                <c:pt idx="208">
                  <c:v>1.11802</c:v>
                </c:pt>
                <c:pt idx="209">
                  <c:v>1.10263</c:v>
                </c:pt>
                <c:pt idx="210">
                  <c:v>1.0727500000000001</c:v>
                </c:pt>
                <c:pt idx="211">
                  <c:v>1.1687799999999999</c:v>
                </c:pt>
                <c:pt idx="212">
                  <c:v>1.1719299999999999</c:v>
                </c:pt>
                <c:pt idx="213">
                  <c:v>1.1209499999999999</c:v>
                </c:pt>
                <c:pt idx="214">
                  <c:v>1.1137600000000001</c:v>
                </c:pt>
                <c:pt idx="215">
                  <c:v>1.0769899999999999</c:v>
                </c:pt>
                <c:pt idx="216">
                  <c:v>1.03904</c:v>
                </c:pt>
                <c:pt idx="217">
                  <c:v>1.2022699999999999</c:v>
                </c:pt>
                <c:pt idx="218">
                  <c:v>1.1764600000000001</c:v>
                </c:pt>
                <c:pt idx="219">
                  <c:v>1.07596</c:v>
                </c:pt>
                <c:pt idx="220">
                  <c:v>1.0980700000000001</c:v>
                </c:pt>
                <c:pt idx="221">
                  <c:v>1.3981399999999999</c:v>
                </c:pt>
                <c:pt idx="222">
                  <c:v>1.35812</c:v>
                </c:pt>
                <c:pt idx="223">
                  <c:v>1.38</c:v>
                </c:pt>
                <c:pt idx="224">
                  <c:v>1.5032399999999999</c:v>
                </c:pt>
                <c:pt idx="225">
                  <c:v>1.4785999999999999</c:v>
                </c:pt>
                <c:pt idx="226">
                  <c:v>1.6286799999999999</c:v>
                </c:pt>
                <c:pt idx="227">
                  <c:v>1.5473699999999999</c:v>
                </c:pt>
                <c:pt idx="228">
                  <c:v>1.46641</c:v>
                </c:pt>
                <c:pt idx="229">
                  <c:v>1.33727</c:v>
                </c:pt>
                <c:pt idx="230">
                  <c:v>1.2506999999999999</c:v>
                </c:pt>
                <c:pt idx="231">
                  <c:v>1.36286</c:v>
                </c:pt>
                <c:pt idx="232">
                  <c:v>1.4903299999999999</c:v>
                </c:pt>
                <c:pt idx="233">
                  <c:v>1.4793099999999999</c:v>
                </c:pt>
                <c:pt idx="234">
                  <c:v>1.48478</c:v>
                </c:pt>
                <c:pt idx="235">
                  <c:v>1.58189</c:v>
                </c:pt>
                <c:pt idx="236">
                  <c:v>1.5266500000000001</c:v>
                </c:pt>
                <c:pt idx="237">
                  <c:v>1.6302399999999999</c:v>
                </c:pt>
                <c:pt idx="238">
                  <c:v>1.8243400000000001</c:v>
                </c:pt>
                <c:pt idx="239">
                  <c:v>1.7996000000000001</c:v>
                </c:pt>
                <c:pt idx="240">
                  <c:v>1.8248500000000001</c:v>
                </c:pt>
                <c:pt idx="241">
                  <c:v>1.8712599999999999</c:v>
                </c:pt>
                <c:pt idx="242">
                  <c:v>1.8643700000000001</c:v>
                </c:pt>
                <c:pt idx="243">
                  <c:v>1.69553</c:v>
                </c:pt>
                <c:pt idx="244">
                  <c:v>1.81759</c:v>
                </c:pt>
                <c:pt idx="245">
                  <c:v>2.0370400000000002</c:v>
                </c:pt>
                <c:pt idx="246">
                  <c:v>2.2064599999999999</c:v>
                </c:pt>
                <c:pt idx="247">
                  <c:v>1.9346300000000001</c:v>
                </c:pt>
                <c:pt idx="248">
                  <c:v>1.74861</c:v>
                </c:pt>
                <c:pt idx="249">
                  <c:v>1.0730999999999999</c:v>
                </c:pt>
                <c:pt idx="250">
                  <c:v>1.1907000000000001</c:v>
                </c:pt>
                <c:pt idx="251">
                  <c:v>1.4835</c:v>
                </c:pt>
                <c:pt idx="252">
                  <c:v>1.8328899999999999</c:v>
                </c:pt>
                <c:pt idx="253">
                  <c:v>1.61982</c:v>
                </c:pt>
                <c:pt idx="254">
                  <c:v>2.4412400000000001</c:v>
                </c:pt>
                <c:pt idx="255">
                  <c:v>1.72678</c:v>
                </c:pt>
                <c:pt idx="256">
                  <c:v>1.7244299999999999</c:v>
                </c:pt>
                <c:pt idx="257">
                  <c:v>1.59501</c:v>
                </c:pt>
                <c:pt idx="258">
                  <c:v>1.47376</c:v>
                </c:pt>
                <c:pt idx="259">
                  <c:v>1.05366</c:v>
                </c:pt>
                <c:pt idx="260">
                  <c:v>1.05098</c:v>
                </c:pt>
                <c:pt idx="261">
                  <c:v>1.0634300000000001</c:v>
                </c:pt>
                <c:pt idx="262">
                  <c:v>0.87470000000000003</c:v>
                </c:pt>
                <c:pt idx="263">
                  <c:v>0.96945000000000003</c:v>
                </c:pt>
                <c:pt idx="264">
                  <c:v>0.84887999999999997</c:v>
                </c:pt>
                <c:pt idx="265">
                  <c:v>0.75002000000000002</c:v>
                </c:pt>
                <c:pt idx="266">
                  <c:v>0.76126000000000005</c:v>
                </c:pt>
                <c:pt idx="267">
                  <c:v>0.80978000000000006</c:v>
                </c:pt>
                <c:pt idx="268">
                  <c:v>0.70374999999999999</c:v>
                </c:pt>
                <c:pt idx="269">
                  <c:v>0.79481999999999997</c:v>
                </c:pt>
                <c:pt idx="270">
                  <c:v>0.82132000000000005</c:v>
                </c:pt>
                <c:pt idx="271">
                  <c:v>0.78530999999999995</c:v>
                </c:pt>
                <c:pt idx="272">
                  <c:v>0.82065999999999995</c:v>
                </c:pt>
                <c:pt idx="273">
                  <c:v>0.89195999999999998</c:v>
                </c:pt>
                <c:pt idx="274">
                  <c:v>0.77700000000000002</c:v>
                </c:pt>
                <c:pt idx="275">
                  <c:v>0.82840000000000003</c:v>
                </c:pt>
                <c:pt idx="276">
                  <c:v>0.53695999999999999</c:v>
                </c:pt>
                <c:pt idx="277">
                  <c:v>0.38425999999999999</c:v>
                </c:pt>
                <c:pt idx="278">
                  <c:v>0.35421000000000002</c:v>
                </c:pt>
                <c:pt idx="279">
                  <c:v>0.38150000000000001</c:v>
                </c:pt>
                <c:pt idx="280">
                  <c:v>0.34928999999999999</c:v>
                </c:pt>
                <c:pt idx="281">
                  <c:v>0.35664000000000001</c:v>
                </c:pt>
                <c:pt idx="282">
                  <c:v>0.34227000000000002</c:v>
                </c:pt>
                <c:pt idx="283">
                  <c:v>0.32540000000000002</c:v>
                </c:pt>
                <c:pt idx="284">
                  <c:v>0.36329</c:v>
                </c:pt>
                <c:pt idx="285">
                  <c:v>0.40184999999999998</c:v>
                </c:pt>
                <c:pt idx="286">
                  <c:v>0.43531999999999998</c:v>
                </c:pt>
                <c:pt idx="287">
                  <c:v>0.43962000000000001</c:v>
                </c:pt>
                <c:pt idx="288">
                  <c:v>0.41376000000000002</c:v>
                </c:pt>
                <c:pt idx="289">
                  <c:v>0.42281000000000002</c:v>
                </c:pt>
                <c:pt idx="290">
                  <c:v>0.35732000000000003</c:v>
                </c:pt>
                <c:pt idx="291">
                  <c:v>0.36919999999999997</c:v>
                </c:pt>
                <c:pt idx="292">
                  <c:v>0.35775000000000001</c:v>
                </c:pt>
                <c:pt idx="293">
                  <c:v>0.36713000000000001</c:v>
                </c:pt>
                <c:pt idx="294">
                  <c:v>0.35589999999999999</c:v>
                </c:pt>
                <c:pt idx="295">
                  <c:v>0.33755000000000002</c:v>
                </c:pt>
                <c:pt idx="296">
                  <c:v>0.37425999999999998</c:v>
                </c:pt>
                <c:pt idx="297">
                  <c:v>0.37010999999999999</c:v>
                </c:pt>
                <c:pt idx="298">
                  <c:v>0.36071999999999999</c:v>
                </c:pt>
                <c:pt idx="299">
                  <c:v>0.35133999999999999</c:v>
                </c:pt>
                <c:pt idx="300">
                  <c:v>0.38249</c:v>
                </c:pt>
                <c:pt idx="301">
                  <c:v>0.36342999999999998</c:v>
                </c:pt>
                <c:pt idx="302">
                  <c:v>0.35994999999999999</c:v>
                </c:pt>
                <c:pt idx="303">
                  <c:v>0.37121999999999999</c:v>
                </c:pt>
                <c:pt idx="304">
                  <c:v>0.38456000000000001</c:v>
                </c:pt>
                <c:pt idx="305">
                  <c:v>0.34623999999999999</c:v>
                </c:pt>
                <c:pt idx="306">
                  <c:v>0.33195000000000002</c:v>
                </c:pt>
                <c:pt idx="307">
                  <c:v>0.33667999999999998</c:v>
                </c:pt>
                <c:pt idx="308">
                  <c:v>0.30077999999999999</c:v>
                </c:pt>
                <c:pt idx="309">
                  <c:v>0.32213000000000003</c:v>
                </c:pt>
                <c:pt idx="310">
                  <c:v>0.32987</c:v>
                </c:pt>
                <c:pt idx="311">
                  <c:v>0.34594000000000003</c:v>
                </c:pt>
                <c:pt idx="312">
                  <c:v>0.38016</c:v>
                </c:pt>
                <c:pt idx="313">
                  <c:v>0.38275999999999999</c:v>
                </c:pt>
                <c:pt idx="314">
                  <c:v>0.40991</c:v>
                </c:pt>
                <c:pt idx="315">
                  <c:v>0.38918999999999998</c:v>
                </c:pt>
                <c:pt idx="316">
                  <c:v>0.40081</c:v>
                </c:pt>
                <c:pt idx="317">
                  <c:v>0.37275000000000003</c:v>
                </c:pt>
                <c:pt idx="318">
                  <c:v>0.3911</c:v>
                </c:pt>
                <c:pt idx="319">
                  <c:v>0.38042999999999999</c:v>
                </c:pt>
                <c:pt idx="320">
                  <c:v>0.42474000000000001</c:v>
                </c:pt>
                <c:pt idx="321">
                  <c:v>0.41354000000000002</c:v>
                </c:pt>
                <c:pt idx="322">
                  <c:v>0.40883999999999998</c:v>
                </c:pt>
                <c:pt idx="323">
                  <c:v>0.28677999999999998</c:v>
                </c:pt>
                <c:pt idx="324">
                  <c:v>0.29899999999999999</c:v>
                </c:pt>
                <c:pt idx="325">
                  <c:v>0.21745999999999999</c:v>
                </c:pt>
                <c:pt idx="326">
                  <c:v>0.21235000000000001</c:v>
                </c:pt>
                <c:pt idx="327">
                  <c:v>0.21215000000000001</c:v>
                </c:pt>
                <c:pt idx="328">
                  <c:v>0.21232999999999999</c:v>
                </c:pt>
                <c:pt idx="329">
                  <c:v>0.19877</c:v>
                </c:pt>
                <c:pt idx="330">
                  <c:v>0.22302</c:v>
                </c:pt>
                <c:pt idx="331">
                  <c:v>0.23264000000000001</c:v>
                </c:pt>
                <c:pt idx="332">
                  <c:v>0.25009999999999999</c:v>
                </c:pt>
                <c:pt idx="333">
                  <c:v>0.2329</c:v>
                </c:pt>
                <c:pt idx="334">
                  <c:v>0.1971</c:v>
                </c:pt>
                <c:pt idx="335">
                  <c:v>0.19036</c:v>
                </c:pt>
                <c:pt idx="336">
                  <c:v>0.17563999999999999</c:v>
                </c:pt>
                <c:pt idx="337">
                  <c:v>0.16020000000000001</c:v>
                </c:pt>
                <c:pt idx="338">
                  <c:v>0.13672000000000001</c:v>
                </c:pt>
                <c:pt idx="339">
                  <c:v>0.15217</c:v>
                </c:pt>
                <c:pt idx="340">
                  <c:v>0.16231000000000001</c:v>
                </c:pt>
                <c:pt idx="341">
                  <c:v>0.14443</c:v>
                </c:pt>
                <c:pt idx="342">
                  <c:v>0.15326999999999999</c:v>
                </c:pt>
                <c:pt idx="343">
                  <c:v>0.12214</c:v>
                </c:pt>
                <c:pt idx="344">
                  <c:v>0.11212999999999999</c:v>
                </c:pt>
                <c:pt idx="345">
                  <c:v>0.10899</c:v>
                </c:pt>
                <c:pt idx="346">
                  <c:v>0.10717</c:v>
                </c:pt>
                <c:pt idx="347">
                  <c:v>0.10002</c:v>
                </c:pt>
                <c:pt idx="348">
                  <c:v>0.1115</c:v>
                </c:pt>
                <c:pt idx="349">
                  <c:v>0.12071</c:v>
                </c:pt>
                <c:pt idx="350">
                  <c:v>0.12333</c:v>
                </c:pt>
                <c:pt idx="351">
                  <c:v>0.11584999999999999</c:v>
                </c:pt>
                <c:pt idx="352">
                  <c:v>9.8640000000000005E-2</c:v>
                </c:pt>
                <c:pt idx="353">
                  <c:v>7.1179999999999993E-2</c:v>
                </c:pt>
                <c:pt idx="354">
                  <c:v>6.6460000000000005E-2</c:v>
                </c:pt>
                <c:pt idx="355">
                  <c:v>5.2499999999999998E-2</c:v>
                </c:pt>
                <c:pt idx="356">
                  <c:v>5.4809999999999998E-2</c:v>
                </c:pt>
                <c:pt idx="357">
                  <c:v>4.7370000000000002E-2</c:v>
                </c:pt>
                <c:pt idx="358">
                  <c:v>4.3819999999999998E-2</c:v>
                </c:pt>
                <c:pt idx="359">
                  <c:v>4.1050000000000003E-2</c:v>
                </c:pt>
                <c:pt idx="360">
                  <c:v>4.0899999999999999E-2</c:v>
                </c:pt>
                <c:pt idx="361">
                  <c:v>3.8309999999999997E-2</c:v>
                </c:pt>
                <c:pt idx="362">
                  <c:v>3.9989999999999998E-2</c:v>
                </c:pt>
                <c:pt idx="363">
                  <c:v>4.0160000000000001E-2</c:v>
                </c:pt>
                <c:pt idx="364">
                  <c:v>3.8559999999999997E-2</c:v>
                </c:pt>
                <c:pt idx="365">
                  <c:v>4.1750000000000002E-2</c:v>
                </c:pt>
                <c:pt idx="366">
                  <c:v>4.3299999999999998E-2</c:v>
                </c:pt>
                <c:pt idx="367">
                  <c:v>3.2730000000000002E-2</c:v>
                </c:pt>
                <c:pt idx="368">
                  <c:v>3.3099999999999997E-2</c:v>
                </c:pt>
                <c:pt idx="369">
                  <c:v>3.4029999999999998E-2</c:v>
                </c:pt>
                <c:pt idx="370">
                  <c:v>3.1189999999999999E-2</c:v>
                </c:pt>
                <c:pt idx="371">
                  <c:v>2.86E-2</c:v>
                </c:pt>
                <c:pt idx="372">
                  <c:v>3.4430000000000002E-2</c:v>
                </c:pt>
                <c:pt idx="373">
                  <c:v>3.2289999999999999E-2</c:v>
                </c:pt>
                <c:pt idx="374">
                  <c:v>3.6119999999999999E-2</c:v>
                </c:pt>
                <c:pt idx="375">
                  <c:v>3.4160000000000003E-2</c:v>
                </c:pt>
                <c:pt idx="376">
                  <c:v>3.2710000000000003E-2</c:v>
                </c:pt>
                <c:pt idx="377">
                  <c:v>3.4020000000000002E-2</c:v>
                </c:pt>
                <c:pt idx="378">
                  <c:v>3.286E-2</c:v>
                </c:pt>
                <c:pt idx="379">
                  <c:v>2.9919999999999999E-2</c:v>
                </c:pt>
                <c:pt idx="380">
                  <c:v>2.6089999999999999E-2</c:v>
                </c:pt>
                <c:pt idx="381">
                  <c:v>2.5930000000000002E-2</c:v>
                </c:pt>
                <c:pt idx="382">
                  <c:v>3.024E-2</c:v>
                </c:pt>
                <c:pt idx="383">
                  <c:v>3.3459999999999997E-2</c:v>
                </c:pt>
                <c:pt idx="384">
                  <c:v>3.159E-2</c:v>
                </c:pt>
                <c:pt idx="385">
                  <c:v>3.2969999999999999E-2</c:v>
                </c:pt>
                <c:pt idx="386">
                  <c:v>3.5549999999999998E-2</c:v>
                </c:pt>
                <c:pt idx="387">
                  <c:v>2.4400000000000002E-2</c:v>
                </c:pt>
                <c:pt idx="388">
                  <c:v>2.4680000000000001E-2</c:v>
                </c:pt>
                <c:pt idx="389">
                  <c:v>1.9970000000000002E-2</c:v>
                </c:pt>
                <c:pt idx="390">
                  <c:v>1.9040000000000001E-2</c:v>
                </c:pt>
                <c:pt idx="391">
                  <c:v>1.7770000000000001E-2</c:v>
                </c:pt>
                <c:pt idx="392">
                  <c:v>1.7579999999999998E-2</c:v>
                </c:pt>
                <c:pt idx="393">
                  <c:v>1.8079999999999999E-2</c:v>
                </c:pt>
                <c:pt idx="394">
                  <c:v>1.8450000000000001E-2</c:v>
                </c:pt>
                <c:pt idx="395">
                  <c:v>1.8870000000000001E-2</c:v>
                </c:pt>
                <c:pt idx="396">
                  <c:v>1.8319999999999999E-2</c:v>
                </c:pt>
                <c:pt idx="397">
                  <c:v>1.9259999999999999E-2</c:v>
                </c:pt>
                <c:pt idx="398">
                  <c:v>1.6619999999999999E-2</c:v>
                </c:pt>
                <c:pt idx="399">
                  <c:v>1.6410000000000001E-2</c:v>
                </c:pt>
                <c:pt idx="400">
                  <c:v>1.5219999999999999E-2</c:v>
                </c:pt>
                <c:pt idx="401">
                  <c:v>1.8610000000000002E-2</c:v>
                </c:pt>
                <c:pt idx="402">
                  <c:v>1.8079999999999999E-2</c:v>
                </c:pt>
                <c:pt idx="403">
                  <c:v>1.9179999999999999E-2</c:v>
                </c:pt>
                <c:pt idx="404">
                  <c:v>1.9900000000000001E-2</c:v>
                </c:pt>
                <c:pt idx="405">
                  <c:v>2.0549999999999999E-2</c:v>
                </c:pt>
                <c:pt idx="406">
                  <c:v>1.8960000000000001E-2</c:v>
                </c:pt>
                <c:pt idx="407">
                  <c:v>1.95E-2</c:v>
                </c:pt>
                <c:pt idx="408">
                  <c:v>1.9449999999999999E-2</c:v>
                </c:pt>
                <c:pt idx="409">
                  <c:v>1.839E-2</c:v>
                </c:pt>
                <c:pt idx="410">
                  <c:v>1.8169999999999999E-2</c:v>
                </c:pt>
                <c:pt idx="411">
                  <c:v>1.7850000000000001E-2</c:v>
                </c:pt>
                <c:pt idx="412">
                  <c:v>1.7440000000000001E-2</c:v>
                </c:pt>
                <c:pt idx="413">
                  <c:v>1.77E-2</c:v>
                </c:pt>
                <c:pt idx="414">
                  <c:v>1.8079999999999999E-2</c:v>
                </c:pt>
                <c:pt idx="415">
                  <c:v>1.7600000000000001E-2</c:v>
                </c:pt>
                <c:pt idx="416">
                  <c:v>1.915E-2</c:v>
                </c:pt>
                <c:pt idx="417">
                  <c:v>1.9560000000000001E-2</c:v>
                </c:pt>
                <c:pt idx="418">
                  <c:v>1.968E-2</c:v>
                </c:pt>
                <c:pt idx="419">
                  <c:v>1.8849999999999999E-2</c:v>
                </c:pt>
                <c:pt idx="420">
                  <c:v>2.078E-2</c:v>
                </c:pt>
                <c:pt idx="421">
                  <c:v>1.932E-2</c:v>
                </c:pt>
                <c:pt idx="422">
                  <c:v>1.8630000000000001E-2</c:v>
                </c:pt>
                <c:pt idx="423">
                  <c:v>1.9599999999999999E-2</c:v>
                </c:pt>
                <c:pt idx="424">
                  <c:v>1.8880000000000001E-2</c:v>
                </c:pt>
                <c:pt idx="425">
                  <c:v>1.8720000000000001E-2</c:v>
                </c:pt>
                <c:pt idx="426">
                  <c:v>1.7659999999999999E-2</c:v>
                </c:pt>
                <c:pt idx="427">
                  <c:v>1.7749999999999998E-2</c:v>
                </c:pt>
                <c:pt idx="428">
                  <c:v>2.087E-2</c:v>
                </c:pt>
                <c:pt idx="429">
                  <c:v>2.1600000000000001E-2</c:v>
                </c:pt>
                <c:pt idx="430">
                  <c:v>2.1129999999999999E-2</c:v>
                </c:pt>
                <c:pt idx="431">
                  <c:v>1.9130000000000001E-2</c:v>
                </c:pt>
                <c:pt idx="432">
                  <c:v>1.9890000000000001E-2</c:v>
                </c:pt>
                <c:pt idx="433">
                  <c:v>1.7909999999999999E-2</c:v>
                </c:pt>
                <c:pt idx="434">
                  <c:v>1.7229999999999999E-2</c:v>
                </c:pt>
                <c:pt idx="435">
                  <c:v>1.702E-2</c:v>
                </c:pt>
                <c:pt idx="436">
                  <c:v>1.7659999999999999E-2</c:v>
                </c:pt>
                <c:pt idx="437">
                  <c:v>1.6629999999999999E-2</c:v>
                </c:pt>
                <c:pt idx="438">
                  <c:v>1.6410000000000001E-2</c:v>
                </c:pt>
                <c:pt idx="439">
                  <c:v>1.6709999999999999E-2</c:v>
                </c:pt>
                <c:pt idx="440">
                  <c:v>1.6920000000000001E-2</c:v>
                </c:pt>
                <c:pt idx="441">
                  <c:v>1.5869999999999999E-2</c:v>
                </c:pt>
                <c:pt idx="442">
                  <c:v>1.6539999999999999E-2</c:v>
                </c:pt>
                <c:pt idx="443">
                  <c:v>1.7239999999999998E-2</c:v>
                </c:pt>
                <c:pt idx="444">
                  <c:v>1.559E-2</c:v>
                </c:pt>
                <c:pt idx="445">
                  <c:v>1.5699999999999999E-2</c:v>
                </c:pt>
                <c:pt idx="446">
                  <c:v>1.436E-2</c:v>
                </c:pt>
                <c:pt idx="447">
                  <c:v>1.5480000000000001E-2</c:v>
                </c:pt>
                <c:pt idx="448">
                  <c:v>1.3429999999999999E-2</c:v>
                </c:pt>
                <c:pt idx="449">
                  <c:v>1.222E-2</c:v>
                </c:pt>
                <c:pt idx="450">
                  <c:v>1.273E-2</c:v>
                </c:pt>
                <c:pt idx="451">
                  <c:v>1.3679999999999999E-2</c:v>
                </c:pt>
                <c:pt idx="452">
                  <c:v>1.414E-2</c:v>
                </c:pt>
                <c:pt idx="453">
                  <c:v>1.374E-2</c:v>
                </c:pt>
                <c:pt idx="454">
                  <c:v>1.3849999999999999E-2</c:v>
                </c:pt>
                <c:pt idx="455">
                  <c:v>1.383E-2</c:v>
                </c:pt>
                <c:pt idx="456">
                  <c:v>1.506E-2</c:v>
                </c:pt>
                <c:pt idx="457">
                  <c:v>1.5820000000000001E-2</c:v>
                </c:pt>
                <c:pt idx="458">
                  <c:v>1.652E-2</c:v>
                </c:pt>
                <c:pt idx="459">
                  <c:v>1.7270000000000001E-2</c:v>
                </c:pt>
                <c:pt idx="460">
                  <c:v>1.7670000000000002E-2</c:v>
                </c:pt>
                <c:pt idx="461">
                  <c:v>1.7010000000000001E-2</c:v>
                </c:pt>
                <c:pt idx="462">
                  <c:v>1.7350000000000001E-2</c:v>
                </c:pt>
                <c:pt idx="463">
                  <c:v>1.6330000000000001E-2</c:v>
                </c:pt>
                <c:pt idx="464">
                  <c:v>1.559E-2</c:v>
                </c:pt>
                <c:pt idx="465">
                  <c:v>1.6240000000000001E-2</c:v>
                </c:pt>
                <c:pt idx="466">
                  <c:v>1.6879999999999999E-2</c:v>
                </c:pt>
                <c:pt idx="467">
                  <c:v>1.6729999999999998E-2</c:v>
                </c:pt>
                <c:pt idx="468">
                  <c:v>1.6219999999999998E-2</c:v>
                </c:pt>
                <c:pt idx="469">
                  <c:v>1.7180000000000001E-2</c:v>
                </c:pt>
                <c:pt idx="470">
                  <c:v>1.712E-2</c:v>
                </c:pt>
                <c:pt idx="471">
                  <c:v>1.7680000000000001E-2</c:v>
                </c:pt>
                <c:pt idx="472">
                  <c:v>1.7850000000000001E-2</c:v>
                </c:pt>
                <c:pt idx="473">
                  <c:v>1.78E-2</c:v>
                </c:pt>
                <c:pt idx="474">
                  <c:v>1.72E-2</c:v>
                </c:pt>
                <c:pt idx="475">
                  <c:v>1.7049999999999999E-2</c:v>
                </c:pt>
                <c:pt idx="476">
                  <c:v>1.6619999999999999E-2</c:v>
                </c:pt>
                <c:pt idx="477">
                  <c:v>1.695E-2</c:v>
                </c:pt>
                <c:pt idx="478">
                  <c:v>1.7160000000000002E-2</c:v>
                </c:pt>
                <c:pt idx="479">
                  <c:v>1.8839999999999999E-2</c:v>
                </c:pt>
                <c:pt idx="480">
                  <c:v>1.8579999999999999E-2</c:v>
                </c:pt>
                <c:pt idx="481">
                  <c:v>1.8489999999999999E-2</c:v>
                </c:pt>
                <c:pt idx="482">
                  <c:v>1.8190000000000001E-2</c:v>
                </c:pt>
                <c:pt idx="483">
                  <c:v>1.898E-2</c:v>
                </c:pt>
                <c:pt idx="484">
                  <c:v>2.0140000000000002E-2</c:v>
                </c:pt>
                <c:pt idx="485">
                  <c:v>1.9619999999999999E-2</c:v>
                </c:pt>
                <c:pt idx="486">
                  <c:v>1.8839999999999999E-2</c:v>
                </c:pt>
                <c:pt idx="487">
                  <c:v>1.8749999999999999E-2</c:v>
                </c:pt>
                <c:pt idx="488">
                  <c:v>1.883E-2</c:v>
                </c:pt>
                <c:pt idx="489">
                  <c:v>1.9120000000000002E-2</c:v>
                </c:pt>
                <c:pt idx="490">
                  <c:v>1.8950000000000002E-2</c:v>
                </c:pt>
                <c:pt idx="491">
                  <c:v>1.7690000000000001E-2</c:v>
                </c:pt>
                <c:pt idx="492">
                  <c:v>1.959E-2</c:v>
                </c:pt>
                <c:pt idx="493">
                  <c:v>1.881E-2</c:v>
                </c:pt>
                <c:pt idx="494">
                  <c:v>2.188E-2</c:v>
                </c:pt>
                <c:pt idx="495">
                  <c:v>2.0879999999999999E-2</c:v>
                </c:pt>
                <c:pt idx="496">
                  <c:v>2.103E-2</c:v>
                </c:pt>
                <c:pt idx="497">
                  <c:v>2.044E-2</c:v>
                </c:pt>
                <c:pt idx="498">
                  <c:v>1.9810000000000001E-2</c:v>
                </c:pt>
                <c:pt idx="499">
                  <c:v>2.0449999999999999E-2</c:v>
                </c:pt>
                <c:pt idx="500">
                  <c:v>2.009E-2</c:v>
                </c:pt>
                <c:pt idx="501">
                  <c:v>1.976E-2</c:v>
                </c:pt>
                <c:pt idx="502">
                  <c:v>2.0979999999999999E-2</c:v>
                </c:pt>
                <c:pt idx="503">
                  <c:v>2.1069999999999998E-2</c:v>
                </c:pt>
                <c:pt idx="504">
                  <c:v>2.0379999999999999E-2</c:v>
                </c:pt>
                <c:pt idx="505">
                  <c:v>2.0049999999999998E-2</c:v>
                </c:pt>
                <c:pt idx="506">
                  <c:v>1.821E-2</c:v>
                </c:pt>
                <c:pt idx="507">
                  <c:v>1.8800000000000001E-2</c:v>
                </c:pt>
                <c:pt idx="508">
                  <c:v>1.8679999999999999E-2</c:v>
                </c:pt>
                <c:pt idx="509">
                  <c:v>1.797E-2</c:v>
                </c:pt>
                <c:pt idx="510">
                  <c:v>1.924E-2</c:v>
                </c:pt>
                <c:pt idx="511">
                  <c:v>1.908E-2</c:v>
                </c:pt>
                <c:pt idx="512">
                  <c:v>2.3429999999999999E-2</c:v>
                </c:pt>
                <c:pt idx="513">
                  <c:v>2.5479999999999999E-2</c:v>
                </c:pt>
                <c:pt idx="514">
                  <c:v>2.6519999999999998E-2</c:v>
                </c:pt>
                <c:pt idx="515">
                  <c:v>2.7179999999999999E-2</c:v>
                </c:pt>
                <c:pt idx="516">
                  <c:v>2.7529999999999999E-2</c:v>
                </c:pt>
                <c:pt idx="517">
                  <c:v>2.6839999999999999E-2</c:v>
                </c:pt>
                <c:pt idx="518">
                  <c:v>2.579E-2</c:v>
                </c:pt>
                <c:pt idx="519">
                  <c:v>2.7390000000000001E-2</c:v>
                </c:pt>
                <c:pt idx="520">
                  <c:v>2.5700000000000001E-2</c:v>
                </c:pt>
                <c:pt idx="521">
                  <c:v>2.794E-2</c:v>
                </c:pt>
                <c:pt idx="522">
                  <c:v>2.53E-2</c:v>
                </c:pt>
                <c:pt idx="523">
                  <c:v>2.615E-2</c:v>
                </c:pt>
                <c:pt idx="524">
                  <c:v>2.477E-2</c:v>
                </c:pt>
                <c:pt idx="525">
                  <c:v>2.6669999999999999E-2</c:v>
                </c:pt>
                <c:pt idx="526">
                  <c:v>2.479E-2</c:v>
                </c:pt>
                <c:pt idx="527">
                  <c:v>2.674E-2</c:v>
                </c:pt>
                <c:pt idx="528">
                  <c:v>2.8740000000000002E-2</c:v>
                </c:pt>
                <c:pt idx="529">
                  <c:v>3.014E-2</c:v>
                </c:pt>
                <c:pt idx="530">
                  <c:v>3.005E-2</c:v>
                </c:pt>
                <c:pt idx="531">
                  <c:v>2.8199999999999999E-2</c:v>
                </c:pt>
                <c:pt idx="532">
                  <c:v>2.7150000000000001E-2</c:v>
                </c:pt>
                <c:pt idx="533">
                  <c:v>2.528E-2</c:v>
                </c:pt>
                <c:pt idx="534">
                  <c:v>2.3029999999999998E-2</c:v>
                </c:pt>
                <c:pt idx="535">
                  <c:v>2.4490000000000001E-2</c:v>
                </c:pt>
                <c:pt idx="536">
                  <c:v>2.2679999999999999E-2</c:v>
                </c:pt>
                <c:pt idx="537">
                  <c:v>2.2870000000000001E-2</c:v>
                </c:pt>
                <c:pt idx="538">
                  <c:v>2.1350000000000001E-2</c:v>
                </c:pt>
                <c:pt idx="539">
                  <c:v>2.1760000000000002E-2</c:v>
                </c:pt>
                <c:pt idx="540">
                  <c:v>2.1299999999999999E-2</c:v>
                </c:pt>
                <c:pt idx="541">
                  <c:v>2.0670000000000001E-2</c:v>
                </c:pt>
                <c:pt idx="542">
                  <c:v>2.043E-2</c:v>
                </c:pt>
                <c:pt idx="543">
                  <c:v>2.002E-2</c:v>
                </c:pt>
                <c:pt idx="544">
                  <c:v>2.1090000000000001E-2</c:v>
                </c:pt>
                <c:pt idx="545">
                  <c:v>2.0250000000000001E-2</c:v>
                </c:pt>
                <c:pt idx="546">
                  <c:v>2.0410000000000001E-2</c:v>
                </c:pt>
                <c:pt idx="547">
                  <c:v>2.034E-2</c:v>
                </c:pt>
                <c:pt idx="548">
                  <c:v>2.0469999999999999E-2</c:v>
                </c:pt>
                <c:pt idx="549">
                  <c:v>1.9949999999999999E-2</c:v>
                </c:pt>
                <c:pt idx="550">
                  <c:v>2.0719999999999999E-2</c:v>
                </c:pt>
                <c:pt idx="551">
                  <c:v>2.0910000000000002E-2</c:v>
                </c:pt>
                <c:pt idx="552">
                  <c:v>2.0619999999999999E-2</c:v>
                </c:pt>
                <c:pt idx="553">
                  <c:v>2.1100000000000001E-2</c:v>
                </c:pt>
                <c:pt idx="554">
                  <c:v>2.1219999999999999E-2</c:v>
                </c:pt>
                <c:pt idx="555">
                  <c:v>2.128E-2</c:v>
                </c:pt>
                <c:pt idx="556">
                  <c:v>2.1600000000000001E-2</c:v>
                </c:pt>
                <c:pt idx="557">
                  <c:v>2.1260000000000001E-2</c:v>
                </c:pt>
                <c:pt idx="558">
                  <c:v>2.1440000000000001E-2</c:v>
                </c:pt>
                <c:pt idx="559">
                  <c:v>2.1139999999999999E-2</c:v>
                </c:pt>
                <c:pt idx="560">
                  <c:v>2.0910000000000002E-2</c:v>
                </c:pt>
                <c:pt idx="561">
                  <c:v>2.223E-2</c:v>
                </c:pt>
                <c:pt idx="562">
                  <c:v>2.2380000000000001E-2</c:v>
                </c:pt>
                <c:pt idx="563">
                  <c:v>2.2349999999999998E-2</c:v>
                </c:pt>
                <c:pt idx="564">
                  <c:v>2.1219999999999999E-2</c:v>
                </c:pt>
                <c:pt idx="565">
                  <c:v>2.1350000000000001E-2</c:v>
                </c:pt>
                <c:pt idx="566">
                  <c:v>2.1149999999999999E-2</c:v>
                </c:pt>
                <c:pt idx="567">
                  <c:v>2.0639999999999999E-2</c:v>
                </c:pt>
                <c:pt idx="568">
                  <c:v>2.164E-2</c:v>
                </c:pt>
                <c:pt idx="569">
                  <c:v>2.01E-2</c:v>
                </c:pt>
                <c:pt idx="570">
                  <c:v>1.992E-2</c:v>
                </c:pt>
                <c:pt idx="571">
                  <c:v>1.908E-2</c:v>
                </c:pt>
                <c:pt idx="572">
                  <c:v>1.9550000000000001E-2</c:v>
                </c:pt>
                <c:pt idx="573">
                  <c:v>1.9230000000000001E-2</c:v>
                </c:pt>
                <c:pt idx="574">
                  <c:v>1.8859999999999998E-2</c:v>
                </c:pt>
                <c:pt idx="575">
                  <c:v>1.8689999999999998E-2</c:v>
                </c:pt>
                <c:pt idx="576">
                  <c:v>1.8950000000000002E-2</c:v>
                </c:pt>
                <c:pt idx="577">
                  <c:v>1.9630000000000002E-2</c:v>
                </c:pt>
                <c:pt idx="578">
                  <c:v>2.0029999999999999E-2</c:v>
                </c:pt>
                <c:pt idx="579">
                  <c:v>1.9349999999999999E-2</c:v>
                </c:pt>
                <c:pt idx="580">
                  <c:v>2.0809999999999999E-2</c:v>
                </c:pt>
                <c:pt idx="581">
                  <c:v>2.1569999999999999E-2</c:v>
                </c:pt>
                <c:pt idx="582">
                  <c:v>2.239E-2</c:v>
                </c:pt>
                <c:pt idx="583">
                  <c:v>2.2610000000000002E-2</c:v>
                </c:pt>
                <c:pt idx="584">
                  <c:v>2.2210000000000001E-2</c:v>
                </c:pt>
                <c:pt idx="585">
                  <c:v>2.137E-2</c:v>
                </c:pt>
                <c:pt idx="586">
                  <c:v>2.2589999999999999E-2</c:v>
                </c:pt>
                <c:pt idx="587">
                  <c:v>2.027E-2</c:v>
                </c:pt>
                <c:pt idx="588">
                  <c:v>2.0410000000000001E-2</c:v>
                </c:pt>
                <c:pt idx="589">
                  <c:v>2.0729999999999998E-2</c:v>
                </c:pt>
                <c:pt idx="590">
                  <c:v>2.06E-2</c:v>
                </c:pt>
                <c:pt idx="591">
                  <c:v>2.0400000000000001E-2</c:v>
                </c:pt>
                <c:pt idx="592">
                  <c:v>2.0559999999999998E-2</c:v>
                </c:pt>
                <c:pt idx="593">
                  <c:v>2.0660000000000001E-2</c:v>
                </c:pt>
                <c:pt idx="594">
                  <c:v>2.0469999999999999E-2</c:v>
                </c:pt>
                <c:pt idx="595">
                  <c:v>1.9619999999999999E-2</c:v>
                </c:pt>
                <c:pt idx="596">
                  <c:v>2.129E-2</c:v>
                </c:pt>
                <c:pt idx="597">
                  <c:v>2.0150000000000001E-2</c:v>
                </c:pt>
                <c:pt idx="598">
                  <c:v>2.0320000000000001E-2</c:v>
                </c:pt>
                <c:pt idx="599">
                  <c:v>2.0310000000000002E-2</c:v>
                </c:pt>
                <c:pt idx="600">
                  <c:v>2.0670000000000001E-2</c:v>
                </c:pt>
                <c:pt idx="601">
                  <c:v>2.061E-2</c:v>
                </c:pt>
                <c:pt idx="602">
                  <c:v>2.172E-2</c:v>
                </c:pt>
                <c:pt idx="603">
                  <c:v>2.164E-2</c:v>
                </c:pt>
                <c:pt idx="604">
                  <c:v>2.0809999999999999E-2</c:v>
                </c:pt>
                <c:pt idx="605">
                  <c:v>2.1780000000000001E-2</c:v>
                </c:pt>
                <c:pt idx="606">
                  <c:v>2.0480000000000002E-2</c:v>
                </c:pt>
                <c:pt idx="607">
                  <c:v>2.4119999999999999E-2</c:v>
                </c:pt>
                <c:pt idx="608">
                  <c:v>2.588E-2</c:v>
                </c:pt>
                <c:pt idx="609">
                  <c:v>2.5180000000000001E-2</c:v>
                </c:pt>
                <c:pt idx="610">
                  <c:v>2.4400000000000002E-2</c:v>
                </c:pt>
                <c:pt idx="611">
                  <c:v>2.5819999999999999E-2</c:v>
                </c:pt>
                <c:pt idx="612">
                  <c:v>2.1319999999999999E-2</c:v>
                </c:pt>
                <c:pt idx="613">
                  <c:v>1.9269999999999999E-2</c:v>
                </c:pt>
                <c:pt idx="614">
                  <c:v>2.0060000000000001E-2</c:v>
                </c:pt>
                <c:pt idx="615">
                  <c:v>2.0389999999999998E-2</c:v>
                </c:pt>
                <c:pt idx="616">
                  <c:v>1.9189999999999999E-2</c:v>
                </c:pt>
                <c:pt idx="617">
                  <c:v>2.0840000000000001E-2</c:v>
                </c:pt>
                <c:pt idx="618">
                  <c:v>2.2259999999999999E-2</c:v>
                </c:pt>
                <c:pt idx="619">
                  <c:v>2.0639999999999999E-2</c:v>
                </c:pt>
                <c:pt idx="620">
                  <c:v>2.0250000000000001E-2</c:v>
                </c:pt>
                <c:pt idx="621">
                  <c:v>1.9980000000000001E-2</c:v>
                </c:pt>
                <c:pt idx="622">
                  <c:v>1.9189999999999999E-2</c:v>
                </c:pt>
                <c:pt idx="623">
                  <c:v>2.0140000000000002E-2</c:v>
                </c:pt>
                <c:pt idx="624">
                  <c:v>2.0299999999999999E-2</c:v>
                </c:pt>
                <c:pt idx="625">
                  <c:v>1.7270000000000001E-2</c:v>
                </c:pt>
                <c:pt idx="626">
                  <c:v>1.5010000000000001E-2</c:v>
                </c:pt>
                <c:pt idx="627">
                  <c:v>1.533E-2</c:v>
                </c:pt>
                <c:pt idx="628">
                  <c:v>1.7219999999999999E-2</c:v>
                </c:pt>
                <c:pt idx="629">
                  <c:v>1.7899999999999999E-2</c:v>
                </c:pt>
                <c:pt idx="630">
                  <c:v>1.7399999999999999E-2</c:v>
                </c:pt>
                <c:pt idx="631">
                  <c:v>1.704E-2</c:v>
                </c:pt>
                <c:pt idx="632">
                  <c:v>1.6959999999999999E-2</c:v>
                </c:pt>
                <c:pt idx="633">
                  <c:v>1.6969999999999999E-2</c:v>
                </c:pt>
                <c:pt idx="634">
                  <c:v>1.711E-2</c:v>
                </c:pt>
                <c:pt idx="635">
                  <c:v>1.6910000000000001E-2</c:v>
                </c:pt>
                <c:pt idx="636">
                  <c:v>1.585E-2</c:v>
                </c:pt>
                <c:pt idx="637">
                  <c:v>1.5429999999999999E-2</c:v>
                </c:pt>
                <c:pt idx="638">
                  <c:v>1.6420000000000001E-2</c:v>
                </c:pt>
                <c:pt idx="639">
                  <c:v>1.5709999999999998E-2</c:v>
                </c:pt>
                <c:pt idx="640">
                  <c:v>1.5440000000000001E-2</c:v>
                </c:pt>
                <c:pt idx="641">
                  <c:v>1.5630000000000002E-2</c:v>
                </c:pt>
                <c:pt idx="642">
                  <c:v>1.5049999999999999E-2</c:v>
                </c:pt>
                <c:pt idx="643">
                  <c:v>1.468E-2</c:v>
                </c:pt>
                <c:pt idx="644">
                  <c:v>1.4279999999999999E-2</c:v>
                </c:pt>
                <c:pt idx="645">
                  <c:v>1.277E-2</c:v>
                </c:pt>
                <c:pt idx="646">
                  <c:v>1.1979999999999999E-2</c:v>
                </c:pt>
                <c:pt idx="647">
                  <c:v>1.201E-2</c:v>
                </c:pt>
                <c:pt idx="648">
                  <c:v>1.2869999999999999E-2</c:v>
                </c:pt>
                <c:pt idx="649">
                  <c:v>1.338E-2</c:v>
                </c:pt>
                <c:pt idx="650">
                  <c:v>1.274E-2</c:v>
                </c:pt>
                <c:pt idx="651">
                  <c:v>1.26E-2</c:v>
                </c:pt>
                <c:pt idx="652">
                  <c:v>1.1639999999999999E-2</c:v>
                </c:pt>
                <c:pt idx="653">
                  <c:v>1.208E-2</c:v>
                </c:pt>
                <c:pt idx="654">
                  <c:v>1.1990000000000001E-2</c:v>
                </c:pt>
                <c:pt idx="655">
                  <c:v>1.222E-2</c:v>
                </c:pt>
                <c:pt idx="656">
                  <c:v>1.223E-2</c:v>
                </c:pt>
                <c:pt idx="657">
                  <c:v>1.2E-2</c:v>
                </c:pt>
                <c:pt idx="658">
                  <c:v>1.35E-2</c:v>
                </c:pt>
                <c:pt idx="659">
                  <c:v>1.3729999999999999E-2</c:v>
                </c:pt>
                <c:pt idx="660">
                  <c:v>1.294E-2</c:v>
                </c:pt>
                <c:pt idx="661">
                  <c:v>1.3509999999999999E-2</c:v>
                </c:pt>
                <c:pt idx="662">
                  <c:v>1.142E-2</c:v>
                </c:pt>
                <c:pt idx="663">
                  <c:v>1.171E-2</c:v>
                </c:pt>
                <c:pt idx="664">
                  <c:v>1.158E-2</c:v>
                </c:pt>
                <c:pt idx="665">
                  <c:v>1.153E-2</c:v>
                </c:pt>
                <c:pt idx="666">
                  <c:v>1.1220000000000001E-2</c:v>
                </c:pt>
                <c:pt idx="667">
                  <c:v>1.0970000000000001E-2</c:v>
                </c:pt>
                <c:pt idx="668">
                  <c:v>1.068E-2</c:v>
                </c:pt>
                <c:pt idx="669">
                  <c:v>1.001E-2</c:v>
                </c:pt>
                <c:pt idx="670">
                  <c:v>1.0619999999999999E-2</c:v>
                </c:pt>
                <c:pt idx="671">
                  <c:v>1.076E-2</c:v>
                </c:pt>
                <c:pt idx="672">
                  <c:v>1.187E-2</c:v>
                </c:pt>
                <c:pt idx="673">
                  <c:v>1.1469999999999999E-2</c:v>
                </c:pt>
                <c:pt idx="674">
                  <c:v>1.1259999999999999E-2</c:v>
                </c:pt>
                <c:pt idx="675">
                  <c:v>1.1140000000000001E-2</c:v>
                </c:pt>
                <c:pt idx="676">
                  <c:v>1.005E-2</c:v>
                </c:pt>
                <c:pt idx="677">
                  <c:v>1.1209999999999999E-2</c:v>
                </c:pt>
                <c:pt idx="678">
                  <c:v>1.085E-2</c:v>
                </c:pt>
                <c:pt idx="679">
                  <c:v>1.1209999999999999E-2</c:v>
                </c:pt>
                <c:pt idx="680">
                  <c:v>9.1199999999999996E-3</c:v>
                </c:pt>
                <c:pt idx="681">
                  <c:v>9.2099999999999994E-3</c:v>
                </c:pt>
                <c:pt idx="682">
                  <c:v>8.1300000000000001E-3</c:v>
                </c:pt>
                <c:pt idx="683">
                  <c:v>9.8600000000000007E-3</c:v>
                </c:pt>
                <c:pt idx="684">
                  <c:v>9.8300000000000002E-3</c:v>
                </c:pt>
                <c:pt idx="685">
                  <c:v>1.0869999999999999E-2</c:v>
                </c:pt>
                <c:pt idx="686">
                  <c:v>9.1400000000000006E-3</c:v>
                </c:pt>
                <c:pt idx="687">
                  <c:v>1.899E-2</c:v>
                </c:pt>
                <c:pt idx="688">
                  <c:v>2.061E-2</c:v>
                </c:pt>
                <c:pt idx="689">
                  <c:v>2.053E-2</c:v>
                </c:pt>
                <c:pt idx="690">
                  <c:v>2.1430000000000001E-2</c:v>
                </c:pt>
                <c:pt idx="691">
                  <c:v>2.6790000000000001E-2</c:v>
                </c:pt>
                <c:pt idx="692">
                  <c:v>2.4969999999999999E-2</c:v>
                </c:pt>
                <c:pt idx="693">
                  <c:v>2.639E-2</c:v>
                </c:pt>
                <c:pt idx="694">
                  <c:v>2.511E-2</c:v>
                </c:pt>
                <c:pt idx="695">
                  <c:v>2.3439999999999999E-2</c:v>
                </c:pt>
                <c:pt idx="696">
                  <c:v>2.1440000000000001E-2</c:v>
                </c:pt>
                <c:pt idx="697">
                  <c:v>1.9349999999999999E-2</c:v>
                </c:pt>
                <c:pt idx="698">
                  <c:v>2.0150000000000001E-2</c:v>
                </c:pt>
                <c:pt idx="699">
                  <c:v>2.0199999999999999E-2</c:v>
                </c:pt>
                <c:pt idx="700">
                  <c:v>1.9619999999999999E-2</c:v>
                </c:pt>
                <c:pt idx="701">
                  <c:v>1.8409999999999999E-2</c:v>
                </c:pt>
                <c:pt idx="702">
                  <c:v>1.907E-2</c:v>
                </c:pt>
                <c:pt idx="703">
                  <c:v>2.078E-2</c:v>
                </c:pt>
                <c:pt idx="704">
                  <c:v>2.2290000000000001E-2</c:v>
                </c:pt>
                <c:pt idx="705">
                  <c:v>2.0760000000000001E-2</c:v>
                </c:pt>
                <c:pt idx="706">
                  <c:v>2.0740000000000001E-2</c:v>
                </c:pt>
                <c:pt idx="707">
                  <c:v>2.0709999999999999E-2</c:v>
                </c:pt>
                <c:pt idx="708">
                  <c:v>1.9959999999999999E-2</c:v>
                </c:pt>
                <c:pt idx="709">
                  <c:v>2.1510000000000001E-2</c:v>
                </c:pt>
                <c:pt idx="710">
                  <c:v>2.009E-2</c:v>
                </c:pt>
                <c:pt idx="711">
                  <c:v>2.0109999999999999E-2</c:v>
                </c:pt>
                <c:pt idx="712">
                  <c:v>2.0899999999999998E-2</c:v>
                </c:pt>
                <c:pt idx="713">
                  <c:v>2.3259999999999999E-2</c:v>
                </c:pt>
                <c:pt idx="714">
                  <c:v>2.2329999999999999E-2</c:v>
                </c:pt>
                <c:pt idx="715">
                  <c:v>2.2800000000000001E-2</c:v>
                </c:pt>
                <c:pt idx="716">
                  <c:v>2.29E-2</c:v>
                </c:pt>
                <c:pt idx="717">
                  <c:v>2.1590000000000002E-2</c:v>
                </c:pt>
                <c:pt idx="718">
                  <c:v>2.197E-2</c:v>
                </c:pt>
                <c:pt idx="719">
                  <c:v>2.1229999999999999E-2</c:v>
                </c:pt>
                <c:pt idx="720">
                  <c:v>2.3E-2</c:v>
                </c:pt>
                <c:pt idx="721">
                  <c:v>2.4490000000000001E-2</c:v>
                </c:pt>
                <c:pt idx="722">
                  <c:v>2.155E-2</c:v>
                </c:pt>
                <c:pt idx="723">
                  <c:v>2.0979999999999999E-2</c:v>
                </c:pt>
                <c:pt idx="724">
                  <c:v>2.1989999999999999E-2</c:v>
                </c:pt>
                <c:pt idx="725">
                  <c:v>1.9029999999999998E-2</c:v>
                </c:pt>
                <c:pt idx="726">
                  <c:v>1.8290000000000001E-2</c:v>
                </c:pt>
                <c:pt idx="727">
                  <c:v>1.7950000000000001E-2</c:v>
                </c:pt>
                <c:pt idx="728">
                  <c:v>1.8589999999999999E-2</c:v>
                </c:pt>
                <c:pt idx="729">
                  <c:v>1.704E-2</c:v>
                </c:pt>
                <c:pt idx="730">
                  <c:v>1.7139999999999999E-2</c:v>
                </c:pt>
                <c:pt idx="731">
                  <c:v>1.6899999999999998E-2</c:v>
                </c:pt>
                <c:pt idx="732">
                  <c:v>1.6449999999999999E-2</c:v>
                </c:pt>
                <c:pt idx="733">
                  <c:v>1.602E-2</c:v>
                </c:pt>
                <c:pt idx="734">
                  <c:v>1.6219999999999998E-2</c:v>
                </c:pt>
                <c:pt idx="735">
                  <c:v>1.6049999999999998E-2</c:v>
                </c:pt>
                <c:pt idx="736">
                  <c:v>1.7080000000000001E-2</c:v>
                </c:pt>
                <c:pt idx="737">
                  <c:v>1.7129999999999999E-2</c:v>
                </c:pt>
                <c:pt idx="738">
                  <c:v>1.685E-2</c:v>
                </c:pt>
                <c:pt idx="739">
                  <c:v>1.643E-2</c:v>
                </c:pt>
                <c:pt idx="740">
                  <c:v>1.7479999999999999E-2</c:v>
                </c:pt>
                <c:pt idx="741">
                  <c:v>1.8700000000000001E-2</c:v>
                </c:pt>
                <c:pt idx="742">
                  <c:v>1.6140000000000002E-2</c:v>
                </c:pt>
                <c:pt idx="743">
                  <c:v>1.6389999999999998E-2</c:v>
                </c:pt>
                <c:pt idx="744">
                  <c:v>1.5640000000000001E-2</c:v>
                </c:pt>
                <c:pt idx="745">
                  <c:v>1.5480000000000001E-2</c:v>
                </c:pt>
                <c:pt idx="746">
                  <c:v>1.4959999999999999E-2</c:v>
                </c:pt>
                <c:pt idx="747">
                  <c:v>1.4789999999999999E-2</c:v>
                </c:pt>
                <c:pt idx="748">
                  <c:v>1.486E-2</c:v>
                </c:pt>
                <c:pt idx="749">
                  <c:v>1.4590000000000001E-2</c:v>
                </c:pt>
                <c:pt idx="750">
                  <c:v>1.499E-2</c:v>
                </c:pt>
                <c:pt idx="751">
                  <c:v>1.5089999999999999E-2</c:v>
                </c:pt>
                <c:pt idx="752">
                  <c:v>1.554E-2</c:v>
                </c:pt>
                <c:pt idx="753">
                  <c:v>1.4829999999999999E-2</c:v>
                </c:pt>
                <c:pt idx="754">
                  <c:v>1.4840000000000001E-2</c:v>
                </c:pt>
                <c:pt idx="755">
                  <c:v>1.512E-2</c:v>
                </c:pt>
                <c:pt idx="756">
                  <c:v>1.4670000000000001E-2</c:v>
                </c:pt>
                <c:pt idx="757">
                  <c:v>1.4959999999999999E-2</c:v>
                </c:pt>
                <c:pt idx="758">
                  <c:v>1.379E-2</c:v>
                </c:pt>
                <c:pt idx="759">
                  <c:v>1.427E-2</c:v>
                </c:pt>
                <c:pt idx="760">
                  <c:v>1.474E-2</c:v>
                </c:pt>
                <c:pt idx="761">
                  <c:v>1.494E-2</c:v>
                </c:pt>
                <c:pt idx="762">
                  <c:v>1.5180000000000001E-2</c:v>
                </c:pt>
                <c:pt idx="763">
                  <c:v>1.566E-2</c:v>
                </c:pt>
                <c:pt idx="764">
                  <c:v>1.5640000000000001E-2</c:v>
                </c:pt>
                <c:pt idx="765">
                  <c:v>1.6129999999999999E-2</c:v>
                </c:pt>
                <c:pt idx="766">
                  <c:v>1.508E-2</c:v>
                </c:pt>
                <c:pt idx="767">
                  <c:v>1.6140000000000002E-2</c:v>
                </c:pt>
                <c:pt idx="768">
                  <c:v>1.7979999999999999E-2</c:v>
                </c:pt>
                <c:pt idx="769">
                  <c:v>1.5570000000000001E-2</c:v>
                </c:pt>
                <c:pt idx="770">
                  <c:v>1.3140000000000001E-2</c:v>
                </c:pt>
                <c:pt idx="771">
                  <c:v>1.2699999999999999E-2</c:v>
                </c:pt>
                <c:pt idx="772">
                  <c:v>1.208E-2</c:v>
                </c:pt>
                <c:pt idx="773">
                  <c:v>1.32E-2</c:v>
                </c:pt>
                <c:pt idx="774">
                  <c:v>1.422E-2</c:v>
                </c:pt>
                <c:pt idx="775">
                  <c:v>1.359E-2</c:v>
                </c:pt>
                <c:pt idx="776">
                  <c:v>1.6029999999999999E-2</c:v>
                </c:pt>
                <c:pt idx="777">
                  <c:v>1.5720000000000001E-2</c:v>
                </c:pt>
                <c:pt idx="778">
                  <c:v>1.7940000000000001E-2</c:v>
                </c:pt>
                <c:pt idx="779">
                  <c:v>1.7250000000000001E-2</c:v>
                </c:pt>
                <c:pt idx="780">
                  <c:v>3.4250000000000003E-2</c:v>
                </c:pt>
                <c:pt idx="781">
                  <c:v>4.1500000000000002E-2</c:v>
                </c:pt>
                <c:pt idx="782">
                  <c:v>3.8890000000000001E-2</c:v>
                </c:pt>
                <c:pt idx="783">
                  <c:v>4.1360000000000001E-2</c:v>
                </c:pt>
                <c:pt idx="784">
                  <c:v>3.3160000000000002E-2</c:v>
                </c:pt>
                <c:pt idx="785">
                  <c:v>3.1800000000000002E-2</c:v>
                </c:pt>
                <c:pt idx="786">
                  <c:v>2.9149999999999999E-2</c:v>
                </c:pt>
                <c:pt idx="787">
                  <c:v>2.6370000000000001E-2</c:v>
                </c:pt>
                <c:pt idx="788">
                  <c:v>2.6610000000000002E-2</c:v>
                </c:pt>
                <c:pt idx="789">
                  <c:v>2.8899999999999999E-2</c:v>
                </c:pt>
                <c:pt idx="790">
                  <c:v>2.4510000000000001E-2</c:v>
                </c:pt>
                <c:pt idx="791">
                  <c:v>2.2669999999999999E-2</c:v>
                </c:pt>
                <c:pt idx="792">
                  <c:v>2.4590000000000001E-2</c:v>
                </c:pt>
                <c:pt idx="793">
                  <c:v>2.171E-2</c:v>
                </c:pt>
                <c:pt idx="794">
                  <c:v>2.094E-2</c:v>
                </c:pt>
                <c:pt idx="795">
                  <c:v>1.515E-2</c:v>
                </c:pt>
                <c:pt idx="796">
                  <c:v>1.6619999999999999E-2</c:v>
                </c:pt>
                <c:pt idx="797">
                  <c:v>1.4030000000000001E-2</c:v>
                </c:pt>
                <c:pt idx="798">
                  <c:v>1.4250000000000001E-2</c:v>
                </c:pt>
                <c:pt idx="799">
                  <c:v>1.434E-2</c:v>
                </c:pt>
                <c:pt idx="800">
                  <c:v>1.4840000000000001E-2</c:v>
                </c:pt>
                <c:pt idx="801">
                  <c:v>1.404E-2</c:v>
                </c:pt>
                <c:pt idx="802">
                  <c:v>1.4319999999999999E-2</c:v>
                </c:pt>
                <c:pt idx="803">
                  <c:v>1.4449999999999999E-2</c:v>
                </c:pt>
                <c:pt idx="804">
                  <c:v>1.3809999999999999E-2</c:v>
                </c:pt>
                <c:pt idx="805">
                  <c:v>1.443E-2</c:v>
                </c:pt>
                <c:pt idx="806">
                  <c:v>1.4930000000000001E-2</c:v>
                </c:pt>
                <c:pt idx="807">
                  <c:v>1.487E-2</c:v>
                </c:pt>
                <c:pt idx="808">
                  <c:v>1.541E-2</c:v>
                </c:pt>
                <c:pt idx="809">
                  <c:v>1.5709999999999998E-2</c:v>
                </c:pt>
                <c:pt idx="810">
                  <c:v>1.491E-2</c:v>
                </c:pt>
                <c:pt idx="811">
                  <c:v>1.4319999999999999E-2</c:v>
                </c:pt>
                <c:pt idx="812">
                  <c:v>1.512E-2</c:v>
                </c:pt>
                <c:pt idx="813">
                  <c:v>1.447E-2</c:v>
                </c:pt>
                <c:pt idx="814">
                  <c:v>1.47E-2</c:v>
                </c:pt>
                <c:pt idx="815">
                  <c:v>1.4319999999999999E-2</c:v>
                </c:pt>
                <c:pt idx="816">
                  <c:v>1.354E-2</c:v>
                </c:pt>
                <c:pt idx="817">
                  <c:v>1.353E-2</c:v>
                </c:pt>
                <c:pt idx="818">
                  <c:v>1.3769999999999999E-2</c:v>
                </c:pt>
                <c:pt idx="819">
                  <c:v>1.3599999999999999E-2</c:v>
                </c:pt>
                <c:pt idx="820">
                  <c:v>1.34E-2</c:v>
                </c:pt>
                <c:pt idx="821">
                  <c:v>1.409E-2</c:v>
                </c:pt>
                <c:pt idx="822">
                  <c:v>1.3979999999999999E-2</c:v>
                </c:pt>
                <c:pt idx="823">
                  <c:v>1.4019999999999999E-2</c:v>
                </c:pt>
                <c:pt idx="824">
                  <c:v>1.3480000000000001E-2</c:v>
                </c:pt>
                <c:pt idx="825">
                  <c:v>1.435E-2</c:v>
                </c:pt>
                <c:pt idx="826">
                  <c:v>1.338E-2</c:v>
                </c:pt>
                <c:pt idx="827">
                  <c:v>1.3259999999999999E-2</c:v>
                </c:pt>
                <c:pt idx="828">
                  <c:v>1.443E-2</c:v>
                </c:pt>
                <c:pt idx="829">
                  <c:v>1.491E-2</c:v>
                </c:pt>
                <c:pt idx="830">
                  <c:v>1.376E-2</c:v>
                </c:pt>
                <c:pt idx="831">
                  <c:v>1.376E-2</c:v>
                </c:pt>
                <c:pt idx="832">
                  <c:v>1.3339999999999999E-2</c:v>
                </c:pt>
                <c:pt idx="833">
                  <c:v>1.4250000000000001E-2</c:v>
                </c:pt>
                <c:pt idx="834">
                  <c:v>1.3860000000000001E-2</c:v>
                </c:pt>
                <c:pt idx="835">
                  <c:v>1.4370000000000001E-2</c:v>
                </c:pt>
                <c:pt idx="836">
                  <c:v>1.5219999999999999E-2</c:v>
                </c:pt>
                <c:pt idx="837">
                  <c:v>1.494E-2</c:v>
                </c:pt>
                <c:pt idx="838">
                  <c:v>1.555E-2</c:v>
                </c:pt>
                <c:pt idx="839">
                  <c:v>1.5800000000000002E-2</c:v>
                </c:pt>
                <c:pt idx="840">
                  <c:v>1.61E-2</c:v>
                </c:pt>
                <c:pt idx="841">
                  <c:v>1.444E-2</c:v>
                </c:pt>
                <c:pt idx="842">
                  <c:v>1.244E-2</c:v>
                </c:pt>
                <c:pt idx="843">
                  <c:v>1.091E-2</c:v>
                </c:pt>
                <c:pt idx="844">
                  <c:v>1.0160000000000001E-2</c:v>
                </c:pt>
                <c:pt idx="845">
                  <c:v>1.048E-2</c:v>
                </c:pt>
                <c:pt idx="846">
                  <c:v>1.055E-2</c:v>
                </c:pt>
                <c:pt idx="847">
                  <c:v>1.0540000000000001E-2</c:v>
                </c:pt>
                <c:pt idx="848">
                  <c:v>1.081E-2</c:v>
                </c:pt>
                <c:pt idx="849">
                  <c:v>1.069E-2</c:v>
                </c:pt>
                <c:pt idx="850">
                  <c:v>1.09E-2</c:v>
                </c:pt>
                <c:pt idx="851">
                  <c:v>1.0869999999999999E-2</c:v>
                </c:pt>
                <c:pt idx="852">
                  <c:v>1.1209999999999999E-2</c:v>
                </c:pt>
                <c:pt idx="853">
                  <c:v>1.082E-2</c:v>
                </c:pt>
                <c:pt idx="854">
                  <c:v>1.059E-2</c:v>
                </c:pt>
                <c:pt idx="855">
                  <c:v>1.098E-2</c:v>
                </c:pt>
                <c:pt idx="856">
                  <c:v>1.0880000000000001E-2</c:v>
                </c:pt>
                <c:pt idx="857">
                  <c:v>1.2239999999999999E-2</c:v>
                </c:pt>
                <c:pt idx="858">
                  <c:v>1.252E-2</c:v>
                </c:pt>
                <c:pt idx="859">
                  <c:v>1.3310000000000001E-2</c:v>
                </c:pt>
                <c:pt idx="860">
                  <c:v>1.363E-2</c:v>
                </c:pt>
                <c:pt idx="861">
                  <c:v>1.366E-2</c:v>
                </c:pt>
                <c:pt idx="862">
                  <c:v>1.4319999999999999E-2</c:v>
                </c:pt>
                <c:pt idx="863">
                  <c:v>1.3480000000000001E-2</c:v>
                </c:pt>
                <c:pt idx="864">
                  <c:v>1.29E-2</c:v>
                </c:pt>
                <c:pt idx="865">
                  <c:v>1.2829999999999999E-2</c:v>
                </c:pt>
                <c:pt idx="866">
                  <c:v>1.3050000000000001E-2</c:v>
                </c:pt>
                <c:pt idx="867">
                  <c:v>1.2930000000000001E-2</c:v>
                </c:pt>
                <c:pt idx="868">
                  <c:v>1.2959999999999999E-2</c:v>
                </c:pt>
                <c:pt idx="869">
                  <c:v>1.3100000000000001E-2</c:v>
                </c:pt>
                <c:pt idx="870">
                  <c:v>1.35E-2</c:v>
                </c:pt>
                <c:pt idx="871">
                  <c:v>1.41E-2</c:v>
                </c:pt>
                <c:pt idx="872">
                  <c:v>1.387E-2</c:v>
                </c:pt>
                <c:pt idx="873">
                  <c:v>1.379E-2</c:v>
                </c:pt>
                <c:pt idx="874">
                  <c:v>1.358E-2</c:v>
                </c:pt>
                <c:pt idx="875">
                  <c:v>1.487E-2</c:v>
                </c:pt>
                <c:pt idx="876">
                  <c:v>1.41E-2</c:v>
                </c:pt>
                <c:pt idx="877">
                  <c:v>1.4330000000000001E-2</c:v>
                </c:pt>
                <c:pt idx="878">
                  <c:v>1.3780000000000001E-2</c:v>
                </c:pt>
                <c:pt idx="879">
                  <c:v>1.217E-2</c:v>
                </c:pt>
                <c:pt idx="880">
                  <c:v>1.1769999999999999E-2</c:v>
                </c:pt>
                <c:pt idx="881">
                  <c:v>1.2319999999999999E-2</c:v>
                </c:pt>
                <c:pt idx="882">
                  <c:v>1.1679999999999999E-2</c:v>
                </c:pt>
                <c:pt idx="883">
                  <c:v>1.291E-2</c:v>
                </c:pt>
                <c:pt idx="884">
                  <c:v>1.4160000000000001E-2</c:v>
                </c:pt>
                <c:pt idx="885">
                  <c:v>1.392E-2</c:v>
                </c:pt>
                <c:pt idx="886">
                  <c:v>1.3729999999999999E-2</c:v>
                </c:pt>
                <c:pt idx="887">
                  <c:v>1.4829999999999999E-2</c:v>
                </c:pt>
                <c:pt idx="888">
                  <c:v>1.5339999999999999E-2</c:v>
                </c:pt>
                <c:pt idx="889">
                  <c:v>1.6719999999999999E-2</c:v>
                </c:pt>
                <c:pt idx="890">
                  <c:v>1.5469999999999999E-2</c:v>
                </c:pt>
                <c:pt idx="891">
                  <c:v>1.5779999999999999E-2</c:v>
                </c:pt>
                <c:pt idx="892">
                  <c:v>1.542E-2</c:v>
                </c:pt>
                <c:pt idx="893">
                  <c:v>1.3899999999999999E-2</c:v>
                </c:pt>
                <c:pt idx="894">
                  <c:v>1.417E-2</c:v>
                </c:pt>
                <c:pt idx="895">
                  <c:v>1.3299999999999999E-2</c:v>
                </c:pt>
                <c:pt idx="896">
                  <c:v>1.455E-2</c:v>
                </c:pt>
                <c:pt idx="897">
                  <c:v>1.4749999999999999E-2</c:v>
                </c:pt>
                <c:pt idx="898">
                  <c:v>1.6820000000000002E-2</c:v>
                </c:pt>
                <c:pt idx="899">
                  <c:v>1.6910000000000001E-2</c:v>
                </c:pt>
                <c:pt idx="900">
                  <c:v>1.6029999999999999E-2</c:v>
                </c:pt>
                <c:pt idx="901">
                  <c:v>1.4970000000000001E-2</c:v>
                </c:pt>
                <c:pt idx="902">
                  <c:v>1.218E-2</c:v>
                </c:pt>
                <c:pt idx="903">
                  <c:v>1.453E-2</c:v>
                </c:pt>
                <c:pt idx="904">
                  <c:v>1.6660000000000001E-2</c:v>
                </c:pt>
                <c:pt idx="905">
                  <c:v>1.5310000000000001E-2</c:v>
                </c:pt>
                <c:pt idx="906">
                  <c:v>1.1690000000000001E-2</c:v>
                </c:pt>
                <c:pt idx="907">
                  <c:v>1.022E-2</c:v>
                </c:pt>
                <c:pt idx="908">
                  <c:v>1.0619999999999999E-2</c:v>
                </c:pt>
                <c:pt idx="909">
                  <c:v>1.1089999999999999E-2</c:v>
                </c:pt>
                <c:pt idx="910">
                  <c:v>1.0619999999999999E-2</c:v>
                </c:pt>
                <c:pt idx="911">
                  <c:v>1.1310000000000001E-2</c:v>
                </c:pt>
                <c:pt idx="912">
                  <c:v>1.157E-2</c:v>
                </c:pt>
                <c:pt idx="913">
                  <c:v>1.133E-2</c:v>
                </c:pt>
                <c:pt idx="914">
                  <c:v>1.179E-2</c:v>
                </c:pt>
                <c:pt idx="915">
                  <c:v>1.1979999999999999E-2</c:v>
                </c:pt>
                <c:pt idx="916">
                  <c:v>1.277E-2</c:v>
                </c:pt>
                <c:pt idx="917">
                  <c:v>1.218E-2</c:v>
                </c:pt>
                <c:pt idx="918">
                  <c:v>1.193E-2</c:v>
                </c:pt>
                <c:pt idx="919">
                  <c:v>1.154E-2</c:v>
                </c:pt>
                <c:pt idx="920">
                  <c:v>1.272E-2</c:v>
                </c:pt>
                <c:pt idx="921">
                  <c:v>1.345E-2</c:v>
                </c:pt>
                <c:pt idx="922">
                  <c:v>1.3899999999999999E-2</c:v>
                </c:pt>
                <c:pt idx="923">
                  <c:v>1.337E-2</c:v>
                </c:pt>
                <c:pt idx="924">
                  <c:v>1.362E-2</c:v>
                </c:pt>
                <c:pt idx="925">
                  <c:v>1.316E-2</c:v>
                </c:pt>
                <c:pt idx="926">
                  <c:v>1.206E-2</c:v>
                </c:pt>
                <c:pt idx="927">
                  <c:v>1.3860000000000001E-2</c:v>
                </c:pt>
                <c:pt idx="928">
                  <c:v>1.431E-2</c:v>
                </c:pt>
                <c:pt idx="929">
                  <c:v>1.6619999999999999E-2</c:v>
                </c:pt>
                <c:pt idx="930">
                  <c:v>1.5699999999999999E-2</c:v>
                </c:pt>
                <c:pt idx="931">
                  <c:v>1.4420000000000001E-2</c:v>
                </c:pt>
                <c:pt idx="932">
                  <c:v>1.61E-2</c:v>
                </c:pt>
                <c:pt idx="933">
                  <c:v>1.6219999999999998E-2</c:v>
                </c:pt>
                <c:pt idx="934">
                  <c:v>1.6639999999999999E-2</c:v>
                </c:pt>
                <c:pt idx="935">
                  <c:v>1.7590000000000001E-2</c:v>
                </c:pt>
                <c:pt idx="936">
                  <c:v>1.7680000000000001E-2</c:v>
                </c:pt>
                <c:pt idx="937">
                  <c:v>1.8110000000000001E-2</c:v>
                </c:pt>
                <c:pt idx="938">
                  <c:v>1.797E-2</c:v>
                </c:pt>
                <c:pt idx="939">
                  <c:v>1.9300000000000001E-2</c:v>
                </c:pt>
                <c:pt idx="940">
                  <c:v>2.002E-2</c:v>
                </c:pt>
                <c:pt idx="941">
                  <c:v>2.2380000000000001E-2</c:v>
                </c:pt>
                <c:pt idx="942">
                  <c:v>2.2169999999999999E-2</c:v>
                </c:pt>
                <c:pt idx="943">
                  <c:v>2.4119999999999999E-2</c:v>
                </c:pt>
                <c:pt idx="944">
                  <c:v>1.9199999999999998E-2</c:v>
                </c:pt>
                <c:pt idx="945">
                  <c:v>1.942E-2</c:v>
                </c:pt>
                <c:pt idx="946">
                  <c:v>1.7950000000000001E-2</c:v>
                </c:pt>
                <c:pt idx="947">
                  <c:v>1.9199999999999998E-2</c:v>
                </c:pt>
                <c:pt idx="948">
                  <c:v>2.0719999999999999E-2</c:v>
                </c:pt>
                <c:pt idx="949">
                  <c:v>2.104E-2</c:v>
                </c:pt>
                <c:pt idx="950">
                  <c:v>2.1940000000000001E-2</c:v>
                </c:pt>
                <c:pt idx="951">
                  <c:v>2.1000000000000001E-2</c:v>
                </c:pt>
                <c:pt idx="952">
                  <c:v>2.2409999999999999E-2</c:v>
                </c:pt>
                <c:pt idx="953">
                  <c:v>2.3089999999999999E-2</c:v>
                </c:pt>
                <c:pt idx="954">
                  <c:v>2.247E-2</c:v>
                </c:pt>
                <c:pt idx="955">
                  <c:v>2.1749999999999999E-2</c:v>
                </c:pt>
                <c:pt idx="956">
                  <c:v>2.24E-2</c:v>
                </c:pt>
                <c:pt idx="957">
                  <c:v>2.179E-2</c:v>
                </c:pt>
                <c:pt idx="958">
                  <c:v>2.0549999999999999E-2</c:v>
                </c:pt>
                <c:pt idx="959">
                  <c:v>2.3099999999999999E-2</c:v>
                </c:pt>
                <c:pt idx="960">
                  <c:v>2.3050000000000001E-2</c:v>
                </c:pt>
                <c:pt idx="961">
                  <c:v>2.3900000000000001E-2</c:v>
                </c:pt>
                <c:pt idx="962">
                  <c:v>2.6980000000000001E-2</c:v>
                </c:pt>
                <c:pt idx="963">
                  <c:v>2.537E-2</c:v>
                </c:pt>
                <c:pt idx="964">
                  <c:v>2.5829999999999999E-2</c:v>
                </c:pt>
                <c:pt idx="965">
                  <c:v>2.426E-2</c:v>
                </c:pt>
                <c:pt idx="966">
                  <c:v>2.3609999999999999E-2</c:v>
                </c:pt>
                <c:pt idx="967">
                  <c:v>2.2849999999999999E-2</c:v>
                </c:pt>
                <c:pt idx="968">
                  <c:v>2.1389999999999999E-2</c:v>
                </c:pt>
                <c:pt idx="969">
                  <c:v>1.9109999999999999E-2</c:v>
                </c:pt>
                <c:pt idx="970">
                  <c:v>2.0119999999999999E-2</c:v>
                </c:pt>
                <c:pt idx="971">
                  <c:v>2.104E-2</c:v>
                </c:pt>
                <c:pt idx="972">
                  <c:v>2.2159999999999999E-2</c:v>
                </c:pt>
                <c:pt idx="973">
                  <c:v>1.9720000000000001E-2</c:v>
                </c:pt>
                <c:pt idx="974">
                  <c:v>2.2120000000000001E-2</c:v>
                </c:pt>
                <c:pt idx="975">
                  <c:v>2.3800000000000002E-2</c:v>
                </c:pt>
                <c:pt idx="976">
                  <c:v>2.2349999999999998E-2</c:v>
                </c:pt>
                <c:pt idx="977">
                  <c:v>2.419E-2</c:v>
                </c:pt>
                <c:pt idx="978">
                  <c:v>2.4750000000000001E-2</c:v>
                </c:pt>
                <c:pt idx="979">
                  <c:v>2.529E-2</c:v>
                </c:pt>
                <c:pt idx="980">
                  <c:v>2.7390000000000001E-2</c:v>
                </c:pt>
                <c:pt idx="981">
                  <c:v>2.2089999999999999E-2</c:v>
                </c:pt>
                <c:pt idx="982">
                  <c:v>2.9530000000000001E-2</c:v>
                </c:pt>
                <c:pt idx="983">
                  <c:v>2.9499999999999998E-2</c:v>
                </c:pt>
                <c:pt idx="984">
                  <c:v>2.018E-2</c:v>
                </c:pt>
                <c:pt idx="985">
                  <c:v>1.235E-2</c:v>
                </c:pt>
                <c:pt idx="986">
                  <c:v>1.455E-2</c:v>
                </c:pt>
                <c:pt idx="987">
                  <c:v>1.0869999999999999E-2</c:v>
                </c:pt>
                <c:pt idx="988">
                  <c:v>9.5600000000000008E-3</c:v>
                </c:pt>
                <c:pt idx="989">
                  <c:v>7.7999999999999996E-3</c:v>
                </c:pt>
                <c:pt idx="990">
                  <c:v>8.6800000000000002E-3</c:v>
                </c:pt>
                <c:pt idx="991">
                  <c:v>5.3E-3</c:v>
                </c:pt>
                <c:pt idx="992">
                  <c:v>4.5999999999999999E-3</c:v>
                </c:pt>
                <c:pt idx="993">
                  <c:v>3.7799999999999999E-3</c:v>
                </c:pt>
                <c:pt idx="994">
                  <c:v>3.14E-3</c:v>
                </c:pt>
                <c:pt idx="995">
                  <c:v>3.3300000000000001E-3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F-4AE4-AD5C-6289F615375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50.14635770868373</c:v>
                </c:pt>
                <c:pt idx="1">
                  <c:v>50.25456472574546</c:v>
                </c:pt>
                <c:pt idx="2">
                  <c:v>51.421387720492937</c:v>
                </c:pt>
                <c:pt idx="3">
                  <c:v>50.77390571043324</c:v>
                </c:pt>
                <c:pt idx="4">
                  <c:v>50.126439633327124</c:v>
                </c:pt>
                <c:pt idx="5">
                  <c:v>49.701418177209113</c:v>
                </c:pt>
                <c:pt idx="6">
                  <c:v>50.272998991875774</c:v>
                </c:pt>
                <c:pt idx="7">
                  <c:v>51.684649542414626</c:v>
                </c:pt>
                <c:pt idx="8">
                  <c:v>52.536460900747961</c:v>
                </c:pt>
                <c:pt idx="9">
                  <c:v>53.219701664071039</c:v>
                </c:pt>
                <c:pt idx="10">
                  <c:v>53.575904176182142</c:v>
                </c:pt>
                <c:pt idx="11">
                  <c:v>54.275876636386293</c:v>
                </c:pt>
                <c:pt idx="12">
                  <c:v>54.226623301463221</c:v>
                </c:pt>
                <c:pt idx="13">
                  <c:v>54.231877272375847</c:v>
                </c:pt>
                <c:pt idx="14">
                  <c:v>53.571108165190047</c:v>
                </c:pt>
                <c:pt idx="15">
                  <c:v>54.294872834065664</c:v>
                </c:pt>
                <c:pt idx="16">
                  <c:v>53.987319356773995</c:v>
                </c:pt>
                <c:pt idx="17">
                  <c:v>52.754367646000297</c:v>
                </c:pt>
                <c:pt idx="18">
                  <c:v>52.415759429556822</c:v>
                </c:pt>
                <c:pt idx="19">
                  <c:v>52.10441675955682</c:v>
                </c:pt>
                <c:pt idx="20">
                  <c:v>52.358265120475188</c:v>
                </c:pt>
                <c:pt idx="21">
                  <c:v>53.438221816385898</c:v>
                </c:pt>
                <c:pt idx="22">
                  <c:v>52.748977704997969</c:v>
                </c:pt>
                <c:pt idx="23">
                  <c:v>53.039971147747963</c:v>
                </c:pt>
                <c:pt idx="24">
                  <c:v>53.665774746914629</c:v>
                </c:pt>
                <c:pt idx="25">
                  <c:v>53.834264206155467</c:v>
                </c:pt>
                <c:pt idx="26">
                  <c:v>53.761230326176737</c:v>
                </c:pt>
                <c:pt idx="27">
                  <c:v>53.576927377079649</c:v>
                </c:pt>
                <c:pt idx="28">
                  <c:v>53.865579551435872</c:v>
                </c:pt>
                <c:pt idx="29">
                  <c:v>53.301871131490515</c:v>
                </c:pt>
                <c:pt idx="30">
                  <c:v>53.807683508207489</c:v>
                </c:pt>
                <c:pt idx="31">
                  <c:v>54.872187541752318</c:v>
                </c:pt>
                <c:pt idx="32">
                  <c:v>55.748240982308921</c:v>
                </c:pt>
                <c:pt idx="33">
                  <c:v>54.138926807518317</c:v>
                </c:pt>
                <c:pt idx="34">
                  <c:v>53.610970828667732</c:v>
                </c:pt>
                <c:pt idx="35">
                  <c:v>54.372448265640919</c:v>
                </c:pt>
                <c:pt idx="36">
                  <c:v>52.965851255640921</c:v>
                </c:pt>
                <c:pt idx="37">
                  <c:v>53.101542308808746</c:v>
                </c:pt>
                <c:pt idx="38">
                  <c:v>52.0061810416776</c:v>
                </c:pt>
                <c:pt idx="39">
                  <c:v>52.218556917712078</c:v>
                </c:pt>
                <c:pt idx="40">
                  <c:v>52.291530417642306</c:v>
                </c:pt>
                <c:pt idx="41">
                  <c:v>51.369537714195701</c:v>
                </c:pt>
                <c:pt idx="42">
                  <c:v>50.322901902564588</c:v>
                </c:pt>
                <c:pt idx="43">
                  <c:v>51.773303218750804</c:v>
                </c:pt>
                <c:pt idx="44">
                  <c:v>50.453187877173988</c:v>
                </c:pt>
                <c:pt idx="45">
                  <c:v>48.938039879758897</c:v>
                </c:pt>
                <c:pt idx="46">
                  <c:v>50.204267191067025</c:v>
                </c:pt>
                <c:pt idx="47">
                  <c:v>50.204267191067025</c:v>
                </c:pt>
                <c:pt idx="48">
                  <c:v>50.080623875106632</c:v>
                </c:pt>
                <c:pt idx="49">
                  <c:v>52.013626681608599</c:v>
                </c:pt>
                <c:pt idx="50">
                  <c:v>54.900521176437096</c:v>
                </c:pt>
                <c:pt idx="51">
                  <c:v>54.449325122131782</c:v>
                </c:pt>
                <c:pt idx="52">
                  <c:v>55.479210078640499</c:v>
                </c:pt>
                <c:pt idx="53">
                  <c:v>51.856627454546953</c:v>
                </c:pt>
                <c:pt idx="54">
                  <c:v>51.650849755685741</c:v>
                </c:pt>
                <c:pt idx="55">
                  <c:v>51.111903186319502</c:v>
                </c:pt>
                <c:pt idx="56">
                  <c:v>50.246547518319503</c:v>
                </c:pt>
                <c:pt idx="57">
                  <c:v>48.969308908681697</c:v>
                </c:pt>
                <c:pt idx="58">
                  <c:v>47.903892777379227</c:v>
                </c:pt>
                <c:pt idx="59">
                  <c:v>47.944692479042274</c:v>
                </c:pt>
                <c:pt idx="60">
                  <c:v>47.2474854950813</c:v>
                </c:pt>
                <c:pt idx="61">
                  <c:v>46.606403422058179</c:v>
                </c:pt>
                <c:pt idx="62">
                  <c:v>46.963034029856736</c:v>
                </c:pt>
                <c:pt idx="63">
                  <c:v>48.273265403444043</c:v>
                </c:pt>
                <c:pt idx="64">
                  <c:v>46.925620067444044</c:v>
                </c:pt>
                <c:pt idx="65">
                  <c:v>46.481951898444045</c:v>
                </c:pt>
                <c:pt idx="66">
                  <c:v>45.55445838862051</c:v>
                </c:pt>
                <c:pt idx="67">
                  <c:v>45.727106688745508</c:v>
                </c:pt>
                <c:pt idx="68">
                  <c:v>46.084090211211262</c:v>
                </c:pt>
                <c:pt idx="69">
                  <c:v>45.651203195961266</c:v>
                </c:pt>
                <c:pt idx="70">
                  <c:v>45.045272188165349</c:v>
                </c:pt>
                <c:pt idx="71">
                  <c:v>45.648562221246436</c:v>
                </c:pt>
                <c:pt idx="72">
                  <c:v>45.134101091870093</c:v>
                </c:pt>
                <c:pt idx="73">
                  <c:v>45.358814285922037</c:v>
                </c:pt>
                <c:pt idx="74">
                  <c:v>45.777050321289124</c:v>
                </c:pt>
                <c:pt idx="75">
                  <c:v>45.801447357300368</c:v>
                </c:pt>
                <c:pt idx="76">
                  <c:v>45.609710430204473</c:v>
                </c:pt>
                <c:pt idx="77">
                  <c:v>45.518456542183202</c:v>
                </c:pt>
                <c:pt idx="78">
                  <c:v>45.160670596611766</c:v>
                </c:pt>
                <c:pt idx="79">
                  <c:v>45.263116492513404</c:v>
                </c:pt>
                <c:pt idx="80">
                  <c:v>46.545648836662352</c:v>
                </c:pt>
                <c:pt idx="81">
                  <c:v>46.767965985538893</c:v>
                </c:pt>
                <c:pt idx="82">
                  <c:v>46.720912963007642</c:v>
                </c:pt>
                <c:pt idx="83">
                  <c:v>46.582056585802505</c:v>
                </c:pt>
                <c:pt idx="84">
                  <c:v>46.751903891626036</c:v>
                </c:pt>
                <c:pt idx="85">
                  <c:v>47.145818253592324</c:v>
                </c:pt>
                <c:pt idx="86">
                  <c:v>47.227708710254291</c:v>
                </c:pt>
                <c:pt idx="87">
                  <c:v>46.73387762777282</c:v>
                </c:pt>
                <c:pt idx="88">
                  <c:v>46.741877463882318</c:v>
                </c:pt>
                <c:pt idx="89">
                  <c:v>45.984092975226055</c:v>
                </c:pt>
                <c:pt idx="90">
                  <c:v>46.750779849285472</c:v>
                </c:pt>
                <c:pt idx="91">
                  <c:v>47.590792572275504</c:v>
                </c:pt>
                <c:pt idx="92">
                  <c:v>44.333687060939809</c:v>
                </c:pt>
                <c:pt idx="93">
                  <c:v>44.632011476500281</c:v>
                </c:pt>
                <c:pt idx="94">
                  <c:v>45.13494222351018</c:v>
                </c:pt>
                <c:pt idx="95">
                  <c:v>44.21258347621017</c:v>
                </c:pt>
                <c:pt idx="96">
                  <c:v>44.469331386043507</c:v>
                </c:pt>
                <c:pt idx="97">
                  <c:v>43.461452558443511</c:v>
                </c:pt>
                <c:pt idx="98">
                  <c:v>43.884439846259603</c:v>
                </c:pt>
                <c:pt idx="99">
                  <c:v>44.785498562049085</c:v>
                </c:pt>
                <c:pt idx="100">
                  <c:v>44.039882393241385</c:v>
                </c:pt>
                <c:pt idx="101">
                  <c:v>44.18582908746361</c:v>
                </c:pt>
                <c:pt idx="102">
                  <c:v>45.324570547406786</c:v>
                </c:pt>
                <c:pt idx="103">
                  <c:v>45.612766628336367</c:v>
                </c:pt>
                <c:pt idx="104">
                  <c:v>46.932403842874834</c:v>
                </c:pt>
                <c:pt idx="105">
                  <c:v>41.124168970074827</c:v>
                </c:pt>
                <c:pt idx="106">
                  <c:v>41.014903292655475</c:v>
                </c:pt>
                <c:pt idx="107">
                  <c:v>40.724241457215477</c:v>
                </c:pt>
                <c:pt idx="108">
                  <c:v>40.259776016435254</c:v>
                </c:pt>
                <c:pt idx="109">
                  <c:v>40.51405165912275</c:v>
                </c:pt>
                <c:pt idx="110">
                  <c:v>41.090628535578752</c:v>
                </c:pt>
                <c:pt idx="111">
                  <c:v>41.16399833504304</c:v>
                </c:pt>
                <c:pt idx="112">
                  <c:v>41.404871980466567</c:v>
                </c:pt>
                <c:pt idx="113">
                  <c:v>41.246580410564128</c:v>
                </c:pt>
                <c:pt idx="114">
                  <c:v>41.317987500307716</c:v>
                </c:pt>
                <c:pt idx="115">
                  <c:v>41.034585990641048</c:v>
                </c:pt>
                <c:pt idx="116">
                  <c:v>41.106496034728004</c:v>
                </c:pt>
                <c:pt idx="117">
                  <c:v>40.884637860505784</c:v>
                </c:pt>
                <c:pt idx="118">
                  <c:v>40.849269480205031</c:v>
                </c:pt>
                <c:pt idx="119">
                  <c:v>39.608741137472634</c:v>
                </c:pt>
                <c:pt idx="120">
                  <c:v>39.43810574675836</c:v>
                </c:pt>
                <c:pt idx="121">
                  <c:v>38.98016261990329</c:v>
                </c:pt>
                <c:pt idx="122">
                  <c:v>39.595385604236625</c:v>
                </c:pt>
                <c:pt idx="123">
                  <c:v>40.358946487191169</c:v>
                </c:pt>
                <c:pt idx="124">
                  <c:v>39.950775605191168</c:v>
                </c:pt>
                <c:pt idx="125">
                  <c:v>39.775349388524504</c:v>
                </c:pt>
                <c:pt idx="126">
                  <c:v>39.97739142581959</c:v>
                </c:pt>
                <c:pt idx="127">
                  <c:v>39.589088635892054</c:v>
                </c:pt>
                <c:pt idx="128">
                  <c:v>38.06191411812506</c:v>
                </c:pt>
                <c:pt idx="129">
                  <c:v>39.397348268636691</c:v>
                </c:pt>
                <c:pt idx="130">
                  <c:v>39.968069257992617</c:v>
                </c:pt>
                <c:pt idx="131">
                  <c:v>40.364131077386986</c:v>
                </c:pt>
                <c:pt idx="132">
                  <c:v>40.770946140406032</c:v>
                </c:pt>
                <c:pt idx="133">
                  <c:v>39.801680630096179</c:v>
                </c:pt>
                <c:pt idx="134">
                  <c:v>40.726123149194216</c:v>
                </c:pt>
                <c:pt idx="135">
                  <c:v>39.728267039040375</c:v>
                </c:pt>
                <c:pt idx="136">
                  <c:v>38.889391256152869</c:v>
                </c:pt>
                <c:pt idx="137">
                  <c:v>39.36637571946455</c:v>
                </c:pt>
                <c:pt idx="138">
                  <c:v>38.925864641212897</c:v>
                </c:pt>
                <c:pt idx="139">
                  <c:v>39.102260408379564</c:v>
                </c:pt>
                <c:pt idx="140">
                  <c:v>40.498786218952212</c:v>
                </c:pt>
                <c:pt idx="141">
                  <c:v>40.535085005096718</c:v>
                </c:pt>
                <c:pt idx="142">
                  <c:v>39.079952368453505</c:v>
                </c:pt>
                <c:pt idx="143">
                  <c:v>39.893678691724368</c:v>
                </c:pt>
                <c:pt idx="144">
                  <c:v>39.810718228552389</c:v>
                </c:pt>
                <c:pt idx="145">
                  <c:v>41.0298058740158</c:v>
                </c:pt>
                <c:pt idx="146">
                  <c:v>37.924382796217145</c:v>
                </c:pt>
                <c:pt idx="147">
                  <c:v>37.813079495944415</c:v>
                </c:pt>
                <c:pt idx="148">
                  <c:v>38.720018577553105</c:v>
                </c:pt>
                <c:pt idx="149">
                  <c:v>36.924084313026789</c:v>
                </c:pt>
                <c:pt idx="150">
                  <c:v>37.635299011388852</c:v>
                </c:pt>
                <c:pt idx="151">
                  <c:v>38.728332513286297</c:v>
                </c:pt>
                <c:pt idx="152">
                  <c:v>39.121444729376186</c:v>
                </c:pt>
                <c:pt idx="153">
                  <c:v>39.605165173645851</c:v>
                </c:pt>
                <c:pt idx="154">
                  <c:v>38.213386073434087</c:v>
                </c:pt>
                <c:pt idx="155">
                  <c:v>39.494158287267169</c:v>
                </c:pt>
                <c:pt idx="156">
                  <c:v>38.698619799687513</c:v>
                </c:pt>
                <c:pt idx="157">
                  <c:v>39.716546364026385</c:v>
                </c:pt>
                <c:pt idx="158">
                  <c:v>40.130398068424057</c:v>
                </c:pt>
                <c:pt idx="159">
                  <c:v>39.851123517100724</c:v>
                </c:pt>
                <c:pt idx="160">
                  <c:v>40.479643790545289</c:v>
                </c:pt>
                <c:pt idx="161">
                  <c:v>38.919139132820277</c:v>
                </c:pt>
                <c:pt idx="162">
                  <c:v>37.242945278936652</c:v>
                </c:pt>
                <c:pt idx="163">
                  <c:v>37.455918674012239</c:v>
                </c:pt>
                <c:pt idx="164">
                  <c:v>39.450780045704057</c:v>
                </c:pt>
                <c:pt idx="165">
                  <c:v>41.75057868752031</c:v>
                </c:pt>
                <c:pt idx="166">
                  <c:v>40.638482023840439</c:v>
                </c:pt>
                <c:pt idx="167">
                  <c:v>41.249130025517459</c:v>
                </c:pt>
                <c:pt idx="168">
                  <c:v>38.467826225376072</c:v>
                </c:pt>
                <c:pt idx="169">
                  <c:v>39.843912415176149</c:v>
                </c:pt>
                <c:pt idx="170">
                  <c:v>36.946093586489845</c:v>
                </c:pt>
                <c:pt idx="171">
                  <c:v>36.245567048536174</c:v>
                </c:pt>
                <c:pt idx="172">
                  <c:v>35.449436972577971</c:v>
                </c:pt>
                <c:pt idx="173">
                  <c:v>36.718510822721903</c:v>
                </c:pt>
                <c:pt idx="174">
                  <c:v>35.267733774742204</c:v>
                </c:pt>
                <c:pt idx="175">
                  <c:v>34.721637346037333</c:v>
                </c:pt>
                <c:pt idx="176">
                  <c:v>33.72902896568317</c:v>
                </c:pt>
                <c:pt idx="177">
                  <c:v>33.218270594037612</c:v>
                </c:pt>
                <c:pt idx="178">
                  <c:v>33.615828020485615</c:v>
                </c:pt>
                <c:pt idx="179">
                  <c:v>33.82073836133479</c:v>
                </c:pt>
                <c:pt idx="180">
                  <c:v>35.610215888657322</c:v>
                </c:pt>
                <c:pt idx="181">
                  <c:v>34.811767160114506</c:v>
                </c:pt>
                <c:pt idx="182">
                  <c:v>33.29864383494651</c:v>
                </c:pt>
                <c:pt idx="183">
                  <c:v>32.806038780903741</c:v>
                </c:pt>
                <c:pt idx="184">
                  <c:v>33.21073143906434</c:v>
                </c:pt>
                <c:pt idx="185">
                  <c:v>31.019929060563584</c:v>
                </c:pt>
                <c:pt idx="186">
                  <c:v>32.13273426125334</c:v>
                </c:pt>
                <c:pt idx="187">
                  <c:v>31.514808857759668</c:v>
                </c:pt>
                <c:pt idx="188">
                  <c:v>31.524519902597898</c:v>
                </c:pt>
                <c:pt idx="189">
                  <c:v>28.993036823728808</c:v>
                </c:pt>
                <c:pt idx="190">
                  <c:v>29.683544447181994</c:v>
                </c:pt>
                <c:pt idx="191">
                  <c:v>25.470070859940577</c:v>
                </c:pt>
                <c:pt idx="192">
                  <c:v>24.89119572395488</c:v>
                </c:pt>
                <c:pt idx="193">
                  <c:v>25.944056407182963</c:v>
                </c:pt>
                <c:pt idx="194">
                  <c:v>26.955113669385558</c:v>
                </c:pt>
                <c:pt idx="195">
                  <c:v>27.038970920607753</c:v>
                </c:pt>
                <c:pt idx="196">
                  <c:v>28.222589984819169</c:v>
                </c:pt>
                <c:pt idx="197">
                  <c:v>28.81013394067476</c:v>
                </c:pt>
                <c:pt idx="198">
                  <c:v>28.407608625679881</c:v>
                </c:pt>
                <c:pt idx="199">
                  <c:v>29.129399582218731</c:v>
                </c:pt>
                <c:pt idx="200">
                  <c:v>29.424244663370931</c:v>
                </c:pt>
                <c:pt idx="201">
                  <c:v>29.358439414298363</c:v>
                </c:pt>
                <c:pt idx="202">
                  <c:v>29.807385609785054</c:v>
                </c:pt>
                <c:pt idx="203">
                  <c:v>29.276145779292907</c:v>
                </c:pt>
                <c:pt idx="204">
                  <c:v>30.11067615063849</c:v>
                </c:pt>
                <c:pt idx="205">
                  <c:v>31.468131805312968</c:v>
                </c:pt>
                <c:pt idx="206">
                  <c:v>31.559288995593217</c:v>
                </c:pt>
                <c:pt idx="207">
                  <c:v>32.08054894819702</c:v>
                </c:pt>
                <c:pt idx="208">
                  <c:v>31.760806697991974</c:v>
                </c:pt>
                <c:pt idx="209">
                  <c:v>31.580255239401502</c:v>
                </c:pt>
                <c:pt idx="210">
                  <c:v>30.586407551153584</c:v>
                </c:pt>
                <c:pt idx="211">
                  <c:v>31.745507262316629</c:v>
                </c:pt>
                <c:pt idx="212">
                  <c:v>30.114932004266944</c:v>
                </c:pt>
                <c:pt idx="213">
                  <c:v>30.558332594307437</c:v>
                </c:pt>
                <c:pt idx="214">
                  <c:v>30.825609978238418</c:v>
                </c:pt>
                <c:pt idx="215">
                  <c:v>28.750184257636565</c:v>
                </c:pt>
                <c:pt idx="216">
                  <c:v>27.668643790927145</c:v>
                </c:pt>
                <c:pt idx="217">
                  <c:v>30.683345864791889</c:v>
                </c:pt>
                <c:pt idx="218">
                  <c:v>29.924853350450064</c:v>
                </c:pt>
                <c:pt idx="219">
                  <c:v>28.439409565240727</c:v>
                </c:pt>
                <c:pt idx="220">
                  <c:v>28.840834305212361</c:v>
                </c:pt>
                <c:pt idx="221">
                  <c:v>33.163526862630768</c:v>
                </c:pt>
                <c:pt idx="222">
                  <c:v>31.892973563072733</c:v>
                </c:pt>
                <c:pt idx="223">
                  <c:v>33.668950590367906</c:v>
                </c:pt>
                <c:pt idx="224">
                  <c:v>34.533910860499304</c:v>
                </c:pt>
                <c:pt idx="225">
                  <c:v>34.662110690319956</c:v>
                </c:pt>
                <c:pt idx="226">
                  <c:v>37.079020331588517</c:v>
                </c:pt>
                <c:pt idx="227">
                  <c:v>36.669649101786938</c:v>
                </c:pt>
                <c:pt idx="228">
                  <c:v>35.048503067526042</c:v>
                </c:pt>
                <c:pt idx="229">
                  <c:v>32.308320418453704</c:v>
                </c:pt>
                <c:pt idx="230">
                  <c:v>30.238415065324624</c:v>
                </c:pt>
                <c:pt idx="231">
                  <c:v>32.038507842943552</c:v>
                </c:pt>
                <c:pt idx="232">
                  <c:v>34.384100136464681</c:v>
                </c:pt>
                <c:pt idx="233">
                  <c:v>32.02570475301367</c:v>
                </c:pt>
                <c:pt idx="234">
                  <c:v>28.019750951485655</c:v>
                </c:pt>
                <c:pt idx="235">
                  <c:v>31.568959508134039</c:v>
                </c:pt>
                <c:pt idx="236">
                  <c:v>29.894631677705206</c:v>
                </c:pt>
                <c:pt idx="237">
                  <c:v>31.010811158431757</c:v>
                </c:pt>
                <c:pt idx="238">
                  <c:v>33.23638472964619</c:v>
                </c:pt>
                <c:pt idx="239">
                  <c:v>33.16914437782296</c:v>
                </c:pt>
                <c:pt idx="240">
                  <c:v>34.216545836301584</c:v>
                </c:pt>
                <c:pt idx="241">
                  <c:v>36.338763506576385</c:v>
                </c:pt>
                <c:pt idx="242">
                  <c:v>34.112405349392155</c:v>
                </c:pt>
                <c:pt idx="243">
                  <c:v>29.610289141206817</c:v>
                </c:pt>
                <c:pt idx="244">
                  <c:v>30.287272428244858</c:v>
                </c:pt>
                <c:pt idx="245">
                  <c:v>32.908498792245055</c:v>
                </c:pt>
                <c:pt idx="246">
                  <c:v>34.17916417759443</c:v>
                </c:pt>
                <c:pt idx="247">
                  <c:v>30.729096847832668</c:v>
                </c:pt>
                <c:pt idx="248">
                  <c:v>17.478076248541448</c:v>
                </c:pt>
                <c:pt idx="249">
                  <c:v>6.3813944431086451</c:v>
                </c:pt>
                <c:pt idx="250">
                  <c:v>2.5726353999273086</c:v>
                </c:pt>
                <c:pt idx="251">
                  <c:v>8.2551498724018124</c:v>
                </c:pt>
                <c:pt idx="252">
                  <c:v>10.578701115073287</c:v>
                </c:pt>
                <c:pt idx="253">
                  <c:v>8.8245238861590067</c:v>
                </c:pt>
                <c:pt idx="254">
                  <c:v>14.263246344791927</c:v>
                </c:pt>
                <c:pt idx="255">
                  <c:v>8.5760397573326728</c:v>
                </c:pt>
                <c:pt idx="256">
                  <c:v>5.1476268738334534</c:v>
                </c:pt>
                <c:pt idx="257">
                  <c:v>2.7316651261693812</c:v>
                </c:pt>
                <c:pt idx="258">
                  <c:v>6.811325051623192</c:v>
                </c:pt>
                <c:pt idx="259">
                  <c:v>0.91688346806465593</c:v>
                </c:pt>
                <c:pt idx="260">
                  <c:v>1.5871363023366671</c:v>
                </c:pt>
                <c:pt idx="261">
                  <c:v>5.7062022525194704</c:v>
                </c:pt>
                <c:pt idx="262">
                  <c:v>1.6740242346084351</c:v>
                </c:pt>
                <c:pt idx="263">
                  <c:v>2.2065444656859157</c:v>
                </c:pt>
                <c:pt idx="264">
                  <c:v>-1.4149447832710378</c:v>
                </c:pt>
                <c:pt idx="265">
                  <c:v>-3.8914471435188469</c:v>
                </c:pt>
                <c:pt idx="266">
                  <c:v>-2.8846350962727954</c:v>
                </c:pt>
                <c:pt idx="267">
                  <c:v>-2.6104387458127598</c:v>
                </c:pt>
                <c:pt idx="268">
                  <c:v>-4.50916674140894</c:v>
                </c:pt>
                <c:pt idx="269">
                  <c:v>-2.3599495949653773</c:v>
                </c:pt>
                <c:pt idx="270">
                  <c:v>-0.5382138169480738</c:v>
                </c:pt>
                <c:pt idx="271">
                  <c:v>-3.1883080469735492</c:v>
                </c:pt>
                <c:pt idx="272">
                  <c:v>-1.0641365819067823</c:v>
                </c:pt>
                <c:pt idx="273">
                  <c:v>3.1312834817056823</c:v>
                </c:pt>
                <c:pt idx="274">
                  <c:v>-3.8825247264625515</c:v>
                </c:pt>
                <c:pt idx="275">
                  <c:v>-2.4665214507134472</c:v>
                </c:pt>
                <c:pt idx="276">
                  <c:v>-12.634439114324142</c:v>
                </c:pt>
                <c:pt idx="277">
                  <c:v>-19.296849576978605</c:v>
                </c:pt>
                <c:pt idx="278">
                  <c:v>-20.020424709778606</c:v>
                </c:pt>
                <c:pt idx="279">
                  <c:v>-19.473269574678572</c:v>
                </c:pt>
                <c:pt idx="280">
                  <c:v>-21.770785559739529</c:v>
                </c:pt>
                <c:pt idx="281">
                  <c:v>-17.231332046460082</c:v>
                </c:pt>
                <c:pt idx="282">
                  <c:v>-17.322515902915519</c:v>
                </c:pt>
                <c:pt idx="283">
                  <c:v>-18.454886952495723</c:v>
                </c:pt>
                <c:pt idx="284">
                  <c:v>-16.816939041998452</c:v>
                </c:pt>
                <c:pt idx="285">
                  <c:v>-18.020747542981688</c:v>
                </c:pt>
                <c:pt idx="286">
                  <c:v>-16.774618100396516</c:v>
                </c:pt>
                <c:pt idx="287">
                  <c:v>-16.60194158043144</c:v>
                </c:pt>
                <c:pt idx="288">
                  <c:v>-17.586559947219971</c:v>
                </c:pt>
                <c:pt idx="289">
                  <c:v>-17.934166244589179</c:v>
                </c:pt>
                <c:pt idx="290">
                  <c:v>-22.166221299935092</c:v>
                </c:pt>
                <c:pt idx="291">
                  <c:v>-21.864308686485355</c:v>
                </c:pt>
                <c:pt idx="292">
                  <c:v>-22.637538159965352</c:v>
                </c:pt>
                <c:pt idx="293">
                  <c:v>-22.322416904601717</c:v>
                </c:pt>
                <c:pt idx="294">
                  <c:v>-22.361284656634737</c:v>
                </c:pt>
                <c:pt idx="295">
                  <c:v>-23.079094801563141</c:v>
                </c:pt>
                <c:pt idx="296">
                  <c:v>-22.75295343080624</c:v>
                </c:pt>
                <c:pt idx="297">
                  <c:v>-22.626600286474943</c:v>
                </c:pt>
                <c:pt idx="298">
                  <c:v>-24.036360472074943</c:v>
                </c:pt>
                <c:pt idx="299">
                  <c:v>-24.259922809637068</c:v>
                </c:pt>
                <c:pt idx="300">
                  <c:v>-22.603035054460982</c:v>
                </c:pt>
                <c:pt idx="301">
                  <c:v>-23.2165699879939</c:v>
                </c:pt>
                <c:pt idx="302">
                  <c:v>-22.948257591748813</c:v>
                </c:pt>
                <c:pt idx="303">
                  <c:v>-22.986414600658104</c:v>
                </c:pt>
                <c:pt idx="304">
                  <c:v>-22.579398940191485</c:v>
                </c:pt>
                <c:pt idx="305">
                  <c:v>-22.942467014211307</c:v>
                </c:pt>
                <c:pt idx="306">
                  <c:v>-23.454018336292808</c:v>
                </c:pt>
                <c:pt idx="307">
                  <c:v>-21.976140840016406</c:v>
                </c:pt>
                <c:pt idx="308">
                  <c:v>-23.241076246403061</c:v>
                </c:pt>
                <c:pt idx="309">
                  <c:v>-21.630786413090586</c:v>
                </c:pt>
                <c:pt idx="310">
                  <c:v>-20.385655403086584</c:v>
                </c:pt>
                <c:pt idx="311">
                  <c:v>-19.244667018363835</c:v>
                </c:pt>
                <c:pt idx="312">
                  <c:v>-18.923557324097779</c:v>
                </c:pt>
                <c:pt idx="313">
                  <c:v>-18.481105980192766</c:v>
                </c:pt>
                <c:pt idx="314">
                  <c:v>-17.007567685933999</c:v>
                </c:pt>
                <c:pt idx="315">
                  <c:v>-17.785805372578949</c:v>
                </c:pt>
                <c:pt idx="316">
                  <c:v>-15.926704828307653</c:v>
                </c:pt>
                <c:pt idx="317">
                  <c:v>-16.187327198719579</c:v>
                </c:pt>
                <c:pt idx="318">
                  <c:v>-16.489027662450351</c:v>
                </c:pt>
                <c:pt idx="319">
                  <c:v>-14.374619703577554</c:v>
                </c:pt>
                <c:pt idx="320">
                  <c:v>-11.204229684135527</c:v>
                </c:pt>
                <c:pt idx="321">
                  <c:v>-8.3814022419112355</c:v>
                </c:pt>
                <c:pt idx="322">
                  <c:v>-0.94722521541284432</c:v>
                </c:pt>
                <c:pt idx="323">
                  <c:v>-0.68910286735775705</c:v>
                </c:pt>
                <c:pt idx="324">
                  <c:v>5.9784114137070503</c:v>
                </c:pt>
                <c:pt idx="325">
                  <c:v>-1.2658885706801557</c:v>
                </c:pt>
                <c:pt idx="326">
                  <c:v>-2.2141352798257348</c:v>
                </c:pt>
                <c:pt idx="327">
                  <c:v>-1.7112587400903287</c:v>
                </c:pt>
                <c:pt idx="328">
                  <c:v>-0.76365415815134108</c:v>
                </c:pt>
                <c:pt idx="329">
                  <c:v>-2.4737227499310088</c:v>
                </c:pt>
                <c:pt idx="330">
                  <c:v>0.38647789303195118</c:v>
                </c:pt>
                <c:pt idx="331">
                  <c:v>2.151614538218233</c:v>
                </c:pt>
                <c:pt idx="332">
                  <c:v>1.5920908905790649</c:v>
                </c:pt>
                <c:pt idx="333">
                  <c:v>-5.7383471308351481</c:v>
                </c:pt>
                <c:pt idx="334">
                  <c:v>-15.858010217137918</c:v>
                </c:pt>
                <c:pt idx="335">
                  <c:v>-9.9670159944233028</c:v>
                </c:pt>
                <c:pt idx="336">
                  <c:v>-14.576644807431039</c:v>
                </c:pt>
                <c:pt idx="337">
                  <c:v>-8.6957637717730165</c:v>
                </c:pt>
                <c:pt idx="338">
                  <c:v>-12.415890321349485</c:v>
                </c:pt>
                <c:pt idx="339">
                  <c:v>-15.888869710721613</c:v>
                </c:pt>
                <c:pt idx="340">
                  <c:v>-18.693384230774544</c:v>
                </c:pt>
                <c:pt idx="341">
                  <c:v>-18.885772953164789</c:v>
                </c:pt>
                <c:pt idx="342">
                  <c:v>-9.8719686343723936</c:v>
                </c:pt>
                <c:pt idx="343">
                  <c:v>-13.586027254977285</c:v>
                </c:pt>
                <c:pt idx="344">
                  <c:v>-13.108361628301605</c:v>
                </c:pt>
                <c:pt idx="345">
                  <c:v>-15.122497356729527</c:v>
                </c:pt>
                <c:pt idx="346">
                  <c:v>-15.553522138555072</c:v>
                </c:pt>
                <c:pt idx="347">
                  <c:v>-18.270974244257264</c:v>
                </c:pt>
                <c:pt idx="348">
                  <c:v>-16.237823426190598</c:v>
                </c:pt>
                <c:pt idx="349">
                  <c:v>-14.629663023952183</c:v>
                </c:pt>
                <c:pt idx="350">
                  <c:v>-14.087997690343325</c:v>
                </c:pt>
                <c:pt idx="351">
                  <c:v>-13.114026048462417</c:v>
                </c:pt>
                <c:pt idx="352">
                  <c:v>-8.798312851186445</c:v>
                </c:pt>
                <c:pt idx="353">
                  <c:v>-14.398704730346449</c:v>
                </c:pt>
                <c:pt idx="354">
                  <c:v>-15.548794693208441</c:v>
                </c:pt>
                <c:pt idx="355">
                  <c:v>-21.254705719468717</c:v>
                </c:pt>
                <c:pt idx="356">
                  <c:v>-22.749823173328327</c:v>
                </c:pt>
                <c:pt idx="357">
                  <c:v>-27.302932484681268</c:v>
                </c:pt>
                <c:pt idx="358">
                  <c:v>-30.264291763581269</c:v>
                </c:pt>
                <c:pt idx="359">
                  <c:v>-32.480511675111437</c:v>
                </c:pt>
                <c:pt idx="360">
                  <c:v>-33.988551408250451</c:v>
                </c:pt>
                <c:pt idx="361">
                  <c:v>-36.826249720281346</c:v>
                </c:pt>
                <c:pt idx="362">
                  <c:v>-37.01851619190407</c:v>
                </c:pt>
                <c:pt idx="363">
                  <c:v>-32.280311095284297</c:v>
                </c:pt>
                <c:pt idx="364">
                  <c:v>-31.757124784652042</c:v>
                </c:pt>
                <c:pt idx="365">
                  <c:v>-26.419875372953925</c:v>
                </c:pt>
                <c:pt idx="366">
                  <c:v>-23.689121214953932</c:v>
                </c:pt>
                <c:pt idx="367">
                  <c:v>-34.712747030973958</c:v>
                </c:pt>
                <c:pt idx="368">
                  <c:v>-31.39694151362772</c:v>
                </c:pt>
                <c:pt idx="369">
                  <c:v>-30.423776727824439</c:v>
                </c:pt>
                <c:pt idx="370">
                  <c:v>-32.677651388912231</c:v>
                </c:pt>
                <c:pt idx="371">
                  <c:v>-34.130452715578897</c:v>
                </c:pt>
                <c:pt idx="372">
                  <c:v>-30.551811095339421</c:v>
                </c:pt>
                <c:pt idx="373">
                  <c:v>-33.827195650383011</c:v>
                </c:pt>
                <c:pt idx="374">
                  <c:v>-31.047102763754562</c:v>
                </c:pt>
                <c:pt idx="375">
                  <c:v>-31.78979184403936</c:v>
                </c:pt>
                <c:pt idx="376">
                  <c:v>-34.248560145555949</c:v>
                </c:pt>
                <c:pt idx="377">
                  <c:v>-32.071822791337475</c:v>
                </c:pt>
                <c:pt idx="378">
                  <c:v>-33.431840069813539</c:v>
                </c:pt>
                <c:pt idx="379">
                  <c:v>-36.551631624563541</c:v>
                </c:pt>
                <c:pt idx="380">
                  <c:v>-39.022425888272998</c:v>
                </c:pt>
                <c:pt idx="381">
                  <c:v>-37.661073037203586</c:v>
                </c:pt>
                <c:pt idx="382">
                  <c:v>-36.773509931331247</c:v>
                </c:pt>
                <c:pt idx="383">
                  <c:v>-35.742346127707812</c:v>
                </c:pt>
                <c:pt idx="384">
                  <c:v>-37.1973435466791</c:v>
                </c:pt>
                <c:pt idx="385">
                  <c:v>-37.923073785734211</c:v>
                </c:pt>
                <c:pt idx="386">
                  <c:v>-33.214189071849262</c:v>
                </c:pt>
                <c:pt idx="387">
                  <c:v>-48.036289509693979</c:v>
                </c:pt>
                <c:pt idx="388">
                  <c:v>-43.444646067021722</c:v>
                </c:pt>
                <c:pt idx="389">
                  <c:v>-49.30436302571151</c:v>
                </c:pt>
                <c:pt idx="390">
                  <c:v>-49.988833077732345</c:v>
                </c:pt>
                <c:pt idx="391">
                  <c:v>-51.461922037018063</c:v>
                </c:pt>
                <c:pt idx="392">
                  <c:v>-50.986493346913164</c:v>
                </c:pt>
                <c:pt idx="393">
                  <c:v>-51.254896352397033</c:v>
                </c:pt>
                <c:pt idx="394">
                  <c:v>-50.598897545198675</c:v>
                </c:pt>
                <c:pt idx="395">
                  <c:v>-50.633249099023494</c:v>
                </c:pt>
                <c:pt idx="396">
                  <c:v>-50.738504349573503</c:v>
                </c:pt>
                <c:pt idx="397">
                  <c:v>-48.735480464124649</c:v>
                </c:pt>
                <c:pt idx="398">
                  <c:v>-50.49884712187113</c:v>
                </c:pt>
                <c:pt idx="399">
                  <c:v>-50.869594079469671</c:v>
                </c:pt>
                <c:pt idx="400">
                  <c:v>-52.222114705657177</c:v>
                </c:pt>
                <c:pt idx="401">
                  <c:v>-50.859058298237819</c:v>
                </c:pt>
                <c:pt idx="402">
                  <c:v>-51.576080717956131</c:v>
                </c:pt>
                <c:pt idx="403">
                  <c:v>-50.396001204440978</c:v>
                </c:pt>
                <c:pt idx="404">
                  <c:v>-49.903416369736753</c:v>
                </c:pt>
                <c:pt idx="405">
                  <c:v>-48.751540172840208</c:v>
                </c:pt>
                <c:pt idx="406">
                  <c:v>-50.392653524377238</c:v>
                </c:pt>
                <c:pt idx="407">
                  <c:v>-50.125862487590155</c:v>
                </c:pt>
                <c:pt idx="408">
                  <c:v>-50.83749019753752</c:v>
                </c:pt>
                <c:pt idx="409">
                  <c:v>-52.008094822658542</c:v>
                </c:pt>
                <c:pt idx="410">
                  <c:v>-52.317552635718236</c:v>
                </c:pt>
                <c:pt idx="411">
                  <c:v>-52.41431443971824</c:v>
                </c:pt>
                <c:pt idx="412">
                  <c:v>-52.65566009344797</c:v>
                </c:pt>
                <c:pt idx="413">
                  <c:v>-52.595480272545068</c:v>
                </c:pt>
                <c:pt idx="414">
                  <c:v>-52.460403954562018</c:v>
                </c:pt>
                <c:pt idx="415">
                  <c:v>-53.596672414795137</c:v>
                </c:pt>
                <c:pt idx="416">
                  <c:v>-52.647131805928474</c:v>
                </c:pt>
                <c:pt idx="417">
                  <c:v>-52.454133621989087</c:v>
                </c:pt>
                <c:pt idx="418">
                  <c:v>-52.534232832874338</c:v>
                </c:pt>
                <c:pt idx="419">
                  <c:v>-53.450255909349863</c:v>
                </c:pt>
                <c:pt idx="420">
                  <c:v>-51.373878434912356</c:v>
                </c:pt>
                <c:pt idx="421">
                  <c:v>-52.976495064821449</c:v>
                </c:pt>
                <c:pt idx="422">
                  <c:v>-53.73128807456564</c:v>
                </c:pt>
                <c:pt idx="423">
                  <c:v>-53.389018012675876</c:v>
                </c:pt>
                <c:pt idx="424">
                  <c:v>-54.82873260356309</c:v>
                </c:pt>
                <c:pt idx="425">
                  <c:v>-55.785836791483092</c:v>
                </c:pt>
                <c:pt idx="426">
                  <c:v>-56.633929555745382</c:v>
                </c:pt>
                <c:pt idx="427">
                  <c:v>-56.673299441258202</c:v>
                </c:pt>
                <c:pt idx="428">
                  <c:v>-55.102520746985469</c:v>
                </c:pt>
                <c:pt idx="429">
                  <c:v>-52.949398095039527</c:v>
                </c:pt>
                <c:pt idx="430">
                  <c:v>-53.454599432407242</c:v>
                </c:pt>
                <c:pt idx="431">
                  <c:v>-55.245353939769743</c:v>
                </c:pt>
                <c:pt idx="432">
                  <c:v>-55.526903527258746</c:v>
                </c:pt>
                <c:pt idx="433">
                  <c:v>-58.593534415811376</c:v>
                </c:pt>
                <c:pt idx="434">
                  <c:v>-59.048217951494294</c:v>
                </c:pt>
                <c:pt idx="435">
                  <c:v>-58.473175263494291</c:v>
                </c:pt>
                <c:pt idx="436">
                  <c:v>-57.292857355114982</c:v>
                </c:pt>
                <c:pt idx="437">
                  <c:v>-58.192076343933167</c:v>
                </c:pt>
                <c:pt idx="438">
                  <c:v>-58.450679382114984</c:v>
                </c:pt>
                <c:pt idx="439">
                  <c:v>-58.366912703614979</c:v>
                </c:pt>
                <c:pt idx="440">
                  <c:v>-58.833747932614976</c:v>
                </c:pt>
                <c:pt idx="441">
                  <c:v>-59.617140473239978</c:v>
                </c:pt>
                <c:pt idx="442">
                  <c:v>-58.333081886470744</c:v>
                </c:pt>
                <c:pt idx="443">
                  <c:v>-56.717903579531345</c:v>
                </c:pt>
                <c:pt idx="444">
                  <c:v>-59.470719334179229</c:v>
                </c:pt>
                <c:pt idx="445">
                  <c:v>-58.035685613342494</c:v>
                </c:pt>
                <c:pt idx="446">
                  <c:v>-58.951197568788501</c:v>
                </c:pt>
                <c:pt idx="447">
                  <c:v>-55.772446188956167</c:v>
                </c:pt>
                <c:pt idx="448">
                  <c:v>-58.679051989743563</c:v>
                </c:pt>
                <c:pt idx="449">
                  <c:v>-60.509442332718244</c:v>
                </c:pt>
                <c:pt idx="450">
                  <c:v>-60.509442332718244</c:v>
                </c:pt>
                <c:pt idx="451">
                  <c:v>-59.224186659651025</c:v>
                </c:pt>
                <c:pt idx="452">
                  <c:v>-58.833281960465179</c:v>
                </c:pt>
                <c:pt idx="453">
                  <c:v>-59.250903331234419</c:v>
                </c:pt>
                <c:pt idx="454">
                  <c:v>-58.789704133140667</c:v>
                </c:pt>
                <c:pt idx="455">
                  <c:v>-60.287479633594451</c:v>
                </c:pt>
                <c:pt idx="456">
                  <c:v>-58.832482413783012</c:v>
                </c:pt>
                <c:pt idx="457">
                  <c:v>-57.718064219141802</c:v>
                </c:pt>
                <c:pt idx="458">
                  <c:v>-56.391672061632363</c:v>
                </c:pt>
                <c:pt idx="459">
                  <c:v>-55.647867563953582</c:v>
                </c:pt>
                <c:pt idx="460">
                  <c:v>-54.965064997249883</c:v>
                </c:pt>
                <c:pt idx="461">
                  <c:v>-55.646507024483931</c:v>
                </c:pt>
                <c:pt idx="462">
                  <c:v>-55.719169397355486</c:v>
                </c:pt>
                <c:pt idx="463">
                  <c:v>-56.833947885022162</c:v>
                </c:pt>
                <c:pt idx="464">
                  <c:v>-57.204155897272166</c:v>
                </c:pt>
                <c:pt idx="465">
                  <c:v>-56.628640348186451</c:v>
                </c:pt>
                <c:pt idx="466">
                  <c:v>-56.092685357828437</c:v>
                </c:pt>
                <c:pt idx="467">
                  <c:v>-56.314361061218271</c:v>
                </c:pt>
                <c:pt idx="468">
                  <c:v>-56.642250916357511</c:v>
                </c:pt>
                <c:pt idx="469">
                  <c:v>-56.106377179940836</c:v>
                </c:pt>
                <c:pt idx="470">
                  <c:v>-56.390029997259987</c:v>
                </c:pt>
                <c:pt idx="471">
                  <c:v>-55.728801345572492</c:v>
                </c:pt>
                <c:pt idx="472">
                  <c:v>-55.776474246013173</c:v>
                </c:pt>
                <c:pt idx="473">
                  <c:v>-54.762766212177105</c:v>
                </c:pt>
                <c:pt idx="474">
                  <c:v>-55.166585285666464</c:v>
                </c:pt>
                <c:pt idx="475">
                  <c:v>-54.641280151104674</c:v>
                </c:pt>
                <c:pt idx="476">
                  <c:v>-55.239933041408364</c:v>
                </c:pt>
                <c:pt idx="477">
                  <c:v>-56.67872302465998</c:v>
                </c:pt>
                <c:pt idx="478">
                  <c:v>-56.5585709439327</c:v>
                </c:pt>
                <c:pt idx="479">
                  <c:v>-55.60613425772668</c:v>
                </c:pt>
                <c:pt idx="480">
                  <c:v>-55.916263745504452</c:v>
                </c:pt>
                <c:pt idx="481">
                  <c:v>-55.910090611420117</c:v>
                </c:pt>
                <c:pt idx="482">
                  <c:v>-56.114029341838723</c:v>
                </c:pt>
                <c:pt idx="483">
                  <c:v>-56.074691269578842</c:v>
                </c:pt>
                <c:pt idx="484">
                  <c:v>-55.256898268309271</c:v>
                </c:pt>
                <c:pt idx="485">
                  <c:v>-56.130895750637741</c:v>
                </c:pt>
                <c:pt idx="486">
                  <c:v>-56.890959427828818</c:v>
                </c:pt>
                <c:pt idx="487">
                  <c:v>-54.550557086467109</c:v>
                </c:pt>
                <c:pt idx="488">
                  <c:v>-54.863931920910588</c:v>
                </c:pt>
                <c:pt idx="489">
                  <c:v>-54.863931920910588</c:v>
                </c:pt>
                <c:pt idx="490">
                  <c:v>-55.357837360339154</c:v>
                </c:pt>
                <c:pt idx="491">
                  <c:v>-56.920741993039165</c:v>
                </c:pt>
                <c:pt idx="492">
                  <c:v>-55.817870780576357</c:v>
                </c:pt>
                <c:pt idx="493">
                  <c:v>-56.685985590339072</c:v>
                </c:pt>
                <c:pt idx="494">
                  <c:v>-51.727575721217683</c:v>
                </c:pt>
                <c:pt idx="495">
                  <c:v>-52.575570868860844</c:v>
                </c:pt>
                <c:pt idx="496">
                  <c:v>-52.165007315337476</c:v>
                </c:pt>
                <c:pt idx="497">
                  <c:v>-52.779514992515494</c:v>
                </c:pt>
                <c:pt idx="498">
                  <c:v>-54.450938116851773</c:v>
                </c:pt>
                <c:pt idx="499">
                  <c:v>-54.780242589116831</c:v>
                </c:pt>
                <c:pt idx="500">
                  <c:v>-53.549510477985883</c:v>
                </c:pt>
                <c:pt idx="501">
                  <c:v>-53.944424611491499</c:v>
                </c:pt>
                <c:pt idx="502">
                  <c:v>-53.332639605143477</c:v>
                </c:pt>
                <c:pt idx="503">
                  <c:v>-53.625557804566014</c:v>
                </c:pt>
                <c:pt idx="504">
                  <c:v>-54.563642906374525</c:v>
                </c:pt>
                <c:pt idx="505">
                  <c:v>-53.769175460318614</c:v>
                </c:pt>
                <c:pt idx="506">
                  <c:v>-55.1925868462341</c:v>
                </c:pt>
                <c:pt idx="507">
                  <c:v>-55.006075108727607</c:v>
                </c:pt>
                <c:pt idx="508">
                  <c:v>-56.531109787657343</c:v>
                </c:pt>
                <c:pt idx="509">
                  <c:v>-57.534938131439517</c:v>
                </c:pt>
                <c:pt idx="510">
                  <c:v>-56.54287405757777</c:v>
                </c:pt>
                <c:pt idx="511">
                  <c:v>-58.139882876718396</c:v>
                </c:pt>
                <c:pt idx="512">
                  <c:v>-55.889432472816296</c:v>
                </c:pt>
                <c:pt idx="513">
                  <c:v>-55.447419413364962</c:v>
                </c:pt>
                <c:pt idx="514">
                  <c:v>-53.588739587227238</c:v>
                </c:pt>
                <c:pt idx="515">
                  <c:v>-52.851771640889211</c:v>
                </c:pt>
                <c:pt idx="516">
                  <c:v>-51.118846552262696</c:v>
                </c:pt>
                <c:pt idx="517">
                  <c:v>-51.010810373560375</c:v>
                </c:pt>
                <c:pt idx="518">
                  <c:v>-51.730694474688036</c:v>
                </c:pt>
                <c:pt idx="519">
                  <c:v>-50.91602770411869</c:v>
                </c:pt>
                <c:pt idx="520">
                  <c:v>-53.018242271695271</c:v>
                </c:pt>
                <c:pt idx="521">
                  <c:v>-51.561833644331635</c:v>
                </c:pt>
                <c:pt idx="522">
                  <c:v>-54.029873363314401</c:v>
                </c:pt>
                <c:pt idx="523">
                  <c:v>-53.690958172343819</c:v>
                </c:pt>
                <c:pt idx="524">
                  <c:v>-56.0561805227943</c:v>
                </c:pt>
                <c:pt idx="525">
                  <c:v>-51.224796754448974</c:v>
                </c:pt>
                <c:pt idx="526">
                  <c:v>-53.74641989699046</c:v>
                </c:pt>
                <c:pt idx="527">
                  <c:v>-51.635008405358313</c:v>
                </c:pt>
                <c:pt idx="528">
                  <c:v>-50.493147952971498</c:v>
                </c:pt>
                <c:pt idx="529">
                  <c:v>-47.61601804867243</c:v>
                </c:pt>
                <c:pt idx="530">
                  <c:v>-49.154466773631839</c:v>
                </c:pt>
                <c:pt idx="531">
                  <c:v>-50.286208756605824</c:v>
                </c:pt>
                <c:pt idx="532">
                  <c:v>-52.650475176605823</c:v>
                </c:pt>
                <c:pt idx="533">
                  <c:v>-56.004340149769</c:v>
                </c:pt>
                <c:pt idx="534">
                  <c:v>-58.61150146216545</c:v>
                </c:pt>
                <c:pt idx="535">
                  <c:v>-54.973415387604533</c:v>
                </c:pt>
                <c:pt idx="536">
                  <c:v>-59.727937472841646</c:v>
                </c:pt>
                <c:pt idx="537">
                  <c:v>-57.91143644273707</c:v>
                </c:pt>
                <c:pt idx="538">
                  <c:v>-61.257915355137087</c:v>
                </c:pt>
                <c:pt idx="539">
                  <c:v>-60.987191682068904</c:v>
                </c:pt>
                <c:pt idx="540">
                  <c:v>-61.200918309568898</c:v>
                </c:pt>
                <c:pt idx="541">
                  <c:v>-61.448146852915841</c:v>
                </c:pt>
                <c:pt idx="542">
                  <c:v>-61.937514374630126</c:v>
                </c:pt>
                <c:pt idx="543">
                  <c:v>-61.986713343445665</c:v>
                </c:pt>
                <c:pt idx="544">
                  <c:v>-60.326223265591722</c:v>
                </c:pt>
                <c:pt idx="545">
                  <c:v>-61.542557922074252</c:v>
                </c:pt>
                <c:pt idx="546">
                  <c:v>-60.846186862901845</c:v>
                </c:pt>
                <c:pt idx="547">
                  <c:v>-60.207854458297881</c:v>
                </c:pt>
                <c:pt idx="548">
                  <c:v>-59.266851468352826</c:v>
                </c:pt>
                <c:pt idx="549">
                  <c:v>-60.63574905764635</c:v>
                </c:pt>
                <c:pt idx="550">
                  <c:v>-62.60639274743945</c:v>
                </c:pt>
                <c:pt idx="551">
                  <c:v>-61.535839850248436</c:v>
                </c:pt>
                <c:pt idx="552">
                  <c:v>-61.254491135653836</c:v>
                </c:pt>
                <c:pt idx="553">
                  <c:v>-61.38128372999779</c:v>
                </c:pt>
                <c:pt idx="554">
                  <c:v>-60.264491752664448</c:v>
                </c:pt>
                <c:pt idx="555">
                  <c:v>-59.782248611125986</c:v>
                </c:pt>
                <c:pt idx="556">
                  <c:v>-59.158894830453718</c:v>
                </c:pt>
                <c:pt idx="557">
                  <c:v>-57.487253390580697</c:v>
                </c:pt>
                <c:pt idx="558">
                  <c:v>-57.833590623380694</c:v>
                </c:pt>
                <c:pt idx="559">
                  <c:v>-58.737615510721604</c:v>
                </c:pt>
                <c:pt idx="560">
                  <c:v>-58.343654426531948</c:v>
                </c:pt>
                <c:pt idx="561">
                  <c:v>-56.727156900228152</c:v>
                </c:pt>
                <c:pt idx="562">
                  <c:v>-53.34315143542328</c:v>
                </c:pt>
                <c:pt idx="563">
                  <c:v>-55.937018880810385</c:v>
                </c:pt>
                <c:pt idx="564">
                  <c:v>-55.407101659592982</c:v>
                </c:pt>
                <c:pt idx="565">
                  <c:v>-56.234281360077354</c:v>
                </c:pt>
                <c:pt idx="566">
                  <c:v>-57.111805822988067</c:v>
                </c:pt>
                <c:pt idx="567">
                  <c:v>-58.277348593470592</c:v>
                </c:pt>
                <c:pt idx="568">
                  <c:v>-58.109629223619102</c:v>
                </c:pt>
                <c:pt idx="569">
                  <c:v>-61.208063774863994</c:v>
                </c:pt>
                <c:pt idx="570">
                  <c:v>-61.529948583459735</c:v>
                </c:pt>
                <c:pt idx="571">
                  <c:v>-62.794230558659734</c:v>
                </c:pt>
                <c:pt idx="572">
                  <c:v>-62.593255842213132</c:v>
                </c:pt>
                <c:pt idx="573">
                  <c:v>-63.472760533150641</c:v>
                </c:pt>
                <c:pt idx="574">
                  <c:v>-63.826014644838146</c:v>
                </c:pt>
                <c:pt idx="575">
                  <c:v>-64.254646549651099</c:v>
                </c:pt>
                <c:pt idx="576">
                  <c:v>-62.216241011925426</c:v>
                </c:pt>
                <c:pt idx="577">
                  <c:v>-61.355333633399653</c:v>
                </c:pt>
                <c:pt idx="578">
                  <c:v>-61.988224150378386</c:v>
                </c:pt>
                <c:pt idx="579">
                  <c:v>-64.043556847619769</c:v>
                </c:pt>
                <c:pt idx="580">
                  <c:v>-62.653293233168164</c:v>
                </c:pt>
                <c:pt idx="581">
                  <c:v>-61.056219763440886</c:v>
                </c:pt>
                <c:pt idx="582">
                  <c:v>-60.255087579338323</c:v>
                </c:pt>
                <c:pt idx="583">
                  <c:v>-61.605891343926551</c:v>
                </c:pt>
                <c:pt idx="584">
                  <c:v>-62.651423810489057</c:v>
                </c:pt>
                <c:pt idx="585">
                  <c:v>-64.499203835060484</c:v>
                </c:pt>
                <c:pt idx="586">
                  <c:v>-60.720671387442515</c:v>
                </c:pt>
                <c:pt idx="587">
                  <c:v>-65.212209818647338</c:v>
                </c:pt>
                <c:pt idx="588">
                  <c:v>-64.98836007252234</c:v>
                </c:pt>
                <c:pt idx="589">
                  <c:v>-65.032908673873692</c:v>
                </c:pt>
                <c:pt idx="590">
                  <c:v>-65.180697088577915</c:v>
                </c:pt>
                <c:pt idx="591">
                  <c:v>-66.130728753241058</c:v>
                </c:pt>
                <c:pt idx="592">
                  <c:v>-68.900636978634523</c:v>
                </c:pt>
                <c:pt idx="593">
                  <c:v>-67.589689674151742</c:v>
                </c:pt>
                <c:pt idx="594">
                  <c:v>-68.460538912485092</c:v>
                </c:pt>
                <c:pt idx="595">
                  <c:v>-70.096925993354233</c:v>
                </c:pt>
                <c:pt idx="596">
                  <c:v>-66.810325932357927</c:v>
                </c:pt>
                <c:pt idx="597">
                  <c:v>-68.485005008679963</c:v>
                </c:pt>
                <c:pt idx="598">
                  <c:v>-67.948827272052057</c:v>
                </c:pt>
                <c:pt idx="599">
                  <c:v>-67.766272952829851</c:v>
                </c:pt>
                <c:pt idx="600">
                  <c:v>-68.624316951136308</c:v>
                </c:pt>
                <c:pt idx="601">
                  <c:v>-69.541503517402148</c:v>
                </c:pt>
                <c:pt idx="602">
                  <c:v>-68.597573196322315</c:v>
                </c:pt>
                <c:pt idx="603">
                  <c:v>-70.565851025051359</c:v>
                </c:pt>
                <c:pt idx="604">
                  <c:v>-73.125787332632214</c:v>
                </c:pt>
                <c:pt idx="605">
                  <c:v>-71.493478992709669</c:v>
                </c:pt>
                <c:pt idx="606">
                  <c:v>-73.650493880804319</c:v>
                </c:pt>
                <c:pt idx="607">
                  <c:v>-65.708966853094282</c:v>
                </c:pt>
                <c:pt idx="608">
                  <c:v>-64.146955112090822</c:v>
                </c:pt>
                <c:pt idx="609">
                  <c:v>-64.285094418026887</c:v>
                </c:pt>
                <c:pt idx="610">
                  <c:v>-63.941462945187737</c:v>
                </c:pt>
                <c:pt idx="611">
                  <c:v>-58.326344959145956</c:v>
                </c:pt>
                <c:pt idx="612">
                  <c:v>-66.185037642085078</c:v>
                </c:pt>
                <c:pt idx="613">
                  <c:v>-69.6589578029688</c:v>
                </c:pt>
                <c:pt idx="614">
                  <c:v>-63.925332175060426</c:v>
                </c:pt>
                <c:pt idx="615">
                  <c:v>-63.26216020083821</c:v>
                </c:pt>
                <c:pt idx="616">
                  <c:v>-64.995317473754085</c:v>
                </c:pt>
                <c:pt idx="617">
                  <c:v>-62.911882737926753</c:v>
                </c:pt>
                <c:pt idx="618">
                  <c:v>-62.371245549680182</c:v>
                </c:pt>
                <c:pt idx="619">
                  <c:v>-65.732033841487322</c:v>
                </c:pt>
                <c:pt idx="620">
                  <c:v>-65.479763114619388</c:v>
                </c:pt>
                <c:pt idx="621">
                  <c:v>-64.536601934697828</c:v>
                </c:pt>
                <c:pt idx="622">
                  <c:v>-65.521416389055275</c:v>
                </c:pt>
                <c:pt idx="623">
                  <c:v>-61.938635241272664</c:v>
                </c:pt>
                <c:pt idx="624">
                  <c:v>-58.797315877427181</c:v>
                </c:pt>
                <c:pt idx="625">
                  <c:v>-67.251521120238721</c:v>
                </c:pt>
                <c:pt idx="626">
                  <c:v>-70.514138621893579</c:v>
                </c:pt>
                <c:pt idx="627">
                  <c:v>-72.845848966293588</c:v>
                </c:pt>
                <c:pt idx="628">
                  <c:v>-72.576864994293587</c:v>
                </c:pt>
                <c:pt idx="629">
                  <c:v>-69.870434602164551</c:v>
                </c:pt>
                <c:pt idx="630">
                  <c:v>-70.422048110122873</c:v>
                </c:pt>
                <c:pt idx="631">
                  <c:v>-71.149967915430565</c:v>
                </c:pt>
                <c:pt idx="632">
                  <c:v>-68.935455136097232</c:v>
                </c:pt>
                <c:pt idx="633">
                  <c:v>-70.161912021108222</c:v>
                </c:pt>
                <c:pt idx="634">
                  <c:v>-72.558276337351458</c:v>
                </c:pt>
                <c:pt idx="635">
                  <c:v>-71.444282053807143</c:v>
                </c:pt>
                <c:pt idx="636">
                  <c:v>-73.31678209572496</c:v>
                </c:pt>
                <c:pt idx="637">
                  <c:v>-73.163929667037465</c:v>
                </c:pt>
                <c:pt idx="638">
                  <c:v>-69.671036085837457</c:v>
                </c:pt>
                <c:pt idx="639">
                  <c:v>-71.655307616837462</c:v>
                </c:pt>
                <c:pt idx="640">
                  <c:v>-73.557130885442106</c:v>
                </c:pt>
                <c:pt idx="641">
                  <c:v>-73.946993863360134</c:v>
                </c:pt>
                <c:pt idx="642">
                  <c:v>-74.648850361907975</c:v>
                </c:pt>
                <c:pt idx="643">
                  <c:v>-75.405056591369515</c:v>
                </c:pt>
                <c:pt idx="644">
                  <c:v>-72.315490601491973</c:v>
                </c:pt>
                <c:pt idx="645">
                  <c:v>-75.198212327301491</c:v>
                </c:pt>
                <c:pt idx="646">
                  <c:v>-76.932702985784246</c:v>
                </c:pt>
                <c:pt idx="647">
                  <c:v>-77.049930417353465</c:v>
                </c:pt>
                <c:pt idx="648">
                  <c:v>-74.571159712492701</c:v>
                </c:pt>
                <c:pt idx="649">
                  <c:v>-72.330606216072141</c:v>
                </c:pt>
                <c:pt idx="650">
                  <c:v>-73.962944095095381</c:v>
                </c:pt>
                <c:pt idx="651">
                  <c:v>-73.997025227841405</c:v>
                </c:pt>
                <c:pt idx="652">
                  <c:v>-76.219104232998646</c:v>
                </c:pt>
                <c:pt idx="653">
                  <c:v>-74.850821975969239</c:v>
                </c:pt>
                <c:pt idx="654">
                  <c:v>-74.698821888371839</c:v>
                </c:pt>
                <c:pt idx="655">
                  <c:v>-75.79916393494517</c:v>
                </c:pt>
                <c:pt idx="656">
                  <c:v>-74.748463073752518</c:v>
                </c:pt>
                <c:pt idx="657">
                  <c:v>-74.882498653196961</c:v>
                </c:pt>
                <c:pt idx="658">
                  <c:v>-72.169457317387199</c:v>
                </c:pt>
                <c:pt idx="659">
                  <c:v>-72.169457317387199</c:v>
                </c:pt>
                <c:pt idx="660">
                  <c:v>-76.085379088737639</c:v>
                </c:pt>
                <c:pt idx="661">
                  <c:v>-70.700562500091493</c:v>
                </c:pt>
                <c:pt idx="662">
                  <c:v>-79.725636013657692</c:v>
                </c:pt>
                <c:pt idx="663">
                  <c:v>-79.077971071577693</c:v>
                </c:pt>
                <c:pt idx="664">
                  <c:v>-79.683297123448668</c:v>
                </c:pt>
                <c:pt idx="665">
                  <c:v>-79.480674015527612</c:v>
                </c:pt>
                <c:pt idx="666">
                  <c:v>-78.218954438915944</c:v>
                </c:pt>
                <c:pt idx="667">
                  <c:v>-80.673089295619249</c:v>
                </c:pt>
                <c:pt idx="668">
                  <c:v>-80.874298847070861</c:v>
                </c:pt>
                <c:pt idx="669">
                  <c:v>-81.441646132285157</c:v>
                </c:pt>
                <c:pt idx="670">
                  <c:v>-79.214333224285156</c:v>
                </c:pt>
                <c:pt idx="671">
                  <c:v>-81.114397353435137</c:v>
                </c:pt>
                <c:pt idx="672">
                  <c:v>-79.010384840526044</c:v>
                </c:pt>
                <c:pt idx="673">
                  <c:v>-80.29862108025938</c:v>
                </c:pt>
                <c:pt idx="674">
                  <c:v>-82.608656217433293</c:v>
                </c:pt>
                <c:pt idx="675">
                  <c:v>-81.791538370346331</c:v>
                </c:pt>
                <c:pt idx="676">
                  <c:v>-84.337304014235229</c:v>
                </c:pt>
                <c:pt idx="677">
                  <c:v>-80.66779338303958</c:v>
                </c:pt>
                <c:pt idx="678">
                  <c:v>-80.749001351035389</c:v>
                </c:pt>
                <c:pt idx="679">
                  <c:v>-78.297136035399035</c:v>
                </c:pt>
                <c:pt idx="680">
                  <c:v>-84.123686762615534</c:v>
                </c:pt>
                <c:pt idx="681">
                  <c:v>-89.11974067371554</c:v>
                </c:pt>
                <c:pt idx="682">
                  <c:v>-91.381536254249554</c:v>
                </c:pt>
                <c:pt idx="683">
                  <c:v>-90.170276897057249</c:v>
                </c:pt>
                <c:pt idx="684">
                  <c:v>-87.01628127539847</c:v>
                </c:pt>
                <c:pt idx="685">
                  <c:v>-83.766359898403891</c:v>
                </c:pt>
                <c:pt idx="686">
                  <c:v>-92.470570171719856</c:v>
                </c:pt>
                <c:pt idx="687">
                  <c:v>-77.252716336169684</c:v>
                </c:pt>
                <c:pt idx="688">
                  <c:v>-75.284408142897391</c:v>
                </c:pt>
                <c:pt idx="689">
                  <c:v>-70.906700766144411</c:v>
                </c:pt>
                <c:pt idx="690">
                  <c:v>-70.204611470946432</c:v>
                </c:pt>
                <c:pt idx="691">
                  <c:v>-62.150767259232644</c:v>
                </c:pt>
                <c:pt idx="692">
                  <c:v>-60.891402889998311</c:v>
                </c:pt>
                <c:pt idx="693">
                  <c:v>-58.577373602521682</c:v>
                </c:pt>
                <c:pt idx="694">
                  <c:v>-58.188801272196102</c:v>
                </c:pt>
                <c:pt idx="695">
                  <c:v>-56.457290665985049</c:v>
                </c:pt>
                <c:pt idx="696">
                  <c:v>-60.68182498012952</c:v>
                </c:pt>
                <c:pt idx="697">
                  <c:v>-63.796086004387945</c:v>
                </c:pt>
                <c:pt idx="698">
                  <c:v>-61.787642675020422</c:v>
                </c:pt>
                <c:pt idx="699">
                  <c:v>-59.825845603006023</c:v>
                </c:pt>
                <c:pt idx="700">
                  <c:v>-63.566986458465166</c:v>
                </c:pt>
                <c:pt idx="701">
                  <c:v>-66.933050046481554</c:v>
                </c:pt>
                <c:pt idx="702">
                  <c:v>-67.963263894452027</c:v>
                </c:pt>
                <c:pt idx="703">
                  <c:v>-65.112152341591568</c:v>
                </c:pt>
                <c:pt idx="704">
                  <c:v>-63.976745299896649</c:v>
                </c:pt>
                <c:pt idx="705">
                  <c:v>-65.367767046256304</c:v>
                </c:pt>
                <c:pt idx="706">
                  <c:v>-65.543564191938131</c:v>
                </c:pt>
                <c:pt idx="707">
                  <c:v>-64.147475379283804</c:v>
                </c:pt>
                <c:pt idx="708">
                  <c:v>-66.410871985021899</c:v>
                </c:pt>
                <c:pt idx="709">
                  <c:v>-65.354055765771008</c:v>
                </c:pt>
                <c:pt idx="710">
                  <c:v>-67.768211951075358</c:v>
                </c:pt>
                <c:pt idx="711">
                  <c:v>-71.119550731623306</c:v>
                </c:pt>
                <c:pt idx="712">
                  <c:v>-70.752699543896597</c:v>
                </c:pt>
                <c:pt idx="713">
                  <c:v>-67.710929706477245</c:v>
                </c:pt>
                <c:pt idx="714">
                  <c:v>-69.093616283224222</c:v>
                </c:pt>
                <c:pt idx="715">
                  <c:v>-67.031232591378441</c:v>
                </c:pt>
                <c:pt idx="716">
                  <c:v>-62.132898475494741</c:v>
                </c:pt>
                <c:pt idx="717">
                  <c:v>-65.954302688817009</c:v>
                </c:pt>
                <c:pt idx="718">
                  <c:v>-67.530600242282361</c:v>
                </c:pt>
                <c:pt idx="719">
                  <c:v>-70.549999197519881</c:v>
                </c:pt>
                <c:pt idx="720">
                  <c:v>-70.433572840964317</c:v>
                </c:pt>
                <c:pt idx="721">
                  <c:v>-64.593140639241611</c:v>
                </c:pt>
                <c:pt idx="722">
                  <c:v>-70.933514213604198</c:v>
                </c:pt>
                <c:pt idx="723">
                  <c:v>-71.324227041617888</c:v>
                </c:pt>
                <c:pt idx="724">
                  <c:v>-68.11565368283739</c:v>
                </c:pt>
                <c:pt idx="725">
                  <c:v>-75.175897842853885</c:v>
                </c:pt>
                <c:pt idx="726">
                  <c:v>-76.195784443822291</c:v>
                </c:pt>
                <c:pt idx="727">
                  <c:v>-77.001332279693258</c:v>
                </c:pt>
                <c:pt idx="728">
                  <c:v>-75.294231981762238</c:v>
                </c:pt>
                <c:pt idx="729">
                  <c:v>-79.900230513859</c:v>
                </c:pt>
                <c:pt idx="730">
                  <c:v>-80.34099690732053</c:v>
                </c:pt>
                <c:pt idx="731">
                  <c:v>-81.838587172204242</c:v>
                </c:pt>
                <c:pt idx="732">
                  <c:v>-81.7206903988709</c:v>
                </c:pt>
                <c:pt idx="733">
                  <c:v>-82.325297774006032</c:v>
                </c:pt>
                <c:pt idx="734">
                  <c:v>-81.999276290339353</c:v>
                </c:pt>
                <c:pt idx="735">
                  <c:v>-83.100931441739348</c:v>
                </c:pt>
                <c:pt idx="736">
                  <c:v>-81.869423868570337</c:v>
                </c:pt>
                <c:pt idx="737">
                  <c:v>-82.531312997801109</c:v>
                </c:pt>
                <c:pt idx="738">
                  <c:v>-84.016262708382513</c:v>
                </c:pt>
                <c:pt idx="739">
                  <c:v>-84.968341492142841</c:v>
                </c:pt>
                <c:pt idx="740">
                  <c:v>-83.464295628901823</c:v>
                </c:pt>
                <c:pt idx="741">
                  <c:v>-80.713446608629084</c:v>
                </c:pt>
                <c:pt idx="742">
                  <c:v>-88.793761557309082</c:v>
                </c:pt>
                <c:pt idx="743">
                  <c:v>-90.286946272629493</c:v>
                </c:pt>
                <c:pt idx="744">
                  <c:v>-91.091808393363664</c:v>
                </c:pt>
                <c:pt idx="745">
                  <c:v>-91.27129076986958</c:v>
                </c:pt>
                <c:pt idx="746">
                  <c:v>-92.676279490206667</c:v>
                </c:pt>
                <c:pt idx="747">
                  <c:v>-92.840505398873333</c:v>
                </c:pt>
                <c:pt idx="748">
                  <c:v>-91.786255856719478</c:v>
                </c:pt>
                <c:pt idx="749">
                  <c:v>-93.273687638287058</c:v>
                </c:pt>
                <c:pt idx="750">
                  <c:v>-92.324298888870374</c:v>
                </c:pt>
                <c:pt idx="751">
                  <c:v>-92.165337911632278</c:v>
                </c:pt>
                <c:pt idx="752">
                  <c:v>-91.084587050051624</c:v>
                </c:pt>
                <c:pt idx="753">
                  <c:v>-92.323770354614638</c:v>
                </c:pt>
                <c:pt idx="754">
                  <c:v>-91.823223777422328</c:v>
                </c:pt>
                <c:pt idx="755">
                  <c:v>-90.186945293396008</c:v>
                </c:pt>
                <c:pt idx="756">
                  <c:v>-92.124531699491257</c:v>
                </c:pt>
                <c:pt idx="757">
                  <c:v>-89.082744602531264</c:v>
                </c:pt>
                <c:pt idx="758">
                  <c:v>-90.962872670468414</c:v>
                </c:pt>
                <c:pt idx="759">
                  <c:v>-89.429029711115476</c:v>
                </c:pt>
                <c:pt idx="760">
                  <c:v>-87.941349530773365</c:v>
                </c:pt>
                <c:pt idx="761">
                  <c:v>-86.371895916440025</c:v>
                </c:pt>
                <c:pt idx="762">
                  <c:v>-84.819738184958553</c:v>
                </c:pt>
                <c:pt idx="763">
                  <c:v>-84.819738184958553</c:v>
                </c:pt>
                <c:pt idx="764">
                  <c:v>-83.81637122099491</c:v>
                </c:pt>
                <c:pt idx="765">
                  <c:v>-80.869371443548118</c:v>
                </c:pt>
                <c:pt idx="766">
                  <c:v>-86.394865450750899</c:v>
                </c:pt>
                <c:pt idx="767">
                  <c:v>-81.317724440750894</c:v>
                </c:pt>
                <c:pt idx="768">
                  <c:v>-69.343047166775008</c:v>
                </c:pt>
                <c:pt idx="769">
                  <c:v>-80.855157577587519</c:v>
                </c:pt>
                <c:pt idx="770">
                  <c:v>-94.238257444997785</c:v>
                </c:pt>
                <c:pt idx="771">
                  <c:v>-98.488661968657354</c:v>
                </c:pt>
                <c:pt idx="772">
                  <c:v>-101.21699229980022</c:v>
                </c:pt>
                <c:pt idx="773">
                  <c:v>-96.507553613225227</c:v>
                </c:pt>
                <c:pt idx="774">
                  <c:v>-90.340066615085703</c:v>
                </c:pt>
                <c:pt idx="775">
                  <c:v>-94.571105404629321</c:v>
                </c:pt>
                <c:pt idx="776">
                  <c:v>-87.584909674161793</c:v>
                </c:pt>
                <c:pt idx="777">
                  <c:v>-85.656213614479256</c:v>
                </c:pt>
                <c:pt idx="778">
                  <c:v>-76.859916525312002</c:v>
                </c:pt>
                <c:pt idx="779">
                  <c:v>-73.498966776174072</c:v>
                </c:pt>
                <c:pt idx="780">
                  <c:v>-43.374116343410627</c:v>
                </c:pt>
                <c:pt idx="781">
                  <c:v>-38.356535432147126</c:v>
                </c:pt>
                <c:pt idx="782">
                  <c:v>-40.196246147043681</c:v>
                </c:pt>
                <c:pt idx="783">
                  <c:v>-38.668771349863555</c:v>
                </c:pt>
                <c:pt idx="784">
                  <c:v>-44.685769330392844</c:v>
                </c:pt>
                <c:pt idx="785">
                  <c:v>-45.534441126736802</c:v>
                </c:pt>
                <c:pt idx="786">
                  <c:v>-48.692207060514811</c:v>
                </c:pt>
                <c:pt idx="787">
                  <c:v>-49.662846899027308</c:v>
                </c:pt>
                <c:pt idx="788">
                  <c:v>-50.609114517978128</c:v>
                </c:pt>
                <c:pt idx="789">
                  <c:v>-47.501090180273515</c:v>
                </c:pt>
                <c:pt idx="790">
                  <c:v>-52.730898573905563</c:v>
                </c:pt>
                <c:pt idx="791">
                  <c:v>-54.427387528680839</c:v>
                </c:pt>
                <c:pt idx="792">
                  <c:v>-50.670331328140449</c:v>
                </c:pt>
                <c:pt idx="793">
                  <c:v>-56.927382754419519</c:v>
                </c:pt>
                <c:pt idx="794">
                  <c:v>-58.437744530771674</c:v>
                </c:pt>
                <c:pt idx="795">
                  <c:v>-66.834991541146124</c:v>
                </c:pt>
                <c:pt idx="796">
                  <c:v>-61.564985672694995</c:v>
                </c:pt>
                <c:pt idx="797">
                  <c:v>-65.940051503912386</c:v>
                </c:pt>
                <c:pt idx="798">
                  <c:v>-68.279608182752398</c:v>
                </c:pt>
                <c:pt idx="799">
                  <c:v>-69.136380983624406</c:v>
                </c:pt>
                <c:pt idx="800">
                  <c:v>-68.100245217988046</c:v>
                </c:pt>
                <c:pt idx="801">
                  <c:v>-69.517080098915187</c:v>
                </c:pt>
                <c:pt idx="802">
                  <c:v>-69.500316263801551</c:v>
                </c:pt>
                <c:pt idx="803">
                  <c:v>-69.281315289494884</c:v>
                </c:pt>
                <c:pt idx="804">
                  <c:v>-70.174051501494887</c:v>
                </c:pt>
                <c:pt idx="805">
                  <c:v>-69.626240029197007</c:v>
                </c:pt>
                <c:pt idx="806">
                  <c:v>-69.178810743095752</c:v>
                </c:pt>
                <c:pt idx="807">
                  <c:v>-69.37450050238148</c:v>
                </c:pt>
                <c:pt idx="808">
                  <c:v>-68.73735777158501</c:v>
                </c:pt>
                <c:pt idx="809">
                  <c:v>-69.32070771714055</c:v>
                </c:pt>
                <c:pt idx="810">
                  <c:v>-70.144217492479399</c:v>
                </c:pt>
                <c:pt idx="811">
                  <c:v>-70.673977868226771</c:v>
                </c:pt>
                <c:pt idx="812">
                  <c:v>-69.811890587580052</c:v>
                </c:pt>
                <c:pt idx="813">
                  <c:v>-71.01052165438999</c:v>
                </c:pt>
                <c:pt idx="814">
                  <c:v>-70.42029945549713</c:v>
                </c:pt>
                <c:pt idx="815">
                  <c:v>-71.117462832228213</c:v>
                </c:pt>
                <c:pt idx="816">
                  <c:v>-72.220924421682767</c:v>
                </c:pt>
                <c:pt idx="817">
                  <c:v>-72.321344510410043</c:v>
                </c:pt>
                <c:pt idx="818">
                  <c:v>-71.94452755585003</c:v>
                </c:pt>
                <c:pt idx="819">
                  <c:v>-72.101073858250018</c:v>
                </c:pt>
                <c:pt idx="820">
                  <c:v>-72.231274160375023</c:v>
                </c:pt>
                <c:pt idx="821">
                  <c:v>-71.35511983696594</c:v>
                </c:pt>
                <c:pt idx="822">
                  <c:v>-71.273598097227463</c:v>
                </c:pt>
                <c:pt idx="823">
                  <c:v>-68.613647555130697</c:v>
                </c:pt>
                <c:pt idx="824">
                  <c:v>-68.747398677840607</c:v>
                </c:pt>
                <c:pt idx="825">
                  <c:v>-66.346179913511136</c:v>
                </c:pt>
                <c:pt idx="826">
                  <c:v>-68.110293970338731</c:v>
                </c:pt>
                <c:pt idx="827">
                  <c:v>-68.18553790463659</c:v>
                </c:pt>
                <c:pt idx="828">
                  <c:v>-67.045284173607172</c:v>
                </c:pt>
                <c:pt idx="829">
                  <c:v>-65.234198176199399</c:v>
                </c:pt>
                <c:pt idx="830">
                  <c:v>-67.557731302816677</c:v>
                </c:pt>
                <c:pt idx="831">
                  <c:v>-68.002027788093784</c:v>
                </c:pt>
                <c:pt idx="832">
                  <c:v>-68.955785611909874</c:v>
                </c:pt>
                <c:pt idx="833">
                  <c:v>-67.956450852294495</c:v>
                </c:pt>
                <c:pt idx="834">
                  <c:v>-68.688487121494489</c:v>
                </c:pt>
                <c:pt idx="835">
                  <c:v>-69.343560967835955</c:v>
                </c:pt>
                <c:pt idx="836">
                  <c:v>-67.917304025804725</c:v>
                </c:pt>
                <c:pt idx="837">
                  <c:v>-65.044657128034657</c:v>
                </c:pt>
                <c:pt idx="838">
                  <c:v>-65.213816152534662</c:v>
                </c:pt>
                <c:pt idx="839">
                  <c:v>-65.413827025019501</c:v>
                </c:pt>
                <c:pt idx="840">
                  <c:v>-60.990636978184071</c:v>
                </c:pt>
                <c:pt idx="841">
                  <c:v>-63.336228910151817</c:v>
                </c:pt>
                <c:pt idx="842">
                  <c:v>-68.556554155824529</c:v>
                </c:pt>
                <c:pt idx="843">
                  <c:v>-70.815898877725957</c:v>
                </c:pt>
                <c:pt idx="844">
                  <c:v>-72.087118183074566</c:v>
                </c:pt>
                <c:pt idx="845">
                  <c:v>-71.701540529148645</c:v>
                </c:pt>
                <c:pt idx="846">
                  <c:v>-71.610480656840949</c:v>
                </c:pt>
                <c:pt idx="847">
                  <c:v>-71.666656761375833</c:v>
                </c:pt>
                <c:pt idx="848">
                  <c:v>-71.456620463243752</c:v>
                </c:pt>
                <c:pt idx="849">
                  <c:v>-71.70488474396376</c:v>
                </c:pt>
                <c:pt idx="850">
                  <c:v>-71.14145497256024</c:v>
                </c:pt>
                <c:pt idx="851">
                  <c:v>-72.177483363752899</c:v>
                </c:pt>
                <c:pt idx="852">
                  <c:v>-71.998046586540781</c:v>
                </c:pt>
                <c:pt idx="853">
                  <c:v>-72.716251871302674</c:v>
                </c:pt>
                <c:pt idx="854">
                  <c:v>-73.065694684287749</c:v>
                </c:pt>
                <c:pt idx="855">
                  <c:v>-72.781491841738742</c:v>
                </c:pt>
                <c:pt idx="856">
                  <c:v>-72.552275640773701</c:v>
                </c:pt>
                <c:pt idx="857">
                  <c:v>-70.53392712002875</c:v>
                </c:pt>
                <c:pt idx="858">
                  <c:v>-70.020485024828744</c:v>
                </c:pt>
                <c:pt idx="859">
                  <c:v>-69.483000483181684</c:v>
                </c:pt>
                <c:pt idx="860">
                  <c:v>-69.327482349842057</c:v>
                </c:pt>
                <c:pt idx="861">
                  <c:v>-69.327482349842057</c:v>
                </c:pt>
                <c:pt idx="862">
                  <c:v>-69.301369373499938</c:v>
                </c:pt>
                <c:pt idx="863">
                  <c:v>-70.158011313844312</c:v>
                </c:pt>
                <c:pt idx="864">
                  <c:v>-70.432922655558613</c:v>
                </c:pt>
                <c:pt idx="865">
                  <c:v>-70.76697020870148</c:v>
                </c:pt>
                <c:pt idx="866">
                  <c:v>-70.618907536747614</c:v>
                </c:pt>
                <c:pt idx="867">
                  <c:v>-70.473495011947634</c:v>
                </c:pt>
                <c:pt idx="868">
                  <c:v>-70.449025580129444</c:v>
                </c:pt>
                <c:pt idx="869">
                  <c:v>-70.765387107311255</c:v>
                </c:pt>
                <c:pt idx="870">
                  <c:v>-70.372635297817013</c:v>
                </c:pt>
                <c:pt idx="871">
                  <c:v>-69.913820451010281</c:v>
                </c:pt>
                <c:pt idx="872">
                  <c:v>-70.654717508142028</c:v>
                </c:pt>
                <c:pt idx="873">
                  <c:v>-70.79129103189878</c:v>
                </c:pt>
                <c:pt idx="874">
                  <c:v>-70.833294393029917</c:v>
                </c:pt>
                <c:pt idx="875">
                  <c:v>-69.272076658857742</c:v>
                </c:pt>
                <c:pt idx="876">
                  <c:v>-70.211842101473124</c:v>
                </c:pt>
                <c:pt idx="877">
                  <c:v>-69.891220057025777</c:v>
                </c:pt>
                <c:pt idx="878">
                  <c:v>-70.847701928016875</c:v>
                </c:pt>
                <c:pt idx="879">
                  <c:v>-72.669867704965071</c:v>
                </c:pt>
                <c:pt idx="880">
                  <c:v>-73.058493177298402</c:v>
                </c:pt>
                <c:pt idx="881">
                  <c:v>-72.975918913298401</c:v>
                </c:pt>
                <c:pt idx="882">
                  <c:v>-73.754309331076172</c:v>
                </c:pt>
                <c:pt idx="883">
                  <c:v>-72.687420904593665</c:v>
                </c:pt>
                <c:pt idx="884">
                  <c:v>-71.305065718636655</c:v>
                </c:pt>
                <c:pt idx="885">
                  <c:v>-70.850711282195988</c:v>
                </c:pt>
                <c:pt idx="886">
                  <c:v>-70.012933454485704</c:v>
                </c:pt>
                <c:pt idx="887">
                  <c:v>-68.882282570230387</c:v>
                </c:pt>
                <c:pt idx="888">
                  <c:v>-68.906703978646377</c:v>
                </c:pt>
                <c:pt idx="889">
                  <c:v>-66.468091272297826</c:v>
                </c:pt>
                <c:pt idx="890">
                  <c:v>-69.7386733112575</c:v>
                </c:pt>
                <c:pt idx="891">
                  <c:v>-70.960189272644584</c:v>
                </c:pt>
                <c:pt idx="892">
                  <c:v>-72.931587576339481</c:v>
                </c:pt>
                <c:pt idx="893">
                  <c:v>-75.143732151787106</c:v>
                </c:pt>
                <c:pt idx="894">
                  <c:v>-74.365895211523949</c:v>
                </c:pt>
                <c:pt idx="895">
                  <c:v>-74.946001828030276</c:v>
                </c:pt>
                <c:pt idx="896">
                  <c:v>-72.206339419004635</c:v>
                </c:pt>
                <c:pt idx="897">
                  <c:v>-70.303616484237509</c:v>
                </c:pt>
                <c:pt idx="898">
                  <c:v>-64.564822115442453</c:v>
                </c:pt>
                <c:pt idx="899">
                  <c:v>-68.515623376348287</c:v>
                </c:pt>
                <c:pt idx="900">
                  <c:v>-67.810133714583586</c:v>
                </c:pt>
                <c:pt idx="901">
                  <c:v>-66.124249679442556</c:v>
                </c:pt>
                <c:pt idx="902">
                  <c:v>-71.781750461990171</c:v>
                </c:pt>
                <c:pt idx="903">
                  <c:v>-66.43918111807713</c:v>
                </c:pt>
                <c:pt idx="904">
                  <c:v>-59.452503439709311</c:v>
                </c:pt>
                <c:pt idx="905">
                  <c:v>-49.713540684979989</c:v>
                </c:pt>
                <c:pt idx="906">
                  <c:v>-54.54429688311636</c:v>
                </c:pt>
                <c:pt idx="907">
                  <c:v>-56.518195332057886</c:v>
                </c:pt>
                <c:pt idx="908">
                  <c:v>-55.729577315081137</c:v>
                </c:pt>
                <c:pt idx="909">
                  <c:v>-54.911975925495767</c:v>
                </c:pt>
                <c:pt idx="910">
                  <c:v>-55.190993149232604</c:v>
                </c:pt>
                <c:pt idx="911">
                  <c:v>-54.229834555495231</c:v>
                </c:pt>
                <c:pt idx="912">
                  <c:v>-54.000207331495233</c:v>
                </c:pt>
                <c:pt idx="913">
                  <c:v>-54.360737015377595</c:v>
                </c:pt>
                <c:pt idx="914">
                  <c:v>-53.957073249777594</c:v>
                </c:pt>
                <c:pt idx="915">
                  <c:v>-54.070232365168891</c:v>
                </c:pt>
                <c:pt idx="916">
                  <c:v>-53.486901697532531</c:v>
                </c:pt>
                <c:pt idx="917">
                  <c:v>-54.02017219842142</c:v>
                </c:pt>
                <c:pt idx="918">
                  <c:v>-53.683184994960747</c:v>
                </c:pt>
                <c:pt idx="919">
                  <c:v>-53.875577448760751</c:v>
                </c:pt>
                <c:pt idx="920">
                  <c:v>-52.970111475424986</c:v>
                </c:pt>
                <c:pt idx="921">
                  <c:v>-52.654102853824988</c:v>
                </c:pt>
                <c:pt idx="922">
                  <c:v>-52.501847631774488</c:v>
                </c:pt>
                <c:pt idx="923">
                  <c:v>-52.585175411218927</c:v>
                </c:pt>
                <c:pt idx="924">
                  <c:v>-52.200878817885595</c:v>
                </c:pt>
                <c:pt idx="925">
                  <c:v>-52.830541079925588</c:v>
                </c:pt>
                <c:pt idx="926">
                  <c:v>-53.5655249547737</c:v>
                </c:pt>
                <c:pt idx="927">
                  <c:v>-51.461601346605235</c:v>
                </c:pt>
                <c:pt idx="928">
                  <c:v>-52.113056903605234</c:v>
                </c:pt>
                <c:pt idx="929">
                  <c:v>-49.397089506958892</c:v>
                </c:pt>
                <c:pt idx="930">
                  <c:v>-49.907614032905656</c:v>
                </c:pt>
                <c:pt idx="931">
                  <c:v>-50.742075750918104</c:v>
                </c:pt>
                <c:pt idx="932">
                  <c:v>-48.568543884353041</c:v>
                </c:pt>
                <c:pt idx="933">
                  <c:v>-48.487847382452678</c:v>
                </c:pt>
                <c:pt idx="934">
                  <c:v>-48.730152875231475</c:v>
                </c:pt>
                <c:pt idx="935">
                  <c:v>-47.059718283231462</c:v>
                </c:pt>
                <c:pt idx="936">
                  <c:v>-46.691401138590855</c:v>
                </c:pt>
                <c:pt idx="937">
                  <c:v>-46.06495994871851</c:v>
                </c:pt>
                <c:pt idx="938">
                  <c:v>-44.872660180960935</c:v>
                </c:pt>
                <c:pt idx="939">
                  <c:v>-44.280466559378318</c:v>
                </c:pt>
                <c:pt idx="940">
                  <c:v>-43.449069928943537</c:v>
                </c:pt>
                <c:pt idx="941">
                  <c:v>-40.766956166240668</c:v>
                </c:pt>
                <c:pt idx="942">
                  <c:v>-43.550272684510404</c:v>
                </c:pt>
                <c:pt idx="943">
                  <c:v>-34.030660100044145</c:v>
                </c:pt>
                <c:pt idx="944">
                  <c:v>-38.357322538300274</c:v>
                </c:pt>
                <c:pt idx="945">
                  <c:v>-34.153707221726798</c:v>
                </c:pt>
                <c:pt idx="946">
                  <c:v>-34.003812956832412</c:v>
                </c:pt>
                <c:pt idx="947">
                  <c:v>-34.030390763690946</c:v>
                </c:pt>
                <c:pt idx="948">
                  <c:v>-31.11891441159035</c:v>
                </c:pt>
                <c:pt idx="949">
                  <c:v>-30.689537780525253</c:v>
                </c:pt>
                <c:pt idx="950">
                  <c:v>-24.328205211200252</c:v>
                </c:pt>
                <c:pt idx="951">
                  <c:v>-27.729817541200269</c:v>
                </c:pt>
                <c:pt idx="952">
                  <c:v>-20.485217209625812</c:v>
                </c:pt>
                <c:pt idx="953">
                  <c:v>-17.995360899443984</c:v>
                </c:pt>
                <c:pt idx="954">
                  <c:v>-14.619198183840114</c:v>
                </c:pt>
                <c:pt idx="955">
                  <c:v>-17.851443453295204</c:v>
                </c:pt>
                <c:pt idx="956">
                  <c:v>-14.466255888283792</c:v>
                </c:pt>
                <c:pt idx="957">
                  <c:v>-18.563425802928947</c:v>
                </c:pt>
                <c:pt idx="958">
                  <c:v>-18.835886081606631</c:v>
                </c:pt>
                <c:pt idx="959">
                  <c:v>-16.999151276118251</c:v>
                </c:pt>
                <c:pt idx="960">
                  <c:v>-13.616782851157607</c:v>
                </c:pt>
                <c:pt idx="961">
                  <c:v>-8.1517406982559741</c:v>
                </c:pt>
                <c:pt idx="962">
                  <c:v>-3.6472057804859208</c:v>
                </c:pt>
                <c:pt idx="963">
                  <c:v>-10.422288276485927</c:v>
                </c:pt>
                <c:pt idx="964">
                  <c:v>-6.7324041662853285</c:v>
                </c:pt>
                <c:pt idx="965">
                  <c:v>-11.407636130020256</c:v>
                </c:pt>
                <c:pt idx="966">
                  <c:v>-14.418431880160339</c:v>
                </c:pt>
                <c:pt idx="967">
                  <c:v>-16.985343070841658</c:v>
                </c:pt>
                <c:pt idx="968">
                  <c:v>-27.538090200264261</c:v>
                </c:pt>
                <c:pt idx="969">
                  <c:v>-37.844462040694886</c:v>
                </c:pt>
                <c:pt idx="970">
                  <c:v>-34.425332963261241</c:v>
                </c:pt>
                <c:pt idx="971">
                  <c:v>-31.297094753438166</c:v>
                </c:pt>
                <c:pt idx="972">
                  <c:v>-24.876555961438157</c:v>
                </c:pt>
                <c:pt idx="973">
                  <c:v>-30.672314712993703</c:v>
                </c:pt>
                <c:pt idx="974">
                  <c:v>-26.366107696491735</c:v>
                </c:pt>
                <c:pt idx="975">
                  <c:v>-18.064037299277459</c:v>
                </c:pt>
                <c:pt idx="976">
                  <c:v>-22.180350475505779</c:v>
                </c:pt>
                <c:pt idx="977">
                  <c:v>-19.691060740102781</c:v>
                </c:pt>
                <c:pt idx="978">
                  <c:v>-13.708882275188492</c:v>
                </c:pt>
                <c:pt idx="979">
                  <c:v>-6.3664575134961989</c:v>
                </c:pt>
                <c:pt idx="980">
                  <c:v>-3.2612363017143804</c:v>
                </c:pt>
                <c:pt idx="981">
                  <c:v>-0.24855614136621951</c:v>
                </c:pt>
                <c:pt idx="982">
                  <c:v>31.340738224524866</c:v>
                </c:pt>
                <c:pt idx="983">
                  <c:v>67.456715055605358</c:v>
                </c:pt>
                <c:pt idx="984">
                  <c:v>50.587577256733148</c:v>
                </c:pt>
                <c:pt idx="985">
                  <c:v>25.010040820000061</c:v>
                </c:pt>
                <c:pt idx="986">
                  <c:v>38.189095788563442</c:v>
                </c:pt>
                <c:pt idx="987">
                  <c:v>2.020487334652171</c:v>
                </c:pt>
                <c:pt idx="988">
                  <c:v>-6.1253625041235473</c:v>
                </c:pt>
                <c:pt idx="989">
                  <c:v>-18.77883755291678</c:v>
                </c:pt>
                <c:pt idx="990">
                  <c:v>7.9248213510085987</c:v>
                </c:pt>
                <c:pt idx="991">
                  <c:v>-13.441340872506258</c:v>
                </c:pt>
                <c:pt idx="992">
                  <c:v>-17.451400335600002</c:v>
                </c:pt>
                <c:pt idx="993">
                  <c:v>-19.711325603002987</c:v>
                </c:pt>
                <c:pt idx="994">
                  <c:v>-22.722826886371408</c:v>
                </c:pt>
                <c:pt idx="995">
                  <c:v>-21.83091424679246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7F-4AE4-AD5C-6289F6153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142096"/>
        <c:axId val="528142928"/>
      </c:lineChart>
      <c:dateAx>
        <c:axId val="528142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2928"/>
        <c:crosses val="autoZero"/>
        <c:auto val="1"/>
        <c:lblOffset val="100"/>
        <c:baseTimeUnit val="days"/>
      </c:dateAx>
      <c:valAx>
        <c:axId val="52814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B2F1247-3445-4010-B0C8-066C60500ACF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59C5F2-8ADF-40EB-B97A-1C54913374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2.923</v>
      </c>
      <c r="D2" s="4">
        <f>MIN(D3:D1912)</f>
        <v>2.63E-3</v>
      </c>
      <c r="E2" s="1"/>
      <c r="F2" s="1"/>
      <c r="G2" s="1"/>
    </row>
    <row r="3" spans="1:20" x14ac:dyDescent="0.25">
      <c r="A3" s="5"/>
    </row>
    <row r="4" spans="1:20" x14ac:dyDescent="0.25">
      <c r="A4" s="5"/>
      <c r="C4" s="6" t="s">
        <v>34</v>
      </c>
      <c r="L4" t="s">
        <v>7</v>
      </c>
      <c r="M4" t="s">
        <v>7</v>
      </c>
      <c r="N4" t="s">
        <v>8</v>
      </c>
    </row>
    <row r="5" spans="1:20" x14ac:dyDescent="0.25">
      <c r="A5" s="5">
        <v>44588</v>
      </c>
      <c r="B5">
        <v>1.589</v>
      </c>
      <c r="C5">
        <v>1.623</v>
      </c>
      <c r="D5">
        <v>1.542</v>
      </c>
      <c r="E5">
        <v>1.5469999999999999</v>
      </c>
      <c r="F5">
        <v>12344744.199999999</v>
      </c>
      <c r="G5">
        <v>1.5469999999999999</v>
      </c>
      <c r="L5" t="s">
        <v>7</v>
      </c>
      <c r="M5" t="s">
        <v>7</v>
      </c>
      <c r="N5" t="s">
        <v>8</v>
      </c>
      <c r="P5">
        <f t="shared" ref="P5" si="0">IF(C5=D5,0,((E5-D5)-(C5-E5))/(C5-D5))</f>
        <v>-0.87654320987654577</v>
      </c>
      <c r="Q5">
        <f t="shared" ref="Q5" si="1">F5*P5</f>
        <v>-10820701.70617287</v>
      </c>
      <c r="R5">
        <f t="shared" ref="R5" si="2">R6+Q5</f>
        <v>5014635770.8683729</v>
      </c>
      <c r="S5">
        <f t="shared" ref="S5" si="3">R5/100000</f>
        <v>50146.357708683732</v>
      </c>
      <c r="T5">
        <f t="shared" ref="T5" si="4">S5/1000</f>
        <v>50.14635770868373</v>
      </c>
    </row>
    <row r="6" spans="1:20" x14ac:dyDescent="0.25">
      <c r="A6" s="5">
        <v>44587</v>
      </c>
      <c r="B6">
        <v>1.5580000000000001</v>
      </c>
      <c r="C6">
        <v>1.8220000000000001</v>
      </c>
      <c r="D6">
        <v>1.5249999999999999</v>
      </c>
      <c r="E6">
        <v>1.59</v>
      </c>
      <c r="F6">
        <v>207512832</v>
      </c>
      <c r="G6">
        <v>1.59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-0.5622895622895614</v>
      </c>
      <c r="Q6">
        <f t="shared" ref="Q6" si="6">F6*P6</f>
        <v>-116682299.47474729</v>
      </c>
      <c r="R6">
        <f t="shared" ref="R6" si="7">R7+Q6</f>
        <v>5025456472.5745459</v>
      </c>
      <c r="S6">
        <f t="shared" ref="S6" si="8">R6/100000</f>
        <v>50254.564725745462</v>
      </c>
      <c r="T6">
        <f t="shared" ref="T6" si="9">S6/1000</f>
        <v>50.25456472574546</v>
      </c>
    </row>
    <row r="7" spans="1:20" x14ac:dyDescent="0.25">
      <c r="A7" s="5">
        <v>44586</v>
      </c>
      <c r="B7">
        <v>1.506</v>
      </c>
      <c r="C7">
        <v>1.611</v>
      </c>
      <c r="D7">
        <v>1.41</v>
      </c>
      <c r="E7">
        <v>1.5589999999999999</v>
      </c>
      <c r="F7">
        <v>134168952.59999999</v>
      </c>
      <c r="G7">
        <v>1.5589999999999999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0.48258706467661661</v>
      </c>
      <c r="Q7">
        <f t="shared" ref="Q7" si="11">F7*P7</f>
        <v>64748201.005970106</v>
      </c>
      <c r="R7">
        <f t="shared" ref="R7" si="12">R8+Q7</f>
        <v>5142138772.0492935</v>
      </c>
      <c r="S7">
        <f t="shared" ref="S7" si="13">R7/100000</f>
        <v>51421.387720492938</v>
      </c>
      <c r="T7">
        <f t="shared" ref="T7" si="14">S7/1000</f>
        <v>51.421387720492937</v>
      </c>
    </row>
    <row r="8" spans="1:20" x14ac:dyDescent="0.25">
      <c r="A8" s="5">
        <v>44585</v>
      </c>
      <c r="B8">
        <v>1.617</v>
      </c>
      <c r="C8">
        <v>1.617</v>
      </c>
      <c r="D8">
        <v>1.306</v>
      </c>
      <c r="E8">
        <v>1.506</v>
      </c>
      <c r="F8">
        <v>226249382</v>
      </c>
      <c r="G8">
        <v>1.506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0.28617363344051444</v>
      </c>
      <c r="Q8">
        <f t="shared" ref="Q8" si="16">F8*P8</f>
        <v>64746607.710610926</v>
      </c>
      <c r="R8">
        <f t="shared" ref="R8" si="17">R9+Q8</f>
        <v>5077390571.0433235</v>
      </c>
      <c r="S8">
        <f t="shared" ref="S8" si="18">R8/100000</f>
        <v>50773.905710433239</v>
      </c>
      <c r="T8">
        <f t="shared" ref="T8" si="19">S8/1000</f>
        <v>50.77390571043324</v>
      </c>
    </row>
    <row r="9" spans="1:20" x14ac:dyDescent="0.25">
      <c r="A9" s="5">
        <v>44584</v>
      </c>
      <c r="B9">
        <v>1.5369999999999999</v>
      </c>
      <c r="C9">
        <v>1.67</v>
      </c>
      <c r="D9">
        <v>1.5089999999999999</v>
      </c>
      <c r="E9">
        <v>1.617</v>
      </c>
      <c r="F9">
        <v>124415371.7</v>
      </c>
      <c r="G9">
        <v>1.617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0.34161490683229906</v>
      </c>
      <c r="Q9">
        <f t="shared" ref="Q9" si="21">F9*P9</f>
        <v>42502145.611801356</v>
      </c>
      <c r="R9">
        <f t="shared" ref="R9" si="22">R10+Q9</f>
        <v>5012643963.3327122</v>
      </c>
      <c r="S9">
        <f t="shared" ref="S9" si="23">R9/100000</f>
        <v>50126.439633327122</v>
      </c>
      <c r="T9">
        <f t="shared" ref="T9" si="24">S9/1000</f>
        <v>50.126439633327124</v>
      </c>
    </row>
    <row r="10" spans="1:20" x14ac:dyDescent="0.25">
      <c r="A10" s="5">
        <v>44583</v>
      </c>
      <c r="B10">
        <v>1.698</v>
      </c>
      <c r="C10">
        <v>1.756</v>
      </c>
      <c r="D10">
        <v>1.3959999999999999</v>
      </c>
      <c r="E10">
        <v>1.536</v>
      </c>
      <c r="F10">
        <v>257211366.59999999</v>
      </c>
      <c r="G10">
        <v>1.536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-0.22222222222222174</v>
      </c>
      <c r="Q10">
        <f t="shared" ref="Q10" si="26">F10*P10</f>
        <v>-57158081.466666542</v>
      </c>
      <c r="R10">
        <f t="shared" ref="R10" si="27">R11+Q10</f>
        <v>4970141817.720911</v>
      </c>
      <c r="S10">
        <f t="shared" ref="S10" si="28">R10/100000</f>
        <v>49701.418177209111</v>
      </c>
      <c r="T10">
        <f t="shared" ref="T10" si="29">S10/1000</f>
        <v>49.701418177209113</v>
      </c>
    </row>
    <row r="11" spans="1:20" x14ac:dyDescent="0.25">
      <c r="A11" s="5">
        <v>44582</v>
      </c>
      <c r="B11">
        <v>1.9590000000000001</v>
      </c>
      <c r="C11">
        <v>2.0259999999999998</v>
      </c>
      <c r="D11">
        <v>1.64</v>
      </c>
      <c r="E11">
        <v>1.6990000000000001</v>
      </c>
      <c r="F11">
        <v>203319818.09999999</v>
      </c>
      <c r="G11">
        <v>1.6990000000000001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-0.69430051813471405</v>
      </c>
      <c r="Q11">
        <f t="shared" ref="Q11" si="31">F11*P11</f>
        <v>-141165055.05388582</v>
      </c>
      <c r="R11">
        <f t="shared" ref="R11" si="32">R12+Q11</f>
        <v>5027299899.1875772</v>
      </c>
      <c r="S11">
        <f t="shared" ref="S11" si="33">R11/100000</f>
        <v>50272.998991875771</v>
      </c>
      <c r="T11">
        <f t="shared" ref="T11" si="34">S11/1000</f>
        <v>50.272998991875774</v>
      </c>
    </row>
    <row r="12" spans="1:20" x14ac:dyDescent="0.25">
      <c r="A12" s="5">
        <v>44581</v>
      </c>
      <c r="B12">
        <v>2.0299999999999998</v>
      </c>
      <c r="C12">
        <v>2.194</v>
      </c>
      <c r="D12">
        <v>1.9510000000000001</v>
      </c>
      <c r="E12">
        <v>1.96</v>
      </c>
      <c r="F12">
        <v>91995626.700000003</v>
      </c>
      <c r="G12">
        <v>1.96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-0.92592592592592671</v>
      </c>
      <c r="Q12">
        <f t="shared" ref="Q12" si="36">F12*P12</f>
        <v>-85181135.833333403</v>
      </c>
      <c r="R12">
        <f t="shared" ref="R12" si="37">R13+Q12</f>
        <v>5168464954.2414627</v>
      </c>
      <c r="S12">
        <f t="shared" ref="S12" si="38">R12/100000</f>
        <v>51684.649542414627</v>
      </c>
      <c r="T12">
        <f t="shared" ref="T12" si="39">S12/1000</f>
        <v>51.684649542414626</v>
      </c>
    </row>
    <row r="13" spans="1:20" x14ac:dyDescent="0.25">
      <c r="A13" s="5">
        <v>44580</v>
      </c>
      <c r="B13">
        <v>2.121</v>
      </c>
      <c r="C13">
        <v>2.1429999999999998</v>
      </c>
      <c r="D13">
        <v>2.0129999999999999</v>
      </c>
      <c r="E13">
        <v>2.0299999999999998</v>
      </c>
      <c r="F13">
        <v>92522186.700000003</v>
      </c>
      <c r="G13">
        <v>2.0299999999999998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-0.73846153846153972</v>
      </c>
      <c r="Q13">
        <f t="shared" ref="Q13" si="41">F13*P13</f>
        <v>-68324076.332307816</v>
      </c>
      <c r="R13">
        <f t="shared" ref="R13" si="42">R14+Q13</f>
        <v>5253646090.0747957</v>
      </c>
      <c r="S13">
        <f t="shared" ref="S13" si="43">R13/100000</f>
        <v>52536.460900747959</v>
      </c>
      <c r="T13">
        <f t="shared" ref="T13" si="44">S13/1000</f>
        <v>52.536460900747961</v>
      </c>
    </row>
    <row r="14" spans="1:20" x14ac:dyDescent="0.25">
      <c r="A14" s="5">
        <v>44579</v>
      </c>
      <c r="B14">
        <v>2.2189999999999999</v>
      </c>
      <c r="C14">
        <v>2.2450000000000001</v>
      </c>
      <c r="D14">
        <v>2.056</v>
      </c>
      <c r="E14">
        <v>2.12</v>
      </c>
      <c r="F14">
        <v>110364384.90000001</v>
      </c>
      <c r="G14">
        <v>2.12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-0.32275132275132234</v>
      </c>
      <c r="Q14">
        <f t="shared" ref="Q14" si="46">F14*P14</f>
        <v>-35620251.211111069</v>
      </c>
      <c r="R14">
        <f t="shared" ref="R14" si="47">R15+Q14</f>
        <v>5321970166.4071035</v>
      </c>
      <c r="S14">
        <f t="shared" ref="S14" si="48">R14/100000</f>
        <v>53219.701664071035</v>
      </c>
      <c r="T14">
        <f t="shared" ref="T14" si="49">S14/1000</f>
        <v>53.219701664071039</v>
      </c>
    </row>
    <row r="15" spans="1:20" x14ac:dyDescent="0.25">
      <c r="A15" s="5">
        <v>44578</v>
      </c>
      <c r="B15">
        <v>2.3319999999999999</v>
      </c>
      <c r="C15">
        <v>2.452</v>
      </c>
      <c r="D15">
        <v>2.1629999999999998</v>
      </c>
      <c r="E15">
        <v>2.2189999999999999</v>
      </c>
      <c r="F15">
        <v>114289288.7</v>
      </c>
      <c r="G15">
        <v>2.2189999999999999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-0.61245674740484413</v>
      </c>
      <c r="Q15">
        <f t="shared" ref="Q15" si="51">F15*P15</f>
        <v>-69997246.020415202</v>
      </c>
      <c r="R15">
        <f t="shared" ref="R15" si="52">R16+Q15</f>
        <v>5357590417.6182146</v>
      </c>
      <c r="S15">
        <f t="shared" ref="S15" si="53">R15/100000</f>
        <v>53575.904176182143</v>
      </c>
      <c r="T15">
        <f t="shared" ref="T15" si="54">S15/1000</f>
        <v>53.575904176182142</v>
      </c>
    </row>
    <row r="16" spans="1:20" x14ac:dyDescent="0.25">
      <c r="A16" s="5">
        <v>44577</v>
      </c>
      <c r="B16">
        <v>2.3460000000000001</v>
      </c>
      <c r="C16">
        <v>2.3730000000000002</v>
      </c>
      <c r="D16">
        <v>2.282</v>
      </c>
      <c r="E16">
        <v>2.3319999999999999</v>
      </c>
      <c r="F16">
        <v>49800594.200000003</v>
      </c>
      <c r="G16">
        <v>2.3319999999999999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9.8901098901092679E-2</v>
      </c>
      <c r="Q16">
        <f t="shared" ref="Q16" si="56">F16*P16</f>
        <v>4925333.4923073826</v>
      </c>
      <c r="R16">
        <f t="shared" ref="R16" si="57">R17+Q16</f>
        <v>5427587663.6386299</v>
      </c>
      <c r="S16">
        <f t="shared" ref="S16" si="58">R16/100000</f>
        <v>54275.876636386296</v>
      </c>
      <c r="T16">
        <f t="shared" ref="T16" si="59">S16/1000</f>
        <v>54.275876636386293</v>
      </c>
    </row>
    <row r="17" spans="1:20" x14ac:dyDescent="0.25">
      <c r="A17" s="5">
        <v>44576</v>
      </c>
      <c r="B17">
        <v>2.3340000000000001</v>
      </c>
      <c r="C17">
        <v>2.3980000000000001</v>
      </c>
      <c r="D17">
        <v>2.2949999999999999</v>
      </c>
      <c r="E17">
        <v>2.3460000000000001</v>
      </c>
      <c r="F17">
        <v>54115900.399999999</v>
      </c>
      <c r="G17">
        <v>2.3460000000000001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-9.7087378640765814E-3</v>
      </c>
      <c r="Q17">
        <f t="shared" ref="Q17" si="61">F17*P17</f>
        <v>-525397.09126207698</v>
      </c>
      <c r="R17">
        <f t="shared" ref="R17" si="62">R18+Q17</f>
        <v>5422662330.1463223</v>
      </c>
      <c r="S17">
        <f t="shared" ref="S17" si="63">R17/100000</f>
        <v>54226.623301463223</v>
      </c>
      <c r="T17">
        <f t="shared" ref="T17" si="64">S17/1000</f>
        <v>54.226623301463221</v>
      </c>
    </row>
    <row r="18" spans="1:20" x14ac:dyDescent="0.25">
      <c r="A18" s="5">
        <v>44575</v>
      </c>
      <c r="B18">
        <v>2.2639999999999998</v>
      </c>
      <c r="C18">
        <v>2.351</v>
      </c>
      <c r="D18">
        <v>2.1680000000000001</v>
      </c>
      <c r="E18">
        <v>2.3340000000000001</v>
      </c>
      <c r="F18">
        <v>81154863.5</v>
      </c>
      <c r="G18">
        <v>2.3340000000000001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0.81420765027322495</v>
      </c>
      <c r="Q18">
        <f t="shared" ref="Q18" si="66">F18*P18</f>
        <v>66076910.718579307</v>
      </c>
      <c r="R18">
        <f t="shared" ref="R18" si="67">R19+Q18</f>
        <v>5423187727.2375841</v>
      </c>
      <c r="S18">
        <f t="shared" ref="S18" si="68">R18/100000</f>
        <v>54231.877272375845</v>
      </c>
      <c r="T18">
        <f t="shared" ref="T18" si="69">S18/1000</f>
        <v>54.231877272375847</v>
      </c>
    </row>
    <row r="19" spans="1:20" x14ac:dyDescent="0.25">
      <c r="A19" s="5">
        <v>44574</v>
      </c>
      <c r="B19">
        <v>2.3969999999999998</v>
      </c>
      <c r="C19">
        <v>2.4409999999999998</v>
      </c>
      <c r="D19">
        <v>2.2400000000000002</v>
      </c>
      <c r="E19">
        <v>2.2650000000000001</v>
      </c>
      <c r="F19">
        <v>96342184.400000006</v>
      </c>
      <c r="G19">
        <v>2.2650000000000001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-0.75124378109452783</v>
      </c>
      <c r="Q19">
        <f t="shared" ref="Q19" si="71">F19*P19</f>
        <v>-72376466.887562245</v>
      </c>
      <c r="R19">
        <f t="shared" ref="R19" si="72">R20+Q19</f>
        <v>5357110816.5190048</v>
      </c>
      <c r="S19">
        <f t="shared" ref="S19" si="73">R19/100000</f>
        <v>53571.108165190046</v>
      </c>
      <c r="T19">
        <f t="shared" ref="T19" si="74">S19/1000</f>
        <v>53.571108165190047</v>
      </c>
    </row>
    <row r="20" spans="1:20" x14ac:dyDescent="0.25">
      <c r="A20" s="5">
        <v>44573</v>
      </c>
      <c r="B20">
        <v>2.3610000000000002</v>
      </c>
      <c r="C20">
        <v>2.4489999999999998</v>
      </c>
      <c r="D20">
        <v>2.3050000000000002</v>
      </c>
      <c r="E20">
        <v>2.3980000000000001</v>
      </c>
      <c r="F20">
        <v>105446906.5</v>
      </c>
      <c r="G20">
        <v>2.3980000000000001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0.29166666666666913</v>
      </c>
      <c r="Q20">
        <f t="shared" ref="Q20" si="76">F20*P20</f>
        <v>30755347.729166925</v>
      </c>
      <c r="R20">
        <f t="shared" ref="R20" si="77">R21+Q20</f>
        <v>5429487283.4065666</v>
      </c>
      <c r="S20">
        <f t="shared" ref="S20" si="78">R20/100000</f>
        <v>54294.872834065667</v>
      </c>
      <c r="T20">
        <f t="shared" ref="T20" si="79">S20/1000</f>
        <v>54.294872834065664</v>
      </c>
    </row>
    <row r="21" spans="1:20" x14ac:dyDescent="0.25">
      <c r="A21" s="5">
        <v>44572</v>
      </c>
      <c r="B21">
        <v>2.0720000000000001</v>
      </c>
      <c r="C21">
        <v>2.3730000000000002</v>
      </c>
      <c r="D21">
        <v>2.0459999999999998</v>
      </c>
      <c r="E21">
        <v>2.36</v>
      </c>
      <c r="F21">
        <v>133945252.3</v>
      </c>
      <c r="G21">
        <v>2.36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0.92048929663608359</v>
      </c>
      <c r="Q21">
        <f t="shared" ref="Q21" si="81">F21*P21</f>
        <v>123295171.07736975</v>
      </c>
      <c r="R21">
        <f t="shared" ref="R21" si="82">R22+Q21</f>
        <v>5398731935.6773996</v>
      </c>
      <c r="S21">
        <f t="shared" ref="S21" si="83">R21/100000</f>
        <v>53987.319356773995</v>
      </c>
      <c r="T21">
        <f t="shared" ref="T21" si="84">S21/1000</f>
        <v>53.987319356773995</v>
      </c>
    </row>
    <row r="22" spans="1:20" x14ac:dyDescent="0.25">
      <c r="A22" s="5">
        <v>44571</v>
      </c>
      <c r="B22">
        <v>2.1139999999999999</v>
      </c>
      <c r="C22">
        <v>2.149</v>
      </c>
      <c r="D22">
        <v>1.919</v>
      </c>
      <c r="E22">
        <v>2.0710000000000002</v>
      </c>
      <c r="F22">
        <v>105243094.3</v>
      </c>
      <c r="G22">
        <v>2.0710000000000002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0.32173913043478386</v>
      </c>
      <c r="Q22">
        <f t="shared" ref="Q22" si="86">F22*P22</f>
        <v>33860821.644347958</v>
      </c>
      <c r="R22">
        <f t="shared" ref="R22" si="87">R23+Q22</f>
        <v>5275436764.6000299</v>
      </c>
      <c r="S22">
        <f t="shared" ref="S22" si="88">R22/100000</f>
        <v>52754.367646000297</v>
      </c>
      <c r="T22">
        <f t="shared" ref="T22" si="89">S22/1000</f>
        <v>52.754367646000297</v>
      </c>
    </row>
    <row r="23" spans="1:20" x14ac:dyDescent="0.25">
      <c r="A23" s="5">
        <v>44570</v>
      </c>
      <c r="B23">
        <v>1.984</v>
      </c>
      <c r="C23">
        <v>2.169</v>
      </c>
      <c r="D23">
        <v>1.96</v>
      </c>
      <c r="E23">
        <v>2.1139999999999999</v>
      </c>
      <c r="F23">
        <v>65727897</v>
      </c>
      <c r="G23">
        <v>2.1139999999999999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0.47368421052631443</v>
      </c>
      <c r="Q23">
        <f t="shared" ref="Q23" si="91">F23*P23</f>
        <v>31134266.999999911</v>
      </c>
      <c r="R23">
        <f t="shared" ref="R23" si="92">R24+Q23</f>
        <v>5241575942.9556818</v>
      </c>
      <c r="S23">
        <f t="shared" ref="S23" si="93">R23/100000</f>
        <v>52415.75942955682</v>
      </c>
      <c r="T23">
        <f t="shared" ref="T23" si="94">S23/1000</f>
        <v>52.415759429556822</v>
      </c>
    </row>
    <row r="24" spans="1:20" x14ac:dyDescent="0.25">
      <c r="A24" s="5">
        <v>44569</v>
      </c>
      <c r="B24">
        <v>2.0539999999999998</v>
      </c>
      <c r="C24">
        <v>2.145</v>
      </c>
      <c r="D24">
        <v>1.9</v>
      </c>
      <c r="E24">
        <v>1.9850000000000001</v>
      </c>
      <c r="F24">
        <v>82923797.900000006</v>
      </c>
      <c r="G24">
        <v>1.9850000000000001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-0.30612244897959062</v>
      </c>
      <c r="Q24">
        <f t="shared" ref="Q24" si="96">F24*P24</f>
        <v>-25384836.091836635</v>
      </c>
      <c r="R24">
        <f t="shared" ref="R24" si="97">R25+Q24</f>
        <v>5210441675.9556818</v>
      </c>
      <c r="S24">
        <f t="shared" ref="S24" si="98">R24/100000</f>
        <v>52104.416759556821</v>
      </c>
      <c r="T24">
        <f t="shared" ref="T24" si="99">S24/1000</f>
        <v>52.10441675955682</v>
      </c>
    </row>
    <row r="25" spans="1:20" x14ac:dyDescent="0.25">
      <c r="A25" s="5">
        <v>44568</v>
      </c>
      <c r="B25">
        <v>2.2509999999999999</v>
      </c>
      <c r="C25">
        <v>2.266</v>
      </c>
      <c r="D25">
        <v>2.0419999999999998</v>
      </c>
      <c r="E25">
        <v>2.0529999999999999</v>
      </c>
      <c r="F25">
        <v>119757574.2</v>
      </c>
      <c r="G25">
        <v>2.0529999999999999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-0.9017857142857133</v>
      </c>
      <c r="Q25">
        <f t="shared" ref="Q25" si="101">F25*P25</f>
        <v>-107995669.59107131</v>
      </c>
      <c r="R25">
        <f t="shared" ref="R25" si="102">R26+Q25</f>
        <v>5235826512.0475187</v>
      </c>
      <c r="S25">
        <f t="shared" ref="S25" si="103">R25/100000</f>
        <v>52358.265120475189</v>
      </c>
      <c r="T25">
        <f t="shared" ref="T25" si="104">S25/1000</f>
        <v>52.358265120475188</v>
      </c>
    </row>
    <row r="26" spans="1:20" x14ac:dyDescent="0.25">
      <c r="A26" s="5">
        <v>44567</v>
      </c>
      <c r="B26">
        <v>2.1819999999999999</v>
      </c>
      <c r="C26">
        <v>2.2999999999999998</v>
      </c>
      <c r="D26">
        <v>2.0680000000000001</v>
      </c>
      <c r="E26">
        <v>2.2509999999999999</v>
      </c>
      <c r="F26">
        <v>119331816.3</v>
      </c>
      <c r="G26">
        <v>2.2509999999999999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0.57758620689655182</v>
      </c>
      <c r="Q26">
        <f t="shared" ref="Q26" si="106">F26*P26</f>
        <v>68924411.138793111</v>
      </c>
      <c r="R26">
        <f t="shared" ref="R26" si="107">R27+Q26</f>
        <v>5343822181.6385899</v>
      </c>
      <c r="S26">
        <f t="shared" ref="S26" si="108">R26/100000</f>
        <v>53438.2218163859</v>
      </c>
      <c r="T26">
        <f t="shared" ref="T26" si="109">S26/1000</f>
        <v>53.438221816385898</v>
      </c>
    </row>
    <row r="27" spans="1:20" x14ac:dyDescent="0.25">
      <c r="A27" s="5">
        <v>44566</v>
      </c>
      <c r="B27">
        <v>2.3660000000000001</v>
      </c>
      <c r="C27">
        <v>2.452</v>
      </c>
      <c r="D27">
        <v>2.02</v>
      </c>
      <c r="E27">
        <v>2.1819999999999999</v>
      </c>
      <c r="F27">
        <v>116397377.09999999</v>
      </c>
      <c r="G27">
        <v>2.1819999999999999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-0.25000000000000028</v>
      </c>
      <c r="Q27">
        <f t="shared" ref="Q27" si="111">F27*P27</f>
        <v>-29099344.275000032</v>
      </c>
      <c r="R27">
        <f t="shared" ref="R27" si="112">R28+Q27</f>
        <v>5274897770.4997969</v>
      </c>
      <c r="S27">
        <f t="shared" ref="S27" si="113">R27/100000</f>
        <v>52748.977704997968</v>
      </c>
      <c r="T27">
        <f t="shared" ref="T27" si="114">S27/1000</f>
        <v>52.748977704997969</v>
      </c>
    </row>
    <row r="28" spans="1:20" x14ac:dyDescent="0.25">
      <c r="A28" s="5">
        <v>44565</v>
      </c>
      <c r="B28">
        <v>2.4340000000000002</v>
      </c>
      <c r="C28">
        <v>2.508</v>
      </c>
      <c r="D28">
        <v>2.3519999999999999</v>
      </c>
      <c r="E28">
        <v>2.3650000000000002</v>
      </c>
      <c r="F28">
        <v>75096431.900000006</v>
      </c>
      <c r="G28">
        <v>2.3650000000000002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-0.83333333333332904</v>
      </c>
      <c r="Q28">
        <f t="shared" ref="Q28" si="116">F28*P28</f>
        <v>-62580359.916666351</v>
      </c>
      <c r="R28">
        <f t="shared" ref="R28" si="117">R29+Q28</f>
        <v>5303997114.7747965</v>
      </c>
      <c r="S28">
        <f t="shared" ref="S28" si="118">R28/100000</f>
        <v>53039.971147747965</v>
      </c>
      <c r="T28">
        <f t="shared" ref="T28" si="119">S28/1000</f>
        <v>53.039971147747963</v>
      </c>
    </row>
    <row r="29" spans="1:20" x14ac:dyDescent="0.25">
      <c r="A29" s="5">
        <v>44564</v>
      </c>
      <c r="B29">
        <v>2.5499999999999998</v>
      </c>
      <c r="C29">
        <v>2.552</v>
      </c>
      <c r="D29">
        <v>2.3610000000000002</v>
      </c>
      <c r="E29">
        <v>2.4319999999999999</v>
      </c>
      <c r="F29">
        <v>65676503.5</v>
      </c>
      <c r="G29">
        <v>2.4319999999999999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-0.25654450261780326</v>
      </c>
      <c r="Q29">
        <f t="shared" ref="Q29" si="121">F29*P29</f>
        <v>-16848945.924083915</v>
      </c>
      <c r="R29">
        <f t="shared" ref="R29" si="122">R30+Q29</f>
        <v>5366577474.6914625</v>
      </c>
      <c r="S29">
        <f t="shared" ref="S29" si="123">R29/100000</f>
        <v>53665.774746914627</v>
      </c>
      <c r="T29">
        <f t="shared" ref="T29" si="124">S29/1000</f>
        <v>53.665774746914629</v>
      </c>
    </row>
    <row r="30" spans="1:20" x14ac:dyDescent="0.25">
      <c r="A30" s="5">
        <v>44563</v>
      </c>
      <c r="B30">
        <v>2.5720000000000001</v>
      </c>
      <c r="C30">
        <v>2.59</v>
      </c>
      <c r="D30">
        <v>2.496</v>
      </c>
      <c r="E30">
        <v>2.5499999999999998</v>
      </c>
      <c r="F30">
        <v>49037033.700000003</v>
      </c>
      <c r="G30">
        <v>2.5499999999999998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0.14893617021276395</v>
      </c>
      <c r="Q30">
        <f t="shared" ref="Q30" si="126">F30*P30</f>
        <v>7303387.9978722427</v>
      </c>
      <c r="R30">
        <f t="shared" ref="R30" si="127">R31+Q30</f>
        <v>5383426420.6155462</v>
      </c>
      <c r="S30">
        <f t="shared" ref="S30" si="128">R30/100000</f>
        <v>53834.264206155465</v>
      </c>
      <c r="T30">
        <f t="shared" ref="T30" si="129">S30/1000</f>
        <v>53.834264206155467</v>
      </c>
    </row>
    <row r="31" spans="1:20" x14ac:dyDescent="0.25">
      <c r="A31" s="5">
        <v>44562</v>
      </c>
      <c r="B31">
        <v>2.524</v>
      </c>
      <c r="C31">
        <v>2.605</v>
      </c>
      <c r="D31">
        <v>2.5019999999999998</v>
      </c>
      <c r="E31">
        <v>2.5720000000000001</v>
      </c>
      <c r="F31">
        <v>51305956.100000001</v>
      </c>
      <c r="G31">
        <v>2.5720000000000001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0.35922330097087662</v>
      </c>
      <c r="Q31">
        <f t="shared" ref="Q31" si="131">F31*P31</f>
        <v>18430294.909708884</v>
      </c>
      <c r="R31">
        <f t="shared" ref="R31" si="132">R32+Q31</f>
        <v>5376123032.6176739</v>
      </c>
      <c r="S31">
        <f t="shared" ref="S31" si="133">R31/100000</f>
        <v>53761.230326176737</v>
      </c>
      <c r="T31">
        <f t="shared" ref="T31" si="134">S31/1000</f>
        <v>53.761230326176737</v>
      </c>
    </row>
    <row r="32" spans="1:20" x14ac:dyDescent="0.25">
      <c r="A32" s="5">
        <v>44561</v>
      </c>
      <c r="B32">
        <v>2.5539999999999998</v>
      </c>
      <c r="C32">
        <v>2.673</v>
      </c>
      <c r="D32">
        <v>2.44</v>
      </c>
      <c r="E32">
        <v>2.524</v>
      </c>
      <c r="F32">
        <v>103470702.5</v>
      </c>
      <c r="G32">
        <v>2.524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-0.27896995708154471</v>
      </c>
      <c r="Q32">
        <f t="shared" ref="Q32" si="136">F32*P32</f>
        <v>-28865217.435622282</v>
      </c>
      <c r="R32">
        <f t="shared" ref="R32" si="137">R33+Q32</f>
        <v>5357692737.7079649</v>
      </c>
      <c r="S32">
        <f t="shared" ref="S32" si="138">R32/100000</f>
        <v>53576.92737707965</v>
      </c>
      <c r="T32">
        <f t="shared" ref="T32" si="139">S32/1000</f>
        <v>53.576927377079649</v>
      </c>
    </row>
    <row r="33" spans="1:20" x14ac:dyDescent="0.25">
      <c r="A33" s="5">
        <v>44560</v>
      </c>
      <c r="B33">
        <v>2.4750000000000001</v>
      </c>
      <c r="C33">
        <v>2.597</v>
      </c>
      <c r="D33">
        <v>2.4140000000000001</v>
      </c>
      <c r="E33">
        <v>2.5529999999999999</v>
      </c>
      <c r="F33">
        <v>108588043</v>
      </c>
      <c r="G33">
        <v>2.5529999999999999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0.51912568306010842</v>
      </c>
      <c r="Q33">
        <f t="shared" ref="Q33" si="141">F33*P33</f>
        <v>56370841.994535424</v>
      </c>
      <c r="R33">
        <f t="shared" ref="R33" si="142">R34+Q33</f>
        <v>5386557955.1435871</v>
      </c>
      <c r="S33">
        <f t="shared" ref="S33" si="143">R33/100000</f>
        <v>53865.579551435869</v>
      </c>
      <c r="T33">
        <f t="shared" ref="T33" si="144">S33/1000</f>
        <v>53.865579551435872</v>
      </c>
    </row>
    <row r="34" spans="1:20" x14ac:dyDescent="0.25">
      <c r="A34" s="5">
        <v>44559</v>
      </c>
      <c r="B34">
        <v>2.492</v>
      </c>
      <c r="C34">
        <v>2.6179999999999999</v>
      </c>
      <c r="D34">
        <v>2.4060000000000001</v>
      </c>
      <c r="E34">
        <v>2.4740000000000002</v>
      </c>
      <c r="F34">
        <v>141095031.40000001</v>
      </c>
      <c r="G34">
        <v>2.4740000000000002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-0.35849056603773449</v>
      </c>
      <c r="Q34">
        <f t="shared" ref="Q34" si="146">F34*P34</f>
        <v>-50581237.671697922</v>
      </c>
      <c r="R34">
        <f t="shared" ref="R34" si="147">R35+Q34</f>
        <v>5330187113.1490517</v>
      </c>
      <c r="S34">
        <f t="shared" ref="S34" si="148">R34/100000</f>
        <v>53301.871131490516</v>
      </c>
      <c r="T34">
        <f t="shared" ref="T34" si="149">S34/1000</f>
        <v>53.301871131490515</v>
      </c>
    </row>
    <row r="35" spans="1:20" x14ac:dyDescent="0.25">
      <c r="A35" s="5">
        <v>44558</v>
      </c>
      <c r="B35">
        <v>2.7280000000000002</v>
      </c>
      <c r="C35">
        <v>2.7330000000000001</v>
      </c>
      <c r="D35">
        <v>2.4430000000000001</v>
      </c>
      <c r="E35">
        <v>2.492</v>
      </c>
      <c r="F35">
        <v>160784463.40000001</v>
      </c>
      <c r="G35">
        <v>2.492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-0.66206896551724193</v>
      </c>
      <c r="Q35">
        <f t="shared" ref="Q35" si="151">F35*P35</f>
        <v>-106450403.35448284</v>
      </c>
      <c r="R35">
        <f t="shared" ref="R35" si="152">R36+Q35</f>
        <v>5380768350.8207493</v>
      </c>
      <c r="S35">
        <f t="shared" ref="S35" si="153">R35/100000</f>
        <v>53807.68350820749</v>
      </c>
      <c r="T35">
        <f t="shared" ref="T35" si="154">S35/1000</f>
        <v>53.807683508207489</v>
      </c>
    </row>
    <row r="36" spans="1:20" x14ac:dyDescent="0.25">
      <c r="A36" s="5">
        <v>44557</v>
      </c>
      <c r="B36">
        <v>2.8759999999999999</v>
      </c>
      <c r="C36">
        <v>2.923</v>
      </c>
      <c r="D36">
        <v>2.7109999999999999</v>
      </c>
      <c r="E36">
        <v>2.7280000000000002</v>
      </c>
      <c r="F36">
        <v>104338949.09999999</v>
      </c>
      <c r="G36">
        <v>2.7280000000000002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-0.83962264150943078</v>
      </c>
      <c r="Q36">
        <f t="shared" ref="Q36" si="156">F36*P36</f>
        <v>-87605344.055660039</v>
      </c>
      <c r="R36">
        <f t="shared" ref="R36" si="157">R37+Q36</f>
        <v>5487218754.1752319</v>
      </c>
      <c r="S36">
        <f t="shared" ref="S36" si="158">R36/100000</f>
        <v>54872.187541752319</v>
      </c>
      <c r="T36">
        <f t="shared" ref="T36" si="159">S36/1000</f>
        <v>54.872187541752318</v>
      </c>
    </row>
    <row r="37" spans="1:20" x14ac:dyDescent="0.25">
      <c r="A37" s="5">
        <v>44556</v>
      </c>
      <c r="B37">
        <v>2.6379999999999999</v>
      </c>
      <c r="C37">
        <v>2.8879999999999999</v>
      </c>
      <c r="D37">
        <v>2.6110000000000002</v>
      </c>
      <c r="E37">
        <v>2.8759999999999999</v>
      </c>
      <c r="F37">
        <v>176197638.90000001</v>
      </c>
      <c r="G37">
        <v>2.8759999999999999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0.91335740072202154</v>
      </c>
      <c r="Q37">
        <f t="shared" ref="Q37" si="161">F37*P37</f>
        <v>160931417.47906137</v>
      </c>
      <c r="R37">
        <f t="shared" ref="R37" si="162">R38+Q37</f>
        <v>5574824098.2308922</v>
      </c>
      <c r="S37">
        <f t="shared" ref="S37" si="163">R37/100000</f>
        <v>55748.240982308918</v>
      </c>
      <c r="T37">
        <f t="shared" ref="T37" si="164">S37/1000</f>
        <v>55.748240982308921</v>
      </c>
    </row>
    <row r="38" spans="1:20" x14ac:dyDescent="0.25">
      <c r="A38" s="5">
        <v>44555</v>
      </c>
      <c r="B38">
        <v>2.468</v>
      </c>
      <c r="C38">
        <v>2.69</v>
      </c>
      <c r="D38">
        <v>2.4289999999999998</v>
      </c>
      <c r="E38">
        <v>2.6389999999999998</v>
      </c>
      <c r="F38">
        <v>86664472</v>
      </c>
      <c r="G38">
        <v>2.6389999999999998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0.60919540229884961</v>
      </c>
      <c r="Q38">
        <f t="shared" ref="Q38" si="166">F38*P38</f>
        <v>52795597.88505739</v>
      </c>
      <c r="R38">
        <f t="shared" ref="R38" si="167">R39+Q38</f>
        <v>5413892680.7518311</v>
      </c>
      <c r="S38">
        <f t="shared" ref="S38" si="168">R38/100000</f>
        <v>54138.926807518314</v>
      </c>
      <c r="T38">
        <f t="shared" ref="T38" si="169">S38/1000</f>
        <v>54.138926807518317</v>
      </c>
    </row>
    <row r="39" spans="1:20" x14ac:dyDescent="0.25">
      <c r="A39" s="5">
        <v>44554</v>
      </c>
      <c r="B39">
        <v>2.6840000000000002</v>
      </c>
      <c r="C39">
        <v>2.6850000000000001</v>
      </c>
      <c r="D39">
        <v>2.4239999999999999</v>
      </c>
      <c r="E39">
        <v>2.4670000000000001</v>
      </c>
      <c r="F39">
        <v>113568920.59999999</v>
      </c>
      <c r="G39">
        <v>2.4670000000000001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-0.67049808429118674</v>
      </c>
      <c r="Q39">
        <f t="shared" ref="Q39" si="171">F39*P39</f>
        <v>-76147743.697317883</v>
      </c>
      <c r="R39">
        <f t="shared" ref="R39" si="172">R40+Q39</f>
        <v>5361097082.8667736</v>
      </c>
      <c r="S39">
        <f t="shared" ref="S39" si="173">R39/100000</f>
        <v>53610.970828667734</v>
      </c>
      <c r="T39">
        <f t="shared" ref="T39" si="174">S39/1000</f>
        <v>53.610970828667732</v>
      </c>
    </row>
    <row r="40" spans="1:20" x14ac:dyDescent="0.25">
      <c r="A40" s="5">
        <v>44553</v>
      </c>
      <c r="B40">
        <v>2.5009999999999999</v>
      </c>
      <c r="C40">
        <v>2.734</v>
      </c>
      <c r="D40">
        <v>2.4620000000000002</v>
      </c>
      <c r="E40">
        <v>2.6829999999999998</v>
      </c>
      <c r="F40">
        <v>225055521.59999999</v>
      </c>
      <c r="G40">
        <v>2.6829999999999998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0.62499999999999856</v>
      </c>
      <c r="Q40">
        <f t="shared" ref="Q40" si="176">F40*P40</f>
        <v>140659700.99999967</v>
      </c>
      <c r="R40">
        <f t="shared" ref="R40" si="177">R41+Q40</f>
        <v>5437244826.5640917</v>
      </c>
      <c r="S40">
        <f t="shared" ref="S40" si="178">R40/100000</f>
        <v>54372.448265640916</v>
      </c>
      <c r="T40">
        <f t="shared" ref="T40" si="179">S40/1000</f>
        <v>54.372448265640919</v>
      </c>
    </row>
    <row r="41" spans="1:20" x14ac:dyDescent="0.25">
      <c r="A41" s="5">
        <v>44552</v>
      </c>
      <c r="B41">
        <v>2.3719999999999999</v>
      </c>
      <c r="C41">
        <v>2.653</v>
      </c>
      <c r="D41">
        <v>2.367</v>
      </c>
      <c r="E41">
        <v>2.5009999999999999</v>
      </c>
      <c r="F41">
        <v>215598006.69999999</v>
      </c>
      <c r="G41">
        <v>2.5009999999999999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-6.2937062937063762E-2</v>
      </c>
      <c r="Q41">
        <f t="shared" ref="Q41" si="181">F41*P41</f>
        <v>-13569105.316783395</v>
      </c>
      <c r="R41">
        <f t="shared" ref="R41" si="182">R42+Q41</f>
        <v>5296585125.5640917</v>
      </c>
      <c r="S41">
        <f t="shared" ref="S41" si="183">R41/100000</f>
        <v>52965.851255640919</v>
      </c>
      <c r="T41">
        <f t="shared" ref="T41" si="184">S41/1000</f>
        <v>52.965851255640921</v>
      </c>
    </row>
    <row r="42" spans="1:20" x14ac:dyDescent="0.25">
      <c r="A42" s="5">
        <v>44551</v>
      </c>
      <c r="B42">
        <v>2.13</v>
      </c>
      <c r="C42">
        <v>2.4119999999999999</v>
      </c>
      <c r="D42">
        <v>2.1070000000000002</v>
      </c>
      <c r="E42">
        <v>2.3719999999999999</v>
      </c>
      <c r="F42">
        <v>148482305.09999999</v>
      </c>
      <c r="G42">
        <v>2.3719999999999999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0.73770491803278637</v>
      </c>
      <c r="Q42">
        <f t="shared" ref="Q42" si="186">F42*P42</f>
        <v>109536126.71311468</v>
      </c>
      <c r="R42">
        <f t="shared" ref="R42" si="187">R43+Q42</f>
        <v>5310154230.8808746</v>
      </c>
      <c r="S42">
        <f t="shared" ref="S42" si="188">R42/100000</f>
        <v>53101.542308808748</v>
      </c>
      <c r="T42">
        <f t="shared" ref="T42" si="189">S42/1000</f>
        <v>53.101542308808746</v>
      </c>
    </row>
    <row r="43" spans="1:20" x14ac:dyDescent="0.25">
      <c r="A43" s="5">
        <v>44550</v>
      </c>
      <c r="B43">
        <v>2.2210000000000001</v>
      </c>
      <c r="C43">
        <v>2.2490000000000001</v>
      </c>
      <c r="D43">
        <v>2.0459999999999998</v>
      </c>
      <c r="E43">
        <v>2.13</v>
      </c>
      <c r="F43">
        <v>123178008.09999999</v>
      </c>
      <c r="G43">
        <v>2.13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-0.17241379310344873</v>
      </c>
      <c r="Q43">
        <f t="shared" ref="Q43" si="191">F43*P43</f>
        <v>-21237587.603448331</v>
      </c>
      <c r="R43">
        <f t="shared" ref="R43" si="192">R44+Q43</f>
        <v>5200618104.1677599</v>
      </c>
      <c r="S43">
        <f t="shared" ref="S43" si="193">R43/100000</f>
        <v>52006.181041677599</v>
      </c>
      <c r="T43">
        <f t="shared" ref="T43" si="194">S43/1000</f>
        <v>52.0061810416776</v>
      </c>
    </row>
    <row r="44" spans="1:20" x14ac:dyDescent="0.25">
      <c r="A44" s="5">
        <v>44549</v>
      </c>
      <c r="B44">
        <v>2.234</v>
      </c>
      <c r="C44">
        <v>2.2909999999999999</v>
      </c>
      <c r="D44">
        <v>2.1619999999999999</v>
      </c>
      <c r="E44">
        <v>2.222</v>
      </c>
      <c r="F44">
        <v>104595349.90000001</v>
      </c>
      <c r="G44">
        <v>2.222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-6.976744186046431E-2</v>
      </c>
      <c r="Q44">
        <f t="shared" ref="Q44" si="196">F44*P44</f>
        <v>-7297349.993023172</v>
      </c>
      <c r="R44">
        <f t="shared" ref="R44" si="197">R45+Q44</f>
        <v>5221855691.7712078</v>
      </c>
      <c r="S44">
        <f t="shared" ref="S44" si="198">R44/100000</f>
        <v>52218.556917712078</v>
      </c>
      <c r="T44">
        <f t="shared" ref="T44" si="199">S44/1000</f>
        <v>52.218556917712078</v>
      </c>
    </row>
    <row r="45" spans="1:20" x14ac:dyDescent="0.25">
      <c r="A45" s="5">
        <v>44548</v>
      </c>
      <c r="B45">
        <v>2.1280000000000001</v>
      </c>
      <c r="C45">
        <v>2.2599999999999998</v>
      </c>
      <c r="D45">
        <v>2.0539999999999998</v>
      </c>
      <c r="E45">
        <v>2.234</v>
      </c>
      <c r="F45">
        <v>123331491.5</v>
      </c>
      <c r="G45">
        <v>2.234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0.74757281553398247</v>
      </c>
      <c r="Q45">
        <f t="shared" ref="Q45" si="201">F45*P45</f>
        <v>92199270.344660431</v>
      </c>
      <c r="R45">
        <f t="shared" ref="R45" si="202">R46+Q45</f>
        <v>5229153041.7642307</v>
      </c>
      <c r="S45">
        <f t="shared" ref="S45" si="203">R45/100000</f>
        <v>52291.530417642309</v>
      </c>
      <c r="T45">
        <f t="shared" ref="T45" si="204">S45/1000</f>
        <v>52.291530417642306</v>
      </c>
    </row>
    <row r="46" spans="1:20" x14ac:dyDescent="0.25">
      <c r="A46" s="5">
        <v>44547</v>
      </c>
      <c r="B46">
        <v>2.0699999999999998</v>
      </c>
      <c r="C46">
        <v>2.161</v>
      </c>
      <c r="D46">
        <v>1.9359999999999999</v>
      </c>
      <c r="E46">
        <v>2.1269999999999998</v>
      </c>
      <c r="F46">
        <v>149995578.09999999</v>
      </c>
      <c r="G46">
        <v>2.1269999999999998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0.69777777777777561</v>
      </c>
      <c r="Q46">
        <f t="shared" ref="Q46" si="206">F46*P46</f>
        <v>104663581.16311078</v>
      </c>
      <c r="R46">
        <f t="shared" ref="R46" si="207">R47+Q46</f>
        <v>5136953771.41957</v>
      </c>
      <c r="S46">
        <f t="shared" ref="S46" si="208">R46/100000</f>
        <v>51369.5377141957</v>
      </c>
      <c r="T46">
        <f t="shared" ref="T46" si="209">S46/1000</f>
        <v>51.369537714195701</v>
      </c>
    </row>
    <row r="47" spans="1:20" x14ac:dyDescent="0.25">
      <c r="A47" s="5">
        <v>44546</v>
      </c>
      <c r="B47">
        <v>2.13</v>
      </c>
      <c r="C47">
        <v>2.2080000000000002</v>
      </c>
      <c r="D47">
        <v>2.0630000000000002</v>
      </c>
      <c r="E47">
        <v>2.0699999999999998</v>
      </c>
      <c r="F47">
        <v>160540603.69999999</v>
      </c>
      <c r="G47">
        <v>2.0699999999999998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-0.90344827586207344</v>
      </c>
      <c r="Q47">
        <f t="shared" ref="Q47" si="211">F47*P47</f>
        <v>-145040131.61862141</v>
      </c>
      <c r="R47">
        <f t="shared" ref="R47" si="212">R48+Q47</f>
        <v>5032290190.2564592</v>
      </c>
      <c r="S47">
        <f t="shared" ref="S47" si="213">R47/100000</f>
        <v>50322.90190256459</v>
      </c>
      <c r="T47">
        <f t="shared" ref="T47" si="214">S47/1000</f>
        <v>50.322901902564588</v>
      </c>
    </row>
    <row r="48" spans="1:20" x14ac:dyDescent="0.25">
      <c r="A48" s="5">
        <v>44545</v>
      </c>
      <c r="B48">
        <v>1.9410000000000001</v>
      </c>
      <c r="C48">
        <v>2.226</v>
      </c>
      <c r="D48">
        <v>1.829</v>
      </c>
      <c r="E48">
        <v>2.129</v>
      </c>
      <c r="F48">
        <v>258170340.19999999</v>
      </c>
      <c r="G48">
        <v>2.129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0.51133501259445857</v>
      </c>
      <c r="Q48">
        <f t="shared" ref="Q48" si="216">F48*P48</f>
        <v>132011534.15768264</v>
      </c>
      <c r="R48">
        <f t="shared" ref="R48" si="217">R49+Q48</f>
        <v>5177330321.8750811</v>
      </c>
      <c r="S48">
        <f t="shared" ref="S48" si="218">R48/100000</f>
        <v>51773.303218750807</v>
      </c>
      <c r="T48">
        <f t="shared" ref="T48" si="219">S48/1000</f>
        <v>51.773303218750804</v>
      </c>
    </row>
    <row r="49" spans="1:20" x14ac:dyDescent="0.25">
      <c r="A49" s="5">
        <v>44544</v>
      </c>
      <c r="B49">
        <v>1.8169999999999999</v>
      </c>
      <c r="C49">
        <v>1.9470000000000001</v>
      </c>
      <c r="D49">
        <v>1.7350000000000001</v>
      </c>
      <c r="E49">
        <v>1.94</v>
      </c>
      <c r="F49">
        <v>162227967.40000001</v>
      </c>
      <c r="G49">
        <v>1.94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0.9339622641509423</v>
      </c>
      <c r="Q49">
        <f t="shared" ref="Q49" si="221">F49*P49</f>
        <v>151514799.74150926</v>
      </c>
      <c r="R49">
        <f t="shared" ref="R49" si="222">R50+Q49</f>
        <v>5045318787.7173986</v>
      </c>
      <c r="S49">
        <f t="shared" ref="S49" si="223">R49/100000</f>
        <v>50453.187877173987</v>
      </c>
      <c r="T49">
        <f t="shared" ref="T49" si="224">S49/1000</f>
        <v>50.453187877173988</v>
      </c>
    </row>
    <row r="50" spans="1:20" x14ac:dyDescent="0.25">
      <c r="A50" s="5">
        <v>44543</v>
      </c>
      <c r="B50">
        <v>2.0830000000000002</v>
      </c>
      <c r="C50">
        <v>2.0939999999999999</v>
      </c>
      <c r="D50">
        <v>1.75</v>
      </c>
      <c r="E50">
        <v>1.8169999999999999</v>
      </c>
      <c r="F50">
        <v>207420092.90000001</v>
      </c>
      <c r="G50">
        <v>1.8169999999999999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-0.61046511627906996</v>
      </c>
      <c r="Q50">
        <f t="shared" ref="Q50" si="226">F50*P50</f>
        <v>-126622731.130814</v>
      </c>
      <c r="R50">
        <f t="shared" ref="R50" si="227">R51+Q50</f>
        <v>4893803987.9758892</v>
      </c>
      <c r="S50">
        <f t="shared" ref="S50" si="228">R50/100000</f>
        <v>48938.039879758893</v>
      </c>
      <c r="T50">
        <f t="shared" ref="T50" si="229">S50/1000</f>
        <v>48.938039879758897</v>
      </c>
    </row>
    <row r="51" spans="1:20" x14ac:dyDescent="0.25">
      <c r="A51" s="5">
        <v>44542</v>
      </c>
      <c r="B51">
        <v>2.14</v>
      </c>
      <c r="C51">
        <v>2.1419999999999999</v>
      </c>
      <c r="D51">
        <v>2.0259999999999998</v>
      </c>
      <c r="E51">
        <v>2.0840000000000001</v>
      </c>
      <c r="F51">
        <v>95119674.700000003</v>
      </c>
      <c r="G51">
        <v>2.0840000000000001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3.8283552573281224E-15</v>
      </c>
      <c r="Q51">
        <f t="shared" ref="Q51" si="231">F51*P51</f>
        <v>3.6415190671308582E-7</v>
      </c>
      <c r="R51">
        <f t="shared" ref="R51" si="232">R52+Q51</f>
        <v>5020426719.1067028</v>
      </c>
      <c r="S51">
        <f t="shared" ref="S51" si="233">R51/100000</f>
        <v>50204.267191067025</v>
      </c>
      <c r="T51">
        <f t="shared" ref="T51" si="234">S51/1000</f>
        <v>50.204267191067025</v>
      </c>
    </row>
    <row r="52" spans="1:20" x14ac:dyDescent="0.25">
      <c r="A52" s="5">
        <v>44541</v>
      </c>
      <c r="B52">
        <v>2.0920000000000001</v>
      </c>
      <c r="C52">
        <v>2.109</v>
      </c>
      <c r="D52">
        <v>2.008</v>
      </c>
      <c r="E52">
        <v>2.09</v>
      </c>
      <c r="F52">
        <v>19822182.399999999</v>
      </c>
      <c r="G52">
        <v>2.09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0.6237623762376211</v>
      </c>
      <c r="Q52">
        <f t="shared" ref="Q52" si="236">F52*P52</f>
        <v>12364331.59603955</v>
      </c>
      <c r="R52">
        <f t="shared" ref="R52" si="237">R53+Q52</f>
        <v>5020426719.1067028</v>
      </c>
      <c r="S52">
        <f t="shared" ref="S52" si="238">R52/100000</f>
        <v>50204.267191067025</v>
      </c>
      <c r="T52">
        <f t="shared" ref="T52" si="239">S52/1000</f>
        <v>50.204267191067025</v>
      </c>
    </row>
    <row r="53" spans="1:20" x14ac:dyDescent="0.25">
      <c r="A53" s="5">
        <v>44540</v>
      </c>
      <c r="B53">
        <v>2.0840000000000001</v>
      </c>
      <c r="C53">
        <v>2.2909999999999999</v>
      </c>
      <c r="D53">
        <v>2.0379999999999998</v>
      </c>
      <c r="E53">
        <v>2.0920000000000001</v>
      </c>
      <c r="F53">
        <v>337275662.10000002</v>
      </c>
      <c r="G53">
        <v>2.0920000000000001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-0.5731225296442668</v>
      </c>
      <c r="Q53">
        <f t="shared" ref="Q53" si="241">F53*P53</f>
        <v>-193300280.65019697</v>
      </c>
      <c r="R53">
        <f t="shared" ref="R53" si="242">R54+Q53</f>
        <v>5008062387.510663</v>
      </c>
      <c r="S53">
        <f t="shared" ref="S53" si="243">R53/100000</f>
        <v>50080.623875106634</v>
      </c>
      <c r="T53">
        <f t="shared" ref="T53" si="244">S53/1000</f>
        <v>50.080623875106632</v>
      </c>
    </row>
    <row r="54" spans="1:20" x14ac:dyDescent="0.25">
      <c r="A54" s="5">
        <v>44539</v>
      </c>
      <c r="B54">
        <v>2.4220000000000002</v>
      </c>
      <c r="C54">
        <v>2.4390000000000001</v>
      </c>
      <c r="D54">
        <v>2.06</v>
      </c>
      <c r="E54">
        <v>2.085</v>
      </c>
      <c r="F54">
        <v>332563226</v>
      </c>
      <c r="G54">
        <v>2.085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-0.86807387862796881</v>
      </c>
      <c r="Q54">
        <f t="shared" ref="Q54" si="246">F54*P54</f>
        <v>-288689449.48284978</v>
      </c>
      <c r="R54">
        <f t="shared" ref="R54" si="247">R55+Q54</f>
        <v>5201362668.1608601</v>
      </c>
      <c r="S54">
        <f t="shared" ref="S54" si="248">R54/100000</f>
        <v>52013.626681608599</v>
      </c>
      <c r="T54">
        <f t="shared" ref="T54" si="249">S54/1000</f>
        <v>52.013626681608599</v>
      </c>
    </row>
    <row r="55" spans="1:20" x14ac:dyDescent="0.25">
      <c r="A55" s="5">
        <v>44538</v>
      </c>
      <c r="B55">
        <v>2.3460000000000001</v>
      </c>
      <c r="C55">
        <v>2.5790000000000002</v>
      </c>
      <c r="D55">
        <v>2.222</v>
      </c>
      <c r="E55">
        <v>2.4209999999999998</v>
      </c>
      <c r="F55">
        <v>392870710.69999999</v>
      </c>
      <c r="G55">
        <v>2.4209999999999998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0.11484593837534862</v>
      </c>
      <c r="Q55">
        <f t="shared" ref="Q55" si="251">F55*P55</f>
        <v>45119605.430531614</v>
      </c>
      <c r="R55">
        <f t="shared" ref="R55" si="252">R56+Q55</f>
        <v>5490052117.6437101</v>
      </c>
      <c r="S55">
        <f t="shared" ref="S55" si="253">R55/100000</f>
        <v>54900.521176437098</v>
      </c>
      <c r="T55">
        <f t="shared" ref="T55" si="254">S55/1000</f>
        <v>54.900521176437096</v>
      </c>
    </row>
    <row r="56" spans="1:20" x14ac:dyDescent="0.25">
      <c r="A56" s="5">
        <v>44537</v>
      </c>
      <c r="B56">
        <v>2.2770000000000001</v>
      </c>
      <c r="C56">
        <v>2.5209999999999999</v>
      </c>
      <c r="D56">
        <v>2.234</v>
      </c>
      <c r="E56">
        <v>2.3439999999999999</v>
      </c>
      <c r="F56">
        <v>441159675.39999998</v>
      </c>
      <c r="G56">
        <v>2.3439999999999999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-0.23344947735191704</v>
      </c>
      <c r="Q56">
        <f t="shared" ref="Q56" si="256">F56*P56</f>
        <v>-102988495.65087137</v>
      </c>
      <c r="R56">
        <f t="shared" ref="R56" si="257">R57+Q56</f>
        <v>5444932512.2131786</v>
      </c>
      <c r="S56">
        <f t="shared" ref="S56" si="258">R56/100000</f>
        <v>54449.325122131784</v>
      </c>
      <c r="T56">
        <f t="shared" ref="T56" si="259">S56/1000</f>
        <v>54.449325122131782</v>
      </c>
    </row>
    <row r="57" spans="1:20" x14ac:dyDescent="0.25">
      <c r="A57" s="5">
        <v>44536</v>
      </c>
      <c r="B57">
        <v>2.0499999999999998</v>
      </c>
      <c r="C57">
        <v>2.3199999999999998</v>
      </c>
      <c r="D57">
        <v>1.7</v>
      </c>
      <c r="E57">
        <v>2.2770000000000001</v>
      </c>
      <c r="F57">
        <v>420599480.69999999</v>
      </c>
      <c r="G57">
        <v>2.2770000000000001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0.86129032258064608</v>
      </c>
      <c r="Q57">
        <f t="shared" ref="Q57" si="261">F57*P57</f>
        <v>362258262.40935522</v>
      </c>
      <c r="R57">
        <f t="shared" ref="R57" si="262">R58+Q57</f>
        <v>5547921007.8640499</v>
      </c>
      <c r="S57">
        <f t="shared" ref="S57" si="263">R57/100000</f>
        <v>55479.210078640499</v>
      </c>
      <c r="T57">
        <f t="shared" ref="T57" si="264">S57/1000</f>
        <v>55.479210078640499</v>
      </c>
    </row>
    <row r="58" spans="1:20" x14ac:dyDescent="0.25">
      <c r="A58" s="5">
        <v>44535</v>
      </c>
      <c r="B58">
        <v>1.974</v>
      </c>
      <c r="C58">
        <v>2.1989999999999998</v>
      </c>
      <c r="D58">
        <v>1.8819999999999999</v>
      </c>
      <c r="E58">
        <v>2.0510000000000002</v>
      </c>
      <c r="F58">
        <v>310626335.89999998</v>
      </c>
      <c r="G58">
        <v>2.0510000000000002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6.6246056782336207E-2</v>
      </c>
      <c r="Q58">
        <f t="shared" ref="Q58" si="266">F58*P58</f>
        <v>20577769.886120439</v>
      </c>
      <c r="R58">
        <f t="shared" ref="R58" si="267">R59+Q58</f>
        <v>5185662745.4546947</v>
      </c>
      <c r="S58">
        <f t="shared" ref="S58" si="268">R58/100000</f>
        <v>51856.62745454695</v>
      </c>
      <c r="T58">
        <f t="shared" ref="T58" si="269">S58/1000</f>
        <v>51.856627454546953</v>
      </c>
    </row>
    <row r="59" spans="1:20" x14ac:dyDescent="0.25">
      <c r="A59" s="5">
        <v>44534</v>
      </c>
      <c r="B59">
        <v>2.2690000000000001</v>
      </c>
      <c r="C59">
        <v>2.3170000000000002</v>
      </c>
      <c r="D59">
        <v>1.5469999999999999</v>
      </c>
      <c r="E59">
        <v>1.9750000000000001</v>
      </c>
      <c r="F59">
        <v>482545184.19999999</v>
      </c>
      <c r="G59">
        <v>1.9750000000000001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0.11168831168831175</v>
      </c>
      <c r="Q59">
        <f t="shared" ref="Q59" si="271">F59*P59</f>
        <v>53894656.936623409</v>
      </c>
      <c r="R59">
        <f t="shared" ref="R59" si="272">R60+Q59</f>
        <v>5165084975.568574</v>
      </c>
      <c r="S59">
        <f t="shared" ref="S59" si="273">R59/100000</f>
        <v>51650.84975568574</v>
      </c>
      <c r="T59">
        <f t="shared" ref="T59" si="274">S59/1000</f>
        <v>51.650849755685741</v>
      </c>
    </row>
    <row r="60" spans="1:20" x14ac:dyDescent="0.25">
      <c r="A60" s="5">
        <v>44533</v>
      </c>
      <c r="B60">
        <v>2.1219999999999999</v>
      </c>
      <c r="C60">
        <v>2.4</v>
      </c>
      <c r="D60">
        <v>2.069</v>
      </c>
      <c r="E60">
        <v>2.27</v>
      </c>
      <c r="F60">
        <v>403426374.80000001</v>
      </c>
      <c r="G60">
        <v>2.27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0.21450151057401867</v>
      </c>
      <c r="Q60">
        <f t="shared" ref="Q60" si="276">F60*P60</f>
        <v>86535566.800000221</v>
      </c>
      <c r="R60">
        <f t="shared" ref="R60" si="277">R61+Q60</f>
        <v>5111190318.6319504</v>
      </c>
      <c r="S60">
        <f t="shared" ref="S60" si="278">R60/100000</f>
        <v>51111.903186319505</v>
      </c>
      <c r="T60">
        <f t="shared" ref="T60" si="279">S60/1000</f>
        <v>51.111903186319502</v>
      </c>
    </row>
    <row r="61" spans="1:20" x14ac:dyDescent="0.25">
      <c r="A61" s="5">
        <v>44532</v>
      </c>
      <c r="B61">
        <v>2.0059999999999998</v>
      </c>
      <c r="C61">
        <v>2.202</v>
      </c>
      <c r="D61">
        <v>1.948</v>
      </c>
      <c r="E61">
        <v>2.1230000000000002</v>
      </c>
      <c r="F61">
        <v>337936048.80000001</v>
      </c>
      <c r="G61">
        <v>2.1230000000000002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0.37795275590551392</v>
      </c>
      <c r="Q61">
        <f t="shared" ref="Q61" si="281">F61*P61</f>
        <v>127723860.96378024</v>
      </c>
      <c r="R61">
        <f t="shared" ref="R61" si="282">R62+Q61</f>
        <v>5024654751.8319502</v>
      </c>
      <c r="S61">
        <f t="shared" ref="S61" si="283">R61/100000</f>
        <v>50246.547518319501</v>
      </c>
      <c r="T61">
        <f t="shared" ref="T61" si="284">S61/1000</f>
        <v>50.246547518319503</v>
      </c>
    </row>
    <row r="62" spans="1:20" x14ac:dyDescent="0.25">
      <c r="A62" s="5">
        <v>44531</v>
      </c>
      <c r="B62">
        <v>1.784</v>
      </c>
      <c r="C62">
        <v>2.0939999999999999</v>
      </c>
      <c r="D62">
        <v>1.77</v>
      </c>
      <c r="E62">
        <v>2.0049999999999999</v>
      </c>
      <c r="F62">
        <v>236434812.69999999</v>
      </c>
      <c r="G62">
        <v>2.0049999999999999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0.45061728395061723</v>
      </c>
      <c r="Q62">
        <f t="shared" ref="Q62" si="286">F62*P62</f>
        <v>106541613.13024689</v>
      </c>
      <c r="R62">
        <f t="shared" ref="R62" si="287">R63+Q62</f>
        <v>4896930890.8681698</v>
      </c>
      <c r="S62">
        <f t="shared" ref="S62" si="288">R62/100000</f>
        <v>48969.308908681698</v>
      </c>
      <c r="T62">
        <f t="shared" ref="T62" si="289">S62/1000</f>
        <v>48.969308908681697</v>
      </c>
    </row>
    <row r="63" spans="1:20" x14ac:dyDescent="0.25">
      <c r="A63" s="5">
        <v>44530</v>
      </c>
      <c r="B63">
        <v>1.8169999999999999</v>
      </c>
      <c r="C63">
        <v>1.88</v>
      </c>
      <c r="D63">
        <v>1.696</v>
      </c>
      <c r="E63">
        <v>1.7849999999999999</v>
      </c>
      <c r="F63">
        <v>125119085.09999999</v>
      </c>
      <c r="G63">
        <v>1.7849999999999999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-3.2608695652173954E-2</v>
      </c>
      <c r="Q63">
        <f t="shared" ref="Q63" si="291">F63*P63</f>
        <v>-4079970.1663043527</v>
      </c>
      <c r="R63">
        <f t="shared" ref="R63" si="292">R64+Q63</f>
        <v>4790389277.7379227</v>
      </c>
      <c r="S63">
        <f t="shared" ref="S63" si="293">R63/100000</f>
        <v>47903.892777379224</v>
      </c>
      <c r="T63">
        <f t="shared" ref="T63" si="294">S63/1000</f>
        <v>47.903892777379227</v>
      </c>
    </row>
    <row r="64" spans="1:20" x14ac:dyDescent="0.25">
      <c r="A64" s="5">
        <v>44529</v>
      </c>
      <c r="B64">
        <v>1.6519999999999999</v>
      </c>
      <c r="C64">
        <v>1.8340000000000001</v>
      </c>
      <c r="D64">
        <v>1.629</v>
      </c>
      <c r="E64">
        <v>1.8160000000000001</v>
      </c>
      <c r="F64">
        <v>84572444.799999997</v>
      </c>
      <c r="G64">
        <v>1.8160000000000001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0.82439024390243898</v>
      </c>
      <c r="Q64">
        <f t="shared" ref="Q64" si="296">F64*P64</f>
        <v>69720698.396097556</v>
      </c>
      <c r="R64">
        <f t="shared" ref="R64" si="297">R65+Q64</f>
        <v>4794469247.9042273</v>
      </c>
      <c r="S64">
        <f t="shared" ref="S64" si="298">R64/100000</f>
        <v>47944.692479042271</v>
      </c>
      <c r="T64">
        <f t="shared" ref="T64" si="299">S64/1000</f>
        <v>47.944692479042274</v>
      </c>
    </row>
    <row r="65" spans="1:20" x14ac:dyDescent="0.25">
      <c r="A65" s="5">
        <v>44528</v>
      </c>
      <c r="B65">
        <v>1.6120000000000001</v>
      </c>
      <c r="C65">
        <v>1.665</v>
      </c>
      <c r="D65">
        <v>1.492</v>
      </c>
      <c r="E65">
        <v>1.6519999999999999</v>
      </c>
      <c r="F65">
        <v>75447073.900000006</v>
      </c>
      <c r="G65">
        <v>1.6519999999999999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0.84971098265895817</v>
      </c>
      <c r="Q65">
        <f t="shared" ref="Q65" si="301">F65*P65</f>
        <v>64108207.302312039</v>
      </c>
      <c r="R65">
        <f t="shared" ref="R65" si="302">R66+Q65</f>
        <v>4724748549.5081301</v>
      </c>
      <c r="S65">
        <f t="shared" ref="S65" si="303">R65/100000</f>
        <v>47247.485495081302</v>
      </c>
      <c r="T65">
        <f t="shared" ref="T65" si="304">S65/1000</f>
        <v>47.2474854950813</v>
      </c>
    </row>
    <row r="66" spans="1:20" x14ac:dyDescent="0.25">
      <c r="A66" s="5">
        <v>44527</v>
      </c>
      <c r="B66">
        <v>1.639</v>
      </c>
      <c r="C66">
        <v>1.726</v>
      </c>
      <c r="D66">
        <v>1.587</v>
      </c>
      <c r="E66">
        <v>1.613</v>
      </c>
      <c r="F66">
        <v>56978913.200000003</v>
      </c>
      <c r="G66">
        <v>1.613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-0.62589928057553923</v>
      </c>
      <c r="Q66">
        <f t="shared" ref="Q66" si="306">F66*P66</f>
        <v>-35663060.779856101</v>
      </c>
      <c r="R66">
        <f t="shared" ref="R66" si="307">R67+Q66</f>
        <v>4660640342.2058182</v>
      </c>
      <c r="S66">
        <f t="shared" ref="S66" si="308">R66/100000</f>
        <v>46606.403422058182</v>
      </c>
      <c r="T66">
        <f t="shared" ref="T66" si="309">S66/1000</f>
        <v>46.606403422058179</v>
      </c>
    </row>
    <row r="67" spans="1:20" x14ac:dyDescent="0.25">
      <c r="A67" s="5">
        <v>44526</v>
      </c>
      <c r="B67">
        <v>1.9259999999999999</v>
      </c>
      <c r="C67">
        <v>1.9670000000000001</v>
      </c>
      <c r="D67">
        <v>1.589</v>
      </c>
      <c r="E67">
        <v>1.64</v>
      </c>
      <c r="F67">
        <v>179444731.59999999</v>
      </c>
      <c r="G67">
        <v>1.64</v>
      </c>
      <c r="L67" t="s">
        <v>8</v>
      </c>
      <c r="M67" t="s">
        <v>7</v>
      </c>
      <c r="N67" t="s">
        <v>8</v>
      </c>
      <c r="P67">
        <f t="shared" ref="P67" si="310">IF(C67=D67,0,((E67-D67)-(C67-E67))/(C67-D67))</f>
        <v>-0.73015873015873056</v>
      </c>
      <c r="Q67">
        <f t="shared" ref="Q67" si="311">F67*P67</f>
        <v>-131023137.35873023</v>
      </c>
      <c r="R67">
        <f t="shared" ref="R67" si="312">R68+Q67</f>
        <v>4696303402.9856739</v>
      </c>
      <c r="S67">
        <f t="shared" ref="S67" si="313">R67/100000</f>
        <v>46963.034029856739</v>
      </c>
      <c r="T67">
        <f t="shared" ref="T67" si="314">S67/1000</f>
        <v>46.963034029856736</v>
      </c>
    </row>
    <row r="68" spans="1:20" x14ac:dyDescent="0.25">
      <c r="A68" s="5">
        <v>44525</v>
      </c>
      <c r="B68">
        <v>1.6850000000000001</v>
      </c>
      <c r="C68">
        <v>1.94</v>
      </c>
      <c r="D68">
        <v>1.67</v>
      </c>
      <c r="E68">
        <v>1.925</v>
      </c>
      <c r="F68">
        <v>151610100.30000001</v>
      </c>
      <c r="G68">
        <v>1.925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0.88888888888888962</v>
      </c>
      <c r="Q68">
        <f t="shared" ref="Q68" si="316">F68*P68</f>
        <v>134764533.60000011</v>
      </c>
      <c r="R68">
        <f t="shared" ref="R68" si="317">R69+Q68</f>
        <v>4827326540.3444042</v>
      </c>
      <c r="S68">
        <f t="shared" ref="S68" si="318">R68/100000</f>
        <v>48273.265403444042</v>
      </c>
      <c r="T68">
        <f t="shared" ref="T68" si="319">S68/1000</f>
        <v>48.273265403444043</v>
      </c>
    </row>
    <row r="69" spans="1:20" x14ac:dyDescent="0.25">
      <c r="A69" s="5">
        <v>44524</v>
      </c>
      <c r="B69">
        <v>1.75</v>
      </c>
      <c r="C69">
        <v>1.8129999999999999</v>
      </c>
      <c r="D69">
        <v>1.669</v>
      </c>
      <c r="E69">
        <v>1.8129999999999999</v>
      </c>
      <c r="F69">
        <v>44366816.899999999</v>
      </c>
      <c r="G69">
        <v>1.8129999999999999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1</v>
      </c>
      <c r="Q69">
        <f t="shared" ref="Q69" si="321">F69*P69</f>
        <v>44366816.899999999</v>
      </c>
      <c r="R69">
        <f t="shared" ref="R69" si="322">R70+Q69</f>
        <v>4692562006.7444038</v>
      </c>
      <c r="S69">
        <f t="shared" ref="S69" si="323">R69/100000</f>
        <v>46925.620067444041</v>
      </c>
      <c r="T69">
        <f t="shared" ref="T69" si="324">S69/1000</f>
        <v>46.925620067444044</v>
      </c>
    </row>
    <row r="70" spans="1:20" x14ac:dyDescent="0.25">
      <c r="A70" s="5">
        <v>44523</v>
      </c>
      <c r="B70">
        <v>1.5589999999999999</v>
      </c>
      <c r="C70">
        <v>1.7629999999999999</v>
      </c>
      <c r="D70">
        <v>1.542</v>
      </c>
      <c r="E70">
        <v>1.7509999999999999</v>
      </c>
      <c r="F70">
        <v>104048764.3</v>
      </c>
      <c r="G70">
        <v>1.7509999999999999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0.89140271493212653</v>
      </c>
      <c r="Q70">
        <f t="shared" ref="Q70" si="326">F70*P70</f>
        <v>92749350.982352927</v>
      </c>
      <c r="R70">
        <f t="shared" ref="R70" si="327">R71+Q70</f>
        <v>4648195189.8444042</v>
      </c>
      <c r="S70">
        <f t="shared" ref="S70" si="328">R70/100000</f>
        <v>46481.951898444044</v>
      </c>
      <c r="T70">
        <f t="shared" ref="T70" si="329">S70/1000</f>
        <v>46.481951898444045</v>
      </c>
    </row>
    <row r="71" spans="1:20" x14ac:dyDescent="0.25">
      <c r="A71" s="5">
        <v>44522</v>
      </c>
      <c r="B71">
        <v>1.5980000000000001</v>
      </c>
      <c r="C71">
        <v>1.621</v>
      </c>
      <c r="D71">
        <v>1.5249999999999999</v>
      </c>
      <c r="E71">
        <v>1.5589999999999999</v>
      </c>
      <c r="F71">
        <v>59193702.899999999</v>
      </c>
      <c r="G71">
        <v>1.5589999999999999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-0.29166666666666669</v>
      </c>
      <c r="Q71">
        <f t="shared" ref="Q71" si="331">F71*P71</f>
        <v>-17264830.012499999</v>
      </c>
      <c r="R71">
        <f t="shared" ref="R71" si="332">R72+Q71</f>
        <v>4555445838.862051</v>
      </c>
      <c r="S71">
        <f t="shared" ref="S71" si="333">R71/100000</f>
        <v>45554.458388620507</v>
      </c>
      <c r="T71">
        <f t="shared" ref="T71" si="334">S71/1000</f>
        <v>45.55445838862051</v>
      </c>
    </row>
    <row r="72" spans="1:20" x14ac:dyDescent="0.25">
      <c r="A72" s="5">
        <v>44521</v>
      </c>
      <c r="B72">
        <v>1.663</v>
      </c>
      <c r="C72">
        <v>1.667</v>
      </c>
      <c r="D72">
        <v>1.5940000000000001</v>
      </c>
      <c r="E72">
        <v>1.5980000000000001</v>
      </c>
      <c r="F72">
        <v>40091995.600000001</v>
      </c>
      <c r="G72">
        <v>1.5980000000000001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-0.89041095890410937</v>
      </c>
      <c r="Q72">
        <f t="shared" ref="Q72" si="336">F72*P72</f>
        <v>-35698352.246575333</v>
      </c>
      <c r="R72">
        <f t="shared" ref="R72" si="337">R73+Q72</f>
        <v>4572710668.8745508</v>
      </c>
      <c r="S72">
        <f t="shared" ref="S72" si="338">R72/100000</f>
        <v>45727.106688745509</v>
      </c>
      <c r="T72">
        <f t="shared" ref="T72" si="339">S72/1000</f>
        <v>45.727106688745508</v>
      </c>
    </row>
    <row r="73" spans="1:20" x14ac:dyDescent="0.25">
      <c r="A73" s="5">
        <v>44520</v>
      </c>
      <c r="B73">
        <v>1.6220000000000001</v>
      </c>
      <c r="C73">
        <v>1.679</v>
      </c>
      <c r="D73">
        <v>1.5589999999999999</v>
      </c>
      <c r="E73">
        <v>1.6639999999999999</v>
      </c>
      <c r="F73">
        <v>57718268.700000003</v>
      </c>
      <c r="G73">
        <v>1.6639999999999999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0.74999999999999811</v>
      </c>
      <c r="Q73">
        <f t="shared" ref="Q73" si="341">F73*P73</f>
        <v>43288701.524999894</v>
      </c>
      <c r="R73">
        <f t="shared" ref="R73" si="342">R74+Q73</f>
        <v>4608409021.1211262</v>
      </c>
      <c r="S73">
        <f t="shared" ref="S73" si="343">R73/100000</f>
        <v>46084.09021121126</v>
      </c>
      <c r="T73">
        <f t="shared" ref="T73" si="344">S73/1000</f>
        <v>46.084090211211262</v>
      </c>
    </row>
    <row r="74" spans="1:20" x14ac:dyDescent="0.25">
      <c r="A74" s="5">
        <v>44519</v>
      </c>
      <c r="B74">
        <v>1.4950000000000001</v>
      </c>
      <c r="C74">
        <v>1.625</v>
      </c>
      <c r="D74">
        <v>1.478</v>
      </c>
      <c r="E74">
        <v>1.6220000000000001</v>
      </c>
      <c r="F74">
        <v>63171530.600000001</v>
      </c>
      <c r="G74">
        <v>1.6220000000000001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0.95918367346938926</v>
      </c>
      <c r="Q74">
        <f t="shared" ref="Q74" si="346">F74*P74</f>
        <v>60593100.779591933</v>
      </c>
      <c r="R74">
        <f t="shared" ref="R74" si="347">R75+Q74</f>
        <v>4565120319.5961266</v>
      </c>
      <c r="S74">
        <f t="shared" ref="S74" si="348">R74/100000</f>
        <v>45651.203195961265</v>
      </c>
      <c r="T74">
        <f t="shared" ref="T74" si="349">S74/1000</f>
        <v>45.651203195961266</v>
      </c>
    </row>
    <row r="75" spans="1:20" x14ac:dyDescent="0.25">
      <c r="A75" s="5">
        <v>44518</v>
      </c>
      <c r="B75">
        <v>1.6359999999999999</v>
      </c>
      <c r="C75">
        <v>1.702</v>
      </c>
      <c r="D75">
        <v>1.4430000000000001</v>
      </c>
      <c r="E75">
        <v>1.494</v>
      </c>
      <c r="F75">
        <v>99523642.400000006</v>
      </c>
      <c r="G75">
        <v>1.494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-0.60617760617760652</v>
      </c>
      <c r="Q75">
        <f t="shared" ref="Q75" si="351">F75*P75</f>
        <v>-60329003.308108144</v>
      </c>
      <c r="R75">
        <f t="shared" ref="R75" si="352">R76+Q75</f>
        <v>4504527218.816535</v>
      </c>
      <c r="S75">
        <f t="shared" ref="S75" si="353">R75/100000</f>
        <v>45045.272188165349</v>
      </c>
      <c r="T75">
        <f t="shared" ref="T75" si="354">S75/1000</f>
        <v>45.045272188165349</v>
      </c>
    </row>
    <row r="76" spans="1:20" x14ac:dyDescent="0.25">
      <c r="A76" s="5">
        <v>44517</v>
      </c>
      <c r="B76">
        <v>1.5589999999999999</v>
      </c>
      <c r="C76">
        <v>1.6739999999999999</v>
      </c>
      <c r="D76">
        <v>1.488</v>
      </c>
      <c r="E76">
        <v>1.637</v>
      </c>
      <c r="F76">
        <v>85437294.700000003</v>
      </c>
      <c r="G76">
        <v>1.637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0.60215053763440929</v>
      </c>
      <c r="Q76">
        <f t="shared" ref="Q76" si="356">F76*P76</f>
        <v>51446112.937634468</v>
      </c>
      <c r="R76">
        <f t="shared" ref="R76" si="357">R77+Q76</f>
        <v>4564856222.1246433</v>
      </c>
      <c r="S76">
        <f t="shared" ref="S76" si="358">R76/100000</f>
        <v>45648.562221246437</v>
      </c>
      <c r="T76">
        <f t="shared" ref="T76" si="359">S76/1000</f>
        <v>45.648562221246436</v>
      </c>
    </row>
    <row r="77" spans="1:20" x14ac:dyDescent="0.25">
      <c r="A77" s="5">
        <v>44516</v>
      </c>
      <c r="B77">
        <v>1.694</v>
      </c>
      <c r="C77">
        <v>1.694</v>
      </c>
      <c r="D77">
        <v>1.4630000000000001</v>
      </c>
      <c r="E77">
        <v>1.5589999999999999</v>
      </c>
      <c r="F77">
        <v>133099353.40000001</v>
      </c>
      <c r="G77">
        <v>1.5589999999999999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-0.16883116883116955</v>
      </c>
      <c r="Q77">
        <f t="shared" ref="Q77" si="361">F77*P77</f>
        <v>-22471319.405194901</v>
      </c>
      <c r="R77">
        <f t="shared" ref="R77" si="362">R78+Q77</f>
        <v>4513410109.1870089</v>
      </c>
      <c r="S77">
        <f t="shared" ref="S77" si="363">R77/100000</f>
        <v>45134.101091870092</v>
      </c>
      <c r="T77">
        <f t="shared" ref="T77" si="364">S77/1000</f>
        <v>45.134101091870093</v>
      </c>
    </row>
    <row r="78" spans="1:20" x14ac:dyDescent="0.25">
      <c r="A78" s="5">
        <v>44515</v>
      </c>
      <c r="B78">
        <v>1.728</v>
      </c>
      <c r="C78">
        <v>1.7669999999999999</v>
      </c>
      <c r="D78">
        <v>1.6879999999999999</v>
      </c>
      <c r="E78">
        <v>1.694</v>
      </c>
      <c r="F78">
        <v>49314398.200000003</v>
      </c>
      <c r="G78">
        <v>1.694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-0.84810126582278456</v>
      </c>
      <c r="Q78">
        <f t="shared" ref="Q78" si="366">F78*P78</f>
        <v>-41823603.536708854</v>
      </c>
      <c r="R78">
        <f t="shared" ref="R78" si="367">R79+Q78</f>
        <v>4535881428.5922041</v>
      </c>
      <c r="S78">
        <f t="shared" ref="S78" si="368">R78/100000</f>
        <v>45358.814285922039</v>
      </c>
      <c r="T78">
        <f t="shared" ref="T78" si="369">S78/1000</f>
        <v>45.358814285922037</v>
      </c>
    </row>
    <row r="79" spans="1:20" x14ac:dyDescent="0.25">
      <c r="A79" s="5">
        <v>44514</v>
      </c>
      <c r="B79">
        <v>1.7509999999999999</v>
      </c>
      <c r="C79">
        <v>1.7749999999999999</v>
      </c>
      <c r="D79">
        <v>1.6859999999999999</v>
      </c>
      <c r="E79">
        <v>1.728</v>
      </c>
      <c r="F79">
        <v>43426724.100000001</v>
      </c>
      <c r="G79">
        <v>1.728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-5.6179775280897702E-2</v>
      </c>
      <c r="Q79">
        <f t="shared" ref="Q79" si="371">F79*P79</f>
        <v>-2439703.6011235444</v>
      </c>
      <c r="R79">
        <f t="shared" ref="R79" si="372">R80+Q79</f>
        <v>4577705032.1289129</v>
      </c>
      <c r="S79">
        <f t="shared" ref="S79" si="373">R79/100000</f>
        <v>45777.050321289127</v>
      </c>
      <c r="T79">
        <f t="shared" ref="T79" si="374">S79/1000</f>
        <v>45.777050321289124</v>
      </c>
    </row>
    <row r="80" spans="1:20" x14ac:dyDescent="0.25">
      <c r="A80" s="5">
        <v>44513</v>
      </c>
      <c r="B80">
        <v>1.716</v>
      </c>
      <c r="C80">
        <v>1.7709999999999999</v>
      </c>
      <c r="D80">
        <v>1.698</v>
      </c>
      <c r="E80">
        <v>1.75</v>
      </c>
      <c r="F80">
        <v>45150953.799999997</v>
      </c>
      <c r="G80">
        <v>1.75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0.42465753424657748</v>
      </c>
      <c r="Q80">
        <f t="shared" ref="Q80" si="376">F80*P80</f>
        <v>19173692.709589135</v>
      </c>
      <c r="R80">
        <f t="shared" ref="R80" si="377">R81+Q80</f>
        <v>4580144735.7300367</v>
      </c>
      <c r="S80">
        <f t="shared" ref="S80" si="378">R80/100000</f>
        <v>45801.447357300371</v>
      </c>
      <c r="T80">
        <f t="shared" ref="T80" si="379">S80/1000</f>
        <v>45.801447357300368</v>
      </c>
    </row>
    <row r="81" spans="1:20" x14ac:dyDescent="0.25">
      <c r="A81" s="5">
        <v>44512</v>
      </c>
      <c r="B81">
        <v>1.754</v>
      </c>
      <c r="C81">
        <v>1.7769999999999999</v>
      </c>
      <c r="D81">
        <v>1.6359999999999999</v>
      </c>
      <c r="E81">
        <v>1.7150000000000001</v>
      </c>
      <c r="F81">
        <v>75687048.299999997</v>
      </c>
      <c r="G81">
        <v>1.7150000000000001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0.12056737588652729</v>
      </c>
      <c r="Q81">
        <f t="shared" ref="Q81" si="381">F81*P81</f>
        <v>9125388.8021278456</v>
      </c>
      <c r="R81">
        <f t="shared" ref="R81" si="382">R82+Q81</f>
        <v>4560971043.0204477</v>
      </c>
      <c r="S81">
        <f t="shared" ref="S81" si="383">R81/100000</f>
        <v>45609.710430204475</v>
      </c>
      <c r="T81">
        <f t="shared" ref="T81" si="384">S81/1000</f>
        <v>45.609710430204473</v>
      </c>
    </row>
    <row r="82" spans="1:20" x14ac:dyDescent="0.25">
      <c r="A82" s="5">
        <v>44511</v>
      </c>
      <c r="B82">
        <v>1.6990000000000001</v>
      </c>
      <c r="C82">
        <v>1.79</v>
      </c>
      <c r="D82">
        <v>1.6639999999999999</v>
      </c>
      <c r="E82">
        <v>1.754</v>
      </c>
      <c r="F82">
        <v>83483387.299999997</v>
      </c>
      <c r="G82">
        <v>1.754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0.42857142857142855</v>
      </c>
      <c r="Q82">
        <f t="shared" ref="Q82" si="386">F82*P82</f>
        <v>35778594.557142854</v>
      </c>
      <c r="R82">
        <f t="shared" ref="R82" si="387">R83+Q82</f>
        <v>4551845654.2183199</v>
      </c>
      <c r="S82">
        <f t="shared" ref="S82" si="388">R82/100000</f>
        <v>45518.456542183201</v>
      </c>
      <c r="T82">
        <f t="shared" ref="T82" si="389">S82/1000</f>
        <v>45.518456542183202</v>
      </c>
    </row>
    <row r="83" spans="1:20" x14ac:dyDescent="0.25">
      <c r="A83" s="5">
        <v>44510</v>
      </c>
      <c r="B83">
        <v>1.7749999999999999</v>
      </c>
      <c r="C83">
        <v>1.893</v>
      </c>
      <c r="D83">
        <v>1.5269999999999999</v>
      </c>
      <c r="E83">
        <v>1.7</v>
      </c>
      <c r="F83">
        <v>187475989.5</v>
      </c>
      <c r="G83">
        <v>1.7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-5.4644808743169432E-2</v>
      </c>
      <c r="Q83">
        <f t="shared" ref="Q83" si="391">F83*P83</f>
        <v>-10244589.590163941</v>
      </c>
      <c r="R83">
        <f t="shared" ref="R83" si="392">R84+Q83</f>
        <v>4516067059.6611767</v>
      </c>
      <c r="S83">
        <f t="shared" ref="S83" si="393">R83/100000</f>
        <v>45160.670596611766</v>
      </c>
      <c r="T83">
        <f t="shared" ref="T83" si="394">S83/1000</f>
        <v>45.160670596611766</v>
      </c>
    </row>
    <row r="84" spans="1:20" x14ac:dyDescent="0.25">
      <c r="A84" s="5">
        <v>44509</v>
      </c>
      <c r="B84">
        <v>1.8919999999999999</v>
      </c>
      <c r="C84">
        <v>1.895</v>
      </c>
      <c r="D84">
        <v>1.754</v>
      </c>
      <c r="E84">
        <v>1.7749999999999999</v>
      </c>
      <c r="F84">
        <v>182663697.5</v>
      </c>
      <c r="G84">
        <v>1.7749999999999999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-0.70212765957446943</v>
      </c>
      <c r="Q84">
        <f t="shared" ref="Q84" si="396">F84*P84</f>
        <v>-128253234.41489387</v>
      </c>
      <c r="R84">
        <f t="shared" ref="R84" si="397">R85+Q84</f>
        <v>4526311649.2513409</v>
      </c>
      <c r="S84">
        <f t="shared" ref="S84" si="398">R84/100000</f>
        <v>45263.116492513407</v>
      </c>
      <c r="T84">
        <f t="shared" ref="T84" si="399">S84/1000</f>
        <v>45.263116492513404</v>
      </c>
    </row>
    <row r="85" spans="1:20" x14ac:dyDescent="0.25">
      <c r="A85" s="5">
        <v>44508</v>
      </c>
      <c r="B85">
        <v>1.885</v>
      </c>
      <c r="C85">
        <v>1.9419999999999999</v>
      </c>
      <c r="D85">
        <v>1.861</v>
      </c>
      <c r="E85">
        <v>1.893</v>
      </c>
      <c r="F85">
        <v>105927582.7</v>
      </c>
      <c r="G85">
        <v>1.893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-0.20987654320987545</v>
      </c>
      <c r="Q85">
        <f t="shared" ref="Q85" si="401">F85*P85</f>
        <v>-22231714.887654204</v>
      </c>
      <c r="R85">
        <f t="shared" ref="R85" si="402">R86+Q85</f>
        <v>4654564883.666235</v>
      </c>
      <c r="S85">
        <f t="shared" ref="S85" si="403">R85/100000</f>
        <v>46545.648836662353</v>
      </c>
      <c r="T85">
        <f t="shared" ref="T85" si="404">S85/1000</f>
        <v>46.545648836662352</v>
      </c>
    </row>
    <row r="86" spans="1:20" x14ac:dyDescent="0.25">
      <c r="A86" s="5">
        <v>44507</v>
      </c>
      <c r="B86">
        <v>1.8839999999999999</v>
      </c>
      <c r="C86">
        <v>1.915</v>
      </c>
      <c r="D86">
        <v>1.851</v>
      </c>
      <c r="E86">
        <v>1.8859999999999999</v>
      </c>
      <c r="F86">
        <v>50189890.700000003</v>
      </c>
      <c r="G86">
        <v>1.8859999999999999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9.3749999999996531E-2</v>
      </c>
      <c r="Q86">
        <f t="shared" ref="Q86" si="406">F86*P86</f>
        <v>4705302.2531248266</v>
      </c>
      <c r="R86">
        <f t="shared" ref="R86" si="407">R87+Q86</f>
        <v>4676796598.5538893</v>
      </c>
      <c r="S86">
        <f t="shared" ref="S86" si="408">R86/100000</f>
        <v>46767.965985538896</v>
      </c>
      <c r="T86">
        <f t="shared" ref="T86" si="409">S86/1000</f>
        <v>46.767965985538893</v>
      </c>
    </row>
    <row r="87" spans="1:20" x14ac:dyDescent="0.25">
      <c r="A87" s="5">
        <v>44506</v>
      </c>
      <c r="B87">
        <v>1.8959999999999999</v>
      </c>
      <c r="C87">
        <v>1.9259999999999999</v>
      </c>
      <c r="D87">
        <v>1.8089999999999999</v>
      </c>
      <c r="E87">
        <v>1.883</v>
      </c>
      <c r="F87">
        <v>52407084.299999997</v>
      </c>
      <c r="G87">
        <v>1.883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0.26495726495726618</v>
      </c>
      <c r="Q87">
        <f t="shared" ref="Q87" si="411">F87*P87</f>
        <v>13885637.720512884</v>
      </c>
      <c r="R87">
        <f t="shared" ref="R87" si="412">R88+Q87</f>
        <v>4672091296.3007641</v>
      </c>
      <c r="S87">
        <f t="shared" ref="S87" si="413">R87/100000</f>
        <v>46720.912963007642</v>
      </c>
      <c r="T87">
        <f t="shared" ref="T87" si="414">S87/1000</f>
        <v>46.720912963007642</v>
      </c>
    </row>
    <row r="88" spans="1:20" x14ac:dyDescent="0.25">
      <c r="A88" s="5">
        <v>44505</v>
      </c>
      <c r="B88">
        <v>1.915</v>
      </c>
      <c r="C88">
        <v>1.95</v>
      </c>
      <c r="D88">
        <v>1.865</v>
      </c>
      <c r="E88">
        <v>1.8959999999999999</v>
      </c>
      <c r="F88">
        <v>62769656.5</v>
      </c>
      <c r="G88">
        <v>1.8959999999999999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-0.27058823529411929</v>
      </c>
      <c r="Q88">
        <f t="shared" ref="Q88" si="416">F88*P88</f>
        <v>-16984730.582353044</v>
      </c>
      <c r="R88">
        <f t="shared" ref="R88" si="417">R89+Q88</f>
        <v>4658205658.5802507</v>
      </c>
      <c r="S88">
        <f t="shared" ref="S88" si="418">R88/100000</f>
        <v>46582.056585802507</v>
      </c>
      <c r="T88">
        <f t="shared" ref="T88" si="419">S88/1000</f>
        <v>46.582056585802505</v>
      </c>
    </row>
    <row r="89" spans="1:20" x14ac:dyDescent="0.25">
      <c r="A89" s="5">
        <v>44504</v>
      </c>
      <c r="B89">
        <v>2.0379999999999998</v>
      </c>
      <c r="C89">
        <v>2.04</v>
      </c>
      <c r="D89">
        <v>1.8620000000000001</v>
      </c>
      <c r="E89">
        <v>1.9159999999999999</v>
      </c>
      <c r="F89">
        <v>100166794.90000001</v>
      </c>
      <c r="G89">
        <v>1.9159999999999999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-0.39325842696629387</v>
      </c>
      <c r="Q89">
        <f t="shared" ref="Q89" si="421">F89*P89</f>
        <v>-39391436.19662939</v>
      </c>
      <c r="R89">
        <f t="shared" ref="R89" si="422">R90+Q89</f>
        <v>4675190389.1626034</v>
      </c>
      <c r="S89">
        <f t="shared" ref="S89" si="423">R89/100000</f>
        <v>46751.903891626032</v>
      </c>
      <c r="T89">
        <f t="shared" ref="T89" si="424">S89/1000</f>
        <v>46.751903891626036</v>
      </c>
    </row>
    <row r="90" spans="1:20" x14ac:dyDescent="0.25">
      <c r="A90" s="5">
        <v>44503</v>
      </c>
      <c r="B90">
        <v>1.9390000000000001</v>
      </c>
      <c r="C90">
        <v>2.15</v>
      </c>
      <c r="D90">
        <v>1.9370000000000001</v>
      </c>
      <c r="E90">
        <v>2.0390000000000001</v>
      </c>
      <c r="F90">
        <v>193807414.09999999</v>
      </c>
      <c r="G90">
        <v>2.0390000000000001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-4.2253521126759064E-2</v>
      </c>
      <c r="Q90">
        <f t="shared" ref="Q90" si="426">F90*P90</f>
        <v>-8189045.666196892</v>
      </c>
      <c r="R90">
        <f t="shared" ref="R90" si="427">R91+Q90</f>
        <v>4714581825.3592329</v>
      </c>
      <c r="S90">
        <f t="shared" ref="S90" si="428">R90/100000</f>
        <v>47145.818253592326</v>
      </c>
      <c r="T90">
        <f t="shared" ref="T90" si="429">S90/1000</f>
        <v>47.145818253592324</v>
      </c>
    </row>
    <row r="91" spans="1:20" x14ac:dyDescent="0.25">
      <c r="A91" s="5">
        <v>44502</v>
      </c>
      <c r="B91">
        <v>1.903</v>
      </c>
      <c r="C91">
        <v>1.97</v>
      </c>
      <c r="D91">
        <v>1.8620000000000001</v>
      </c>
      <c r="E91">
        <v>1.9390000000000001</v>
      </c>
      <c r="F91">
        <v>115942949.8</v>
      </c>
      <c r="G91">
        <v>1.9390000000000001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0.42592592592592682</v>
      </c>
      <c r="Q91">
        <f t="shared" ref="Q91" si="431">F91*P91</f>
        <v>49383108.248148248</v>
      </c>
      <c r="R91">
        <f t="shared" ref="R91" si="432">R92+Q91</f>
        <v>4722770871.0254297</v>
      </c>
      <c r="S91">
        <f t="shared" ref="S91" si="433">R91/100000</f>
        <v>47227.708710254294</v>
      </c>
      <c r="T91">
        <f t="shared" ref="T91" si="434">S91/1000</f>
        <v>47.227708710254291</v>
      </c>
    </row>
    <row r="92" spans="1:20" x14ac:dyDescent="0.25">
      <c r="A92" s="5">
        <v>44501</v>
      </c>
      <c r="B92">
        <v>1.9390000000000001</v>
      </c>
      <c r="C92">
        <v>1.9710000000000001</v>
      </c>
      <c r="D92">
        <v>1.8340000000000001</v>
      </c>
      <c r="E92">
        <v>1.9019999999999999</v>
      </c>
      <c r="F92">
        <v>109597754.7</v>
      </c>
      <c r="G92">
        <v>1.9019999999999999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-7.2992700729951378E-3</v>
      </c>
      <c r="Q92">
        <f t="shared" ref="Q92" si="436">F92*P92</f>
        <v>-799983.61094917217</v>
      </c>
      <c r="R92">
        <f t="shared" ref="R92" si="437">R93+Q92</f>
        <v>4673387762.7772818</v>
      </c>
      <c r="S92">
        <f t="shared" ref="S92" si="438">R92/100000</f>
        <v>46733.877627772818</v>
      </c>
      <c r="T92">
        <f t="shared" ref="T92" si="439">S92/1000</f>
        <v>46.73387762777282</v>
      </c>
    </row>
    <row r="93" spans="1:20" x14ac:dyDescent="0.25">
      <c r="A93" s="5">
        <v>44500</v>
      </c>
      <c r="B93">
        <v>1.869</v>
      </c>
      <c r="C93">
        <v>1.984</v>
      </c>
      <c r="D93">
        <v>1.792</v>
      </c>
      <c r="E93">
        <v>1.9390000000000001</v>
      </c>
      <c r="F93">
        <v>142641786.09999999</v>
      </c>
      <c r="G93">
        <v>1.9390000000000001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0.53125000000000067</v>
      </c>
      <c r="Q93">
        <f t="shared" ref="Q93" si="441">F93*P93</f>
        <v>75778448.865625098</v>
      </c>
      <c r="R93">
        <f t="shared" ref="R93" si="442">R94+Q93</f>
        <v>4674187746.3882313</v>
      </c>
      <c r="S93">
        <f t="shared" ref="S93" si="443">R93/100000</f>
        <v>46741.877463882316</v>
      </c>
      <c r="T93">
        <f t="shared" ref="T93" si="444">S93/1000</f>
        <v>46.741877463882318</v>
      </c>
    </row>
    <row r="94" spans="1:20" x14ac:dyDescent="0.25">
      <c r="A94" s="5">
        <v>44499</v>
      </c>
      <c r="B94">
        <v>2.0219999999999998</v>
      </c>
      <c r="C94">
        <v>2.028</v>
      </c>
      <c r="D94">
        <v>1.8260000000000001</v>
      </c>
      <c r="E94">
        <v>1.869</v>
      </c>
      <c r="F94">
        <v>133509266</v>
      </c>
      <c r="G94">
        <v>1.869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-0.57425742574257488</v>
      </c>
      <c r="Q94">
        <f t="shared" ref="Q94" si="446">F94*P94</f>
        <v>-76668687.405940682</v>
      </c>
      <c r="R94">
        <f t="shared" ref="R94" si="447">R95+Q94</f>
        <v>4598409297.5226059</v>
      </c>
      <c r="S94">
        <f t="shared" ref="S94" si="448">R94/100000</f>
        <v>45984.092975226056</v>
      </c>
      <c r="T94">
        <f t="shared" ref="T94" si="449">S94/1000</f>
        <v>45.984092975226055</v>
      </c>
    </row>
    <row r="95" spans="1:20" x14ac:dyDescent="0.25">
      <c r="A95" s="5">
        <v>44498</v>
      </c>
      <c r="B95">
        <v>2.1339999999999999</v>
      </c>
      <c r="C95">
        <v>2.2200000000000002</v>
      </c>
      <c r="D95">
        <v>1.919</v>
      </c>
      <c r="E95">
        <v>2.0219999999999998</v>
      </c>
      <c r="F95">
        <v>266151399.59999999</v>
      </c>
      <c r="G95">
        <v>2.0219999999999998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-0.31561461794020129</v>
      </c>
      <c r="Q95">
        <f t="shared" ref="Q95" si="451">F95*P95</f>
        <v>-84001272.299003839</v>
      </c>
      <c r="R95">
        <f t="shared" ref="R95" si="452">R96+Q95</f>
        <v>4675077984.9285469</v>
      </c>
      <c r="S95">
        <f t="shared" ref="S95" si="453">R95/100000</f>
        <v>46750.779849285471</v>
      </c>
      <c r="T95">
        <f t="shared" ref="T95" si="454">S95/1000</f>
        <v>46.750779849285472</v>
      </c>
    </row>
    <row r="96" spans="1:20" x14ac:dyDescent="0.25">
      <c r="A96" s="5">
        <v>44497</v>
      </c>
      <c r="B96">
        <v>1.7549999999999999</v>
      </c>
      <c r="C96">
        <v>2.1779999999999999</v>
      </c>
      <c r="D96">
        <v>1.7549999999999999</v>
      </c>
      <c r="E96">
        <v>2.1339999999999999</v>
      </c>
      <c r="F96">
        <v>411270337.69999999</v>
      </c>
      <c r="G96">
        <v>2.1339999999999999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0.79196217494089816</v>
      </c>
      <c r="Q96">
        <f t="shared" ref="Q96" si="456">F96*P96</f>
        <v>325710551.13356966</v>
      </c>
      <c r="R96">
        <f t="shared" ref="R96" si="457">R97+Q96</f>
        <v>4759079257.2275505</v>
      </c>
      <c r="S96">
        <f t="shared" ref="S96" si="458">R96/100000</f>
        <v>47590.792572275503</v>
      </c>
      <c r="T96">
        <f t="shared" ref="T96" si="459">S96/1000</f>
        <v>47.590792572275504</v>
      </c>
    </row>
    <row r="97" spans="1:20" x14ac:dyDescent="0.25">
      <c r="A97" s="5">
        <v>44496</v>
      </c>
      <c r="B97">
        <v>1.734</v>
      </c>
      <c r="C97">
        <v>1.9390000000000001</v>
      </c>
      <c r="D97">
        <v>1.6</v>
      </c>
      <c r="E97">
        <v>1.7569999999999999</v>
      </c>
      <c r="F97">
        <v>404527907.5</v>
      </c>
      <c r="G97">
        <v>1.7569999999999999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-7.3746312684366835E-2</v>
      </c>
      <c r="Q97">
        <f t="shared" ref="Q97" si="461">F97*P97</f>
        <v>-29832441.556047622</v>
      </c>
      <c r="R97">
        <f t="shared" ref="R97" si="462">R98+Q97</f>
        <v>4433368706.0939808</v>
      </c>
      <c r="S97">
        <f t="shared" ref="S97" si="463">R97/100000</f>
        <v>44333.68706093981</v>
      </c>
      <c r="T97">
        <f t="shared" ref="T97" si="464">S97/1000</f>
        <v>44.333687060939809</v>
      </c>
    </row>
    <row r="98" spans="1:20" x14ac:dyDescent="0.25">
      <c r="A98" s="5">
        <v>44495</v>
      </c>
      <c r="B98">
        <v>1.6739999999999999</v>
      </c>
      <c r="C98">
        <v>1.8580000000000001</v>
      </c>
      <c r="D98">
        <v>1.6559999999999999</v>
      </c>
      <c r="E98">
        <v>1.734</v>
      </c>
      <c r="F98">
        <v>220852197.59999999</v>
      </c>
      <c r="G98">
        <v>1.734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-0.22772277227722773</v>
      </c>
      <c r="Q98">
        <f t="shared" ref="Q98" si="466">F98*P98</f>
        <v>-50293074.700990096</v>
      </c>
      <c r="R98">
        <f t="shared" ref="R98" si="467">R99+Q98</f>
        <v>4463201147.6500282</v>
      </c>
      <c r="S98">
        <f t="shared" ref="S98" si="468">R98/100000</f>
        <v>44632.01147650028</v>
      </c>
      <c r="T98">
        <f t="shared" ref="T98" si="469">S98/1000</f>
        <v>44.632011476500281</v>
      </c>
    </row>
    <row r="99" spans="1:20" x14ac:dyDescent="0.25">
      <c r="A99" s="5">
        <v>44494</v>
      </c>
      <c r="B99">
        <v>1.571</v>
      </c>
      <c r="C99">
        <v>1.6819999999999999</v>
      </c>
      <c r="D99">
        <v>1.5620000000000001</v>
      </c>
      <c r="E99">
        <v>1.673</v>
      </c>
      <c r="F99">
        <v>108512793.8</v>
      </c>
      <c r="G99">
        <v>1.673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0.85000000000000153</v>
      </c>
      <c r="Q99">
        <f t="shared" ref="Q99" si="471">F99*P99</f>
        <v>92235874.730000168</v>
      </c>
      <c r="R99">
        <f t="shared" ref="R99" si="472">R100+Q99</f>
        <v>4513494222.351018</v>
      </c>
      <c r="S99">
        <f t="shared" ref="S99" si="473">R99/100000</f>
        <v>45134.942223510181</v>
      </c>
      <c r="T99">
        <f t="shared" ref="T99" si="474">S99/1000</f>
        <v>45.13494222351018</v>
      </c>
    </row>
    <row r="100" spans="1:20" x14ac:dyDescent="0.25">
      <c r="A100" s="5">
        <v>44493</v>
      </c>
      <c r="B100">
        <v>1.64</v>
      </c>
      <c r="C100">
        <v>1.645</v>
      </c>
      <c r="D100">
        <v>1.5249999999999999</v>
      </c>
      <c r="E100">
        <v>1.571</v>
      </c>
      <c r="F100">
        <v>110034818.5</v>
      </c>
      <c r="G100">
        <v>1.571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-0.23333333333333334</v>
      </c>
      <c r="Q100">
        <f t="shared" ref="Q100" si="476">F100*P100</f>
        <v>-25674790.983333334</v>
      </c>
      <c r="R100">
        <f t="shared" ref="R100" si="477">R101+Q100</f>
        <v>4421258347.6210175</v>
      </c>
      <c r="S100">
        <f t="shared" ref="S100" si="478">R100/100000</f>
        <v>44212.583476210173</v>
      </c>
      <c r="T100">
        <f t="shared" ref="T100" si="479">S100/1000</f>
        <v>44.21258347621017</v>
      </c>
    </row>
    <row r="101" spans="1:20" x14ac:dyDescent="0.25">
      <c r="A101" s="5">
        <v>44492</v>
      </c>
      <c r="B101">
        <v>1.518</v>
      </c>
      <c r="C101">
        <v>1.677</v>
      </c>
      <c r="D101">
        <v>1.4970000000000001</v>
      </c>
      <c r="E101">
        <v>1.641</v>
      </c>
      <c r="F101">
        <v>167979804.59999999</v>
      </c>
      <c r="G101">
        <v>1.641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0.59999999999999953</v>
      </c>
      <c r="Q101">
        <f t="shared" ref="Q101" si="481">F101*P101</f>
        <v>100787882.75999992</v>
      </c>
      <c r="R101">
        <f t="shared" ref="R101" si="482">R102+Q101</f>
        <v>4446933138.604351</v>
      </c>
      <c r="S101">
        <f t="shared" ref="S101" si="483">R101/100000</f>
        <v>44469.331386043508</v>
      </c>
      <c r="T101">
        <f t="shared" ref="T101" si="484">S101/1000</f>
        <v>44.469331386043507</v>
      </c>
    </row>
    <row r="102" spans="1:20" x14ac:dyDescent="0.25">
      <c r="A102" s="5">
        <v>44491</v>
      </c>
      <c r="B102">
        <v>1.504</v>
      </c>
      <c r="C102">
        <v>1.5780000000000001</v>
      </c>
      <c r="D102">
        <v>1.4910000000000001</v>
      </c>
      <c r="E102">
        <v>1.5169999999999999</v>
      </c>
      <c r="F102">
        <v>105142554.40000001</v>
      </c>
      <c r="G102">
        <v>1.5169999999999999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-0.40229885057471698</v>
      </c>
      <c r="Q102">
        <f t="shared" ref="Q102" si="486">F102*P102</f>
        <v>-42298728.781609654</v>
      </c>
      <c r="R102">
        <f t="shared" ref="R102" si="487">R103+Q102</f>
        <v>4346145255.8443508</v>
      </c>
      <c r="S102">
        <f t="shared" ref="S102" si="488">R102/100000</f>
        <v>43461.45255844351</v>
      </c>
      <c r="T102">
        <f t="shared" ref="T102" si="489">S102/1000</f>
        <v>43.461452558443511</v>
      </c>
    </row>
    <row r="103" spans="1:20" x14ac:dyDescent="0.25">
      <c r="A103" s="5">
        <v>44490</v>
      </c>
      <c r="B103">
        <v>1.534</v>
      </c>
      <c r="C103">
        <v>1.631</v>
      </c>
      <c r="D103">
        <v>1.4790000000000001</v>
      </c>
      <c r="E103">
        <v>1.5049999999999999</v>
      </c>
      <c r="F103">
        <v>136960924.80000001</v>
      </c>
      <c r="G103">
        <v>1.5049999999999999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-0.65789473684210764</v>
      </c>
      <c r="Q103">
        <f t="shared" ref="Q103" si="491">F103*P103</f>
        <v>-90105871.578947708</v>
      </c>
      <c r="R103">
        <f t="shared" ref="R103" si="492">R104+Q103</f>
        <v>4388443984.6259604</v>
      </c>
      <c r="S103">
        <f t="shared" ref="S103" si="493">R103/100000</f>
        <v>43884.4398462596</v>
      </c>
      <c r="T103">
        <f t="shared" ref="T103" si="494">S103/1000</f>
        <v>43.884439846259603</v>
      </c>
    </row>
    <row r="104" spans="1:20" x14ac:dyDescent="0.25">
      <c r="A104" s="5">
        <v>44489</v>
      </c>
      <c r="B104">
        <v>1.4710000000000001</v>
      </c>
      <c r="C104">
        <v>1.5489999999999999</v>
      </c>
      <c r="D104">
        <v>1.4450000000000001</v>
      </c>
      <c r="E104">
        <v>1.534</v>
      </c>
      <c r="F104">
        <v>104789299.40000001</v>
      </c>
      <c r="G104">
        <v>1.534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0.71153846153846301</v>
      </c>
      <c r="Q104">
        <f t="shared" ref="Q104" si="496">F104*P104</f>
        <v>74561616.880769387</v>
      </c>
      <c r="R104">
        <f t="shared" ref="R104" si="497">R105+Q104</f>
        <v>4478549856.2049084</v>
      </c>
      <c r="S104">
        <f t="shared" ref="S104" si="498">R104/100000</f>
        <v>44785.498562049084</v>
      </c>
      <c r="T104">
        <f t="shared" ref="T104" si="499">S104/1000</f>
        <v>44.785498562049085</v>
      </c>
    </row>
    <row r="105" spans="1:20" x14ac:dyDescent="0.25">
      <c r="A105" s="5">
        <v>44488</v>
      </c>
      <c r="B105">
        <v>1.48</v>
      </c>
      <c r="C105">
        <v>1.5249999999999999</v>
      </c>
      <c r="D105">
        <v>1.4350000000000001</v>
      </c>
      <c r="E105">
        <v>1.472</v>
      </c>
      <c r="F105">
        <v>82095015.5</v>
      </c>
      <c r="G105">
        <v>1.472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-0.17777777777777823</v>
      </c>
      <c r="Q105">
        <f t="shared" ref="Q105" si="501">F105*P105</f>
        <v>-14594669.422222259</v>
      </c>
      <c r="R105">
        <f t="shared" ref="R105" si="502">R106+Q105</f>
        <v>4403988239.3241386</v>
      </c>
      <c r="S105">
        <f t="shared" ref="S105" si="503">R105/100000</f>
        <v>44039.882393241387</v>
      </c>
      <c r="T105">
        <f t="shared" ref="T105" si="504">S105/1000</f>
        <v>44.039882393241385</v>
      </c>
    </row>
    <row r="106" spans="1:20" x14ac:dyDescent="0.25">
      <c r="A106" s="5">
        <v>44487</v>
      </c>
      <c r="B106">
        <v>1.4570000000000001</v>
      </c>
      <c r="C106">
        <v>1.6180000000000001</v>
      </c>
      <c r="D106">
        <v>1.4419999999999999</v>
      </c>
      <c r="E106">
        <v>1.4790000000000001</v>
      </c>
      <c r="F106">
        <v>196488722.5</v>
      </c>
      <c r="G106">
        <v>1.4790000000000001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-0.57954545454545325</v>
      </c>
      <c r="Q106">
        <f t="shared" ref="Q106" si="506">F106*P106</f>
        <v>-113874145.99431793</v>
      </c>
      <c r="R106">
        <f t="shared" ref="R106" si="507">R107+Q106</f>
        <v>4418582908.7463608</v>
      </c>
      <c r="S106">
        <f t="shared" ref="S106" si="508">R106/100000</f>
        <v>44185.829087463608</v>
      </c>
      <c r="T106">
        <f t="shared" ref="T106" si="509">S106/1000</f>
        <v>44.18582908746361</v>
      </c>
    </row>
    <row r="107" spans="1:20" x14ac:dyDescent="0.25">
      <c r="A107" s="5">
        <v>44486</v>
      </c>
      <c r="B107">
        <v>1.5069999999999999</v>
      </c>
      <c r="C107">
        <v>1.5489999999999999</v>
      </c>
      <c r="D107">
        <v>1.407</v>
      </c>
      <c r="E107">
        <v>1.4570000000000001</v>
      </c>
      <c r="F107">
        <v>97437722.599999994</v>
      </c>
      <c r="G107">
        <v>1.4570000000000001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-0.29577464788732283</v>
      </c>
      <c r="Q107">
        <f t="shared" ref="Q107" si="511">F107*P107</f>
        <v>-28819608.092957634</v>
      </c>
      <c r="R107">
        <f t="shared" ref="R107" si="512">R108+Q107</f>
        <v>4532457054.7406788</v>
      </c>
      <c r="S107">
        <f t="shared" ref="S107" si="513">R107/100000</f>
        <v>45324.570547406787</v>
      </c>
      <c r="T107">
        <f t="shared" ref="T107" si="514">S107/1000</f>
        <v>45.324570547406786</v>
      </c>
    </row>
    <row r="108" spans="1:20" x14ac:dyDescent="0.25">
      <c r="A108" s="5">
        <v>44485</v>
      </c>
      <c r="B108">
        <v>1.5940000000000001</v>
      </c>
      <c r="C108">
        <v>1.605</v>
      </c>
      <c r="D108">
        <v>1.488</v>
      </c>
      <c r="E108">
        <v>1.5069999999999999</v>
      </c>
      <c r="F108">
        <v>195439941.90000001</v>
      </c>
      <c r="G108">
        <v>1.5069999999999999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-0.67521367521367681</v>
      </c>
      <c r="Q108">
        <f t="shared" ref="Q108" si="516">F108*P108</f>
        <v>-131963721.45384647</v>
      </c>
      <c r="R108">
        <f t="shared" ref="R108" si="517">R109+Q108</f>
        <v>4561276662.8336363</v>
      </c>
      <c r="S108">
        <f t="shared" ref="S108" si="518">R108/100000</f>
        <v>45612.766628336365</v>
      </c>
      <c r="T108">
        <f t="shared" ref="T108" si="519">S108/1000</f>
        <v>45.612766628336367</v>
      </c>
    </row>
    <row r="109" spans="1:20" x14ac:dyDescent="0.25">
      <c r="A109" s="5">
        <v>44484</v>
      </c>
      <c r="B109">
        <v>1.264</v>
      </c>
      <c r="C109">
        <v>1.6339999999999999</v>
      </c>
      <c r="D109">
        <v>1.234</v>
      </c>
      <c r="E109">
        <v>1.5940000000000001</v>
      </c>
      <c r="F109">
        <v>726029359.10000002</v>
      </c>
      <c r="G109">
        <v>1.5940000000000001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0.80000000000000093</v>
      </c>
      <c r="Q109">
        <f t="shared" ref="Q109" si="521">F109*P109</f>
        <v>580823487.28000069</v>
      </c>
      <c r="R109">
        <f t="shared" ref="R109" si="522">R110+Q109</f>
        <v>4693240384.2874832</v>
      </c>
      <c r="S109">
        <f t="shared" ref="S109" si="523">R109/100000</f>
        <v>46932.403842874832</v>
      </c>
      <c r="T109">
        <f t="shared" ref="T109" si="524">S109/1000</f>
        <v>46.932403842874834</v>
      </c>
    </row>
    <row r="110" spans="1:20" x14ac:dyDescent="0.25">
      <c r="A110" s="5">
        <v>44483</v>
      </c>
      <c r="B110">
        <v>1.2410000000000001</v>
      </c>
      <c r="C110">
        <v>1.29</v>
      </c>
      <c r="D110">
        <v>1.228</v>
      </c>
      <c r="E110">
        <v>1.264</v>
      </c>
      <c r="F110">
        <v>67744720</v>
      </c>
      <c r="G110">
        <v>1.264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0.16129032258064516</v>
      </c>
      <c r="Q110">
        <f t="shared" ref="Q110" si="526">F110*P110</f>
        <v>10926567.741935484</v>
      </c>
      <c r="R110">
        <f t="shared" ref="R110" si="527">R111+Q110</f>
        <v>4112416897.0074825</v>
      </c>
      <c r="S110">
        <f t="shared" ref="S110" si="528">R110/100000</f>
        <v>41124.168970074825</v>
      </c>
      <c r="T110">
        <f t="shared" ref="T110" si="529">S110/1000</f>
        <v>41.124168970074827</v>
      </c>
    </row>
    <row r="111" spans="1:20" x14ac:dyDescent="0.25">
      <c r="A111" s="5">
        <v>44482</v>
      </c>
      <c r="B111">
        <v>1.2230000000000001</v>
      </c>
      <c r="C111">
        <v>1.2629999999999999</v>
      </c>
      <c r="D111">
        <v>1.1879999999999999</v>
      </c>
      <c r="E111">
        <v>1.2410000000000001</v>
      </c>
      <c r="F111">
        <v>70321411.799999997</v>
      </c>
      <c r="G111">
        <v>1.2410000000000001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0.41333333333333838</v>
      </c>
      <c r="Q111">
        <f t="shared" ref="Q111" si="531">F111*P111</f>
        <v>29066183.544000354</v>
      </c>
      <c r="R111">
        <f t="shared" ref="R111" si="532">R112+Q111</f>
        <v>4101490329.2655473</v>
      </c>
      <c r="S111">
        <f t="shared" ref="S111" si="533">R111/100000</f>
        <v>41014.903292655472</v>
      </c>
      <c r="T111">
        <f t="shared" ref="T111" si="534">S111/1000</f>
        <v>41.014903292655475</v>
      </c>
    </row>
    <row r="112" spans="1:20" x14ac:dyDescent="0.25">
      <c r="A112" s="5">
        <v>44481</v>
      </c>
      <c r="B112">
        <v>1.2430000000000001</v>
      </c>
      <c r="C112">
        <v>1.2430000000000001</v>
      </c>
      <c r="D112">
        <v>1.1519999999999999</v>
      </c>
      <c r="E112">
        <v>1.2230000000000001</v>
      </c>
      <c r="F112">
        <v>82875206.099999994</v>
      </c>
      <c r="G112">
        <v>1.2230000000000001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0.560439560439561</v>
      </c>
      <c r="Q112">
        <f t="shared" ref="Q112" si="536">F112*P112</f>
        <v>46446544.078022018</v>
      </c>
      <c r="R112">
        <f t="shared" ref="R112" si="537">R113+Q112</f>
        <v>4072424145.7215471</v>
      </c>
      <c r="S112">
        <f t="shared" ref="S112" si="538">R112/100000</f>
        <v>40724.241457215474</v>
      </c>
      <c r="T112">
        <f t="shared" ref="T112" si="539">S112/1000</f>
        <v>40.724241457215477</v>
      </c>
    </row>
    <row r="113" spans="1:20" x14ac:dyDescent="0.25">
      <c r="A113" s="5">
        <v>44480</v>
      </c>
      <c r="B113">
        <v>1.2430000000000001</v>
      </c>
      <c r="C113">
        <v>1.3089999999999999</v>
      </c>
      <c r="D113">
        <v>1.2130000000000001</v>
      </c>
      <c r="E113">
        <v>1.242</v>
      </c>
      <c r="F113">
        <v>64238057.100000001</v>
      </c>
      <c r="G113">
        <v>1.242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-0.39583333333333426</v>
      </c>
      <c r="Q113">
        <f t="shared" ref="Q113" si="541">F113*P113</f>
        <v>-25427564.26875006</v>
      </c>
      <c r="R113">
        <f t="shared" ref="R113" si="542">R114+Q113</f>
        <v>4025977601.6435251</v>
      </c>
      <c r="S113">
        <f t="shared" ref="S113" si="543">R113/100000</f>
        <v>40259.776016435251</v>
      </c>
      <c r="T113">
        <f t="shared" ref="T113" si="544">S113/1000</f>
        <v>40.259776016435254</v>
      </c>
    </row>
    <row r="114" spans="1:20" x14ac:dyDescent="0.25">
      <c r="A114" s="5">
        <v>44479</v>
      </c>
      <c r="B114">
        <v>1.351</v>
      </c>
      <c r="C114">
        <v>1.3580000000000001</v>
      </c>
      <c r="D114">
        <v>1.2330000000000001</v>
      </c>
      <c r="E114">
        <v>1.244</v>
      </c>
      <c r="F114">
        <v>69972921.900000006</v>
      </c>
      <c r="G114">
        <v>1.244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-0.82400000000000162</v>
      </c>
      <c r="Q114">
        <f t="shared" ref="Q114" si="546">F114*P114</f>
        <v>-57657687.645600118</v>
      </c>
      <c r="R114">
        <f t="shared" ref="R114" si="547">R115+Q114</f>
        <v>4051405165.9122753</v>
      </c>
      <c r="S114">
        <f t="shared" ref="S114" si="548">R114/100000</f>
        <v>40514.05165912275</v>
      </c>
      <c r="T114">
        <f t="shared" ref="T114" si="549">S114/1000</f>
        <v>40.51405165912275</v>
      </c>
    </row>
    <row r="115" spans="1:20" x14ac:dyDescent="0.25">
      <c r="A115" s="5">
        <v>44478</v>
      </c>
      <c r="B115">
        <v>1.3440000000000001</v>
      </c>
      <c r="C115">
        <v>1.383</v>
      </c>
      <c r="D115">
        <v>1.327</v>
      </c>
      <c r="E115">
        <v>1.3520000000000001</v>
      </c>
      <c r="F115">
        <v>68478479.5</v>
      </c>
      <c r="G115">
        <v>1.3520000000000001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-0.10714285714285318</v>
      </c>
      <c r="Q115">
        <f t="shared" ref="Q115" si="551">F115*P115</f>
        <v>-7336979.9464282999</v>
      </c>
      <c r="R115">
        <f t="shared" ref="R115" si="552">R116+Q115</f>
        <v>4109062853.5578756</v>
      </c>
      <c r="S115">
        <f t="shared" ref="S115" si="553">R115/100000</f>
        <v>41090.628535578755</v>
      </c>
      <c r="T115">
        <f t="shared" ref="T115" si="554">S115/1000</f>
        <v>41.090628535578752</v>
      </c>
    </row>
    <row r="116" spans="1:20" x14ac:dyDescent="0.25">
      <c r="A116" s="5">
        <v>44477</v>
      </c>
      <c r="B116">
        <v>1.2769999999999999</v>
      </c>
      <c r="C116">
        <v>1.44</v>
      </c>
      <c r="D116">
        <v>1.27</v>
      </c>
      <c r="E116">
        <v>1.3440000000000001</v>
      </c>
      <c r="F116">
        <v>186129635.09999999</v>
      </c>
      <c r="G116">
        <v>1.3440000000000001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-0.12941176470588123</v>
      </c>
      <c r="Q116">
        <f t="shared" ref="Q116" si="556">F116*P116</f>
        <v>-24087364.542352732</v>
      </c>
      <c r="R116">
        <f t="shared" ref="R116" si="557">R117+Q116</f>
        <v>4116399833.5043039</v>
      </c>
      <c r="S116">
        <f t="shared" ref="S116" si="558">R116/100000</f>
        <v>41163.998335043041</v>
      </c>
      <c r="T116">
        <f t="shared" ref="T116" si="559">S116/1000</f>
        <v>41.16399833504304</v>
      </c>
    </row>
    <row r="117" spans="1:20" x14ac:dyDescent="0.25">
      <c r="A117" s="5">
        <v>44476</v>
      </c>
      <c r="B117">
        <v>1.2569999999999999</v>
      </c>
      <c r="C117">
        <v>1.31</v>
      </c>
      <c r="D117">
        <v>1.228</v>
      </c>
      <c r="E117">
        <v>1.276</v>
      </c>
      <c r="F117">
        <v>92713633.799999997</v>
      </c>
      <c r="G117">
        <v>1.276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0.17073170731707318</v>
      </c>
      <c r="Q117">
        <f t="shared" ref="Q117" si="561">F117*P117</f>
        <v>15829156.990243902</v>
      </c>
      <c r="R117">
        <f t="shared" ref="R117" si="562">R118+Q117</f>
        <v>4140487198.0466566</v>
      </c>
      <c r="S117">
        <f t="shared" ref="S117" si="563">R117/100000</f>
        <v>41404.871980466567</v>
      </c>
      <c r="T117">
        <f t="shared" ref="T117" si="564">S117/1000</f>
        <v>41.404871980466567</v>
      </c>
    </row>
    <row r="118" spans="1:20" x14ac:dyDescent="0.25">
      <c r="A118" s="5">
        <v>44475</v>
      </c>
      <c r="B118">
        <v>1.3140000000000001</v>
      </c>
      <c r="C118">
        <v>1.319</v>
      </c>
      <c r="D118">
        <v>1.202</v>
      </c>
      <c r="E118">
        <v>1.2569999999999999</v>
      </c>
      <c r="F118">
        <v>119351850</v>
      </c>
      <c r="G118">
        <v>1.2569999999999999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-5.9829059829060838E-2</v>
      </c>
      <c r="Q118">
        <f t="shared" ref="Q118" si="566">F118*P118</f>
        <v>-7140708.9743590951</v>
      </c>
      <c r="R118">
        <f t="shared" ref="R118" si="567">R119+Q118</f>
        <v>4124658041.0564127</v>
      </c>
      <c r="S118">
        <f t="shared" ref="S118" si="568">R118/100000</f>
        <v>41246.580410564129</v>
      </c>
      <c r="T118">
        <f t="shared" ref="T118" si="569">S118/1000</f>
        <v>41.246580410564128</v>
      </c>
    </row>
    <row r="119" spans="1:20" x14ac:dyDescent="0.25">
      <c r="A119" s="5">
        <v>44474</v>
      </c>
      <c r="B119">
        <v>1.2749999999999999</v>
      </c>
      <c r="C119">
        <v>1.34</v>
      </c>
      <c r="D119">
        <v>1.2649999999999999</v>
      </c>
      <c r="E119">
        <v>1.3149999999999999</v>
      </c>
      <c r="F119">
        <v>85020452.900000006</v>
      </c>
      <c r="G119">
        <v>1.3149999999999999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0.33333333333333137</v>
      </c>
      <c r="Q119">
        <f t="shared" ref="Q119" si="571">F119*P119</f>
        <v>28340150.966666501</v>
      </c>
      <c r="R119">
        <f t="shared" ref="R119" si="572">R120+Q119</f>
        <v>4131798750.0307717</v>
      </c>
      <c r="S119">
        <f t="shared" ref="S119" si="573">R119/100000</f>
        <v>41317.987500307718</v>
      </c>
      <c r="T119">
        <f t="shared" ref="T119" si="574">S119/1000</f>
        <v>41.317987500307716</v>
      </c>
    </row>
    <row r="120" spans="1:20" x14ac:dyDescent="0.25">
      <c r="A120" s="5">
        <v>44473</v>
      </c>
      <c r="B120">
        <v>1.3260000000000001</v>
      </c>
      <c r="C120">
        <v>1.327</v>
      </c>
      <c r="D120">
        <v>1.2350000000000001</v>
      </c>
      <c r="E120">
        <v>1.278</v>
      </c>
      <c r="F120">
        <v>110262067.59999999</v>
      </c>
      <c r="G120">
        <v>1.278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-6.5217391304347977E-2</v>
      </c>
      <c r="Q120">
        <f t="shared" ref="Q120" si="576">F120*P120</f>
        <v>-7191004.408695668</v>
      </c>
      <c r="R120">
        <f t="shared" ref="R120" si="577">R121+Q120</f>
        <v>4103458599.064105</v>
      </c>
      <c r="S120">
        <f t="shared" ref="S120" si="578">R120/100000</f>
        <v>41034.585990641048</v>
      </c>
      <c r="T120">
        <f t="shared" ref="T120" si="579">S120/1000</f>
        <v>41.034585990641048</v>
      </c>
    </row>
    <row r="121" spans="1:20" x14ac:dyDescent="0.25">
      <c r="A121" s="5">
        <v>44472</v>
      </c>
      <c r="B121">
        <v>1.292</v>
      </c>
      <c r="C121">
        <v>1.3460000000000001</v>
      </c>
      <c r="D121">
        <v>1.274</v>
      </c>
      <c r="E121">
        <v>1.3180000000000001</v>
      </c>
      <c r="F121">
        <v>99836178.400000006</v>
      </c>
      <c r="G121">
        <v>1.3180000000000001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0.22222222222222221</v>
      </c>
      <c r="Q121">
        <f t="shared" ref="Q121" si="581">F121*P121</f>
        <v>22185817.422222223</v>
      </c>
      <c r="R121">
        <f t="shared" ref="R121" si="582">R122+Q121</f>
        <v>4110649603.4728007</v>
      </c>
      <c r="S121">
        <f t="shared" ref="S121" si="583">R121/100000</f>
        <v>41106.496034728007</v>
      </c>
      <c r="T121">
        <f t="shared" ref="T121" si="584">S121/1000</f>
        <v>41.106496034728004</v>
      </c>
    </row>
    <row r="122" spans="1:20" x14ac:dyDescent="0.25">
      <c r="A122" s="5">
        <v>44471</v>
      </c>
      <c r="B122">
        <v>1.266</v>
      </c>
      <c r="C122">
        <v>1.3560000000000001</v>
      </c>
      <c r="D122">
        <v>1.2230000000000001</v>
      </c>
      <c r="E122">
        <v>1.292</v>
      </c>
      <c r="F122">
        <v>94079891.599999994</v>
      </c>
      <c r="G122">
        <v>1.292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3.7593984962405215E-2</v>
      </c>
      <c r="Q122">
        <f t="shared" ref="Q122" si="586">F122*P122</f>
        <v>3536838.0300751124</v>
      </c>
      <c r="R122">
        <f t="shared" ref="R122" si="587">R123+Q122</f>
        <v>4088463786.0505786</v>
      </c>
      <c r="S122">
        <f t="shared" ref="S122" si="588">R122/100000</f>
        <v>40884.637860505783</v>
      </c>
      <c r="T122">
        <f t="shared" ref="T122" si="589">S122/1000</f>
        <v>40.884637860505784</v>
      </c>
    </row>
    <row r="123" spans="1:20" x14ac:dyDescent="0.25">
      <c r="A123" s="5">
        <v>44470</v>
      </c>
      <c r="B123">
        <v>1.127</v>
      </c>
      <c r="C123">
        <v>1.268</v>
      </c>
      <c r="D123">
        <v>1.1259999999999999</v>
      </c>
      <c r="E123">
        <v>1.266</v>
      </c>
      <c r="F123">
        <v>127648568.59999999</v>
      </c>
      <c r="G123">
        <v>1.266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0.971830985915493</v>
      </c>
      <c r="Q123">
        <f t="shared" ref="Q123" si="591">F123*P123</f>
        <v>124052834.27323943</v>
      </c>
      <c r="R123">
        <f t="shared" ref="R123" si="592">R124+Q123</f>
        <v>4084926948.0205035</v>
      </c>
      <c r="S123">
        <f t="shared" ref="S123" si="593">R123/100000</f>
        <v>40849.269480205032</v>
      </c>
      <c r="T123">
        <f t="shared" ref="T123" si="594">S123/1000</f>
        <v>40.849269480205031</v>
      </c>
    </row>
    <row r="124" spans="1:20" x14ac:dyDescent="0.25">
      <c r="A124" s="5">
        <v>44469</v>
      </c>
      <c r="B124">
        <v>1.1000000000000001</v>
      </c>
      <c r="C124">
        <v>1.1499999999999999</v>
      </c>
      <c r="D124">
        <v>1.0940000000000001</v>
      </c>
      <c r="E124">
        <v>1.1279999999999999</v>
      </c>
      <c r="F124">
        <v>79629849</v>
      </c>
      <c r="G124">
        <v>1.1279999999999999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0.21428571428571117</v>
      </c>
      <c r="Q124">
        <f t="shared" ref="Q124" si="596">F124*P124</f>
        <v>17063539.071428321</v>
      </c>
      <c r="R124">
        <f t="shared" ref="R124" si="597">R125+Q124</f>
        <v>3960874113.7472639</v>
      </c>
      <c r="S124">
        <f t="shared" ref="S124" si="598">R124/100000</f>
        <v>39608.741137472636</v>
      </c>
      <c r="T124">
        <f t="shared" ref="T124" si="599">S124/1000</f>
        <v>39.608741137472634</v>
      </c>
    </row>
    <row r="125" spans="1:20" x14ac:dyDescent="0.25">
      <c r="A125" s="5">
        <v>44468</v>
      </c>
      <c r="B125">
        <v>1.05</v>
      </c>
      <c r="C125">
        <v>1.1120000000000001</v>
      </c>
      <c r="D125">
        <v>1.0429999999999999</v>
      </c>
      <c r="E125">
        <v>1.099</v>
      </c>
      <c r="F125">
        <v>73483897.099999994</v>
      </c>
      <c r="G125">
        <v>1.099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0.62318840579709889</v>
      </c>
      <c r="Q125">
        <f t="shared" ref="Q125" si="601">F125*P125</f>
        <v>45794312.685507052</v>
      </c>
      <c r="R125">
        <f t="shared" ref="R125" si="602">R126+Q125</f>
        <v>3943810574.6758356</v>
      </c>
      <c r="S125">
        <f t="shared" ref="S125" si="603">R125/100000</f>
        <v>39438.10574675836</v>
      </c>
      <c r="T125">
        <f t="shared" ref="T125" si="604">S125/1000</f>
        <v>39.43810574675836</v>
      </c>
    </row>
    <row r="126" spans="1:20" x14ac:dyDescent="0.25">
      <c r="A126" s="5">
        <v>44467</v>
      </c>
      <c r="B126">
        <v>1.085</v>
      </c>
      <c r="C126">
        <v>1.1120000000000001</v>
      </c>
      <c r="D126">
        <v>1.046</v>
      </c>
      <c r="E126">
        <v>1.05</v>
      </c>
      <c r="F126">
        <v>70008132.700000003</v>
      </c>
      <c r="G126">
        <v>1.05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-0.87878787878787878</v>
      </c>
      <c r="Q126">
        <f t="shared" ref="Q126" si="606">F126*P126</f>
        <v>-61522298.433333337</v>
      </c>
      <c r="R126">
        <f t="shared" ref="R126" si="607">R127+Q126</f>
        <v>3898016261.9903288</v>
      </c>
      <c r="S126">
        <f t="shared" ref="S126" si="608">R126/100000</f>
        <v>38980.162619903291</v>
      </c>
      <c r="T126">
        <f t="shared" ref="T126" si="609">S126/1000</f>
        <v>38.98016261990329</v>
      </c>
    </row>
    <row r="127" spans="1:20" x14ac:dyDescent="0.25">
      <c r="A127" s="5">
        <v>44466</v>
      </c>
      <c r="B127">
        <v>1.123</v>
      </c>
      <c r="C127">
        <v>1.17</v>
      </c>
      <c r="D127">
        <v>1.0820000000000001</v>
      </c>
      <c r="E127">
        <v>1.0840000000000001</v>
      </c>
      <c r="F127">
        <v>79992092.5</v>
      </c>
      <c r="G127">
        <v>1.0840000000000001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-0.95454545454545447</v>
      </c>
      <c r="Q127">
        <f t="shared" ref="Q127" si="611">F127*P127</f>
        <v>-76356088.295454547</v>
      </c>
      <c r="R127">
        <f t="shared" ref="R127" si="612">R128+Q127</f>
        <v>3959538560.4236622</v>
      </c>
      <c r="S127">
        <f t="shared" ref="S127" si="613">R127/100000</f>
        <v>39595.385604236624</v>
      </c>
      <c r="T127">
        <f t="shared" ref="T127" si="614">S127/1000</f>
        <v>39.595385604236625</v>
      </c>
    </row>
    <row r="128" spans="1:20" x14ac:dyDescent="0.25">
      <c r="A128" s="5">
        <v>44465</v>
      </c>
      <c r="B128">
        <v>1.1200000000000001</v>
      </c>
      <c r="C128">
        <v>1.167</v>
      </c>
      <c r="D128">
        <v>1.03</v>
      </c>
      <c r="E128">
        <v>1.123</v>
      </c>
      <c r="F128">
        <v>114121246.59999999</v>
      </c>
      <c r="G128">
        <v>1.123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0.35766423357664179</v>
      </c>
      <c r="Q128">
        <f t="shared" ref="Q128" si="616">F128*P128</f>
        <v>40817088.199999936</v>
      </c>
      <c r="R128">
        <f t="shared" ref="R128" si="617">R129+Q128</f>
        <v>4035894648.7191167</v>
      </c>
      <c r="S128">
        <f t="shared" ref="S128" si="618">R128/100000</f>
        <v>40358.94648719117</v>
      </c>
      <c r="T128">
        <f t="shared" ref="T128" si="619">S128/1000</f>
        <v>40.358946487191169</v>
      </c>
    </row>
    <row r="129" spans="1:20" x14ac:dyDescent="0.25">
      <c r="A129" s="5">
        <v>44464</v>
      </c>
      <c r="B129">
        <v>1.127</v>
      </c>
      <c r="C129">
        <v>1.145</v>
      </c>
      <c r="D129">
        <v>1.0820000000000001</v>
      </c>
      <c r="E129">
        <v>1.121</v>
      </c>
      <c r="F129">
        <v>73679011</v>
      </c>
      <c r="G129">
        <v>1.121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0.23809523809523675</v>
      </c>
      <c r="Q129">
        <f t="shared" ref="Q129" si="621">F129*P129</f>
        <v>17542621.666666567</v>
      </c>
      <c r="R129">
        <f t="shared" ref="R129" si="622">R130+Q129</f>
        <v>3995077560.5191169</v>
      </c>
      <c r="S129">
        <f t="shared" ref="S129" si="623">R129/100000</f>
        <v>39950.775605191171</v>
      </c>
      <c r="T129">
        <f t="shared" ref="T129" si="624">S129/1000</f>
        <v>39.950775605191168</v>
      </c>
    </row>
    <row r="130" spans="1:20" x14ac:dyDescent="0.25">
      <c r="A130" s="5">
        <v>44463</v>
      </c>
      <c r="B130">
        <v>1.2250000000000001</v>
      </c>
      <c r="C130">
        <v>1.23</v>
      </c>
      <c r="D130">
        <v>1.0469999999999999</v>
      </c>
      <c r="E130">
        <v>1.1259999999999999</v>
      </c>
      <c r="F130">
        <v>147894771.30000001</v>
      </c>
      <c r="G130">
        <v>1.1259999999999999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-0.13661202185792418</v>
      </c>
      <c r="Q130">
        <f t="shared" ref="Q130" si="626">F130*P130</f>
        <v>-20204203.729508299</v>
      </c>
      <c r="R130">
        <f t="shared" ref="R130" si="627">R131+Q130</f>
        <v>3977534938.8524504</v>
      </c>
      <c r="S130">
        <f t="shared" ref="S130" si="628">R130/100000</f>
        <v>39775.349388524504</v>
      </c>
      <c r="T130">
        <f t="shared" ref="T130" si="629">S130/1000</f>
        <v>39.775349388524504</v>
      </c>
    </row>
    <row r="131" spans="1:20" x14ac:dyDescent="0.25">
      <c r="A131" s="5">
        <v>44462</v>
      </c>
      <c r="B131">
        <v>1.23</v>
      </c>
      <c r="C131">
        <v>1.2450000000000001</v>
      </c>
      <c r="D131">
        <v>1.1759999999999999</v>
      </c>
      <c r="E131">
        <v>1.2250000000000001</v>
      </c>
      <c r="F131">
        <v>92389284.5</v>
      </c>
      <c r="G131">
        <v>1.2250000000000001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0.42028985507246469</v>
      </c>
      <c r="Q131">
        <f t="shared" ref="Q131" si="631">F131*P131</f>
        <v>38830278.992753707</v>
      </c>
      <c r="R131">
        <f t="shared" ref="R131" si="632">R132+Q131</f>
        <v>3997739142.5819588</v>
      </c>
      <c r="S131">
        <f t="shared" ref="S131" si="633">R131/100000</f>
        <v>39977.391425819587</v>
      </c>
      <c r="T131">
        <f t="shared" ref="T131" si="634">S131/1000</f>
        <v>39.97739142581959</v>
      </c>
    </row>
    <row r="132" spans="1:20" x14ac:dyDescent="0.25">
      <c r="A132" s="5">
        <v>44461</v>
      </c>
      <c r="B132">
        <v>1.0469999999999999</v>
      </c>
      <c r="C132">
        <v>1.2350000000000001</v>
      </c>
      <c r="D132">
        <v>1.0289999999999999</v>
      </c>
      <c r="E132">
        <v>1.23</v>
      </c>
      <c r="F132">
        <v>160509158.5</v>
      </c>
      <c r="G132">
        <v>1.23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0.95145631067961056</v>
      </c>
      <c r="Q132">
        <f t="shared" ref="Q132" si="636">F132*P132</f>
        <v>152717451.77669886</v>
      </c>
      <c r="R132">
        <f t="shared" ref="R132" si="637">R133+Q132</f>
        <v>3958908863.5892053</v>
      </c>
      <c r="S132">
        <f t="shared" ref="S132" si="638">R132/100000</f>
        <v>39589.088635892054</v>
      </c>
      <c r="T132">
        <f t="shared" ref="T132" si="639">S132/1000</f>
        <v>39.589088635892054</v>
      </c>
    </row>
    <row r="133" spans="1:20" x14ac:dyDescent="0.25">
      <c r="A133" s="5">
        <v>44460</v>
      </c>
      <c r="B133">
        <v>1.135</v>
      </c>
      <c r="C133">
        <v>1.1870000000000001</v>
      </c>
      <c r="D133">
        <v>1.0149999999999999</v>
      </c>
      <c r="E133">
        <v>1.0469999999999999</v>
      </c>
      <c r="F133">
        <v>212680253.59999999</v>
      </c>
      <c r="G133">
        <v>1.0469999999999999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-0.62790697674418605</v>
      </c>
      <c r="Q133">
        <f t="shared" ref="Q133" si="641">F133*P133</f>
        <v>-133543415.05116279</v>
      </c>
      <c r="R133">
        <f t="shared" ref="R133" si="642">R134+Q133</f>
        <v>3806191411.8125062</v>
      </c>
      <c r="S133">
        <f t="shared" ref="S133" si="643">R133/100000</f>
        <v>38061.91411812506</v>
      </c>
      <c r="T133">
        <f t="shared" ref="T133" si="644">S133/1000</f>
        <v>38.06191411812506</v>
      </c>
    </row>
    <row r="134" spans="1:20" x14ac:dyDescent="0.25">
      <c r="A134" s="5">
        <v>44459</v>
      </c>
      <c r="B134">
        <v>1.3149999999999999</v>
      </c>
      <c r="C134">
        <v>1.319</v>
      </c>
      <c r="D134">
        <v>1.2010000000000001</v>
      </c>
      <c r="E134">
        <v>1.216</v>
      </c>
      <c r="F134">
        <v>76528496.299999997</v>
      </c>
      <c r="G134">
        <v>1.216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-0.74576271186440823</v>
      </c>
      <c r="Q134">
        <f t="shared" ref="Q134" si="646">F134*P134</f>
        <v>-57072098.935593329</v>
      </c>
      <c r="R134">
        <f t="shared" ref="R134" si="647">R135+Q134</f>
        <v>3939734826.8636689</v>
      </c>
      <c r="S134">
        <f t="shared" ref="S134" si="648">R134/100000</f>
        <v>39397.348268636692</v>
      </c>
      <c r="T134">
        <f t="shared" ref="T134" si="649">S134/1000</f>
        <v>39.397348268636691</v>
      </c>
    </row>
    <row r="135" spans="1:20" x14ac:dyDescent="0.25">
      <c r="A135" s="5">
        <v>44458</v>
      </c>
      <c r="B135">
        <v>1.365</v>
      </c>
      <c r="C135">
        <v>1.3720000000000001</v>
      </c>
      <c r="D135">
        <v>1.3009999999999999</v>
      </c>
      <c r="E135">
        <v>1.3149999999999999</v>
      </c>
      <c r="F135">
        <v>65396253.899999999</v>
      </c>
      <c r="G135">
        <v>1.3149999999999999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-0.60563380281690204</v>
      </c>
      <c r="Q135">
        <f t="shared" ref="Q135" si="651">F135*P135</f>
        <v>-39606181.939436659</v>
      </c>
      <c r="R135">
        <f t="shared" ref="R135" si="652">R136+Q135</f>
        <v>3996806925.799262</v>
      </c>
      <c r="S135">
        <f t="shared" ref="S135" si="653">R135/100000</f>
        <v>39968.069257992618</v>
      </c>
      <c r="T135">
        <f t="shared" ref="T135" si="654">S135/1000</f>
        <v>39.968069257992617</v>
      </c>
    </row>
    <row r="136" spans="1:20" x14ac:dyDescent="0.25">
      <c r="A136" s="5">
        <v>44457</v>
      </c>
      <c r="B136">
        <v>1.423</v>
      </c>
      <c r="C136">
        <v>1.44</v>
      </c>
      <c r="D136">
        <v>1.335</v>
      </c>
      <c r="E136">
        <v>1.3660000000000001</v>
      </c>
      <c r="F136">
        <v>99338561.900000006</v>
      </c>
      <c r="G136">
        <v>1.3660000000000001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-0.40952380952380679</v>
      </c>
      <c r="Q136">
        <f t="shared" ref="Q136" si="656">F136*P136</f>
        <v>-40681506.301904492</v>
      </c>
      <c r="R136">
        <f t="shared" ref="R136" si="657">R137+Q136</f>
        <v>4036413107.7386985</v>
      </c>
      <c r="S136">
        <f t="shared" ref="S136" si="658">R136/100000</f>
        <v>40364.131077386985</v>
      </c>
      <c r="T136">
        <f t="shared" ref="T136" si="659">S136/1000</f>
        <v>40.364131077386986</v>
      </c>
    </row>
    <row r="137" spans="1:20" x14ac:dyDescent="0.25">
      <c r="A137" s="5">
        <v>44456</v>
      </c>
      <c r="B137">
        <v>1.383</v>
      </c>
      <c r="C137">
        <v>1.4419999999999999</v>
      </c>
      <c r="D137">
        <v>1.3</v>
      </c>
      <c r="E137">
        <v>1.4219999999999999</v>
      </c>
      <c r="F137">
        <v>134936963.19999999</v>
      </c>
      <c r="G137">
        <v>1.4219999999999999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0.71830985915492918</v>
      </c>
      <c r="Q137">
        <f t="shared" ref="Q137" si="661">F137*P137</f>
        <v>96926551.030985847</v>
      </c>
      <c r="R137">
        <f t="shared" ref="R137" si="662">R138+Q137</f>
        <v>4077094614.0406032</v>
      </c>
      <c r="S137">
        <f t="shared" ref="S137" si="663">R137/100000</f>
        <v>40770.946140406035</v>
      </c>
      <c r="T137">
        <f t="shared" ref="T137" si="664">S137/1000</f>
        <v>40.770946140406032</v>
      </c>
    </row>
    <row r="138" spans="1:20" x14ac:dyDescent="0.25">
      <c r="A138" s="5">
        <v>44455</v>
      </c>
      <c r="B138">
        <v>1.4159999999999999</v>
      </c>
      <c r="C138">
        <v>1.5</v>
      </c>
      <c r="D138">
        <v>1.347</v>
      </c>
      <c r="E138">
        <v>1.3839999999999999</v>
      </c>
      <c r="F138">
        <v>179037601.80000001</v>
      </c>
      <c r="G138">
        <v>1.3839999999999999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-0.5163398692810468</v>
      </c>
      <c r="Q138">
        <f t="shared" ref="Q138" si="666">F138*P138</f>
        <v>-92444251.909804121</v>
      </c>
      <c r="R138">
        <f t="shared" ref="R138" si="667">R139+Q138</f>
        <v>3980168063.0096173</v>
      </c>
      <c r="S138">
        <f t="shared" ref="S138" si="668">R138/100000</f>
        <v>39801.680630096176</v>
      </c>
      <c r="T138">
        <f t="shared" ref="T138" si="669">S138/1000</f>
        <v>39.801680630096179</v>
      </c>
    </row>
    <row r="139" spans="1:20" x14ac:dyDescent="0.25">
      <c r="A139" s="5">
        <v>44454</v>
      </c>
      <c r="B139">
        <v>1.3180000000000001</v>
      </c>
      <c r="C139">
        <v>1.42</v>
      </c>
      <c r="D139">
        <v>1.3160000000000001</v>
      </c>
      <c r="E139">
        <v>1.4159999999999999</v>
      </c>
      <c r="F139">
        <v>108101078.59999999</v>
      </c>
      <c r="G139">
        <v>1.4159999999999999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0.92307692307692291</v>
      </c>
      <c r="Q139">
        <f t="shared" ref="Q139" si="671">F139*P139</f>
        <v>99785611.015384585</v>
      </c>
      <c r="R139">
        <f t="shared" ref="R139" si="672">R140+Q139</f>
        <v>4072612314.9194217</v>
      </c>
      <c r="S139">
        <f t="shared" ref="S139" si="673">R139/100000</f>
        <v>40726.123149194216</v>
      </c>
      <c r="T139">
        <f t="shared" ref="T139" si="674">S139/1000</f>
        <v>40.726123149194216</v>
      </c>
    </row>
    <row r="140" spans="1:20" x14ac:dyDescent="0.25">
      <c r="A140" s="5">
        <v>44453</v>
      </c>
      <c r="B140">
        <v>1.248</v>
      </c>
      <c r="C140">
        <v>1.347</v>
      </c>
      <c r="D140">
        <v>1.1870000000000001</v>
      </c>
      <c r="E140">
        <v>1.3180000000000001</v>
      </c>
      <c r="F140">
        <v>131588358.09999999</v>
      </c>
      <c r="G140">
        <v>1.3180000000000001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0.63750000000000084</v>
      </c>
      <c r="Q140">
        <f t="shared" ref="Q140" si="676">F140*P140</f>
        <v>83887578.288750112</v>
      </c>
      <c r="R140">
        <f t="shared" ref="R140" si="677">R141+Q140</f>
        <v>3972826703.904037</v>
      </c>
      <c r="S140">
        <f t="shared" ref="S140" si="678">R140/100000</f>
        <v>39728.267039040373</v>
      </c>
      <c r="T140">
        <f t="shared" ref="T140" si="679">S140/1000</f>
        <v>39.728267039040375</v>
      </c>
    </row>
    <row r="141" spans="1:20" x14ac:dyDescent="0.25">
      <c r="A141" s="5">
        <v>44452</v>
      </c>
      <c r="B141">
        <v>1.3280000000000001</v>
      </c>
      <c r="C141">
        <v>1.35</v>
      </c>
      <c r="D141">
        <v>1.196</v>
      </c>
      <c r="E141">
        <v>1.248</v>
      </c>
      <c r="F141">
        <v>146911214.69999999</v>
      </c>
      <c r="G141">
        <v>1.248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-0.32467532467532467</v>
      </c>
      <c r="Q141">
        <f t="shared" ref="Q141" si="681">F141*P141</f>
        <v>-47698446.33116883</v>
      </c>
      <c r="R141">
        <f t="shared" ref="R141" si="682">R142+Q141</f>
        <v>3888939125.6152868</v>
      </c>
      <c r="S141">
        <f t="shared" ref="S141" si="683">R141/100000</f>
        <v>38889.39125615287</v>
      </c>
      <c r="T141">
        <f t="shared" ref="T141" si="684">S141/1000</f>
        <v>38.889391256152869</v>
      </c>
    </row>
    <row r="142" spans="1:20" x14ac:dyDescent="0.25">
      <c r="A142" s="5">
        <v>44451</v>
      </c>
      <c r="B142">
        <v>1.3160000000000001</v>
      </c>
      <c r="C142">
        <v>1.373</v>
      </c>
      <c r="D142">
        <v>1.222</v>
      </c>
      <c r="E142">
        <v>1.3280000000000001</v>
      </c>
      <c r="F142">
        <v>109044545.59999999</v>
      </c>
      <c r="G142">
        <v>1.3280000000000001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0.40397350993377584</v>
      </c>
      <c r="Q142">
        <f t="shared" ref="Q142" si="686">F142*P142</f>
        <v>44051107.825165674</v>
      </c>
      <c r="R142">
        <f t="shared" ref="R142" si="687">R143+Q142</f>
        <v>3936637571.9464555</v>
      </c>
      <c r="S142">
        <f t="shared" ref="S142" si="688">R142/100000</f>
        <v>39366.375719464551</v>
      </c>
      <c r="T142">
        <f t="shared" ref="T142" si="689">S142/1000</f>
        <v>39.36637571946455</v>
      </c>
    </row>
    <row r="143" spans="1:20" x14ac:dyDescent="0.25">
      <c r="A143" s="5">
        <v>44450</v>
      </c>
      <c r="B143">
        <v>1.304</v>
      </c>
      <c r="C143">
        <v>1.3720000000000001</v>
      </c>
      <c r="D143">
        <v>1.276</v>
      </c>
      <c r="E143">
        <v>1.3160000000000001</v>
      </c>
      <c r="F143">
        <v>105837460.3</v>
      </c>
      <c r="G143">
        <v>1.3160000000000001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-0.16666666666666666</v>
      </c>
      <c r="Q143">
        <f t="shared" ref="Q143" si="691">F143*P143</f>
        <v>-17639576.716666665</v>
      </c>
      <c r="R143">
        <f t="shared" ref="R143" si="692">R144+Q143</f>
        <v>3892586464.1212897</v>
      </c>
      <c r="S143">
        <f t="shared" ref="S143" si="693">R143/100000</f>
        <v>38925.864641212895</v>
      </c>
      <c r="T143">
        <f t="shared" ref="T143" si="694">S143/1000</f>
        <v>38.925864641212897</v>
      </c>
    </row>
    <row r="144" spans="1:20" x14ac:dyDescent="0.25">
      <c r="A144" s="5">
        <v>44449</v>
      </c>
      <c r="B144">
        <v>1.367</v>
      </c>
      <c r="C144">
        <v>1.5</v>
      </c>
      <c r="D144">
        <v>1.266</v>
      </c>
      <c r="E144">
        <v>1.304</v>
      </c>
      <c r="F144">
        <v>206827240.30000001</v>
      </c>
      <c r="G144">
        <v>1.304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-0.67521367521367492</v>
      </c>
      <c r="Q144">
        <f t="shared" ref="Q144" si="696">F144*P144</f>
        <v>-139652581.05726489</v>
      </c>
      <c r="R144">
        <f t="shared" ref="R144" si="697">R145+Q144</f>
        <v>3910226040.8379564</v>
      </c>
      <c r="S144">
        <f t="shared" ref="S144" si="698">R144/100000</f>
        <v>39102.260408379567</v>
      </c>
      <c r="T144">
        <f t="shared" ref="T144" si="699">S144/1000</f>
        <v>39.102260408379564</v>
      </c>
    </row>
    <row r="145" spans="1:20" x14ac:dyDescent="0.25">
      <c r="A145" s="5">
        <v>44448</v>
      </c>
      <c r="B145">
        <v>1.3340000000000001</v>
      </c>
      <c r="C145">
        <v>1.4550000000000001</v>
      </c>
      <c r="D145">
        <v>1.282</v>
      </c>
      <c r="E145">
        <v>1.367</v>
      </c>
      <c r="F145">
        <v>209323000.09999999</v>
      </c>
      <c r="G145">
        <v>1.367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-1.73410404624284E-2</v>
      </c>
      <c r="Q145">
        <f t="shared" ref="Q145" si="701">F145*P145</f>
        <v>-3629878.6144510037</v>
      </c>
      <c r="R145">
        <f t="shared" ref="R145" si="702">R146+Q145</f>
        <v>4049878621.8952212</v>
      </c>
      <c r="S145">
        <f t="shared" ref="S145" si="703">R145/100000</f>
        <v>40498.786218952213</v>
      </c>
      <c r="T145">
        <f t="shared" ref="T145" si="704">S145/1000</f>
        <v>40.498786218952212</v>
      </c>
    </row>
    <row r="146" spans="1:20" x14ac:dyDescent="0.25">
      <c r="A146" s="5">
        <v>44447</v>
      </c>
      <c r="B146">
        <v>1.361</v>
      </c>
      <c r="C146">
        <v>1.3819999999999999</v>
      </c>
      <c r="D146">
        <v>1.1830000000000001</v>
      </c>
      <c r="E146">
        <v>1.3340000000000001</v>
      </c>
      <c r="F146">
        <v>281137276.39999998</v>
      </c>
      <c r="G146">
        <v>1.3340000000000001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0.51758793969849393</v>
      </c>
      <c r="Q146">
        <f t="shared" ref="Q146" si="706">F146*P146</f>
        <v>145513263.66432202</v>
      </c>
      <c r="R146">
        <f t="shared" ref="R146" si="707">R147+Q146</f>
        <v>4053508500.5096722</v>
      </c>
      <c r="S146">
        <f t="shared" ref="S146" si="708">R146/100000</f>
        <v>40535.08500509672</v>
      </c>
      <c r="T146">
        <f t="shared" ref="T146" si="709">S146/1000</f>
        <v>40.535085005096718</v>
      </c>
    </row>
    <row r="147" spans="1:20" x14ac:dyDescent="0.25">
      <c r="A147" s="5">
        <v>44446</v>
      </c>
      <c r="B147">
        <v>1.643</v>
      </c>
      <c r="C147">
        <v>1.698</v>
      </c>
      <c r="D147">
        <v>1.111</v>
      </c>
      <c r="E147">
        <v>1.3620000000000001</v>
      </c>
      <c r="F147">
        <v>561949825.60000002</v>
      </c>
      <c r="G147">
        <v>1.3620000000000001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-0.14480408858603022</v>
      </c>
      <c r="Q147">
        <f t="shared" ref="Q147" si="711">F147*P147</f>
        <v>-81372632.327086642</v>
      </c>
      <c r="R147">
        <f t="shared" ref="R147" si="712">R148+Q147</f>
        <v>3907995236.8453503</v>
      </c>
      <c r="S147">
        <f t="shared" ref="S147" si="713">R147/100000</f>
        <v>39079.952368453502</v>
      </c>
      <c r="T147">
        <f t="shared" ref="T147" si="714">S147/1000</f>
        <v>39.079952368453505</v>
      </c>
    </row>
    <row r="148" spans="1:20" x14ac:dyDescent="0.25">
      <c r="A148" s="5">
        <v>44445</v>
      </c>
      <c r="B148">
        <v>1.68</v>
      </c>
      <c r="C148">
        <v>1.718</v>
      </c>
      <c r="D148">
        <v>1.5609999999999999</v>
      </c>
      <c r="E148">
        <v>1.643</v>
      </c>
      <c r="F148">
        <v>186068467.40000001</v>
      </c>
      <c r="G148">
        <v>1.643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4.4585987261147236E-2</v>
      </c>
      <c r="Q148">
        <f t="shared" ref="Q148" si="716">F148*P148</f>
        <v>8296046.3171975901</v>
      </c>
      <c r="R148">
        <f t="shared" ref="R148" si="717">R149+Q148</f>
        <v>3989367869.1724367</v>
      </c>
      <c r="S148">
        <f t="shared" ref="S148" si="718">R148/100000</f>
        <v>39893.678691724366</v>
      </c>
      <c r="T148">
        <f t="shared" ref="T148" si="719">S148/1000</f>
        <v>39.893678691724368</v>
      </c>
    </row>
    <row r="149" spans="1:20" x14ac:dyDescent="0.25">
      <c r="A149" s="5">
        <v>44444</v>
      </c>
      <c r="B149">
        <v>1.738</v>
      </c>
      <c r="C149">
        <v>1.798</v>
      </c>
      <c r="D149">
        <v>1.6339999999999999</v>
      </c>
      <c r="E149">
        <v>1.68</v>
      </c>
      <c r="F149">
        <v>277681074.80000001</v>
      </c>
      <c r="G149">
        <v>1.68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-0.43902439024390244</v>
      </c>
      <c r="Q149">
        <f t="shared" ref="Q149" si="721">F149*P149</f>
        <v>-121908764.54634146</v>
      </c>
      <c r="R149">
        <f t="shared" ref="R149" si="722">R150+Q149</f>
        <v>3981071822.8552389</v>
      </c>
      <c r="S149">
        <f t="shared" ref="S149" si="723">R149/100000</f>
        <v>39810.718228552389</v>
      </c>
      <c r="T149">
        <f t="shared" ref="T149" si="724">S149/1000</f>
        <v>39.810718228552389</v>
      </c>
    </row>
    <row r="150" spans="1:20" x14ac:dyDescent="0.25">
      <c r="A150" s="5">
        <v>44443</v>
      </c>
      <c r="B150">
        <v>1.4570000000000001</v>
      </c>
      <c r="C150">
        <v>1.744</v>
      </c>
      <c r="D150">
        <v>1.446</v>
      </c>
      <c r="E150">
        <v>1.7390000000000001</v>
      </c>
      <c r="F150">
        <v>321325026.80000001</v>
      </c>
      <c r="G150">
        <v>1.7390000000000001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0.96644295302013494</v>
      </c>
      <c r="Q150">
        <f t="shared" ref="Q150" si="726">F150*P150</f>
        <v>310542307.77986604</v>
      </c>
      <c r="R150">
        <f t="shared" ref="R150" si="727">R151+Q150</f>
        <v>4102980587.4015803</v>
      </c>
      <c r="S150">
        <f t="shared" ref="S150" si="728">R150/100000</f>
        <v>41029.805874015801</v>
      </c>
      <c r="T150">
        <f t="shared" ref="T150" si="729">S150/1000</f>
        <v>41.0298058740158</v>
      </c>
    </row>
    <row r="151" spans="1:20" x14ac:dyDescent="0.25">
      <c r="A151" s="5">
        <v>44442</v>
      </c>
      <c r="B151">
        <v>1.4450000000000001</v>
      </c>
      <c r="C151">
        <v>1.502</v>
      </c>
      <c r="D151">
        <v>1.403</v>
      </c>
      <c r="E151">
        <v>1.4570000000000001</v>
      </c>
      <c r="F151">
        <v>122433630.3</v>
      </c>
      <c r="G151">
        <v>1.4570000000000001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9.0909090909092133E-2</v>
      </c>
      <c r="Q151">
        <f t="shared" ref="Q151" si="731">F151*P151</f>
        <v>11130330.027272876</v>
      </c>
      <c r="R151">
        <f t="shared" ref="R151" si="732">R152+Q151</f>
        <v>3792438279.6217141</v>
      </c>
      <c r="S151">
        <f t="shared" ref="S151" si="733">R151/100000</f>
        <v>37924.382796217142</v>
      </c>
      <c r="T151">
        <f t="shared" ref="T151" si="734">S151/1000</f>
        <v>37.924382796217145</v>
      </c>
    </row>
    <row r="152" spans="1:20" x14ac:dyDescent="0.25">
      <c r="A152" s="5">
        <v>44441</v>
      </c>
      <c r="B152">
        <v>1.47</v>
      </c>
      <c r="C152">
        <v>1.52</v>
      </c>
      <c r="D152">
        <v>1.4279999999999999</v>
      </c>
      <c r="E152">
        <v>1.4450000000000001</v>
      </c>
      <c r="F152">
        <v>143859302.59999999</v>
      </c>
      <c r="G152">
        <v>1.4450000000000001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-0.63043478260869323</v>
      </c>
      <c r="Q152">
        <f t="shared" ref="Q152" si="736">F152*P152</f>
        <v>-90693908.160869211</v>
      </c>
      <c r="R152">
        <f t="shared" ref="R152" si="737">R153+Q152</f>
        <v>3781307949.5944414</v>
      </c>
      <c r="S152">
        <f t="shared" ref="S152" si="738">R152/100000</f>
        <v>37813.079495944417</v>
      </c>
      <c r="T152">
        <f t="shared" ref="T152" si="739">S152/1000</f>
        <v>37.813079495944415</v>
      </c>
    </row>
    <row r="153" spans="1:20" x14ac:dyDescent="0.25">
      <c r="A153" s="5">
        <v>44440</v>
      </c>
      <c r="B153">
        <v>1.337</v>
      </c>
      <c r="C153">
        <v>1.5</v>
      </c>
      <c r="D153">
        <v>1.31</v>
      </c>
      <c r="E153">
        <v>1.47</v>
      </c>
      <c r="F153">
        <v>262482700.19999999</v>
      </c>
      <c r="G153">
        <v>1.47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0.68421052631578916</v>
      </c>
      <c r="Q153">
        <f t="shared" ref="Q153" si="741">F153*P153</f>
        <v>179593426.45263147</v>
      </c>
      <c r="R153">
        <f t="shared" ref="R153" si="742">R154+Q153</f>
        <v>3872001857.7553105</v>
      </c>
      <c r="S153">
        <f t="shared" ref="S153" si="743">R153/100000</f>
        <v>38720.018577553106</v>
      </c>
      <c r="T153">
        <f t="shared" ref="T153" si="744">S153/1000</f>
        <v>38.720018577553105</v>
      </c>
    </row>
    <row r="154" spans="1:20" x14ac:dyDescent="0.25">
      <c r="A154" s="5">
        <v>44439</v>
      </c>
      <c r="B154">
        <v>1.3180000000000001</v>
      </c>
      <c r="C154">
        <v>1.417</v>
      </c>
      <c r="D154">
        <v>1.3009999999999999</v>
      </c>
      <c r="E154">
        <v>1.3360000000000001</v>
      </c>
      <c r="F154">
        <v>179349793.5</v>
      </c>
      <c r="G154">
        <v>1.3360000000000001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-0.39655172413792911</v>
      </c>
      <c r="Q154">
        <f t="shared" ref="Q154" si="746">F154*P154</f>
        <v>-71121469.836206555</v>
      </c>
      <c r="R154">
        <f t="shared" ref="R154" si="747">R155+Q154</f>
        <v>3692408431.3026791</v>
      </c>
      <c r="S154">
        <f t="shared" ref="S154" si="748">R154/100000</f>
        <v>36924.084313026789</v>
      </c>
      <c r="T154">
        <f t="shared" ref="T154" si="749">S154/1000</f>
        <v>36.924084313026789</v>
      </c>
    </row>
    <row r="155" spans="1:20" x14ac:dyDescent="0.25">
      <c r="A155" s="5">
        <v>44438</v>
      </c>
      <c r="B155">
        <v>1.419</v>
      </c>
      <c r="C155">
        <v>1.421</v>
      </c>
      <c r="D155">
        <v>1.304</v>
      </c>
      <c r="E155">
        <v>1.319</v>
      </c>
      <c r="F155">
        <v>146994160.59999999</v>
      </c>
      <c r="G155">
        <v>1.319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-0.74358974358974528</v>
      </c>
      <c r="Q155">
        <f t="shared" ref="Q155" si="751">F155*P155</f>
        <v>-109303350.18974383</v>
      </c>
      <c r="R155">
        <f t="shared" ref="R155" si="752">R156+Q155</f>
        <v>3763529901.1388855</v>
      </c>
      <c r="S155">
        <f t="shared" ref="S155" si="753">R155/100000</f>
        <v>37635.299011388852</v>
      </c>
      <c r="T155">
        <f t="shared" ref="T155" si="754">S155/1000</f>
        <v>37.635299011388852</v>
      </c>
    </row>
    <row r="156" spans="1:20" x14ac:dyDescent="0.25">
      <c r="A156" s="5">
        <v>44437</v>
      </c>
      <c r="B156">
        <v>1.458</v>
      </c>
      <c r="C156">
        <v>1.4830000000000001</v>
      </c>
      <c r="D156">
        <v>1.3939999999999999</v>
      </c>
      <c r="E156">
        <v>1.4179999999999999</v>
      </c>
      <c r="F156">
        <v>85334115.200000003</v>
      </c>
      <c r="G156">
        <v>1.4179999999999999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-0.46067415730337147</v>
      </c>
      <c r="Q156">
        <f t="shared" ref="Q156" si="756">F156*P156</f>
        <v>-39311221.608988822</v>
      </c>
      <c r="R156">
        <f t="shared" ref="R156" si="757">R157+Q156</f>
        <v>3872833251.3286295</v>
      </c>
      <c r="S156">
        <f t="shared" ref="S156" si="758">R156/100000</f>
        <v>38728.332513286296</v>
      </c>
      <c r="T156">
        <f t="shared" ref="T156" si="759">S156/1000</f>
        <v>38.728332513286297</v>
      </c>
    </row>
    <row r="157" spans="1:20" x14ac:dyDescent="0.25">
      <c r="A157" s="5">
        <v>44436</v>
      </c>
      <c r="B157">
        <v>1.5189999999999999</v>
      </c>
      <c r="C157">
        <v>1.53</v>
      </c>
      <c r="D157">
        <v>1.4410000000000001</v>
      </c>
      <c r="E157">
        <v>1.458</v>
      </c>
      <c r="F157">
        <v>78274762.799999997</v>
      </c>
      <c r="G157">
        <v>1.458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-0.6179775280898897</v>
      </c>
      <c r="Q157">
        <f t="shared" ref="Q157" si="761">F157*P157</f>
        <v>-48372044.426966451</v>
      </c>
      <c r="R157">
        <f t="shared" ref="R157" si="762">R158+Q157</f>
        <v>3912144472.9376183</v>
      </c>
      <c r="S157">
        <f t="shared" ref="S157" si="763">R157/100000</f>
        <v>39121.444729376184</v>
      </c>
      <c r="T157">
        <f t="shared" ref="T157" si="764">S157/1000</f>
        <v>39.121444729376186</v>
      </c>
    </row>
    <row r="158" spans="1:20" x14ac:dyDescent="0.25">
      <c r="A158" s="5">
        <v>44435</v>
      </c>
      <c r="B158">
        <v>1.3720000000000001</v>
      </c>
      <c r="C158">
        <v>1.52</v>
      </c>
      <c r="D158">
        <v>1.35</v>
      </c>
      <c r="E158">
        <v>1.518</v>
      </c>
      <c r="F158">
        <v>142531594.59999999</v>
      </c>
      <c r="G158">
        <v>1.518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0.97647058823529409</v>
      </c>
      <c r="Q158">
        <f t="shared" ref="Q158" si="766">F158*P158</f>
        <v>139177910.02117646</v>
      </c>
      <c r="R158">
        <f t="shared" ref="R158" si="767">R159+Q158</f>
        <v>3960516517.3645849</v>
      </c>
      <c r="S158">
        <f t="shared" ref="S158" si="768">R158/100000</f>
        <v>39605.165173645852</v>
      </c>
      <c r="T158">
        <f t="shared" ref="T158" si="769">S158/1000</f>
        <v>39.605165173645851</v>
      </c>
    </row>
    <row r="159" spans="1:20" x14ac:dyDescent="0.25">
      <c r="A159" s="5">
        <v>44434</v>
      </c>
      <c r="B159">
        <v>1.52701</v>
      </c>
      <c r="C159">
        <v>1.5477300000000001</v>
      </c>
      <c r="D159">
        <v>1.3620000000000001</v>
      </c>
      <c r="E159">
        <v>1.3720000000000001</v>
      </c>
      <c r="F159">
        <v>143533351.40000001</v>
      </c>
      <c r="G159">
        <v>1.3720000000000001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-0.89231680396274149</v>
      </c>
      <c r="Q159">
        <f t="shared" ref="Q159" si="771">F159*P159</f>
        <v>-128077221.3833091</v>
      </c>
      <c r="R159">
        <f t="shared" ref="R159" si="772">R160+Q159</f>
        <v>3821338607.3434086</v>
      </c>
      <c r="S159">
        <f t="shared" ref="S159" si="773">R159/100000</f>
        <v>38213.386073434085</v>
      </c>
      <c r="T159">
        <f t="shared" ref="T159" si="774">S159/1000</f>
        <v>38.213386073434087</v>
      </c>
    </row>
    <row r="160" spans="1:20" x14ac:dyDescent="0.25">
      <c r="A160" s="5">
        <v>44433</v>
      </c>
      <c r="B160">
        <v>1.47434</v>
      </c>
      <c r="C160">
        <v>1.55352</v>
      </c>
      <c r="D160">
        <v>1.41934</v>
      </c>
      <c r="E160">
        <v>1.5273699999999999</v>
      </c>
      <c r="F160">
        <v>130368043.8</v>
      </c>
      <c r="G160">
        <v>1.5273699999999999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0.61022507080041555</v>
      </c>
      <c r="Q160">
        <f t="shared" ref="Q160" si="776">F160*P160</f>
        <v>79553848.757966667</v>
      </c>
      <c r="R160">
        <f t="shared" ref="R160" si="777">R161+Q160</f>
        <v>3949415828.7267175</v>
      </c>
      <c r="S160">
        <f t="shared" ref="S160" si="778">R160/100000</f>
        <v>39494.158287267172</v>
      </c>
      <c r="T160">
        <f t="shared" ref="T160" si="779">S160/1000</f>
        <v>39.494158287267169</v>
      </c>
    </row>
    <row r="161" spans="1:20" x14ac:dyDescent="0.25">
      <c r="A161" s="5">
        <v>44432</v>
      </c>
      <c r="B161">
        <v>1.6236699999999999</v>
      </c>
      <c r="C161">
        <v>1.63</v>
      </c>
      <c r="D161">
        <v>1.4351499999999999</v>
      </c>
      <c r="E161">
        <v>1.4737100000000001</v>
      </c>
      <c r="F161">
        <v>168472769.09999999</v>
      </c>
      <c r="G161">
        <v>1.4737100000000001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-0.60420836540928757</v>
      </c>
      <c r="Q161">
        <f t="shared" ref="Q161" si="781">F161*P161</f>
        <v>-101792656.43388733</v>
      </c>
      <c r="R161">
        <f t="shared" ref="R161" si="782">R162+Q161</f>
        <v>3869861979.968751</v>
      </c>
      <c r="S161">
        <f t="shared" ref="S161" si="783">R161/100000</f>
        <v>38698.619799687513</v>
      </c>
      <c r="T161">
        <f t="shared" ref="T161" si="784">S161/1000</f>
        <v>38.698619799687513</v>
      </c>
    </row>
    <row r="162" spans="1:20" x14ac:dyDescent="0.25">
      <c r="A162" s="5">
        <v>44431</v>
      </c>
      <c r="B162">
        <v>1.6229899999999999</v>
      </c>
      <c r="C162">
        <v>1.6861200000000001</v>
      </c>
      <c r="D162">
        <v>1.59006</v>
      </c>
      <c r="E162">
        <v>1.6248199999999999</v>
      </c>
      <c r="F162">
        <v>149791238.59999999</v>
      </c>
      <c r="G162">
        <v>1.6248199999999999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-0.27628565479908618</v>
      </c>
      <c r="Q162">
        <f t="shared" ref="Q162" si="786">F162*P162</f>
        <v>-41385170.439767152</v>
      </c>
      <c r="R162">
        <f t="shared" ref="R162" si="787">R163+Q162</f>
        <v>3971654636.4026384</v>
      </c>
      <c r="S162">
        <f t="shared" ref="S162" si="788">R162/100000</f>
        <v>39716.546364026384</v>
      </c>
      <c r="T162">
        <f t="shared" ref="T162" si="789">S162/1000</f>
        <v>39.716546364026385</v>
      </c>
    </row>
    <row r="163" spans="1:20" x14ac:dyDescent="0.25">
      <c r="A163" s="5">
        <v>44430</v>
      </c>
      <c r="B163">
        <v>1.583</v>
      </c>
      <c r="C163">
        <v>1.6591400000000001</v>
      </c>
      <c r="D163">
        <v>1.5784499999999999</v>
      </c>
      <c r="E163">
        <v>1.64453</v>
      </c>
      <c r="F163">
        <v>43782132.399999999</v>
      </c>
      <c r="G163">
        <v>1.64453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0.63787334242161398</v>
      </c>
      <c r="Q163">
        <f t="shared" ref="Q163" si="791">F163*P163</f>
        <v>27927455.13233364</v>
      </c>
      <c r="R163">
        <f t="shared" ref="R163" si="792">R164+Q163</f>
        <v>4013039806.8424058</v>
      </c>
      <c r="S163">
        <f t="shared" ref="S163" si="793">R163/100000</f>
        <v>40130.39806842406</v>
      </c>
      <c r="T163">
        <f t="shared" ref="T163" si="794">S163/1000</f>
        <v>40.130398068424057</v>
      </c>
    </row>
    <row r="164" spans="1:20" x14ac:dyDescent="0.25">
      <c r="A164" s="5">
        <v>44429</v>
      </c>
      <c r="B164">
        <v>1.54942</v>
      </c>
      <c r="C164">
        <v>1.7</v>
      </c>
      <c r="D164">
        <v>1.5118199999999999</v>
      </c>
      <c r="E164">
        <v>1.58324</v>
      </c>
      <c r="F164">
        <v>260862252</v>
      </c>
      <c r="G164">
        <v>1.58324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-0.24093952598575796</v>
      </c>
      <c r="Q164">
        <f t="shared" ref="Q164" si="796">F164*P164</f>
        <v>-62852027.344457343</v>
      </c>
      <c r="R164">
        <f t="shared" ref="R164" si="797">R165+Q164</f>
        <v>3985112351.710072</v>
      </c>
      <c r="S164">
        <f t="shared" ref="S164" si="798">R164/100000</f>
        <v>39851.123517100721</v>
      </c>
      <c r="T164">
        <f t="shared" ref="T164" si="799">S164/1000</f>
        <v>39.851123517100724</v>
      </c>
    </row>
    <row r="165" spans="1:20" x14ac:dyDescent="0.25">
      <c r="A165" s="5">
        <v>44428</v>
      </c>
      <c r="B165">
        <v>1.47055</v>
      </c>
      <c r="C165">
        <v>1.5689299999999999</v>
      </c>
      <c r="D165">
        <v>1.4506699999999999</v>
      </c>
      <c r="E165">
        <v>1.54956</v>
      </c>
      <c r="F165">
        <v>232074045.30000001</v>
      </c>
      <c r="G165">
        <v>1.54956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0.67241670894639127</v>
      </c>
      <c r="Q165">
        <f t="shared" ref="Q165" si="801">F165*P165</f>
        <v>156050465.77250174</v>
      </c>
      <c r="R165">
        <f t="shared" ref="R165" si="802">R166+Q165</f>
        <v>4047964379.0545292</v>
      </c>
      <c r="S165">
        <f t="shared" ref="S165" si="803">R165/100000</f>
        <v>40479.643790545291</v>
      </c>
      <c r="T165">
        <f t="shared" ref="T165" si="804">S165/1000</f>
        <v>40.479643790545289</v>
      </c>
    </row>
    <row r="166" spans="1:20" x14ac:dyDescent="0.25">
      <c r="A166" s="5">
        <v>44427</v>
      </c>
      <c r="B166">
        <v>1.33419</v>
      </c>
      <c r="C166">
        <v>1.4706999999999999</v>
      </c>
      <c r="D166">
        <v>1.3004</v>
      </c>
      <c r="E166">
        <v>1.4705600000000001</v>
      </c>
      <c r="F166">
        <v>167895431.90000001</v>
      </c>
      <c r="G166">
        <v>1.4705600000000001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0.99835584263065402</v>
      </c>
      <c r="Q166">
        <f t="shared" ref="Q166" si="806">F166*P166</f>
        <v>167619385.38836211</v>
      </c>
      <c r="R166">
        <f t="shared" ref="R166" si="807">R167+Q166</f>
        <v>3891913913.2820272</v>
      </c>
      <c r="S166">
        <f t="shared" ref="S166" si="808">R166/100000</f>
        <v>38919.139132820274</v>
      </c>
      <c r="T166">
        <f t="shared" ref="T166" si="809">S166/1000</f>
        <v>38.919139132820277</v>
      </c>
    </row>
    <row r="167" spans="1:20" x14ac:dyDescent="0.25">
      <c r="A167" s="5">
        <v>44426</v>
      </c>
      <c r="B167">
        <v>1.34998</v>
      </c>
      <c r="C167">
        <v>1.4094899999999999</v>
      </c>
      <c r="D167">
        <v>1.27189</v>
      </c>
      <c r="E167">
        <v>1.3336399999999999</v>
      </c>
      <c r="F167">
        <v>207837866.40000001</v>
      </c>
      <c r="G167">
        <v>1.3336399999999999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-0.1024709302325582</v>
      </c>
      <c r="Q167">
        <f t="shared" ref="Q167" si="811">F167*P167</f>
        <v>-21297339.507558152</v>
      </c>
      <c r="R167">
        <f t="shared" ref="R167" si="812">R168+Q167</f>
        <v>3724294527.8936653</v>
      </c>
      <c r="S167">
        <f t="shared" ref="S167" si="813">R167/100000</f>
        <v>37242.945278936655</v>
      </c>
      <c r="T167">
        <f t="shared" ref="T167" si="814">S167/1000</f>
        <v>37.242945278936652</v>
      </c>
    </row>
    <row r="168" spans="1:20" x14ac:dyDescent="0.25">
      <c r="A168" s="5">
        <v>44425</v>
      </c>
      <c r="B168">
        <v>1.4192400000000001</v>
      </c>
      <c r="C168">
        <v>1.5329999999999999</v>
      </c>
      <c r="D168">
        <v>1.33</v>
      </c>
      <c r="E168">
        <v>1.34998</v>
      </c>
      <c r="F168">
        <v>248378838.59999999</v>
      </c>
      <c r="G168">
        <v>1.34998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-0.80315270935960692</v>
      </c>
      <c r="Q168">
        <f t="shared" ref="Q168" si="816">F168*P168</f>
        <v>-199486137.16918251</v>
      </c>
      <c r="R168">
        <f t="shared" ref="R168" si="817">R169+Q168</f>
        <v>3745591867.4012237</v>
      </c>
      <c r="S168">
        <f t="shared" ref="S168" si="818">R168/100000</f>
        <v>37455.918674012239</v>
      </c>
      <c r="T168">
        <f t="shared" ref="T168" si="819">S168/1000</f>
        <v>37.455918674012239</v>
      </c>
    </row>
    <row r="169" spans="1:20" x14ac:dyDescent="0.25">
      <c r="A169" s="5">
        <v>44424</v>
      </c>
      <c r="B169">
        <v>1.4666600000000001</v>
      </c>
      <c r="C169">
        <v>1.56</v>
      </c>
      <c r="D169">
        <v>1.4135</v>
      </c>
      <c r="E169">
        <v>1.4196299999999999</v>
      </c>
      <c r="F169">
        <v>250983686.69999999</v>
      </c>
      <c r="G169">
        <v>1.4196299999999999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-0.91631399317406192</v>
      </c>
      <c r="Q169">
        <f t="shared" ref="Q169" si="821">F169*P169</f>
        <v>-229979864.18162468</v>
      </c>
      <c r="R169">
        <f t="shared" ref="R169" si="822">R170+Q169</f>
        <v>3945078004.570406</v>
      </c>
      <c r="S169">
        <f t="shared" ref="S169" si="823">R169/100000</f>
        <v>39450.780045704058</v>
      </c>
      <c r="T169">
        <f t="shared" ref="T169" si="824">S169/1000</f>
        <v>39.450780045704057</v>
      </c>
    </row>
    <row r="170" spans="1:20" x14ac:dyDescent="0.25">
      <c r="A170" s="5">
        <v>44423</v>
      </c>
      <c r="B170">
        <v>1.4413400000000001</v>
      </c>
      <c r="C170">
        <v>1.486</v>
      </c>
      <c r="D170">
        <v>1.3673900000000001</v>
      </c>
      <c r="E170">
        <v>1.4666600000000001</v>
      </c>
      <c r="F170">
        <v>165026629.90000001</v>
      </c>
      <c r="G170">
        <v>1.4666600000000001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0.67388921676081392</v>
      </c>
      <c r="Q170">
        <f t="shared" ref="Q170" si="826">F170*P170</f>
        <v>111209666.36798772</v>
      </c>
      <c r="R170">
        <f t="shared" ref="R170" si="827">R171+Q170</f>
        <v>4175057868.7520308</v>
      </c>
      <c r="S170">
        <f t="shared" ref="S170" si="828">R170/100000</f>
        <v>41750.578687520312</v>
      </c>
      <c r="T170">
        <f t="shared" ref="T170" si="829">S170/1000</f>
        <v>41.75057868752031</v>
      </c>
    </row>
    <row r="171" spans="1:20" x14ac:dyDescent="0.25">
      <c r="A171" s="5">
        <v>44422</v>
      </c>
      <c r="B171">
        <v>1.5109999999999999</v>
      </c>
      <c r="C171">
        <v>1.5124899999999999</v>
      </c>
      <c r="D171">
        <v>1.4030100000000001</v>
      </c>
      <c r="E171">
        <v>1.4416</v>
      </c>
      <c r="F171">
        <v>206977533.19999999</v>
      </c>
      <c r="G171">
        <v>1.4416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-0.29503105590062162</v>
      </c>
      <c r="Q171">
        <f t="shared" ref="Q171" si="831">F171*P171</f>
        <v>-61064800.167701967</v>
      </c>
      <c r="R171">
        <f t="shared" ref="R171" si="832">R172+Q171</f>
        <v>4063848202.3840432</v>
      </c>
      <c r="S171">
        <f t="shared" ref="S171" si="833">R171/100000</f>
        <v>40638.482023840435</v>
      </c>
      <c r="T171">
        <f t="shared" ref="T171" si="834">S171/1000</f>
        <v>40.638482023840439</v>
      </c>
    </row>
    <row r="172" spans="1:20" x14ac:dyDescent="0.25">
      <c r="A172" s="5">
        <v>44421</v>
      </c>
      <c r="B172">
        <v>1.32168</v>
      </c>
      <c r="C172">
        <v>1.51597</v>
      </c>
      <c r="D172">
        <v>1.31454</v>
      </c>
      <c r="E172">
        <v>1.51075</v>
      </c>
      <c r="F172">
        <v>293333695.19999999</v>
      </c>
      <c r="G172">
        <v>1.51075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0.94817058035049395</v>
      </c>
      <c r="Q172">
        <f t="shared" ref="Q172" si="836">F172*P172</f>
        <v>278130380.01413888</v>
      </c>
      <c r="R172">
        <f t="shared" ref="R172" si="837">R173+Q172</f>
        <v>4124913002.5517454</v>
      </c>
      <c r="S172">
        <f t="shared" ref="S172" si="838">R172/100000</f>
        <v>41249.130025517457</v>
      </c>
      <c r="T172">
        <f t="shared" ref="T172" si="839">S172/1000</f>
        <v>41.249130025517459</v>
      </c>
    </row>
    <row r="173" spans="1:20" x14ac:dyDescent="0.25">
      <c r="A173" s="5">
        <v>44420</v>
      </c>
      <c r="B173">
        <v>1.37148</v>
      </c>
      <c r="C173">
        <v>1.47929</v>
      </c>
      <c r="D173">
        <v>1.25</v>
      </c>
      <c r="E173">
        <v>1.32175</v>
      </c>
      <c r="F173">
        <v>367785059.39999998</v>
      </c>
      <c r="G173">
        <v>1.32175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-0.37415500021806464</v>
      </c>
      <c r="Q173">
        <f t="shared" ref="Q173" si="841">F173*P173</f>
        <v>-137608618.98000792</v>
      </c>
      <c r="R173">
        <f t="shared" ref="R173" si="842">R174+Q173</f>
        <v>3846782622.5376067</v>
      </c>
      <c r="S173">
        <f t="shared" ref="S173" si="843">R173/100000</f>
        <v>38467.826225376069</v>
      </c>
      <c r="T173">
        <f t="shared" ref="T173" si="844">S173/1000</f>
        <v>38.467826225376072</v>
      </c>
    </row>
    <row r="174" spans="1:20" x14ac:dyDescent="0.25">
      <c r="A174" s="5">
        <v>44419</v>
      </c>
      <c r="B174">
        <v>1.15642</v>
      </c>
      <c r="C174">
        <v>1.42709</v>
      </c>
      <c r="D174">
        <v>1.15256</v>
      </c>
      <c r="E174">
        <v>1.3711500000000001</v>
      </c>
      <c r="F174">
        <v>489110484.5</v>
      </c>
      <c r="G174">
        <v>1.3711500000000001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0.59246712563290072</v>
      </c>
      <c r="Q174">
        <f t="shared" ref="Q174" si="846">F174*P174</f>
        <v>289781882.86863041</v>
      </c>
      <c r="R174">
        <f t="shared" ref="R174" si="847">R175+Q174</f>
        <v>3984391241.5176148</v>
      </c>
      <c r="S174">
        <f t="shared" ref="S174" si="848">R174/100000</f>
        <v>39843.91241517615</v>
      </c>
      <c r="T174">
        <f t="shared" ref="T174" si="849">S174/1000</f>
        <v>39.843912415176149</v>
      </c>
    </row>
    <row r="175" spans="1:20" x14ac:dyDescent="0.25">
      <c r="A175" s="5">
        <v>44418</v>
      </c>
      <c r="B175">
        <v>1.12626</v>
      </c>
      <c r="C175">
        <v>1.1788799999999999</v>
      </c>
      <c r="D175">
        <v>1.1085199999999999</v>
      </c>
      <c r="E175">
        <v>1.15611</v>
      </c>
      <c r="F175">
        <v>198586008.09999999</v>
      </c>
      <c r="G175">
        <v>1.15611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0.35275724843661271</v>
      </c>
      <c r="Q175">
        <f t="shared" ref="Q175" si="851">F175*P175</f>
        <v>70052653.795366883</v>
      </c>
      <c r="R175">
        <f t="shared" ref="R175" si="852">R176+Q175</f>
        <v>3694609358.6489844</v>
      </c>
      <c r="S175">
        <f t="shared" ref="S175" si="853">R175/100000</f>
        <v>36946.093586489842</v>
      </c>
      <c r="T175">
        <f t="shared" ref="T175" si="854">S175/1000</f>
        <v>36.946093586489845</v>
      </c>
    </row>
    <row r="176" spans="1:20" x14ac:dyDescent="0.25">
      <c r="A176" s="5">
        <v>44417</v>
      </c>
      <c r="B176">
        <v>1.08142</v>
      </c>
      <c r="C176">
        <v>1.1586099999999999</v>
      </c>
      <c r="D176">
        <v>1.0380199999999999</v>
      </c>
      <c r="E176">
        <v>1.12629</v>
      </c>
      <c r="F176">
        <v>171591288.40000001</v>
      </c>
      <c r="G176">
        <v>1.12629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0.46396881996848977</v>
      </c>
      <c r="Q176">
        <f t="shared" ref="Q176" si="856">F176*P176</f>
        <v>79613007.595820814</v>
      </c>
      <c r="R176">
        <f t="shared" ref="R176" si="857">R177+Q176</f>
        <v>3624556704.8536177</v>
      </c>
      <c r="S176">
        <f t="shared" ref="S176" si="858">R176/100000</f>
        <v>36245.567048536177</v>
      </c>
      <c r="T176">
        <f t="shared" ref="T176" si="859">S176/1000</f>
        <v>36.245567048536174</v>
      </c>
    </row>
    <row r="177" spans="1:20" x14ac:dyDescent="0.25">
      <c r="A177" s="5">
        <v>44416</v>
      </c>
      <c r="B177">
        <v>1.1664699999999999</v>
      </c>
      <c r="C177">
        <v>1.1796</v>
      </c>
      <c r="D177">
        <v>1.0684400000000001</v>
      </c>
      <c r="E177">
        <v>1.0812900000000001</v>
      </c>
      <c r="F177">
        <v>165071670</v>
      </c>
      <c r="G177">
        <v>1.0812900000000001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-0.76880172724001372</v>
      </c>
      <c r="Q177">
        <f t="shared" ref="Q177" si="861">F177*P177</f>
        <v>-126907385.01439355</v>
      </c>
      <c r="R177">
        <f t="shared" ref="R177" si="862">R178+Q177</f>
        <v>3544943697.2577968</v>
      </c>
      <c r="S177">
        <f t="shared" ref="S177" si="863">R177/100000</f>
        <v>35449.436972577969</v>
      </c>
      <c r="T177">
        <f t="shared" ref="T177" si="864">S177/1000</f>
        <v>35.449436972577971</v>
      </c>
    </row>
    <row r="178" spans="1:20" x14ac:dyDescent="0.25">
      <c r="A178" s="5">
        <v>44415</v>
      </c>
      <c r="B178">
        <v>1.0809599999999999</v>
      </c>
      <c r="C178">
        <v>1.19662</v>
      </c>
      <c r="D178">
        <v>1.0685800000000001</v>
      </c>
      <c r="E178">
        <v>1.16618</v>
      </c>
      <c r="F178">
        <v>276589477.69999999</v>
      </c>
      <c r="G178">
        <v>1.16618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0.52452358637925589</v>
      </c>
      <c r="Q178">
        <f t="shared" ref="Q178" si="866">F178*P178</f>
        <v>145077704.79796922</v>
      </c>
      <c r="R178">
        <f t="shared" ref="R178" si="867">R179+Q178</f>
        <v>3671851082.2721901</v>
      </c>
      <c r="S178">
        <f t="shared" ref="S178" si="868">R178/100000</f>
        <v>36718.510822721903</v>
      </c>
      <c r="T178">
        <f t="shared" ref="T178" si="869">S178/1000</f>
        <v>36.718510822721903</v>
      </c>
    </row>
    <row r="179" spans="1:20" x14ac:dyDescent="0.25">
      <c r="A179" s="5">
        <v>44414</v>
      </c>
      <c r="B179">
        <v>1.0656099999999999</v>
      </c>
      <c r="C179">
        <v>1.0979699999999999</v>
      </c>
      <c r="D179">
        <v>1.03515</v>
      </c>
      <c r="E179">
        <v>1.0809299999999999</v>
      </c>
      <c r="F179">
        <v>119365962.59999999</v>
      </c>
      <c r="G179">
        <v>1.0809299999999999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0.45749761222540664</v>
      </c>
      <c r="Q179">
        <f t="shared" ref="Q179" si="871">F179*P179</f>
        <v>54609642.870487191</v>
      </c>
      <c r="R179">
        <f t="shared" ref="R179" si="872">R180+Q179</f>
        <v>3526773377.4742208</v>
      </c>
      <c r="S179">
        <f t="shared" ref="S179" si="873">R179/100000</f>
        <v>35267.733774742206</v>
      </c>
      <c r="T179">
        <f t="shared" ref="T179" si="874">S179/1000</f>
        <v>35.267733774742204</v>
      </c>
    </row>
    <row r="180" spans="1:20" x14ac:dyDescent="0.25">
      <c r="A180" s="5">
        <v>44413</v>
      </c>
      <c r="B180">
        <v>1.05341</v>
      </c>
      <c r="C180">
        <v>1.07453</v>
      </c>
      <c r="D180">
        <v>1.0109999999999999</v>
      </c>
      <c r="E180">
        <v>1.06558</v>
      </c>
      <c r="F180">
        <v>138199453</v>
      </c>
      <c r="G180">
        <v>1.06558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0.7182433495986148</v>
      </c>
      <c r="Q180">
        <f t="shared" ref="Q180" si="876">F180*P180</f>
        <v>99260838.035416335</v>
      </c>
      <c r="R180">
        <f t="shared" ref="R180" si="877">R181+Q180</f>
        <v>3472163734.6037335</v>
      </c>
      <c r="S180">
        <f t="shared" ref="S180" si="878">R180/100000</f>
        <v>34721.637346037336</v>
      </c>
      <c r="T180">
        <f t="shared" ref="T180" si="879">S180/1000</f>
        <v>34.721637346037333</v>
      </c>
    </row>
    <row r="181" spans="1:20" x14ac:dyDescent="0.25">
      <c r="A181" s="5">
        <v>44412</v>
      </c>
      <c r="B181">
        <v>1.0224899999999999</v>
      </c>
      <c r="C181">
        <v>1.0709599999999999</v>
      </c>
      <c r="D181">
        <v>1.00844</v>
      </c>
      <c r="E181">
        <v>1.0538700000000001</v>
      </c>
      <c r="F181">
        <v>112676829.2</v>
      </c>
      <c r="G181">
        <v>1.0538700000000001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0.45329494561740713</v>
      </c>
      <c r="Q181">
        <f t="shared" ref="Q181" si="881">F181*P181</f>
        <v>51075837.16455587</v>
      </c>
      <c r="R181">
        <f t="shared" ref="R181" si="882">R182+Q181</f>
        <v>3372902896.5683174</v>
      </c>
      <c r="S181">
        <f t="shared" ref="S181" si="883">R181/100000</f>
        <v>33729.028965683174</v>
      </c>
      <c r="T181">
        <f t="shared" ref="T181" si="884">S181/1000</f>
        <v>33.72902896568317</v>
      </c>
    </row>
    <row r="182" spans="1:20" x14ac:dyDescent="0.25">
      <c r="A182" s="5">
        <v>44411</v>
      </c>
      <c r="B182">
        <v>1.0455300000000001</v>
      </c>
      <c r="C182">
        <v>1.06</v>
      </c>
      <c r="D182">
        <v>1.0049999999999999</v>
      </c>
      <c r="E182">
        <v>1.0224899999999999</v>
      </c>
      <c r="F182">
        <v>109219073.2</v>
      </c>
      <c r="G182">
        <v>1.0224899999999999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-0.36400000000000166</v>
      </c>
      <c r="Q182">
        <f t="shared" ref="Q182" si="886">F182*P182</f>
        <v>-39755742.644800179</v>
      </c>
      <c r="R182">
        <f t="shared" ref="R182" si="887">R183+Q182</f>
        <v>3321827059.4037614</v>
      </c>
      <c r="S182">
        <f t="shared" ref="S182" si="888">R182/100000</f>
        <v>33218.270594037611</v>
      </c>
      <c r="T182">
        <f t="shared" ref="T182" si="889">S182/1000</f>
        <v>33.218270594037612</v>
      </c>
    </row>
    <row r="183" spans="1:20" x14ac:dyDescent="0.25">
      <c r="A183" s="5">
        <v>44410</v>
      </c>
      <c r="B183">
        <v>1.0496300000000001</v>
      </c>
      <c r="C183">
        <v>1.0799399999999999</v>
      </c>
      <c r="D183">
        <v>1.02</v>
      </c>
      <c r="E183">
        <v>1.0454000000000001</v>
      </c>
      <c r="F183">
        <v>134379932.5</v>
      </c>
      <c r="G183">
        <v>1.0454000000000001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-0.15248581915248119</v>
      </c>
      <c r="Q183">
        <f t="shared" ref="Q183" si="891">F183*P183</f>
        <v>-20491034.084917631</v>
      </c>
      <c r="R183">
        <f t="shared" ref="R183" si="892">R184+Q183</f>
        <v>3361582802.0485616</v>
      </c>
      <c r="S183">
        <f t="shared" ref="S183" si="893">R183/100000</f>
        <v>33615.828020485613</v>
      </c>
      <c r="T183">
        <f t="shared" ref="T183" si="894">S183/1000</f>
        <v>33.615828020485615</v>
      </c>
    </row>
    <row r="184" spans="1:20" x14ac:dyDescent="0.25">
      <c r="A184" s="5">
        <v>44409</v>
      </c>
      <c r="B184">
        <v>1.0824800000000001</v>
      </c>
      <c r="C184">
        <v>1.135</v>
      </c>
      <c r="D184">
        <v>1.04118</v>
      </c>
      <c r="E184">
        <v>1.0494300000000001</v>
      </c>
      <c r="F184">
        <v>217134999.5</v>
      </c>
      <c r="G184">
        <v>1.0494300000000001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-0.82413131528458561</v>
      </c>
      <c r="Q184">
        <f t="shared" ref="Q184" si="896">F184*P184</f>
        <v>-178947752.73225284</v>
      </c>
      <c r="R184">
        <f t="shared" ref="R184" si="897">R185+Q184</f>
        <v>3382073836.1334791</v>
      </c>
      <c r="S184">
        <f t="shared" ref="S184" si="898">R184/100000</f>
        <v>33820.738361334792</v>
      </c>
      <c r="T184">
        <f t="shared" ref="T184" si="899">S184/1000</f>
        <v>33.82073836133479</v>
      </c>
    </row>
    <row r="185" spans="1:20" x14ac:dyDescent="0.25">
      <c r="A185" s="5">
        <v>44408</v>
      </c>
      <c r="B185">
        <v>1.06612</v>
      </c>
      <c r="C185">
        <v>1.1000000000000001</v>
      </c>
      <c r="D185">
        <v>1.0244500000000001</v>
      </c>
      <c r="E185">
        <v>1.08246</v>
      </c>
      <c r="F185">
        <v>149055600.30000001</v>
      </c>
      <c r="G185">
        <v>1.08246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0.53567174056915656</v>
      </c>
      <c r="Q185">
        <f t="shared" ref="Q185" si="901">F185*P185</f>
        <v>79844872.8542815</v>
      </c>
      <c r="R185">
        <f t="shared" ref="R185" si="902">R186+Q185</f>
        <v>3561021588.8657322</v>
      </c>
      <c r="S185">
        <f t="shared" ref="S185" si="903">R185/100000</f>
        <v>35610.215888657323</v>
      </c>
      <c r="T185">
        <f t="shared" ref="T185" si="904">S185/1000</f>
        <v>35.610215888657322</v>
      </c>
    </row>
    <row r="186" spans="1:20" x14ac:dyDescent="0.25">
      <c r="A186" s="5">
        <v>44407</v>
      </c>
      <c r="B186">
        <v>1.0278700000000001</v>
      </c>
      <c r="C186">
        <v>1.0713299999999999</v>
      </c>
      <c r="D186">
        <v>0.99495999999999996</v>
      </c>
      <c r="E186">
        <v>1.06595</v>
      </c>
      <c r="F186">
        <v>176127462.80000001</v>
      </c>
      <c r="G186">
        <v>1.06595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0.85910697918030787</v>
      </c>
      <c r="Q186">
        <f t="shared" ref="Q186" si="906">F186*P186</f>
        <v>151312332.51680005</v>
      </c>
      <c r="R186">
        <f t="shared" ref="R186" si="907">R187+Q186</f>
        <v>3481176716.0114508</v>
      </c>
      <c r="S186">
        <f t="shared" ref="S186" si="908">R186/100000</f>
        <v>34811.767160114505</v>
      </c>
      <c r="T186">
        <f t="shared" ref="T186" si="909">S186/1000</f>
        <v>34.811767160114506</v>
      </c>
    </row>
    <row r="187" spans="1:20" x14ac:dyDescent="0.25">
      <c r="A187" s="5">
        <v>44406</v>
      </c>
      <c r="B187">
        <v>1.01803</v>
      </c>
      <c r="C187">
        <v>1.0434099999999999</v>
      </c>
      <c r="D187">
        <v>0.98914999999999997</v>
      </c>
      <c r="E187">
        <v>1.0279400000000001</v>
      </c>
      <c r="F187">
        <v>114617282.3</v>
      </c>
      <c r="G187">
        <v>1.0279400000000001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0.42978252856616733</v>
      </c>
      <c r="Q187">
        <f t="shared" ref="Q187" si="911">F187*P187</f>
        <v>49260505.404276215</v>
      </c>
      <c r="R187">
        <f t="shared" ref="R187" si="912">R188+Q187</f>
        <v>3329864383.4946508</v>
      </c>
      <c r="S187">
        <f t="shared" ref="S187" si="913">R187/100000</f>
        <v>33298.64383494651</v>
      </c>
      <c r="T187">
        <f t="shared" ref="T187" si="914">S187/1000</f>
        <v>33.29864383494651</v>
      </c>
    </row>
    <row r="188" spans="1:20" x14ac:dyDescent="0.25">
      <c r="A188" s="5">
        <v>44405</v>
      </c>
      <c r="B188">
        <v>1.0405899999999999</v>
      </c>
      <c r="C188">
        <v>1.0586</v>
      </c>
      <c r="D188">
        <v>0.99109999999999998</v>
      </c>
      <c r="E188">
        <v>1.01803</v>
      </c>
      <c r="F188">
        <v>200269460.59999999</v>
      </c>
      <c r="G188">
        <v>1.01803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-0.20207407407407385</v>
      </c>
      <c r="Q188">
        <f t="shared" ref="Q188" si="916">F188*P188</f>
        <v>-40469265.816059217</v>
      </c>
      <c r="R188">
        <f t="shared" ref="R188" si="917">R189+Q188</f>
        <v>3280603878.0903745</v>
      </c>
      <c r="S188">
        <f t="shared" ref="S188" si="918">R188/100000</f>
        <v>32806.038780903742</v>
      </c>
      <c r="T188">
        <f t="shared" ref="T188" si="919">S188/1000</f>
        <v>32.806038780903741</v>
      </c>
    </row>
    <row r="189" spans="1:20" x14ac:dyDescent="0.25">
      <c r="A189" s="5">
        <v>44404</v>
      </c>
      <c r="B189">
        <v>1.01413</v>
      </c>
      <c r="C189">
        <v>1.0634600000000001</v>
      </c>
      <c r="D189">
        <v>0.93774999999999997</v>
      </c>
      <c r="E189">
        <v>1.04</v>
      </c>
      <c r="F189">
        <v>349544062.69999999</v>
      </c>
      <c r="G189">
        <v>1.04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0.62676000318192637</v>
      </c>
      <c r="Q189">
        <f t="shared" ref="Q189" si="921">F189*P189</f>
        <v>219080237.85007545</v>
      </c>
      <c r="R189">
        <f t="shared" ref="R189" si="922">R190+Q189</f>
        <v>3321073143.9064336</v>
      </c>
      <c r="S189">
        <f t="shared" ref="S189" si="923">R189/100000</f>
        <v>33210.731439064337</v>
      </c>
      <c r="T189">
        <f t="shared" ref="T189" si="924">S189/1000</f>
        <v>33.21073143906434</v>
      </c>
    </row>
    <row r="190" spans="1:20" x14ac:dyDescent="0.25">
      <c r="A190" s="5">
        <v>44403</v>
      </c>
      <c r="B190">
        <v>0.93910000000000005</v>
      </c>
      <c r="C190">
        <v>1.1349899999999999</v>
      </c>
      <c r="D190">
        <v>0.93057000000000001</v>
      </c>
      <c r="E190">
        <v>1.01403</v>
      </c>
      <c r="F190">
        <v>606612371</v>
      </c>
      <c r="G190">
        <v>1.01403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-0.18344584678602871</v>
      </c>
      <c r="Q190">
        <f t="shared" ref="Q190" si="926">F190*P190</f>
        <v>-111280520.06897561</v>
      </c>
      <c r="R190">
        <f t="shared" ref="R190" si="927">R191+Q190</f>
        <v>3101992906.0563583</v>
      </c>
      <c r="S190">
        <f t="shared" ref="S190" si="928">R190/100000</f>
        <v>31019.929060563583</v>
      </c>
      <c r="T190">
        <f t="shared" ref="T190" si="929">S190/1000</f>
        <v>31.019929060563584</v>
      </c>
    </row>
    <row r="191" spans="1:20" x14ac:dyDescent="0.25">
      <c r="A191" s="5">
        <v>44402</v>
      </c>
      <c r="B191">
        <v>0.94794999999999996</v>
      </c>
      <c r="C191">
        <v>0.96489999999999998</v>
      </c>
      <c r="D191">
        <v>0.88590000000000002</v>
      </c>
      <c r="E191">
        <v>0.93910000000000005</v>
      </c>
      <c r="F191">
        <v>178160974</v>
      </c>
      <c r="G191">
        <v>0.93910000000000005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0.34683544303797603</v>
      </c>
      <c r="Q191">
        <f t="shared" ref="Q191" si="931">F191*P191</f>
        <v>61792540.349367328</v>
      </c>
      <c r="R191">
        <f t="shared" ref="R191" si="932">R192+Q191</f>
        <v>3213273426.1253338</v>
      </c>
      <c r="S191">
        <f t="shared" ref="S191" si="933">R191/100000</f>
        <v>32132.734261253339</v>
      </c>
      <c r="T191">
        <f t="shared" ref="T191:T197" si="934">S191/1000</f>
        <v>32.13273426125334</v>
      </c>
    </row>
    <row r="192" spans="1:20" x14ac:dyDescent="0.25">
      <c r="A192" s="5">
        <v>44401</v>
      </c>
      <c r="B192">
        <v>0.94857999999999998</v>
      </c>
      <c r="C192">
        <v>0.98675999999999997</v>
      </c>
      <c r="D192">
        <v>0.91022999999999998</v>
      </c>
      <c r="E192">
        <v>0.94833999999999996</v>
      </c>
      <c r="F192">
        <v>239737503.69999999</v>
      </c>
      <c r="G192">
        <v>0.94833999999999996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-4.0506990722596701E-3</v>
      </c>
      <c r="Q192">
        <f t="shared" ref="Q192" si="936">F192*P192</f>
        <v>-971104.48382343922</v>
      </c>
      <c r="R192">
        <f t="shared" ref="R192" si="937">R193+Q192</f>
        <v>3151480885.7759666</v>
      </c>
      <c r="S192">
        <f t="shared" ref="S192" si="938">R192/100000</f>
        <v>31514.808857759668</v>
      </c>
      <c r="T192">
        <f t="shared" si="934"/>
        <v>31.514808857759668</v>
      </c>
    </row>
    <row r="193" spans="1:20" x14ac:dyDescent="0.25">
      <c r="A193" s="5">
        <v>44400</v>
      </c>
      <c r="B193">
        <v>0.88044</v>
      </c>
      <c r="C193">
        <v>0.95770999999999995</v>
      </c>
      <c r="D193">
        <v>0.85916999999999999</v>
      </c>
      <c r="E193">
        <v>0.94855999999999996</v>
      </c>
      <c r="F193">
        <v>310882779.89999998</v>
      </c>
      <c r="G193">
        <v>0.94855999999999996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0.81428861376090933</v>
      </c>
      <c r="Q193">
        <f t="shared" ref="Q193" si="940">F193*P193</f>
        <v>253148307.88690886</v>
      </c>
      <c r="R193">
        <f t="shared" ref="R193" si="941">R194+Q193</f>
        <v>3152451990.2597899</v>
      </c>
      <c r="S193">
        <f t="shared" ref="S193" si="942">R193/100000</f>
        <v>31524.519902597898</v>
      </c>
      <c r="T193">
        <f t="shared" si="934"/>
        <v>31.524519902597898</v>
      </c>
    </row>
    <row r="194" spans="1:20" x14ac:dyDescent="0.25">
      <c r="A194" s="5">
        <v>44399</v>
      </c>
      <c r="B194">
        <v>0.88885999999999998</v>
      </c>
      <c r="C194">
        <v>0.93332999999999999</v>
      </c>
      <c r="D194">
        <v>0.84265999999999996</v>
      </c>
      <c r="E194">
        <v>0.88061999999999996</v>
      </c>
      <c r="F194">
        <v>424463228.60000002</v>
      </c>
      <c r="G194">
        <v>0.88061999999999996</v>
      </c>
      <c r="L194" t="s">
        <v>7</v>
      </c>
      <c r="M194" t="s">
        <v>8</v>
      </c>
      <c r="N194" t="s">
        <v>8</v>
      </c>
      <c r="P194">
        <f t="shared" ref="P194" si="943">IF(C194=D194,0,((E194-D194)-(C194-E194))/(C194-D194))</f>
        <v>-0.16267784272637076</v>
      </c>
      <c r="Q194">
        <f t="shared" ref="Q194" si="944">F194*P194</f>
        <v>-69050762.345318362</v>
      </c>
      <c r="R194">
        <f t="shared" ref="R194" si="945">R195+Q194</f>
        <v>2899303682.3728809</v>
      </c>
      <c r="S194">
        <f t="shared" ref="S194" si="946">R194/100000</f>
        <v>28993.036823728809</v>
      </c>
      <c r="T194">
        <f t="shared" si="934"/>
        <v>28.993036823728808</v>
      </c>
    </row>
    <row r="195" spans="1:20" x14ac:dyDescent="0.25">
      <c r="A195" s="5">
        <v>44398</v>
      </c>
      <c r="B195">
        <v>0.68901000000000001</v>
      </c>
      <c r="C195">
        <v>0.94499999999999995</v>
      </c>
      <c r="D195">
        <v>0.66837999999999997</v>
      </c>
      <c r="E195">
        <v>0.88832999999999995</v>
      </c>
      <c r="F195">
        <v>713823532.39999998</v>
      </c>
      <c r="G195">
        <v>0.88832999999999995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0.59026823801605088</v>
      </c>
      <c r="Q195">
        <f t="shared" ref="Q195" si="948">F195*P195</f>
        <v>421347358.72414142</v>
      </c>
      <c r="R195">
        <f t="shared" ref="R195" si="949">R196+Q195</f>
        <v>2968354444.7181993</v>
      </c>
      <c r="S195">
        <f t="shared" ref="S195" si="950">R195/100000</f>
        <v>29683.544447181994</v>
      </c>
      <c r="T195">
        <f t="shared" si="934"/>
        <v>29.683544447181994</v>
      </c>
    </row>
    <row r="196" spans="1:20" x14ac:dyDescent="0.25">
      <c r="A196" s="5">
        <v>44397</v>
      </c>
      <c r="B196">
        <v>0.73321999999999998</v>
      </c>
      <c r="C196">
        <v>0.73850000000000005</v>
      </c>
      <c r="D196">
        <v>0.621</v>
      </c>
      <c r="E196">
        <v>0.68891999999999998</v>
      </c>
      <c r="F196">
        <v>370871474.80000001</v>
      </c>
      <c r="G196">
        <v>0.68891999999999998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0.1560851063829779</v>
      </c>
      <c r="Q196">
        <f t="shared" ref="Q196" si="952">F196*P196</f>
        <v>57887513.598569907</v>
      </c>
      <c r="R196">
        <f t="shared" ref="R196" si="953">R197+Q196</f>
        <v>2547007085.9940577</v>
      </c>
      <c r="S196">
        <f t="shared" ref="S196" si="954">R196/100000</f>
        <v>25470.070859940577</v>
      </c>
      <c r="T196">
        <f t="shared" si="934"/>
        <v>25.470070859940577</v>
      </c>
    </row>
    <row r="197" spans="1:20" x14ac:dyDescent="0.25">
      <c r="A197" s="5">
        <v>44396</v>
      </c>
      <c r="B197">
        <v>0.79337000000000002</v>
      </c>
      <c r="C197">
        <v>0.8</v>
      </c>
      <c r="D197">
        <v>0.72836000000000001</v>
      </c>
      <c r="E197">
        <v>0.73285</v>
      </c>
      <c r="F197">
        <v>120374943.09999999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-0.87465103294249047</v>
      </c>
      <c r="Q197">
        <f t="shared" ref="Q197" si="956">F197*P197</f>
        <v>-105286068.3228085</v>
      </c>
      <c r="R197">
        <f t="shared" ref="R197" si="957">R198+Q197</f>
        <v>2489119572.3954878</v>
      </c>
      <c r="S197">
        <f t="shared" ref="S197" si="958">R197/100000</f>
        <v>24891.195723954879</v>
      </c>
      <c r="T197">
        <f t="shared" si="934"/>
        <v>24.89119572395488</v>
      </c>
    </row>
    <row r="198" spans="1:20" x14ac:dyDescent="0.25">
      <c r="A198" s="5">
        <v>44395</v>
      </c>
      <c r="B198">
        <v>0.80123999999999995</v>
      </c>
      <c r="C198">
        <v>0.85997999999999997</v>
      </c>
      <c r="D198">
        <v>0.78900000000000003</v>
      </c>
      <c r="E198">
        <v>0.79369999999999996</v>
      </c>
      <c r="F198">
        <v>116539208.3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-0.8675683291067926</v>
      </c>
      <c r="Q198">
        <f t="shared" ref="Q198:Q261" si="960">F198*P198</f>
        <v>-101105726.22025946</v>
      </c>
      <c r="R198">
        <f t="shared" ref="R198:R261" si="961">R199+Q198</f>
        <v>2594405640.7182961</v>
      </c>
      <c r="S198">
        <f t="shared" ref="S198:S261" si="962">R198/100000</f>
        <v>25944.056407182961</v>
      </c>
      <c r="T198">
        <f t="shared" ref="T198:T261" si="963">S198/1000</f>
        <v>25.944056407182963</v>
      </c>
    </row>
    <row r="199" spans="1:20" x14ac:dyDescent="0.25">
      <c r="A199" s="5">
        <v>44394</v>
      </c>
      <c r="B199">
        <v>0.81164000000000003</v>
      </c>
      <c r="C199">
        <v>0.82218999999999998</v>
      </c>
      <c r="D199">
        <v>0.78290000000000004</v>
      </c>
      <c r="E199">
        <v>0.80125999999999997</v>
      </c>
      <c r="F199">
        <v>128200443.59999999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-6.5411046067703649E-2</v>
      </c>
      <c r="Q199">
        <f t="shared" si="960"/>
        <v>-8385725.1222196426</v>
      </c>
      <c r="R199">
        <f t="shared" si="961"/>
        <v>2695511366.9385557</v>
      </c>
      <c r="S199">
        <f t="shared" si="962"/>
        <v>26955.113669385559</v>
      </c>
      <c r="T199">
        <f t="shared" si="963"/>
        <v>26.955113669385558</v>
      </c>
    </row>
    <row r="200" spans="1:20" x14ac:dyDescent="0.25">
      <c r="A200" s="5">
        <v>44393</v>
      </c>
      <c r="B200">
        <v>0.87895999999999996</v>
      </c>
      <c r="C200">
        <v>0.89741000000000004</v>
      </c>
      <c r="D200">
        <v>0.81</v>
      </c>
      <c r="E200">
        <v>0.81149000000000004</v>
      </c>
      <c r="F200">
        <v>122539550.40000001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-0.96590779087060996</v>
      </c>
      <c r="Q200">
        <f t="shared" si="960"/>
        <v>-118361906.42114177</v>
      </c>
      <c r="R200">
        <f t="shared" si="961"/>
        <v>2703897092.0607753</v>
      </c>
      <c r="S200">
        <f t="shared" si="962"/>
        <v>27038.970920607753</v>
      </c>
      <c r="T200">
        <f t="shared" si="963"/>
        <v>27.038970920607753</v>
      </c>
    </row>
    <row r="201" spans="1:20" x14ac:dyDescent="0.25">
      <c r="A201" s="5">
        <v>44392</v>
      </c>
      <c r="B201">
        <v>0.92939000000000005</v>
      </c>
      <c r="C201">
        <v>0.94567999999999997</v>
      </c>
      <c r="D201">
        <v>0.85724999999999996</v>
      </c>
      <c r="E201">
        <v>0.87912999999999997</v>
      </c>
      <c r="F201">
        <v>116311869.3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-0.50514531267669327</v>
      </c>
      <c r="Q201">
        <f t="shared" si="960"/>
        <v>-58754395.585559182</v>
      </c>
      <c r="R201">
        <f t="shared" si="961"/>
        <v>2822258998.4819169</v>
      </c>
      <c r="S201">
        <f t="shared" si="962"/>
        <v>28222.589984819169</v>
      </c>
      <c r="T201">
        <f t="shared" si="963"/>
        <v>28.222589984819169</v>
      </c>
    </row>
    <row r="202" spans="1:20" x14ac:dyDescent="0.25">
      <c r="A202" s="5">
        <v>44391</v>
      </c>
      <c r="B202">
        <v>0.94589000000000001</v>
      </c>
      <c r="C202">
        <v>0.96594000000000002</v>
      </c>
      <c r="D202">
        <v>0.86824000000000001</v>
      </c>
      <c r="E202">
        <v>0.92959000000000003</v>
      </c>
      <c r="F202">
        <v>157306893.09999999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0.25588536335721618</v>
      </c>
      <c r="Q202">
        <f t="shared" si="960"/>
        <v>40252531.499488264</v>
      </c>
      <c r="R202">
        <f t="shared" si="961"/>
        <v>2881013394.0674763</v>
      </c>
      <c r="S202">
        <f t="shared" si="962"/>
        <v>28810.133940674761</v>
      </c>
      <c r="T202">
        <f t="shared" si="963"/>
        <v>28.81013394067476</v>
      </c>
    </row>
    <row r="203" spans="1:20" x14ac:dyDescent="0.25">
      <c r="A203" s="5">
        <v>44390</v>
      </c>
      <c r="B203">
        <v>0.99485999999999997</v>
      </c>
      <c r="C203">
        <v>0.99573</v>
      </c>
      <c r="D203">
        <v>0.93666000000000005</v>
      </c>
      <c r="E203">
        <v>0.94572000000000001</v>
      </c>
      <c r="F203">
        <v>104117684.5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-0.69324530218385094</v>
      </c>
      <c r="Q203">
        <f t="shared" si="960"/>
        <v>-72179095.65388535</v>
      </c>
      <c r="R203">
        <f t="shared" si="961"/>
        <v>2840760862.5679879</v>
      </c>
      <c r="S203">
        <f t="shared" si="962"/>
        <v>28407.608625679881</v>
      </c>
      <c r="T203">
        <f t="shared" si="963"/>
        <v>28.407608625679881</v>
      </c>
    </row>
    <row r="204" spans="1:20" x14ac:dyDescent="0.25">
      <c r="A204" s="5">
        <v>44389</v>
      </c>
      <c r="B204">
        <v>1.0432399999999999</v>
      </c>
      <c r="C204">
        <v>1.0495000000000001</v>
      </c>
      <c r="D204">
        <v>0.96197999999999995</v>
      </c>
      <c r="E204">
        <v>0.99456</v>
      </c>
      <c r="F204">
        <v>115406267.90000001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-0.25548446069469843</v>
      </c>
      <c r="Q204">
        <f t="shared" si="960"/>
        <v>-29484508.115219388</v>
      </c>
      <c r="R204">
        <f t="shared" si="961"/>
        <v>2912939958.2218733</v>
      </c>
      <c r="S204">
        <f t="shared" si="962"/>
        <v>29129.399582218732</v>
      </c>
      <c r="T204">
        <f t="shared" si="963"/>
        <v>29.129399582218731</v>
      </c>
    </row>
    <row r="205" spans="1:20" x14ac:dyDescent="0.25">
      <c r="A205" s="5">
        <v>44388</v>
      </c>
      <c r="B205">
        <v>1.03009</v>
      </c>
      <c r="C205">
        <v>1.05989</v>
      </c>
      <c r="D205">
        <v>1.0202</v>
      </c>
      <c r="E205">
        <v>1.0423100000000001</v>
      </c>
      <c r="F205">
        <v>57655857.299999997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0.11413454270597492</v>
      </c>
      <c r="Q205">
        <f t="shared" si="960"/>
        <v>6580524.9072564458</v>
      </c>
      <c r="R205">
        <f t="shared" si="961"/>
        <v>2942424466.3370929</v>
      </c>
      <c r="S205">
        <f t="shared" si="962"/>
        <v>29424.24466337093</v>
      </c>
      <c r="T205">
        <f t="shared" si="963"/>
        <v>29.424244663370931</v>
      </c>
    </row>
    <row r="206" spans="1:20" x14ac:dyDescent="0.25">
      <c r="A206" s="5">
        <v>44387</v>
      </c>
      <c r="B206">
        <v>1.0515099999999999</v>
      </c>
      <c r="C206">
        <v>1.07165</v>
      </c>
      <c r="D206">
        <v>1.01905</v>
      </c>
      <c r="E206">
        <v>1.0302</v>
      </c>
      <c r="F206">
        <v>77935874.200000003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-0.57604562737642595</v>
      </c>
      <c r="Q206">
        <f t="shared" si="960"/>
        <v>-44894619.548669212</v>
      </c>
      <c r="R206">
        <f t="shared" si="961"/>
        <v>2935843941.4298363</v>
      </c>
      <c r="S206">
        <f t="shared" si="962"/>
        <v>29358.439414298362</v>
      </c>
      <c r="T206">
        <f t="shared" si="963"/>
        <v>29.358439414298363</v>
      </c>
    </row>
    <row r="207" spans="1:20" x14ac:dyDescent="0.25">
      <c r="A207" s="5">
        <v>44386</v>
      </c>
      <c r="B207">
        <v>1.04142</v>
      </c>
      <c r="C207">
        <v>1.0694999999999999</v>
      </c>
      <c r="D207">
        <v>1.00265</v>
      </c>
      <c r="E207">
        <v>1.052</v>
      </c>
      <c r="F207">
        <v>111501986.40000001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0.47643979057591962</v>
      </c>
      <c r="Q207">
        <f t="shared" si="960"/>
        <v>53123983.049215041</v>
      </c>
      <c r="R207">
        <f t="shared" si="961"/>
        <v>2980738560.9785056</v>
      </c>
      <c r="S207">
        <f t="shared" si="962"/>
        <v>29807.385609785055</v>
      </c>
      <c r="T207">
        <f t="shared" si="963"/>
        <v>29.807385609785054</v>
      </c>
    </row>
    <row r="208" spans="1:20" x14ac:dyDescent="0.25">
      <c r="A208" s="5">
        <v>44385</v>
      </c>
      <c r="B208">
        <v>1.12801</v>
      </c>
      <c r="C208">
        <v>1.13287</v>
      </c>
      <c r="D208">
        <v>1.0164</v>
      </c>
      <c r="E208">
        <v>1.04172</v>
      </c>
      <c r="F208">
        <v>147649631.40000001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-0.56520992530265313</v>
      </c>
      <c r="Q208">
        <f t="shared" si="960"/>
        <v>-83453037.134558275</v>
      </c>
      <c r="R208">
        <f t="shared" si="961"/>
        <v>2927614577.9292908</v>
      </c>
      <c r="S208">
        <f t="shared" si="962"/>
        <v>29276.145779292907</v>
      </c>
      <c r="T208">
        <f t="shared" si="963"/>
        <v>29.276145779292907</v>
      </c>
    </row>
    <row r="209" spans="1:20" x14ac:dyDescent="0.25">
      <c r="A209" s="5">
        <v>44384</v>
      </c>
      <c r="B209">
        <v>1.13028</v>
      </c>
      <c r="C209">
        <v>1.1775599999999999</v>
      </c>
      <c r="D209">
        <v>1.12503</v>
      </c>
      <c r="E209">
        <v>1.1279999999999999</v>
      </c>
      <c r="F209">
        <v>153052469.5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-0.88692175899486314</v>
      </c>
      <c r="Q209">
        <f t="shared" si="960"/>
        <v>-135745565.46744764</v>
      </c>
      <c r="R209">
        <f t="shared" si="961"/>
        <v>3011067615.063849</v>
      </c>
      <c r="S209">
        <f t="shared" si="962"/>
        <v>30110.67615063849</v>
      </c>
      <c r="T209">
        <f t="shared" si="963"/>
        <v>30.11067615063849</v>
      </c>
    </row>
    <row r="210" spans="1:20" x14ac:dyDescent="0.25">
      <c r="A210" s="5">
        <v>44383</v>
      </c>
      <c r="B210">
        <v>1.1005100000000001</v>
      </c>
      <c r="C210">
        <v>1.1648000000000001</v>
      </c>
      <c r="D210">
        <v>1.1000000000000001</v>
      </c>
      <c r="E210">
        <v>1.13028</v>
      </c>
      <c r="F210">
        <v>139315705.90000001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-6.5432098765435889E-2</v>
      </c>
      <c r="Q210">
        <f t="shared" si="960"/>
        <v>-9115719.0280252192</v>
      </c>
      <c r="R210">
        <f t="shared" si="961"/>
        <v>3146813180.5312967</v>
      </c>
      <c r="S210">
        <f t="shared" si="962"/>
        <v>31468.131805312969</v>
      </c>
      <c r="T210">
        <f t="shared" si="963"/>
        <v>31.468131805312968</v>
      </c>
    </row>
    <row r="211" spans="1:20" x14ac:dyDescent="0.25">
      <c r="A211" s="5">
        <v>44382</v>
      </c>
      <c r="B211">
        <v>1.1476900000000001</v>
      </c>
      <c r="C211">
        <v>1.1499900000000001</v>
      </c>
      <c r="D211">
        <v>1.08</v>
      </c>
      <c r="E211">
        <v>1.10063</v>
      </c>
      <c r="F211">
        <v>126985673.8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-0.41048721245892478</v>
      </c>
      <c r="Q211">
        <f t="shared" si="960"/>
        <v>-52125995.260380313</v>
      </c>
      <c r="R211">
        <f t="shared" si="961"/>
        <v>3155928899.5593219</v>
      </c>
      <c r="S211">
        <f t="shared" si="962"/>
        <v>31559.288995593219</v>
      </c>
      <c r="T211">
        <f t="shared" si="963"/>
        <v>31.559288995593217</v>
      </c>
    </row>
    <row r="212" spans="1:20" x14ac:dyDescent="0.25">
      <c r="A212" s="5">
        <v>44381</v>
      </c>
      <c r="B212">
        <v>1.11819</v>
      </c>
      <c r="C212">
        <v>1.17947</v>
      </c>
      <c r="D212">
        <v>1.09466</v>
      </c>
      <c r="E212">
        <v>1.14733</v>
      </c>
      <c r="F212">
        <v>132086411.3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0.24207051055299994</v>
      </c>
      <c r="Q212">
        <f t="shared" si="960"/>
        <v>31974225.020504538</v>
      </c>
      <c r="R212">
        <f t="shared" si="961"/>
        <v>3208054894.8197021</v>
      </c>
      <c r="S212">
        <f t="shared" si="962"/>
        <v>32080.548948197022</v>
      </c>
      <c r="T212">
        <f t="shared" si="963"/>
        <v>32.08054894819702</v>
      </c>
    </row>
    <row r="213" spans="1:20" x14ac:dyDescent="0.25">
      <c r="A213" s="5">
        <v>44380</v>
      </c>
      <c r="B213">
        <v>1.1020099999999999</v>
      </c>
      <c r="C213">
        <v>1.1465000000000001</v>
      </c>
      <c r="D213">
        <v>1.0792999999999999</v>
      </c>
      <c r="E213">
        <v>1.11802</v>
      </c>
      <c r="F213">
        <v>118486894.7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0.15238095238095245</v>
      </c>
      <c r="Q213">
        <f t="shared" si="960"/>
        <v>18055145.859047629</v>
      </c>
      <c r="R213">
        <f t="shared" si="961"/>
        <v>3176080669.7991977</v>
      </c>
      <c r="S213">
        <f t="shared" si="962"/>
        <v>31760.806697991975</v>
      </c>
      <c r="T213">
        <f t="shared" si="963"/>
        <v>31.760806697991974</v>
      </c>
    </row>
    <row r="214" spans="1:20" x14ac:dyDescent="0.25">
      <c r="A214" s="5">
        <v>44379</v>
      </c>
      <c r="B214">
        <v>1.0727500000000001</v>
      </c>
      <c r="C214">
        <v>1.1098399999999999</v>
      </c>
      <c r="D214">
        <v>1.04264</v>
      </c>
      <c r="E214">
        <v>1.10263</v>
      </c>
      <c r="F214">
        <v>126537636.7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0.78541666666666821</v>
      </c>
      <c r="Q214">
        <f t="shared" si="960"/>
        <v>99384768.824791864</v>
      </c>
      <c r="R214">
        <f t="shared" si="961"/>
        <v>3158025523.9401503</v>
      </c>
      <c r="S214">
        <f t="shared" si="962"/>
        <v>31580.255239401504</v>
      </c>
      <c r="T214">
        <f t="shared" si="963"/>
        <v>31.580255239401502</v>
      </c>
    </row>
    <row r="215" spans="1:20" x14ac:dyDescent="0.25">
      <c r="A215" s="5">
        <v>44378</v>
      </c>
      <c r="B215">
        <v>1.1687399999999999</v>
      </c>
      <c r="C215">
        <v>1.1694100000000001</v>
      </c>
      <c r="D215">
        <v>1.0598700000000001</v>
      </c>
      <c r="E215">
        <v>1.0727500000000001</v>
      </c>
      <c r="F215">
        <v>151549036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-0.76483476355669155</v>
      </c>
      <c r="Q215">
        <f t="shared" si="960"/>
        <v>-115909971.11630453</v>
      </c>
      <c r="R215">
        <f t="shared" si="961"/>
        <v>3058640755.1153584</v>
      </c>
      <c r="S215">
        <f t="shared" si="962"/>
        <v>30586.407551153585</v>
      </c>
      <c r="T215">
        <f t="shared" si="963"/>
        <v>30.586407551153584</v>
      </c>
    </row>
    <row r="216" spans="1:20" x14ac:dyDescent="0.25">
      <c r="A216" s="5">
        <v>44377</v>
      </c>
      <c r="B216">
        <v>1.1722300000000001</v>
      </c>
      <c r="C216">
        <v>1.18157</v>
      </c>
      <c r="D216">
        <v>1.0793299999999999</v>
      </c>
      <c r="E216">
        <v>1.1687799999999999</v>
      </c>
      <c r="F216">
        <v>217466755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0.74980438184663412</v>
      </c>
      <c r="Q216">
        <f t="shared" si="960"/>
        <v>163057525.80496842</v>
      </c>
      <c r="R216">
        <f t="shared" si="961"/>
        <v>3174550726.2316628</v>
      </c>
      <c r="S216">
        <f t="shared" si="962"/>
        <v>31745.507262316627</v>
      </c>
      <c r="T216">
        <f t="shared" si="963"/>
        <v>31.745507262316629</v>
      </c>
    </row>
    <row r="217" spans="1:20" x14ac:dyDescent="0.25">
      <c r="A217" s="5">
        <v>44376</v>
      </c>
      <c r="B217">
        <v>1.1209499999999999</v>
      </c>
      <c r="C217">
        <v>1.2498499999999999</v>
      </c>
      <c r="D217">
        <v>1.115</v>
      </c>
      <c r="E217">
        <v>1.1719299999999999</v>
      </c>
      <c r="F217">
        <v>284862170.39999998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-0.15565443084909217</v>
      </c>
      <c r="Q217">
        <f t="shared" si="960"/>
        <v>-44340059.004049107</v>
      </c>
      <c r="R217">
        <f t="shared" si="961"/>
        <v>3011493200.4266944</v>
      </c>
      <c r="S217">
        <f t="shared" si="962"/>
        <v>30114.932004266942</v>
      </c>
      <c r="T217">
        <f t="shared" si="963"/>
        <v>30.114932004266944</v>
      </c>
    </row>
    <row r="218" spans="1:20" x14ac:dyDescent="0.25">
      <c r="A218" s="5">
        <v>44375</v>
      </c>
      <c r="B218">
        <v>1.11408</v>
      </c>
      <c r="C218">
        <v>1.1651800000000001</v>
      </c>
      <c r="D218">
        <v>1.0863700000000001</v>
      </c>
      <c r="E218">
        <v>1.1209499999999999</v>
      </c>
      <c r="F218">
        <v>218281146.40000001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-0.12244639005202861</v>
      </c>
      <c r="Q218">
        <f t="shared" si="960"/>
        <v>-26727738.393098362</v>
      </c>
      <c r="R218">
        <f t="shared" si="961"/>
        <v>3055833259.4307437</v>
      </c>
      <c r="S218">
        <f t="shared" si="962"/>
        <v>30558.332594307438</v>
      </c>
      <c r="T218">
        <f t="shared" si="963"/>
        <v>30.558332594307437</v>
      </c>
    </row>
    <row r="219" spans="1:20" x14ac:dyDescent="0.25">
      <c r="A219" s="5">
        <v>44374</v>
      </c>
      <c r="B219">
        <v>1.0769899999999999</v>
      </c>
      <c r="C219">
        <v>1.1143799999999999</v>
      </c>
      <c r="D219">
        <v>1.0341100000000001</v>
      </c>
      <c r="E219">
        <v>1.1137600000000001</v>
      </c>
      <c r="F219">
        <v>210798965.69999999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0.98455213653918416</v>
      </c>
      <c r="Q219">
        <f t="shared" si="960"/>
        <v>207542572.06018519</v>
      </c>
      <c r="R219">
        <f t="shared" si="961"/>
        <v>3082560997.823842</v>
      </c>
      <c r="S219">
        <f t="shared" si="962"/>
        <v>30825.609978238419</v>
      </c>
      <c r="T219">
        <f t="shared" si="963"/>
        <v>30.825609978238418</v>
      </c>
    </row>
    <row r="220" spans="1:20" x14ac:dyDescent="0.25">
      <c r="A220" s="5">
        <v>44373</v>
      </c>
      <c r="B220">
        <v>1.0398099999999999</v>
      </c>
      <c r="C220">
        <v>1.1036999999999999</v>
      </c>
      <c r="D220">
        <v>1.0053099999999999</v>
      </c>
      <c r="E220">
        <v>1.0769899999999999</v>
      </c>
      <c r="F220">
        <v>236630568.19999999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0.45705864417115527</v>
      </c>
      <c r="Q220">
        <f t="shared" si="960"/>
        <v>108154046.67094208</v>
      </c>
      <c r="R220">
        <f t="shared" si="961"/>
        <v>2875018425.7636566</v>
      </c>
      <c r="S220">
        <f t="shared" si="962"/>
        <v>28750.184257636567</v>
      </c>
      <c r="T220">
        <f t="shared" si="963"/>
        <v>28.750184257636565</v>
      </c>
    </row>
    <row r="221" spans="1:20" x14ac:dyDescent="0.25">
      <c r="A221" s="5">
        <v>44372</v>
      </c>
      <c r="B221">
        <v>1.20241</v>
      </c>
      <c r="C221">
        <v>1.2344999999999999</v>
      </c>
      <c r="D221">
        <v>1.0367999999999999</v>
      </c>
      <c r="E221">
        <v>1.03904</v>
      </c>
      <c r="F221">
        <v>308460097.30000001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-0.97733940313606449</v>
      </c>
      <c r="Q221">
        <f t="shared" si="960"/>
        <v>-301470207.38647437</v>
      </c>
      <c r="R221">
        <f t="shared" si="961"/>
        <v>2766864379.0927143</v>
      </c>
      <c r="S221">
        <f t="shared" si="962"/>
        <v>27668.643790927144</v>
      </c>
      <c r="T221">
        <f t="shared" si="963"/>
        <v>27.668643790927145</v>
      </c>
    </row>
    <row r="222" spans="1:20" x14ac:dyDescent="0.25">
      <c r="A222" s="5">
        <v>44371</v>
      </c>
      <c r="B222">
        <v>1.1770700000000001</v>
      </c>
      <c r="C222">
        <v>1.24</v>
      </c>
      <c r="D222">
        <v>1.1341000000000001</v>
      </c>
      <c r="E222">
        <v>1.2022699999999999</v>
      </c>
      <c r="F222">
        <v>263877652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0.28744098205854424</v>
      </c>
      <c r="Q222">
        <f t="shared" si="960"/>
        <v>75849251.434182778</v>
      </c>
      <c r="R222">
        <f t="shared" si="961"/>
        <v>3068334586.4791889</v>
      </c>
      <c r="S222">
        <f t="shared" si="962"/>
        <v>30683.345864791889</v>
      </c>
      <c r="T222">
        <f t="shared" si="963"/>
        <v>30.683345864791889</v>
      </c>
    </row>
    <row r="223" spans="1:20" x14ac:dyDescent="0.25">
      <c r="A223" s="5">
        <v>44370</v>
      </c>
      <c r="B223">
        <v>1.0750299999999999</v>
      </c>
      <c r="C223">
        <v>1.25</v>
      </c>
      <c r="D223">
        <v>1.0270999999999999</v>
      </c>
      <c r="E223">
        <v>1.1764600000000001</v>
      </c>
      <c r="F223">
        <v>436699313.80000001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0.34015253476895552</v>
      </c>
      <c r="Q223">
        <f t="shared" si="960"/>
        <v>148544378.52093351</v>
      </c>
      <c r="R223">
        <f t="shared" si="961"/>
        <v>2992485335.0450063</v>
      </c>
      <c r="S223">
        <f t="shared" si="962"/>
        <v>29924.853350450063</v>
      </c>
      <c r="T223">
        <f t="shared" si="963"/>
        <v>29.924853350450064</v>
      </c>
    </row>
    <row r="224" spans="1:20" x14ac:dyDescent="0.25">
      <c r="A224" s="5">
        <v>44369</v>
      </c>
      <c r="B224">
        <v>1.09802</v>
      </c>
      <c r="C224">
        <v>1.23821</v>
      </c>
      <c r="D224">
        <v>0.92800000000000005</v>
      </c>
      <c r="E224">
        <v>1.07596</v>
      </c>
      <c r="F224">
        <v>871420354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-4.6065568485864496E-2</v>
      </c>
      <c r="Q224">
        <f t="shared" si="960"/>
        <v>-40142473.997163281</v>
      </c>
      <c r="R224">
        <f t="shared" si="961"/>
        <v>2843940956.5240726</v>
      </c>
      <c r="S224">
        <f t="shared" si="962"/>
        <v>28439.409565240727</v>
      </c>
      <c r="T224">
        <f t="shared" si="963"/>
        <v>28.439409565240727</v>
      </c>
    </row>
    <row r="225" spans="1:20" x14ac:dyDescent="0.25">
      <c r="A225" s="5">
        <v>44368</v>
      </c>
      <c r="B225">
        <v>1.3985799999999999</v>
      </c>
      <c r="C225">
        <v>1.41083</v>
      </c>
      <c r="D225">
        <v>1.08266</v>
      </c>
      <c r="E225">
        <v>1.0980700000000001</v>
      </c>
      <c r="F225">
        <v>477073488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-0.90608526068805717</v>
      </c>
      <c r="Q225">
        <f t="shared" si="960"/>
        <v>-432269255.74184072</v>
      </c>
      <c r="R225">
        <f t="shared" si="961"/>
        <v>2884083430.5212359</v>
      </c>
      <c r="S225">
        <f t="shared" si="962"/>
        <v>28840.83430521236</v>
      </c>
      <c r="T225">
        <f t="shared" si="963"/>
        <v>28.840834305212361</v>
      </c>
    </row>
    <row r="226" spans="1:20" x14ac:dyDescent="0.25">
      <c r="A226" s="5">
        <v>44367</v>
      </c>
      <c r="B226">
        <v>1.3585799999999999</v>
      </c>
      <c r="C226">
        <v>1.43821</v>
      </c>
      <c r="D226">
        <v>1.2805500000000001</v>
      </c>
      <c r="E226">
        <v>1.3981399999999999</v>
      </c>
      <c r="F226">
        <v>258404841.59999999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0.49169098059114458</v>
      </c>
      <c r="Q226">
        <f t="shared" si="960"/>
        <v>127055329.95580338</v>
      </c>
      <c r="R226">
        <f t="shared" si="961"/>
        <v>3316352686.2630768</v>
      </c>
      <c r="S226">
        <f t="shared" si="962"/>
        <v>33163.526862630766</v>
      </c>
      <c r="T226">
        <f t="shared" si="963"/>
        <v>33.163526862630768</v>
      </c>
    </row>
    <row r="227" spans="1:20" x14ac:dyDescent="0.25">
      <c r="A227" s="5">
        <v>44366</v>
      </c>
      <c r="B227">
        <v>1.3797200000000001</v>
      </c>
      <c r="C227">
        <v>1.4325699999999999</v>
      </c>
      <c r="D227">
        <v>1.3483499999999999</v>
      </c>
      <c r="E227">
        <v>1.35812</v>
      </c>
      <c r="F227">
        <v>231250441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-0.76798860128235424</v>
      </c>
      <c r="Q227">
        <f t="shared" si="960"/>
        <v>-177597702.72951758</v>
      </c>
      <c r="R227">
        <f t="shared" si="961"/>
        <v>3189297356.3072734</v>
      </c>
      <c r="S227">
        <f t="shared" si="962"/>
        <v>31892.973563072734</v>
      </c>
      <c r="T227">
        <f t="shared" si="963"/>
        <v>31.892973563072733</v>
      </c>
    </row>
    <row r="228" spans="1:20" x14ac:dyDescent="0.25">
      <c r="A228" s="5">
        <v>44365</v>
      </c>
      <c r="B228">
        <v>1.5032399999999999</v>
      </c>
      <c r="C228">
        <v>1.514</v>
      </c>
      <c r="D228">
        <v>1.3030200000000001</v>
      </c>
      <c r="E228">
        <v>1.38</v>
      </c>
      <c r="F228">
        <v>320044401.60000002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-0.27026258413119875</v>
      </c>
      <c r="Q228">
        <f t="shared" si="960"/>
        <v>-86496027.013139158</v>
      </c>
      <c r="R228">
        <f t="shared" si="961"/>
        <v>3366895059.0367908</v>
      </c>
      <c r="S228">
        <f t="shared" si="962"/>
        <v>33668.950590367909</v>
      </c>
      <c r="T228">
        <f t="shared" si="963"/>
        <v>33.668950590367906</v>
      </c>
    </row>
    <row r="229" spans="1:20" x14ac:dyDescent="0.25">
      <c r="A229" s="5">
        <v>44364</v>
      </c>
      <c r="B229">
        <v>1.47892</v>
      </c>
      <c r="C229">
        <v>1.5582400000000001</v>
      </c>
      <c r="D229">
        <v>1.4533100000000001</v>
      </c>
      <c r="E229">
        <v>1.5032399999999999</v>
      </c>
      <c r="F229">
        <v>265325604.40000001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-4.8317926236542012E-2</v>
      </c>
      <c r="Q229">
        <f t="shared" si="960"/>
        <v>-12819982.982065126</v>
      </c>
      <c r="R229">
        <f t="shared" si="961"/>
        <v>3453391086.0499301</v>
      </c>
      <c r="S229">
        <f t="shared" si="962"/>
        <v>34533.910860499302</v>
      </c>
      <c r="T229">
        <f t="shared" si="963"/>
        <v>34.533910860499304</v>
      </c>
    </row>
    <row r="230" spans="1:20" x14ac:dyDescent="0.25">
      <c r="A230" s="5">
        <v>44363</v>
      </c>
      <c r="B230">
        <v>1.6278699999999999</v>
      </c>
      <c r="C230">
        <v>1.6398900000000001</v>
      </c>
      <c r="D230">
        <v>1.44764</v>
      </c>
      <c r="E230">
        <v>1.4785999999999999</v>
      </c>
      <c r="F230">
        <v>356518743.60000002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-0.6779193758127452</v>
      </c>
      <c r="Q230">
        <f t="shared" si="960"/>
        <v>-241690964.12685615</v>
      </c>
      <c r="R230">
        <f t="shared" si="961"/>
        <v>3466211069.0319953</v>
      </c>
      <c r="S230">
        <f t="shared" si="962"/>
        <v>34662.110690319954</v>
      </c>
      <c r="T230">
        <f t="shared" si="963"/>
        <v>34.662110690319956</v>
      </c>
    </row>
    <row r="231" spans="1:20" x14ac:dyDescent="0.25">
      <c r="A231" s="5">
        <v>44362</v>
      </c>
      <c r="B231">
        <v>1.54793</v>
      </c>
      <c r="C231">
        <v>1.71</v>
      </c>
      <c r="D231">
        <v>1.5329999999999999</v>
      </c>
      <c r="E231">
        <v>1.6286799999999999</v>
      </c>
      <c r="F231">
        <v>504587100.80000001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8.1129943502824431E-2</v>
      </c>
      <c r="Q231">
        <f t="shared" si="960"/>
        <v>40937122.980157979</v>
      </c>
      <c r="R231">
        <f t="shared" si="961"/>
        <v>3707902033.1588516</v>
      </c>
      <c r="S231">
        <f t="shared" si="962"/>
        <v>37079.020331588516</v>
      </c>
      <c r="T231">
        <f t="shared" si="963"/>
        <v>37.079020331588517</v>
      </c>
    </row>
    <row r="232" spans="1:20" x14ac:dyDescent="0.25">
      <c r="A232" s="5">
        <v>44361</v>
      </c>
      <c r="B232">
        <v>1.46641</v>
      </c>
      <c r="C232">
        <v>1.6</v>
      </c>
      <c r="D232">
        <v>1.4134899999999999</v>
      </c>
      <c r="E232">
        <v>1.5473699999999999</v>
      </c>
      <c r="F232">
        <v>372135319.19999999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0.43563347809768777</v>
      </c>
      <c r="Q232">
        <f t="shared" si="960"/>
        <v>162114603.42608923</v>
      </c>
      <c r="R232">
        <f t="shared" si="961"/>
        <v>3666964910.1786938</v>
      </c>
      <c r="S232">
        <f t="shared" si="962"/>
        <v>36669.649101786941</v>
      </c>
      <c r="T232">
        <f t="shared" si="963"/>
        <v>36.669649101786938</v>
      </c>
    </row>
    <row r="233" spans="1:20" x14ac:dyDescent="0.25">
      <c r="A233" s="5">
        <v>44360</v>
      </c>
      <c r="B233">
        <v>1.33717</v>
      </c>
      <c r="C233">
        <v>1.4935</v>
      </c>
      <c r="D233">
        <v>1.31132</v>
      </c>
      <c r="E233">
        <v>1.46641</v>
      </c>
      <c r="F233">
        <v>390005058.60000002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0.70260182237347613</v>
      </c>
      <c r="Q233">
        <f t="shared" si="960"/>
        <v>274018264.90723437</v>
      </c>
      <c r="R233">
        <f t="shared" si="961"/>
        <v>3504850306.7526045</v>
      </c>
      <c r="S233">
        <f t="shared" si="962"/>
        <v>35048.503067526042</v>
      </c>
      <c r="T233">
        <f t="shared" si="963"/>
        <v>35.048503067526042</v>
      </c>
    </row>
    <row r="234" spans="1:20" x14ac:dyDescent="0.25">
      <c r="A234" s="5">
        <v>44359</v>
      </c>
      <c r="B234">
        <v>1.2502</v>
      </c>
      <c r="C234">
        <v>1.3987799999999999</v>
      </c>
      <c r="D234">
        <v>1.1599999999999999</v>
      </c>
      <c r="E234">
        <v>1.33727</v>
      </c>
      <c r="F234">
        <v>426962681.60000002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0.48479772175224095</v>
      </c>
      <c r="Q234">
        <f t="shared" si="960"/>
        <v>206990535.31290746</v>
      </c>
      <c r="R234">
        <f t="shared" si="961"/>
        <v>3230832041.8453703</v>
      </c>
      <c r="S234">
        <f t="shared" si="962"/>
        <v>32308.320418453703</v>
      </c>
      <c r="T234">
        <f t="shared" si="963"/>
        <v>32.308320418453704</v>
      </c>
    </row>
    <row r="235" spans="1:20" x14ac:dyDescent="0.25">
      <c r="A235" s="5">
        <v>44358</v>
      </c>
      <c r="B235">
        <v>1.36259</v>
      </c>
      <c r="C235">
        <v>1.38304</v>
      </c>
      <c r="D235">
        <v>1.23</v>
      </c>
      <c r="E235">
        <v>1.2506999999999999</v>
      </c>
      <c r="F235">
        <v>246762987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-0.72948248823836992</v>
      </c>
      <c r="Q235">
        <f t="shared" si="960"/>
        <v>-180009277.76189253</v>
      </c>
      <c r="R235">
        <f t="shared" si="961"/>
        <v>3023841506.5324626</v>
      </c>
      <c r="S235">
        <f t="shared" si="962"/>
        <v>30238.415065324625</v>
      </c>
      <c r="T235">
        <f t="shared" si="963"/>
        <v>30.238415065324624</v>
      </c>
    </row>
    <row r="236" spans="1:20" x14ac:dyDescent="0.25">
      <c r="A236" s="5">
        <v>44357</v>
      </c>
      <c r="B236">
        <v>1.4903200000000001</v>
      </c>
      <c r="C236">
        <v>1.4999</v>
      </c>
      <c r="D236">
        <v>1.35222</v>
      </c>
      <c r="E236">
        <v>1.36286</v>
      </c>
      <c r="F236">
        <v>274048314.80000001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-0.85590465872156041</v>
      </c>
      <c r="Q236">
        <f t="shared" si="960"/>
        <v>-234559229.35211277</v>
      </c>
      <c r="R236">
        <f t="shared" si="961"/>
        <v>3203850784.2943549</v>
      </c>
      <c r="S236">
        <f t="shared" si="962"/>
        <v>32038.507842943549</v>
      </c>
      <c r="T236">
        <f t="shared" si="963"/>
        <v>32.038507842943552</v>
      </c>
    </row>
    <row r="237" spans="1:20" x14ac:dyDescent="0.25">
      <c r="A237" s="5">
        <v>44356</v>
      </c>
      <c r="B237">
        <v>1.4793400000000001</v>
      </c>
      <c r="C237">
        <v>1.53379</v>
      </c>
      <c r="D237">
        <v>1.35222</v>
      </c>
      <c r="E237">
        <v>1.4903299999999999</v>
      </c>
      <c r="F237">
        <v>452418224.80000001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0.52128655614914299</v>
      </c>
      <c r="Q237">
        <f t="shared" si="960"/>
        <v>235839538.34510079</v>
      </c>
      <c r="R237">
        <f t="shared" si="961"/>
        <v>3438410013.6464677</v>
      </c>
      <c r="S237">
        <f t="shared" si="962"/>
        <v>34384.10013646468</v>
      </c>
      <c r="T237">
        <f t="shared" si="963"/>
        <v>34.384100136464681</v>
      </c>
    </row>
    <row r="238" spans="1:20" x14ac:dyDescent="0.25">
      <c r="A238" s="5">
        <v>44355</v>
      </c>
      <c r="B238">
        <v>1.48529</v>
      </c>
      <c r="C238">
        <v>1.5240800000000001</v>
      </c>
      <c r="D238">
        <v>1.27644</v>
      </c>
      <c r="E238">
        <v>1.4793099999999999</v>
      </c>
      <c r="F238">
        <v>627472738.39999998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0.6384267485058942</v>
      </c>
      <c r="Q238">
        <f t="shared" si="960"/>
        <v>400595380.15280151</v>
      </c>
      <c r="R238">
        <f t="shared" si="961"/>
        <v>3202570475.3013668</v>
      </c>
      <c r="S238">
        <f t="shared" si="962"/>
        <v>32025.70475301367</v>
      </c>
      <c r="T238">
        <f t="shared" si="963"/>
        <v>32.02570475301367</v>
      </c>
    </row>
    <row r="239" spans="1:20" x14ac:dyDescent="0.25">
      <c r="A239" s="5">
        <v>44354</v>
      </c>
      <c r="B239">
        <v>1.58158</v>
      </c>
      <c r="C239">
        <v>1.728</v>
      </c>
      <c r="D239">
        <v>1.456</v>
      </c>
      <c r="E239">
        <v>1.48478</v>
      </c>
      <c r="F239">
        <v>450188736.89999998</v>
      </c>
      <c r="G239">
        <v>0</v>
      </c>
      <c r="L239" t="s">
        <v>8</v>
      </c>
      <c r="M239" t="s">
        <v>8</v>
      </c>
      <c r="N239" t="s">
        <v>7</v>
      </c>
      <c r="P239">
        <f t="shared" si="959"/>
        <v>-0.78838235294117631</v>
      </c>
      <c r="Q239">
        <f t="shared" si="960"/>
        <v>-354920855.66483814</v>
      </c>
      <c r="R239">
        <f t="shared" si="961"/>
        <v>2801975095.1485653</v>
      </c>
      <c r="S239">
        <f t="shared" si="962"/>
        <v>28019.750951485654</v>
      </c>
      <c r="T239">
        <f t="shared" si="963"/>
        <v>28.019750951485655</v>
      </c>
    </row>
    <row r="240" spans="1:20" x14ac:dyDescent="0.25">
      <c r="A240" s="5">
        <v>44353</v>
      </c>
      <c r="B240">
        <v>1.5272300000000001</v>
      </c>
      <c r="C240">
        <v>1.5912599999999999</v>
      </c>
      <c r="D240">
        <v>1.5108999999999999</v>
      </c>
      <c r="E240">
        <v>1.58189</v>
      </c>
      <c r="F240">
        <v>218352782.30000001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0.76679940268790747</v>
      </c>
      <c r="Q240">
        <f t="shared" si="960"/>
        <v>167432783.04288271</v>
      </c>
      <c r="R240">
        <f t="shared" si="961"/>
        <v>3156895950.8134036</v>
      </c>
      <c r="S240">
        <f t="shared" si="962"/>
        <v>31568.959508134038</v>
      </c>
      <c r="T240">
        <f t="shared" si="963"/>
        <v>31.568959508134039</v>
      </c>
    </row>
    <row r="241" spans="1:20" x14ac:dyDescent="0.25">
      <c r="A241" s="5">
        <v>44352</v>
      </c>
      <c r="B241">
        <v>1.6312599999999999</v>
      </c>
      <c r="C241">
        <v>1.6970000000000001</v>
      </c>
      <c r="D241">
        <v>1.4413800000000001</v>
      </c>
      <c r="E241">
        <v>1.5266500000000001</v>
      </c>
      <c r="F241">
        <v>335352372.89999998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-0.33283780611845731</v>
      </c>
      <c r="Q241">
        <f t="shared" si="960"/>
        <v>-111617948.07265478</v>
      </c>
      <c r="R241">
        <f t="shared" si="961"/>
        <v>2989463167.7705207</v>
      </c>
      <c r="S241">
        <f t="shared" si="962"/>
        <v>29894.631677705205</v>
      </c>
      <c r="T241">
        <f t="shared" si="963"/>
        <v>29.894631677705206</v>
      </c>
    </row>
    <row r="242" spans="1:20" x14ac:dyDescent="0.25">
      <c r="A242" s="5">
        <v>44351</v>
      </c>
      <c r="B242">
        <v>1.8243400000000001</v>
      </c>
      <c r="C242">
        <v>1.825</v>
      </c>
      <c r="D242">
        <v>1.55009</v>
      </c>
      <c r="E242">
        <v>1.6302399999999999</v>
      </c>
      <c r="F242">
        <v>533838609.60000002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-0.41690007638863669</v>
      </c>
      <c r="Q242">
        <f t="shared" si="960"/>
        <v>-222557357.1214436</v>
      </c>
      <c r="R242">
        <f t="shared" si="961"/>
        <v>3101081115.8431754</v>
      </c>
      <c r="S242">
        <f t="shared" si="962"/>
        <v>31010.811158431756</v>
      </c>
      <c r="T242">
        <f t="shared" si="963"/>
        <v>31.010811158431757</v>
      </c>
    </row>
    <row r="243" spans="1:20" x14ac:dyDescent="0.25">
      <c r="A243" s="5">
        <v>44350</v>
      </c>
      <c r="B243">
        <v>1.7991299999999999</v>
      </c>
      <c r="C243">
        <v>1.885</v>
      </c>
      <c r="D243">
        <v>1.7609999999999999</v>
      </c>
      <c r="E243">
        <v>1.8243400000000001</v>
      </c>
      <c r="F243">
        <v>311112075.60000002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2.161290322580835E-2</v>
      </c>
      <c r="Q243">
        <f t="shared" si="960"/>
        <v>6724035.1823231718</v>
      </c>
      <c r="R243">
        <f t="shared" si="961"/>
        <v>3323638472.9646192</v>
      </c>
      <c r="S243">
        <f t="shared" si="962"/>
        <v>33236.38472964619</v>
      </c>
      <c r="T243">
        <f t="shared" si="963"/>
        <v>33.23638472964619</v>
      </c>
    </row>
    <row r="244" spans="1:20" x14ac:dyDescent="0.25">
      <c r="A244" s="5">
        <v>44349</v>
      </c>
      <c r="B244">
        <v>1.8249200000000001</v>
      </c>
      <c r="C244">
        <v>1.89</v>
      </c>
      <c r="D244">
        <v>1.7496</v>
      </c>
      <c r="E244">
        <v>1.7996000000000001</v>
      </c>
      <c r="F244">
        <v>363997932.60000002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-0.28774928774928638</v>
      </c>
      <c r="Q244">
        <f t="shared" si="960"/>
        <v>-104740145.84786275</v>
      </c>
      <c r="R244">
        <f t="shared" si="961"/>
        <v>3316914437.7822962</v>
      </c>
      <c r="S244">
        <f t="shared" si="962"/>
        <v>33169.144377822959</v>
      </c>
      <c r="T244">
        <f t="shared" si="963"/>
        <v>33.16914437782296</v>
      </c>
    </row>
    <row r="245" spans="1:20" x14ac:dyDescent="0.25">
      <c r="A245" s="5">
        <v>44348</v>
      </c>
      <c r="B245">
        <v>1.87147</v>
      </c>
      <c r="C245">
        <v>1.9852000000000001</v>
      </c>
      <c r="D245">
        <v>1.7614000000000001</v>
      </c>
      <c r="E245">
        <v>1.8248500000000001</v>
      </c>
      <c r="F245">
        <v>490146867.5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-0.43297587131367288</v>
      </c>
      <c r="Q245">
        <f t="shared" si="960"/>
        <v>-212221767.02747986</v>
      </c>
      <c r="R245">
        <f t="shared" si="961"/>
        <v>3421654583.6301589</v>
      </c>
      <c r="S245">
        <f t="shared" si="962"/>
        <v>34216.545836301586</v>
      </c>
      <c r="T245">
        <f t="shared" si="963"/>
        <v>34.216545836301584</v>
      </c>
    </row>
    <row r="246" spans="1:20" x14ac:dyDescent="0.25">
      <c r="A246" s="5">
        <v>44347</v>
      </c>
      <c r="B246">
        <v>1.86425</v>
      </c>
      <c r="C246">
        <v>1.9356500000000001</v>
      </c>
      <c r="D246">
        <v>1.744</v>
      </c>
      <c r="E246">
        <v>1.8712599999999999</v>
      </c>
      <c r="F246">
        <v>678672722.79999995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0.32804591703626262</v>
      </c>
      <c r="Q246">
        <f t="shared" si="960"/>
        <v>222635815.71842325</v>
      </c>
      <c r="R246">
        <f t="shared" si="961"/>
        <v>3633876350.6576385</v>
      </c>
      <c r="S246">
        <f t="shared" si="962"/>
        <v>36338.763506576382</v>
      </c>
      <c r="T246">
        <f t="shared" si="963"/>
        <v>36.338763506576385</v>
      </c>
    </row>
    <row r="247" spans="1:20" x14ac:dyDescent="0.25">
      <c r="A247" s="5">
        <v>44346</v>
      </c>
      <c r="B247">
        <v>1.69563</v>
      </c>
      <c r="C247">
        <v>1.9721</v>
      </c>
      <c r="D247">
        <v>1.5481499999999999</v>
      </c>
      <c r="E247">
        <v>1.8643700000000001</v>
      </c>
      <c r="F247">
        <v>915474203.29999995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0.49177969100129793</v>
      </c>
      <c r="Q247">
        <f t="shared" si="960"/>
        <v>450211620.81853336</v>
      </c>
      <c r="R247">
        <f t="shared" si="961"/>
        <v>3411240534.9392152</v>
      </c>
      <c r="S247">
        <f t="shared" si="962"/>
        <v>34112.405349392153</v>
      </c>
      <c r="T247">
        <f t="shared" si="963"/>
        <v>34.112405349392155</v>
      </c>
    </row>
    <row r="248" spans="1:20" x14ac:dyDescent="0.25">
      <c r="A248" s="5">
        <v>44345</v>
      </c>
      <c r="B248">
        <v>1.8170500000000001</v>
      </c>
      <c r="C248">
        <v>1.9071499999999999</v>
      </c>
      <c r="D248">
        <v>1.51495</v>
      </c>
      <c r="E248">
        <v>1.69553</v>
      </c>
      <c r="F248">
        <v>855389320.79999995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-7.9143294237633777E-2</v>
      </c>
      <c r="Q248">
        <f t="shared" si="960"/>
        <v>-67698328.703804106</v>
      </c>
      <c r="R248">
        <f t="shared" si="961"/>
        <v>2961028914.1206818</v>
      </c>
      <c r="S248">
        <f t="shared" si="962"/>
        <v>29610.289141206817</v>
      </c>
      <c r="T248">
        <f t="shared" si="963"/>
        <v>29.610289141206817</v>
      </c>
    </row>
    <row r="249" spans="1:20" x14ac:dyDescent="0.25">
      <c r="A249" s="5">
        <v>44344</v>
      </c>
      <c r="B249">
        <v>2.0387400000000002</v>
      </c>
      <c r="C249">
        <v>2.0609999999999999</v>
      </c>
      <c r="D249">
        <v>1.6633</v>
      </c>
      <c r="E249">
        <v>1.81759</v>
      </c>
      <c r="F249">
        <v>1169728147.4000001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-0.22408850892632606</v>
      </c>
      <c r="Q249">
        <f t="shared" si="960"/>
        <v>-262122636.40001976</v>
      </c>
      <c r="R249">
        <f t="shared" si="961"/>
        <v>3028727242.8244858</v>
      </c>
      <c r="S249">
        <f t="shared" si="962"/>
        <v>30287.272428244858</v>
      </c>
      <c r="T249">
        <f t="shared" si="963"/>
        <v>30.287272428244858</v>
      </c>
    </row>
    <row r="250" spans="1:20" x14ac:dyDescent="0.25">
      <c r="A250" s="5">
        <v>44343</v>
      </c>
      <c r="B250">
        <v>2.2066400000000002</v>
      </c>
      <c r="C250">
        <v>2.2682600000000002</v>
      </c>
      <c r="D250">
        <v>1.85605</v>
      </c>
      <c r="E250">
        <v>2.0370400000000002</v>
      </c>
      <c r="F250">
        <v>1042765236.9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-0.12185536498386684</v>
      </c>
      <c r="Q250">
        <f t="shared" si="960"/>
        <v>-127066538.53493787</v>
      </c>
      <c r="R250">
        <f t="shared" si="961"/>
        <v>3290849879.2245054</v>
      </c>
      <c r="S250">
        <f t="shared" si="962"/>
        <v>32908.498792245053</v>
      </c>
      <c r="T250">
        <f t="shared" si="963"/>
        <v>32.908498792245055</v>
      </c>
    </row>
    <row r="251" spans="1:20" x14ac:dyDescent="0.25">
      <c r="A251" s="5">
        <v>44342</v>
      </c>
      <c r="B251">
        <v>1.9336500000000001</v>
      </c>
      <c r="C251">
        <v>2.43832</v>
      </c>
      <c r="D251">
        <v>1.83352</v>
      </c>
      <c r="E251">
        <v>2.2064599999999999</v>
      </c>
      <c r="F251">
        <v>1479019507.4000001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0.23326719576719518</v>
      </c>
      <c r="Q251">
        <f t="shared" si="960"/>
        <v>345006732.97617638</v>
      </c>
      <c r="R251">
        <f t="shared" si="961"/>
        <v>3417916417.7594433</v>
      </c>
      <c r="S251">
        <f t="shared" si="962"/>
        <v>34179.16417759443</v>
      </c>
      <c r="T251">
        <f t="shared" si="963"/>
        <v>34.17916417759443</v>
      </c>
    </row>
    <row r="252" spans="1:20" x14ac:dyDescent="0.25">
      <c r="A252" s="5">
        <v>44341</v>
      </c>
      <c r="B252">
        <v>1.7473000000000001</v>
      </c>
      <c r="C252">
        <v>1.948</v>
      </c>
      <c r="D252">
        <v>1.5109999999999999</v>
      </c>
      <c r="E252">
        <v>1.9346300000000001</v>
      </c>
      <c r="F252">
        <v>1411469800.0999999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0.93881006864988614</v>
      </c>
      <c r="Q252">
        <f t="shared" si="960"/>
        <v>1325102059.929122</v>
      </c>
      <c r="R252">
        <f t="shared" si="961"/>
        <v>3072909684.783267</v>
      </c>
      <c r="S252">
        <f t="shared" si="962"/>
        <v>30729.096847832669</v>
      </c>
      <c r="T252">
        <f t="shared" si="963"/>
        <v>30.729096847832668</v>
      </c>
    </row>
    <row r="253" spans="1:20" x14ac:dyDescent="0.25">
      <c r="A253" s="5">
        <v>44340</v>
      </c>
      <c r="B253">
        <v>1.0730599999999999</v>
      </c>
      <c r="C253">
        <v>1.9815199999999999</v>
      </c>
      <c r="D253">
        <v>1.0616300000000001</v>
      </c>
      <c r="E253">
        <v>1.74861</v>
      </c>
      <c r="F253">
        <v>2248051319.4000001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0.49361336681559753</v>
      </c>
      <c r="Q253">
        <f t="shared" si="960"/>
        <v>1109668180.5432804</v>
      </c>
      <c r="R253">
        <f t="shared" si="961"/>
        <v>1747807624.8541448</v>
      </c>
      <c r="S253">
        <f t="shared" si="962"/>
        <v>17478.076248541449</v>
      </c>
      <c r="T253">
        <f t="shared" si="963"/>
        <v>17.478076248541448</v>
      </c>
    </row>
    <row r="254" spans="1:20" x14ac:dyDescent="0.25">
      <c r="A254" s="5">
        <v>44339</v>
      </c>
      <c r="B254">
        <v>1.19293</v>
      </c>
      <c r="C254">
        <v>1.2577700000000001</v>
      </c>
      <c r="D254">
        <v>0.74502999999999997</v>
      </c>
      <c r="E254">
        <v>1.0730999999999999</v>
      </c>
      <c r="F254">
        <v>1361857121.2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0.27967390880368187</v>
      </c>
      <c r="Q254">
        <f t="shared" si="960"/>
        <v>380875904.31813353</v>
      </c>
      <c r="R254">
        <f t="shared" si="961"/>
        <v>638139444.31086445</v>
      </c>
      <c r="S254">
        <f t="shared" si="962"/>
        <v>6381.3944431086447</v>
      </c>
      <c r="T254">
        <f t="shared" si="963"/>
        <v>6.3813944431086451</v>
      </c>
    </row>
    <row r="255" spans="1:20" x14ac:dyDescent="0.25">
      <c r="A255" s="5">
        <v>44338</v>
      </c>
      <c r="B255">
        <v>1.4835100000000001</v>
      </c>
      <c r="C255">
        <v>1.62</v>
      </c>
      <c r="D255">
        <v>1.12521</v>
      </c>
      <c r="E255">
        <v>1.1907000000000001</v>
      </c>
      <c r="F255">
        <v>772835088.60000002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-0.73528163463287444</v>
      </c>
      <c r="Q255">
        <f t="shared" si="960"/>
        <v>-568251447.24745035</v>
      </c>
      <c r="R255">
        <f t="shared" si="961"/>
        <v>257263539.99273086</v>
      </c>
      <c r="S255">
        <f t="shared" si="962"/>
        <v>2572.6353999273088</v>
      </c>
      <c r="T255">
        <f t="shared" si="963"/>
        <v>2.5726353999273086</v>
      </c>
    </row>
    <row r="256" spans="1:20" x14ac:dyDescent="0.25">
      <c r="A256" s="5">
        <v>44337</v>
      </c>
      <c r="B256">
        <v>1.82785</v>
      </c>
      <c r="C256">
        <v>1.97</v>
      </c>
      <c r="D256">
        <v>1.1922200000000001</v>
      </c>
      <c r="E256">
        <v>1.4835</v>
      </c>
      <c r="F256">
        <v>925730809.10000002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-0.25099642572449787</v>
      </c>
      <c r="Q256">
        <f t="shared" si="960"/>
        <v>-232355124.26714748</v>
      </c>
      <c r="R256">
        <f t="shared" si="961"/>
        <v>825514987.24018121</v>
      </c>
      <c r="S256">
        <f t="shared" si="962"/>
        <v>8255.1498724018129</v>
      </c>
      <c r="T256">
        <f t="shared" si="963"/>
        <v>8.2551498724018124</v>
      </c>
    </row>
    <row r="257" spans="1:20" x14ac:dyDescent="0.25">
      <c r="A257" s="5">
        <v>44336</v>
      </c>
      <c r="B257">
        <v>1.62</v>
      </c>
      <c r="C257">
        <v>2.1999900000000001</v>
      </c>
      <c r="D257">
        <v>1.33</v>
      </c>
      <c r="E257">
        <v>1.8328899999999999</v>
      </c>
      <c r="F257">
        <v>1123879996.5999999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0.15608225381900898</v>
      </c>
      <c r="Q257">
        <f t="shared" si="960"/>
        <v>175417722.89142814</v>
      </c>
      <c r="R257">
        <f t="shared" si="961"/>
        <v>1057870111.5073286</v>
      </c>
      <c r="S257">
        <f t="shared" si="962"/>
        <v>10578.701115073287</v>
      </c>
      <c r="T257">
        <f t="shared" si="963"/>
        <v>10.578701115073287</v>
      </c>
    </row>
    <row r="258" spans="1:20" x14ac:dyDescent="0.25">
      <c r="A258" s="5">
        <v>44335</v>
      </c>
      <c r="B258">
        <v>2.4412400000000001</v>
      </c>
      <c r="C258">
        <v>2.6471800000000001</v>
      </c>
      <c r="D258">
        <v>1.03447</v>
      </c>
      <c r="E258">
        <v>1.61982</v>
      </c>
      <c r="F258">
        <v>1984362819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-0.27407903466835326</v>
      </c>
      <c r="Q258">
        <f t="shared" si="960"/>
        <v>-543872245.86329222</v>
      </c>
      <c r="R258">
        <f t="shared" si="961"/>
        <v>882452388.61590052</v>
      </c>
      <c r="S258">
        <f t="shared" si="962"/>
        <v>8824.523886159006</v>
      </c>
      <c r="T258">
        <f t="shared" si="963"/>
        <v>8.8245238861590067</v>
      </c>
    </row>
    <row r="259" spans="1:20" x14ac:dyDescent="0.25">
      <c r="A259" s="5">
        <v>44334</v>
      </c>
      <c r="B259">
        <v>1.72899</v>
      </c>
      <c r="C259">
        <v>2.7</v>
      </c>
      <c r="D259">
        <v>1.7050000000000001</v>
      </c>
      <c r="E259">
        <v>2.4412400000000001</v>
      </c>
      <c r="F259">
        <v>1185132477.7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0.47987939698492449</v>
      </c>
      <c r="Q259">
        <f t="shared" si="960"/>
        <v>568720658.74592555</v>
      </c>
      <c r="R259">
        <f t="shared" si="961"/>
        <v>1426324634.4791927</v>
      </c>
      <c r="S259">
        <f t="shared" si="962"/>
        <v>14263.246344791927</v>
      </c>
      <c r="T259">
        <f t="shared" si="963"/>
        <v>14.263246344791927</v>
      </c>
    </row>
    <row r="260" spans="1:20" x14ac:dyDescent="0.25">
      <c r="A260" s="5">
        <v>44333</v>
      </c>
      <c r="B260">
        <v>1.72424</v>
      </c>
      <c r="C260">
        <v>1.788</v>
      </c>
      <c r="D260">
        <v>1.48</v>
      </c>
      <c r="E260">
        <v>1.72678</v>
      </c>
      <c r="F260">
        <v>569061849.60000002</v>
      </c>
      <c r="G260">
        <v>0</v>
      </c>
      <c r="L260" t="s">
        <v>8</v>
      </c>
      <c r="M260" t="s">
        <v>8</v>
      </c>
      <c r="N260" t="s">
        <v>8</v>
      </c>
      <c r="P260">
        <f t="shared" si="959"/>
        <v>0.60246753246753215</v>
      </c>
      <c r="Q260">
        <f t="shared" si="960"/>
        <v>342841288.34992194</v>
      </c>
      <c r="R260">
        <f t="shared" si="961"/>
        <v>857603975.73326731</v>
      </c>
      <c r="S260">
        <f t="shared" si="962"/>
        <v>8576.0397573326736</v>
      </c>
      <c r="T260">
        <f t="shared" si="963"/>
        <v>8.5760397573326728</v>
      </c>
    </row>
    <row r="261" spans="1:20" x14ac:dyDescent="0.25">
      <c r="A261" s="5">
        <v>44332</v>
      </c>
      <c r="B261">
        <v>1.59501</v>
      </c>
      <c r="C261">
        <v>1.833</v>
      </c>
      <c r="D261">
        <v>1.46</v>
      </c>
      <c r="E261">
        <v>1.7244299999999999</v>
      </c>
      <c r="F261">
        <v>578181529.5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0.41785522788203722</v>
      </c>
      <c r="Q261">
        <f t="shared" si="960"/>
        <v>241596174.76640731</v>
      </c>
      <c r="R261">
        <f t="shared" si="961"/>
        <v>514762687.38334543</v>
      </c>
      <c r="S261">
        <f t="shared" si="962"/>
        <v>5147.6268738334538</v>
      </c>
      <c r="T261">
        <f t="shared" si="963"/>
        <v>5.1476268738334534</v>
      </c>
    </row>
    <row r="262" spans="1:20" x14ac:dyDescent="0.25">
      <c r="A262" s="5">
        <v>44331</v>
      </c>
      <c r="B262">
        <v>1.47357</v>
      </c>
      <c r="C262">
        <v>1.89</v>
      </c>
      <c r="D262">
        <v>1.46509</v>
      </c>
      <c r="E262">
        <v>1.59501</v>
      </c>
      <c r="F262">
        <v>1050153449.4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-0.3884822668329761</v>
      </c>
      <c r="Q262">
        <f t="shared" ref="Q262:Q325" si="965">F262*P262</f>
        <v>-407965992.54538107</v>
      </c>
      <c r="R262">
        <f t="shared" ref="R262:R325" si="966">R263+Q262</f>
        <v>273166512.61693811</v>
      </c>
      <c r="S262">
        <f t="shared" ref="S262:S325" si="967">R262/100000</f>
        <v>2731.665126169381</v>
      </c>
      <c r="T262">
        <f t="shared" ref="T262:T325" si="968">S262/1000</f>
        <v>2.7316651261693812</v>
      </c>
    </row>
    <row r="263" spans="1:20" x14ac:dyDescent="0.25">
      <c r="A263" s="5">
        <v>44330</v>
      </c>
      <c r="B263">
        <v>1.05352</v>
      </c>
      <c r="C263">
        <v>1.5171600000000001</v>
      </c>
      <c r="D263">
        <v>1.0424199999999999</v>
      </c>
      <c r="E263">
        <v>1.47376</v>
      </c>
      <c r="F263">
        <v>721329895.70000005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0.81716307873783511</v>
      </c>
      <c r="Q263">
        <f t="shared" si="965"/>
        <v>589444158.35585356</v>
      </c>
      <c r="R263">
        <f t="shared" si="966"/>
        <v>681132505.16231918</v>
      </c>
      <c r="S263">
        <f t="shared" si="967"/>
        <v>6811.3250516231919</v>
      </c>
      <c r="T263">
        <f t="shared" si="968"/>
        <v>6.811325051623192</v>
      </c>
    </row>
    <row r="264" spans="1:20" x14ac:dyDescent="0.25">
      <c r="A264" s="5">
        <v>44329</v>
      </c>
      <c r="B264">
        <v>1.04911</v>
      </c>
      <c r="C264">
        <v>1.18462</v>
      </c>
      <c r="D264">
        <v>0.95</v>
      </c>
      <c r="E264">
        <v>1.05366</v>
      </c>
      <c r="F264">
        <v>576024615.29999995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-0.11635836672065414</v>
      </c>
      <c r="Q264">
        <f t="shared" si="965"/>
        <v>-67025283.427201115</v>
      </c>
      <c r="R264">
        <f t="shared" si="966"/>
        <v>91688346.806465596</v>
      </c>
      <c r="S264">
        <f t="shared" si="967"/>
        <v>916.88346806465597</v>
      </c>
      <c r="T264">
        <f t="shared" si="968"/>
        <v>0.91688346806465593</v>
      </c>
    </row>
    <row r="265" spans="1:20" x14ac:dyDescent="0.25">
      <c r="A265" s="5">
        <v>44328</v>
      </c>
      <c r="B265">
        <v>1.0637300000000001</v>
      </c>
      <c r="C265">
        <v>1.22855</v>
      </c>
      <c r="D265">
        <v>1</v>
      </c>
      <c r="E265">
        <v>1.05098</v>
      </c>
      <c r="F265">
        <v>743670529.20000005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-0.55388317654780117</v>
      </c>
      <c r="Q265">
        <f t="shared" si="965"/>
        <v>-411906595.01828033</v>
      </c>
      <c r="R265">
        <f t="shared" si="966"/>
        <v>158713630.23366672</v>
      </c>
      <c r="S265">
        <f t="shared" si="967"/>
        <v>1587.1363023366671</v>
      </c>
      <c r="T265">
        <f t="shared" si="968"/>
        <v>1.5871363023366671</v>
      </c>
    </row>
    <row r="266" spans="1:20" x14ac:dyDescent="0.25">
      <c r="A266" s="5">
        <v>44327</v>
      </c>
      <c r="B266">
        <v>0.87522</v>
      </c>
      <c r="C266">
        <v>1.0900000000000001</v>
      </c>
      <c r="D266">
        <v>0.8</v>
      </c>
      <c r="E266">
        <v>1.0634300000000001</v>
      </c>
      <c r="F266">
        <v>493680497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0.81675862068965532</v>
      </c>
      <c r="Q266">
        <f t="shared" si="965"/>
        <v>403217801.79110354</v>
      </c>
      <c r="R266">
        <f t="shared" si="966"/>
        <v>570620225.25194705</v>
      </c>
      <c r="S266">
        <f t="shared" si="967"/>
        <v>5706.2022525194707</v>
      </c>
      <c r="T266">
        <f t="shared" si="968"/>
        <v>5.7062022525194704</v>
      </c>
    </row>
    <row r="267" spans="1:20" x14ac:dyDescent="0.25">
      <c r="A267" s="5">
        <v>44326</v>
      </c>
      <c r="B267">
        <v>0.96965999999999997</v>
      </c>
      <c r="C267">
        <v>1.00709</v>
      </c>
      <c r="D267">
        <v>0.77141999999999999</v>
      </c>
      <c r="E267">
        <v>0.87470000000000003</v>
      </c>
      <c r="F267">
        <v>431120037.30000001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-0.12352017651801232</v>
      </c>
      <c r="Q267">
        <f t="shared" si="965"/>
        <v>-53252023.107748061</v>
      </c>
      <c r="R267">
        <f t="shared" si="966"/>
        <v>167402423.4608435</v>
      </c>
      <c r="S267">
        <f t="shared" si="967"/>
        <v>1674.0242346084351</v>
      </c>
      <c r="T267">
        <f t="shared" si="968"/>
        <v>1.6740242346084351</v>
      </c>
    </row>
    <row r="268" spans="1:20" x14ac:dyDescent="0.25">
      <c r="A268" s="5">
        <v>44325</v>
      </c>
      <c r="B268">
        <v>0.84887999999999997</v>
      </c>
      <c r="C268">
        <v>1.0579799999999999</v>
      </c>
      <c r="D268">
        <v>0.78761999999999999</v>
      </c>
      <c r="E268">
        <v>0.96945000000000003</v>
      </c>
      <c r="F268">
        <v>1049416756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0.34509542831779916</v>
      </c>
      <c r="Q268">
        <f t="shared" si="965"/>
        <v>362148924.89569533</v>
      </c>
      <c r="R268">
        <f t="shared" si="966"/>
        <v>220654446.56859156</v>
      </c>
      <c r="S268">
        <f t="shared" si="967"/>
        <v>2206.5444656859158</v>
      </c>
      <c r="T268">
        <f t="shared" si="968"/>
        <v>2.2065444656859157</v>
      </c>
    </row>
    <row r="269" spans="1:20" x14ac:dyDescent="0.25">
      <c r="A269" s="5">
        <v>44324</v>
      </c>
      <c r="B269">
        <v>0.75017</v>
      </c>
      <c r="C269">
        <v>0.84987999999999997</v>
      </c>
      <c r="D269">
        <v>0.73002999999999996</v>
      </c>
      <c r="E269">
        <v>0.84887999999999997</v>
      </c>
      <c r="F269">
        <v>251853040.19999999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0.9833124739257405</v>
      </c>
      <c r="Q269">
        <f t="shared" si="965"/>
        <v>247650236.02478096</v>
      </c>
      <c r="R269">
        <f t="shared" si="966"/>
        <v>-141494478.32710376</v>
      </c>
      <c r="S269">
        <f t="shared" si="967"/>
        <v>-1414.9447832710377</v>
      </c>
      <c r="T269">
        <f t="shared" si="968"/>
        <v>-1.4149447832710378</v>
      </c>
    </row>
    <row r="270" spans="1:20" x14ac:dyDescent="0.25">
      <c r="A270" s="5">
        <v>44323</v>
      </c>
      <c r="B270">
        <v>0.76126000000000005</v>
      </c>
      <c r="C270">
        <v>0.81003999999999998</v>
      </c>
      <c r="D270">
        <v>0.73021999999999998</v>
      </c>
      <c r="E270">
        <v>0.75002000000000002</v>
      </c>
      <c r="F270">
        <v>199810386.90000001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-0.50388373841142475</v>
      </c>
      <c r="Q270">
        <f t="shared" si="965"/>
        <v>-100681204.72460517</v>
      </c>
      <c r="R270">
        <f t="shared" si="966"/>
        <v>-389144714.35188472</v>
      </c>
      <c r="S270">
        <f t="shared" si="967"/>
        <v>-3891.447143518847</v>
      </c>
      <c r="T270">
        <f t="shared" si="968"/>
        <v>-3.8914471435188469</v>
      </c>
    </row>
    <row r="271" spans="1:20" x14ac:dyDescent="0.25">
      <c r="A271" s="5">
        <v>44322</v>
      </c>
      <c r="B271">
        <v>0.80976999999999999</v>
      </c>
      <c r="C271">
        <v>0.81399999999999995</v>
      </c>
      <c r="D271">
        <v>0.72165999999999997</v>
      </c>
      <c r="E271">
        <v>0.76126000000000005</v>
      </c>
      <c r="F271">
        <v>192688668.19999999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-0.14230019493177196</v>
      </c>
      <c r="Q271">
        <f t="shared" si="965"/>
        <v>-27419635.046003528</v>
      </c>
      <c r="R271">
        <f t="shared" si="966"/>
        <v>-288463509.62727952</v>
      </c>
      <c r="S271">
        <f t="shared" si="967"/>
        <v>-2884.6350962727952</v>
      </c>
      <c r="T271">
        <f t="shared" si="968"/>
        <v>-2.8846350962727954</v>
      </c>
    </row>
    <row r="272" spans="1:20" x14ac:dyDescent="0.25">
      <c r="A272" s="5">
        <v>44321</v>
      </c>
      <c r="B272">
        <v>0.70343</v>
      </c>
      <c r="C272">
        <v>0.83655000000000002</v>
      </c>
      <c r="D272">
        <v>0.70050000000000001</v>
      </c>
      <c r="E272">
        <v>0.80978000000000006</v>
      </c>
      <c r="F272">
        <v>313079558.60000002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0.60646821021683261</v>
      </c>
      <c r="Q272">
        <f t="shared" si="965"/>
        <v>189872799.55961797</v>
      </c>
      <c r="R272">
        <f t="shared" si="966"/>
        <v>-261043874.58127597</v>
      </c>
      <c r="S272">
        <f t="shared" si="967"/>
        <v>-2610.4387458127599</v>
      </c>
      <c r="T272">
        <f t="shared" si="968"/>
        <v>-2.6104387458127598</v>
      </c>
    </row>
    <row r="273" spans="1:20" x14ac:dyDescent="0.25">
      <c r="A273" s="5">
        <v>44320</v>
      </c>
      <c r="B273">
        <v>0.79469000000000001</v>
      </c>
      <c r="C273">
        <v>0.79891000000000001</v>
      </c>
      <c r="D273">
        <v>0.68720000000000003</v>
      </c>
      <c r="E273">
        <v>0.70374999999999999</v>
      </c>
      <c r="F273">
        <v>305417946.10000002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-0.70369707277772886</v>
      </c>
      <c r="Q273">
        <f t="shared" si="965"/>
        <v>-214921714.64435619</v>
      </c>
      <c r="R273">
        <f t="shared" si="966"/>
        <v>-450916674.14089394</v>
      </c>
      <c r="S273">
        <f t="shared" si="967"/>
        <v>-4509.1667414089397</v>
      </c>
      <c r="T273">
        <f t="shared" si="968"/>
        <v>-4.50916674140894</v>
      </c>
    </row>
    <row r="274" spans="1:20" x14ac:dyDescent="0.25">
      <c r="A274" s="5">
        <v>44319</v>
      </c>
      <c r="B274">
        <v>0.82208000000000003</v>
      </c>
      <c r="C274">
        <v>0.87</v>
      </c>
      <c r="D274">
        <v>0.77637999999999996</v>
      </c>
      <c r="E274">
        <v>0.79481999999999997</v>
      </c>
      <c r="F274">
        <v>300583192.69999999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-0.60606707968382811</v>
      </c>
      <c r="Q274">
        <f t="shared" si="965"/>
        <v>-182173577.80173036</v>
      </c>
      <c r="R274">
        <f t="shared" si="966"/>
        <v>-235994959.49653774</v>
      </c>
      <c r="S274">
        <f t="shared" si="967"/>
        <v>-2359.9495949653774</v>
      </c>
      <c r="T274">
        <f t="shared" si="968"/>
        <v>-2.3599495949653773</v>
      </c>
    </row>
    <row r="275" spans="1:20" x14ac:dyDescent="0.25">
      <c r="A275" s="5">
        <v>44318</v>
      </c>
      <c r="B275">
        <v>0.78530999999999995</v>
      </c>
      <c r="C275">
        <v>0.82794999999999996</v>
      </c>
      <c r="D275">
        <v>0.74</v>
      </c>
      <c r="E275">
        <v>0.82132000000000005</v>
      </c>
      <c r="F275">
        <v>312057554.60000002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0.84923251847640902</v>
      </c>
      <c r="Q275">
        <f t="shared" si="965"/>
        <v>265009423.00254753</v>
      </c>
      <c r="R275">
        <f t="shared" si="966"/>
        <v>-53821381.69480738</v>
      </c>
      <c r="S275">
        <f t="shared" si="967"/>
        <v>-538.21381694807383</v>
      </c>
      <c r="T275">
        <f t="shared" si="968"/>
        <v>-0.5382138169480738</v>
      </c>
    </row>
    <row r="276" spans="1:20" x14ac:dyDescent="0.25">
      <c r="A276" s="5">
        <v>44317</v>
      </c>
      <c r="B276">
        <v>0.82043999999999995</v>
      </c>
      <c r="C276">
        <v>0.84</v>
      </c>
      <c r="D276">
        <v>0.76900000000000002</v>
      </c>
      <c r="E276">
        <v>0.78530999999999995</v>
      </c>
      <c r="F276">
        <v>392955117.30000001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-0.5405633802816916</v>
      </c>
      <c r="Q276">
        <f t="shared" si="965"/>
        <v>-212417146.50667664</v>
      </c>
      <c r="R276">
        <f t="shared" si="966"/>
        <v>-318830804.69735491</v>
      </c>
      <c r="S276">
        <f t="shared" si="967"/>
        <v>-3188.3080469735492</v>
      </c>
      <c r="T276">
        <f t="shared" si="968"/>
        <v>-3.1883080469735492</v>
      </c>
    </row>
    <row r="277" spans="1:20" x14ac:dyDescent="0.25">
      <c r="A277" s="5">
        <v>44316</v>
      </c>
      <c r="B277">
        <v>0.89190999999999998</v>
      </c>
      <c r="C277">
        <v>0.94706999999999997</v>
      </c>
      <c r="D277">
        <v>0.78127999999999997</v>
      </c>
      <c r="E277">
        <v>0.82065999999999995</v>
      </c>
      <c r="F277">
        <v>799217157.70000005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-0.52494119066288714</v>
      </c>
      <c r="Q277">
        <f t="shared" si="965"/>
        <v>-419542006.36124647</v>
      </c>
      <c r="R277">
        <f t="shared" si="966"/>
        <v>-106413658.19067824</v>
      </c>
      <c r="S277">
        <f t="shared" si="967"/>
        <v>-1064.1365819067823</v>
      </c>
      <c r="T277">
        <f t="shared" si="968"/>
        <v>-1.0641365819067823</v>
      </c>
    </row>
    <row r="278" spans="1:20" x14ac:dyDescent="0.25">
      <c r="A278" s="5">
        <v>44315</v>
      </c>
      <c r="B278">
        <v>0.77707999999999999</v>
      </c>
      <c r="C278">
        <v>0.93</v>
      </c>
      <c r="D278">
        <v>0.74182000000000003</v>
      </c>
      <c r="E278">
        <v>0.89195999999999998</v>
      </c>
      <c r="F278">
        <v>1177393781.0999999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0.59570623870761963</v>
      </c>
      <c r="Q278">
        <f t="shared" si="965"/>
        <v>701380820.81682336</v>
      </c>
      <c r="R278">
        <f t="shared" si="966"/>
        <v>313128348.17056823</v>
      </c>
      <c r="S278">
        <f t="shared" si="967"/>
        <v>3131.2834817056823</v>
      </c>
      <c r="T278">
        <f t="shared" si="968"/>
        <v>3.1312834817056823</v>
      </c>
    </row>
    <row r="279" spans="1:20" x14ac:dyDescent="0.25">
      <c r="A279" s="5">
        <v>44314</v>
      </c>
      <c r="B279">
        <v>0.82840000000000003</v>
      </c>
      <c r="C279">
        <v>0.8972</v>
      </c>
      <c r="D279">
        <v>0.67400000000000004</v>
      </c>
      <c r="E279">
        <v>0.77700000000000002</v>
      </c>
      <c r="F279">
        <v>1837511227.5999999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-7.7060931899641569E-2</v>
      </c>
      <c r="Q279">
        <f t="shared" si="965"/>
        <v>-141600327.57491037</v>
      </c>
      <c r="R279">
        <f t="shared" si="966"/>
        <v>-388252472.64625514</v>
      </c>
      <c r="S279">
        <f t="shared" si="967"/>
        <v>-3882.5247264625514</v>
      </c>
      <c r="T279">
        <f t="shared" si="968"/>
        <v>-3.8825247264625515</v>
      </c>
    </row>
    <row r="280" spans="1:20" x14ac:dyDescent="0.25">
      <c r="A280" s="5">
        <v>44313</v>
      </c>
      <c r="B280">
        <v>0.53654000000000002</v>
      </c>
      <c r="C280">
        <v>0.84899999999999998</v>
      </c>
      <c r="D280">
        <v>0.53429000000000004</v>
      </c>
      <c r="E280">
        <v>0.82840000000000003</v>
      </c>
      <c r="F280">
        <v>1169955529.2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0.86908582504528009</v>
      </c>
      <c r="Q280">
        <f t="shared" si="965"/>
        <v>1016791766.3610693</v>
      </c>
      <c r="R280">
        <f t="shared" si="966"/>
        <v>-246652145.07134473</v>
      </c>
      <c r="S280">
        <f t="shared" si="967"/>
        <v>-2466.5214507134474</v>
      </c>
      <c r="T280">
        <f t="shared" si="968"/>
        <v>-2.4665214507134472</v>
      </c>
    </row>
    <row r="281" spans="1:20" x14ac:dyDescent="0.25">
      <c r="A281" s="5">
        <v>44312</v>
      </c>
      <c r="B281">
        <v>0.38435000000000002</v>
      </c>
      <c r="C281">
        <v>0.57554000000000005</v>
      </c>
      <c r="D281">
        <v>0.37870999999999999</v>
      </c>
      <c r="E281">
        <v>0.53695999999999999</v>
      </c>
      <c r="F281">
        <v>1095815368.4000001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0.60798658741045519</v>
      </c>
      <c r="Q281">
        <f t="shared" si="965"/>
        <v>666241046.26544678</v>
      </c>
      <c r="R281">
        <f t="shared" si="966"/>
        <v>-1263443911.4324141</v>
      </c>
      <c r="S281">
        <f t="shared" si="967"/>
        <v>-12634.439114324141</v>
      </c>
      <c r="T281">
        <f t="shared" si="968"/>
        <v>-12.634439114324142</v>
      </c>
    </row>
    <row r="282" spans="1:20" x14ac:dyDescent="0.25">
      <c r="A282" s="5">
        <v>44311</v>
      </c>
      <c r="B282">
        <v>0.35421000000000002</v>
      </c>
      <c r="C282">
        <v>0.40500000000000003</v>
      </c>
      <c r="D282">
        <v>0.34399999999999997</v>
      </c>
      <c r="E282">
        <v>0.38425999999999999</v>
      </c>
      <c r="F282">
        <v>226117229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0.3199999999999994</v>
      </c>
      <c r="Q282">
        <f t="shared" si="965"/>
        <v>72357513.279999867</v>
      </c>
      <c r="R282">
        <f t="shared" si="966"/>
        <v>-1929684957.6978607</v>
      </c>
      <c r="S282">
        <f t="shared" si="967"/>
        <v>-19296.849576978606</v>
      </c>
      <c r="T282">
        <f t="shared" si="968"/>
        <v>-19.296849576978605</v>
      </c>
    </row>
    <row r="283" spans="1:20" x14ac:dyDescent="0.25">
      <c r="A283" s="5">
        <v>44310</v>
      </c>
      <c r="B283">
        <v>0.38151000000000002</v>
      </c>
      <c r="C283">
        <v>0.39115</v>
      </c>
      <c r="D283">
        <v>0.33717000000000003</v>
      </c>
      <c r="E283">
        <v>0.35421000000000002</v>
      </c>
      <c r="F283">
        <v>148419267.30000001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-0.36865505742867699</v>
      </c>
      <c r="Q283">
        <f t="shared" si="965"/>
        <v>-54715513.510003664</v>
      </c>
      <c r="R283">
        <f t="shared" si="966"/>
        <v>-2002042470.9778607</v>
      </c>
      <c r="S283">
        <f t="shared" si="967"/>
        <v>-20020.424709778606</v>
      </c>
      <c r="T283">
        <f t="shared" si="968"/>
        <v>-20.020424709778606</v>
      </c>
    </row>
    <row r="284" spans="1:20" x14ac:dyDescent="0.25">
      <c r="A284" s="5">
        <v>44309</v>
      </c>
      <c r="B284">
        <v>0.34928999999999999</v>
      </c>
      <c r="C284">
        <v>0.4</v>
      </c>
      <c r="D284">
        <v>0.29500999999999999</v>
      </c>
      <c r="E284">
        <v>0.38150000000000001</v>
      </c>
      <c r="F284">
        <v>354781884.5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0.64758548433184093</v>
      </c>
      <c r="Q284">
        <f t="shared" si="965"/>
        <v>229751598.50609574</v>
      </c>
      <c r="R284">
        <f t="shared" si="966"/>
        <v>-1947326957.4678571</v>
      </c>
      <c r="S284">
        <f t="shared" si="967"/>
        <v>-19473.269574678572</v>
      </c>
      <c r="T284">
        <f t="shared" si="968"/>
        <v>-19.473269574678572</v>
      </c>
    </row>
    <row r="285" spans="1:20" x14ac:dyDescent="0.25">
      <c r="A285" s="5">
        <v>44308</v>
      </c>
      <c r="B285">
        <v>0.35702</v>
      </c>
      <c r="C285">
        <v>0.42159000000000002</v>
      </c>
      <c r="D285">
        <v>0.34339999999999998</v>
      </c>
      <c r="E285">
        <v>0.34928999999999999</v>
      </c>
      <c r="F285">
        <v>534467505.19999999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-0.84934134799846517</v>
      </c>
      <c r="Q285">
        <f t="shared" si="965"/>
        <v>-453945351.3279447</v>
      </c>
      <c r="R285">
        <f t="shared" si="966"/>
        <v>-2177078555.9739528</v>
      </c>
      <c r="S285">
        <f t="shared" si="967"/>
        <v>-21770.785559739528</v>
      </c>
      <c r="T285">
        <f t="shared" si="968"/>
        <v>-21.770785559739529</v>
      </c>
    </row>
    <row r="286" spans="1:20" x14ac:dyDescent="0.25">
      <c r="A286" s="5">
        <v>44307</v>
      </c>
      <c r="B286">
        <v>0.34226000000000001</v>
      </c>
      <c r="C286">
        <v>0.38286999999999999</v>
      </c>
      <c r="D286">
        <v>0.32767000000000002</v>
      </c>
      <c r="E286">
        <v>0.35664000000000001</v>
      </c>
      <c r="F286">
        <v>183698864.09999999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4.9637681159420681E-2</v>
      </c>
      <c r="Q286">
        <f t="shared" si="965"/>
        <v>9118385.6455435492</v>
      </c>
      <c r="R286">
        <f t="shared" si="966"/>
        <v>-1723133204.6460083</v>
      </c>
      <c r="S286">
        <f t="shared" si="967"/>
        <v>-17231.332046460084</v>
      </c>
      <c r="T286">
        <f t="shared" si="968"/>
        <v>-17.231332046460082</v>
      </c>
    </row>
    <row r="287" spans="1:20" x14ac:dyDescent="0.25">
      <c r="A287" s="5">
        <v>44306</v>
      </c>
      <c r="B287">
        <v>0.32563999999999999</v>
      </c>
      <c r="C287">
        <v>0.35165999999999997</v>
      </c>
      <c r="D287">
        <v>0.29630000000000001</v>
      </c>
      <c r="E287">
        <v>0.34227000000000002</v>
      </c>
      <c r="F287">
        <v>171372502.19999999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0.66076589595375868</v>
      </c>
      <c r="Q287">
        <f t="shared" si="965"/>
        <v>113237104.95802048</v>
      </c>
      <c r="R287">
        <f t="shared" si="966"/>
        <v>-1732251590.2915518</v>
      </c>
      <c r="S287">
        <f t="shared" si="967"/>
        <v>-17322.515902915518</v>
      </c>
      <c r="T287">
        <f t="shared" si="968"/>
        <v>-17.322515902915519</v>
      </c>
    </row>
    <row r="288" spans="1:20" x14ac:dyDescent="0.25">
      <c r="A288" s="5">
        <v>44305</v>
      </c>
      <c r="B288">
        <v>0.36327999999999999</v>
      </c>
      <c r="C288">
        <v>0.38685999999999998</v>
      </c>
      <c r="D288">
        <v>0.32451999999999998</v>
      </c>
      <c r="E288">
        <v>0.32540000000000002</v>
      </c>
      <c r="F288">
        <v>168553438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-0.97176772537696354</v>
      </c>
      <c r="Q288">
        <f t="shared" si="965"/>
        <v>-163794791.04972705</v>
      </c>
      <c r="R288">
        <f t="shared" si="966"/>
        <v>-1845488695.2495723</v>
      </c>
      <c r="S288">
        <f t="shared" si="967"/>
        <v>-18454.886952495723</v>
      </c>
      <c r="T288">
        <f t="shared" si="968"/>
        <v>-18.454886952495723</v>
      </c>
    </row>
    <row r="289" spans="1:20" x14ac:dyDescent="0.25">
      <c r="A289" s="5">
        <v>44304</v>
      </c>
      <c r="B289">
        <v>0.40223999999999999</v>
      </c>
      <c r="C289">
        <v>0.40609000000000001</v>
      </c>
      <c r="D289">
        <v>0.26055</v>
      </c>
      <c r="E289">
        <v>0.36329</v>
      </c>
      <c r="F289">
        <v>292296111.5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0.41184554074481239</v>
      </c>
      <c r="Q289">
        <f t="shared" si="965"/>
        <v>120380850.09832348</v>
      </c>
      <c r="R289">
        <f t="shared" si="966"/>
        <v>-1681693904.1998453</v>
      </c>
      <c r="S289">
        <f t="shared" si="967"/>
        <v>-16816.939041998452</v>
      </c>
      <c r="T289">
        <f t="shared" si="968"/>
        <v>-16.816939041998452</v>
      </c>
    </row>
    <row r="290" spans="1:20" x14ac:dyDescent="0.25">
      <c r="A290" s="5">
        <v>44303</v>
      </c>
      <c r="B290">
        <v>0.43490000000000001</v>
      </c>
      <c r="C290">
        <v>0.43906000000000001</v>
      </c>
      <c r="D290">
        <v>0.39913999999999999</v>
      </c>
      <c r="E290">
        <v>0.40184999999999998</v>
      </c>
      <c r="F290">
        <v>144189818.40000001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-0.86422845691382821</v>
      </c>
      <c r="Q290">
        <f t="shared" si="965"/>
        <v>-124612944.25851712</v>
      </c>
      <c r="R290">
        <f t="shared" si="966"/>
        <v>-1802074754.2981689</v>
      </c>
      <c r="S290">
        <f t="shared" si="967"/>
        <v>-18020.747542981688</v>
      </c>
      <c r="T290">
        <f t="shared" si="968"/>
        <v>-18.020747542981688</v>
      </c>
    </row>
    <row r="291" spans="1:20" x14ac:dyDescent="0.25">
      <c r="A291" s="5">
        <v>44302</v>
      </c>
      <c r="B291">
        <v>0.44</v>
      </c>
      <c r="C291">
        <v>0.46738000000000002</v>
      </c>
      <c r="D291">
        <v>0.40725</v>
      </c>
      <c r="E291">
        <v>0.43531999999999998</v>
      </c>
      <c r="F291">
        <v>260226545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-6.6356228172294168E-2</v>
      </c>
      <c r="Q291">
        <f t="shared" si="965"/>
        <v>-17267651.996507775</v>
      </c>
      <c r="R291">
        <f t="shared" si="966"/>
        <v>-1677461810.0396519</v>
      </c>
      <c r="S291">
        <f t="shared" si="967"/>
        <v>-16774.618100396518</v>
      </c>
      <c r="T291">
        <f t="shared" si="968"/>
        <v>-16.774618100396516</v>
      </c>
    </row>
    <row r="292" spans="1:20" x14ac:dyDescent="0.25">
      <c r="A292" s="5">
        <v>44301</v>
      </c>
      <c r="B292">
        <v>0.41381000000000001</v>
      </c>
      <c r="C292">
        <v>0.45900000000000002</v>
      </c>
      <c r="D292">
        <v>0.40093000000000001</v>
      </c>
      <c r="E292">
        <v>0.43962000000000001</v>
      </c>
      <c r="F292">
        <v>296099371.10000002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0.33252970552781108</v>
      </c>
      <c r="Q292">
        <f t="shared" si="965"/>
        <v>98461836.678853065</v>
      </c>
      <c r="R292">
        <f t="shared" si="966"/>
        <v>-1660194158.043144</v>
      </c>
      <c r="S292">
        <f t="shared" si="967"/>
        <v>-16601.941580431441</v>
      </c>
      <c r="T292">
        <f t="shared" si="968"/>
        <v>-16.60194158043144</v>
      </c>
    </row>
    <row r="293" spans="1:20" x14ac:dyDescent="0.25">
      <c r="A293" s="5">
        <v>44300</v>
      </c>
      <c r="B293">
        <v>0.42281000000000002</v>
      </c>
      <c r="C293">
        <v>0.44972000000000001</v>
      </c>
      <c r="D293">
        <v>0.36925000000000002</v>
      </c>
      <c r="E293">
        <v>0.41376000000000002</v>
      </c>
      <c r="F293">
        <v>327156476.60000002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0.10625077668696413</v>
      </c>
      <c r="Q293">
        <f t="shared" si="965"/>
        <v>34760629.73692061</v>
      </c>
      <c r="R293">
        <f t="shared" si="966"/>
        <v>-1758655994.721997</v>
      </c>
      <c r="S293">
        <f t="shared" si="967"/>
        <v>-17586.559947219972</v>
      </c>
      <c r="T293">
        <f t="shared" si="968"/>
        <v>-17.586559947219971</v>
      </c>
    </row>
    <row r="294" spans="1:20" x14ac:dyDescent="0.25">
      <c r="A294" s="5">
        <v>44299</v>
      </c>
      <c r="B294">
        <v>0.35732999999999998</v>
      </c>
      <c r="C294">
        <v>0.42399999999999999</v>
      </c>
      <c r="D294">
        <v>0.35721999999999998</v>
      </c>
      <c r="E294">
        <v>0.42281000000000002</v>
      </c>
      <c r="F294">
        <v>438845709</v>
      </c>
      <c r="G294">
        <v>0</v>
      </c>
      <c r="L294" t="s">
        <v>8</v>
      </c>
      <c r="M294" t="s">
        <v>8</v>
      </c>
      <c r="N294" t="s">
        <v>7</v>
      </c>
      <c r="P294">
        <f t="shared" si="964"/>
        <v>0.96436058700209737</v>
      </c>
      <c r="Q294">
        <f t="shared" si="965"/>
        <v>423205505.53459162</v>
      </c>
      <c r="R294">
        <f t="shared" si="966"/>
        <v>-1793416624.4589176</v>
      </c>
      <c r="S294">
        <f t="shared" si="967"/>
        <v>-17934.166244589178</v>
      </c>
      <c r="T294">
        <f t="shared" si="968"/>
        <v>-17.934166244589179</v>
      </c>
    </row>
    <row r="295" spans="1:20" x14ac:dyDescent="0.25">
      <c r="A295" s="5">
        <v>44298</v>
      </c>
      <c r="B295">
        <v>0.36939</v>
      </c>
      <c r="C295">
        <v>0.373</v>
      </c>
      <c r="D295">
        <v>0.34952</v>
      </c>
      <c r="E295">
        <v>0.35732000000000003</v>
      </c>
      <c r="F295">
        <v>89960763.5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-0.33560477001703332</v>
      </c>
      <c r="Q295">
        <f t="shared" si="965"/>
        <v>-30191261.344974224</v>
      </c>
      <c r="R295">
        <f t="shared" si="966"/>
        <v>-2216622129.9935093</v>
      </c>
      <c r="S295">
        <f t="shared" si="967"/>
        <v>-22166.221299935092</v>
      </c>
      <c r="T295">
        <f t="shared" si="968"/>
        <v>-22.166221299935092</v>
      </c>
    </row>
    <row r="296" spans="1:20" x14ac:dyDescent="0.25">
      <c r="A296" s="5">
        <v>44297</v>
      </c>
      <c r="B296">
        <v>0.35775000000000001</v>
      </c>
      <c r="C296">
        <v>0.37</v>
      </c>
      <c r="D296">
        <v>0.35</v>
      </c>
      <c r="E296">
        <v>0.36919999999999997</v>
      </c>
      <c r="F296">
        <v>84046681.900000006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0.91999999999999782</v>
      </c>
      <c r="Q296">
        <f t="shared" si="965"/>
        <v>77322947.347999826</v>
      </c>
      <c r="R296">
        <f t="shared" si="966"/>
        <v>-2186430868.6485353</v>
      </c>
      <c r="S296">
        <f t="shared" si="967"/>
        <v>-21864.308686485354</v>
      </c>
      <c r="T296">
        <f t="shared" si="968"/>
        <v>-21.864308686485355</v>
      </c>
    </row>
    <row r="297" spans="1:20" x14ac:dyDescent="0.25">
      <c r="A297" s="5">
        <v>44296</v>
      </c>
      <c r="B297">
        <v>0.36713000000000001</v>
      </c>
      <c r="C297">
        <v>0.37567</v>
      </c>
      <c r="D297">
        <v>0.34750999999999999</v>
      </c>
      <c r="E297">
        <v>0.35775000000000001</v>
      </c>
      <c r="F297">
        <v>115544460.3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-0.27272727272727132</v>
      </c>
      <c r="Q297">
        <f t="shared" si="965"/>
        <v>-31512125.536363471</v>
      </c>
      <c r="R297">
        <f t="shared" si="966"/>
        <v>-2263753815.9965353</v>
      </c>
      <c r="S297">
        <f t="shared" si="967"/>
        <v>-22637.538159965352</v>
      </c>
      <c r="T297">
        <f t="shared" si="968"/>
        <v>-22.637538159965352</v>
      </c>
    </row>
    <row r="298" spans="1:20" x14ac:dyDescent="0.25">
      <c r="A298" s="5">
        <v>44295</v>
      </c>
      <c r="B298">
        <v>0.35576000000000002</v>
      </c>
      <c r="C298">
        <v>0.3836</v>
      </c>
      <c r="D298">
        <v>0.34967999999999999</v>
      </c>
      <c r="E298">
        <v>0.36713000000000001</v>
      </c>
      <c r="F298">
        <v>134530015.19999999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2.8891509433963333E-2</v>
      </c>
      <c r="Q298">
        <f t="shared" si="965"/>
        <v>3886775.2033020305</v>
      </c>
      <c r="R298">
        <f t="shared" si="966"/>
        <v>-2232241690.4601717</v>
      </c>
      <c r="S298">
        <f t="shared" si="967"/>
        <v>-22322.416904601716</v>
      </c>
      <c r="T298">
        <f t="shared" si="968"/>
        <v>-22.322416904601717</v>
      </c>
    </row>
    <row r="299" spans="1:20" x14ac:dyDescent="0.25">
      <c r="A299" s="5">
        <v>44294</v>
      </c>
      <c r="B299">
        <v>0.33754000000000001</v>
      </c>
      <c r="C299">
        <v>0.36099999999999999</v>
      </c>
      <c r="D299">
        <v>0.33557999999999999</v>
      </c>
      <c r="E299">
        <v>0.35589999999999999</v>
      </c>
      <c r="F299">
        <v>119886556.40000001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0.59874114870181006</v>
      </c>
      <c r="Q299">
        <f t="shared" si="965"/>
        <v>71781014.492840335</v>
      </c>
      <c r="R299">
        <f t="shared" si="966"/>
        <v>-2236128465.6634736</v>
      </c>
      <c r="S299">
        <f t="shared" si="967"/>
        <v>-22361.284656634736</v>
      </c>
      <c r="T299">
        <f t="shared" si="968"/>
        <v>-22.361284656634737</v>
      </c>
    </row>
    <row r="300" spans="1:20" x14ac:dyDescent="0.25">
      <c r="A300" s="5">
        <v>44293</v>
      </c>
      <c r="B300">
        <v>0.37430000000000002</v>
      </c>
      <c r="C300">
        <v>0.37608999999999998</v>
      </c>
      <c r="D300">
        <v>0.30870999999999998</v>
      </c>
      <c r="E300">
        <v>0.33755000000000002</v>
      </c>
      <c r="F300">
        <v>226550572.80000001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-0.14395963193825959</v>
      </c>
      <c r="Q300">
        <f t="shared" si="965"/>
        <v>-32614137.075689886</v>
      </c>
      <c r="R300">
        <f t="shared" si="966"/>
        <v>-2307909480.1563139</v>
      </c>
      <c r="S300">
        <f t="shared" si="967"/>
        <v>-23079.09480156314</v>
      </c>
      <c r="T300">
        <f t="shared" si="968"/>
        <v>-23.079094801563141</v>
      </c>
    </row>
    <row r="301" spans="1:20" x14ac:dyDescent="0.25">
      <c r="A301" s="5">
        <v>44292</v>
      </c>
      <c r="B301">
        <v>0.37006</v>
      </c>
      <c r="C301">
        <v>0.38979000000000003</v>
      </c>
      <c r="D301">
        <v>0.36038999999999999</v>
      </c>
      <c r="E301">
        <v>0.37425999999999998</v>
      </c>
      <c r="F301">
        <v>223782074.90000001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-5.6462585034015245E-2</v>
      </c>
      <c r="Q301">
        <f t="shared" si="965"/>
        <v>-12635314.433129618</v>
      </c>
      <c r="R301">
        <f t="shared" si="966"/>
        <v>-2275295343.0806241</v>
      </c>
      <c r="S301">
        <f t="shared" si="967"/>
        <v>-22752.953430806239</v>
      </c>
      <c r="T301">
        <f t="shared" si="968"/>
        <v>-22.75295343080624</v>
      </c>
    </row>
    <row r="302" spans="1:20" x14ac:dyDescent="0.25">
      <c r="A302" s="5">
        <v>44291</v>
      </c>
      <c r="B302">
        <v>0.36085</v>
      </c>
      <c r="C302">
        <v>0.37093999999999999</v>
      </c>
      <c r="D302">
        <v>0.34783999999999998</v>
      </c>
      <c r="E302">
        <v>0.37010999999999999</v>
      </c>
      <c r="F302">
        <v>151891139.40000001</v>
      </c>
      <c r="G302">
        <v>0</v>
      </c>
      <c r="L302" t="s">
        <v>7</v>
      </c>
      <c r="M302" t="s">
        <v>8</v>
      </c>
      <c r="N302" t="s">
        <v>7</v>
      </c>
      <c r="P302">
        <f t="shared" si="964"/>
        <v>0.92813852813852837</v>
      </c>
      <c r="Q302">
        <f t="shared" si="965"/>
        <v>140976018.56000003</v>
      </c>
      <c r="R302">
        <f t="shared" si="966"/>
        <v>-2262660028.6474943</v>
      </c>
      <c r="S302">
        <f t="shared" si="967"/>
        <v>-22626.600286474943</v>
      </c>
      <c r="T302">
        <f t="shared" si="968"/>
        <v>-22.626600286474943</v>
      </c>
    </row>
    <row r="303" spans="1:20" x14ac:dyDescent="0.25">
      <c r="A303" s="5">
        <v>44290</v>
      </c>
      <c r="B303">
        <v>0.35158</v>
      </c>
      <c r="C303">
        <v>0.37215999999999999</v>
      </c>
      <c r="D303">
        <v>0.34359000000000001</v>
      </c>
      <c r="E303">
        <v>0.36071999999999999</v>
      </c>
      <c r="F303">
        <v>112252653.5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0.19915995799789907</v>
      </c>
      <c r="Q303">
        <f t="shared" si="965"/>
        <v>22356233.756212719</v>
      </c>
      <c r="R303">
        <f t="shared" si="966"/>
        <v>-2403636047.2074943</v>
      </c>
      <c r="S303">
        <f t="shared" si="967"/>
        <v>-24036.360472074943</v>
      </c>
      <c r="T303">
        <f t="shared" si="968"/>
        <v>-24.036360472074943</v>
      </c>
    </row>
    <row r="304" spans="1:20" x14ac:dyDescent="0.25">
      <c r="A304" s="5">
        <v>44289</v>
      </c>
      <c r="B304">
        <v>0.38274000000000002</v>
      </c>
      <c r="C304">
        <v>0.39860000000000001</v>
      </c>
      <c r="D304">
        <v>0.34976000000000002</v>
      </c>
      <c r="E304">
        <v>0.35133999999999999</v>
      </c>
      <c r="F304">
        <v>177150608.5</v>
      </c>
      <c r="G304">
        <v>0</v>
      </c>
      <c r="L304" t="s">
        <v>7</v>
      </c>
      <c r="M304" t="s">
        <v>8</v>
      </c>
      <c r="N304" t="s">
        <v>7</v>
      </c>
      <c r="P304">
        <f t="shared" si="964"/>
        <v>-0.93529893529893648</v>
      </c>
      <c r="Q304">
        <f t="shared" si="965"/>
        <v>-165688775.51760873</v>
      </c>
      <c r="R304">
        <f t="shared" si="966"/>
        <v>-2425992280.963707</v>
      </c>
      <c r="S304">
        <f t="shared" si="967"/>
        <v>-24259.922809637068</v>
      </c>
      <c r="T304">
        <f t="shared" si="968"/>
        <v>-24.259922809637068</v>
      </c>
    </row>
    <row r="305" spans="1:20" x14ac:dyDescent="0.25">
      <c r="A305" s="5">
        <v>44288</v>
      </c>
      <c r="B305">
        <v>0.36302000000000001</v>
      </c>
      <c r="C305">
        <v>0.39545000000000002</v>
      </c>
      <c r="D305">
        <v>0.35716999999999999</v>
      </c>
      <c r="E305">
        <v>0.38249</v>
      </c>
      <c r="F305">
        <v>190017129.90000001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0.3228840125391842</v>
      </c>
      <c r="Q305">
        <f t="shared" si="965"/>
        <v>61353493.353291392</v>
      </c>
      <c r="R305">
        <f t="shared" si="966"/>
        <v>-2260303505.4460983</v>
      </c>
      <c r="S305">
        <f t="shared" si="967"/>
        <v>-22603.035054460983</v>
      </c>
      <c r="T305">
        <f t="shared" si="968"/>
        <v>-22.603035054460982</v>
      </c>
    </row>
    <row r="306" spans="1:20" x14ac:dyDescent="0.25">
      <c r="A306" s="5">
        <v>44287</v>
      </c>
      <c r="B306">
        <v>0.36038999999999999</v>
      </c>
      <c r="C306">
        <v>0.38</v>
      </c>
      <c r="D306">
        <v>0.35204999999999997</v>
      </c>
      <c r="E306">
        <v>0.36342999999999998</v>
      </c>
      <c r="F306">
        <v>144495789.5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-0.18568872987477719</v>
      </c>
      <c r="Q306">
        <f t="shared" si="965"/>
        <v>-26831239.624508165</v>
      </c>
      <c r="R306">
        <f t="shared" si="966"/>
        <v>-2321656998.7993898</v>
      </c>
      <c r="S306">
        <f t="shared" si="967"/>
        <v>-23216.569987993898</v>
      </c>
      <c r="T306">
        <f t="shared" si="968"/>
        <v>-23.2165699879939</v>
      </c>
    </row>
    <row r="307" spans="1:20" x14ac:dyDescent="0.25">
      <c r="A307" s="5">
        <v>44286</v>
      </c>
      <c r="B307">
        <v>0.37118000000000001</v>
      </c>
      <c r="C307">
        <v>0.38267000000000001</v>
      </c>
      <c r="D307">
        <v>0.33637</v>
      </c>
      <c r="E307">
        <v>0.35994999999999999</v>
      </c>
      <c r="F307">
        <v>205426687.5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1.8574514038876281E-2</v>
      </c>
      <c r="Q307">
        <f t="shared" si="965"/>
        <v>3815700.8909286004</v>
      </c>
      <c r="R307">
        <f t="shared" si="966"/>
        <v>-2294825759.1748815</v>
      </c>
      <c r="S307">
        <f t="shared" si="967"/>
        <v>-22948.257591748814</v>
      </c>
      <c r="T307">
        <f t="shared" si="968"/>
        <v>-22.948257591748813</v>
      </c>
    </row>
    <row r="308" spans="1:20" x14ac:dyDescent="0.25">
      <c r="A308" s="5">
        <v>44285</v>
      </c>
      <c r="B308">
        <v>0.38445000000000001</v>
      </c>
      <c r="C308">
        <v>0.38868999999999998</v>
      </c>
      <c r="D308">
        <v>0.36022999999999999</v>
      </c>
      <c r="E308">
        <v>0.37121999999999999</v>
      </c>
      <c r="F308">
        <v>178760273.09999999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-0.22768798313422309</v>
      </c>
      <c r="Q308">
        <f t="shared" si="965"/>
        <v>-40701566.046661913</v>
      </c>
      <c r="R308">
        <f t="shared" si="966"/>
        <v>-2298641460.0658102</v>
      </c>
      <c r="S308">
        <f t="shared" si="967"/>
        <v>-22986.414600658103</v>
      </c>
      <c r="T308">
        <f t="shared" si="968"/>
        <v>-22.986414600658104</v>
      </c>
    </row>
    <row r="309" spans="1:20" x14ac:dyDescent="0.25">
      <c r="A309" s="5">
        <v>44284</v>
      </c>
      <c r="B309">
        <v>0.34591</v>
      </c>
      <c r="C309">
        <v>0.42396</v>
      </c>
      <c r="D309">
        <v>0.33718999999999999</v>
      </c>
      <c r="E309">
        <v>0.38456000000000001</v>
      </c>
      <c r="F309">
        <v>395274991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9.1852022588452598E-2</v>
      </c>
      <c r="Q309">
        <f t="shared" si="965"/>
        <v>36306807.401982397</v>
      </c>
      <c r="R309">
        <f t="shared" si="966"/>
        <v>-2257939894.0191483</v>
      </c>
      <c r="S309">
        <f t="shared" si="967"/>
        <v>-22579.398940191484</v>
      </c>
      <c r="T309">
        <f t="shared" si="968"/>
        <v>-22.579398940191485</v>
      </c>
    </row>
    <row r="310" spans="1:20" x14ac:dyDescent="0.25">
      <c r="A310" s="5">
        <v>44283</v>
      </c>
      <c r="B310">
        <v>0.33195000000000002</v>
      </c>
      <c r="C310">
        <v>0.35560999999999998</v>
      </c>
      <c r="D310">
        <v>0.32837</v>
      </c>
      <c r="E310">
        <v>0.34623999999999999</v>
      </c>
      <c r="F310">
        <v>163937153.09999999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0.31204111600587414</v>
      </c>
      <c r="Q310">
        <f t="shared" si="965"/>
        <v>51155132.20814985</v>
      </c>
      <c r="R310">
        <f t="shared" si="966"/>
        <v>-2294246701.4211307</v>
      </c>
      <c r="S310">
        <f t="shared" si="967"/>
        <v>-22942.467014211306</v>
      </c>
      <c r="T310">
        <f t="shared" si="968"/>
        <v>-22.942467014211307</v>
      </c>
    </row>
    <row r="311" spans="1:20" x14ac:dyDescent="0.25">
      <c r="A311" s="5">
        <v>44282</v>
      </c>
      <c r="B311">
        <v>0.33610000000000001</v>
      </c>
      <c r="C311">
        <v>0.35676000000000002</v>
      </c>
      <c r="D311">
        <v>0.33100000000000002</v>
      </c>
      <c r="E311">
        <v>0.33195000000000002</v>
      </c>
      <c r="F311">
        <v>159556262.80000001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-0.92624223602484423</v>
      </c>
      <c r="Q311">
        <f t="shared" si="965"/>
        <v>-147787749.62763968</v>
      </c>
      <c r="R311">
        <f t="shared" si="966"/>
        <v>-2345401833.6292806</v>
      </c>
      <c r="S311">
        <f t="shared" si="967"/>
        <v>-23454.018336292807</v>
      </c>
      <c r="T311">
        <f t="shared" si="968"/>
        <v>-23.454018336292808</v>
      </c>
    </row>
    <row r="312" spans="1:20" x14ac:dyDescent="0.25">
      <c r="A312" s="5">
        <v>44281</v>
      </c>
      <c r="B312">
        <v>0.3004</v>
      </c>
      <c r="C312">
        <v>0.34167999999999998</v>
      </c>
      <c r="D312">
        <v>0.30016999999999999</v>
      </c>
      <c r="E312">
        <v>0.33667999999999998</v>
      </c>
      <c r="F312">
        <v>166637476.09999999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0.75909419417007928</v>
      </c>
      <c r="Q312">
        <f t="shared" si="965"/>
        <v>126493540.63866535</v>
      </c>
      <c r="R312">
        <f t="shared" si="966"/>
        <v>-2197614084.0016408</v>
      </c>
      <c r="S312">
        <f t="shared" si="967"/>
        <v>-21976.140840016407</v>
      </c>
      <c r="T312">
        <f t="shared" si="968"/>
        <v>-21.976140840016406</v>
      </c>
    </row>
    <row r="313" spans="1:20" x14ac:dyDescent="0.25">
      <c r="A313" s="5">
        <v>44280</v>
      </c>
      <c r="B313">
        <v>0.32151000000000002</v>
      </c>
      <c r="C313">
        <v>0.33768999999999999</v>
      </c>
      <c r="D313">
        <v>0.29743000000000003</v>
      </c>
      <c r="E313">
        <v>0.30077999999999999</v>
      </c>
      <c r="F313">
        <v>193177201.09999999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-0.83358171882762211</v>
      </c>
      <c r="Q313">
        <f t="shared" si="965"/>
        <v>-161028983.33124721</v>
      </c>
      <c r="R313">
        <f t="shared" si="966"/>
        <v>-2324107624.640306</v>
      </c>
      <c r="S313">
        <f t="shared" si="967"/>
        <v>-23241.076246403059</v>
      </c>
      <c r="T313">
        <f t="shared" si="968"/>
        <v>-23.241076246403061</v>
      </c>
    </row>
    <row r="314" spans="1:20" x14ac:dyDescent="0.25">
      <c r="A314" s="5">
        <v>44279</v>
      </c>
      <c r="B314">
        <v>0.32977000000000001</v>
      </c>
      <c r="C314">
        <v>0.37883</v>
      </c>
      <c r="D314">
        <v>0.30136000000000002</v>
      </c>
      <c r="E314">
        <v>0.32213000000000003</v>
      </c>
      <c r="F314">
        <v>268467295.69999999</v>
      </c>
      <c r="G314">
        <v>0</v>
      </c>
      <c r="L314" t="s">
        <v>8</v>
      </c>
      <c r="M314" t="s">
        <v>7</v>
      </c>
      <c r="N314" t="s">
        <v>7</v>
      </c>
      <c r="P314">
        <f t="shared" si="964"/>
        <v>-0.46379243578159246</v>
      </c>
      <c r="Q314">
        <f t="shared" si="965"/>
        <v>-124513101.00040004</v>
      </c>
      <c r="R314">
        <f t="shared" si="966"/>
        <v>-2163078641.3090587</v>
      </c>
      <c r="S314">
        <f t="shared" si="967"/>
        <v>-21630.786413090587</v>
      </c>
      <c r="T314">
        <f t="shared" si="968"/>
        <v>-21.630786413090586</v>
      </c>
    </row>
    <row r="315" spans="1:20" x14ac:dyDescent="0.25">
      <c r="A315" s="5">
        <v>44278</v>
      </c>
      <c r="B315">
        <v>0.34594000000000003</v>
      </c>
      <c r="C315">
        <v>0.36456</v>
      </c>
      <c r="D315">
        <v>0.32557000000000003</v>
      </c>
      <c r="E315">
        <v>0.32987</v>
      </c>
      <c r="F315">
        <v>146387420.59999999</v>
      </c>
      <c r="G315">
        <v>0</v>
      </c>
      <c r="L315" t="s">
        <v>8</v>
      </c>
      <c r="M315" t="s">
        <v>7</v>
      </c>
      <c r="N315" t="s">
        <v>7</v>
      </c>
      <c r="P315">
        <f t="shared" si="964"/>
        <v>-0.77943062323672874</v>
      </c>
      <c r="Q315">
        <f t="shared" si="965"/>
        <v>-114098838.47227514</v>
      </c>
      <c r="R315">
        <f t="shared" si="966"/>
        <v>-2038565540.3086586</v>
      </c>
      <c r="S315">
        <f t="shared" si="967"/>
        <v>-20385.655403086585</v>
      </c>
      <c r="T315">
        <f t="shared" si="968"/>
        <v>-20.385655403086584</v>
      </c>
    </row>
    <row r="316" spans="1:20" x14ac:dyDescent="0.25">
      <c r="A316" s="5">
        <v>44277</v>
      </c>
      <c r="B316">
        <v>0.38044</v>
      </c>
      <c r="C316">
        <v>0.38422000000000001</v>
      </c>
      <c r="D316">
        <v>0.32100000000000001</v>
      </c>
      <c r="E316">
        <v>0.34594000000000003</v>
      </c>
      <c r="F316">
        <v>152178072.5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-0.21100917431192603</v>
      </c>
      <c r="Q316">
        <f t="shared" si="965"/>
        <v>-32110969.426605418</v>
      </c>
      <c r="R316">
        <f t="shared" si="966"/>
        <v>-1924466701.8363833</v>
      </c>
      <c r="S316">
        <f t="shared" si="967"/>
        <v>-19244.667018363834</v>
      </c>
      <c r="T316">
        <f t="shared" si="968"/>
        <v>-19.244667018363835</v>
      </c>
    </row>
    <row r="317" spans="1:20" x14ac:dyDescent="0.25">
      <c r="A317" s="5">
        <v>44276</v>
      </c>
      <c r="B317">
        <v>0.38275999999999999</v>
      </c>
      <c r="C317">
        <v>0.40949999999999998</v>
      </c>
      <c r="D317">
        <v>0.36402000000000001</v>
      </c>
      <c r="E317">
        <v>0.38016</v>
      </c>
      <c r="F317">
        <v>152444599.40000001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-0.29023746701846964</v>
      </c>
      <c r="Q317">
        <f t="shared" si="965"/>
        <v>-44245134.39050132</v>
      </c>
      <c r="R317">
        <f t="shared" si="966"/>
        <v>-1892355732.4097779</v>
      </c>
      <c r="S317">
        <f t="shared" si="967"/>
        <v>-18923.557324097779</v>
      </c>
      <c r="T317">
        <f t="shared" si="968"/>
        <v>-18.923557324097779</v>
      </c>
    </row>
    <row r="318" spans="1:20" x14ac:dyDescent="0.25">
      <c r="A318" s="5">
        <v>44275</v>
      </c>
      <c r="B318">
        <v>0.40992000000000001</v>
      </c>
      <c r="C318">
        <v>0.42</v>
      </c>
      <c r="D318">
        <v>0.38263000000000003</v>
      </c>
      <c r="E318">
        <v>0.38275999999999999</v>
      </c>
      <c r="F318">
        <v>148386219.5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-0.99304254749799503</v>
      </c>
      <c r="Q318">
        <f t="shared" si="965"/>
        <v>-147353829.42587668</v>
      </c>
      <c r="R318">
        <f t="shared" si="966"/>
        <v>-1848110598.0192766</v>
      </c>
      <c r="S318">
        <f t="shared" si="967"/>
        <v>-18481.105980192766</v>
      </c>
      <c r="T318">
        <f t="shared" si="968"/>
        <v>-18.481105980192766</v>
      </c>
    </row>
    <row r="319" spans="1:20" x14ac:dyDescent="0.25">
      <c r="A319" s="5">
        <v>44274</v>
      </c>
      <c r="B319">
        <v>0.38918999999999998</v>
      </c>
      <c r="C319">
        <v>0.42349999999999999</v>
      </c>
      <c r="D319">
        <v>0.375</v>
      </c>
      <c r="E319">
        <v>0.40991</v>
      </c>
      <c r="F319">
        <v>177038122.90000001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0.43958762886597963</v>
      </c>
      <c r="Q319">
        <f t="shared" si="965"/>
        <v>77823768.664494887</v>
      </c>
      <c r="R319">
        <f t="shared" si="966"/>
        <v>-1700756768.5934</v>
      </c>
      <c r="S319">
        <f t="shared" si="967"/>
        <v>-17007.567685933998</v>
      </c>
      <c r="T319">
        <f t="shared" si="968"/>
        <v>-17.007567685933999</v>
      </c>
    </row>
    <row r="320" spans="1:20" x14ac:dyDescent="0.25">
      <c r="A320" s="5">
        <v>44273</v>
      </c>
      <c r="B320">
        <v>0.40132000000000001</v>
      </c>
      <c r="C320">
        <v>0.43701000000000001</v>
      </c>
      <c r="D320">
        <v>0.38500000000000001</v>
      </c>
      <c r="E320">
        <v>0.38918999999999998</v>
      </c>
      <c r="F320">
        <v>221617738.5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-0.83887713901172956</v>
      </c>
      <c r="Q320">
        <f t="shared" si="965"/>
        <v>-185910054.42712963</v>
      </c>
      <c r="R320">
        <f t="shared" si="966"/>
        <v>-1778580537.257895</v>
      </c>
      <c r="S320">
        <f t="shared" si="967"/>
        <v>-17785.80537257895</v>
      </c>
      <c r="T320">
        <f t="shared" si="968"/>
        <v>-17.785805372578949</v>
      </c>
    </row>
    <row r="321" spans="1:20" x14ac:dyDescent="0.25">
      <c r="A321" s="5">
        <v>44272</v>
      </c>
      <c r="B321">
        <v>0.37275000000000003</v>
      </c>
      <c r="C321">
        <v>0.42675999999999997</v>
      </c>
      <c r="D321">
        <v>0.37141000000000002</v>
      </c>
      <c r="E321">
        <v>0.40081</v>
      </c>
      <c r="F321">
        <v>418128933.39999998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6.233062330623327E-2</v>
      </c>
      <c r="Q321">
        <f t="shared" si="965"/>
        <v>26062237.041192498</v>
      </c>
      <c r="R321">
        <f t="shared" si="966"/>
        <v>-1592670482.8307652</v>
      </c>
      <c r="S321">
        <f t="shared" si="967"/>
        <v>-15926.704828307653</v>
      </c>
      <c r="T321">
        <f t="shared" si="968"/>
        <v>-15.926704828307653</v>
      </c>
    </row>
    <row r="322" spans="1:20" x14ac:dyDescent="0.25">
      <c r="A322" s="5">
        <v>44271</v>
      </c>
      <c r="B322">
        <v>0.39101000000000002</v>
      </c>
      <c r="C322">
        <v>0.39600000000000002</v>
      </c>
      <c r="D322">
        <v>0.34451999999999999</v>
      </c>
      <c r="E322">
        <v>0.37275000000000003</v>
      </c>
      <c r="F322">
        <v>311878310.69999999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9.6736596736597458E-2</v>
      </c>
      <c r="Q322">
        <f t="shared" si="965"/>
        <v>30170046.373077147</v>
      </c>
      <c r="R322">
        <f t="shared" si="966"/>
        <v>-1618732719.8719578</v>
      </c>
      <c r="S322">
        <f t="shared" si="967"/>
        <v>-16187.327198719579</v>
      </c>
      <c r="T322">
        <f t="shared" si="968"/>
        <v>-16.187327198719579</v>
      </c>
    </row>
    <row r="323" spans="1:20" x14ac:dyDescent="0.25">
      <c r="A323" s="5">
        <v>44270</v>
      </c>
      <c r="B323">
        <v>0.38041000000000003</v>
      </c>
      <c r="C323">
        <v>0.43097999999999997</v>
      </c>
      <c r="D323">
        <v>0.37823000000000001</v>
      </c>
      <c r="E323">
        <v>0.3911</v>
      </c>
      <c r="F323">
        <v>412939725.39999998</v>
      </c>
      <c r="G323">
        <v>0</v>
      </c>
      <c r="L323" t="s">
        <v>8</v>
      </c>
      <c r="M323" t="s">
        <v>7</v>
      </c>
      <c r="N323" t="s">
        <v>7</v>
      </c>
      <c r="P323">
        <f t="shared" si="964"/>
        <v>-0.51203791469194304</v>
      </c>
      <c r="Q323">
        <f t="shared" si="965"/>
        <v>-211440795.88727957</v>
      </c>
      <c r="R323">
        <f t="shared" si="966"/>
        <v>-1648902766.2450349</v>
      </c>
      <c r="S323">
        <f t="shared" si="967"/>
        <v>-16489.027662450349</v>
      </c>
      <c r="T323">
        <f t="shared" si="968"/>
        <v>-16.489027662450351</v>
      </c>
    </row>
    <row r="324" spans="1:20" x14ac:dyDescent="0.25">
      <c r="A324" s="5">
        <v>44269</v>
      </c>
      <c r="B324">
        <v>0.42526000000000003</v>
      </c>
      <c r="C324">
        <v>0.44048999999999999</v>
      </c>
      <c r="D324">
        <v>0.37486000000000003</v>
      </c>
      <c r="E324">
        <v>0.38042999999999999</v>
      </c>
      <c r="F324">
        <v>381854830.19999999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-0.83026055157702372</v>
      </c>
      <c r="Q324">
        <f t="shared" si="965"/>
        <v>-317039001.94420272</v>
      </c>
      <c r="R324">
        <f t="shared" si="966"/>
        <v>-1437461970.3577554</v>
      </c>
      <c r="S324">
        <f t="shared" si="967"/>
        <v>-14374.619703577555</v>
      </c>
      <c r="T324">
        <f t="shared" si="968"/>
        <v>-14.374619703577554</v>
      </c>
    </row>
    <row r="325" spans="1:20" x14ac:dyDescent="0.25">
      <c r="A325" s="5">
        <v>44268</v>
      </c>
      <c r="B325">
        <v>0.41355999999999998</v>
      </c>
      <c r="C325">
        <v>0.47</v>
      </c>
      <c r="D325">
        <v>0.41056999999999999</v>
      </c>
      <c r="E325">
        <v>0.42474000000000001</v>
      </c>
      <c r="F325">
        <v>539596767.10000002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-0.52313646306579098</v>
      </c>
      <c r="Q325">
        <f t="shared" si="965"/>
        <v>-282282744.22242939</v>
      </c>
      <c r="R325">
        <f t="shared" si="966"/>
        <v>-1120422968.4135528</v>
      </c>
      <c r="S325">
        <f t="shared" si="967"/>
        <v>-11204.229684135527</v>
      </c>
      <c r="T325">
        <f t="shared" si="968"/>
        <v>-11.204229684135527</v>
      </c>
    </row>
    <row r="326" spans="1:20" x14ac:dyDescent="0.25">
      <c r="A326" s="5">
        <v>44267</v>
      </c>
      <c r="B326">
        <v>0.40916000000000002</v>
      </c>
      <c r="C326">
        <v>0.505</v>
      </c>
      <c r="D326">
        <v>0.39590999999999998</v>
      </c>
      <c r="E326">
        <v>0.41354000000000002</v>
      </c>
      <c r="F326">
        <v>1098461833.7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-0.67678063983866477</v>
      </c>
      <c r="Q326">
        <f t="shared" ref="Q326:Q389" si="970">F326*P326</f>
        <v>-743417702.64983904</v>
      </c>
      <c r="R326">
        <f t="shared" ref="R326:R389" si="971">R327+Q326</f>
        <v>-838140224.19112349</v>
      </c>
      <c r="S326">
        <f t="shared" ref="S326:S389" si="972">R326/100000</f>
        <v>-8381.4022419112353</v>
      </c>
      <c r="T326">
        <f t="shared" ref="T326:T389" si="973">S326/1000</f>
        <v>-8.3814022419112355</v>
      </c>
    </row>
    <row r="327" spans="1:20" x14ac:dyDescent="0.25">
      <c r="A327" s="5">
        <v>44266</v>
      </c>
      <c r="B327">
        <v>0.28671000000000002</v>
      </c>
      <c r="C327">
        <v>0.54344000000000003</v>
      </c>
      <c r="D327">
        <v>0.27911999999999998</v>
      </c>
      <c r="E327">
        <v>0.40883999999999998</v>
      </c>
      <c r="F327">
        <v>1398092193.4000001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-1.8462469733656364E-2</v>
      </c>
      <c r="Q327">
        <f t="shared" si="970"/>
        <v>-25812234.80550874</v>
      </c>
      <c r="R327">
        <f t="shared" si="971"/>
        <v>-94722521.541284442</v>
      </c>
      <c r="S327">
        <f t="shared" si="972"/>
        <v>-947.22521541284436</v>
      </c>
      <c r="T327">
        <f t="shared" si="973"/>
        <v>-0.94722521541284432</v>
      </c>
    </row>
    <row r="328" spans="1:20" x14ac:dyDescent="0.25">
      <c r="A328" s="5">
        <v>44265</v>
      </c>
      <c r="B328">
        <v>0.29920999999999998</v>
      </c>
      <c r="C328">
        <v>0.34050000000000002</v>
      </c>
      <c r="D328">
        <v>0.28000000000000003</v>
      </c>
      <c r="E328">
        <v>0.28677999999999998</v>
      </c>
      <c r="F328">
        <v>859362194.29999995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-0.77586776859504292</v>
      </c>
      <c r="Q328">
        <f t="shared" si="970"/>
        <v>-666751428.10648072</v>
      </c>
      <c r="R328">
        <f t="shared" si="971"/>
        <v>-68910286.735775709</v>
      </c>
      <c r="S328">
        <f t="shared" si="972"/>
        <v>-689.10286735775708</v>
      </c>
      <c r="T328">
        <f t="shared" si="973"/>
        <v>-0.68910286735775705</v>
      </c>
    </row>
    <row r="329" spans="1:20" x14ac:dyDescent="0.25">
      <c r="A329" s="5">
        <v>44264</v>
      </c>
      <c r="B329">
        <v>0.21747</v>
      </c>
      <c r="C329">
        <v>0.308</v>
      </c>
      <c r="D329">
        <v>0.21543999999999999</v>
      </c>
      <c r="E329">
        <v>0.29899999999999999</v>
      </c>
      <c r="F329">
        <v>899319214.79999995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0.80553154710458064</v>
      </c>
      <c r="Q329">
        <f t="shared" si="970"/>
        <v>724429998.43872058</v>
      </c>
      <c r="R329">
        <f t="shared" si="971"/>
        <v>597841141.37070501</v>
      </c>
      <c r="S329">
        <f t="shared" si="972"/>
        <v>5978.4114137070501</v>
      </c>
      <c r="T329">
        <f t="shared" si="973"/>
        <v>5.9784114137070503</v>
      </c>
    </row>
    <row r="330" spans="1:20" x14ac:dyDescent="0.25">
      <c r="A330" s="5">
        <v>44263</v>
      </c>
      <c r="B330">
        <v>0.21209</v>
      </c>
      <c r="C330">
        <v>0.22148000000000001</v>
      </c>
      <c r="D330">
        <v>0.20472000000000001</v>
      </c>
      <c r="E330">
        <v>0.21745999999999999</v>
      </c>
      <c r="F330">
        <v>182254757.40000001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0.52028639618138139</v>
      </c>
      <c r="Q330">
        <f t="shared" si="970"/>
        <v>94824670.914557949</v>
      </c>
      <c r="R330">
        <f t="shared" si="971"/>
        <v>-126588857.06801556</v>
      </c>
      <c r="S330">
        <f t="shared" si="972"/>
        <v>-1265.8885706801557</v>
      </c>
      <c r="T330">
        <f t="shared" si="973"/>
        <v>-1.2658885706801557</v>
      </c>
    </row>
    <row r="331" spans="1:20" x14ac:dyDescent="0.25">
      <c r="A331" s="5">
        <v>44262</v>
      </c>
      <c r="B331">
        <v>0.21229000000000001</v>
      </c>
      <c r="C331">
        <v>0.22248999999999999</v>
      </c>
      <c r="D331">
        <v>0.20707</v>
      </c>
      <c r="E331">
        <v>0.21235000000000001</v>
      </c>
      <c r="F331">
        <v>159554655.19999999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-0.31517509727626319</v>
      </c>
      <c r="Q331">
        <f t="shared" si="970"/>
        <v>-50287653.973540626</v>
      </c>
      <c r="R331">
        <f t="shared" si="971"/>
        <v>-221413527.98257351</v>
      </c>
      <c r="S331">
        <f t="shared" si="972"/>
        <v>-2214.1352798257349</v>
      </c>
      <c r="T331">
        <f t="shared" si="973"/>
        <v>-2.2141352798257348</v>
      </c>
    </row>
    <row r="332" spans="1:20" x14ac:dyDescent="0.25">
      <c r="A332" s="5">
        <v>44261</v>
      </c>
      <c r="B332">
        <v>0.21235999999999999</v>
      </c>
      <c r="C332">
        <v>0.22919</v>
      </c>
      <c r="D332">
        <v>0.20526</v>
      </c>
      <c r="E332">
        <v>0.21215000000000001</v>
      </c>
      <c r="F332">
        <v>223410617.19999999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-0.4241537818637689</v>
      </c>
      <c r="Q332">
        <f t="shared" si="970"/>
        <v>-94760458.193898767</v>
      </c>
      <c r="R332">
        <f t="shared" si="971"/>
        <v>-171125874.00903288</v>
      </c>
      <c r="S332">
        <f t="shared" si="972"/>
        <v>-1711.2587400903287</v>
      </c>
      <c r="T332">
        <f t="shared" si="973"/>
        <v>-1.7112587400903287</v>
      </c>
    </row>
    <row r="333" spans="1:20" x14ac:dyDescent="0.25">
      <c r="A333" s="5">
        <v>44260</v>
      </c>
      <c r="B333">
        <v>0.19883999999999999</v>
      </c>
      <c r="C333">
        <v>0.224</v>
      </c>
      <c r="D333">
        <v>0.18287999999999999</v>
      </c>
      <c r="E333">
        <v>0.21232999999999999</v>
      </c>
      <c r="F333">
        <v>395489429.10000002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0.43239299610894899</v>
      </c>
      <c r="Q333">
        <f t="shared" si="970"/>
        <v>171006859.17796677</v>
      </c>
      <c r="R333">
        <f t="shared" si="971"/>
        <v>-76365415.815134108</v>
      </c>
      <c r="S333">
        <f t="shared" si="972"/>
        <v>-763.65415815134111</v>
      </c>
      <c r="T333">
        <f t="shared" si="973"/>
        <v>-0.76365415815134108</v>
      </c>
    </row>
    <row r="334" spans="1:20" x14ac:dyDescent="0.25">
      <c r="A334" s="5">
        <v>44259</v>
      </c>
      <c r="B334">
        <v>0.22278000000000001</v>
      </c>
      <c r="C334">
        <v>0.23624999999999999</v>
      </c>
      <c r="D334">
        <v>0.19250999999999999</v>
      </c>
      <c r="E334">
        <v>0.19877</v>
      </c>
      <c r="F334">
        <v>400721256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-0.71376314586191059</v>
      </c>
      <c r="Q334">
        <f t="shared" si="970"/>
        <v>-286020064.296296</v>
      </c>
      <c r="R334">
        <f t="shared" si="971"/>
        <v>-247372274.99310088</v>
      </c>
      <c r="S334">
        <f t="shared" si="972"/>
        <v>-2473.7227499310088</v>
      </c>
      <c r="T334">
        <f t="shared" si="973"/>
        <v>-2.4737227499310088</v>
      </c>
    </row>
    <row r="335" spans="1:20" x14ac:dyDescent="0.25">
      <c r="A335" s="5">
        <v>44258</v>
      </c>
      <c r="B335">
        <v>0.23227</v>
      </c>
      <c r="C335">
        <v>0.23799999999999999</v>
      </c>
      <c r="D335">
        <v>0.21845999999999999</v>
      </c>
      <c r="E335">
        <v>0.22302</v>
      </c>
      <c r="F335">
        <v>331005470.69999999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-0.53326509723643722</v>
      </c>
      <c r="Q335">
        <f t="shared" si="970"/>
        <v>-176513664.51862818</v>
      </c>
      <c r="R335">
        <f t="shared" si="971"/>
        <v>38647789.303195119</v>
      </c>
      <c r="S335">
        <f t="shared" si="972"/>
        <v>386.47789303195117</v>
      </c>
      <c r="T335">
        <f t="shared" si="973"/>
        <v>0.38647789303195118</v>
      </c>
    </row>
    <row r="336" spans="1:20" x14ac:dyDescent="0.25">
      <c r="A336" s="5">
        <v>44257</v>
      </c>
      <c r="B336">
        <v>0.24928</v>
      </c>
      <c r="C336">
        <v>0.2505</v>
      </c>
      <c r="D336">
        <v>0.21026</v>
      </c>
      <c r="E336">
        <v>0.23264000000000001</v>
      </c>
      <c r="F336">
        <v>498124592.5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0.11232604373757515</v>
      </c>
      <c r="Q336">
        <f t="shared" si="970"/>
        <v>55952364.763916798</v>
      </c>
      <c r="R336">
        <f t="shared" si="971"/>
        <v>215161453.8218233</v>
      </c>
      <c r="S336">
        <f t="shared" si="972"/>
        <v>2151.6145382182331</v>
      </c>
      <c r="T336">
        <f t="shared" si="973"/>
        <v>2.151614538218233</v>
      </c>
    </row>
    <row r="337" spans="1:20" x14ac:dyDescent="0.25">
      <c r="A337" s="5">
        <v>44256</v>
      </c>
      <c r="B337">
        <v>0.23291000000000001</v>
      </c>
      <c r="C337">
        <v>0.25402000000000002</v>
      </c>
      <c r="D337">
        <v>0.21607000000000001</v>
      </c>
      <c r="E337">
        <v>0.25009999999999999</v>
      </c>
      <c r="F337">
        <v>923912729.70000005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0.79341238471673081</v>
      </c>
      <c r="Q337">
        <f t="shared" si="970"/>
        <v>733043802.14142132</v>
      </c>
      <c r="R337">
        <f t="shared" si="971"/>
        <v>159209089.05790651</v>
      </c>
      <c r="S337">
        <f t="shared" si="972"/>
        <v>1592.090890579065</v>
      </c>
      <c r="T337">
        <f t="shared" si="973"/>
        <v>1.5920908905790649</v>
      </c>
    </row>
    <row r="338" spans="1:20" x14ac:dyDescent="0.25">
      <c r="A338" s="5">
        <v>44255</v>
      </c>
      <c r="B338">
        <v>0.19717000000000001</v>
      </c>
      <c r="C338">
        <v>0.23399</v>
      </c>
      <c r="D338">
        <v>0.1716</v>
      </c>
      <c r="E338">
        <v>0.2329</v>
      </c>
      <c r="F338">
        <v>1048606178.3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0.96505850296521856</v>
      </c>
      <c r="Q338">
        <f t="shared" si="970"/>
        <v>1011966308.630277</v>
      </c>
      <c r="R338">
        <f t="shared" si="971"/>
        <v>-573834713.08351481</v>
      </c>
      <c r="S338">
        <f t="shared" si="972"/>
        <v>-5738.3471308351482</v>
      </c>
      <c r="T338">
        <f t="shared" si="973"/>
        <v>-5.7383471308351481</v>
      </c>
    </row>
    <row r="339" spans="1:20" x14ac:dyDescent="0.25">
      <c r="A339" s="5">
        <v>44254</v>
      </c>
      <c r="B339">
        <v>0.19067000000000001</v>
      </c>
      <c r="C339">
        <v>0.23171</v>
      </c>
      <c r="D339">
        <v>0.18833</v>
      </c>
      <c r="E339">
        <v>0.1971</v>
      </c>
      <c r="F339">
        <v>988975732.89999998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-0.59566620562471184</v>
      </c>
      <c r="Q339">
        <f t="shared" si="970"/>
        <v>-589099422.27146149</v>
      </c>
      <c r="R339">
        <f t="shared" si="971"/>
        <v>-1585801021.7137918</v>
      </c>
      <c r="S339">
        <f t="shared" si="972"/>
        <v>-15858.010217137919</v>
      </c>
      <c r="T339">
        <f t="shared" si="973"/>
        <v>-15.858010217137918</v>
      </c>
    </row>
    <row r="340" spans="1:20" x14ac:dyDescent="0.25">
      <c r="A340" s="5">
        <v>44253</v>
      </c>
      <c r="B340">
        <v>0.17563999999999999</v>
      </c>
      <c r="C340">
        <v>0.20337</v>
      </c>
      <c r="D340">
        <v>0.15942000000000001</v>
      </c>
      <c r="E340">
        <v>0.19036</v>
      </c>
      <c r="F340">
        <v>1129911803.3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0.40796359499431184</v>
      </c>
      <c r="Q340">
        <f t="shared" si="970"/>
        <v>460962881.30077374</v>
      </c>
      <c r="R340">
        <f t="shared" si="971"/>
        <v>-996701599.44233024</v>
      </c>
      <c r="S340">
        <f t="shared" si="972"/>
        <v>-9967.0159944233019</v>
      </c>
      <c r="T340">
        <f t="shared" si="973"/>
        <v>-9.9670159944233028</v>
      </c>
    </row>
    <row r="341" spans="1:20" x14ac:dyDescent="0.25">
      <c r="A341" s="5">
        <v>44252</v>
      </c>
      <c r="B341">
        <v>0.16020999999999999</v>
      </c>
      <c r="C341">
        <v>0.2218</v>
      </c>
      <c r="D341">
        <v>0.15858</v>
      </c>
      <c r="E341">
        <v>0.17563999999999999</v>
      </c>
      <c r="F341">
        <v>1277626457.3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-0.46029737424865574</v>
      </c>
      <c r="Q341">
        <f t="shared" si="970"/>
        <v>-588088103.56580222</v>
      </c>
      <c r="R341">
        <f t="shared" si="971"/>
        <v>-1457664480.743104</v>
      </c>
      <c r="S341">
        <f t="shared" si="972"/>
        <v>-14576.644807431039</v>
      </c>
      <c r="T341">
        <f t="shared" si="973"/>
        <v>-14.576644807431039</v>
      </c>
    </row>
    <row r="342" spans="1:20" x14ac:dyDescent="0.25">
      <c r="A342" s="5">
        <v>44251</v>
      </c>
      <c r="B342">
        <v>0.13672999999999999</v>
      </c>
      <c r="C342">
        <v>0.17151</v>
      </c>
      <c r="D342">
        <v>0.12723999999999999</v>
      </c>
      <c r="E342">
        <v>0.16020000000000001</v>
      </c>
      <c r="F342">
        <v>760692851.5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0.48904449966117075</v>
      </c>
      <c r="Q342">
        <f t="shared" si="970"/>
        <v>372012654.95764679</v>
      </c>
      <c r="R342">
        <f t="shared" si="971"/>
        <v>-869576377.17730165</v>
      </c>
      <c r="S342">
        <f t="shared" si="972"/>
        <v>-8695.7637717730158</v>
      </c>
      <c r="T342">
        <f t="shared" si="973"/>
        <v>-8.6957637717730165</v>
      </c>
    </row>
    <row r="343" spans="1:20" x14ac:dyDescent="0.25">
      <c r="A343" s="5">
        <v>44250</v>
      </c>
      <c r="B343">
        <v>0.15214</v>
      </c>
      <c r="C343">
        <v>0.15296000000000001</v>
      </c>
      <c r="D343">
        <v>9.9000000000000005E-2</v>
      </c>
      <c r="E343">
        <v>0.13672000000000001</v>
      </c>
      <c r="F343">
        <v>872448639.89999998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0.39807264640474416</v>
      </c>
      <c r="Q343">
        <f t="shared" si="970"/>
        <v>347297938.93721265</v>
      </c>
      <c r="R343">
        <f t="shared" si="971"/>
        <v>-1241589032.1349485</v>
      </c>
      <c r="S343">
        <f t="shared" si="972"/>
        <v>-12415.890321349485</v>
      </c>
      <c r="T343">
        <f t="shared" si="973"/>
        <v>-12.415890321349485</v>
      </c>
    </row>
    <row r="344" spans="1:20" x14ac:dyDescent="0.25">
      <c r="A344" s="5">
        <v>44249</v>
      </c>
      <c r="B344">
        <v>0.16233</v>
      </c>
      <c r="C344">
        <v>0.16757</v>
      </c>
      <c r="D344">
        <v>0.11996</v>
      </c>
      <c r="E344">
        <v>0.15217</v>
      </c>
      <c r="F344">
        <v>794306581.20000005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0.35307708464608289</v>
      </c>
      <c r="Q344">
        <f t="shared" si="970"/>
        <v>280451452.00529313</v>
      </c>
      <c r="R344">
        <f t="shared" si="971"/>
        <v>-1588886971.0721612</v>
      </c>
      <c r="S344">
        <f t="shared" si="972"/>
        <v>-15888.869710721612</v>
      </c>
      <c r="T344">
        <f t="shared" si="973"/>
        <v>-15.888869710721613</v>
      </c>
    </row>
    <row r="345" spans="1:20" x14ac:dyDescent="0.25">
      <c r="A345" s="5">
        <v>44248</v>
      </c>
      <c r="B345">
        <v>0.14402000000000001</v>
      </c>
      <c r="C345">
        <v>0.18471000000000001</v>
      </c>
      <c r="D345">
        <v>0.13879</v>
      </c>
      <c r="E345">
        <v>0.16231000000000001</v>
      </c>
      <c r="F345">
        <v>788793761.79999995</v>
      </c>
      <c r="G345">
        <v>0</v>
      </c>
      <c r="L345" t="s">
        <v>7</v>
      </c>
      <c r="M345" t="s">
        <v>7</v>
      </c>
      <c r="N345" t="s">
        <v>7</v>
      </c>
      <c r="P345">
        <f t="shared" si="969"/>
        <v>2.439024390243923E-2</v>
      </c>
      <c r="Q345">
        <f t="shared" si="970"/>
        <v>19238872.23902455</v>
      </c>
      <c r="R345">
        <f t="shared" si="971"/>
        <v>-1869338423.0774543</v>
      </c>
      <c r="S345">
        <f t="shared" si="972"/>
        <v>-18693.384230774544</v>
      </c>
      <c r="T345">
        <f t="shared" si="973"/>
        <v>-18.693384230774544</v>
      </c>
    </row>
    <row r="346" spans="1:20" x14ac:dyDescent="0.25">
      <c r="A346" s="5">
        <v>44247</v>
      </c>
      <c r="B346">
        <v>0.15339</v>
      </c>
      <c r="C346">
        <v>0.20100000000000001</v>
      </c>
      <c r="D346">
        <v>0.13</v>
      </c>
      <c r="E346">
        <v>0.14443</v>
      </c>
      <c r="F346">
        <v>1518699825.9000001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-0.59352112676056346</v>
      </c>
      <c r="Q346">
        <f t="shared" si="970"/>
        <v>-901380431.87923956</v>
      </c>
      <c r="R346">
        <f t="shared" si="971"/>
        <v>-1888577295.316479</v>
      </c>
      <c r="S346">
        <f t="shared" si="972"/>
        <v>-18885.772953164789</v>
      </c>
      <c r="T346">
        <f t="shared" si="973"/>
        <v>-18.885772953164789</v>
      </c>
    </row>
    <row r="347" spans="1:20" x14ac:dyDescent="0.25">
      <c r="A347" s="5">
        <v>44246</v>
      </c>
      <c r="B347">
        <v>0.12237000000000001</v>
      </c>
      <c r="C347">
        <v>0.16539000000000001</v>
      </c>
      <c r="D347">
        <v>0.1172</v>
      </c>
      <c r="E347">
        <v>0.15326999999999999</v>
      </c>
      <c r="F347">
        <v>747308914.10000002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0.49699107698692602</v>
      </c>
      <c r="Q347">
        <f t="shared" si="970"/>
        <v>371405862.06048918</v>
      </c>
      <c r="R347">
        <f t="shared" si="971"/>
        <v>-987196863.43723941</v>
      </c>
      <c r="S347">
        <f t="shared" si="972"/>
        <v>-9871.9686343723934</v>
      </c>
      <c r="T347">
        <f t="shared" si="973"/>
        <v>-9.8719686343723936</v>
      </c>
    </row>
    <row r="348" spans="1:20" x14ac:dyDescent="0.25">
      <c r="A348" s="5">
        <v>44245</v>
      </c>
      <c r="B348">
        <v>0.11215</v>
      </c>
      <c r="C348">
        <v>0.13395000000000001</v>
      </c>
      <c r="D348">
        <v>0.11212</v>
      </c>
      <c r="E348">
        <v>0.12214</v>
      </c>
      <c r="F348">
        <v>582538582.70000005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-8.1997251488777484E-2</v>
      </c>
      <c r="Q348">
        <f t="shared" si="970"/>
        <v>-47766562.667567901</v>
      </c>
      <c r="R348">
        <f t="shared" si="971"/>
        <v>-1358602725.4977286</v>
      </c>
      <c r="S348">
        <f t="shared" si="972"/>
        <v>-13586.027254977285</v>
      </c>
      <c r="T348">
        <f t="shared" si="973"/>
        <v>-13.586027254977285</v>
      </c>
    </row>
    <row r="349" spans="1:20" x14ac:dyDescent="0.25">
      <c r="A349" s="5">
        <v>44244</v>
      </c>
      <c r="B349">
        <v>0.10864</v>
      </c>
      <c r="C349">
        <v>0.1195</v>
      </c>
      <c r="D349">
        <v>9.529E-2</v>
      </c>
      <c r="E349">
        <v>0.11212999999999999</v>
      </c>
      <c r="F349">
        <v>514912629.19999999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0.39116067740603033</v>
      </c>
      <c r="Q349">
        <f t="shared" si="970"/>
        <v>201413572.84279212</v>
      </c>
      <c r="R349">
        <f t="shared" si="971"/>
        <v>-1310836162.8301606</v>
      </c>
      <c r="S349">
        <f t="shared" si="972"/>
        <v>-13108.361628301605</v>
      </c>
      <c r="T349">
        <f t="shared" si="973"/>
        <v>-13.108361628301605</v>
      </c>
    </row>
    <row r="350" spans="1:20" x14ac:dyDescent="0.25">
      <c r="A350" s="5">
        <v>44243</v>
      </c>
      <c r="B350">
        <v>0.10749</v>
      </c>
      <c r="C350">
        <v>0.11588</v>
      </c>
      <c r="D350">
        <v>0.10069</v>
      </c>
      <c r="E350">
        <v>0.10899</v>
      </c>
      <c r="F350">
        <v>464345137.30000001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9.2824226464780044E-2</v>
      </c>
      <c r="Q350">
        <f t="shared" si="970"/>
        <v>43102478.182554588</v>
      </c>
      <c r="R350">
        <f t="shared" si="971"/>
        <v>-1512249735.6729527</v>
      </c>
      <c r="S350">
        <f t="shared" si="972"/>
        <v>-15122.497356729527</v>
      </c>
      <c r="T350">
        <f t="shared" si="973"/>
        <v>-15.122497356729527</v>
      </c>
    </row>
    <row r="351" spans="1:20" x14ac:dyDescent="0.25">
      <c r="A351" s="5">
        <v>44242</v>
      </c>
      <c r="B351">
        <v>0.10055</v>
      </c>
      <c r="C351">
        <v>0.11977</v>
      </c>
      <c r="D351">
        <v>8.1490000000000007E-2</v>
      </c>
      <c r="E351">
        <v>0.10717</v>
      </c>
      <c r="F351">
        <v>795291029.10000002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0.34169278996865193</v>
      </c>
      <c r="Q351">
        <f t="shared" si="970"/>
        <v>271745210.57021934</v>
      </c>
      <c r="R351">
        <f t="shared" si="971"/>
        <v>-1555352213.8555071</v>
      </c>
      <c r="S351">
        <f t="shared" si="972"/>
        <v>-15553.522138555072</v>
      </c>
      <c r="T351">
        <f t="shared" si="973"/>
        <v>-15.553522138555072</v>
      </c>
    </row>
    <row r="352" spans="1:20" x14ac:dyDescent="0.25">
      <c r="A352" s="5">
        <v>44241</v>
      </c>
      <c r="B352">
        <v>0.11155</v>
      </c>
      <c r="C352">
        <v>0.11597</v>
      </c>
      <c r="D352">
        <v>9.4219999999999998E-2</v>
      </c>
      <c r="E352">
        <v>0.10002</v>
      </c>
      <c r="F352">
        <v>435675175.30000001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-0.46666666666666684</v>
      </c>
      <c r="Q352">
        <f t="shared" si="970"/>
        <v>-203315081.80666676</v>
      </c>
      <c r="R352">
        <f t="shared" si="971"/>
        <v>-1827097424.4257264</v>
      </c>
      <c r="S352">
        <f t="shared" si="972"/>
        <v>-18270.974244257264</v>
      </c>
      <c r="T352">
        <f t="shared" si="973"/>
        <v>-18.270974244257264</v>
      </c>
    </row>
    <row r="353" spans="1:20" x14ac:dyDescent="0.25">
      <c r="A353" s="5">
        <v>44240</v>
      </c>
      <c r="B353">
        <v>0.12069000000000001</v>
      </c>
      <c r="C353">
        <v>0.12590000000000001</v>
      </c>
      <c r="D353">
        <v>0.10476000000000001</v>
      </c>
      <c r="E353">
        <v>0.1115</v>
      </c>
      <c r="F353">
        <v>443818680.19999999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-0.36234626300851525</v>
      </c>
      <c r="Q353">
        <f t="shared" si="970"/>
        <v>-160816040.22384131</v>
      </c>
      <c r="R353">
        <f t="shared" si="971"/>
        <v>-1623782342.6190596</v>
      </c>
      <c r="S353">
        <f t="shared" si="972"/>
        <v>-16237.823426190596</v>
      </c>
      <c r="T353">
        <f t="shared" si="973"/>
        <v>-16.237823426190598</v>
      </c>
    </row>
    <row r="354" spans="1:20" x14ac:dyDescent="0.25">
      <c r="A354" s="5">
        <v>44239</v>
      </c>
      <c r="B354">
        <v>0.12332</v>
      </c>
      <c r="C354">
        <v>0.1298</v>
      </c>
      <c r="D354">
        <v>0.11354</v>
      </c>
      <c r="E354">
        <v>0.12071</v>
      </c>
      <c r="F354">
        <v>458722829.39999998</v>
      </c>
      <c r="G354">
        <v>0</v>
      </c>
      <c r="L354" t="s">
        <v>8</v>
      </c>
      <c r="M354" t="s">
        <v>7</v>
      </c>
      <c r="N354" t="s">
        <v>8</v>
      </c>
      <c r="P354">
        <f t="shared" si="969"/>
        <v>-0.11808118081180845</v>
      </c>
      <c r="Q354">
        <f t="shared" si="970"/>
        <v>-54166533.360885754</v>
      </c>
      <c r="R354">
        <f t="shared" si="971"/>
        <v>-1462966302.3952184</v>
      </c>
      <c r="S354">
        <f t="shared" si="972"/>
        <v>-14629.663023952184</v>
      </c>
      <c r="T354">
        <f t="shared" si="973"/>
        <v>-14.629663023952183</v>
      </c>
    </row>
    <row r="355" spans="1:20" x14ac:dyDescent="0.25">
      <c r="A355" s="5">
        <v>44238</v>
      </c>
      <c r="B355">
        <v>0.11587</v>
      </c>
      <c r="C355">
        <v>0.13844999999999999</v>
      </c>
      <c r="D355">
        <v>0.112</v>
      </c>
      <c r="E355">
        <v>0.12333</v>
      </c>
      <c r="F355">
        <v>679724272.5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-0.14328922495274116</v>
      </c>
      <c r="Q355">
        <f t="shared" si="970"/>
        <v>-97397164.188090831</v>
      </c>
      <c r="R355">
        <f t="shared" si="971"/>
        <v>-1408799769.0343325</v>
      </c>
      <c r="S355">
        <f t="shared" si="972"/>
        <v>-14087.997690343325</v>
      </c>
      <c r="T355">
        <f t="shared" si="973"/>
        <v>-14.087997690343325</v>
      </c>
    </row>
    <row r="356" spans="1:20" x14ac:dyDescent="0.25">
      <c r="A356" s="5">
        <v>44237</v>
      </c>
      <c r="B356">
        <v>9.8629999999999995E-2</v>
      </c>
      <c r="C356">
        <v>0.1469</v>
      </c>
      <c r="D356">
        <v>9.6350000000000005E-2</v>
      </c>
      <c r="E356">
        <v>0.11584999999999999</v>
      </c>
      <c r="F356">
        <v>1888825126.5999999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-0.22848664688427336</v>
      </c>
      <c r="Q356">
        <f t="shared" si="970"/>
        <v>-431571319.72759712</v>
      </c>
      <c r="R356">
        <f t="shared" si="971"/>
        <v>-1311402604.8462417</v>
      </c>
      <c r="S356">
        <f t="shared" si="972"/>
        <v>-13114.026048462418</v>
      </c>
      <c r="T356">
        <f t="shared" si="973"/>
        <v>-13.114026048462417</v>
      </c>
    </row>
    <row r="357" spans="1:20" x14ac:dyDescent="0.25">
      <c r="A357" s="5">
        <v>44236</v>
      </c>
      <c r="B357">
        <v>7.1150000000000005E-2</v>
      </c>
      <c r="C357">
        <v>0.108</v>
      </c>
      <c r="D357">
        <v>6.9000000000000006E-2</v>
      </c>
      <c r="E357">
        <v>9.8640000000000005E-2</v>
      </c>
      <c r="F357">
        <v>1076998438.3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0.52000000000000024</v>
      </c>
      <c r="Q357">
        <f t="shared" si="970"/>
        <v>560039187.91600025</v>
      </c>
      <c r="R357">
        <f t="shared" si="971"/>
        <v>-879831285.1186446</v>
      </c>
      <c r="S357">
        <f t="shared" si="972"/>
        <v>-8798.3128511864452</v>
      </c>
      <c r="T357">
        <f t="shared" si="973"/>
        <v>-8.798312851186445</v>
      </c>
    </row>
    <row r="358" spans="1:20" x14ac:dyDescent="0.25">
      <c r="A358" s="5">
        <v>44235</v>
      </c>
      <c r="B358">
        <v>6.6449999999999995E-2</v>
      </c>
      <c r="C358">
        <v>0.08</v>
      </c>
      <c r="D358">
        <v>0.06</v>
      </c>
      <c r="E358">
        <v>7.1179999999999993E-2</v>
      </c>
      <c r="F358">
        <v>974652510.89999998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0.11799999999999933</v>
      </c>
      <c r="Q358">
        <f t="shared" si="970"/>
        <v>115008996.28619935</v>
      </c>
      <c r="R358">
        <f t="shared" si="971"/>
        <v>-1439870473.0346448</v>
      </c>
      <c r="S358">
        <f t="shared" si="972"/>
        <v>-14398.704730346448</v>
      </c>
      <c r="T358">
        <f t="shared" si="973"/>
        <v>-14.398704730346449</v>
      </c>
    </row>
    <row r="359" spans="1:20" x14ac:dyDescent="0.25">
      <c r="A359" s="5">
        <v>44234</v>
      </c>
      <c r="B359">
        <v>5.2549999999999999E-2</v>
      </c>
      <c r="C359">
        <v>6.9000000000000006E-2</v>
      </c>
      <c r="D359">
        <v>4.7829999999999998E-2</v>
      </c>
      <c r="E359">
        <v>6.6460000000000005E-2</v>
      </c>
      <c r="F359">
        <v>750740437.70000005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0.76003778932451582</v>
      </c>
      <c r="Q359">
        <f t="shared" si="970"/>
        <v>570591102.62602746</v>
      </c>
      <c r="R359">
        <f t="shared" si="971"/>
        <v>-1554879469.3208442</v>
      </c>
      <c r="S359">
        <f t="shared" si="972"/>
        <v>-15548.794693208441</v>
      </c>
      <c r="T359">
        <f t="shared" si="973"/>
        <v>-15.548794693208441</v>
      </c>
    </row>
    <row r="360" spans="1:20" x14ac:dyDescent="0.25">
      <c r="A360" s="5">
        <v>44233</v>
      </c>
      <c r="B360">
        <v>5.4870000000000002E-2</v>
      </c>
      <c r="C360">
        <v>5.5719999999999999E-2</v>
      </c>
      <c r="D360">
        <v>4.6460000000000001E-2</v>
      </c>
      <c r="E360">
        <v>5.2499999999999998E-2</v>
      </c>
      <c r="F360">
        <v>490949915.69999999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0.30453563714902776</v>
      </c>
      <c r="Q360">
        <f t="shared" si="970"/>
        <v>149511745.38596097</v>
      </c>
      <c r="R360">
        <f t="shared" si="971"/>
        <v>-2125470571.9468718</v>
      </c>
      <c r="S360">
        <f t="shared" si="972"/>
        <v>-21254.705719468719</v>
      </c>
      <c r="T360">
        <f t="shared" si="973"/>
        <v>-21.254705719468717</v>
      </c>
    </row>
    <row r="361" spans="1:20" x14ac:dyDescent="0.25">
      <c r="A361" s="5">
        <v>44232</v>
      </c>
      <c r="B361">
        <v>4.7379999999999999E-2</v>
      </c>
      <c r="C361">
        <v>5.6419999999999998E-2</v>
      </c>
      <c r="D361">
        <v>4.5710000000000001E-2</v>
      </c>
      <c r="E361">
        <v>5.4809999999999998E-2</v>
      </c>
      <c r="F361">
        <v>651052079.10000002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0.69934640522875802</v>
      </c>
      <c r="Q361">
        <f t="shared" si="970"/>
        <v>455310931.13529402</v>
      </c>
      <c r="R361">
        <f t="shared" si="971"/>
        <v>-2274982317.3328328</v>
      </c>
      <c r="S361">
        <f t="shared" si="972"/>
        <v>-22749.823173328328</v>
      </c>
      <c r="T361">
        <f t="shared" si="973"/>
        <v>-22.749823173328327</v>
      </c>
    </row>
    <row r="362" spans="1:20" x14ac:dyDescent="0.25">
      <c r="A362" s="5">
        <v>44231</v>
      </c>
      <c r="B362">
        <v>4.3799999999999999E-2</v>
      </c>
      <c r="C362">
        <v>4.9799999999999997E-2</v>
      </c>
      <c r="D362">
        <v>3.9E-2</v>
      </c>
      <c r="E362">
        <v>4.7370000000000002E-2</v>
      </c>
      <c r="F362">
        <v>538428959.79999995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0.55000000000000082</v>
      </c>
      <c r="Q362">
        <f t="shared" si="970"/>
        <v>296135927.8900004</v>
      </c>
      <c r="R362">
        <f t="shared" si="971"/>
        <v>-2730293248.4681268</v>
      </c>
      <c r="S362">
        <f t="shared" si="972"/>
        <v>-27302.932484681267</v>
      </c>
      <c r="T362">
        <f t="shared" si="973"/>
        <v>-27.302932484681268</v>
      </c>
    </row>
    <row r="363" spans="1:20" x14ac:dyDescent="0.25">
      <c r="A363" s="5">
        <v>44230</v>
      </c>
      <c r="B363">
        <v>4.1070000000000002E-2</v>
      </c>
      <c r="C363">
        <v>4.4389999999999999E-2</v>
      </c>
      <c r="D363">
        <v>3.9750000000000001E-2</v>
      </c>
      <c r="E363">
        <v>4.3819999999999998E-2</v>
      </c>
      <c r="F363">
        <v>293807439.69999999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0.75431034482758563</v>
      </c>
      <c r="Q363">
        <f t="shared" si="970"/>
        <v>221621991.15301707</v>
      </c>
      <c r="R363">
        <f t="shared" si="971"/>
        <v>-3026429176.3581271</v>
      </c>
      <c r="S363">
        <f t="shared" si="972"/>
        <v>-30264.29176358127</v>
      </c>
      <c r="T363">
        <f t="shared" si="973"/>
        <v>-30.264291763581269</v>
      </c>
    </row>
    <row r="364" spans="1:20" x14ac:dyDescent="0.25">
      <c r="A364" s="5">
        <v>44229</v>
      </c>
      <c r="B364">
        <v>4.0919999999999998E-2</v>
      </c>
      <c r="C364">
        <v>4.1390000000000003E-2</v>
      </c>
      <c r="D364">
        <v>3.916E-2</v>
      </c>
      <c r="E364">
        <v>4.1050000000000003E-2</v>
      </c>
      <c r="F364">
        <v>216963135.80000001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0.69506726457399137</v>
      </c>
      <c r="Q364">
        <f t="shared" si="970"/>
        <v>150803973.31390142</v>
      </c>
      <c r="R364">
        <f t="shared" si="971"/>
        <v>-3248051167.5111442</v>
      </c>
      <c r="S364">
        <f t="shared" si="972"/>
        <v>-32480.51167511144</v>
      </c>
      <c r="T364">
        <f t="shared" si="973"/>
        <v>-32.480511675111437</v>
      </c>
    </row>
    <row r="365" spans="1:20" x14ac:dyDescent="0.25">
      <c r="A365" s="5">
        <v>44228</v>
      </c>
      <c r="B365">
        <v>3.8280000000000002E-2</v>
      </c>
      <c r="C365">
        <v>4.138E-2</v>
      </c>
      <c r="D365">
        <v>3.6200000000000003E-2</v>
      </c>
      <c r="E365">
        <v>4.0899999999999999E-2</v>
      </c>
      <c r="F365">
        <v>348324105.60000002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0.81467181467181404</v>
      </c>
      <c r="Q365">
        <f t="shared" si="970"/>
        <v>283769831.20308858</v>
      </c>
      <c r="R365">
        <f t="shared" si="971"/>
        <v>-3398855140.8250456</v>
      </c>
      <c r="S365">
        <f t="shared" si="972"/>
        <v>-33988.551408250452</v>
      </c>
      <c r="T365">
        <f t="shared" si="973"/>
        <v>-33.988551408250451</v>
      </c>
    </row>
    <row r="366" spans="1:20" x14ac:dyDescent="0.25">
      <c r="A366" s="5">
        <v>44227</v>
      </c>
      <c r="B366">
        <v>3.9960000000000002E-2</v>
      </c>
      <c r="C366">
        <v>4.0379999999999999E-2</v>
      </c>
      <c r="D366">
        <v>3.5979999999999998E-2</v>
      </c>
      <c r="E366">
        <v>3.8309999999999997E-2</v>
      </c>
      <c r="F366">
        <v>325374028.89999998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5.9090909090908243E-2</v>
      </c>
      <c r="Q366">
        <f t="shared" si="970"/>
        <v>19226647.16227245</v>
      </c>
      <c r="R366">
        <f t="shared" si="971"/>
        <v>-3682624972.0281343</v>
      </c>
      <c r="S366">
        <f t="shared" si="972"/>
        <v>-36826.249720281347</v>
      </c>
      <c r="T366">
        <f t="shared" si="973"/>
        <v>-36.826249720281346</v>
      </c>
    </row>
    <row r="367" spans="1:20" x14ac:dyDescent="0.25">
      <c r="A367" s="5">
        <v>44226</v>
      </c>
      <c r="B367">
        <v>4.0250000000000001E-2</v>
      </c>
      <c r="C367">
        <v>4.6890000000000001E-2</v>
      </c>
      <c r="D367">
        <v>3.9E-2</v>
      </c>
      <c r="E367">
        <v>3.9989999999999998E-2</v>
      </c>
      <c r="F367">
        <v>632562406.29999995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-0.74904942965779531</v>
      </c>
      <c r="Q367">
        <f t="shared" si="970"/>
        <v>-473820509.66197753</v>
      </c>
      <c r="R367">
        <f t="shared" si="971"/>
        <v>-3701851619.1904068</v>
      </c>
      <c r="S367">
        <f t="shared" si="972"/>
        <v>-37018.516191904069</v>
      </c>
      <c r="T367">
        <f t="shared" si="973"/>
        <v>-37.01851619190407</v>
      </c>
    </row>
    <row r="368" spans="1:20" x14ac:dyDescent="0.25">
      <c r="A368" s="5">
        <v>44225</v>
      </c>
      <c r="B368">
        <v>3.8580000000000003E-2</v>
      </c>
      <c r="C368">
        <v>4.3499999999999997E-2</v>
      </c>
      <c r="D368">
        <v>3.73E-2</v>
      </c>
      <c r="E368">
        <v>4.0160000000000001E-2</v>
      </c>
      <c r="F368">
        <v>675782317.89999998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-7.7419354838708793E-2</v>
      </c>
      <c r="Q368">
        <f t="shared" si="970"/>
        <v>-52318631.06322521</v>
      </c>
      <c r="R368">
        <f t="shared" si="971"/>
        <v>-3228031109.5284295</v>
      </c>
      <c r="S368">
        <f t="shared" si="972"/>
        <v>-32280.311095284294</v>
      </c>
      <c r="T368">
        <f t="shared" si="973"/>
        <v>-32.280311095284297</v>
      </c>
    </row>
    <row r="369" spans="1:20" x14ac:dyDescent="0.25">
      <c r="A369" s="5">
        <v>44224</v>
      </c>
      <c r="B369">
        <v>4.1750000000000002E-2</v>
      </c>
      <c r="C369">
        <v>4.4589999999999998E-2</v>
      </c>
      <c r="D369">
        <v>3.823E-2</v>
      </c>
      <c r="E369">
        <v>3.8559999999999997E-2</v>
      </c>
      <c r="F369">
        <v>595524671.20000005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-0.89622641509434053</v>
      </c>
      <c r="Q369">
        <f t="shared" si="970"/>
        <v>-533724941.1698119</v>
      </c>
      <c r="R369">
        <f t="shared" si="971"/>
        <v>-3175712478.4652042</v>
      </c>
      <c r="S369">
        <f t="shared" si="972"/>
        <v>-31757.124784652042</v>
      </c>
      <c r="T369">
        <f t="shared" si="973"/>
        <v>-31.757124784652042</v>
      </c>
    </row>
    <row r="370" spans="1:20" x14ac:dyDescent="0.25">
      <c r="A370" s="5">
        <v>44223</v>
      </c>
      <c r="B370">
        <v>4.335E-2</v>
      </c>
      <c r="C370">
        <v>4.8329999999999998E-2</v>
      </c>
      <c r="D370">
        <v>3.7479999999999999E-2</v>
      </c>
      <c r="E370">
        <v>4.1750000000000002E-2</v>
      </c>
      <c r="F370">
        <v>1282626953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-0.21290322580645096</v>
      </c>
      <c r="Q370">
        <f t="shared" si="970"/>
        <v>-273075415.79999918</v>
      </c>
      <c r="R370">
        <f t="shared" si="971"/>
        <v>-2641987537.2953925</v>
      </c>
      <c r="S370">
        <f t="shared" si="972"/>
        <v>-26419.875372953924</v>
      </c>
      <c r="T370">
        <f t="shared" si="973"/>
        <v>-26.419875372953925</v>
      </c>
    </row>
    <row r="371" spans="1:20" x14ac:dyDescent="0.25">
      <c r="A371" s="5">
        <v>44222</v>
      </c>
      <c r="B371">
        <v>3.2779999999999997E-2</v>
      </c>
      <c r="C371">
        <v>4.478E-2</v>
      </c>
      <c r="D371">
        <v>3.1800000000000002E-2</v>
      </c>
      <c r="E371">
        <v>4.3299999999999998E-2</v>
      </c>
      <c r="F371">
        <v>1428010609.7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0.77195685670261904</v>
      </c>
      <c r="Q371">
        <f t="shared" si="970"/>
        <v>1102362581.6020026</v>
      </c>
      <c r="R371">
        <f t="shared" si="971"/>
        <v>-2368912121.4953933</v>
      </c>
      <c r="S371">
        <f t="shared" si="972"/>
        <v>-23689.121214953931</v>
      </c>
      <c r="T371">
        <f t="shared" si="973"/>
        <v>-23.689121214953932</v>
      </c>
    </row>
    <row r="372" spans="1:20" x14ac:dyDescent="0.25">
      <c r="A372" s="5">
        <v>44221</v>
      </c>
      <c r="B372">
        <v>3.3070000000000002E-2</v>
      </c>
      <c r="C372">
        <v>3.6850000000000001E-2</v>
      </c>
      <c r="D372">
        <v>3.2719999999999999E-2</v>
      </c>
      <c r="E372">
        <v>3.2730000000000002E-2</v>
      </c>
      <c r="F372">
        <v>333194082.39999998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-0.99515738498789197</v>
      </c>
      <c r="Q372">
        <f t="shared" si="970"/>
        <v>-331580551.73462415</v>
      </c>
      <c r="R372">
        <f t="shared" si="971"/>
        <v>-3471274703.0973959</v>
      </c>
      <c r="S372">
        <f t="shared" si="972"/>
        <v>-34712.747030973958</v>
      </c>
      <c r="T372">
        <f t="shared" si="973"/>
        <v>-34.712747030973958</v>
      </c>
    </row>
    <row r="373" spans="1:20" x14ac:dyDescent="0.25">
      <c r="A373" s="5">
        <v>44220</v>
      </c>
      <c r="B373">
        <v>3.4029999999999998E-2</v>
      </c>
      <c r="C373">
        <v>3.5200000000000002E-2</v>
      </c>
      <c r="D373">
        <v>3.2149999999999998E-2</v>
      </c>
      <c r="E373">
        <v>3.3099999999999997E-2</v>
      </c>
      <c r="F373">
        <v>258100225.80000001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-0.37704918032787005</v>
      </c>
      <c r="Q373">
        <f t="shared" si="970"/>
        <v>-97316478.580328181</v>
      </c>
      <c r="R373">
        <f t="shared" si="971"/>
        <v>-3139694151.362772</v>
      </c>
      <c r="S373">
        <f t="shared" si="972"/>
        <v>-31396.94151362772</v>
      </c>
      <c r="T373">
        <f t="shared" si="973"/>
        <v>-31.39694151362772</v>
      </c>
    </row>
    <row r="374" spans="1:20" x14ac:dyDescent="0.25">
      <c r="A374" s="5">
        <v>44219</v>
      </c>
      <c r="B374">
        <v>3.1179999999999999E-2</v>
      </c>
      <c r="C374">
        <v>3.5209999999999998E-2</v>
      </c>
      <c r="D374">
        <v>3.0540000000000001E-2</v>
      </c>
      <c r="E374">
        <v>3.4029999999999998E-2</v>
      </c>
      <c r="F374">
        <v>455653448.80000001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0.49464668094218361</v>
      </c>
      <c r="Q374">
        <f t="shared" si="970"/>
        <v>225387466.10877919</v>
      </c>
      <c r="R374">
        <f t="shared" si="971"/>
        <v>-3042377672.782444</v>
      </c>
      <c r="S374">
        <f t="shared" si="972"/>
        <v>-30423.776727824439</v>
      </c>
      <c r="T374">
        <f t="shared" si="973"/>
        <v>-30.423776727824439</v>
      </c>
    </row>
    <row r="375" spans="1:20" x14ac:dyDescent="0.25">
      <c r="A375" s="5">
        <v>44218</v>
      </c>
      <c r="B375">
        <v>2.8670000000000001E-2</v>
      </c>
      <c r="C375">
        <v>3.295E-2</v>
      </c>
      <c r="D375">
        <v>2.6349999999999998E-2</v>
      </c>
      <c r="E375">
        <v>3.1189999999999999E-2</v>
      </c>
      <c r="F375">
        <v>311314570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0.46666666666666645</v>
      </c>
      <c r="Q375">
        <f t="shared" si="970"/>
        <v>145280132.6666666</v>
      </c>
      <c r="R375">
        <f t="shared" si="971"/>
        <v>-3267765138.8912234</v>
      </c>
      <c r="S375">
        <f t="shared" si="972"/>
        <v>-32677.651388912233</v>
      </c>
      <c r="T375">
        <f t="shared" si="973"/>
        <v>-32.677651388912231</v>
      </c>
    </row>
    <row r="376" spans="1:20" x14ac:dyDescent="0.25">
      <c r="A376" s="5">
        <v>44217</v>
      </c>
      <c r="B376">
        <v>3.4439999999999998E-2</v>
      </c>
      <c r="C376">
        <v>3.5020000000000003E-2</v>
      </c>
      <c r="D376">
        <v>2.8129999999999999E-2</v>
      </c>
      <c r="E376">
        <v>2.86E-2</v>
      </c>
      <c r="F376">
        <v>414400685.10000002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-0.86357039187227824</v>
      </c>
      <c r="Q376">
        <f t="shared" si="970"/>
        <v>-357864162.0239476</v>
      </c>
      <c r="R376">
        <f t="shared" si="971"/>
        <v>-3413045271.5578899</v>
      </c>
      <c r="S376">
        <f t="shared" si="972"/>
        <v>-34130.452715578896</v>
      </c>
      <c r="T376">
        <f t="shared" si="973"/>
        <v>-34.130452715578897</v>
      </c>
    </row>
    <row r="377" spans="1:20" x14ac:dyDescent="0.25">
      <c r="A377" s="5">
        <v>44216</v>
      </c>
      <c r="B377">
        <v>3.2340000000000001E-2</v>
      </c>
      <c r="C377">
        <v>3.4799999999999998E-2</v>
      </c>
      <c r="D377">
        <v>3.0210000000000001E-2</v>
      </c>
      <c r="E377">
        <v>3.4430000000000002E-2</v>
      </c>
      <c r="F377">
        <v>390493898.89999998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0.83877995642701719</v>
      </c>
      <c r="Q377">
        <f t="shared" si="970"/>
        <v>327538455.50435805</v>
      </c>
      <c r="R377">
        <f t="shared" si="971"/>
        <v>-3055181109.5339422</v>
      </c>
      <c r="S377">
        <f t="shared" si="972"/>
        <v>-30551.811095339421</v>
      </c>
      <c r="T377">
        <f t="shared" si="973"/>
        <v>-30.551811095339421</v>
      </c>
    </row>
    <row r="378" spans="1:20" x14ac:dyDescent="0.25">
      <c r="A378" s="5">
        <v>44215</v>
      </c>
      <c r="B378">
        <v>3.6139999999999999E-2</v>
      </c>
      <c r="C378">
        <v>3.6240000000000001E-2</v>
      </c>
      <c r="D378">
        <v>3.1879999999999999E-2</v>
      </c>
      <c r="E378">
        <v>3.2289999999999999E-2</v>
      </c>
      <c r="F378">
        <v>342406920.5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-0.81192660550458695</v>
      </c>
      <c r="Q378">
        <f t="shared" si="970"/>
        <v>-278009288.66284394</v>
      </c>
      <c r="R378">
        <f t="shared" si="971"/>
        <v>-3382719565.0383005</v>
      </c>
      <c r="S378">
        <f t="shared" si="972"/>
        <v>-33827.195650383008</v>
      </c>
      <c r="T378">
        <f t="shared" si="973"/>
        <v>-33.827195650383011</v>
      </c>
    </row>
    <row r="379" spans="1:20" x14ac:dyDescent="0.25">
      <c r="A379" s="5">
        <v>44214</v>
      </c>
      <c r="B379">
        <v>3.4130000000000001E-2</v>
      </c>
      <c r="C379">
        <v>3.7999999999999999E-2</v>
      </c>
      <c r="D379">
        <v>3.3329999999999999E-2</v>
      </c>
      <c r="E379">
        <v>3.6119999999999999E-2</v>
      </c>
      <c r="F379">
        <v>381138242.30000001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0.19486081370449701</v>
      </c>
      <c r="Q379">
        <f t="shared" si="970"/>
        <v>74268908.02847974</v>
      </c>
      <c r="R379">
        <f t="shared" si="971"/>
        <v>-3104710276.3754563</v>
      </c>
      <c r="S379">
        <f t="shared" si="972"/>
        <v>-31047.102763754563</v>
      </c>
      <c r="T379">
        <f t="shared" si="973"/>
        <v>-31.047102763754562</v>
      </c>
    </row>
    <row r="380" spans="1:20" x14ac:dyDescent="0.25">
      <c r="A380" s="5">
        <v>44213</v>
      </c>
      <c r="B380">
        <v>3.2689999999999997E-2</v>
      </c>
      <c r="C380">
        <v>3.4799999999999998E-2</v>
      </c>
      <c r="D380">
        <v>3.058E-2</v>
      </c>
      <c r="E380">
        <v>3.4160000000000003E-2</v>
      </c>
      <c r="F380">
        <v>352925246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0.69668246445497861</v>
      </c>
      <c r="Q380">
        <f t="shared" si="970"/>
        <v>245876830.15165958</v>
      </c>
      <c r="R380">
        <f t="shared" si="971"/>
        <v>-3178979184.4039359</v>
      </c>
      <c r="S380">
        <f t="shared" si="972"/>
        <v>-31789.791844039359</v>
      </c>
      <c r="T380">
        <f t="shared" si="973"/>
        <v>-31.78979184403936</v>
      </c>
    </row>
    <row r="381" spans="1:20" x14ac:dyDescent="0.25">
      <c r="A381" s="5">
        <v>44212</v>
      </c>
      <c r="B381">
        <v>3.4009999999999999E-2</v>
      </c>
      <c r="C381">
        <v>3.637E-2</v>
      </c>
      <c r="D381">
        <v>3.1609999999999999E-2</v>
      </c>
      <c r="E381">
        <v>3.2710000000000003E-2</v>
      </c>
      <c r="F381">
        <v>404737101.80000001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-0.53781512605041859</v>
      </c>
      <c r="Q381">
        <f t="shared" si="970"/>
        <v>-217673735.42184812</v>
      </c>
      <c r="R381">
        <f t="shared" si="971"/>
        <v>-3424856014.5555954</v>
      </c>
      <c r="S381">
        <f t="shared" si="972"/>
        <v>-34248.560145555952</v>
      </c>
      <c r="T381">
        <f t="shared" si="973"/>
        <v>-34.248560145555949</v>
      </c>
    </row>
    <row r="382" spans="1:20" x14ac:dyDescent="0.25">
      <c r="A382" s="5">
        <v>44211</v>
      </c>
      <c r="B382">
        <v>3.2779999999999997E-2</v>
      </c>
      <c r="C382">
        <v>3.6850000000000001E-2</v>
      </c>
      <c r="D382">
        <v>2.912E-2</v>
      </c>
      <c r="E382">
        <v>3.4020000000000002E-2</v>
      </c>
      <c r="F382">
        <v>507871186.60000002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0.26778783958602875</v>
      </c>
      <c r="Q382">
        <f t="shared" si="970"/>
        <v>136001727.84760687</v>
      </c>
      <c r="R382">
        <f t="shared" si="971"/>
        <v>-3207182279.1337471</v>
      </c>
      <c r="S382">
        <f t="shared" si="972"/>
        <v>-32071.822791337472</v>
      </c>
      <c r="T382">
        <f t="shared" si="973"/>
        <v>-32.071822791337475</v>
      </c>
    </row>
    <row r="383" spans="1:20" x14ac:dyDescent="0.25">
      <c r="A383" s="5">
        <v>44210</v>
      </c>
      <c r="B383">
        <v>2.9919999999999999E-2</v>
      </c>
      <c r="C383">
        <v>3.3000000000000002E-2</v>
      </c>
      <c r="D383">
        <v>2.9000000000000001E-2</v>
      </c>
      <c r="E383">
        <v>3.286E-2</v>
      </c>
      <c r="F383">
        <v>335461457.5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0.92999999999999938</v>
      </c>
      <c r="Q383">
        <f t="shared" si="970"/>
        <v>311979155.47499979</v>
      </c>
      <c r="R383">
        <f t="shared" si="971"/>
        <v>-3343184006.9813538</v>
      </c>
      <c r="S383">
        <f t="shared" si="972"/>
        <v>-33431.840069813537</v>
      </c>
      <c r="T383">
        <f t="shared" si="973"/>
        <v>-33.431840069813539</v>
      </c>
    </row>
    <row r="384" spans="1:20" x14ac:dyDescent="0.25">
      <c r="A384" s="5">
        <v>44209</v>
      </c>
      <c r="B384">
        <v>2.6079999999999999E-2</v>
      </c>
      <c r="C384">
        <v>3.0589999999999999E-2</v>
      </c>
      <c r="D384">
        <v>2.4670000000000001E-2</v>
      </c>
      <c r="E384">
        <v>2.9919999999999999E-2</v>
      </c>
      <c r="F384">
        <v>319369040.19999999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0.77364864864864846</v>
      </c>
      <c r="Q384">
        <f t="shared" si="970"/>
        <v>247079426.37094587</v>
      </c>
      <c r="R384">
        <f t="shared" si="971"/>
        <v>-3655163162.4563537</v>
      </c>
      <c r="S384">
        <f t="shared" si="972"/>
        <v>-36551.631624563539</v>
      </c>
      <c r="T384">
        <f t="shared" si="973"/>
        <v>-36.551631624563541</v>
      </c>
    </row>
    <row r="385" spans="1:20" x14ac:dyDescent="0.25">
      <c r="A385" s="5">
        <v>44208</v>
      </c>
      <c r="B385">
        <v>2.5930000000000002E-2</v>
      </c>
      <c r="C385">
        <v>2.8899999999999999E-2</v>
      </c>
      <c r="D385">
        <v>2.5010000000000001E-2</v>
      </c>
      <c r="E385">
        <v>2.6089999999999999E-2</v>
      </c>
      <c r="F385">
        <v>306107664.19999999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-0.44473007712082352</v>
      </c>
      <c r="Q385">
        <f t="shared" si="970"/>
        <v>-136135285.10694113</v>
      </c>
      <c r="R385">
        <f t="shared" si="971"/>
        <v>-3902242588.8272996</v>
      </c>
      <c r="S385">
        <f t="shared" si="972"/>
        <v>-39022.425888272999</v>
      </c>
      <c r="T385">
        <f t="shared" si="973"/>
        <v>-39.022425888272998</v>
      </c>
    </row>
    <row r="386" spans="1:20" x14ac:dyDescent="0.25">
      <c r="A386" s="5">
        <v>44207</v>
      </c>
      <c r="B386">
        <v>3.0200000000000001E-2</v>
      </c>
      <c r="C386">
        <v>3.0329999999999999E-2</v>
      </c>
      <c r="D386">
        <v>2.281E-2</v>
      </c>
      <c r="E386">
        <v>2.5930000000000002E-2</v>
      </c>
      <c r="F386">
        <v>521443324.69999999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-0.17021276595744636</v>
      </c>
      <c r="Q386">
        <f t="shared" si="970"/>
        <v>-88756310.587233812</v>
      </c>
      <c r="R386">
        <f t="shared" si="971"/>
        <v>-3766107303.7203584</v>
      </c>
      <c r="S386">
        <f t="shared" si="972"/>
        <v>-37661.073037203583</v>
      </c>
      <c r="T386">
        <f t="shared" si="973"/>
        <v>-37.661073037203586</v>
      </c>
    </row>
    <row r="387" spans="1:20" x14ac:dyDescent="0.25">
      <c r="A387" s="5">
        <v>44206</v>
      </c>
      <c r="B387">
        <v>3.3430000000000001E-2</v>
      </c>
      <c r="C387">
        <v>3.449E-2</v>
      </c>
      <c r="D387">
        <v>2.7320000000000001E-2</v>
      </c>
      <c r="E387">
        <v>3.024E-2</v>
      </c>
      <c r="F387">
        <v>555898080.60000002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-0.18549511854951206</v>
      </c>
      <c r="Q387">
        <f t="shared" si="970"/>
        <v>-103116380.36234322</v>
      </c>
      <c r="R387">
        <f t="shared" si="971"/>
        <v>-3677350993.1331244</v>
      </c>
      <c r="S387">
        <f t="shared" si="972"/>
        <v>-36773.509931331246</v>
      </c>
      <c r="T387">
        <f t="shared" si="973"/>
        <v>-36.773509931331247</v>
      </c>
    </row>
    <row r="388" spans="1:20" x14ac:dyDescent="0.25">
      <c r="A388" s="5">
        <v>44205</v>
      </c>
      <c r="B388">
        <v>3.1539999999999999E-2</v>
      </c>
      <c r="C388">
        <v>3.4700000000000002E-2</v>
      </c>
      <c r="D388">
        <v>3.0519999999999999E-2</v>
      </c>
      <c r="E388">
        <v>3.3459999999999997E-2</v>
      </c>
      <c r="F388">
        <v>357758188.89999998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0.40669856459329951</v>
      </c>
      <c r="Q388">
        <f t="shared" si="970"/>
        <v>145499741.89712849</v>
      </c>
      <c r="R388">
        <f t="shared" si="971"/>
        <v>-3574234612.770781</v>
      </c>
      <c r="S388">
        <f t="shared" si="972"/>
        <v>-35742.34612770781</v>
      </c>
      <c r="T388">
        <f t="shared" si="973"/>
        <v>-35.742346127707812</v>
      </c>
    </row>
    <row r="389" spans="1:20" x14ac:dyDescent="0.25">
      <c r="A389" s="5">
        <v>44204</v>
      </c>
      <c r="B389">
        <v>3.2969999999999999E-2</v>
      </c>
      <c r="C389">
        <v>3.5000000000000003E-2</v>
      </c>
      <c r="D389">
        <v>2.7380000000000002E-2</v>
      </c>
      <c r="E389">
        <v>3.159E-2</v>
      </c>
      <c r="F389">
        <v>691258052.70000005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0.10498687664041929</v>
      </c>
      <c r="Q389">
        <f t="shared" si="970"/>
        <v>72573023.905511364</v>
      </c>
      <c r="R389">
        <f t="shared" si="971"/>
        <v>-3719734354.6679096</v>
      </c>
      <c r="S389">
        <f t="shared" si="972"/>
        <v>-37197.343546679098</v>
      </c>
      <c r="T389">
        <f t="shared" si="973"/>
        <v>-37.1973435466791</v>
      </c>
    </row>
    <row r="390" spans="1:20" x14ac:dyDescent="0.25">
      <c r="A390" s="5">
        <v>44203</v>
      </c>
      <c r="B390">
        <v>3.5529999999999999E-2</v>
      </c>
      <c r="C390">
        <v>4.0329999999999998E-2</v>
      </c>
      <c r="D390">
        <v>2.9899999999999999E-2</v>
      </c>
      <c r="E390">
        <v>3.2969999999999999E-2</v>
      </c>
      <c r="F390">
        <v>1144840735.8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-0.41131351869606897</v>
      </c>
      <c r="Q390">
        <f t="shared" ref="Q390:Q453" si="975">F390*P390</f>
        <v>-470888471.38849461</v>
      </c>
      <c r="R390">
        <f t="shared" ref="R390:R453" si="976">R391+Q390</f>
        <v>-3792307378.573421</v>
      </c>
      <c r="S390">
        <f t="shared" ref="S390:S453" si="977">R390/100000</f>
        <v>-37923.07378573421</v>
      </c>
      <c r="T390">
        <f t="shared" ref="T390:T453" si="978">S390/1000</f>
        <v>-37.923073785734211</v>
      </c>
    </row>
    <row r="391" spans="1:20" x14ac:dyDescent="0.25">
      <c r="A391" s="5">
        <v>44202</v>
      </c>
      <c r="B391">
        <v>2.4389999999999998E-2</v>
      </c>
      <c r="C391">
        <v>3.6729999999999999E-2</v>
      </c>
      <c r="D391">
        <v>2.385E-2</v>
      </c>
      <c r="E391">
        <v>3.5549999999999998E-2</v>
      </c>
      <c r="F391">
        <v>1814721042.2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0.81677018633540366</v>
      </c>
      <c r="Q391">
        <f t="shared" si="975"/>
        <v>1482210043.784472</v>
      </c>
      <c r="R391">
        <f t="shared" si="976"/>
        <v>-3321418907.1849265</v>
      </c>
      <c r="S391">
        <f t="shared" si="977"/>
        <v>-33214.189071849265</v>
      </c>
      <c r="T391">
        <f t="shared" si="978"/>
        <v>-33.214189071849262</v>
      </c>
    </row>
    <row r="392" spans="1:20" x14ac:dyDescent="0.25">
      <c r="A392" s="5">
        <v>44201</v>
      </c>
      <c r="B392">
        <v>2.4680000000000001E-2</v>
      </c>
      <c r="C392">
        <v>2.708E-2</v>
      </c>
      <c r="D392">
        <v>2.351E-2</v>
      </c>
      <c r="E392">
        <v>2.4400000000000002E-2</v>
      </c>
      <c r="F392">
        <v>915763524.60000002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-0.50140056022408863</v>
      </c>
      <c r="Q392">
        <f t="shared" si="975"/>
        <v>-459164344.26722598</v>
      </c>
      <c r="R392">
        <f t="shared" si="976"/>
        <v>-4803628950.9693985</v>
      </c>
      <c r="S392">
        <f t="shared" si="977"/>
        <v>-48036.289509693983</v>
      </c>
      <c r="T392">
        <f t="shared" si="978"/>
        <v>-48.036289509693979</v>
      </c>
    </row>
    <row r="393" spans="1:20" x14ac:dyDescent="0.25">
      <c r="A393" s="5">
        <v>44200</v>
      </c>
      <c r="B393">
        <v>1.9970000000000002E-2</v>
      </c>
      <c r="C393">
        <v>2.4989999999999998E-2</v>
      </c>
      <c r="D393">
        <v>1.951E-2</v>
      </c>
      <c r="E393">
        <v>2.4680000000000001E-2</v>
      </c>
      <c r="F393">
        <v>660725286.70000005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0.88686131386861389</v>
      </c>
      <c r="Q393">
        <f t="shared" si="975"/>
        <v>585971695.86897862</v>
      </c>
      <c r="R393">
        <f t="shared" si="976"/>
        <v>-4344464606.7021723</v>
      </c>
      <c r="S393">
        <f t="shared" si="977"/>
        <v>-43444.64606702172</v>
      </c>
      <c r="T393">
        <f t="shared" si="978"/>
        <v>-43.444646067021722</v>
      </c>
    </row>
    <row r="394" spans="1:20" x14ac:dyDescent="0.25">
      <c r="A394" s="5">
        <v>44199</v>
      </c>
      <c r="B394">
        <v>1.9060000000000001E-2</v>
      </c>
      <c r="C394">
        <v>2.07E-2</v>
      </c>
      <c r="D394">
        <v>1.8780000000000002E-2</v>
      </c>
      <c r="E394">
        <v>1.9970000000000002E-2</v>
      </c>
      <c r="F394">
        <v>285691847.80000001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0.23958333333333465</v>
      </c>
      <c r="Q394">
        <f t="shared" si="975"/>
        <v>68447005.202083707</v>
      </c>
      <c r="R394">
        <f t="shared" si="976"/>
        <v>-4930436302.5711508</v>
      </c>
      <c r="S394">
        <f t="shared" si="977"/>
        <v>-49304.363025711507</v>
      </c>
      <c r="T394">
        <f t="shared" si="978"/>
        <v>-49.30436302571151</v>
      </c>
    </row>
    <row r="395" spans="1:20" x14ac:dyDescent="0.25">
      <c r="A395" s="5">
        <v>44198</v>
      </c>
      <c r="B395">
        <v>1.7760000000000001E-2</v>
      </c>
      <c r="C395">
        <v>1.9599999999999999E-2</v>
      </c>
      <c r="D395">
        <v>1.7149999999999999E-2</v>
      </c>
      <c r="E395">
        <v>1.9040000000000001E-2</v>
      </c>
      <c r="F395">
        <v>271358492.5</v>
      </c>
      <c r="G395">
        <v>0</v>
      </c>
      <c r="L395" t="s">
        <v>8</v>
      </c>
      <c r="M395" t="s">
        <v>7</v>
      </c>
      <c r="N395" t="s">
        <v>8</v>
      </c>
      <c r="P395">
        <f t="shared" si="974"/>
        <v>0.54285714285714459</v>
      </c>
      <c r="Q395">
        <f t="shared" si="975"/>
        <v>147308895.92857191</v>
      </c>
      <c r="R395">
        <f t="shared" si="976"/>
        <v>-4998883307.7732344</v>
      </c>
      <c r="S395">
        <f t="shared" si="977"/>
        <v>-49988.833077732343</v>
      </c>
      <c r="T395">
        <f t="shared" si="978"/>
        <v>-49.988833077732345</v>
      </c>
    </row>
    <row r="396" spans="1:20" x14ac:dyDescent="0.25">
      <c r="A396" s="5">
        <v>44197</v>
      </c>
      <c r="B396">
        <v>1.7579999999999998E-2</v>
      </c>
      <c r="C396">
        <v>1.873E-2</v>
      </c>
      <c r="D396">
        <v>1.7299999999999999E-2</v>
      </c>
      <c r="E396">
        <v>1.7770000000000001E-2</v>
      </c>
      <c r="F396">
        <v>138747556.5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-0.34265734265734066</v>
      </c>
      <c r="Q396">
        <f t="shared" si="975"/>
        <v>-47542869.010489233</v>
      </c>
      <c r="R396">
        <f t="shared" si="976"/>
        <v>-5146192203.7018061</v>
      </c>
      <c r="S396">
        <f t="shared" si="977"/>
        <v>-51461.922037018063</v>
      </c>
      <c r="T396">
        <f t="shared" si="978"/>
        <v>-51.461922037018063</v>
      </c>
    </row>
    <row r="397" spans="1:20" x14ac:dyDescent="0.25">
      <c r="A397" s="5">
        <v>44196</v>
      </c>
      <c r="B397">
        <v>1.8079999999999999E-2</v>
      </c>
      <c r="C397">
        <v>1.8089999999999998E-2</v>
      </c>
      <c r="D397">
        <v>1.685E-2</v>
      </c>
      <c r="E397">
        <v>1.7579999999999998E-2</v>
      </c>
      <c r="F397">
        <v>151281694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0.17741935483870833</v>
      </c>
      <c r="Q397">
        <f t="shared" si="975"/>
        <v>26840300.548386894</v>
      </c>
      <c r="R397">
        <f t="shared" si="976"/>
        <v>-5098649334.6913166</v>
      </c>
      <c r="S397">
        <f t="shared" si="977"/>
        <v>-50986.493346913165</v>
      </c>
      <c r="T397">
        <f t="shared" si="978"/>
        <v>-50.986493346913164</v>
      </c>
    </row>
    <row r="398" spans="1:20" x14ac:dyDescent="0.25">
      <c r="A398" s="5">
        <v>44195</v>
      </c>
      <c r="B398">
        <v>1.8450000000000001E-2</v>
      </c>
      <c r="C398">
        <v>1.9E-2</v>
      </c>
      <c r="D398">
        <v>1.779E-2</v>
      </c>
      <c r="E398">
        <v>1.8079999999999999E-2</v>
      </c>
      <c r="F398">
        <v>125993421.7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-0.52066115702479543</v>
      </c>
      <c r="Q398">
        <f t="shared" si="975"/>
        <v>-65599880.719834968</v>
      </c>
      <c r="R398">
        <f t="shared" si="976"/>
        <v>-5125489635.2397032</v>
      </c>
      <c r="S398">
        <f t="shared" si="977"/>
        <v>-51254.896352397031</v>
      </c>
      <c r="T398">
        <f t="shared" si="978"/>
        <v>-51.254896352397033</v>
      </c>
    </row>
    <row r="399" spans="1:20" x14ac:dyDescent="0.25">
      <c r="A399" s="5">
        <v>44194</v>
      </c>
      <c r="B399">
        <v>1.8849999999999999E-2</v>
      </c>
      <c r="C399">
        <v>1.9120000000000002E-2</v>
      </c>
      <c r="D399">
        <v>1.7749999999999998E-2</v>
      </c>
      <c r="E399">
        <v>1.8450000000000001E-2</v>
      </c>
      <c r="F399">
        <v>156872095.80000001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2.1897810218979692E-2</v>
      </c>
      <c r="Q399">
        <f t="shared" si="975"/>
        <v>3435155.3824820016</v>
      </c>
      <c r="R399">
        <f t="shared" si="976"/>
        <v>-5059889754.5198679</v>
      </c>
      <c r="S399">
        <f t="shared" si="977"/>
        <v>-50598.897545198677</v>
      </c>
      <c r="T399">
        <f t="shared" si="978"/>
        <v>-50.598897545198675</v>
      </c>
    </row>
    <row r="400" spans="1:20" x14ac:dyDescent="0.25">
      <c r="A400" s="5">
        <v>44193</v>
      </c>
      <c r="B400">
        <v>1.8329999999999999E-2</v>
      </c>
      <c r="C400">
        <v>1.9630000000000002E-2</v>
      </c>
      <c r="D400">
        <v>1.8030000000000001E-2</v>
      </c>
      <c r="E400">
        <v>1.8870000000000001E-2</v>
      </c>
      <c r="F400">
        <v>210510501.09999999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5.0000000000000107E-2</v>
      </c>
      <c r="Q400">
        <f t="shared" si="975"/>
        <v>10525525.055000022</v>
      </c>
      <c r="R400">
        <f t="shared" si="976"/>
        <v>-5063324909.9023495</v>
      </c>
      <c r="S400">
        <f t="shared" si="977"/>
        <v>-50633.249099023495</v>
      </c>
      <c r="T400">
        <f t="shared" si="978"/>
        <v>-50.633249099023494</v>
      </c>
    </row>
    <row r="401" spans="1:20" x14ac:dyDescent="0.25">
      <c r="A401" s="5">
        <v>44192</v>
      </c>
      <c r="B401">
        <v>1.933E-2</v>
      </c>
      <c r="C401">
        <v>2.068E-2</v>
      </c>
      <c r="D401">
        <v>1.7649999999999999E-2</v>
      </c>
      <c r="E401">
        <v>1.8319999999999999E-2</v>
      </c>
      <c r="F401">
        <v>359122033.89999998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-0.55775577557755762</v>
      </c>
      <c r="Q401">
        <f t="shared" si="975"/>
        <v>-200302388.54488441</v>
      </c>
      <c r="R401">
        <f t="shared" si="976"/>
        <v>-5073850434.9573498</v>
      </c>
      <c r="S401">
        <f t="shared" si="977"/>
        <v>-50738.504349573501</v>
      </c>
      <c r="T401">
        <f t="shared" si="978"/>
        <v>-50.738504349573503</v>
      </c>
    </row>
    <row r="402" spans="1:20" x14ac:dyDescent="0.25">
      <c r="A402" s="5">
        <v>44191</v>
      </c>
      <c r="B402">
        <v>1.66E-2</v>
      </c>
      <c r="C402">
        <v>1.9810000000000001E-2</v>
      </c>
      <c r="D402">
        <v>1.626E-2</v>
      </c>
      <c r="E402">
        <v>1.9259999999999999E-2</v>
      </c>
      <c r="F402">
        <v>255508230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0.69014084507042162</v>
      </c>
      <c r="Q402">
        <f t="shared" si="975"/>
        <v>176336665.77464765</v>
      </c>
      <c r="R402">
        <f t="shared" si="976"/>
        <v>-4873548046.4124651</v>
      </c>
      <c r="S402">
        <f t="shared" si="977"/>
        <v>-48735.480464124652</v>
      </c>
      <c r="T402">
        <f t="shared" si="978"/>
        <v>-48.735480464124649</v>
      </c>
    </row>
    <row r="403" spans="1:20" x14ac:dyDescent="0.25">
      <c r="A403" s="5">
        <v>44190</v>
      </c>
      <c r="B403">
        <v>1.643E-2</v>
      </c>
      <c r="C403">
        <v>1.7149999999999999E-2</v>
      </c>
      <c r="D403">
        <v>1.5779999999999999E-2</v>
      </c>
      <c r="E403">
        <v>1.6619999999999999E-2</v>
      </c>
      <c r="F403">
        <v>163846236.09999999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0.2262773722627747</v>
      </c>
      <c r="Q403">
        <f t="shared" si="975"/>
        <v>37074695.759854175</v>
      </c>
      <c r="R403">
        <f t="shared" si="976"/>
        <v>-5049884712.1871128</v>
      </c>
      <c r="S403">
        <f t="shared" si="977"/>
        <v>-50498.847121871127</v>
      </c>
      <c r="T403">
        <f t="shared" si="978"/>
        <v>-50.49884712187113</v>
      </c>
    </row>
    <row r="404" spans="1:20" x14ac:dyDescent="0.25">
      <c r="A404" s="5">
        <v>44189</v>
      </c>
      <c r="B404">
        <v>1.521E-2</v>
      </c>
      <c r="C404">
        <v>1.66E-2</v>
      </c>
      <c r="D404">
        <v>1.468E-2</v>
      </c>
      <c r="E404">
        <v>1.6410000000000001E-2</v>
      </c>
      <c r="F404">
        <v>168625948.19999999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0.80208333333333415</v>
      </c>
      <c r="Q404">
        <f t="shared" si="975"/>
        <v>135252062.61875013</v>
      </c>
      <c r="R404">
        <f t="shared" si="976"/>
        <v>-5086959407.9469671</v>
      </c>
      <c r="S404">
        <f t="shared" si="977"/>
        <v>-50869.594079469673</v>
      </c>
      <c r="T404">
        <f t="shared" si="978"/>
        <v>-50.869594079469671</v>
      </c>
    </row>
    <row r="405" spans="1:20" x14ac:dyDescent="0.25">
      <c r="A405" s="5">
        <v>44188</v>
      </c>
      <c r="B405">
        <v>1.8610000000000002E-2</v>
      </c>
      <c r="C405">
        <v>1.874E-2</v>
      </c>
      <c r="D405">
        <v>1.44E-2</v>
      </c>
      <c r="E405">
        <v>1.5219999999999999E-2</v>
      </c>
      <c r="F405">
        <v>219098696.59999999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-0.62211981566820296</v>
      </c>
      <c r="Q405">
        <f t="shared" si="975"/>
        <v>-136305640.74193552</v>
      </c>
      <c r="R405">
        <f t="shared" si="976"/>
        <v>-5222211470.5657177</v>
      </c>
      <c r="S405">
        <f t="shared" si="977"/>
        <v>-52222.114705657179</v>
      </c>
      <c r="T405">
        <f t="shared" si="978"/>
        <v>-52.222114705657177</v>
      </c>
    </row>
    <row r="406" spans="1:20" x14ac:dyDescent="0.25">
      <c r="A406" s="5">
        <v>44187</v>
      </c>
      <c r="B406">
        <v>1.8089999999999998E-2</v>
      </c>
      <c r="C406">
        <v>1.882E-2</v>
      </c>
      <c r="D406">
        <v>1.7399999999999999E-2</v>
      </c>
      <c r="E406">
        <v>1.8610000000000002E-2</v>
      </c>
      <c r="F406">
        <v>101817183.59999999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0.70422535211267856</v>
      </c>
      <c r="Q406">
        <f t="shared" si="975"/>
        <v>71702241.971831232</v>
      </c>
      <c r="R406">
        <f t="shared" si="976"/>
        <v>-5085905829.823782</v>
      </c>
      <c r="S406">
        <f t="shared" si="977"/>
        <v>-50859.058298237818</v>
      </c>
      <c r="T406">
        <f t="shared" si="978"/>
        <v>-50.859058298237819</v>
      </c>
    </row>
    <row r="407" spans="1:20" x14ac:dyDescent="0.25">
      <c r="A407" s="5">
        <v>44186</v>
      </c>
      <c r="B407">
        <v>1.9210000000000001E-2</v>
      </c>
      <c r="C407">
        <v>1.9800000000000002E-2</v>
      </c>
      <c r="D407">
        <v>1.7819999999999999E-2</v>
      </c>
      <c r="E407">
        <v>1.8079999999999999E-2</v>
      </c>
      <c r="F407">
        <v>160038180.59999999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-0.7373737373737379</v>
      </c>
      <c r="Q407">
        <f t="shared" si="975"/>
        <v>-118007951.35151523</v>
      </c>
      <c r="R407">
        <f t="shared" si="976"/>
        <v>-5157608071.7956133</v>
      </c>
      <c r="S407">
        <f t="shared" si="977"/>
        <v>-51576.080717956131</v>
      </c>
      <c r="T407">
        <f t="shared" si="978"/>
        <v>-51.576080717956131</v>
      </c>
    </row>
    <row r="408" spans="1:20" x14ac:dyDescent="0.25">
      <c r="A408" s="5">
        <v>44185</v>
      </c>
      <c r="B408">
        <v>1.9890000000000001E-2</v>
      </c>
      <c r="C408">
        <v>2.0129999999999999E-2</v>
      </c>
      <c r="D408">
        <v>1.8710000000000001E-2</v>
      </c>
      <c r="E408">
        <v>1.9179999999999999E-2</v>
      </c>
      <c r="F408">
        <v>145723013.59999999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-0.33802816901408594</v>
      </c>
      <c r="Q408">
        <f t="shared" si="975"/>
        <v>-49258483.470422745</v>
      </c>
      <c r="R408">
        <f t="shared" si="976"/>
        <v>-5039600120.4440985</v>
      </c>
      <c r="S408">
        <f t="shared" si="977"/>
        <v>-50396.001204440981</v>
      </c>
      <c r="T408">
        <f t="shared" si="978"/>
        <v>-50.396001204440978</v>
      </c>
    </row>
    <row r="409" spans="1:20" x14ac:dyDescent="0.25">
      <c r="A409" s="5">
        <v>44184</v>
      </c>
      <c r="B409">
        <v>2.0559999999999998E-2</v>
      </c>
      <c r="C409">
        <v>2.0830000000000001E-2</v>
      </c>
      <c r="D409">
        <v>1.967E-2</v>
      </c>
      <c r="E409">
        <v>1.9900000000000001E-2</v>
      </c>
      <c r="F409">
        <v>190882341.19999999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-0.60344827586206762</v>
      </c>
      <c r="Q409">
        <f t="shared" si="975"/>
        <v>-115187619.6896549</v>
      </c>
      <c r="R409">
        <f t="shared" si="976"/>
        <v>-4990341636.9736757</v>
      </c>
      <c r="S409">
        <f t="shared" si="977"/>
        <v>-49903.416369736755</v>
      </c>
      <c r="T409">
        <f t="shared" si="978"/>
        <v>-49.903416369736753</v>
      </c>
    </row>
    <row r="410" spans="1:20" x14ac:dyDescent="0.25">
      <c r="A410" s="5">
        <v>44183</v>
      </c>
      <c r="B410">
        <v>1.8960000000000001E-2</v>
      </c>
      <c r="C410">
        <v>2.0799999999999999E-2</v>
      </c>
      <c r="D410">
        <v>1.864E-2</v>
      </c>
      <c r="E410">
        <v>2.0549999999999999E-2</v>
      </c>
      <c r="F410">
        <v>213542460.19999999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0.76851851851851816</v>
      </c>
      <c r="Q410">
        <f t="shared" si="975"/>
        <v>164111335.15370363</v>
      </c>
      <c r="R410">
        <f t="shared" si="976"/>
        <v>-4875154017.2840204</v>
      </c>
      <c r="S410">
        <f t="shared" si="977"/>
        <v>-48751.540172840207</v>
      </c>
      <c r="T410">
        <f t="shared" si="978"/>
        <v>-48.751540172840208</v>
      </c>
    </row>
    <row r="411" spans="1:20" x14ac:dyDescent="0.25">
      <c r="A411" s="5">
        <v>44182</v>
      </c>
      <c r="B411">
        <v>1.951E-2</v>
      </c>
      <c r="C411">
        <v>1.9800000000000002E-2</v>
      </c>
      <c r="D411">
        <v>1.8249999999999999E-2</v>
      </c>
      <c r="E411">
        <v>1.8960000000000001E-2</v>
      </c>
      <c r="F411">
        <v>318097005.39999998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-8.3870967741934158E-2</v>
      </c>
      <c r="Q411">
        <f t="shared" si="975"/>
        <v>-26679103.678709254</v>
      </c>
      <c r="R411">
        <f t="shared" si="976"/>
        <v>-5039265352.4377241</v>
      </c>
      <c r="S411">
        <f t="shared" si="977"/>
        <v>-50392.653524377238</v>
      </c>
      <c r="T411">
        <f t="shared" si="978"/>
        <v>-50.392653524377238</v>
      </c>
    </row>
    <row r="412" spans="1:20" x14ac:dyDescent="0.25">
      <c r="A412" s="5">
        <v>44181</v>
      </c>
      <c r="B412">
        <v>1.9449999999999999E-2</v>
      </c>
      <c r="C412">
        <v>1.9859999999999999E-2</v>
      </c>
      <c r="D412">
        <v>1.8720000000000001E-2</v>
      </c>
      <c r="E412">
        <v>1.95E-2</v>
      </c>
      <c r="F412">
        <v>193156092.69999999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0.36842105263157959</v>
      </c>
      <c r="Q412">
        <f t="shared" si="975"/>
        <v>71162770.994736969</v>
      </c>
      <c r="R412">
        <f t="shared" si="976"/>
        <v>-5012586248.7590151</v>
      </c>
      <c r="S412">
        <f t="shared" si="977"/>
        <v>-50125.862487590151</v>
      </c>
      <c r="T412">
        <f t="shared" si="978"/>
        <v>-50.125862487590155</v>
      </c>
    </row>
    <row r="413" spans="1:20" x14ac:dyDescent="0.25">
      <c r="A413" s="5">
        <v>44180</v>
      </c>
      <c r="B413">
        <v>1.8380000000000001E-2</v>
      </c>
      <c r="C413">
        <v>1.9869999999999999E-2</v>
      </c>
      <c r="D413">
        <v>1.83E-2</v>
      </c>
      <c r="E413">
        <v>1.9449999999999999E-2</v>
      </c>
      <c r="F413">
        <v>251760172.80000001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0.46496815286624121</v>
      </c>
      <c r="Q413">
        <f t="shared" si="975"/>
        <v>117060462.51210171</v>
      </c>
      <c r="R413">
        <f t="shared" si="976"/>
        <v>-5083749019.7537518</v>
      </c>
      <c r="S413">
        <f t="shared" si="977"/>
        <v>-50837.490197537518</v>
      </c>
      <c r="T413">
        <f t="shared" si="978"/>
        <v>-50.83749019753752</v>
      </c>
    </row>
    <row r="414" spans="1:20" x14ac:dyDescent="0.25">
      <c r="A414" s="5">
        <v>44179</v>
      </c>
      <c r="B414">
        <v>1.8159999999999999E-2</v>
      </c>
      <c r="C414">
        <v>1.8599999999999998E-2</v>
      </c>
      <c r="D414">
        <v>1.7930000000000001E-2</v>
      </c>
      <c r="E414">
        <v>1.839E-2</v>
      </c>
      <c r="F414">
        <v>82934693.900000006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0.37313432835821098</v>
      </c>
      <c r="Q414">
        <f t="shared" si="975"/>
        <v>30945781.305970319</v>
      </c>
      <c r="R414">
        <f t="shared" si="976"/>
        <v>-5200809482.2658539</v>
      </c>
      <c r="S414">
        <f t="shared" si="977"/>
        <v>-52008.094822658539</v>
      </c>
      <c r="T414">
        <f t="shared" si="978"/>
        <v>-52.008094822658542</v>
      </c>
    </row>
    <row r="415" spans="1:20" x14ac:dyDescent="0.25">
      <c r="A415" s="5">
        <v>44178</v>
      </c>
      <c r="B415">
        <v>1.788E-2</v>
      </c>
      <c r="C415">
        <v>1.8429999999999998E-2</v>
      </c>
      <c r="D415">
        <v>1.7829999999999999E-2</v>
      </c>
      <c r="E415">
        <v>1.8169999999999999E-2</v>
      </c>
      <c r="F415">
        <v>72571353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0.13333333333333372</v>
      </c>
      <c r="Q415">
        <f t="shared" si="975"/>
        <v>9676180.4000000283</v>
      </c>
      <c r="R415">
        <f t="shared" si="976"/>
        <v>-5231755263.5718241</v>
      </c>
      <c r="S415">
        <f t="shared" si="977"/>
        <v>-52317.552635718239</v>
      </c>
      <c r="T415">
        <f t="shared" si="978"/>
        <v>-52.317552635718236</v>
      </c>
    </row>
    <row r="416" spans="1:20" x14ac:dyDescent="0.25">
      <c r="A416" s="5">
        <v>44177</v>
      </c>
      <c r="B416">
        <v>1.7440000000000001E-2</v>
      </c>
      <c r="C416">
        <v>1.8100000000000002E-2</v>
      </c>
      <c r="D416">
        <v>1.736E-2</v>
      </c>
      <c r="E416">
        <v>1.7850000000000001E-2</v>
      </c>
      <c r="F416">
        <v>74414909.900000006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0.32432432432432473</v>
      </c>
      <c r="Q416">
        <f t="shared" si="975"/>
        <v>24134565.372973006</v>
      </c>
      <c r="R416">
        <f t="shared" si="976"/>
        <v>-5241431443.9718237</v>
      </c>
      <c r="S416">
        <f t="shared" si="977"/>
        <v>-52414.31443971824</v>
      </c>
      <c r="T416">
        <f t="shared" si="978"/>
        <v>-52.41431443971824</v>
      </c>
    </row>
    <row r="417" spans="1:20" x14ac:dyDescent="0.25">
      <c r="A417" s="5">
        <v>44176</v>
      </c>
      <c r="B417">
        <v>1.772E-2</v>
      </c>
      <c r="C417">
        <v>1.7989999999999999E-2</v>
      </c>
      <c r="D417">
        <v>1.6959999999999999E-2</v>
      </c>
      <c r="E417">
        <v>1.7440000000000001E-2</v>
      </c>
      <c r="F417">
        <v>88550307.900000006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-6.7961165048540939E-2</v>
      </c>
      <c r="Q417">
        <f t="shared" si="975"/>
        <v>-6017982.0902910186</v>
      </c>
      <c r="R417">
        <f t="shared" si="976"/>
        <v>-5265566009.3447971</v>
      </c>
      <c r="S417">
        <f t="shared" si="977"/>
        <v>-52655.660093447972</v>
      </c>
      <c r="T417">
        <f t="shared" si="978"/>
        <v>-52.65566009344797</v>
      </c>
    </row>
    <row r="418" spans="1:20" x14ac:dyDescent="0.25">
      <c r="A418" s="5">
        <v>44175</v>
      </c>
      <c r="B418">
        <v>1.8089999999999998E-2</v>
      </c>
      <c r="C418">
        <v>1.84E-2</v>
      </c>
      <c r="D418">
        <v>1.7219999999999999E-2</v>
      </c>
      <c r="E418">
        <v>1.77E-2</v>
      </c>
      <c r="F418">
        <v>72450025.099999994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-0.18644067796609989</v>
      </c>
      <c r="Q418">
        <f t="shared" si="975"/>
        <v>-13507631.798304953</v>
      </c>
      <c r="R418">
        <f t="shared" si="976"/>
        <v>-5259548027.2545061</v>
      </c>
      <c r="S418">
        <f t="shared" si="977"/>
        <v>-52595.480272545065</v>
      </c>
      <c r="T418">
        <f t="shared" si="978"/>
        <v>-52.595480272545068</v>
      </c>
    </row>
    <row r="419" spans="1:20" x14ac:dyDescent="0.25">
      <c r="A419" s="5">
        <v>44174</v>
      </c>
      <c r="B419">
        <v>1.7610000000000001E-2</v>
      </c>
      <c r="C419">
        <v>1.8180000000000002E-2</v>
      </c>
      <c r="D419">
        <v>1.6549999999999999E-2</v>
      </c>
      <c r="E419">
        <v>1.8079999999999999E-2</v>
      </c>
      <c r="F419">
        <v>129518712.59999999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0.87730061349692923</v>
      </c>
      <c r="Q419">
        <f t="shared" si="975"/>
        <v>113626846.02331245</v>
      </c>
      <c r="R419">
        <f t="shared" si="976"/>
        <v>-5246040395.4562016</v>
      </c>
      <c r="S419">
        <f t="shared" si="977"/>
        <v>-52460.403954562018</v>
      </c>
      <c r="T419">
        <f t="shared" si="978"/>
        <v>-52.460403954562018</v>
      </c>
    </row>
    <row r="420" spans="1:20" x14ac:dyDescent="0.25">
      <c r="A420" s="5">
        <v>44173</v>
      </c>
      <c r="B420">
        <v>1.916E-2</v>
      </c>
      <c r="C420">
        <v>1.916E-2</v>
      </c>
      <c r="D420">
        <v>1.736E-2</v>
      </c>
      <c r="E420">
        <v>1.7600000000000001E-2</v>
      </c>
      <c r="F420">
        <v>129482810.3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-0.73333333333333262</v>
      </c>
      <c r="Q420">
        <f t="shared" si="975"/>
        <v>-94954060.886666566</v>
      </c>
      <c r="R420">
        <f t="shared" si="976"/>
        <v>-5359667241.4795141</v>
      </c>
      <c r="S420">
        <f t="shared" si="977"/>
        <v>-53596.672414795139</v>
      </c>
      <c r="T420">
        <f t="shared" si="978"/>
        <v>-53.596672414795137</v>
      </c>
    </row>
    <row r="421" spans="1:20" x14ac:dyDescent="0.25">
      <c r="A421" s="5">
        <v>44172</v>
      </c>
      <c r="B421">
        <v>1.9519999999999999E-2</v>
      </c>
      <c r="C421">
        <v>1.958E-2</v>
      </c>
      <c r="D421">
        <v>1.8919999999999999E-2</v>
      </c>
      <c r="E421">
        <v>1.915E-2</v>
      </c>
      <c r="F421">
        <v>63689400.700000003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-0.30303030303030082</v>
      </c>
      <c r="Q421">
        <f t="shared" si="975"/>
        <v>-19299818.393939253</v>
      </c>
      <c r="R421">
        <f t="shared" si="976"/>
        <v>-5264713180.5928478</v>
      </c>
      <c r="S421">
        <f t="shared" si="977"/>
        <v>-52647.131805928475</v>
      </c>
      <c r="T421">
        <f t="shared" si="978"/>
        <v>-52.647131805928474</v>
      </c>
    </row>
    <row r="422" spans="1:20" x14ac:dyDescent="0.25">
      <c r="A422" s="5">
        <v>44171</v>
      </c>
      <c r="B422">
        <v>1.967E-2</v>
      </c>
      <c r="C422">
        <v>2.0129999999999999E-2</v>
      </c>
      <c r="D422">
        <v>1.891E-2</v>
      </c>
      <c r="E422">
        <v>1.9560000000000001E-2</v>
      </c>
      <c r="F422">
        <v>122151296.59999999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6.5573770491806349E-2</v>
      </c>
      <c r="Q422">
        <f t="shared" si="975"/>
        <v>8009921.0885249646</v>
      </c>
      <c r="R422">
        <f t="shared" si="976"/>
        <v>-5245413362.1989088</v>
      </c>
      <c r="S422">
        <f t="shared" si="977"/>
        <v>-52454.133621989087</v>
      </c>
      <c r="T422">
        <f t="shared" si="978"/>
        <v>-52.454133621989087</v>
      </c>
    </row>
    <row r="423" spans="1:20" x14ac:dyDescent="0.25">
      <c r="A423" s="5">
        <v>44170</v>
      </c>
      <c r="B423">
        <v>1.8839999999999999E-2</v>
      </c>
      <c r="C423">
        <v>1.9730000000000001E-2</v>
      </c>
      <c r="D423">
        <v>1.83E-2</v>
      </c>
      <c r="E423">
        <v>1.968E-2</v>
      </c>
      <c r="F423">
        <v>98489699.200000003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0.93006993006992811</v>
      </c>
      <c r="Q423">
        <f t="shared" si="975"/>
        <v>91602307.647552252</v>
      </c>
      <c r="R423">
        <f t="shared" si="976"/>
        <v>-5253423283.2874336</v>
      </c>
      <c r="S423">
        <f t="shared" si="977"/>
        <v>-52534.232832874339</v>
      </c>
      <c r="T423">
        <f t="shared" si="978"/>
        <v>-52.534232832874338</v>
      </c>
    </row>
    <row r="424" spans="1:20" x14ac:dyDescent="0.25">
      <c r="A424" s="5">
        <v>44169</v>
      </c>
      <c r="B424">
        <v>2.0789999999999999E-2</v>
      </c>
      <c r="C424">
        <v>2.1749999999999999E-2</v>
      </c>
      <c r="D424">
        <v>1.8550000000000001E-2</v>
      </c>
      <c r="E424">
        <v>1.8849999999999999E-2</v>
      </c>
      <c r="F424">
        <v>255554150.69999999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-0.812500000000001</v>
      </c>
      <c r="Q424">
        <f t="shared" si="975"/>
        <v>-207637747.44375023</v>
      </c>
      <c r="R424">
        <f t="shared" si="976"/>
        <v>-5345025590.9349861</v>
      </c>
      <c r="S424">
        <f t="shared" si="977"/>
        <v>-53450.255909349864</v>
      </c>
      <c r="T424">
        <f t="shared" si="978"/>
        <v>-53.450255909349863</v>
      </c>
    </row>
    <row r="425" spans="1:20" x14ac:dyDescent="0.25">
      <c r="A425" s="5">
        <v>44168</v>
      </c>
      <c r="B425">
        <v>1.9310000000000001E-2</v>
      </c>
      <c r="C425">
        <v>2.0979999999999999E-2</v>
      </c>
      <c r="D425">
        <v>1.9E-2</v>
      </c>
      <c r="E425">
        <v>2.078E-2</v>
      </c>
      <c r="F425">
        <v>200834235.90000001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0.79797979797979912</v>
      </c>
      <c r="Q425">
        <f t="shared" si="975"/>
        <v>160261662.99090934</v>
      </c>
      <c r="R425">
        <f t="shared" si="976"/>
        <v>-5137387843.4912357</v>
      </c>
      <c r="S425">
        <f t="shared" si="977"/>
        <v>-51373.87843491236</v>
      </c>
      <c r="T425">
        <f t="shared" si="978"/>
        <v>-51.373878434912356</v>
      </c>
    </row>
    <row r="426" spans="1:20" x14ac:dyDescent="0.25">
      <c r="A426" s="5">
        <v>44167</v>
      </c>
      <c r="B426">
        <v>1.8610000000000002E-2</v>
      </c>
      <c r="C426">
        <v>1.95E-2</v>
      </c>
      <c r="D426">
        <v>1.821E-2</v>
      </c>
      <c r="E426">
        <v>1.932E-2</v>
      </c>
      <c r="F426">
        <v>104697094.90000001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0.72093023255814004</v>
      </c>
      <c r="Q426">
        <f t="shared" si="975"/>
        <v>75479300.974418655</v>
      </c>
      <c r="R426">
        <f t="shared" si="976"/>
        <v>-5297649506.4821453</v>
      </c>
      <c r="S426">
        <f t="shared" si="977"/>
        <v>-52976.495064821451</v>
      </c>
      <c r="T426">
        <f t="shared" si="978"/>
        <v>-52.976495064821449</v>
      </c>
    </row>
    <row r="427" spans="1:20" x14ac:dyDescent="0.25">
      <c r="A427" s="5">
        <v>44166</v>
      </c>
      <c r="B427">
        <v>1.9619999999999999E-2</v>
      </c>
      <c r="C427">
        <v>2.01E-2</v>
      </c>
      <c r="D427">
        <v>1.7559999999999999E-2</v>
      </c>
      <c r="E427">
        <v>1.8630000000000001E-2</v>
      </c>
      <c r="F427">
        <v>217341489.30000001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-0.15748031496062892</v>
      </c>
      <c r="Q427">
        <f t="shared" si="975"/>
        <v>-34227006.188976161</v>
      </c>
      <c r="R427">
        <f t="shared" si="976"/>
        <v>-5373128807.4565639</v>
      </c>
      <c r="S427">
        <f t="shared" si="977"/>
        <v>-53731.288074565637</v>
      </c>
      <c r="T427">
        <f t="shared" si="978"/>
        <v>-53.73128807456564</v>
      </c>
    </row>
    <row r="428" spans="1:20" x14ac:dyDescent="0.25">
      <c r="A428" s="5">
        <v>44165</v>
      </c>
      <c r="B428">
        <v>1.8880000000000001E-2</v>
      </c>
      <c r="C428">
        <v>1.976E-2</v>
      </c>
      <c r="D428">
        <v>1.8429999999999998E-2</v>
      </c>
      <c r="E428">
        <v>1.9599999999999999E-2</v>
      </c>
      <c r="F428">
        <v>189586178.80000001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0.75939849624060107</v>
      </c>
      <c r="Q428">
        <f t="shared" si="975"/>
        <v>143971459.08872172</v>
      </c>
      <c r="R428">
        <f t="shared" si="976"/>
        <v>-5338901801.2675877</v>
      </c>
      <c r="S428">
        <f t="shared" si="977"/>
        <v>-53389.018012675879</v>
      </c>
      <c r="T428">
        <f t="shared" si="978"/>
        <v>-53.389018012675876</v>
      </c>
    </row>
    <row r="429" spans="1:20" x14ac:dyDescent="0.25">
      <c r="A429" s="5">
        <v>44164</v>
      </c>
      <c r="B429">
        <v>1.8720000000000001E-2</v>
      </c>
      <c r="C429">
        <v>1.8960000000000001E-2</v>
      </c>
      <c r="D429">
        <v>1.821E-2</v>
      </c>
      <c r="E429">
        <v>1.8880000000000001E-2</v>
      </c>
      <c r="F429">
        <v>121665786.59999999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0.78666666666666629</v>
      </c>
      <c r="Q429">
        <f t="shared" si="975"/>
        <v>95710418.791999951</v>
      </c>
      <c r="R429">
        <f t="shared" si="976"/>
        <v>-5482873260.3563089</v>
      </c>
      <c r="S429">
        <f t="shared" si="977"/>
        <v>-54828.73260356309</v>
      </c>
      <c r="T429">
        <f t="shared" si="978"/>
        <v>-54.82873260356309</v>
      </c>
    </row>
    <row r="430" spans="1:20" x14ac:dyDescent="0.25">
      <c r="A430" s="5">
        <v>44163</v>
      </c>
      <c r="B430">
        <v>1.7690000000000001E-2</v>
      </c>
      <c r="C430">
        <v>1.899E-2</v>
      </c>
      <c r="D430">
        <v>1.7160000000000002E-2</v>
      </c>
      <c r="E430">
        <v>1.8720000000000001E-2</v>
      </c>
      <c r="F430">
        <v>120310834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0.70491803278688558</v>
      </c>
      <c r="Q430">
        <f t="shared" si="975"/>
        <v>84809276.426229551</v>
      </c>
      <c r="R430">
        <f t="shared" si="976"/>
        <v>-5578583679.1483088</v>
      </c>
      <c r="S430">
        <f t="shared" si="977"/>
        <v>-55785.836791483089</v>
      </c>
      <c r="T430">
        <f t="shared" si="978"/>
        <v>-55.785836791483092</v>
      </c>
    </row>
    <row r="431" spans="1:20" x14ac:dyDescent="0.25">
      <c r="A431" s="5">
        <v>44162</v>
      </c>
      <c r="B431">
        <v>1.771E-2</v>
      </c>
      <c r="C431">
        <v>1.8610000000000002E-2</v>
      </c>
      <c r="D431">
        <v>1.6660000000000001E-2</v>
      </c>
      <c r="E431">
        <v>1.7659999999999999E-2</v>
      </c>
      <c r="F431">
        <v>153542553.5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2.5641025641022813E-2</v>
      </c>
      <c r="Q431">
        <f t="shared" si="975"/>
        <v>3936988.551281617</v>
      </c>
      <c r="R431">
        <f t="shared" si="976"/>
        <v>-5663392955.5745382</v>
      </c>
      <c r="S431">
        <f t="shared" si="977"/>
        <v>-56633.929555745381</v>
      </c>
      <c r="T431">
        <f t="shared" si="978"/>
        <v>-56.633929555745382</v>
      </c>
    </row>
    <row r="432" spans="1:20" x14ac:dyDescent="0.25">
      <c r="A432" s="5">
        <v>44161</v>
      </c>
      <c r="B432">
        <v>2.086E-2</v>
      </c>
      <c r="C432">
        <v>2.1530000000000001E-2</v>
      </c>
      <c r="D432">
        <v>1.559E-2</v>
      </c>
      <c r="E432">
        <v>1.7749999999999998E-2</v>
      </c>
      <c r="F432">
        <v>575952187.89999998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-0.27272727272727326</v>
      </c>
      <c r="Q432">
        <f t="shared" si="975"/>
        <v>-157077869.42727304</v>
      </c>
      <c r="R432">
        <f t="shared" si="976"/>
        <v>-5667329944.1258202</v>
      </c>
      <c r="S432">
        <f t="shared" si="977"/>
        <v>-56673.299441258205</v>
      </c>
      <c r="T432">
        <f t="shared" si="978"/>
        <v>-56.673299441258202</v>
      </c>
    </row>
    <row r="433" spans="1:20" x14ac:dyDescent="0.25">
      <c r="A433" s="5">
        <v>44160</v>
      </c>
      <c r="B433">
        <v>2.163E-2</v>
      </c>
      <c r="C433">
        <v>2.3900000000000001E-2</v>
      </c>
      <c r="D433">
        <v>2.0199999999999999E-2</v>
      </c>
      <c r="E433">
        <v>2.087E-2</v>
      </c>
      <c r="F433">
        <v>337565839.5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-0.63783783783783776</v>
      </c>
      <c r="Q433">
        <f t="shared" si="975"/>
        <v>-215312265.19459456</v>
      </c>
      <c r="R433">
        <f t="shared" si="976"/>
        <v>-5510252074.6985474</v>
      </c>
      <c r="S433">
        <f t="shared" si="977"/>
        <v>-55102.520746985472</v>
      </c>
      <c r="T433">
        <f t="shared" si="978"/>
        <v>-55.102520746985469</v>
      </c>
    </row>
    <row r="434" spans="1:20" x14ac:dyDescent="0.25">
      <c r="A434" s="5">
        <v>44159</v>
      </c>
      <c r="B434">
        <v>2.1129999999999999E-2</v>
      </c>
      <c r="C434">
        <v>2.257E-2</v>
      </c>
      <c r="D434">
        <v>2.034E-2</v>
      </c>
      <c r="E434">
        <v>2.1600000000000001E-2</v>
      </c>
      <c r="F434">
        <v>388482407.69999999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0.13004484304932831</v>
      </c>
      <c r="Q434">
        <f t="shared" si="975"/>
        <v>50520133.736771673</v>
      </c>
      <c r="R434">
        <f t="shared" si="976"/>
        <v>-5294939809.503953</v>
      </c>
      <c r="S434">
        <f t="shared" si="977"/>
        <v>-52949.398095039527</v>
      </c>
      <c r="T434">
        <f t="shared" si="978"/>
        <v>-52.949398095039527</v>
      </c>
    </row>
    <row r="435" spans="1:20" x14ac:dyDescent="0.25">
      <c r="A435" s="5">
        <v>44158</v>
      </c>
      <c r="B435">
        <v>1.9130000000000001E-2</v>
      </c>
      <c r="C435">
        <v>2.1999999999999999E-2</v>
      </c>
      <c r="D435">
        <v>1.8800000000000001E-2</v>
      </c>
      <c r="E435">
        <v>2.1129999999999999E-2</v>
      </c>
      <c r="F435">
        <v>392494138.60000002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0.45625000000000016</v>
      </c>
      <c r="Q435">
        <f t="shared" si="975"/>
        <v>179075450.73625007</v>
      </c>
      <c r="R435">
        <f t="shared" si="976"/>
        <v>-5345459943.2407246</v>
      </c>
      <c r="S435">
        <f t="shared" si="977"/>
        <v>-53454.599432407245</v>
      </c>
      <c r="T435">
        <f t="shared" si="978"/>
        <v>-53.454599432407242</v>
      </c>
    </row>
    <row r="436" spans="1:20" x14ac:dyDescent="0.25">
      <c r="A436" s="5">
        <v>44157</v>
      </c>
      <c r="B436">
        <v>1.9890000000000001E-2</v>
      </c>
      <c r="C436">
        <v>2.018E-2</v>
      </c>
      <c r="D436">
        <v>1.7909999999999999E-2</v>
      </c>
      <c r="E436">
        <v>1.9130000000000001E-2</v>
      </c>
      <c r="F436">
        <v>375951508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7.488986784141119E-2</v>
      </c>
      <c r="Q436">
        <f t="shared" si="975"/>
        <v>28154958.74889924</v>
      </c>
      <c r="R436">
        <f t="shared" si="976"/>
        <v>-5524535393.9769745</v>
      </c>
      <c r="S436">
        <f t="shared" si="977"/>
        <v>-55245.353939769746</v>
      </c>
      <c r="T436">
        <f t="shared" si="978"/>
        <v>-55.245353939769743</v>
      </c>
    </row>
    <row r="437" spans="1:20" x14ac:dyDescent="0.25">
      <c r="A437" s="5">
        <v>44156</v>
      </c>
      <c r="B437">
        <v>1.7909999999999999E-2</v>
      </c>
      <c r="C437">
        <v>1.9900000000000001E-2</v>
      </c>
      <c r="D437">
        <v>1.762E-2</v>
      </c>
      <c r="E437">
        <v>1.9890000000000001E-2</v>
      </c>
      <c r="F437">
        <v>309376921.5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0.9912280701754389</v>
      </c>
      <c r="Q437">
        <f t="shared" si="975"/>
        <v>306663088.85526323</v>
      </c>
      <c r="R437">
        <f t="shared" si="976"/>
        <v>-5552690352.7258739</v>
      </c>
      <c r="S437">
        <f t="shared" si="977"/>
        <v>-55526.903527258743</v>
      </c>
      <c r="T437">
        <f t="shared" si="978"/>
        <v>-55.526903527258746</v>
      </c>
    </row>
    <row r="438" spans="1:20" x14ac:dyDescent="0.25">
      <c r="A438" s="5">
        <v>44155</v>
      </c>
      <c r="B438">
        <v>1.7239999999999998E-2</v>
      </c>
      <c r="C438">
        <v>1.839E-2</v>
      </c>
      <c r="D438">
        <v>1.7160000000000002E-2</v>
      </c>
      <c r="E438">
        <v>1.7909999999999999E-2</v>
      </c>
      <c r="F438">
        <v>207133610.69999999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0.21951219512194819</v>
      </c>
      <c r="Q438">
        <f t="shared" si="975"/>
        <v>45468353.568292052</v>
      </c>
      <c r="R438">
        <f t="shared" si="976"/>
        <v>-5859353441.5811377</v>
      </c>
      <c r="S438">
        <f t="shared" si="977"/>
        <v>-58593.534415811373</v>
      </c>
      <c r="T438">
        <f t="shared" si="978"/>
        <v>-58.593534415811376</v>
      </c>
    </row>
    <row r="439" spans="1:20" x14ac:dyDescent="0.25">
      <c r="A439" s="5">
        <v>44154</v>
      </c>
      <c r="B439">
        <v>1.703E-2</v>
      </c>
      <c r="C439">
        <v>1.813E-2</v>
      </c>
      <c r="D439">
        <v>1.6729999999999998E-2</v>
      </c>
      <c r="E439">
        <v>1.7229999999999999E-2</v>
      </c>
      <c r="F439">
        <v>201264940.80000001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-0.28571428571428609</v>
      </c>
      <c r="Q439">
        <f t="shared" si="975"/>
        <v>-57504268.800000079</v>
      </c>
      <c r="R439">
        <f t="shared" si="976"/>
        <v>-5904821795.1494293</v>
      </c>
      <c r="S439">
        <f t="shared" si="977"/>
        <v>-59048.217951494291</v>
      </c>
      <c r="T439">
        <f t="shared" si="978"/>
        <v>-59.048217951494294</v>
      </c>
    </row>
    <row r="440" spans="1:20" x14ac:dyDescent="0.25">
      <c r="A440" s="5">
        <v>44153</v>
      </c>
      <c r="B440">
        <v>1.7649999999999999E-2</v>
      </c>
      <c r="C440">
        <v>1.882E-2</v>
      </c>
      <c r="D440">
        <v>1.6209999999999999E-2</v>
      </c>
      <c r="E440">
        <v>1.702E-2</v>
      </c>
      <c r="F440">
        <v>311174721.30000001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-0.37931034482758519</v>
      </c>
      <c r="Q440">
        <f t="shared" si="975"/>
        <v>-118031790.83793072</v>
      </c>
      <c r="R440">
        <f t="shared" si="976"/>
        <v>-5847317526.3494291</v>
      </c>
      <c r="S440">
        <f t="shared" si="977"/>
        <v>-58473.17526349429</v>
      </c>
      <c r="T440">
        <f t="shared" si="978"/>
        <v>-58.473175263494291</v>
      </c>
    </row>
    <row r="441" spans="1:20" x14ac:dyDescent="0.25">
      <c r="A441" s="5">
        <v>44152</v>
      </c>
      <c r="B441">
        <v>1.6639999999999999E-2</v>
      </c>
      <c r="C441">
        <v>1.823E-2</v>
      </c>
      <c r="D441">
        <v>1.6580000000000001E-2</v>
      </c>
      <c r="E441">
        <v>1.7659999999999999E-2</v>
      </c>
      <c r="F441">
        <v>290923790.5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0.30909090909090725</v>
      </c>
      <c r="Q441">
        <f t="shared" si="975"/>
        <v>89921898.881817654</v>
      </c>
      <c r="R441">
        <f t="shared" si="976"/>
        <v>-5729285735.5114985</v>
      </c>
      <c r="S441">
        <f t="shared" si="977"/>
        <v>-57292.857355114982</v>
      </c>
      <c r="T441">
        <f t="shared" si="978"/>
        <v>-57.292857355114982</v>
      </c>
    </row>
    <row r="442" spans="1:20" x14ac:dyDescent="0.25">
      <c r="A442" s="5">
        <v>44151</v>
      </c>
      <c r="B442">
        <v>1.6410000000000001E-2</v>
      </c>
      <c r="C442">
        <v>1.687E-2</v>
      </c>
      <c r="D442">
        <v>1.6209999999999999E-2</v>
      </c>
      <c r="E442">
        <v>1.6629999999999999E-2</v>
      </c>
      <c r="F442">
        <v>94821114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0.27272727272727176</v>
      </c>
      <c r="Q442">
        <f t="shared" si="975"/>
        <v>25860303.818181727</v>
      </c>
      <c r="R442">
        <f t="shared" si="976"/>
        <v>-5819207634.3933163</v>
      </c>
      <c r="S442">
        <f t="shared" si="977"/>
        <v>-58192.076343933164</v>
      </c>
      <c r="T442">
        <f t="shared" si="978"/>
        <v>-58.192076343933167</v>
      </c>
    </row>
    <row r="443" spans="1:20" x14ac:dyDescent="0.25">
      <c r="A443" s="5">
        <v>44150</v>
      </c>
      <c r="B443">
        <v>1.6719999999999999E-2</v>
      </c>
      <c r="C443">
        <v>1.7090000000000001E-2</v>
      </c>
      <c r="D443">
        <v>1.5810000000000001E-2</v>
      </c>
      <c r="E443">
        <v>1.6410000000000001E-2</v>
      </c>
      <c r="F443">
        <v>134026685.59999999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-6.2500000000000167E-2</v>
      </c>
      <c r="Q443">
        <f t="shared" si="975"/>
        <v>-8376667.850000022</v>
      </c>
      <c r="R443">
        <f t="shared" si="976"/>
        <v>-5845067938.2114983</v>
      </c>
      <c r="S443">
        <f t="shared" si="977"/>
        <v>-58450.679382114984</v>
      </c>
      <c r="T443">
        <f t="shared" si="978"/>
        <v>-58.450679382114984</v>
      </c>
    </row>
    <row r="444" spans="1:20" x14ac:dyDescent="0.25">
      <c r="A444" s="5">
        <v>44149</v>
      </c>
      <c r="B444">
        <v>1.6910000000000001E-2</v>
      </c>
      <c r="C444">
        <v>1.6920000000000001E-2</v>
      </c>
      <c r="D444">
        <v>1.5959999999999998E-2</v>
      </c>
      <c r="E444">
        <v>1.6709999999999999E-2</v>
      </c>
      <c r="F444">
        <v>82992929.599999994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0.56249999999999734</v>
      </c>
      <c r="Q444">
        <f t="shared" si="975"/>
        <v>46683522.899999775</v>
      </c>
      <c r="R444">
        <f t="shared" si="976"/>
        <v>-5836691270.3614979</v>
      </c>
      <c r="S444">
        <f t="shared" si="977"/>
        <v>-58366.91270361498</v>
      </c>
      <c r="T444">
        <f t="shared" si="978"/>
        <v>-58.366912703614979</v>
      </c>
    </row>
    <row r="445" spans="1:20" x14ac:dyDescent="0.25">
      <c r="A445" s="5">
        <v>44148</v>
      </c>
      <c r="B445">
        <v>1.5879999999999998E-2</v>
      </c>
      <c r="C445">
        <v>1.719E-2</v>
      </c>
      <c r="D445">
        <v>1.575E-2</v>
      </c>
      <c r="E445">
        <v>1.6920000000000001E-2</v>
      </c>
      <c r="F445">
        <v>125342806.5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0.62500000000000089</v>
      </c>
      <c r="Q445">
        <f t="shared" si="975"/>
        <v>78339254.062500104</v>
      </c>
      <c r="R445">
        <f t="shared" si="976"/>
        <v>-5883374793.2614975</v>
      </c>
      <c r="S445">
        <f t="shared" si="977"/>
        <v>-58833.747932614977</v>
      </c>
      <c r="T445">
        <f t="shared" si="978"/>
        <v>-58.833747932614976</v>
      </c>
    </row>
    <row r="446" spans="1:20" x14ac:dyDescent="0.25">
      <c r="A446" s="5">
        <v>44147</v>
      </c>
      <c r="B446">
        <v>1.6559999999999998E-2</v>
      </c>
      <c r="C446">
        <v>1.7409999999999998E-2</v>
      </c>
      <c r="D446">
        <v>1.559E-2</v>
      </c>
      <c r="E446">
        <v>1.5869999999999999E-2</v>
      </c>
      <c r="F446">
        <v>185475129.19999999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-0.69230769230769318</v>
      </c>
      <c r="Q446">
        <f t="shared" si="975"/>
        <v>-128405858.67692323</v>
      </c>
      <c r="R446">
        <f t="shared" si="976"/>
        <v>-5961714047.3239975</v>
      </c>
      <c r="S446">
        <f t="shared" si="977"/>
        <v>-59617.140473239975</v>
      </c>
      <c r="T446">
        <f t="shared" si="978"/>
        <v>-59.617140473239978</v>
      </c>
    </row>
    <row r="447" spans="1:20" x14ac:dyDescent="0.25">
      <c r="A447" s="5">
        <v>44146</v>
      </c>
      <c r="B447">
        <v>1.7270000000000001E-2</v>
      </c>
      <c r="C447">
        <v>1.7819999999999999E-2</v>
      </c>
      <c r="D447">
        <v>1.6500000000000001E-2</v>
      </c>
      <c r="E447">
        <v>1.6539999999999999E-2</v>
      </c>
      <c r="F447">
        <v>171938335.90000001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-0.93939393939394178</v>
      </c>
      <c r="Q447">
        <f t="shared" si="975"/>
        <v>-161517830.69393981</v>
      </c>
      <c r="R447">
        <f t="shared" si="976"/>
        <v>-5833308188.6470747</v>
      </c>
      <c r="S447">
        <f t="shared" si="977"/>
        <v>-58333.081886470747</v>
      </c>
      <c r="T447">
        <f t="shared" si="978"/>
        <v>-58.333081886470744</v>
      </c>
    </row>
    <row r="448" spans="1:20" x14ac:dyDescent="0.25">
      <c r="A448" s="5">
        <v>44145</v>
      </c>
      <c r="B448">
        <v>1.559E-2</v>
      </c>
      <c r="C448">
        <v>1.7520000000000001E-2</v>
      </c>
      <c r="D448">
        <v>1.5389999999999999E-2</v>
      </c>
      <c r="E448">
        <v>1.7239999999999998E-2</v>
      </c>
      <c r="F448">
        <v>373471182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0.73708920187793214</v>
      </c>
      <c r="Q448">
        <f t="shared" si="975"/>
        <v>275281575.46478796</v>
      </c>
      <c r="R448">
        <f t="shared" si="976"/>
        <v>-5671790357.9531345</v>
      </c>
      <c r="S448">
        <f t="shared" si="977"/>
        <v>-56717.903579531347</v>
      </c>
      <c r="T448">
        <f t="shared" si="978"/>
        <v>-56.717903579531345</v>
      </c>
    </row>
    <row r="449" spans="1:20" x14ac:dyDescent="0.25">
      <c r="A449" s="5">
        <v>44144</v>
      </c>
      <c r="B449">
        <v>1.5699999999999999E-2</v>
      </c>
      <c r="C449">
        <v>1.6760000000000001E-2</v>
      </c>
      <c r="D449">
        <v>1.529E-2</v>
      </c>
      <c r="E449">
        <v>1.559E-2</v>
      </c>
      <c r="F449">
        <v>242471214.90000001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-0.59183673469387788</v>
      </c>
      <c r="Q449">
        <f t="shared" si="975"/>
        <v>-143503372.08367354</v>
      </c>
      <c r="R449">
        <f t="shared" si="976"/>
        <v>-5947071933.417923</v>
      </c>
      <c r="S449">
        <f t="shared" si="977"/>
        <v>-59470.71933417923</v>
      </c>
      <c r="T449">
        <f t="shared" si="978"/>
        <v>-59.470719334179229</v>
      </c>
    </row>
    <row r="450" spans="1:20" x14ac:dyDescent="0.25">
      <c r="A450" s="5">
        <v>44143</v>
      </c>
      <c r="B450">
        <v>1.438E-2</v>
      </c>
      <c r="C450">
        <v>1.6250000000000001E-2</v>
      </c>
      <c r="D450">
        <v>1.4120000000000001E-2</v>
      </c>
      <c r="E450">
        <v>1.5699999999999999E-2</v>
      </c>
      <c r="F450">
        <v>189324317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0.4835680751173691</v>
      </c>
      <c r="Q450">
        <f t="shared" si="975"/>
        <v>91551195.544600606</v>
      </c>
      <c r="R450">
        <f t="shared" si="976"/>
        <v>-5803568561.3342495</v>
      </c>
      <c r="S450">
        <f t="shared" si="977"/>
        <v>-58035.685613342495</v>
      </c>
      <c r="T450">
        <f t="shared" si="978"/>
        <v>-58.035685613342494</v>
      </c>
    </row>
    <row r="451" spans="1:20" x14ac:dyDescent="0.25">
      <c r="A451" s="5">
        <v>44142</v>
      </c>
      <c r="B451">
        <v>1.5469999999999999E-2</v>
      </c>
      <c r="C451">
        <v>1.7149999999999999E-2</v>
      </c>
      <c r="D451">
        <v>1.3809999999999999E-2</v>
      </c>
      <c r="E451">
        <v>1.436E-2</v>
      </c>
      <c r="F451">
        <v>473974536.10000002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-0.67065868263473039</v>
      </c>
      <c r="Q451">
        <f t="shared" si="975"/>
        <v>-317875137.98323345</v>
      </c>
      <c r="R451">
        <f t="shared" si="976"/>
        <v>-5895119756.87885</v>
      </c>
      <c r="S451">
        <f t="shared" si="977"/>
        <v>-58951.197568788499</v>
      </c>
      <c r="T451">
        <f t="shared" si="978"/>
        <v>-58.951197568788501</v>
      </c>
    </row>
    <row r="452" spans="1:20" x14ac:dyDescent="0.25">
      <c r="A452" s="5">
        <v>44141</v>
      </c>
      <c r="B452">
        <v>1.342E-2</v>
      </c>
      <c r="C452">
        <v>1.5900000000000001E-2</v>
      </c>
      <c r="D452">
        <v>1.336E-2</v>
      </c>
      <c r="E452">
        <v>1.5480000000000001E-2</v>
      </c>
      <c r="F452">
        <v>434281102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0.66929133858267709</v>
      </c>
      <c r="Q452">
        <f t="shared" si="975"/>
        <v>290660580.07874012</v>
      </c>
      <c r="R452">
        <f t="shared" si="976"/>
        <v>-5577244618.8956165</v>
      </c>
      <c r="S452">
        <f t="shared" si="977"/>
        <v>-55772.446188956164</v>
      </c>
      <c r="T452">
        <f t="shared" si="978"/>
        <v>-55.772446188956167</v>
      </c>
    </row>
    <row r="453" spans="1:20" x14ac:dyDescent="0.25">
      <c r="A453" s="5">
        <v>44140</v>
      </c>
      <c r="B453">
        <v>1.223E-2</v>
      </c>
      <c r="C453">
        <v>1.367E-2</v>
      </c>
      <c r="D453">
        <v>1.209E-2</v>
      </c>
      <c r="E453">
        <v>1.3429999999999999E-2</v>
      </c>
      <c r="F453">
        <v>262910612.90000001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0.69620253164556878</v>
      </c>
      <c r="Q453">
        <f t="shared" si="975"/>
        <v>183039034.29746813</v>
      </c>
      <c r="R453">
        <f t="shared" si="976"/>
        <v>-5867905198.9743567</v>
      </c>
      <c r="S453">
        <f t="shared" si="977"/>
        <v>-58679.051989743566</v>
      </c>
      <c r="T453">
        <f t="shared" si="978"/>
        <v>-58.679051989743563</v>
      </c>
    </row>
    <row r="454" spans="1:20" x14ac:dyDescent="0.25">
      <c r="A454" s="5">
        <v>44139</v>
      </c>
      <c r="B454">
        <v>1.273E-2</v>
      </c>
      <c r="C454">
        <v>1.2749999999999999E-2</v>
      </c>
      <c r="D454">
        <v>1.1690000000000001E-2</v>
      </c>
      <c r="E454">
        <v>1.222E-2</v>
      </c>
      <c r="F454">
        <v>226866873.30000001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-6050944233.2718248</v>
      </c>
      <c r="S454">
        <f t="shared" ref="S454:S517" si="982">R454/100000</f>
        <v>-60509.442332718245</v>
      </c>
      <c r="T454">
        <f t="shared" ref="T454:T517" si="983">S454/1000</f>
        <v>-60.509442332718244</v>
      </c>
    </row>
    <row r="455" spans="1:20" x14ac:dyDescent="0.25">
      <c r="A455" s="5">
        <v>44138</v>
      </c>
      <c r="B455">
        <v>1.3690000000000001E-2</v>
      </c>
      <c r="C455">
        <v>1.374E-2</v>
      </c>
      <c r="D455">
        <v>1.255E-2</v>
      </c>
      <c r="E455">
        <v>1.273E-2</v>
      </c>
      <c r="F455">
        <v>184271596.5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-0.69747899159663929</v>
      </c>
      <c r="Q455">
        <f t="shared" si="980"/>
        <v>-128525567.3067228</v>
      </c>
      <c r="R455">
        <f t="shared" si="981"/>
        <v>-6050944233.2718248</v>
      </c>
      <c r="S455">
        <f t="shared" si="982"/>
        <v>-60509.442332718245</v>
      </c>
      <c r="T455">
        <f t="shared" si="983"/>
        <v>-60.509442332718244</v>
      </c>
    </row>
    <row r="456" spans="1:20" x14ac:dyDescent="0.25">
      <c r="A456" s="5">
        <v>44137</v>
      </c>
      <c r="B456">
        <v>1.4149999999999999E-2</v>
      </c>
      <c r="C456">
        <v>1.4449999999999999E-2</v>
      </c>
      <c r="D456">
        <v>1.332E-2</v>
      </c>
      <c r="E456">
        <v>1.3679999999999999E-2</v>
      </c>
      <c r="F456">
        <v>107737148.8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-0.36283185840708054</v>
      </c>
      <c r="Q456">
        <f t="shared" si="980"/>
        <v>-39090469.918584168</v>
      </c>
      <c r="R456">
        <f t="shared" si="981"/>
        <v>-5922418665.9651022</v>
      </c>
      <c r="S456">
        <f t="shared" si="982"/>
        <v>-59224.186659651023</v>
      </c>
      <c r="T456">
        <f t="shared" si="983"/>
        <v>-59.224186659651025</v>
      </c>
    </row>
    <row r="457" spans="1:20" x14ac:dyDescent="0.25">
      <c r="A457" s="5">
        <v>44136</v>
      </c>
      <c r="B457">
        <v>1.371E-2</v>
      </c>
      <c r="C457">
        <v>1.4330000000000001E-2</v>
      </c>
      <c r="D457">
        <v>1.355E-2</v>
      </c>
      <c r="E457">
        <v>1.414E-2</v>
      </c>
      <c r="F457">
        <v>81436167.299999997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0.51282051282051122</v>
      </c>
      <c r="Q457">
        <f t="shared" si="980"/>
        <v>41762137.076922946</v>
      </c>
      <c r="R457">
        <f t="shared" si="981"/>
        <v>-5883328196.0465183</v>
      </c>
      <c r="S457">
        <f t="shared" si="982"/>
        <v>-58833.281960465181</v>
      </c>
      <c r="T457">
        <f t="shared" si="983"/>
        <v>-58.833281960465179</v>
      </c>
    </row>
    <row r="458" spans="1:20" x14ac:dyDescent="0.25">
      <c r="A458" s="5">
        <v>44135</v>
      </c>
      <c r="B458">
        <v>1.3820000000000001E-2</v>
      </c>
      <c r="C458">
        <v>1.423E-2</v>
      </c>
      <c r="D458">
        <v>1.359E-2</v>
      </c>
      <c r="E458">
        <v>1.374E-2</v>
      </c>
      <c r="F458">
        <v>86813966.700000003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-0.53124999999999734</v>
      </c>
      <c r="Q458">
        <f t="shared" si="980"/>
        <v>-46119919.809374772</v>
      </c>
      <c r="R458">
        <f t="shared" si="981"/>
        <v>-5925090333.1234417</v>
      </c>
      <c r="S458">
        <f t="shared" si="982"/>
        <v>-59250.903331234418</v>
      </c>
      <c r="T458">
        <f t="shared" si="983"/>
        <v>-59.250903331234419</v>
      </c>
    </row>
    <row r="459" spans="1:20" x14ac:dyDescent="0.25">
      <c r="A459" s="5">
        <v>44134</v>
      </c>
      <c r="B459">
        <v>1.383E-2</v>
      </c>
      <c r="C459">
        <v>1.41E-2</v>
      </c>
      <c r="D459">
        <v>1.291E-2</v>
      </c>
      <c r="E459">
        <v>1.3849999999999999E-2</v>
      </c>
      <c r="F459">
        <v>258312006.59999999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0.57983193277310885</v>
      </c>
      <c r="Q459">
        <f t="shared" si="980"/>
        <v>149777550.04537806</v>
      </c>
      <c r="R459">
        <f t="shared" si="981"/>
        <v>-5878970413.3140669</v>
      </c>
      <c r="S459">
        <f t="shared" si="982"/>
        <v>-58789.704133140665</v>
      </c>
      <c r="T459">
        <f t="shared" si="983"/>
        <v>-58.789704133140667</v>
      </c>
    </row>
    <row r="460" spans="1:20" x14ac:dyDescent="0.25">
      <c r="A460" s="5">
        <v>44133</v>
      </c>
      <c r="B460">
        <v>1.503E-2</v>
      </c>
      <c r="C460">
        <v>1.5389999999999999E-2</v>
      </c>
      <c r="D460">
        <v>1.3639999999999999E-2</v>
      </c>
      <c r="E460">
        <v>1.383E-2</v>
      </c>
      <c r="F460">
        <v>185857309.09999999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-0.78285714285714181</v>
      </c>
      <c r="Q460">
        <f t="shared" si="980"/>
        <v>-145499721.98114267</v>
      </c>
      <c r="R460">
        <f t="shared" si="981"/>
        <v>-6028747963.3594446</v>
      </c>
      <c r="S460">
        <f t="shared" si="982"/>
        <v>-60287.479633594448</v>
      </c>
      <c r="T460">
        <f t="shared" si="983"/>
        <v>-60.287479633594451</v>
      </c>
    </row>
    <row r="461" spans="1:20" x14ac:dyDescent="0.25">
      <c r="A461" s="5">
        <v>44132</v>
      </c>
      <c r="B461">
        <v>1.5820000000000001E-2</v>
      </c>
      <c r="C461">
        <v>1.6129999999999999E-2</v>
      </c>
      <c r="D461">
        <v>1.482E-2</v>
      </c>
      <c r="E461">
        <v>1.506E-2</v>
      </c>
      <c r="F461">
        <v>175890100.59999999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-0.6335877862595406</v>
      </c>
      <c r="Q461">
        <f t="shared" si="980"/>
        <v>-111441819.46412189</v>
      </c>
      <c r="R461">
        <f t="shared" si="981"/>
        <v>-5883248241.3783016</v>
      </c>
      <c r="S461">
        <f t="shared" si="982"/>
        <v>-58832.482413783015</v>
      </c>
      <c r="T461">
        <f t="shared" si="983"/>
        <v>-58.832482413783012</v>
      </c>
    </row>
    <row r="462" spans="1:20" x14ac:dyDescent="0.25">
      <c r="A462" s="5">
        <v>44131</v>
      </c>
      <c r="B462">
        <v>1.653E-2</v>
      </c>
      <c r="C462">
        <v>1.6639999999999999E-2</v>
      </c>
      <c r="D462">
        <v>1.558E-2</v>
      </c>
      <c r="E462">
        <v>1.5820000000000001E-2</v>
      </c>
      <c r="F462">
        <v>242409601.19999999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-0.54716981132075282</v>
      </c>
      <c r="Q462">
        <f t="shared" si="980"/>
        <v>-132639215.75094293</v>
      </c>
      <c r="R462">
        <f t="shared" si="981"/>
        <v>-5771806421.9141798</v>
      </c>
      <c r="S462">
        <f t="shared" si="982"/>
        <v>-57718.064219141801</v>
      </c>
      <c r="T462">
        <f t="shared" si="983"/>
        <v>-57.718064219141802</v>
      </c>
    </row>
    <row r="463" spans="1:20" x14ac:dyDescent="0.25">
      <c r="A463" s="5">
        <v>44130</v>
      </c>
      <c r="B463">
        <v>1.7270000000000001E-2</v>
      </c>
      <c r="C463">
        <v>1.7739999999999999E-2</v>
      </c>
      <c r="D463">
        <v>1.609E-2</v>
      </c>
      <c r="E463">
        <v>1.652E-2</v>
      </c>
      <c r="F463">
        <v>155351572.30000001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-0.4787878787878786</v>
      </c>
      <c r="Q463">
        <f t="shared" si="980"/>
        <v>-74380449.767878771</v>
      </c>
      <c r="R463">
        <f t="shared" si="981"/>
        <v>-5639167206.1632366</v>
      </c>
      <c r="S463">
        <f t="shared" si="982"/>
        <v>-56391.672061632366</v>
      </c>
      <c r="T463">
        <f t="shared" si="983"/>
        <v>-56.391672061632363</v>
      </c>
    </row>
    <row r="464" spans="1:20" x14ac:dyDescent="0.25">
      <c r="A464" s="5">
        <v>44129</v>
      </c>
      <c r="B464">
        <v>1.7659999999999999E-2</v>
      </c>
      <c r="C464">
        <v>1.7940000000000001E-2</v>
      </c>
      <c r="D464">
        <v>1.7129999999999999E-2</v>
      </c>
      <c r="E464">
        <v>1.7270000000000001E-2</v>
      </c>
      <c r="F464">
        <v>104352845.09999999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-0.65432098765431868</v>
      </c>
      <c r="Q464">
        <f t="shared" si="980"/>
        <v>-68280256.670370132</v>
      </c>
      <c r="R464">
        <f t="shared" si="981"/>
        <v>-5564786756.3953581</v>
      </c>
      <c r="S464">
        <f t="shared" si="982"/>
        <v>-55647.86756395358</v>
      </c>
      <c r="T464">
        <f t="shared" si="983"/>
        <v>-55.647867563953582</v>
      </c>
    </row>
    <row r="465" spans="1:20" x14ac:dyDescent="0.25">
      <c r="A465" s="5">
        <v>44128</v>
      </c>
      <c r="B465">
        <v>1.704E-2</v>
      </c>
      <c r="C465">
        <v>1.7739999999999999E-2</v>
      </c>
      <c r="D465">
        <v>1.6799999999999999E-2</v>
      </c>
      <c r="E465">
        <v>1.7670000000000002E-2</v>
      </c>
      <c r="F465">
        <v>80069438.200000003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0.85106382978724004</v>
      </c>
      <c r="Q465">
        <f t="shared" si="980"/>
        <v>68144202.723404735</v>
      </c>
      <c r="R465">
        <f t="shared" si="981"/>
        <v>-5496506499.724988</v>
      </c>
      <c r="S465">
        <f t="shared" si="982"/>
        <v>-54965.06499724988</v>
      </c>
      <c r="T465">
        <f t="shared" si="983"/>
        <v>-54.965064997249883</v>
      </c>
    </row>
    <row r="466" spans="1:20" x14ac:dyDescent="0.25">
      <c r="A466" s="5">
        <v>44127</v>
      </c>
      <c r="B466">
        <v>1.7340000000000001E-2</v>
      </c>
      <c r="C466">
        <v>1.7520000000000001E-2</v>
      </c>
      <c r="D466">
        <v>1.643E-2</v>
      </c>
      <c r="E466">
        <v>1.7010000000000001E-2</v>
      </c>
      <c r="F466">
        <v>113145694.90000001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6.4220183486239063E-2</v>
      </c>
      <c r="Q466">
        <f t="shared" si="980"/>
        <v>7266237.287156024</v>
      </c>
      <c r="R466">
        <f t="shared" si="981"/>
        <v>-5564650702.4483929</v>
      </c>
      <c r="S466">
        <f t="shared" si="982"/>
        <v>-55646.50702448393</v>
      </c>
      <c r="T466">
        <f t="shared" si="983"/>
        <v>-55.646507024483931</v>
      </c>
    </row>
    <row r="467" spans="1:20" x14ac:dyDescent="0.25">
      <c r="A467" s="5">
        <v>44126</v>
      </c>
      <c r="B467">
        <v>1.6320000000000001E-2</v>
      </c>
      <c r="C467">
        <v>1.7899999999999999E-2</v>
      </c>
      <c r="D467">
        <v>1.61E-2</v>
      </c>
      <c r="E467">
        <v>1.7350000000000001E-2</v>
      </c>
      <c r="F467">
        <v>286657325.39999998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0.3888888888888905</v>
      </c>
      <c r="Q467">
        <f t="shared" si="980"/>
        <v>111477848.76666713</v>
      </c>
      <c r="R467">
        <f t="shared" si="981"/>
        <v>-5571916939.735549</v>
      </c>
      <c r="S467">
        <f t="shared" si="982"/>
        <v>-55719.169397355487</v>
      </c>
      <c r="T467">
        <f t="shared" si="983"/>
        <v>-55.719169397355486</v>
      </c>
    </row>
    <row r="468" spans="1:20" x14ac:dyDescent="0.25">
      <c r="A468" s="5">
        <v>44125</v>
      </c>
      <c r="B468">
        <v>1.559E-2</v>
      </c>
      <c r="C468">
        <v>1.6809999999999999E-2</v>
      </c>
      <c r="D468">
        <v>1.553E-2</v>
      </c>
      <c r="E468">
        <v>1.6330000000000001E-2</v>
      </c>
      <c r="F468">
        <v>148083204.90000001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0.25000000000000239</v>
      </c>
      <c r="Q468">
        <f t="shared" si="980"/>
        <v>37020801.225000352</v>
      </c>
      <c r="R468">
        <f t="shared" si="981"/>
        <v>-5683394788.5022163</v>
      </c>
      <c r="S468">
        <f t="shared" si="982"/>
        <v>-56833.947885022164</v>
      </c>
      <c r="T468">
        <f t="shared" si="983"/>
        <v>-56.833947885022162</v>
      </c>
    </row>
    <row r="469" spans="1:20" x14ac:dyDescent="0.25">
      <c r="A469" s="5">
        <v>44124</v>
      </c>
      <c r="B469">
        <v>1.6240000000000001E-2</v>
      </c>
      <c r="C469">
        <v>1.6369999999999999E-2</v>
      </c>
      <c r="D469">
        <v>1.532E-2</v>
      </c>
      <c r="E469">
        <v>1.559E-2</v>
      </c>
      <c r="F469">
        <v>118488495.40000001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-0.48571428571428626</v>
      </c>
      <c r="Q469">
        <f t="shared" si="980"/>
        <v>-57551554.908571497</v>
      </c>
      <c r="R469">
        <f t="shared" si="981"/>
        <v>-5720415589.7272167</v>
      </c>
      <c r="S469">
        <f t="shared" si="982"/>
        <v>-57204.155897272169</v>
      </c>
      <c r="T469">
        <f t="shared" si="983"/>
        <v>-57.204155897272166</v>
      </c>
    </row>
    <row r="470" spans="1:20" x14ac:dyDescent="0.25">
      <c r="A470" s="5">
        <v>44123</v>
      </c>
      <c r="B470">
        <v>1.6889999999999999E-2</v>
      </c>
      <c r="C470">
        <v>1.6910000000000001E-2</v>
      </c>
      <c r="D470">
        <v>1.61E-2</v>
      </c>
      <c r="E470">
        <v>1.6240000000000001E-2</v>
      </c>
      <c r="F470">
        <v>81910102.299999997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-0.65432098765431868</v>
      </c>
      <c r="Q470">
        <f t="shared" si="980"/>
        <v>-53595499.035802275</v>
      </c>
      <c r="R470">
        <f t="shared" si="981"/>
        <v>-5662864034.8186455</v>
      </c>
      <c r="S470">
        <f t="shared" si="982"/>
        <v>-56628.640348186455</v>
      </c>
      <c r="T470">
        <f t="shared" si="983"/>
        <v>-56.628640348186451</v>
      </c>
    </row>
    <row r="471" spans="1:20" x14ac:dyDescent="0.25">
      <c r="A471" s="5">
        <v>44122</v>
      </c>
      <c r="B471">
        <v>1.6709999999999999E-2</v>
      </c>
      <c r="C471">
        <v>1.7049999999999999E-2</v>
      </c>
      <c r="D471">
        <v>1.6459999999999999E-2</v>
      </c>
      <c r="E471">
        <v>1.6879999999999999E-2</v>
      </c>
      <c r="F471">
        <v>52315466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0.42372881355932224</v>
      </c>
      <c r="Q471">
        <f t="shared" si="980"/>
        <v>22167570.338983063</v>
      </c>
      <c r="R471">
        <f t="shared" si="981"/>
        <v>-5609268535.7828436</v>
      </c>
      <c r="S471">
        <f t="shared" si="982"/>
        <v>-56092.685357828435</v>
      </c>
      <c r="T471">
        <f t="shared" si="983"/>
        <v>-56.092685357828437</v>
      </c>
    </row>
    <row r="472" spans="1:20" x14ac:dyDescent="0.25">
      <c r="A472" s="5">
        <v>44121</v>
      </c>
      <c r="B472">
        <v>1.6230000000000001E-2</v>
      </c>
      <c r="C472">
        <v>1.678E-2</v>
      </c>
      <c r="D472">
        <v>1.5990000000000001E-2</v>
      </c>
      <c r="E472">
        <v>1.6729999999999998E-2</v>
      </c>
      <c r="F472">
        <v>37541012.399999999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0.87341772151898356</v>
      </c>
      <c r="Q472">
        <f t="shared" si="980"/>
        <v>32788985.513923906</v>
      </c>
      <c r="R472">
        <f t="shared" si="981"/>
        <v>-5631436106.1218271</v>
      </c>
      <c r="S472">
        <f t="shared" si="982"/>
        <v>-56314.361061218275</v>
      </c>
      <c r="T472">
        <f t="shared" si="983"/>
        <v>-56.314361061218271</v>
      </c>
    </row>
    <row r="473" spans="1:20" x14ac:dyDescent="0.25">
      <c r="A473" s="5">
        <v>44120</v>
      </c>
      <c r="B473">
        <v>1.7170000000000001E-2</v>
      </c>
      <c r="C473">
        <v>1.7170000000000001E-2</v>
      </c>
      <c r="D473">
        <v>1.5970000000000002E-2</v>
      </c>
      <c r="E473">
        <v>1.6219999999999998E-2</v>
      </c>
      <c r="F473">
        <v>91864069.099999994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-0.58333333333333859</v>
      </c>
      <c r="Q473">
        <f t="shared" si="980"/>
        <v>-53587373.641667143</v>
      </c>
      <c r="R473">
        <f t="shared" si="981"/>
        <v>-5664225091.6357508</v>
      </c>
      <c r="S473">
        <f t="shared" si="982"/>
        <v>-56642.250916357509</v>
      </c>
      <c r="T473">
        <f t="shared" si="983"/>
        <v>-56.642250916357511</v>
      </c>
    </row>
    <row r="474" spans="1:20" x14ac:dyDescent="0.25">
      <c r="A474" s="5">
        <v>44119</v>
      </c>
      <c r="B474">
        <v>1.7139999999999999E-2</v>
      </c>
      <c r="C474">
        <v>1.7469999999999999E-2</v>
      </c>
      <c r="D474">
        <v>1.653E-2</v>
      </c>
      <c r="E474">
        <v>1.7180000000000001E-2</v>
      </c>
      <c r="F474">
        <v>74064902.299999997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0.3829787234042582</v>
      </c>
      <c r="Q474">
        <f t="shared" si="980"/>
        <v>28365281.731915105</v>
      </c>
      <c r="R474">
        <f t="shared" si="981"/>
        <v>-5610637717.9940834</v>
      </c>
      <c r="S474">
        <f t="shared" si="982"/>
        <v>-56106.377179940835</v>
      </c>
      <c r="T474">
        <f t="shared" si="983"/>
        <v>-56.106377179940836</v>
      </c>
    </row>
    <row r="475" spans="1:20" x14ac:dyDescent="0.25">
      <c r="A475" s="5">
        <v>44118</v>
      </c>
      <c r="B475">
        <v>1.7670000000000002E-2</v>
      </c>
      <c r="C475">
        <v>1.7989999999999999E-2</v>
      </c>
      <c r="D475">
        <v>1.703E-2</v>
      </c>
      <c r="E475">
        <v>1.712E-2</v>
      </c>
      <c r="F475">
        <v>81381987.900000006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-0.81250000000000022</v>
      </c>
      <c r="Q475">
        <f t="shared" si="980"/>
        <v>-66122865.168750025</v>
      </c>
      <c r="R475">
        <f t="shared" si="981"/>
        <v>-5639002999.7259989</v>
      </c>
      <c r="S475">
        <f t="shared" si="982"/>
        <v>-56390.02999725999</v>
      </c>
      <c r="T475">
        <f t="shared" si="983"/>
        <v>-56.390029997259987</v>
      </c>
    </row>
    <row r="476" spans="1:20" x14ac:dyDescent="0.25">
      <c r="A476" s="5">
        <v>44117</v>
      </c>
      <c r="B476">
        <v>1.7819999999999999E-2</v>
      </c>
      <c r="C476">
        <v>1.796E-2</v>
      </c>
      <c r="D476">
        <v>1.737E-2</v>
      </c>
      <c r="E476">
        <v>1.7680000000000001E-2</v>
      </c>
      <c r="F476">
        <v>93756704.200000003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5.0847457627122429E-2</v>
      </c>
      <c r="Q476">
        <f t="shared" si="980"/>
        <v>4767290.0440681521</v>
      </c>
      <c r="R476">
        <f t="shared" si="981"/>
        <v>-5572880134.5572491</v>
      </c>
      <c r="S476">
        <f t="shared" si="982"/>
        <v>-55728.801345572494</v>
      </c>
      <c r="T476">
        <f t="shared" si="983"/>
        <v>-55.728801345572492</v>
      </c>
    </row>
    <row r="477" spans="1:20" x14ac:dyDescent="0.25">
      <c r="A477" s="5">
        <v>44116</v>
      </c>
      <c r="B477">
        <v>1.78E-2</v>
      </c>
      <c r="C477">
        <v>1.89E-2</v>
      </c>
      <c r="D477">
        <v>1.7680000000000001E-2</v>
      </c>
      <c r="E477">
        <v>1.7850000000000001E-2</v>
      </c>
      <c r="F477">
        <v>140536795.59999999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-0.72131147540983576</v>
      </c>
      <c r="Q477">
        <f t="shared" si="980"/>
        <v>-101370803.38360651</v>
      </c>
      <c r="R477">
        <f t="shared" si="981"/>
        <v>-5577647424.6013174</v>
      </c>
      <c r="S477">
        <f t="shared" si="982"/>
        <v>-55776.474246013175</v>
      </c>
      <c r="T477">
        <f t="shared" si="983"/>
        <v>-55.776474246013173</v>
      </c>
    </row>
    <row r="478" spans="1:20" x14ac:dyDescent="0.25">
      <c r="A478" s="5">
        <v>44115</v>
      </c>
      <c r="B478">
        <v>1.721E-2</v>
      </c>
      <c r="C478">
        <v>1.8079999999999999E-2</v>
      </c>
      <c r="D478">
        <v>1.7139999999999999E-2</v>
      </c>
      <c r="E478">
        <v>1.78E-2</v>
      </c>
      <c r="F478">
        <v>99892086.599999994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0.4042553191489382</v>
      </c>
      <c r="Q478">
        <f t="shared" si="980"/>
        <v>40381907.348936372</v>
      </c>
      <c r="R478">
        <f t="shared" si="981"/>
        <v>-5476276621.2177105</v>
      </c>
      <c r="S478">
        <f t="shared" si="982"/>
        <v>-54762.766212177106</v>
      </c>
      <c r="T478">
        <f t="shared" si="983"/>
        <v>-54.762766212177105</v>
      </c>
    </row>
    <row r="479" spans="1:20" x14ac:dyDescent="0.25">
      <c r="A479" s="5">
        <v>44114</v>
      </c>
      <c r="B479">
        <v>1.7049999999999999E-2</v>
      </c>
      <c r="C479">
        <v>1.779E-2</v>
      </c>
      <c r="D479">
        <v>1.6899999999999998E-2</v>
      </c>
      <c r="E479">
        <v>1.72E-2</v>
      </c>
      <c r="F479">
        <v>161214334.40000001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-0.32584269662921123</v>
      </c>
      <c r="Q479">
        <f t="shared" si="980"/>
        <v>-52530513.45617941</v>
      </c>
      <c r="R479">
        <f t="shared" si="981"/>
        <v>-5516658528.5666466</v>
      </c>
      <c r="S479">
        <f t="shared" si="982"/>
        <v>-55166.585285666464</v>
      </c>
      <c r="T479">
        <f t="shared" si="983"/>
        <v>-55.166585285666464</v>
      </c>
    </row>
    <row r="480" spans="1:20" x14ac:dyDescent="0.25">
      <c r="A480" s="5">
        <v>44113</v>
      </c>
      <c r="B480">
        <v>1.6629999999999999E-2</v>
      </c>
      <c r="C480">
        <v>1.7520000000000001E-2</v>
      </c>
      <c r="D480">
        <v>1.617E-2</v>
      </c>
      <c r="E480">
        <v>1.7049999999999999E-2</v>
      </c>
      <c r="F480">
        <v>197117415.09999999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0.30370370370370148</v>
      </c>
      <c r="Q480">
        <f t="shared" si="980"/>
        <v>59865289.03036993</v>
      </c>
      <c r="R480">
        <f t="shared" si="981"/>
        <v>-5464128015.110467</v>
      </c>
      <c r="S480">
        <f t="shared" si="982"/>
        <v>-54641.280151104671</v>
      </c>
      <c r="T480">
        <f t="shared" si="983"/>
        <v>-54.641280151104674</v>
      </c>
    </row>
    <row r="481" spans="1:20" x14ac:dyDescent="0.25">
      <c r="A481" s="5">
        <v>44112</v>
      </c>
      <c r="B481">
        <v>1.695E-2</v>
      </c>
      <c r="C481">
        <v>1.695E-2</v>
      </c>
      <c r="D481">
        <v>1.54E-2</v>
      </c>
      <c r="E481">
        <v>1.6619999999999999E-2</v>
      </c>
      <c r="F481">
        <v>250575783.59999999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0.57419354838709602</v>
      </c>
      <c r="Q481">
        <f t="shared" si="980"/>
        <v>143878998.3251611</v>
      </c>
      <c r="R481">
        <f t="shared" si="981"/>
        <v>-5523993304.1408367</v>
      </c>
      <c r="S481">
        <f t="shared" si="982"/>
        <v>-55239.933041408367</v>
      </c>
      <c r="T481">
        <f t="shared" si="983"/>
        <v>-55.239933041408364</v>
      </c>
    </row>
    <row r="482" spans="1:20" x14ac:dyDescent="0.25">
      <c r="A482" s="5">
        <v>44111</v>
      </c>
      <c r="B482">
        <v>1.7090000000000001E-2</v>
      </c>
      <c r="C482">
        <v>1.755E-2</v>
      </c>
      <c r="D482">
        <v>1.6449999999999999E-2</v>
      </c>
      <c r="E482">
        <v>1.695E-2</v>
      </c>
      <c r="F482">
        <v>132167288.8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-9.0909090909090329E-2</v>
      </c>
      <c r="Q482">
        <f t="shared" si="980"/>
        <v>-12015208.072727196</v>
      </c>
      <c r="R482">
        <f t="shared" si="981"/>
        <v>-5667872302.4659977</v>
      </c>
      <c r="S482">
        <f t="shared" si="982"/>
        <v>-56678.723024659979</v>
      </c>
      <c r="T482">
        <f t="shared" si="983"/>
        <v>-56.67872302465998</v>
      </c>
    </row>
    <row r="483" spans="1:20" x14ac:dyDescent="0.25">
      <c r="A483" s="5">
        <v>44110</v>
      </c>
      <c r="B483">
        <v>1.8849999999999999E-2</v>
      </c>
      <c r="C483">
        <v>1.8870000000000001E-2</v>
      </c>
      <c r="D483">
        <v>1.6879999999999999E-2</v>
      </c>
      <c r="E483">
        <v>1.7160000000000002E-2</v>
      </c>
      <c r="F483">
        <v>132541888.5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-0.71859296482411839</v>
      </c>
      <c r="Q483">
        <f t="shared" si="980"/>
        <v>-95243668.620602727</v>
      </c>
      <c r="R483">
        <f t="shared" si="981"/>
        <v>-5655857094.3932705</v>
      </c>
      <c r="S483">
        <f t="shared" si="982"/>
        <v>-56558.570943932704</v>
      </c>
      <c r="T483">
        <f t="shared" si="983"/>
        <v>-56.5585709439327</v>
      </c>
    </row>
    <row r="484" spans="1:20" x14ac:dyDescent="0.25">
      <c r="A484" s="5">
        <v>44109</v>
      </c>
      <c r="B484">
        <v>1.8579999999999999E-2</v>
      </c>
      <c r="C484">
        <v>1.898E-2</v>
      </c>
      <c r="D484">
        <v>1.8440000000000002E-2</v>
      </c>
      <c r="E484">
        <v>1.8839999999999999E-2</v>
      </c>
      <c r="F484">
        <v>64411509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0.48148148148147579</v>
      </c>
      <c r="Q484">
        <f t="shared" si="980"/>
        <v>31012948.777777411</v>
      </c>
      <c r="R484">
        <f t="shared" si="981"/>
        <v>-5560613425.7726679</v>
      </c>
      <c r="S484">
        <f t="shared" si="982"/>
        <v>-55606.134257726677</v>
      </c>
      <c r="T484">
        <f t="shared" si="983"/>
        <v>-55.60613425772668</v>
      </c>
    </row>
    <row r="485" spans="1:20" x14ac:dyDescent="0.25">
      <c r="A485" s="5">
        <v>44108</v>
      </c>
      <c r="B485">
        <v>1.848E-2</v>
      </c>
      <c r="C485">
        <v>1.9E-2</v>
      </c>
      <c r="D485">
        <v>1.8169999999999999E-2</v>
      </c>
      <c r="E485">
        <v>1.8579999999999999E-2</v>
      </c>
      <c r="F485">
        <v>51237012.899999999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-1.2048192771083833E-2</v>
      </c>
      <c r="Q485">
        <f t="shared" si="980"/>
        <v>-617313.40843370906</v>
      </c>
      <c r="R485">
        <f t="shared" si="981"/>
        <v>-5591626374.5504456</v>
      </c>
      <c r="S485">
        <f t="shared" si="982"/>
        <v>-55916.263745504453</v>
      </c>
      <c r="T485">
        <f t="shared" si="983"/>
        <v>-55.916263745504452</v>
      </c>
    </row>
    <row r="486" spans="1:20" x14ac:dyDescent="0.25">
      <c r="A486" s="5">
        <v>44107</v>
      </c>
      <c r="B486">
        <v>1.821E-2</v>
      </c>
      <c r="C486">
        <v>1.8759999999999999E-2</v>
      </c>
      <c r="D486">
        <v>1.7899999999999999E-2</v>
      </c>
      <c r="E486">
        <v>1.8489999999999999E-2</v>
      </c>
      <c r="F486">
        <v>54808533.799999997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0.37209302325581506</v>
      </c>
      <c r="Q486">
        <f t="shared" si="980"/>
        <v>20393873.041860525</v>
      </c>
      <c r="R486">
        <f t="shared" si="981"/>
        <v>-5591009061.1420116</v>
      </c>
      <c r="S486">
        <f t="shared" si="982"/>
        <v>-55910.090611420113</v>
      </c>
      <c r="T486">
        <f t="shared" si="983"/>
        <v>-55.910090611420117</v>
      </c>
    </row>
    <row r="487" spans="1:20" x14ac:dyDescent="0.25">
      <c r="A487" s="5">
        <v>44106</v>
      </c>
      <c r="B487">
        <v>1.8950000000000002E-2</v>
      </c>
      <c r="C487">
        <v>1.9099999999999999E-2</v>
      </c>
      <c r="D487">
        <v>1.7330000000000002E-2</v>
      </c>
      <c r="E487">
        <v>1.8190000000000001E-2</v>
      </c>
      <c r="F487">
        <v>139256775.80000001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-2.8248587570620362E-2</v>
      </c>
      <c r="Q487">
        <f t="shared" si="980"/>
        <v>-3933807.2259885469</v>
      </c>
      <c r="R487">
        <f t="shared" si="981"/>
        <v>-5611402934.1838722</v>
      </c>
      <c r="S487">
        <f t="shared" si="982"/>
        <v>-56114.029341838723</v>
      </c>
      <c r="T487">
        <f t="shared" si="983"/>
        <v>-56.114029341838723</v>
      </c>
    </row>
    <row r="488" spans="1:20" x14ac:dyDescent="0.25">
      <c r="A488" s="5">
        <v>44105</v>
      </c>
      <c r="B488">
        <v>2.0140000000000002E-2</v>
      </c>
      <c r="C488">
        <v>2.0500000000000001E-2</v>
      </c>
      <c r="D488">
        <v>1.8200000000000001E-2</v>
      </c>
      <c r="E488">
        <v>1.898E-2</v>
      </c>
      <c r="F488">
        <v>254178905.80000001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-0.32173913043478308</v>
      </c>
      <c r="Q488">
        <f t="shared" si="980"/>
        <v>-81779300.126956642</v>
      </c>
      <c r="R488">
        <f t="shared" si="981"/>
        <v>-5607469126.9578838</v>
      </c>
      <c r="S488">
        <f t="shared" si="982"/>
        <v>-56074.691269578841</v>
      </c>
      <c r="T488">
        <f t="shared" si="983"/>
        <v>-56.074691269578842</v>
      </c>
    </row>
    <row r="489" spans="1:20" x14ac:dyDescent="0.25">
      <c r="A489" s="5">
        <v>44104</v>
      </c>
      <c r="B489">
        <v>1.9640000000000001E-2</v>
      </c>
      <c r="C489">
        <v>2.0379999999999999E-2</v>
      </c>
      <c r="D489">
        <v>1.9009999999999999E-2</v>
      </c>
      <c r="E489">
        <v>2.0140000000000002E-2</v>
      </c>
      <c r="F489">
        <v>134536691.09999999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0.64963503649635446</v>
      </c>
      <c r="Q489">
        <f t="shared" si="980"/>
        <v>87399748.232847258</v>
      </c>
      <c r="R489">
        <f t="shared" si="981"/>
        <v>-5525689826.8309269</v>
      </c>
      <c r="S489">
        <f t="shared" si="982"/>
        <v>-55256.898268309269</v>
      </c>
      <c r="T489">
        <f t="shared" si="983"/>
        <v>-55.256898268309271</v>
      </c>
    </row>
    <row r="490" spans="1:20" x14ac:dyDescent="0.25">
      <c r="A490" s="5">
        <v>44103</v>
      </c>
      <c r="B490">
        <v>1.8890000000000001E-2</v>
      </c>
      <c r="C490">
        <v>2.0060000000000001E-2</v>
      </c>
      <c r="D490">
        <v>1.8489999999999999E-2</v>
      </c>
      <c r="E490">
        <v>1.9619999999999999E-2</v>
      </c>
      <c r="F490">
        <v>172942025.09999999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0.43949044585986963</v>
      </c>
      <c r="Q490">
        <f t="shared" si="980"/>
        <v>76006367.719107762</v>
      </c>
      <c r="R490">
        <f t="shared" si="981"/>
        <v>-5613089575.0637741</v>
      </c>
      <c r="S490">
        <f t="shared" si="982"/>
        <v>-56130.895750637741</v>
      </c>
      <c r="T490">
        <f t="shared" si="983"/>
        <v>-56.130895750637741</v>
      </c>
    </row>
    <row r="491" spans="1:20" x14ac:dyDescent="0.25">
      <c r="A491" s="5">
        <v>44102</v>
      </c>
      <c r="B491">
        <v>1.8749999999999999E-2</v>
      </c>
      <c r="C491">
        <v>2.0500000000000001E-2</v>
      </c>
      <c r="D491">
        <v>1.8620000000000001E-2</v>
      </c>
      <c r="E491">
        <v>1.8839999999999999E-2</v>
      </c>
      <c r="F491">
        <v>305552527.89999998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-0.76595744680851274</v>
      </c>
      <c r="Q491">
        <f t="shared" si="980"/>
        <v>-234040234.13617083</v>
      </c>
      <c r="R491">
        <f t="shared" si="981"/>
        <v>-5689095942.7828817</v>
      </c>
      <c r="S491">
        <f t="shared" si="982"/>
        <v>-56890.95942782882</v>
      </c>
      <c r="T491">
        <f t="shared" si="983"/>
        <v>-56.890959427828818</v>
      </c>
    </row>
    <row r="492" spans="1:20" x14ac:dyDescent="0.25">
      <c r="A492" s="5">
        <v>44101</v>
      </c>
      <c r="B492">
        <v>1.883E-2</v>
      </c>
      <c r="C492">
        <v>1.9179999999999999E-2</v>
      </c>
      <c r="D492">
        <v>1.8030000000000001E-2</v>
      </c>
      <c r="E492">
        <v>1.8749999999999999E-2</v>
      </c>
      <c r="F492">
        <v>124269330.90000001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0.25217391304347742</v>
      </c>
      <c r="Q492">
        <f t="shared" si="980"/>
        <v>31337483.444347724</v>
      </c>
      <c r="R492">
        <f t="shared" si="981"/>
        <v>-5455055708.6467113</v>
      </c>
      <c r="S492">
        <f t="shared" si="982"/>
        <v>-54550.55708646711</v>
      </c>
      <c r="T492">
        <f t="shared" si="983"/>
        <v>-54.550557086467109</v>
      </c>
    </row>
    <row r="493" spans="1:20" x14ac:dyDescent="0.25">
      <c r="A493" s="5">
        <v>44100</v>
      </c>
      <c r="B493">
        <v>1.915E-2</v>
      </c>
      <c r="C493">
        <v>1.9380000000000001E-2</v>
      </c>
      <c r="D493">
        <v>1.8280000000000001E-2</v>
      </c>
      <c r="E493">
        <v>1.883E-2</v>
      </c>
      <c r="F493">
        <v>96681807.799999997</v>
      </c>
      <c r="G493">
        <v>0</v>
      </c>
      <c r="L493" t="s">
        <v>7</v>
      </c>
      <c r="M493" t="s">
        <v>7</v>
      </c>
      <c r="N493" t="s">
        <v>7</v>
      </c>
      <c r="P493">
        <f t="shared" si="979"/>
        <v>-3.154042683594194E-15</v>
      </c>
      <c r="Q493">
        <f t="shared" si="980"/>
        <v>-3.0493854852825009E-7</v>
      </c>
      <c r="R493">
        <f t="shared" si="981"/>
        <v>-5486393192.0910587</v>
      </c>
      <c r="S493">
        <f t="shared" si="982"/>
        <v>-54863.931920910589</v>
      </c>
      <c r="T493">
        <f t="shared" si="983"/>
        <v>-54.863931920910588</v>
      </c>
    </row>
    <row r="494" spans="1:20" x14ac:dyDescent="0.25">
      <c r="A494" s="5">
        <v>44099</v>
      </c>
      <c r="B494">
        <v>1.8950000000000002E-2</v>
      </c>
      <c r="C494">
        <v>1.9550000000000001E-2</v>
      </c>
      <c r="D494">
        <v>1.8010000000000002E-2</v>
      </c>
      <c r="E494">
        <v>1.9120000000000002E-2</v>
      </c>
      <c r="F494">
        <v>111855055.40000001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0.44155844155844165</v>
      </c>
      <c r="Q494">
        <f t="shared" si="980"/>
        <v>49390543.942857154</v>
      </c>
      <c r="R494">
        <f t="shared" si="981"/>
        <v>-5486393192.0910587</v>
      </c>
      <c r="S494">
        <f t="shared" si="982"/>
        <v>-54863.931920910589</v>
      </c>
      <c r="T494">
        <f t="shared" si="983"/>
        <v>-54.863931920910588</v>
      </c>
    </row>
    <row r="495" spans="1:20" x14ac:dyDescent="0.25">
      <c r="A495" s="5">
        <v>44098</v>
      </c>
      <c r="B495">
        <v>1.7649999999999999E-2</v>
      </c>
      <c r="C495">
        <v>1.9040000000000001E-2</v>
      </c>
      <c r="D495">
        <v>1.7239999999999998E-2</v>
      </c>
      <c r="E495">
        <v>1.8950000000000002E-2</v>
      </c>
      <c r="F495">
        <v>173656070.30000001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0.90000000000000036</v>
      </c>
      <c r="Q495">
        <f t="shared" si="980"/>
        <v>156290463.27000007</v>
      </c>
      <c r="R495">
        <f t="shared" si="981"/>
        <v>-5535783736.0339155</v>
      </c>
      <c r="S495">
        <f t="shared" si="982"/>
        <v>-55357.837360339152</v>
      </c>
      <c r="T495">
        <f t="shared" si="983"/>
        <v>-55.357837360339154</v>
      </c>
    </row>
    <row r="496" spans="1:20" x14ac:dyDescent="0.25">
      <c r="A496" s="5">
        <v>44097</v>
      </c>
      <c r="B496">
        <v>1.9619999999999999E-2</v>
      </c>
      <c r="C496">
        <v>1.9820000000000001E-2</v>
      </c>
      <c r="D496">
        <v>1.7399999999999999E-2</v>
      </c>
      <c r="E496">
        <v>1.7690000000000001E-2</v>
      </c>
      <c r="F496">
        <v>145051539.90000001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-0.76033057851239516</v>
      </c>
      <c r="Q496">
        <f t="shared" si="980"/>
        <v>-110287121.24628077</v>
      </c>
      <c r="R496">
        <f t="shared" si="981"/>
        <v>-5692074199.303916</v>
      </c>
      <c r="S496">
        <f t="shared" si="982"/>
        <v>-56920.741993039162</v>
      </c>
      <c r="T496">
        <f t="shared" si="983"/>
        <v>-56.920741993039165</v>
      </c>
    </row>
    <row r="497" spans="1:20" x14ac:dyDescent="0.25">
      <c r="A497" s="5">
        <v>44096</v>
      </c>
      <c r="B497">
        <v>1.8769999999999998E-2</v>
      </c>
      <c r="C497">
        <v>1.9699999999999999E-2</v>
      </c>
      <c r="D497">
        <v>1.8519999999999998E-2</v>
      </c>
      <c r="E497">
        <v>1.959E-2</v>
      </c>
      <c r="F497">
        <v>106705778.7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0.81355932203390013</v>
      </c>
      <c r="Q497">
        <f t="shared" si="980"/>
        <v>86811480.976271391</v>
      </c>
      <c r="R497">
        <f t="shared" si="981"/>
        <v>-5581787078.0576353</v>
      </c>
      <c r="S497">
        <f t="shared" si="982"/>
        <v>-55817.870780576355</v>
      </c>
      <c r="T497">
        <f t="shared" si="983"/>
        <v>-55.817870780576357</v>
      </c>
    </row>
    <row r="498" spans="1:20" x14ac:dyDescent="0.25">
      <c r="A498" s="5">
        <v>44095</v>
      </c>
      <c r="B498">
        <v>2.188E-2</v>
      </c>
      <c r="C498">
        <v>2.35E-2</v>
      </c>
      <c r="D498">
        <v>1.831E-2</v>
      </c>
      <c r="E498">
        <v>1.881E-2</v>
      </c>
      <c r="F498">
        <v>614180124.60000002</v>
      </c>
      <c r="G498">
        <v>0</v>
      </c>
      <c r="L498" t="s">
        <v>8</v>
      </c>
      <c r="M498" t="s">
        <v>8</v>
      </c>
      <c r="N498" t="s">
        <v>7</v>
      </c>
      <c r="P498">
        <f t="shared" si="979"/>
        <v>-0.80732177263969152</v>
      </c>
      <c r="Q498">
        <f t="shared" si="980"/>
        <v>-495840986.91213864</v>
      </c>
      <c r="R498">
        <f t="shared" si="981"/>
        <v>-5668598559.0339069</v>
      </c>
      <c r="S498">
        <f t="shared" si="982"/>
        <v>-56685.985590339071</v>
      </c>
      <c r="T498">
        <f t="shared" si="983"/>
        <v>-56.685985590339072</v>
      </c>
    </row>
    <row r="499" spans="1:20" x14ac:dyDescent="0.25">
      <c r="A499" s="5">
        <v>44094</v>
      </c>
      <c r="B499">
        <v>2.0879999999999999E-2</v>
      </c>
      <c r="C499">
        <v>2.2620000000000001E-2</v>
      </c>
      <c r="D499">
        <v>2.035E-2</v>
      </c>
      <c r="E499">
        <v>2.188E-2</v>
      </c>
      <c r="F499">
        <v>243664428.5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0.34801762114537382</v>
      </c>
      <c r="Q499">
        <f t="shared" si="980"/>
        <v>84799514.764317021</v>
      </c>
      <c r="R499">
        <f t="shared" si="981"/>
        <v>-5172757572.121768</v>
      </c>
      <c r="S499">
        <f t="shared" si="982"/>
        <v>-51727.575721217683</v>
      </c>
      <c r="T499">
        <f t="shared" si="983"/>
        <v>-51.727575721217683</v>
      </c>
    </row>
    <row r="500" spans="1:20" x14ac:dyDescent="0.25">
      <c r="A500" s="5">
        <v>44093</v>
      </c>
      <c r="B500">
        <v>2.1059999999999999E-2</v>
      </c>
      <c r="C500">
        <v>2.1579999999999998E-2</v>
      </c>
      <c r="D500">
        <v>2.051E-2</v>
      </c>
      <c r="E500">
        <v>2.0879999999999999E-2</v>
      </c>
      <c r="F500">
        <v>133122121.90000001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-0.30841121495327201</v>
      </c>
      <c r="Q500">
        <f t="shared" si="980"/>
        <v>-41056355.352336578</v>
      </c>
      <c r="R500">
        <f t="shared" si="981"/>
        <v>-5257557086.8860846</v>
      </c>
      <c r="S500">
        <f t="shared" si="982"/>
        <v>-52575.570868860843</v>
      </c>
      <c r="T500">
        <f t="shared" si="983"/>
        <v>-52.575570868860844</v>
      </c>
    </row>
    <row r="501" spans="1:20" x14ac:dyDescent="0.25">
      <c r="A501" s="5">
        <v>44092</v>
      </c>
      <c r="B501">
        <v>2.044E-2</v>
      </c>
      <c r="C501">
        <v>2.1749999999999999E-2</v>
      </c>
      <c r="D501">
        <v>1.984E-2</v>
      </c>
      <c r="E501">
        <v>2.103E-2</v>
      </c>
      <c r="F501">
        <v>249725460.30000001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0.24607329842932044</v>
      </c>
      <c r="Q501">
        <f t="shared" si="980"/>
        <v>61450767.717801318</v>
      </c>
      <c r="R501">
        <f t="shared" si="981"/>
        <v>-5216500731.5337477</v>
      </c>
      <c r="S501">
        <f t="shared" si="982"/>
        <v>-52165.007315337476</v>
      </c>
      <c r="T501">
        <f t="shared" si="983"/>
        <v>-52.165007315337476</v>
      </c>
    </row>
    <row r="502" spans="1:20" x14ac:dyDescent="0.25">
      <c r="A502" s="5">
        <v>44091</v>
      </c>
      <c r="B502">
        <v>1.9820000000000001E-2</v>
      </c>
      <c r="C502">
        <v>2.0500000000000001E-2</v>
      </c>
      <c r="D502">
        <v>1.9369999999999998E-2</v>
      </c>
      <c r="E502">
        <v>2.044E-2</v>
      </c>
      <c r="F502">
        <v>187000805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0.89380530973451167</v>
      </c>
      <c r="Q502">
        <f t="shared" si="980"/>
        <v>167142312.43362802</v>
      </c>
      <c r="R502">
        <f t="shared" si="981"/>
        <v>-5277951499.2515488</v>
      </c>
      <c r="S502">
        <f t="shared" si="982"/>
        <v>-52779.514992515491</v>
      </c>
      <c r="T502">
        <f t="shared" si="983"/>
        <v>-52.779514992515494</v>
      </c>
    </row>
    <row r="503" spans="1:20" x14ac:dyDescent="0.25">
      <c r="A503" s="5">
        <v>44090</v>
      </c>
      <c r="B503">
        <v>2.0420000000000001E-2</v>
      </c>
      <c r="C503">
        <v>2.0459999999999999E-2</v>
      </c>
      <c r="D503">
        <v>1.8800000000000001E-2</v>
      </c>
      <c r="E503">
        <v>1.9810000000000001E-2</v>
      </c>
      <c r="F503">
        <v>151845951.09999999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0.21686746987951991</v>
      </c>
      <c r="Q503">
        <f t="shared" si="980"/>
        <v>32930447.2265063</v>
      </c>
      <c r="R503">
        <f t="shared" si="981"/>
        <v>-5445093811.6851768</v>
      </c>
      <c r="S503">
        <f t="shared" si="982"/>
        <v>-54450.938116851772</v>
      </c>
      <c r="T503">
        <f t="shared" si="983"/>
        <v>-54.450938116851773</v>
      </c>
    </row>
    <row r="504" spans="1:20" x14ac:dyDescent="0.25">
      <c r="A504" s="5">
        <v>44089</v>
      </c>
      <c r="B504">
        <v>2.009E-2</v>
      </c>
      <c r="C504">
        <v>2.1700000000000001E-2</v>
      </c>
      <c r="D504">
        <v>2.002E-2</v>
      </c>
      <c r="E504">
        <v>2.0449999999999999E-2</v>
      </c>
      <c r="F504">
        <v>252149993.5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-0.48809523809523858</v>
      </c>
      <c r="Q504">
        <f t="shared" si="980"/>
        <v>-123073211.11309536</v>
      </c>
      <c r="R504">
        <f t="shared" si="981"/>
        <v>-5478024258.9116831</v>
      </c>
      <c r="S504">
        <f t="shared" si="982"/>
        <v>-54780.242589116831</v>
      </c>
      <c r="T504">
        <f t="shared" si="983"/>
        <v>-54.780242589116831</v>
      </c>
    </row>
    <row r="505" spans="1:20" x14ac:dyDescent="0.25">
      <c r="A505" s="5">
        <v>44088</v>
      </c>
      <c r="B505">
        <v>1.9779999999999999E-2</v>
      </c>
      <c r="C505">
        <v>2.0389999999999998E-2</v>
      </c>
      <c r="D505">
        <v>1.95E-2</v>
      </c>
      <c r="E505">
        <v>2.009E-2</v>
      </c>
      <c r="F505">
        <v>121197785.8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0.32584269662921639</v>
      </c>
      <c r="Q505">
        <f t="shared" si="980"/>
        <v>39491413.350562148</v>
      </c>
      <c r="R505">
        <f t="shared" si="981"/>
        <v>-5354951047.7985878</v>
      </c>
      <c r="S505">
        <f t="shared" si="982"/>
        <v>-53549.510477985881</v>
      </c>
      <c r="T505">
        <f t="shared" si="983"/>
        <v>-53.549510477985883</v>
      </c>
    </row>
    <row r="506" spans="1:20" x14ac:dyDescent="0.25">
      <c r="A506" s="5">
        <v>44087</v>
      </c>
      <c r="B506">
        <v>2.0930000000000001E-2</v>
      </c>
      <c r="C506">
        <v>2.129E-2</v>
      </c>
      <c r="D506">
        <v>1.9019999999999999E-2</v>
      </c>
      <c r="E506">
        <v>1.976E-2</v>
      </c>
      <c r="F506">
        <v>175791387.90000001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-0.34801762114537382</v>
      </c>
      <c r="Q506">
        <f t="shared" si="980"/>
        <v>-61178500.634801656</v>
      </c>
      <c r="R506">
        <f t="shared" si="981"/>
        <v>-5394442461.1491499</v>
      </c>
      <c r="S506">
        <f t="shared" si="982"/>
        <v>-53944.4246114915</v>
      </c>
      <c r="T506">
        <f t="shared" si="983"/>
        <v>-53.944424611491499</v>
      </c>
    </row>
    <row r="507" spans="1:20" x14ac:dyDescent="0.25">
      <c r="A507" s="5">
        <v>44086</v>
      </c>
      <c r="B507">
        <v>2.1059999999999999E-2</v>
      </c>
      <c r="C507">
        <v>2.1239999999999998E-2</v>
      </c>
      <c r="D507">
        <v>2.053E-2</v>
      </c>
      <c r="E507">
        <v>2.0979999999999999E-2</v>
      </c>
      <c r="F507">
        <v>109458906.09999999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0.26760563380281621</v>
      </c>
      <c r="Q507">
        <f t="shared" si="980"/>
        <v>29291819.942253444</v>
      </c>
      <c r="R507">
        <f t="shared" si="981"/>
        <v>-5333263960.514348</v>
      </c>
      <c r="S507">
        <f t="shared" si="982"/>
        <v>-53332.639605143479</v>
      </c>
      <c r="T507">
        <f t="shared" si="983"/>
        <v>-53.332639605143477</v>
      </c>
    </row>
    <row r="508" spans="1:20" x14ac:dyDescent="0.25">
      <c r="A508" s="5">
        <v>44085</v>
      </c>
      <c r="B508">
        <v>2.0379999999999999E-2</v>
      </c>
      <c r="C508">
        <v>2.147E-2</v>
      </c>
      <c r="D508">
        <v>1.959E-2</v>
      </c>
      <c r="E508">
        <v>2.1069999999999998E-2</v>
      </c>
      <c r="F508">
        <v>163296295.5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0.57446808510638181</v>
      </c>
      <c r="Q508">
        <f t="shared" si="980"/>
        <v>93808510.180850878</v>
      </c>
      <c r="R508">
        <f t="shared" si="981"/>
        <v>-5362555780.4566011</v>
      </c>
      <c r="S508">
        <f t="shared" si="982"/>
        <v>-53625.557804566015</v>
      </c>
      <c r="T508">
        <f t="shared" si="983"/>
        <v>-53.625557804566014</v>
      </c>
    </row>
    <row r="509" spans="1:20" x14ac:dyDescent="0.25">
      <c r="A509" s="5">
        <v>44084</v>
      </c>
      <c r="B509">
        <v>2.0039999999999999E-2</v>
      </c>
      <c r="C509">
        <v>2.1510000000000001E-2</v>
      </c>
      <c r="D509">
        <v>1.9900000000000001E-2</v>
      </c>
      <c r="E509">
        <v>2.0379999999999999E-2</v>
      </c>
      <c r="F509">
        <v>196783475.09999999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-0.40372670807453703</v>
      </c>
      <c r="Q509">
        <f t="shared" si="980"/>
        <v>-79446744.605590627</v>
      </c>
      <c r="R509">
        <f t="shared" si="981"/>
        <v>-5456364290.6374521</v>
      </c>
      <c r="S509">
        <f t="shared" si="982"/>
        <v>-54563.642906374524</v>
      </c>
      <c r="T509">
        <f t="shared" si="983"/>
        <v>-54.563642906374525</v>
      </c>
    </row>
    <row r="510" spans="1:20" x14ac:dyDescent="0.25">
      <c r="A510" s="5">
        <v>44083</v>
      </c>
      <c r="B510">
        <v>1.821E-2</v>
      </c>
      <c r="C510">
        <v>2.0719999999999999E-2</v>
      </c>
      <c r="D510">
        <v>1.788E-2</v>
      </c>
      <c r="E510">
        <v>2.0049999999999998E-2</v>
      </c>
      <c r="F510">
        <v>269499222.39999998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0.52816901408450656</v>
      </c>
      <c r="Q510">
        <f t="shared" si="980"/>
        <v>142341138.59154916</v>
      </c>
      <c r="R510">
        <f t="shared" si="981"/>
        <v>-5376917546.0318613</v>
      </c>
      <c r="S510">
        <f t="shared" si="982"/>
        <v>-53769.175460318613</v>
      </c>
      <c r="T510">
        <f t="shared" si="983"/>
        <v>-53.769175460318614</v>
      </c>
    </row>
    <row r="511" spans="1:20" x14ac:dyDescent="0.25">
      <c r="A511" s="5">
        <v>44082</v>
      </c>
      <c r="B511">
        <v>1.883E-2</v>
      </c>
      <c r="C511">
        <v>1.9099999999999999E-2</v>
      </c>
      <c r="D511">
        <v>1.7559999999999999E-2</v>
      </c>
      <c r="E511">
        <v>1.821E-2</v>
      </c>
      <c r="F511">
        <v>119678364.90000001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-0.15584415584415404</v>
      </c>
      <c r="Q511">
        <f t="shared" si="980"/>
        <v>-18651173.750649136</v>
      </c>
      <c r="R511">
        <f t="shared" si="981"/>
        <v>-5519258684.6234102</v>
      </c>
      <c r="S511">
        <f t="shared" si="982"/>
        <v>-55192.586846234102</v>
      </c>
      <c r="T511">
        <f t="shared" si="983"/>
        <v>-55.1925868462341</v>
      </c>
    </row>
    <row r="512" spans="1:20" x14ac:dyDescent="0.25">
      <c r="A512" s="5">
        <v>44081</v>
      </c>
      <c r="B512">
        <v>1.8710000000000001E-2</v>
      </c>
      <c r="C512">
        <v>1.8939999999999999E-2</v>
      </c>
      <c r="D512">
        <v>1.7090000000000001E-2</v>
      </c>
      <c r="E512">
        <v>1.8800000000000001E-2</v>
      </c>
      <c r="F512">
        <v>179701538.59999999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0.84864864864865086</v>
      </c>
      <c r="Q512">
        <f t="shared" si="980"/>
        <v>152503467.89297336</v>
      </c>
      <c r="R512">
        <f t="shared" si="981"/>
        <v>-5500607510.8727608</v>
      </c>
      <c r="S512">
        <f t="shared" si="982"/>
        <v>-55006.075108727608</v>
      </c>
      <c r="T512">
        <f t="shared" si="983"/>
        <v>-55.006075108727607</v>
      </c>
    </row>
    <row r="513" spans="1:20" x14ac:dyDescent="0.25">
      <c r="A513" s="5">
        <v>44080</v>
      </c>
      <c r="B513">
        <v>1.7919999999999998E-2</v>
      </c>
      <c r="C513">
        <v>1.9109999999999999E-2</v>
      </c>
      <c r="D513">
        <v>1.7090000000000001E-2</v>
      </c>
      <c r="E513">
        <v>1.8679999999999999E-2</v>
      </c>
      <c r="F513">
        <v>174804590.90000001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0.57425742574257388</v>
      </c>
      <c r="Q513">
        <f t="shared" si="980"/>
        <v>100382834.37821776</v>
      </c>
      <c r="R513">
        <f t="shared" si="981"/>
        <v>-5653110978.7657337</v>
      </c>
      <c r="S513">
        <f t="shared" si="982"/>
        <v>-56531.10978765734</v>
      </c>
      <c r="T513">
        <f t="shared" si="983"/>
        <v>-56.531109787657343</v>
      </c>
    </row>
    <row r="514" spans="1:20" x14ac:dyDescent="0.25">
      <c r="A514" s="5">
        <v>44079</v>
      </c>
      <c r="B514">
        <v>1.9259999999999999E-2</v>
      </c>
      <c r="C514">
        <v>2.0060000000000001E-2</v>
      </c>
      <c r="D514">
        <v>1.695E-2</v>
      </c>
      <c r="E514">
        <v>1.797E-2</v>
      </c>
      <c r="F514">
        <v>288347595.30000001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-0.3440514469453379</v>
      </c>
      <c r="Q514">
        <f t="shared" si="980"/>
        <v>-99206407.386173725</v>
      </c>
      <c r="R514">
        <f t="shared" si="981"/>
        <v>-5753493813.1439514</v>
      </c>
      <c r="S514">
        <f t="shared" si="982"/>
        <v>-57534.938131439514</v>
      </c>
      <c r="T514">
        <f t="shared" si="983"/>
        <v>-57.534938131439517</v>
      </c>
    </row>
    <row r="515" spans="1:20" x14ac:dyDescent="0.25">
      <c r="A515" s="5">
        <v>44078</v>
      </c>
      <c r="B515">
        <v>1.9089999999999999E-2</v>
      </c>
      <c r="C515">
        <v>1.9970000000000002E-2</v>
      </c>
      <c r="D515">
        <v>1.7409999999999998E-2</v>
      </c>
      <c r="E515">
        <v>1.924E-2</v>
      </c>
      <c r="F515">
        <v>371667507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0.42968749999999956</v>
      </c>
      <c r="Q515">
        <f t="shared" si="980"/>
        <v>159700881.91406232</v>
      </c>
      <c r="R515">
        <f t="shared" si="981"/>
        <v>-5654287405.7577772</v>
      </c>
      <c r="S515">
        <f t="shared" si="982"/>
        <v>-56542.87405757777</v>
      </c>
      <c r="T515">
        <f t="shared" si="983"/>
        <v>-56.54287405757777</v>
      </c>
    </row>
    <row r="516" spans="1:20" x14ac:dyDescent="0.25">
      <c r="A516" s="5">
        <v>44077</v>
      </c>
      <c r="B516">
        <v>2.3449999999999999E-2</v>
      </c>
      <c r="C516">
        <v>2.3720000000000001E-2</v>
      </c>
      <c r="D516">
        <v>1.7999999999999999E-2</v>
      </c>
      <c r="E516">
        <v>1.908E-2</v>
      </c>
      <c r="F516">
        <v>361589222.19999999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-0.62237762237762217</v>
      </c>
      <c r="Q516">
        <f t="shared" si="980"/>
        <v>-225045040.3902097</v>
      </c>
      <c r="R516">
        <f t="shared" si="981"/>
        <v>-5813988287.6718397</v>
      </c>
      <c r="S516">
        <f t="shared" si="982"/>
        <v>-58139.882876718395</v>
      </c>
      <c r="T516">
        <f t="shared" si="983"/>
        <v>-58.139882876718396</v>
      </c>
    </row>
    <row r="517" spans="1:20" x14ac:dyDescent="0.25">
      <c r="A517" s="5">
        <v>44076</v>
      </c>
      <c r="B517">
        <v>2.547E-2</v>
      </c>
      <c r="C517">
        <v>2.597E-2</v>
      </c>
      <c r="D517">
        <v>2.145E-2</v>
      </c>
      <c r="E517">
        <v>2.3429999999999999E-2</v>
      </c>
      <c r="F517">
        <v>356767683.69999999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-0.12389380530973484</v>
      </c>
      <c r="Q517">
        <f t="shared" si="980"/>
        <v>-44201305.945132859</v>
      </c>
      <c r="R517">
        <f t="shared" si="981"/>
        <v>-5588943247.2816296</v>
      </c>
      <c r="S517">
        <f t="shared" si="982"/>
        <v>-55889.432472816297</v>
      </c>
      <c r="T517">
        <f t="shared" si="983"/>
        <v>-55.889432472816296</v>
      </c>
    </row>
    <row r="518" spans="1:20" x14ac:dyDescent="0.25">
      <c r="A518" s="5">
        <v>44075</v>
      </c>
      <c r="B518">
        <v>2.6589999999999999E-2</v>
      </c>
      <c r="C518">
        <v>2.6950000000000002E-2</v>
      </c>
      <c r="D518">
        <v>2.528E-2</v>
      </c>
      <c r="E518">
        <v>2.5479999999999999E-2</v>
      </c>
      <c r="F518">
        <v>244409079.5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-0.76047904191616933</v>
      </c>
      <c r="Q518">
        <f t="shared" ref="Q518:Q581" si="985">F518*P518</f>
        <v>-185867982.61377287</v>
      </c>
      <c r="R518">
        <f t="shared" ref="R518:R581" si="986">R519+Q518</f>
        <v>-5544741941.3364964</v>
      </c>
      <c r="S518">
        <f t="shared" ref="S518:S581" si="987">R518/100000</f>
        <v>-55447.419413364965</v>
      </c>
      <c r="T518">
        <f t="shared" ref="T518:T581" si="988">S518/1000</f>
        <v>-55.447419413364962</v>
      </c>
    </row>
    <row r="519" spans="1:20" x14ac:dyDescent="0.25">
      <c r="A519" s="5">
        <v>44074</v>
      </c>
      <c r="B519">
        <v>2.7150000000000001E-2</v>
      </c>
      <c r="C519">
        <v>2.7529999999999999E-2</v>
      </c>
      <c r="D519">
        <v>2.6110000000000001E-2</v>
      </c>
      <c r="E519">
        <v>2.6519999999999998E-2</v>
      </c>
      <c r="F519">
        <v>174415747.30000001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-0.42253521126760868</v>
      </c>
      <c r="Q519">
        <f t="shared" si="985"/>
        <v>-73696794.633803353</v>
      </c>
      <c r="R519">
        <f t="shared" si="986"/>
        <v>-5358873958.722724</v>
      </c>
      <c r="S519">
        <f t="shared" si="987"/>
        <v>-53588.739587227239</v>
      </c>
      <c r="T519">
        <f t="shared" si="988"/>
        <v>-53.588739587227238</v>
      </c>
    </row>
    <row r="520" spans="1:20" x14ac:dyDescent="0.25">
      <c r="A520" s="5">
        <v>44073</v>
      </c>
      <c r="B520">
        <v>2.7529999999999999E-2</v>
      </c>
      <c r="C520">
        <v>2.8719999999999999E-2</v>
      </c>
      <c r="D520">
        <v>2.7060000000000001E-2</v>
      </c>
      <c r="E520">
        <v>2.7179999999999999E-2</v>
      </c>
      <c r="F520">
        <v>202581383.59999999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-0.85542168674698948</v>
      </c>
      <c r="Q520">
        <f t="shared" si="985"/>
        <v>-173292508.8626509</v>
      </c>
      <c r="R520">
        <f t="shared" si="986"/>
        <v>-5285177164.0889206</v>
      </c>
      <c r="S520">
        <f t="shared" si="987"/>
        <v>-52851.771640889208</v>
      </c>
      <c r="T520">
        <f t="shared" si="988"/>
        <v>-52.851771640889211</v>
      </c>
    </row>
    <row r="521" spans="1:20" x14ac:dyDescent="0.25">
      <c r="A521" s="5">
        <v>44072</v>
      </c>
      <c r="B521">
        <v>2.6880000000000001E-2</v>
      </c>
      <c r="C521">
        <v>2.8649999999999998E-2</v>
      </c>
      <c r="D521">
        <v>2.6499999999999999E-2</v>
      </c>
      <c r="E521">
        <v>2.7529999999999999E-2</v>
      </c>
      <c r="F521">
        <v>258086426.90000001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-4.1860465116278993E-2</v>
      </c>
      <c r="Q521">
        <f t="shared" si="985"/>
        <v>-10803617.870232539</v>
      </c>
      <c r="R521">
        <f t="shared" si="986"/>
        <v>-5111884655.2262697</v>
      </c>
      <c r="S521">
        <f t="shared" si="987"/>
        <v>-51118.846552262694</v>
      </c>
      <c r="T521">
        <f t="shared" si="988"/>
        <v>-51.118846552262696</v>
      </c>
    </row>
    <row r="522" spans="1:20" x14ac:dyDescent="0.25">
      <c r="A522" s="5">
        <v>44071</v>
      </c>
      <c r="B522">
        <v>2.5780000000000001E-2</v>
      </c>
      <c r="C522">
        <v>2.7269999999999999E-2</v>
      </c>
      <c r="D522">
        <v>2.5389999999999999E-2</v>
      </c>
      <c r="E522">
        <v>2.6839999999999999E-2</v>
      </c>
      <c r="F522">
        <v>132684520.59999999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0.54255319148936187</v>
      </c>
      <c r="Q522">
        <f t="shared" si="985"/>
        <v>71988410.112765983</v>
      </c>
      <c r="R522">
        <f t="shared" si="986"/>
        <v>-5101081037.3560371</v>
      </c>
      <c r="S522">
        <f t="shared" si="987"/>
        <v>-51010.810373560373</v>
      </c>
      <c r="T522">
        <f t="shared" si="988"/>
        <v>-51.010810373560375</v>
      </c>
    </row>
    <row r="523" spans="1:20" x14ac:dyDescent="0.25">
      <c r="A523" s="5">
        <v>44070</v>
      </c>
      <c r="B523">
        <v>2.7359999999999999E-2</v>
      </c>
      <c r="C523">
        <v>2.7640000000000001E-2</v>
      </c>
      <c r="D523">
        <v>2.4899999999999999E-2</v>
      </c>
      <c r="E523">
        <v>2.579E-2</v>
      </c>
      <c r="F523">
        <v>232519474.09999999</v>
      </c>
      <c r="G523">
        <v>0</v>
      </c>
      <c r="L523" t="s">
        <v>7</v>
      </c>
      <c r="M523" t="s">
        <v>8</v>
      </c>
      <c r="N523" t="s">
        <v>7</v>
      </c>
      <c r="P523">
        <f t="shared" si="984"/>
        <v>-0.35036496350364893</v>
      </c>
      <c r="Q523">
        <f t="shared" si="985"/>
        <v>-81466677.056934133</v>
      </c>
      <c r="R523">
        <f t="shared" si="986"/>
        <v>-5173069447.4688034</v>
      </c>
      <c r="S523">
        <f t="shared" si="987"/>
        <v>-51730.694474688033</v>
      </c>
      <c r="T523">
        <f t="shared" si="988"/>
        <v>-51.730694474688036</v>
      </c>
    </row>
    <row r="524" spans="1:20" x14ac:dyDescent="0.25">
      <c r="A524" s="5">
        <v>44069</v>
      </c>
      <c r="B524">
        <v>2.5700000000000001E-2</v>
      </c>
      <c r="C524">
        <v>2.7709999999999999E-2</v>
      </c>
      <c r="D524">
        <v>2.5489999999999999E-2</v>
      </c>
      <c r="E524">
        <v>2.7390000000000001E-2</v>
      </c>
      <c r="F524">
        <v>295374451.89999998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0.7117117117117141</v>
      </c>
      <c r="Q524">
        <f t="shared" si="985"/>
        <v>210221456.75765833</v>
      </c>
      <c r="R524">
        <f t="shared" si="986"/>
        <v>-5091602770.411869</v>
      </c>
      <c r="S524">
        <f t="shared" si="987"/>
        <v>-50916.027704118693</v>
      </c>
      <c r="T524">
        <f t="shared" si="988"/>
        <v>-50.91602770411869</v>
      </c>
    </row>
    <row r="525" spans="1:20" x14ac:dyDescent="0.25">
      <c r="A525" s="5">
        <v>44068</v>
      </c>
      <c r="B525">
        <v>2.794E-2</v>
      </c>
      <c r="C525">
        <v>2.8160000000000001E-2</v>
      </c>
      <c r="D525">
        <v>2.486E-2</v>
      </c>
      <c r="E525">
        <v>2.5700000000000001E-2</v>
      </c>
      <c r="F525">
        <v>296675831.5</v>
      </c>
      <c r="G525">
        <v>0</v>
      </c>
      <c r="L525" t="s">
        <v>7</v>
      </c>
      <c r="M525" t="s">
        <v>8</v>
      </c>
      <c r="N525" t="s">
        <v>7</v>
      </c>
      <c r="P525">
        <f t="shared" si="984"/>
        <v>-0.49090909090909074</v>
      </c>
      <c r="Q525">
        <f t="shared" si="985"/>
        <v>-145640862.73636359</v>
      </c>
      <c r="R525">
        <f t="shared" si="986"/>
        <v>-5301824227.1695271</v>
      </c>
      <c r="S525">
        <f t="shared" si="987"/>
        <v>-53018.242271695271</v>
      </c>
      <c r="T525">
        <f t="shared" si="988"/>
        <v>-53.018242271695271</v>
      </c>
    </row>
    <row r="526" spans="1:20" x14ac:dyDescent="0.25">
      <c r="A526" s="5">
        <v>44067</v>
      </c>
      <c r="B526">
        <v>2.5309999999999999E-2</v>
      </c>
      <c r="C526">
        <v>2.8389999999999999E-2</v>
      </c>
      <c r="D526">
        <v>2.4910000000000002E-2</v>
      </c>
      <c r="E526">
        <v>2.794E-2</v>
      </c>
      <c r="F526">
        <v>332898380.69999999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0.74137931034482796</v>
      </c>
      <c r="Q526">
        <f t="shared" si="985"/>
        <v>246803971.89827597</v>
      </c>
      <c r="R526">
        <f t="shared" si="986"/>
        <v>-5156183364.4331636</v>
      </c>
      <c r="S526">
        <f t="shared" si="987"/>
        <v>-51561.833644331637</v>
      </c>
      <c r="T526">
        <f t="shared" si="988"/>
        <v>-51.561833644331635</v>
      </c>
    </row>
    <row r="527" spans="1:20" x14ac:dyDescent="0.25">
      <c r="A527" s="5">
        <v>44066</v>
      </c>
      <c r="B527">
        <v>2.6089999999999999E-2</v>
      </c>
      <c r="C527">
        <v>2.6159999999999999E-2</v>
      </c>
      <c r="D527">
        <v>2.4799999999999999E-2</v>
      </c>
      <c r="E527">
        <v>2.53E-2</v>
      </c>
      <c r="F527">
        <v>128034627.7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-0.26470588235294057</v>
      </c>
      <c r="Q527">
        <f t="shared" si="985"/>
        <v>-33891519.097058743</v>
      </c>
      <c r="R527">
        <f t="shared" si="986"/>
        <v>-5402987336.33144</v>
      </c>
      <c r="S527">
        <f t="shared" si="987"/>
        <v>-54029.8733633144</v>
      </c>
      <c r="T527">
        <f t="shared" si="988"/>
        <v>-54.029873363314401</v>
      </c>
    </row>
    <row r="528" spans="1:20" x14ac:dyDescent="0.25">
      <c r="A528" s="5">
        <v>44065</v>
      </c>
      <c r="B528">
        <v>2.478E-2</v>
      </c>
      <c r="C528">
        <v>2.6450000000000001E-2</v>
      </c>
      <c r="D528">
        <v>2.332E-2</v>
      </c>
      <c r="E528">
        <v>2.615E-2</v>
      </c>
      <c r="F528">
        <v>292614464.69999999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0.80830670926517467</v>
      </c>
      <c r="Q528">
        <f t="shared" si="985"/>
        <v>236522235.04504761</v>
      </c>
      <c r="R528">
        <f t="shared" si="986"/>
        <v>-5369095817.2343817</v>
      </c>
      <c r="S528">
        <f t="shared" si="987"/>
        <v>-53690.958172343817</v>
      </c>
      <c r="T528">
        <f t="shared" si="988"/>
        <v>-53.690958172343819</v>
      </c>
    </row>
    <row r="529" spans="1:20" x14ac:dyDescent="0.25">
      <c r="A529" s="5">
        <v>44064</v>
      </c>
      <c r="B529">
        <v>2.6679999999999999E-2</v>
      </c>
      <c r="C529">
        <v>2.8879999999999999E-2</v>
      </c>
      <c r="D529">
        <v>2.4709999999999999E-2</v>
      </c>
      <c r="E529">
        <v>2.477E-2</v>
      </c>
      <c r="F529">
        <v>497453588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-0.97122302158273333</v>
      </c>
      <c r="Q529">
        <f t="shared" si="985"/>
        <v>-483138376.83453214</v>
      </c>
      <c r="R529">
        <f t="shared" si="986"/>
        <v>-5605618052.2794294</v>
      </c>
      <c r="S529">
        <f t="shared" si="987"/>
        <v>-56056.180522794297</v>
      </c>
      <c r="T529">
        <f t="shared" si="988"/>
        <v>-56.0561805227943</v>
      </c>
    </row>
    <row r="530" spans="1:20" x14ac:dyDescent="0.25">
      <c r="A530" s="5">
        <v>44063</v>
      </c>
      <c r="B530">
        <v>2.4819999999999998E-2</v>
      </c>
      <c r="C530">
        <v>2.691E-2</v>
      </c>
      <c r="D530">
        <v>2.462E-2</v>
      </c>
      <c r="E530">
        <v>2.6669999999999999E-2</v>
      </c>
      <c r="F530">
        <v>319034088.19999999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0.79039301310043619</v>
      </c>
      <c r="Q530">
        <f t="shared" si="985"/>
        <v>252162314.2541483</v>
      </c>
      <c r="R530">
        <f t="shared" si="986"/>
        <v>-5122479675.4448977</v>
      </c>
      <c r="S530">
        <f t="shared" si="987"/>
        <v>-51224.796754448973</v>
      </c>
      <c r="T530">
        <f t="shared" si="988"/>
        <v>-51.224796754448974</v>
      </c>
    </row>
    <row r="531" spans="1:20" x14ac:dyDescent="0.25">
      <c r="A531" s="5">
        <v>44062</v>
      </c>
      <c r="B531">
        <v>2.6800000000000001E-2</v>
      </c>
      <c r="C531">
        <v>2.7369999999999998E-2</v>
      </c>
      <c r="D531">
        <v>2.3699999999999999E-2</v>
      </c>
      <c r="E531">
        <v>2.479E-2</v>
      </c>
      <c r="F531">
        <v>520059072.10000002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-0.4059945504087189</v>
      </c>
      <c r="Q531">
        <f t="shared" si="985"/>
        <v>-211141149.16321504</v>
      </c>
      <c r="R531">
        <f t="shared" si="986"/>
        <v>-5374641989.6990461</v>
      </c>
      <c r="S531">
        <f t="shared" si="987"/>
        <v>-53746.419896990461</v>
      </c>
      <c r="T531">
        <f t="shared" si="988"/>
        <v>-53.74641989699046</v>
      </c>
    </row>
    <row r="532" spans="1:20" x14ac:dyDescent="0.25">
      <c r="A532" s="5">
        <v>44061</v>
      </c>
      <c r="B532">
        <v>2.8740000000000002E-2</v>
      </c>
      <c r="C532">
        <v>2.963E-2</v>
      </c>
      <c r="D532">
        <v>2.5080000000000002E-2</v>
      </c>
      <c r="E532">
        <v>2.674E-2</v>
      </c>
      <c r="F532">
        <v>422395533.19999999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-0.27032967032967087</v>
      </c>
      <c r="Q532">
        <f t="shared" si="985"/>
        <v>-114186045.23868154</v>
      </c>
      <c r="R532">
        <f t="shared" si="986"/>
        <v>-5163500840.5358315</v>
      </c>
      <c r="S532">
        <f t="shared" si="987"/>
        <v>-51635.008405358312</v>
      </c>
      <c r="T532">
        <f t="shared" si="988"/>
        <v>-51.635008405358313</v>
      </c>
    </row>
    <row r="533" spans="1:20" x14ac:dyDescent="0.25">
      <c r="A533" s="5">
        <v>44060</v>
      </c>
      <c r="B533">
        <v>3.0130000000000001E-2</v>
      </c>
      <c r="C533">
        <v>3.2000000000000001E-2</v>
      </c>
      <c r="D533">
        <v>2.7720000000000002E-2</v>
      </c>
      <c r="E533">
        <v>2.8740000000000002E-2</v>
      </c>
      <c r="F533">
        <v>549737321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-0.52336448598130825</v>
      </c>
      <c r="Q533">
        <f t="shared" si="985"/>
        <v>-287712990.42990643</v>
      </c>
      <c r="R533">
        <f t="shared" si="986"/>
        <v>-5049314795.2971497</v>
      </c>
      <c r="S533">
        <f t="shared" si="987"/>
        <v>-50493.1479529715</v>
      </c>
      <c r="T533">
        <f t="shared" si="988"/>
        <v>-50.493147952971498</v>
      </c>
    </row>
    <row r="534" spans="1:20" x14ac:dyDescent="0.25">
      <c r="A534" s="5">
        <v>44059</v>
      </c>
      <c r="B534">
        <v>3.0089999999999999E-2</v>
      </c>
      <c r="C534">
        <v>3.1E-2</v>
      </c>
      <c r="D534">
        <v>2.8289999999999999E-2</v>
      </c>
      <c r="E534">
        <v>3.014E-2</v>
      </c>
      <c r="F534">
        <v>421130913.60000002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0.36531365313653175</v>
      </c>
      <c r="Q534">
        <f t="shared" si="985"/>
        <v>153844872.49594113</v>
      </c>
      <c r="R534">
        <f t="shared" si="986"/>
        <v>-4761601804.8672428</v>
      </c>
      <c r="S534">
        <f t="shared" si="987"/>
        <v>-47616.018048672428</v>
      </c>
      <c r="T534">
        <f t="shared" si="988"/>
        <v>-47.61601804867243</v>
      </c>
    </row>
    <row r="535" spans="1:20" x14ac:dyDescent="0.25">
      <c r="A535" s="5">
        <v>44058</v>
      </c>
      <c r="B535">
        <v>2.819E-2</v>
      </c>
      <c r="C535">
        <v>3.2379999999999999E-2</v>
      </c>
      <c r="D535">
        <v>2.7E-2</v>
      </c>
      <c r="E535">
        <v>3.005E-2</v>
      </c>
      <c r="F535">
        <v>845662759.5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0.13382899628252826</v>
      </c>
      <c r="Q535">
        <f t="shared" si="985"/>
        <v>113174198.29739809</v>
      </c>
      <c r="R535">
        <f t="shared" si="986"/>
        <v>-4915446677.363184</v>
      </c>
      <c r="S535">
        <f t="shared" si="987"/>
        <v>-49154.466773631837</v>
      </c>
      <c r="T535">
        <f t="shared" si="988"/>
        <v>-49.154466773631839</v>
      </c>
    </row>
    <row r="536" spans="1:20" x14ac:dyDescent="0.25">
      <c r="A536" s="5">
        <v>44057</v>
      </c>
      <c r="B536">
        <v>2.7150000000000001E-2</v>
      </c>
      <c r="C536">
        <v>2.877E-2</v>
      </c>
      <c r="D536">
        <v>2.6339999999999999E-2</v>
      </c>
      <c r="E536">
        <v>2.8199999999999999E-2</v>
      </c>
      <c r="F536">
        <v>445361814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0.53086419753086367</v>
      </c>
      <c r="Q536">
        <f t="shared" si="985"/>
        <v>236426641.99999976</v>
      </c>
      <c r="R536">
        <f t="shared" si="986"/>
        <v>-5028620875.6605825</v>
      </c>
      <c r="S536">
        <f t="shared" si="987"/>
        <v>-50286.208756605825</v>
      </c>
      <c r="T536">
        <f t="shared" si="988"/>
        <v>-50.286208756605824</v>
      </c>
    </row>
    <row r="537" spans="1:20" x14ac:dyDescent="0.25">
      <c r="A537" s="5">
        <v>44056</v>
      </c>
      <c r="B537">
        <v>2.528E-2</v>
      </c>
      <c r="C537">
        <v>2.8680000000000001E-2</v>
      </c>
      <c r="D537">
        <v>2.3900000000000001E-2</v>
      </c>
      <c r="E537">
        <v>2.7150000000000001E-2</v>
      </c>
      <c r="F537">
        <v>932062475.10000002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0.35983263598326348</v>
      </c>
      <c r="Q537">
        <f t="shared" si="985"/>
        <v>335386497.31631792</v>
      </c>
      <c r="R537">
        <f t="shared" si="986"/>
        <v>-5265047517.6605825</v>
      </c>
      <c r="S537">
        <f t="shared" si="987"/>
        <v>-52650.475176605825</v>
      </c>
      <c r="T537">
        <f t="shared" si="988"/>
        <v>-52.650475176605823</v>
      </c>
    </row>
    <row r="538" spans="1:20" x14ac:dyDescent="0.25">
      <c r="A538" s="5">
        <v>44055</v>
      </c>
      <c r="B538">
        <v>2.3029999999999998E-2</v>
      </c>
      <c r="C538">
        <v>2.598E-2</v>
      </c>
      <c r="D538">
        <v>2.2599999999999999E-2</v>
      </c>
      <c r="E538">
        <v>2.528E-2</v>
      </c>
      <c r="F538">
        <v>445060870.5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0.58579881656804789</v>
      </c>
      <c r="Q538">
        <f t="shared" si="985"/>
        <v>260716131.23964521</v>
      </c>
      <c r="R538">
        <f t="shared" si="986"/>
        <v>-5600434014.9769001</v>
      </c>
      <c r="S538">
        <f t="shared" si="987"/>
        <v>-56004.340149768999</v>
      </c>
      <c r="T538">
        <f t="shared" si="988"/>
        <v>-56.004340149769</v>
      </c>
    </row>
    <row r="539" spans="1:20" x14ac:dyDescent="0.25">
      <c r="A539" s="5">
        <v>44054</v>
      </c>
      <c r="B539">
        <v>2.452E-2</v>
      </c>
      <c r="C539">
        <v>2.6249999999999999E-2</v>
      </c>
      <c r="D539">
        <v>2.1899999999999999E-2</v>
      </c>
      <c r="E539">
        <v>2.3029999999999998E-2</v>
      </c>
      <c r="F539">
        <v>757209302.60000002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-0.48045977011494295</v>
      </c>
      <c r="Q539">
        <f t="shared" si="985"/>
        <v>-363808607.4560923</v>
      </c>
      <c r="R539">
        <f t="shared" si="986"/>
        <v>-5861150146.2165451</v>
      </c>
      <c r="S539">
        <f t="shared" si="987"/>
        <v>-58611.501462165448</v>
      </c>
      <c r="T539">
        <f t="shared" si="988"/>
        <v>-58.61150146216545</v>
      </c>
    </row>
    <row r="540" spans="1:20" x14ac:dyDescent="0.25">
      <c r="A540" s="5">
        <v>44053</v>
      </c>
      <c r="B540">
        <v>2.265E-2</v>
      </c>
      <c r="C540">
        <v>2.4590000000000001E-2</v>
      </c>
      <c r="D540">
        <v>2.1680000000000001E-2</v>
      </c>
      <c r="E540">
        <v>2.4490000000000001E-2</v>
      </c>
      <c r="F540">
        <v>510540932.39999998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0.9312714776632306</v>
      </c>
      <c r="Q540">
        <f t="shared" si="985"/>
        <v>475452208.5237115</v>
      </c>
      <c r="R540">
        <f t="shared" si="986"/>
        <v>-5497341538.7604532</v>
      </c>
      <c r="S540">
        <f t="shared" si="987"/>
        <v>-54973.415387604531</v>
      </c>
      <c r="T540">
        <f t="shared" si="988"/>
        <v>-54.973415387604533</v>
      </c>
    </row>
    <row r="541" spans="1:20" x14ac:dyDescent="0.25">
      <c r="A541" s="5">
        <v>44052</v>
      </c>
      <c r="B541">
        <v>2.2870000000000001E-2</v>
      </c>
      <c r="C541">
        <v>2.3779999999999999E-2</v>
      </c>
      <c r="D541">
        <v>2.2249999999999999E-2</v>
      </c>
      <c r="E541">
        <v>2.2679999999999999E-2</v>
      </c>
      <c r="F541">
        <v>414812921.80000001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-0.43790849673202642</v>
      </c>
      <c r="Q541">
        <f t="shared" si="985"/>
        <v>-181650103.01045763</v>
      </c>
      <c r="R541">
        <f t="shared" si="986"/>
        <v>-5972793747.2841644</v>
      </c>
      <c r="S541">
        <f t="shared" si="987"/>
        <v>-59727.937472841644</v>
      </c>
      <c r="T541">
        <f t="shared" si="988"/>
        <v>-59.727937472841646</v>
      </c>
    </row>
    <row r="542" spans="1:20" x14ac:dyDescent="0.25">
      <c r="A542" s="5">
        <v>44051</v>
      </c>
      <c r="B542">
        <v>2.1319999999999999E-2</v>
      </c>
      <c r="C542">
        <v>2.2939999999999999E-2</v>
      </c>
      <c r="D542">
        <v>2.1239999999999998E-2</v>
      </c>
      <c r="E542">
        <v>2.2870000000000001E-2</v>
      </c>
      <c r="F542">
        <v>364680394.30000001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0.91764705882353281</v>
      </c>
      <c r="Q542">
        <f t="shared" si="985"/>
        <v>334647891.24000126</v>
      </c>
      <c r="R542">
        <f t="shared" si="986"/>
        <v>-5791143644.2737064</v>
      </c>
      <c r="S542">
        <f t="shared" si="987"/>
        <v>-57911.436442737067</v>
      </c>
      <c r="T542">
        <f t="shared" si="988"/>
        <v>-57.91143644273707</v>
      </c>
    </row>
    <row r="543" spans="1:20" x14ac:dyDescent="0.25">
      <c r="A543" s="5">
        <v>44050</v>
      </c>
      <c r="B543">
        <v>2.1739999999999999E-2</v>
      </c>
      <c r="C543">
        <v>2.2329999999999999E-2</v>
      </c>
      <c r="D543">
        <v>2.0570000000000001E-2</v>
      </c>
      <c r="E543">
        <v>2.1350000000000001E-2</v>
      </c>
      <c r="F543">
        <v>238236832.30000001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-0.11363636363636311</v>
      </c>
      <c r="Q543">
        <f t="shared" si="985"/>
        <v>-27072367.306818057</v>
      </c>
      <c r="R543">
        <f t="shared" si="986"/>
        <v>-6125791535.5137081</v>
      </c>
      <c r="S543">
        <f t="shared" si="987"/>
        <v>-61257.915355137084</v>
      </c>
      <c r="T543">
        <f t="shared" si="988"/>
        <v>-61.257915355137087</v>
      </c>
    </row>
    <row r="544" spans="1:20" x14ac:dyDescent="0.25">
      <c r="A544" s="5">
        <v>44049</v>
      </c>
      <c r="B544">
        <v>2.1309999999999999E-2</v>
      </c>
      <c r="C544">
        <v>2.2280000000000001E-2</v>
      </c>
      <c r="D544">
        <v>2.1160000000000002E-2</v>
      </c>
      <c r="E544">
        <v>2.1760000000000002E-2</v>
      </c>
      <c r="F544">
        <v>299217278.5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7.1428571428571647E-2</v>
      </c>
      <c r="Q544">
        <f t="shared" si="985"/>
        <v>21372662.750000067</v>
      </c>
      <c r="R544">
        <f t="shared" si="986"/>
        <v>-6098719168.2068901</v>
      </c>
      <c r="S544">
        <f t="shared" si="987"/>
        <v>-60987.1916820689</v>
      </c>
      <c r="T544">
        <f t="shared" si="988"/>
        <v>-60.987191682068904</v>
      </c>
    </row>
    <row r="545" spans="1:20" x14ac:dyDescent="0.25">
      <c r="A545" s="5">
        <v>44048</v>
      </c>
      <c r="B545">
        <v>2.069E-2</v>
      </c>
      <c r="C545">
        <v>2.198E-2</v>
      </c>
      <c r="D545">
        <v>2.051E-2</v>
      </c>
      <c r="E545">
        <v>2.1299999999999999E-2</v>
      </c>
      <c r="F545">
        <v>330387235.19999999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7.4829931972788477E-2</v>
      </c>
      <c r="Q545">
        <f t="shared" si="985"/>
        <v>24722854.334693667</v>
      </c>
      <c r="R545">
        <f t="shared" si="986"/>
        <v>-6120091830.9568901</v>
      </c>
      <c r="S545">
        <f t="shared" si="987"/>
        <v>-61200.9183095689</v>
      </c>
      <c r="T545">
        <f t="shared" si="988"/>
        <v>-61.200918309568898</v>
      </c>
    </row>
    <row r="546" spans="1:20" x14ac:dyDescent="0.25">
      <c r="A546" s="5">
        <v>44047</v>
      </c>
      <c r="B546">
        <v>2.0420000000000001E-2</v>
      </c>
      <c r="C546">
        <v>2.087E-2</v>
      </c>
      <c r="D546">
        <v>2.0310000000000002E-2</v>
      </c>
      <c r="E546">
        <v>2.0670000000000001E-2</v>
      </c>
      <c r="F546">
        <v>171278632.59999999</v>
      </c>
      <c r="G546">
        <v>0</v>
      </c>
      <c r="L546" t="s">
        <v>7</v>
      </c>
      <c r="M546" t="s">
        <v>8</v>
      </c>
      <c r="N546" t="s">
        <v>7</v>
      </c>
      <c r="P546">
        <f t="shared" si="984"/>
        <v>0.28571428571428747</v>
      </c>
      <c r="Q546">
        <f t="shared" si="985"/>
        <v>48936752.171428874</v>
      </c>
      <c r="R546">
        <f t="shared" si="986"/>
        <v>-6144814685.291584</v>
      </c>
      <c r="S546">
        <f t="shared" si="987"/>
        <v>-61448.146852915837</v>
      </c>
      <c r="T546">
        <f t="shared" si="988"/>
        <v>-61.448146852915841</v>
      </c>
    </row>
    <row r="547" spans="1:20" x14ac:dyDescent="0.25">
      <c r="A547" s="5">
        <v>44046</v>
      </c>
      <c r="B547">
        <v>2.0049999999999998E-2</v>
      </c>
      <c r="C547">
        <v>2.0930000000000001E-2</v>
      </c>
      <c r="D547">
        <v>1.9900000000000001E-2</v>
      </c>
      <c r="E547">
        <v>2.043E-2</v>
      </c>
      <c r="F547">
        <v>168916459.59999999</v>
      </c>
      <c r="G547">
        <v>0</v>
      </c>
      <c r="L547" t="s">
        <v>7</v>
      </c>
      <c r="M547" t="s">
        <v>8</v>
      </c>
      <c r="N547" t="s">
        <v>7</v>
      </c>
      <c r="P547">
        <f t="shared" si="984"/>
        <v>2.9126213592231831E-2</v>
      </c>
      <c r="Q547">
        <f t="shared" si="985"/>
        <v>4919896.8815531991</v>
      </c>
      <c r="R547">
        <f t="shared" si="986"/>
        <v>-6193751437.4630127</v>
      </c>
      <c r="S547">
        <f t="shared" si="987"/>
        <v>-61937.514374630126</v>
      </c>
      <c r="T547">
        <f t="shared" si="988"/>
        <v>-61.937514374630126</v>
      </c>
    </row>
    <row r="548" spans="1:20" x14ac:dyDescent="0.25">
      <c r="A548" s="5">
        <v>44045</v>
      </c>
      <c r="B548">
        <v>2.1080000000000002E-2</v>
      </c>
      <c r="C548">
        <v>2.1420000000000002E-2</v>
      </c>
      <c r="D548">
        <v>1.9640000000000001E-2</v>
      </c>
      <c r="E548">
        <v>2.002E-2</v>
      </c>
      <c r="F548">
        <v>289771797.89999998</v>
      </c>
      <c r="G548">
        <v>0</v>
      </c>
      <c r="L548" t="s">
        <v>7</v>
      </c>
      <c r="M548" t="s">
        <v>8</v>
      </c>
      <c r="N548" t="s">
        <v>7</v>
      </c>
      <c r="P548">
        <f t="shared" si="984"/>
        <v>-0.57303370786517038</v>
      </c>
      <c r="Q548">
        <f t="shared" si="985"/>
        <v>-166049007.78539377</v>
      </c>
      <c r="R548">
        <f t="shared" si="986"/>
        <v>-6198671334.3445663</v>
      </c>
      <c r="S548">
        <f t="shared" si="987"/>
        <v>-61986.713343445663</v>
      </c>
      <c r="T548">
        <f t="shared" si="988"/>
        <v>-61.986713343445665</v>
      </c>
    </row>
    <row r="549" spans="1:20" x14ac:dyDescent="0.25">
      <c r="A549" s="5">
        <v>44044</v>
      </c>
      <c r="B549">
        <v>2.0279999999999999E-2</v>
      </c>
      <c r="C549">
        <v>2.145E-2</v>
      </c>
      <c r="D549">
        <v>2.002E-2</v>
      </c>
      <c r="E549">
        <v>2.1090000000000001E-2</v>
      </c>
      <c r="F549">
        <v>244980078.69999999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0.49650349650349784</v>
      </c>
      <c r="Q549">
        <f t="shared" si="985"/>
        <v>121633465.64825207</v>
      </c>
      <c r="R549">
        <f t="shared" si="986"/>
        <v>-6032622326.5591726</v>
      </c>
      <c r="S549">
        <f t="shared" si="987"/>
        <v>-60326.223265591725</v>
      </c>
      <c r="T549">
        <f t="shared" si="988"/>
        <v>-60.326223265591722</v>
      </c>
    </row>
    <row r="550" spans="1:20" x14ac:dyDescent="0.25">
      <c r="A550" s="5">
        <v>44043</v>
      </c>
      <c r="B550">
        <v>2.043E-2</v>
      </c>
      <c r="C550">
        <v>2.0670000000000001E-2</v>
      </c>
      <c r="D550">
        <v>2.009E-2</v>
      </c>
      <c r="E550">
        <v>2.0250000000000001E-2</v>
      </c>
      <c r="F550">
        <v>155344313.19999999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-0.44827586206896469</v>
      </c>
      <c r="Q550">
        <f t="shared" si="985"/>
        <v>-69637105.917241246</v>
      </c>
      <c r="R550">
        <f t="shared" si="986"/>
        <v>-6154255792.2074251</v>
      </c>
      <c r="S550">
        <f t="shared" si="987"/>
        <v>-61542.557922074251</v>
      </c>
      <c r="T550">
        <f t="shared" si="988"/>
        <v>-61.542557922074252</v>
      </c>
    </row>
    <row r="551" spans="1:20" x14ac:dyDescent="0.25">
      <c r="A551" s="5">
        <v>44042</v>
      </c>
      <c r="B551">
        <v>2.0320000000000001E-2</v>
      </c>
      <c r="C551">
        <v>2.1090000000000001E-2</v>
      </c>
      <c r="D551">
        <v>2.0080000000000001E-2</v>
      </c>
      <c r="E551">
        <v>2.0410000000000001E-2</v>
      </c>
      <c r="F551">
        <v>184204493.90000001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-0.34653465346534601</v>
      </c>
      <c r="Q551">
        <f t="shared" si="985"/>
        <v>-63833240.460395947</v>
      </c>
      <c r="R551">
        <f t="shared" si="986"/>
        <v>-6084618686.290184</v>
      </c>
      <c r="S551">
        <f t="shared" si="987"/>
        <v>-60846.186862901843</v>
      </c>
      <c r="T551">
        <f t="shared" si="988"/>
        <v>-60.846186862901845</v>
      </c>
    </row>
    <row r="552" spans="1:20" x14ac:dyDescent="0.25">
      <c r="A552" s="5">
        <v>44041</v>
      </c>
      <c r="B552">
        <v>2.0469999999999999E-2</v>
      </c>
      <c r="C552">
        <v>2.0979999999999999E-2</v>
      </c>
      <c r="D552">
        <v>2.0070000000000001E-2</v>
      </c>
      <c r="E552">
        <v>2.034E-2</v>
      </c>
      <c r="F552">
        <v>231435870.5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-0.40659340659340631</v>
      </c>
      <c r="Q552">
        <f t="shared" si="985"/>
        <v>-94100298.994505435</v>
      </c>
      <c r="R552">
        <f t="shared" si="986"/>
        <v>-6020785445.8297882</v>
      </c>
      <c r="S552">
        <f t="shared" si="987"/>
        <v>-60207.854458297879</v>
      </c>
      <c r="T552">
        <f t="shared" si="988"/>
        <v>-60.207854458297881</v>
      </c>
    </row>
    <row r="553" spans="1:20" x14ac:dyDescent="0.25">
      <c r="A553" s="5">
        <v>44040</v>
      </c>
      <c r="B553">
        <v>1.993E-2</v>
      </c>
      <c r="C553">
        <v>2.111E-2</v>
      </c>
      <c r="D553">
        <v>1.9099999999999999E-2</v>
      </c>
      <c r="E553">
        <v>2.0469999999999999E-2</v>
      </c>
      <c r="F553">
        <v>376915637.60000002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0.36318407960198884</v>
      </c>
      <c r="Q553">
        <f t="shared" si="985"/>
        <v>136889758.92935279</v>
      </c>
      <c r="R553">
        <f t="shared" si="986"/>
        <v>-5926685146.8352823</v>
      </c>
      <c r="S553">
        <f t="shared" si="987"/>
        <v>-59266.851468352826</v>
      </c>
      <c r="T553">
        <f t="shared" si="988"/>
        <v>-59.266851468352826</v>
      </c>
    </row>
    <row r="554" spans="1:20" x14ac:dyDescent="0.25">
      <c r="A554" s="5">
        <v>44039</v>
      </c>
      <c r="B554">
        <v>2.069E-2</v>
      </c>
      <c r="C554">
        <v>2.094E-2</v>
      </c>
      <c r="D554">
        <v>1.7749999999999998E-2</v>
      </c>
      <c r="E554">
        <v>1.9949999999999999E-2</v>
      </c>
      <c r="F554">
        <v>519533336.39999998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0.37931034482758574</v>
      </c>
      <c r="Q554">
        <f t="shared" si="985"/>
        <v>197064368.9793101</v>
      </c>
      <c r="R554">
        <f t="shared" si="986"/>
        <v>-6063574905.7646351</v>
      </c>
      <c r="S554">
        <f t="shared" si="987"/>
        <v>-60635.749057646353</v>
      </c>
      <c r="T554">
        <f t="shared" si="988"/>
        <v>-60.63574905764635</v>
      </c>
    </row>
    <row r="555" spans="1:20" x14ac:dyDescent="0.25">
      <c r="A555" s="5">
        <v>44038</v>
      </c>
      <c r="B555">
        <v>2.0899999999999998E-2</v>
      </c>
      <c r="C555">
        <v>2.1389999999999999E-2</v>
      </c>
      <c r="D555">
        <v>2.0500000000000001E-2</v>
      </c>
      <c r="E555">
        <v>2.0719999999999999E-2</v>
      </c>
      <c r="F555">
        <v>211731573</v>
      </c>
      <c r="G555">
        <v>0</v>
      </c>
      <c r="L555" t="s">
        <v>8</v>
      </c>
      <c r="M555" t="s">
        <v>7</v>
      </c>
      <c r="N555" t="s">
        <v>7</v>
      </c>
      <c r="P555">
        <f t="shared" si="984"/>
        <v>-0.50561797752809357</v>
      </c>
      <c r="Q555">
        <f t="shared" si="985"/>
        <v>-107055289.71910191</v>
      </c>
      <c r="R555">
        <f t="shared" si="986"/>
        <v>-6260639274.7439451</v>
      </c>
      <c r="S555">
        <f t="shared" si="987"/>
        <v>-62606.392747439451</v>
      </c>
      <c r="T555">
        <f t="shared" si="988"/>
        <v>-62.60639274743945</v>
      </c>
    </row>
    <row r="556" spans="1:20" x14ac:dyDescent="0.25">
      <c r="A556" s="5">
        <v>44037</v>
      </c>
      <c r="B556">
        <v>2.0619999999999999E-2</v>
      </c>
      <c r="C556">
        <v>2.1340000000000001E-2</v>
      </c>
      <c r="D556">
        <v>2.06E-2</v>
      </c>
      <c r="E556">
        <v>2.0910000000000002E-2</v>
      </c>
      <c r="F556">
        <v>173498374</v>
      </c>
      <c r="G556">
        <v>0</v>
      </c>
      <c r="L556" t="s">
        <v>8</v>
      </c>
      <c r="M556" t="s">
        <v>7</v>
      </c>
      <c r="N556" t="s">
        <v>7</v>
      </c>
      <c r="P556">
        <f t="shared" si="984"/>
        <v>-0.16216216216216001</v>
      </c>
      <c r="Q556">
        <f t="shared" si="985"/>
        <v>-28134871.459459085</v>
      </c>
      <c r="R556">
        <f t="shared" si="986"/>
        <v>-6153583985.0248432</v>
      </c>
      <c r="S556">
        <f t="shared" si="987"/>
        <v>-61535.839850248434</v>
      </c>
      <c r="T556">
        <f t="shared" si="988"/>
        <v>-61.535839850248436</v>
      </c>
    </row>
    <row r="557" spans="1:20" x14ac:dyDescent="0.25">
      <c r="A557" s="5">
        <v>44036</v>
      </c>
      <c r="B557">
        <v>2.111E-2</v>
      </c>
      <c r="C557">
        <v>2.1360000000000001E-2</v>
      </c>
      <c r="D557">
        <v>1.9789999999999999E-2</v>
      </c>
      <c r="E557">
        <v>2.0619999999999999E-2</v>
      </c>
      <c r="F557">
        <v>221182636.80000001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5.732484076433101E-2</v>
      </c>
      <c r="Q557">
        <f t="shared" si="985"/>
        <v>12679259.434394861</v>
      </c>
      <c r="R557">
        <f t="shared" si="986"/>
        <v>-6125449113.5653839</v>
      </c>
      <c r="S557">
        <f t="shared" si="987"/>
        <v>-61254.491135653836</v>
      </c>
      <c r="T557">
        <f t="shared" si="988"/>
        <v>-61.254491135653836</v>
      </c>
    </row>
    <row r="558" spans="1:20" x14ac:dyDescent="0.25">
      <c r="A558" s="5">
        <v>44035</v>
      </c>
      <c r="B558">
        <v>2.1229999999999999E-2</v>
      </c>
      <c r="C558">
        <v>2.1600000000000001E-2</v>
      </c>
      <c r="D558">
        <v>2.1000000000000001E-2</v>
      </c>
      <c r="E558">
        <v>2.1100000000000001E-2</v>
      </c>
      <c r="F558">
        <v>167518796.59999999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-0.66666666666666863</v>
      </c>
      <c r="Q558">
        <f t="shared" si="985"/>
        <v>-111679197.73333366</v>
      </c>
      <c r="R558">
        <f t="shared" si="986"/>
        <v>-6138128372.9997787</v>
      </c>
      <c r="S558">
        <f t="shared" si="987"/>
        <v>-61381.283729997791</v>
      </c>
      <c r="T558">
        <f t="shared" si="988"/>
        <v>-61.38128372999779</v>
      </c>
    </row>
    <row r="559" spans="1:20" x14ac:dyDescent="0.25">
      <c r="A559" s="5">
        <v>44034</v>
      </c>
      <c r="B559">
        <v>2.1270000000000001E-2</v>
      </c>
      <c r="C559">
        <v>2.1700000000000001E-2</v>
      </c>
      <c r="D559">
        <v>2.0920000000000001E-2</v>
      </c>
      <c r="E559">
        <v>2.1219999999999999E-2</v>
      </c>
      <c r="F559">
        <v>208972028</v>
      </c>
      <c r="G559">
        <v>0</v>
      </c>
      <c r="L559" t="s">
        <v>7</v>
      </c>
      <c r="M559" t="s">
        <v>7</v>
      </c>
      <c r="N559" t="s">
        <v>7</v>
      </c>
      <c r="P559">
        <f t="shared" si="984"/>
        <v>-0.23076923076923486</v>
      </c>
      <c r="Q559">
        <f t="shared" si="985"/>
        <v>-48224314.153847009</v>
      </c>
      <c r="R559">
        <f t="shared" si="986"/>
        <v>-6026449175.2664452</v>
      </c>
      <c r="S559">
        <f t="shared" si="987"/>
        <v>-60264.491752664449</v>
      </c>
      <c r="T559">
        <f t="shared" si="988"/>
        <v>-60.264491752664448</v>
      </c>
    </row>
    <row r="560" spans="1:20" x14ac:dyDescent="0.25">
      <c r="A560" s="5">
        <v>44033</v>
      </c>
      <c r="B560">
        <v>2.1579999999999998E-2</v>
      </c>
      <c r="C560">
        <v>2.1999999999999999E-2</v>
      </c>
      <c r="D560">
        <v>2.0809999999999999E-2</v>
      </c>
      <c r="E560">
        <v>2.128E-2</v>
      </c>
      <c r="F560">
        <v>296716399.60000002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-0.21008403361344263</v>
      </c>
      <c r="Q560">
        <f t="shared" si="985"/>
        <v>-62335378.067226082</v>
      </c>
      <c r="R560">
        <f t="shared" si="986"/>
        <v>-5978224861.1125984</v>
      </c>
      <c r="S560">
        <f t="shared" si="987"/>
        <v>-59782.248611125986</v>
      </c>
      <c r="T560">
        <f t="shared" si="988"/>
        <v>-59.782248611125986</v>
      </c>
    </row>
    <row r="561" spans="1:104" x14ac:dyDescent="0.25">
      <c r="A561" s="5">
        <v>44032</v>
      </c>
      <c r="B561">
        <v>2.1270000000000001E-2</v>
      </c>
      <c r="C561">
        <v>2.2890000000000001E-2</v>
      </c>
      <c r="D561">
        <v>2.1000000000000001E-2</v>
      </c>
      <c r="E561">
        <v>2.1600000000000001E-2</v>
      </c>
      <c r="F561">
        <v>457884394.39999998</v>
      </c>
      <c r="G561">
        <v>0</v>
      </c>
      <c r="L561" t="s">
        <v>8</v>
      </c>
      <c r="M561" t="s">
        <v>7</v>
      </c>
      <c r="N561" t="s">
        <v>7</v>
      </c>
      <c r="P561">
        <f t="shared" si="984"/>
        <v>-0.365079365079365</v>
      </c>
      <c r="Q561">
        <f t="shared" si="985"/>
        <v>-167164143.98730156</v>
      </c>
      <c r="R561">
        <f t="shared" si="986"/>
        <v>-5915889483.045372</v>
      </c>
      <c r="S561">
        <f t="shared" si="987"/>
        <v>-59158.894830453719</v>
      </c>
      <c r="T561">
        <f t="shared" si="988"/>
        <v>-59.158894830453718</v>
      </c>
      <c r="CZ561" t="s">
        <v>7</v>
      </c>
    </row>
    <row r="562" spans="1:104" x14ac:dyDescent="0.25">
      <c r="A562" s="5">
        <v>44031</v>
      </c>
      <c r="B562">
        <v>2.1479999999999999E-2</v>
      </c>
      <c r="C562">
        <v>2.1600000000000001E-2</v>
      </c>
      <c r="D562">
        <v>2.0750000000000001E-2</v>
      </c>
      <c r="E562">
        <v>2.1260000000000001E-2</v>
      </c>
      <c r="F562">
        <v>173168616.40000001</v>
      </c>
      <c r="G562">
        <v>0</v>
      </c>
      <c r="L562" t="s">
        <v>8</v>
      </c>
      <c r="M562" t="s">
        <v>7</v>
      </c>
      <c r="N562" t="s">
        <v>7</v>
      </c>
      <c r="P562">
        <f t="shared" si="984"/>
        <v>0.2</v>
      </c>
      <c r="Q562">
        <f t="shared" si="985"/>
        <v>34633723.280000001</v>
      </c>
      <c r="R562">
        <f t="shared" si="986"/>
        <v>-5748725339.0580702</v>
      </c>
      <c r="S562">
        <f t="shared" si="987"/>
        <v>-57487.253390580699</v>
      </c>
      <c r="T562">
        <f t="shared" si="988"/>
        <v>-57.487253390580697</v>
      </c>
      <c r="CZ562" t="s">
        <v>7</v>
      </c>
    </row>
    <row r="563" spans="1:104" x14ac:dyDescent="0.25">
      <c r="A563" s="5">
        <v>44030</v>
      </c>
      <c r="B563">
        <v>2.1139999999999999E-2</v>
      </c>
      <c r="C563">
        <v>2.1590000000000002E-2</v>
      </c>
      <c r="D563">
        <v>2.0709999999999999E-2</v>
      </c>
      <c r="E563">
        <v>2.1440000000000001E-2</v>
      </c>
      <c r="F563">
        <v>137162396.69999999</v>
      </c>
      <c r="G563">
        <v>0</v>
      </c>
      <c r="L563" t="s">
        <v>8</v>
      </c>
      <c r="M563" t="s">
        <v>7</v>
      </c>
      <c r="N563" t="s">
        <v>7</v>
      </c>
      <c r="P563">
        <f t="shared" si="984"/>
        <v>0.65909090909090806</v>
      </c>
      <c r="Q563">
        <f t="shared" si="985"/>
        <v>90402488.73409076</v>
      </c>
      <c r="R563">
        <f t="shared" si="986"/>
        <v>-5783359062.3380699</v>
      </c>
      <c r="S563">
        <f t="shared" si="987"/>
        <v>-57833.590623380696</v>
      </c>
      <c r="T563">
        <f t="shared" si="988"/>
        <v>-57.833590623380694</v>
      </c>
      <c r="CZ563" t="s">
        <v>7</v>
      </c>
    </row>
    <row r="564" spans="1:104" x14ac:dyDescent="0.25">
      <c r="A564" s="5">
        <v>44029</v>
      </c>
      <c r="B564">
        <v>2.0889999999999999E-2</v>
      </c>
      <c r="C564">
        <v>2.1829999999999999E-2</v>
      </c>
      <c r="D564">
        <v>2.0670000000000001E-2</v>
      </c>
      <c r="E564">
        <v>2.1139999999999999E-2</v>
      </c>
      <c r="F564">
        <v>207724935.30000001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-0.1896551724137947</v>
      </c>
      <c r="Q564">
        <f t="shared" si="985"/>
        <v>-39396108.418965854</v>
      </c>
      <c r="R564">
        <f t="shared" si="986"/>
        <v>-5873761551.0721607</v>
      </c>
      <c r="S564">
        <f t="shared" si="987"/>
        <v>-58737.615510721604</v>
      </c>
      <c r="T564">
        <f t="shared" si="988"/>
        <v>-58.737615510721604</v>
      </c>
    </row>
    <row r="565" spans="1:104" x14ac:dyDescent="0.25">
      <c r="A565" s="5">
        <v>44028</v>
      </c>
      <c r="B565">
        <v>2.223E-2</v>
      </c>
      <c r="C565">
        <v>2.3109999999999999E-2</v>
      </c>
      <c r="D565">
        <v>1.9949999999999999E-2</v>
      </c>
      <c r="E565">
        <v>2.0910000000000002E-2</v>
      </c>
      <c r="F565">
        <v>411946143.80000001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-0.39240506329113756</v>
      </c>
      <c r="Q565">
        <f t="shared" si="985"/>
        <v>-161649752.63037905</v>
      </c>
      <c r="R565">
        <f t="shared" si="986"/>
        <v>-5834365442.6531944</v>
      </c>
      <c r="S565">
        <f t="shared" si="987"/>
        <v>-58343.654426531946</v>
      </c>
      <c r="T565">
        <f t="shared" si="988"/>
        <v>-58.343654426531948</v>
      </c>
    </row>
    <row r="566" spans="1:104" x14ac:dyDescent="0.25">
      <c r="A566" s="5">
        <v>44027</v>
      </c>
      <c r="B566">
        <v>2.239E-2</v>
      </c>
      <c r="C566">
        <v>2.3779999999999999E-2</v>
      </c>
      <c r="D566">
        <v>2.214E-2</v>
      </c>
      <c r="E566">
        <v>2.223E-2</v>
      </c>
      <c r="F566">
        <v>380121161.80000001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-0.89024390243902463</v>
      </c>
      <c r="Q566">
        <f t="shared" si="985"/>
        <v>-338400546.48048788</v>
      </c>
      <c r="R566">
        <f t="shared" si="986"/>
        <v>-5672715690.0228157</v>
      </c>
      <c r="S566">
        <f t="shared" si="987"/>
        <v>-56727.156900228154</v>
      </c>
      <c r="T566">
        <f t="shared" si="988"/>
        <v>-56.727156900228152</v>
      </c>
    </row>
    <row r="567" spans="1:104" x14ac:dyDescent="0.25">
      <c r="A567" s="5">
        <v>44026</v>
      </c>
      <c r="B567">
        <v>2.2370000000000001E-2</v>
      </c>
      <c r="C567">
        <v>2.2579999999999999E-2</v>
      </c>
      <c r="D567">
        <v>2.103E-2</v>
      </c>
      <c r="E567">
        <v>2.2380000000000001E-2</v>
      </c>
      <c r="F567">
        <v>349608220.89999998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0.74193548387096919</v>
      </c>
      <c r="Q567">
        <f t="shared" si="985"/>
        <v>259386744.53871018</v>
      </c>
      <c r="R567">
        <f t="shared" si="986"/>
        <v>-5334315143.5423279</v>
      </c>
      <c r="S567">
        <f t="shared" si="987"/>
        <v>-53343.151435423279</v>
      </c>
      <c r="T567">
        <f t="shared" si="988"/>
        <v>-53.34315143542328</v>
      </c>
    </row>
    <row r="568" spans="1:104" x14ac:dyDescent="0.25">
      <c r="A568" s="5">
        <v>44025</v>
      </c>
      <c r="B568">
        <v>2.12E-2</v>
      </c>
      <c r="C568">
        <v>2.385E-2</v>
      </c>
      <c r="D568">
        <v>2.1090000000000001E-2</v>
      </c>
      <c r="E568">
        <v>2.2349999999999998E-2</v>
      </c>
      <c r="F568">
        <v>609404804.39999998</v>
      </c>
      <c r="G568">
        <v>0</v>
      </c>
      <c r="L568" t="s">
        <v>8</v>
      </c>
      <c r="M568" t="s">
        <v>8</v>
      </c>
      <c r="N568" t="s">
        <v>7</v>
      </c>
      <c r="P568">
        <f t="shared" si="984"/>
        <v>-8.6956521739131959E-2</v>
      </c>
      <c r="Q568">
        <f t="shared" si="985"/>
        <v>-52991722.121740058</v>
      </c>
      <c r="R568">
        <f t="shared" si="986"/>
        <v>-5593701888.0810385</v>
      </c>
      <c r="S568">
        <f t="shared" si="987"/>
        <v>-55937.018880810385</v>
      </c>
      <c r="T568">
        <f t="shared" si="988"/>
        <v>-55.937018880810385</v>
      </c>
    </row>
    <row r="569" spans="1:104" x14ac:dyDescent="0.25">
      <c r="A569" s="5">
        <v>44024</v>
      </c>
      <c r="B569">
        <v>2.1360000000000001E-2</v>
      </c>
      <c r="C569">
        <v>2.1590000000000002E-2</v>
      </c>
      <c r="D569">
        <v>2.0310000000000002E-2</v>
      </c>
      <c r="E569">
        <v>2.1219999999999999E-2</v>
      </c>
      <c r="F569">
        <v>196072225.30000001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0.42187499999999639</v>
      </c>
      <c r="Q569">
        <f t="shared" si="985"/>
        <v>82717970.048436791</v>
      </c>
      <c r="R569">
        <f t="shared" si="986"/>
        <v>-5540710165.9592981</v>
      </c>
      <c r="S569">
        <f t="shared" si="987"/>
        <v>-55407.101659592983</v>
      </c>
      <c r="T569">
        <f t="shared" si="988"/>
        <v>-55.407101659592982</v>
      </c>
    </row>
    <row r="570" spans="1:104" x14ac:dyDescent="0.25">
      <c r="A570" s="5">
        <v>44023</v>
      </c>
      <c r="B570">
        <v>2.1139999999999999E-2</v>
      </c>
      <c r="C570">
        <v>2.1680000000000001E-2</v>
      </c>
      <c r="D570">
        <v>2.0559999999999998E-2</v>
      </c>
      <c r="E570">
        <v>2.1350000000000001E-2</v>
      </c>
      <c r="F570">
        <v>213658130.09999999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0.41071428571428648</v>
      </c>
      <c r="Q570">
        <f t="shared" si="985"/>
        <v>87752446.291071594</v>
      </c>
      <c r="R570">
        <f t="shared" si="986"/>
        <v>-5623428136.0077353</v>
      </c>
      <c r="S570">
        <f t="shared" si="987"/>
        <v>-56234.281360077352</v>
      </c>
      <c r="T570">
        <f t="shared" si="988"/>
        <v>-56.234281360077354</v>
      </c>
    </row>
    <row r="571" spans="1:104" x14ac:dyDescent="0.25">
      <c r="A571" s="5">
        <v>44022</v>
      </c>
      <c r="B571">
        <v>2.061E-2</v>
      </c>
      <c r="C571">
        <v>2.1499999999999998E-2</v>
      </c>
      <c r="D571">
        <v>2.0070000000000001E-2</v>
      </c>
      <c r="E571">
        <v>2.1149999999999999E-2</v>
      </c>
      <c r="F571">
        <v>228318652.30000001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0.51048951048951008</v>
      </c>
      <c r="Q571">
        <f t="shared" si="985"/>
        <v>116554277.04825166</v>
      </c>
      <c r="R571">
        <f t="shared" si="986"/>
        <v>-5711180582.2988071</v>
      </c>
      <c r="S571">
        <f t="shared" si="987"/>
        <v>-57111.80582298807</v>
      </c>
      <c r="T571">
        <f t="shared" si="988"/>
        <v>-57.111805822988067</v>
      </c>
    </row>
    <row r="572" spans="1:104" x14ac:dyDescent="0.25">
      <c r="A572" s="5">
        <v>44021</v>
      </c>
      <c r="B572">
        <v>2.164E-2</v>
      </c>
      <c r="C572">
        <v>2.1700000000000001E-2</v>
      </c>
      <c r="D572">
        <v>1.968E-2</v>
      </c>
      <c r="E572">
        <v>2.0639999999999999E-2</v>
      </c>
      <c r="F572">
        <v>338793127.10000002</v>
      </c>
      <c r="G572">
        <v>0</v>
      </c>
      <c r="L572" t="s">
        <v>7</v>
      </c>
      <c r="M572" t="s">
        <v>8</v>
      </c>
      <c r="N572" t="s">
        <v>7</v>
      </c>
      <c r="P572">
        <f t="shared" si="984"/>
        <v>-4.9504950495050902E-2</v>
      </c>
      <c r="Q572">
        <f t="shared" si="985"/>
        <v>-16771936.985148989</v>
      </c>
      <c r="R572">
        <f t="shared" si="986"/>
        <v>-5827734859.3470592</v>
      </c>
      <c r="S572">
        <f t="shared" si="987"/>
        <v>-58277.34859347059</v>
      </c>
      <c r="T572">
        <f t="shared" si="988"/>
        <v>-58.277348593470592</v>
      </c>
    </row>
    <row r="573" spans="1:104" x14ac:dyDescent="0.25">
      <c r="A573" s="5">
        <v>44020</v>
      </c>
      <c r="B573">
        <v>2.01E-2</v>
      </c>
      <c r="C573">
        <v>2.1839999999999998E-2</v>
      </c>
      <c r="D573">
        <v>1.9879999999999998E-2</v>
      </c>
      <c r="E573">
        <v>2.164E-2</v>
      </c>
      <c r="F573">
        <v>389290494.89999998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0.79591836734693999</v>
      </c>
      <c r="Q573">
        <f t="shared" si="985"/>
        <v>309843455.12449026</v>
      </c>
      <c r="R573">
        <f t="shared" si="986"/>
        <v>-5810962922.3619099</v>
      </c>
      <c r="S573">
        <f t="shared" si="987"/>
        <v>-58109.6292236191</v>
      </c>
      <c r="T573">
        <f t="shared" si="988"/>
        <v>-58.109629223619102</v>
      </c>
    </row>
    <row r="574" spans="1:104" x14ac:dyDescent="0.25">
      <c r="A574" s="5">
        <v>44019</v>
      </c>
      <c r="B574">
        <v>1.9939999999999999E-2</v>
      </c>
      <c r="C574">
        <v>2.0500000000000001E-2</v>
      </c>
      <c r="D574">
        <v>1.9560000000000001E-2</v>
      </c>
      <c r="E574">
        <v>2.01E-2</v>
      </c>
      <c r="F574">
        <v>216122657.19999999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0.14893617021276359</v>
      </c>
      <c r="Q574">
        <f t="shared" si="985"/>
        <v>32188480.859573957</v>
      </c>
      <c r="R574">
        <f t="shared" si="986"/>
        <v>-6120806377.4863997</v>
      </c>
      <c r="S574">
        <f t="shared" si="987"/>
        <v>-61208.063774863993</v>
      </c>
      <c r="T574">
        <f t="shared" si="988"/>
        <v>-61.208063774863994</v>
      </c>
    </row>
    <row r="575" spans="1:104" x14ac:dyDescent="0.25">
      <c r="A575" s="5">
        <v>44018</v>
      </c>
      <c r="B575">
        <v>1.907E-2</v>
      </c>
      <c r="C575">
        <v>2.009E-2</v>
      </c>
      <c r="D575">
        <v>1.8890000000000001E-2</v>
      </c>
      <c r="E575">
        <v>1.992E-2</v>
      </c>
      <c r="F575">
        <v>176411438.40000001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0.71666666666666656</v>
      </c>
      <c r="Q575">
        <f t="shared" si="985"/>
        <v>126428197.51999998</v>
      </c>
      <c r="R575">
        <f t="shared" si="986"/>
        <v>-6152994858.345974</v>
      </c>
      <c r="S575">
        <f t="shared" si="987"/>
        <v>-61529.948583459736</v>
      </c>
      <c r="T575">
        <f t="shared" si="988"/>
        <v>-61.529948583459735</v>
      </c>
    </row>
    <row r="576" spans="1:104" x14ac:dyDescent="0.25">
      <c r="A576" s="5">
        <v>44017</v>
      </c>
      <c r="B576">
        <v>1.9539999999999998E-2</v>
      </c>
      <c r="C576">
        <v>1.966E-2</v>
      </c>
      <c r="D576">
        <v>1.8630000000000001E-2</v>
      </c>
      <c r="E576">
        <v>1.908E-2</v>
      </c>
      <c r="F576">
        <v>159233813.80000001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-0.12621359223301135</v>
      </c>
      <c r="Q576">
        <f t="shared" si="985"/>
        <v>-20097471.644660458</v>
      </c>
      <c r="R576">
        <f t="shared" si="986"/>
        <v>-6279423055.8659735</v>
      </c>
      <c r="S576">
        <f t="shared" si="987"/>
        <v>-62794.230558659736</v>
      </c>
      <c r="T576">
        <f t="shared" si="988"/>
        <v>-62.794230558659734</v>
      </c>
    </row>
    <row r="577" spans="1:20" x14ac:dyDescent="0.25">
      <c r="A577" s="5">
        <v>44016</v>
      </c>
      <c r="B577">
        <v>1.9210000000000001E-2</v>
      </c>
      <c r="C577">
        <v>1.9599999999999999E-2</v>
      </c>
      <c r="D577">
        <v>1.8960000000000001E-2</v>
      </c>
      <c r="E577">
        <v>1.9550000000000001E-2</v>
      </c>
      <c r="F577">
        <v>104237593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0.84375000000000588</v>
      </c>
      <c r="Q577">
        <f t="shared" si="985"/>
        <v>87950469.093750611</v>
      </c>
      <c r="R577">
        <f t="shared" si="986"/>
        <v>-6259325584.2213135</v>
      </c>
      <c r="S577">
        <f t="shared" si="987"/>
        <v>-62593.255842213133</v>
      </c>
      <c r="T577">
        <f t="shared" si="988"/>
        <v>-62.593255842213132</v>
      </c>
    </row>
    <row r="578" spans="1:20" x14ac:dyDescent="0.25">
      <c r="A578" s="5">
        <v>44015</v>
      </c>
      <c r="B578">
        <v>1.8839999999999999E-2</v>
      </c>
      <c r="C578">
        <v>1.9619999999999999E-2</v>
      </c>
      <c r="D578">
        <v>1.866E-2</v>
      </c>
      <c r="E578">
        <v>1.9230000000000001E-2</v>
      </c>
      <c r="F578">
        <v>188402192.90000001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0.18750000000000339</v>
      </c>
      <c r="Q578">
        <f t="shared" si="985"/>
        <v>35325411.168750636</v>
      </c>
      <c r="R578">
        <f t="shared" si="986"/>
        <v>-6347276053.3150644</v>
      </c>
      <c r="S578">
        <f t="shared" si="987"/>
        <v>-63472.760533150642</v>
      </c>
      <c r="T578">
        <f t="shared" si="988"/>
        <v>-63.472760533150641</v>
      </c>
    </row>
    <row r="579" spans="1:20" x14ac:dyDescent="0.25">
      <c r="A579" s="5">
        <v>44014</v>
      </c>
      <c r="B579">
        <v>1.8689999999999998E-2</v>
      </c>
      <c r="C579">
        <v>1.942E-2</v>
      </c>
      <c r="D579">
        <v>1.8030000000000001E-2</v>
      </c>
      <c r="E579">
        <v>1.8859999999999998E-2</v>
      </c>
      <c r="F579">
        <v>220666054.69999999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0.194244604316544</v>
      </c>
      <c r="Q579">
        <f t="shared" si="985"/>
        <v>42863190.481294349</v>
      </c>
      <c r="R579">
        <f t="shared" si="986"/>
        <v>-6382601464.4838152</v>
      </c>
      <c r="S579">
        <f t="shared" si="987"/>
        <v>-63826.014644838149</v>
      </c>
      <c r="T579">
        <f t="shared" si="988"/>
        <v>-63.826014644838146</v>
      </c>
    </row>
    <row r="580" spans="1:20" x14ac:dyDescent="0.25">
      <c r="A580" s="5">
        <v>44013</v>
      </c>
      <c r="B580">
        <v>1.8970000000000001E-2</v>
      </c>
      <c r="C580">
        <v>1.9650000000000001E-2</v>
      </c>
      <c r="D580">
        <v>1.8519999999999998E-2</v>
      </c>
      <c r="E580">
        <v>1.8689999999999998E-2</v>
      </c>
      <c r="F580">
        <v>291569399.69999999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-0.69911504424778825</v>
      </c>
      <c r="Q580">
        <f t="shared" si="985"/>
        <v>-203840553.77256656</v>
      </c>
      <c r="R580">
        <f t="shared" si="986"/>
        <v>-6425464654.9651098</v>
      </c>
      <c r="S580">
        <f t="shared" si="987"/>
        <v>-64254.646549651101</v>
      </c>
      <c r="T580">
        <f t="shared" si="988"/>
        <v>-64.254646549651099</v>
      </c>
    </row>
    <row r="581" spans="1:20" x14ac:dyDescent="0.25">
      <c r="A581" s="5">
        <v>44012</v>
      </c>
      <c r="B581">
        <v>1.9640000000000001E-2</v>
      </c>
      <c r="C581">
        <v>1.975E-2</v>
      </c>
      <c r="D581">
        <v>1.8780000000000002E-2</v>
      </c>
      <c r="E581">
        <v>1.8950000000000002E-2</v>
      </c>
      <c r="F581">
        <v>132552405.90000001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-0.6494845360824737</v>
      </c>
      <c r="Q581">
        <f t="shared" si="985"/>
        <v>-86090737.852577254</v>
      </c>
      <c r="R581">
        <f t="shared" si="986"/>
        <v>-6221624101.192543</v>
      </c>
      <c r="S581">
        <f t="shared" si="987"/>
        <v>-62216.241011925427</v>
      </c>
      <c r="T581">
        <f t="shared" si="988"/>
        <v>-62.216241011925426</v>
      </c>
    </row>
    <row r="582" spans="1:20" x14ac:dyDescent="0.25">
      <c r="A582" s="5">
        <v>44011</v>
      </c>
      <c r="B582">
        <v>2.0039999999999999E-2</v>
      </c>
      <c r="C582">
        <v>2.0389999999999998E-2</v>
      </c>
      <c r="D582">
        <v>1.8509999999999999E-2</v>
      </c>
      <c r="E582">
        <v>1.9630000000000002E-2</v>
      </c>
      <c r="F582">
        <v>330509492.19999999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0.19148936170213096</v>
      </c>
      <c r="Q582">
        <f t="shared" ref="Q582:Q645" si="990">F582*P582</f>
        <v>63289051.697873428</v>
      </c>
      <c r="R582">
        <f t="shared" ref="R582:R645" si="991">R583+Q582</f>
        <v>-6135533363.3399658</v>
      </c>
      <c r="S582">
        <f t="shared" ref="S582:S645" si="992">R582/100000</f>
        <v>-61355.333633399656</v>
      </c>
      <c r="T582">
        <f t="shared" ref="T582:T645" si="993">S582/1000</f>
        <v>-61.355333633399653</v>
      </c>
    </row>
    <row r="583" spans="1:20" x14ac:dyDescent="0.25">
      <c r="A583" s="5">
        <v>44010</v>
      </c>
      <c r="B583">
        <v>1.934E-2</v>
      </c>
      <c r="C583">
        <v>2.036E-2</v>
      </c>
      <c r="D583">
        <v>1.7749999999999998E-2</v>
      </c>
      <c r="E583">
        <v>2.0029999999999999E-2</v>
      </c>
      <c r="F583">
        <v>275098376.39999998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0.74712643678160895</v>
      </c>
      <c r="Q583">
        <f t="shared" si="990"/>
        <v>205533269.72413784</v>
      </c>
      <c r="R583">
        <f t="shared" si="991"/>
        <v>-6198822415.0378389</v>
      </c>
      <c r="S583">
        <f t="shared" si="992"/>
        <v>-61988.224150378388</v>
      </c>
      <c r="T583">
        <f t="shared" si="993"/>
        <v>-61.988224150378386</v>
      </c>
    </row>
    <row r="584" spans="1:20" x14ac:dyDescent="0.25">
      <c r="A584" s="5">
        <v>44009</v>
      </c>
      <c r="B584">
        <v>2.0830000000000001E-2</v>
      </c>
      <c r="C584">
        <v>2.1229999999999999E-2</v>
      </c>
      <c r="D584">
        <v>1.8749999999999999E-2</v>
      </c>
      <c r="E584">
        <v>1.9349999999999999E-2</v>
      </c>
      <c r="F584">
        <v>269363575.30000001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-0.51612903225806461</v>
      </c>
      <c r="Q584">
        <f t="shared" si="990"/>
        <v>-139026361.44516131</v>
      </c>
      <c r="R584">
        <f t="shared" si="991"/>
        <v>-6404355684.7619772</v>
      </c>
      <c r="S584">
        <f t="shared" si="992"/>
        <v>-64043.556847619773</v>
      </c>
      <c r="T584">
        <f t="shared" si="993"/>
        <v>-64.043556847619769</v>
      </c>
    </row>
    <row r="585" spans="1:20" x14ac:dyDescent="0.25">
      <c r="A585" s="5">
        <v>44008</v>
      </c>
      <c r="B585">
        <v>2.1569999999999999E-2</v>
      </c>
      <c r="C585">
        <v>2.198E-2</v>
      </c>
      <c r="D585">
        <v>2.0549999999999999E-2</v>
      </c>
      <c r="E585">
        <v>2.0809999999999999E-2</v>
      </c>
      <c r="F585">
        <v>250968688.09999999</v>
      </c>
      <c r="G585">
        <v>0</v>
      </c>
      <c r="L585" t="s">
        <v>7</v>
      </c>
      <c r="M585" t="s">
        <v>8</v>
      </c>
      <c r="N585" t="s">
        <v>7</v>
      </c>
      <c r="P585">
        <f t="shared" si="989"/>
        <v>-0.6363636363636368</v>
      </c>
      <c r="Q585">
        <f t="shared" si="990"/>
        <v>-159707346.97272739</v>
      </c>
      <c r="R585">
        <f t="shared" si="991"/>
        <v>-6265329323.3168163</v>
      </c>
      <c r="S585">
        <f t="shared" si="992"/>
        <v>-62653.293233168166</v>
      </c>
      <c r="T585">
        <f t="shared" si="993"/>
        <v>-62.653293233168164</v>
      </c>
    </row>
    <row r="586" spans="1:20" x14ac:dyDescent="0.25">
      <c r="A586" s="5">
        <v>44007</v>
      </c>
      <c r="B586">
        <v>2.2360000000000001E-2</v>
      </c>
      <c r="C586">
        <v>2.24E-2</v>
      </c>
      <c r="D586">
        <v>2.1229999999999999E-2</v>
      </c>
      <c r="E586">
        <v>2.1569999999999999E-2</v>
      </c>
      <c r="F586">
        <v>191290746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-0.4188034188034192</v>
      </c>
      <c r="Q586">
        <f t="shared" si="990"/>
        <v>-80113218.41025649</v>
      </c>
      <c r="R586">
        <f t="shared" si="991"/>
        <v>-6105621976.3440886</v>
      </c>
      <c r="S586">
        <f t="shared" si="992"/>
        <v>-61056.219763440888</v>
      </c>
      <c r="T586">
        <f t="shared" si="993"/>
        <v>-61.056219763440886</v>
      </c>
    </row>
    <row r="587" spans="1:20" x14ac:dyDescent="0.25">
      <c r="A587" s="5">
        <v>44006</v>
      </c>
      <c r="B587">
        <v>2.2630000000000001E-2</v>
      </c>
      <c r="C587">
        <v>2.274E-2</v>
      </c>
      <c r="D587">
        <v>2.138E-2</v>
      </c>
      <c r="E587">
        <v>2.239E-2</v>
      </c>
      <c r="F587">
        <v>278347442.39999998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0.48529411764705943</v>
      </c>
      <c r="Q587">
        <f t="shared" si="990"/>
        <v>135080376.45882368</v>
      </c>
      <c r="R587">
        <f t="shared" si="991"/>
        <v>-6025508757.9338322</v>
      </c>
      <c r="S587">
        <f t="shared" si="992"/>
        <v>-60255.087579338324</v>
      </c>
      <c r="T587">
        <f t="shared" si="993"/>
        <v>-60.255087579338323</v>
      </c>
    </row>
    <row r="588" spans="1:20" x14ac:dyDescent="0.25">
      <c r="A588" s="5">
        <v>44005</v>
      </c>
      <c r="B588">
        <v>2.2249999999999999E-2</v>
      </c>
      <c r="C588">
        <v>2.298E-2</v>
      </c>
      <c r="D588">
        <v>2.1700000000000001E-2</v>
      </c>
      <c r="E588">
        <v>2.2610000000000002E-2</v>
      </c>
      <c r="F588">
        <v>247829918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0.42187500000000183</v>
      </c>
      <c r="Q588">
        <f t="shared" si="990"/>
        <v>104553246.65625045</v>
      </c>
      <c r="R588">
        <f t="shared" si="991"/>
        <v>-6160589134.3926554</v>
      </c>
      <c r="S588">
        <f t="shared" si="992"/>
        <v>-61605.891343926553</v>
      </c>
      <c r="T588">
        <f t="shared" si="993"/>
        <v>-61.605891343926551</v>
      </c>
    </row>
    <row r="589" spans="1:20" x14ac:dyDescent="0.25">
      <c r="A589" s="5">
        <v>44004</v>
      </c>
      <c r="B589">
        <v>2.137E-2</v>
      </c>
      <c r="C589">
        <v>2.248E-2</v>
      </c>
      <c r="D589">
        <v>2.1219999999999999E-2</v>
      </c>
      <c r="E589">
        <v>2.2210000000000001E-2</v>
      </c>
      <c r="F589">
        <v>323361504.30000001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0.57142857142857262</v>
      </c>
      <c r="Q589">
        <f t="shared" si="990"/>
        <v>184778002.45714325</v>
      </c>
      <c r="R589">
        <f t="shared" si="991"/>
        <v>-6265142381.0489054</v>
      </c>
      <c r="S589">
        <f t="shared" si="992"/>
        <v>-62651.423810489054</v>
      </c>
      <c r="T589">
        <f t="shared" si="993"/>
        <v>-62.651423810489057</v>
      </c>
    </row>
    <row r="590" spans="1:20" x14ac:dyDescent="0.25">
      <c r="A590" s="5">
        <v>44003</v>
      </c>
      <c r="B590">
        <v>2.2599999999999999E-2</v>
      </c>
      <c r="C590">
        <v>2.3E-2</v>
      </c>
      <c r="D590">
        <v>2.1219999999999999E-2</v>
      </c>
      <c r="E590">
        <v>2.137E-2</v>
      </c>
      <c r="F590">
        <v>454445118.69999999</v>
      </c>
      <c r="G590">
        <v>0</v>
      </c>
      <c r="L590" t="s">
        <v>8</v>
      </c>
      <c r="M590" t="s">
        <v>8</v>
      </c>
      <c r="N590" t="s">
        <v>7</v>
      </c>
      <c r="P590">
        <f t="shared" si="989"/>
        <v>-0.83146067415730252</v>
      </c>
      <c r="Q590">
        <f t="shared" si="990"/>
        <v>-377853244.76179737</v>
      </c>
      <c r="R590">
        <f t="shared" si="991"/>
        <v>-6449920383.5060482</v>
      </c>
      <c r="S590">
        <f t="shared" si="992"/>
        <v>-64499.203835060485</v>
      </c>
      <c r="T590">
        <f t="shared" si="993"/>
        <v>-64.499203835060484</v>
      </c>
    </row>
    <row r="591" spans="1:20" x14ac:dyDescent="0.25">
      <c r="A591" s="5">
        <v>44002</v>
      </c>
      <c r="B591">
        <v>2.026E-2</v>
      </c>
      <c r="C591">
        <v>2.2689999999999998E-2</v>
      </c>
      <c r="D591">
        <v>2.0199999999999999E-2</v>
      </c>
      <c r="E591">
        <v>2.2589999999999999E-2</v>
      </c>
      <c r="F591">
        <v>488381253</v>
      </c>
      <c r="G591">
        <v>0</v>
      </c>
      <c r="L591" t="s">
        <v>8</v>
      </c>
      <c r="M591" t="s">
        <v>8</v>
      </c>
      <c r="N591" t="s">
        <v>7</v>
      </c>
      <c r="P591">
        <f t="shared" si="989"/>
        <v>0.9196787148594382</v>
      </c>
      <c r="Q591">
        <f t="shared" si="990"/>
        <v>449153843.12048215</v>
      </c>
      <c r="R591">
        <f t="shared" si="991"/>
        <v>-6072067138.7442513</v>
      </c>
      <c r="S591">
        <f t="shared" si="992"/>
        <v>-60720.671387442511</v>
      </c>
      <c r="T591">
        <f t="shared" si="993"/>
        <v>-60.720671387442515</v>
      </c>
    </row>
    <row r="592" spans="1:20" x14ac:dyDescent="0.25">
      <c r="A592" s="5">
        <v>44001</v>
      </c>
      <c r="B592">
        <v>2.0410000000000001E-2</v>
      </c>
      <c r="C592">
        <v>2.0809999999999999E-2</v>
      </c>
      <c r="D592">
        <v>1.985E-2</v>
      </c>
      <c r="E592">
        <v>2.027E-2</v>
      </c>
      <c r="F592">
        <v>179079796.90000001</v>
      </c>
      <c r="G592">
        <v>0</v>
      </c>
      <c r="L592" t="s">
        <v>8</v>
      </c>
      <c r="M592" t="s">
        <v>7</v>
      </c>
      <c r="N592" t="s">
        <v>7</v>
      </c>
      <c r="P592">
        <f t="shared" si="989"/>
        <v>-0.12499999999999864</v>
      </c>
      <c r="Q592">
        <f t="shared" si="990"/>
        <v>-22384974.612499759</v>
      </c>
      <c r="R592">
        <f t="shared" si="991"/>
        <v>-6521220981.8647337</v>
      </c>
      <c r="S592">
        <f t="shared" si="992"/>
        <v>-65212.209818647338</v>
      </c>
      <c r="T592">
        <f t="shared" si="993"/>
        <v>-65.212209818647338</v>
      </c>
    </row>
    <row r="593" spans="1:20" x14ac:dyDescent="0.25">
      <c r="A593" s="5">
        <v>44000</v>
      </c>
      <c r="B593">
        <v>2.0719999999999999E-2</v>
      </c>
      <c r="C593">
        <v>2.077E-2</v>
      </c>
      <c r="D593">
        <v>2.0029999999999999E-2</v>
      </c>
      <c r="E593">
        <v>2.0410000000000001E-2</v>
      </c>
      <c r="F593">
        <v>164829825</v>
      </c>
      <c r="G593">
        <v>0</v>
      </c>
      <c r="L593" t="s">
        <v>8</v>
      </c>
      <c r="M593" t="s">
        <v>7</v>
      </c>
      <c r="N593" t="s">
        <v>7</v>
      </c>
      <c r="P593">
        <f t="shared" si="989"/>
        <v>2.7027027027030574E-2</v>
      </c>
      <c r="Q593">
        <f t="shared" si="990"/>
        <v>4454860.1351357196</v>
      </c>
      <c r="R593">
        <f t="shared" si="991"/>
        <v>-6498836007.2522335</v>
      </c>
      <c r="S593">
        <f t="shared" si="992"/>
        <v>-64988.360072522337</v>
      </c>
      <c r="T593">
        <f t="shared" si="993"/>
        <v>-64.98836007252234</v>
      </c>
    </row>
    <row r="594" spans="1:20" x14ac:dyDescent="0.25">
      <c r="A594" s="5">
        <v>43999</v>
      </c>
      <c r="B594">
        <v>2.061E-2</v>
      </c>
      <c r="C594">
        <v>2.1399999999999999E-2</v>
      </c>
      <c r="D594">
        <v>1.9980000000000001E-2</v>
      </c>
      <c r="E594">
        <v>2.0729999999999998E-2</v>
      </c>
      <c r="F594">
        <v>262324436.09999999</v>
      </c>
      <c r="G594">
        <v>0</v>
      </c>
      <c r="L594" t="s">
        <v>8</v>
      </c>
      <c r="M594" t="s">
        <v>7</v>
      </c>
      <c r="N594" t="s">
        <v>7</v>
      </c>
      <c r="P594">
        <f t="shared" si="989"/>
        <v>5.6338028169011879E-2</v>
      </c>
      <c r="Q594">
        <f t="shared" si="990"/>
        <v>14778841.470421957</v>
      </c>
      <c r="R594">
        <f t="shared" si="991"/>
        <v>-6503290867.3873692</v>
      </c>
      <c r="S594">
        <f t="shared" si="992"/>
        <v>-65032.908673873695</v>
      </c>
      <c r="T594">
        <f t="shared" si="993"/>
        <v>-65.032908673873692</v>
      </c>
    </row>
    <row r="595" spans="1:20" x14ac:dyDescent="0.25">
      <c r="A595" s="5">
        <v>43998</v>
      </c>
      <c r="B595">
        <v>2.0400000000000001E-2</v>
      </c>
      <c r="C595">
        <v>2.0840000000000001E-2</v>
      </c>
      <c r="D595">
        <v>1.9890000000000001E-2</v>
      </c>
      <c r="E595">
        <v>2.06E-2</v>
      </c>
      <c r="F595">
        <v>192027676.90000001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0.49473684210526153</v>
      </c>
      <c r="Q595">
        <f t="shared" si="990"/>
        <v>95003166.466315478</v>
      </c>
      <c r="R595">
        <f t="shared" si="991"/>
        <v>-6518069708.8577909</v>
      </c>
      <c r="S595">
        <f t="shared" si="992"/>
        <v>-65180.697088577908</v>
      </c>
      <c r="T595">
        <f t="shared" si="993"/>
        <v>-65.180697088577915</v>
      </c>
    </row>
    <row r="596" spans="1:20" x14ac:dyDescent="0.25">
      <c r="A596" s="5">
        <v>43997</v>
      </c>
      <c r="B596">
        <v>2.0570000000000001E-2</v>
      </c>
      <c r="C596">
        <v>2.06E-2</v>
      </c>
      <c r="D596">
        <v>1.8769999999999998E-2</v>
      </c>
      <c r="E596">
        <v>2.0400000000000001E-2</v>
      </c>
      <c r="F596">
        <v>354470772.89999998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0.78142076502732394</v>
      </c>
      <c r="Q596">
        <f t="shared" si="990"/>
        <v>276990822.53934479</v>
      </c>
      <c r="R596">
        <f t="shared" si="991"/>
        <v>-6613072875.3241062</v>
      </c>
      <c r="S596">
        <f t="shared" si="992"/>
        <v>-66130.728753241056</v>
      </c>
      <c r="T596">
        <f t="shared" si="993"/>
        <v>-66.130728753241058</v>
      </c>
    </row>
    <row r="597" spans="1:20" x14ac:dyDescent="0.25">
      <c r="A597" s="5">
        <v>43996</v>
      </c>
      <c r="B597">
        <v>2.0660000000000001E-2</v>
      </c>
      <c r="C597">
        <v>2.1399999999999999E-2</v>
      </c>
      <c r="D597">
        <v>2.0240000000000001E-2</v>
      </c>
      <c r="E597">
        <v>2.0559999999999998E-2</v>
      </c>
      <c r="F597">
        <v>292442091</v>
      </c>
      <c r="G597">
        <v>0</v>
      </c>
      <c r="L597" t="s">
        <v>8</v>
      </c>
      <c r="M597" t="s">
        <v>7</v>
      </c>
      <c r="N597" t="s">
        <v>7</v>
      </c>
      <c r="P597">
        <f t="shared" si="989"/>
        <v>-0.44827586206896902</v>
      </c>
      <c r="Q597">
        <f t="shared" si="990"/>
        <v>-131094730.44827689</v>
      </c>
      <c r="R597">
        <f t="shared" si="991"/>
        <v>-6890063697.863451</v>
      </c>
      <c r="S597">
        <f t="shared" si="992"/>
        <v>-68900.636978634517</v>
      </c>
      <c r="T597">
        <f t="shared" si="993"/>
        <v>-68.900636978634523</v>
      </c>
    </row>
    <row r="598" spans="1:20" x14ac:dyDescent="0.25">
      <c r="A598" s="5">
        <v>43995</v>
      </c>
      <c r="B598">
        <v>2.0469999999999999E-2</v>
      </c>
      <c r="C598">
        <v>2.0760000000000001E-2</v>
      </c>
      <c r="D598">
        <v>2.0310000000000002E-2</v>
      </c>
      <c r="E598">
        <v>2.0660000000000001E-2</v>
      </c>
      <c r="F598">
        <v>156752862.90000001</v>
      </c>
      <c r="G598">
        <v>0</v>
      </c>
      <c r="L598" t="s">
        <v>8</v>
      </c>
      <c r="M598" t="s">
        <v>7</v>
      </c>
      <c r="N598" t="s">
        <v>7</v>
      </c>
      <c r="P598">
        <f t="shared" si="989"/>
        <v>0.55555555555555725</v>
      </c>
      <c r="Q598">
        <f t="shared" si="990"/>
        <v>87084923.833333597</v>
      </c>
      <c r="R598">
        <f t="shared" si="991"/>
        <v>-6758968967.4151745</v>
      </c>
      <c r="S598">
        <f t="shared" si="992"/>
        <v>-67589.689674151741</v>
      </c>
      <c r="T598">
        <f t="shared" si="993"/>
        <v>-67.589689674151742</v>
      </c>
    </row>
    <row r="599" spans="1:20" x14ac:dyDescent="0.25">
      <c r="A599" s="5">
        <v>43994</v>
      </c>
      <c r="B599">
        <v>1.9650000000000001E-2</v>
      </c>
      <c r="C599">
        <v>2.0570000000000001E-2</v>
      </c>
      <c r="D599">
        <v>1.95E-2</v>
      </c>
      <c r="E599">
        <v>2.0469999999999999E-2</v>
      </c>
      <c r="F599">
        <v>201256801.90000001</v>
      </c>
      <c r="G599">
        <v>0</v>
      </c>
      <c r="L599" t="s">
        <v>7</v>
      </c>
      <c r="M599" t="s">
        <v>7</v>
      </c>
      <c r="N599" t="s">
        <v>7</v>
      </c>
      <c r="P599">
        <f t="shared" si="989"/>
        <v>0.81308411214952758</v>
      </c>
      <c r="Q599">
        <f t="shared" si="990"/>
        <v>163638708.08691487</v>
      </c>
      <c r="R599">
        <f t="shared" si="991"/>
        <v>-6846053891.2485085</v>
      </c>
      <c r="S599">
        <f t="shared" si="992"/>
        <v>-68460.538912485092</v>
      </c>
      <c r="T599">
        <f t="shared" si="993"/>
        <v>-68.460538912485092</v>
      </c>
    </row>
    <row r="600" spans="1:20" x14ac:dyDescent="0.25">
      <c r="A600" s="5">
        <v>43993</v>
      </c>
      <c r="B600">
        <v>2.128E-2</v>
      </c>
      <c r="C600">
        <v>2.196E-2</v>
      </c>
      <c r="D600">
        <v>1.925E-2</v>
      </c>
      <c r="E600">
        <v>1.9619999999999999E-2</v>
      </c>
      <c r="F600">
        <v>452116049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-0.72693726937269465</v>
      </c>
      <c r="Q600">
        <f t="shared" si="990"/>
        <v>-328660006.09963143</v>
      </c>
      <c r="R600">
        <f t="shared" si="991"/>
        <v>-7009692599.3354235</v>
      </c>
      <c r="S600">
        <f t="shared" si="992"/>
        <v>-70096.925993354234</v>
      </c>
      <c r="T600">
        <f t="shared" si="993"/>
        <v>-70.096925993354233</v>
      </c>
    </row>
    <row r="601" spans="1:20" x14ac:dyDescent="0.25">
      <c r="A601" s="5">
        <v>43992</v>
      </c>
      <c r="B601">
        <v>2.0150000000000001E-2</v>
      </c>
      <c r="C601">
        <v>2.189E-2</v>
      </c>
      <c r="D601">
        <v>2.0119999999999999E-2</v>
      </c>
      <c r="E601">
        <v>2.129E-2</v>
      </c>
      <c r="F601">
        <v>520031923.69999999</v>
      </c>
      <c r="G601">
        <v>0</v>
      </c>
      <c r="L601" t="s">
        <v>8</v>
      </c>
      <c r="M601" t="s">
        <v>7</v>
      </c>
      <c r="N601" t="s">
        <v>7</v>
      </c>
      <c r="P601">
        <f t="shared" si="989"/>
        <v>0.32203389830508522</v>
      </c>
      <c r="Q601">
        <f t="shared" si="990"/>
        <v>167467907.63220364</v>
      </c>
      <c r="R601">
        <f t="shared" si="991"/>
        <v>-6681032593.2357922</v>
      </c>
      <c r="S601">
        <f t="shared" si="992"/>
        <v>-66810.325932357926</v>
      </c>
      <c r="T601">
        <f t="shared" si="993"/>
        <v>-66.810325932357927</v>
      </c>
    </row>
    <row r="602" spans="1:20" x14ac:dyDescent="0.25">
      <c r="A602" s="5">
        <v>43991</v>
      </c>
      <c r="B602">
        <v>2.0320000000000001E-2</v>
      </c>
      <c r="C602">
        <v>2.0449999999999999E-2</v>
      </c>
      <c r="D602">
        <v>2.002E-2</v>
      </c>
      <c r="E602">
        <v>2.0150000000000001E-2</v>
      </c>
      <c r="F602">
        <v>135621427.5</v>
      </c>
      <c r="G602">
        <v>0</v>
      </c>
      <c r="L602" t="s">
        <v>7</v>
      </c>
      <c r="M602" t="s">
        <v>7</v>
      </c>
      <c r="N602" t="s">
        <v>7</v>
      </c>
      <c r="P602">
        <f t="shared" si="989"/>
        <v>-0.39534883720929442</v>
      </c>
      <c r="Q602">
        <f t="shared" si="990"/>
        <v>-53617773.662789628</v>
      </c>
      <c r="R602">
        <f t="shared" si="991"/>
        <v>-6848500500.8679962</v>
      </c>
      <c r="S602">
        <f t="shared" si="992"/>
        <v>-68485.00500867996</v>
      </c>
      <c r="T602">
        <f t="shared" si="993"/>
        <v>-68.485005008679963</v>
      </c>
    </row>
    <row r="603" spans="1:20" x14ac:dyDescent="0.25">
      <c r="A603" s="5">
        <v>43990</v>
      </c>
      <c r="B603">
        <v>2.0320000000000001E-2</v>
      </c>
      <c r="C603">
        <v>2.0719999999999999E-2</v>
      </c>
      <c r="D603">
        <v>0.02</v>
      </c>
      <c r="E603">
        <v>2.0320000000000001E-2</v>
      </c>
      <c r="F603">
        <v>164298887.30000001</v>
      </c>
      <c r="G603">
        <v>0</v>
      </c>
      <c r="L603" t="s">
        <v>7</v>
      </c>
      <c r="M603" t="s">
        <v>7</v>
      </c>
      <c r="N603" t="s">
        <v>7</v>
      </c>
      <c r="P603">
        <f t="shared" si="989"/>
        <v>-0.11111111111110683</v>
      </c>
      <c r="Q603">
        <f t="shared" si="990"/>
        <v>-18255431.922221519</v>
      </c>
      <c r="R603">
        <f t="shared" si="991"/>
        <v>-6794882727.2052069</v>
      </c>
      <c r="S603">
        <f t="shared" si="992"/>
        <v>-67948.827272052062</v>
      </c>
      <c r="T603">
        <f t="shared" si="993"/>
        <v>-67.948827272052057</v>
      </c>
    </row>
    <row r="604" spans="1:20" x14ac:dyDescent="0.25">
      <c r="A604" s="5">
        <v>43989</v>
      </c>
      <c r="B604">
        <v>2.0650000000000002E-2</v>
      </c>
      <c r="C604">
        <v>2.0760000000000001E-2</v>
      </c>
      <c r="D604">
        <v>1.9519999999999999E-2</v>
      </c>
      <c r="E604">
        <v>2.0310000000000002E-2</v>
      </c>
      <c r="F604">
        <v>312933693.5</v>
      </c>
      <c r="G604">
        <v>0</v>
      </c>
      <c r="L604" t="s">
        <v>7</v>
      </c>
      <c r="M604" t="s">
        <v>7</v>
      </c>
      <c r="N604" t="s">
        <v>7</v>
      </c>
      <c r="P604">
        <f t="shared" si="989"/>
        <v>0.27419354838709925</v>
      </c>
      <c r="Q604">
        <f t="shared" si="990"/>
        <v>85804399.830645934</v>
      </c>
      <c r="R604">
        <f t="shared" si="991"/>
        <v>-6776627295.2829857</v>
      </c>
      <c r="S604">
        <f t="shared" si="992"/>
        <v>-67766.272952829851</v>
      </c>
      <c r="T604">
        <f t="shared" si="993"/>
        <v>-67.766272952829851</v>
      </c>
    </row>
    <row r="605" spans="1:20" x14ac:dyDescent="0.25">
      <c r="A605" s="5">
        <v>43988</v>
      </c>
      <c r="B605">
        <v>2.0619999999999999E-2</v>
      </c>
      <c r="C605">
        <v>2.0920000000000001E-2</v>
      </c>
      <c r="D605">
        <v>2.0129999999999999E-2</v>
      </c>
      <c r="E605">
        <v>2.0670000000000001E-2</v>
      </c>
      <c r="F605">
        <v>249854271.5</v>
      </c>
      <c r="G605">
        <v>0</v>
      </c>
      <c r="L605" t="s">
        <v>7</v>
      </c>
      <c r="M605" t="s">
        <v>7</v>
      </c>
      <c r="N605" t="s">
        <v>7</v>
      </c>
      <c r="P605">
        <f t="shared" si="989"/>
        <v>0.36708860759493817</v>
      </c>
      <c r="Q605">
        <f t="shared" si="990"/>
        <v>91718656.626582637</v>
      </c>
      <c r="R605">
        <f t="shared" si="991"/>
        <v>-6862431695.1136312</v>
      </c>
      <c r="S605">
        <f t="shared" si="992"/>
        <v>-68624.316951136308</v>
      </c>
      <c r="T605">
        <f t="shared" si="993"/>
        <v>-68.624316951136308</v>
      </c>
    </row>
    <row r="606" spans="1:20" x14ac:dyDescent="0.25">
      <c r="A606" s="5">
        <v>43987</v>
      </c>
      <c r="B606">
        <v>2.1700000000000001E-2</v>
      </c>
      <c r="C606">
        <v>2.1950000000000001E-2</v>
      </c>
      <c r="D606">
        <v>1.9820000000000001E-2</v>
      </c>
      <c r="E606">
        <v>2.061E-2</v>
      </c>
      <c r="F606">
        <v>365558469.80000001</v>
      </c>
      <c r="G606">
        <v>0</v>
      </c>
      <c r="L606" t="s">
        <v>7</v>
      </c>
      <c r="M606" t="s">
        <v>7</v>
      </c>
      <c r="N606" t="s">
        <v>7</v>
      </c>
      <c r="P606">
        <f t="shared" si="989"/>
        <v>-0.25821596244131545</v>
      </c>
      <c r="Q606">
        <f t="shared" si="990"/>
        <v>-94393032.107981548</v>
      </c>
      <c r="R606">
        <f t="shared" si="991"/>
        <v>-6954150351.7402143</v>
      </c>
      <c r="S606">
        <f t="shared" si="992"/>
        <v>-69541.503517402147</v>
      </c>
      <c r="T606">
        <f t="shared" si="993"/>
        <v>-69.541503517402148</v>
      </c>
    </row>
    <row r="607" spans="1:20" x14ac:dyDescent="0.25">
      <c r="A607" s="5">
        <v>43986</v>
      </c>
      <c r="B607">
        <v>2.164E-2</v>
      </c>
      <c r="C607">
        <v>2.2159999999999999E-2</v>
      </c>
      <c r="D607">
        <v>2.061E-2</v>
      </c>
      <c r="E607">
        <v>2.172E-2</v>
      </c>
      <c r="F607">
        <v>455347855.89999998</v>
      </c>
      <c r="G607">
        <v>0</v>
      </c>
      <c r="L607" t="s">
        <v>7</v>
      </c>
      <c r="M607" t="s">
        <v>7</v>
      </c>
      <c r="N607" t="s">
        <v>7</v>
      </c>
      <c r="P607">
        <f t="shared" si="989"/>
        <v>0.43225806451612953</v>
      </c>
      <c r="Q607">
        <f t="shared" si="990"/>
        <v>196827782.87290344</v>
      </c>
      <c r="R607">
        <f t="shared" si="991"/>
        <v>-6859757319.6322327</v>
      </c>
      <c r="S607">
        <f t="shared" si="992"/>
        <v>-68597.573196322322</v>
      </c>
      <c r="T607">
        <f t="shared" si="993"/>
        <v>-68.597573196322315</v>
      </c>
    </row>
    <row r="608" spans="1:20" x14ac:dyDescent="0.25">
      <c r="A608" s="5">
        <v>43985</v>
      </c>
      <c r="B608">
        <v>2.0799999999999999E-2</v>
      </c>
      <c r="C608">
        <v>2.1919999999999999E-2</v>
      </c>
      <c r="D608">
        <v>2.0250000000000001E-2</v>
      </c>
      <c r="E608">
        <v>2.164E-2</v>
      </c>
      <c r="F608">
        <v>385143570.60000002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0.66467065868263553</v>
      </c>
      <c r="Q608">
        <f t="shared" si="990"/>
        <v>255993630.75808415</v>
      </c>
      <c r="R608">
        <f t="shared" si="991"/>
        <v>-7056585102.5051365</v>
      </c>
      <c r="S608">
        <f t="shared" si="992"/>
        <v>-70565.851025051365</v>
      </c>
      <c r="T608">
        <f t="shared" si="993"/>
        <v>-70.565851025051359</v>
      </c>
    </row>
    <row r="609" spans="1:20" x14ac:dyDescent="0.25">
      <c r="A609" s="5">
        <v>43984</v>
      </c>
      <c r="B609">
        <v>2.1780000000000001E-2</v>
      </c>
      <c r="C609">
        <v>2.2540000000000001E-2</v>
      </c>
      <c r="D609">
        <v>1.9699999999999999E-2</v>
      </c>
      <c r="E609">
        <v>2.0809999999999999E-2</v>
      </c>
      <c r="F609">
        <v>747702529.89999998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-0.21830985915493029</v>
      </c>
      <c r="Q609">
        <f t="shared" si="990"/>
        <v>-163230833.99225405</v>
      </c>
      <c r="R609">
        <f t="shared" si="991"/>
        <v>-7312578733.2632208</v>
      </c>
      <c r="S609">
        <f t="shared" si="992"/>
        <v>-73125.787332632215</v>
      </c>
      <c r="T609">
        <f t="shared" si="993"/>
        <v>-73.125787332632214</v>
      </c>
    </row>
    <row r="610" spans="1:20" x14ac:dyDescent="0.25">
      <c r="A610" s="5">
        <v>43983</v>
      </c>
      <c r="B610">
        <v>2.0490000000000001E-2</v>
      </c>
      <c r="C610">
        <v>2.2700000000000001E-2</v>
      </c>
      <c r="D610">
        <v>2.027E-2</v>
      </c>
      <c r="E610">
        <v>2.1780000000000001E-2</v>
      </c>
      <c r="F610">
        <v>888397657.29999995</v>
      </c>
      <c r="G610">
        <v>0</v>
      </c>
      <c r="L610" t="s">
        <v>8</v>
      </c>
      <c r="M610" t="s">
        <v>7</v>
      </c>
      <c r="N610" t="s">
        <v>7</v>
      </c>
      <c r="P610">
        <f t="shared" si="989"/>
        <v>0.24279835390946497</v>
      </c>
      <c r="Q610">
        <f t="shared" si="990"/>
        <v>215701488.80946496</v>
      </c>
      <c r="R610">
        <f t="shared" si="991"/>
        <v>-7149347899.2709665</v>
      </c>
      <c r="S610">
        <f t="shared" si="992"/>
        <v>-71493.478992709672</v>
      </c>
      <c r="T610">
        <f t="shared" si="993"/>
        <v>-71.493478992709669</v>
      </c>
    </row>
    <row r="611" spans="1:20" x14ac:dyDescent="0.25">
      <c r="A611" s="5">
        <v>43982</v>
      </c>
      <c r="B611">
        <v>2.4129999999999999E-2</v>
      </c>
      <c r="C611">
        <v>2.4910000000000002E-2</v>
      </c>
      <c r="D611">
        <v>1.9529999999999999E-2</v>
      </c>
      <c r="E611">
        <v>2.0480000000000002E-2</v>
      </c>
      <c r="F611">
        <v>1227741822.0999999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-0.64684014869888384</v>
      </c>
      <c r="Q611">
        <f t="shared" si="990"/>
        <v>-794152702.77100253</v>
      </c>
      <c r="R611">
        <f t="shared" si="991"/>
        <v>-7365049388.0804319</v>
      </c>
      <c r="S611">
        <f t="shared" si="992"/>
        <v>-73650.493880804323</v>
      </c>
      <c r="T611">
        <f t="shared" si="993"/>
        <v>-73.650493880804319</v>
      </c>
    </row>
    <row r="612" spans="1:20" x14ac:dyDescent="0.25">
      <c r="A612" s="5">
        <v>43981</v>
      </c>
      <c r="B612">
        <v>2.589E-2</v>
      </c>
      <c r="C612">
        <v>2.589E-2</v>
      </c>
      <c r="D612">
        <v>2.3E-2</v>
      </c>
      <c r="E612">
        <v>2.4119999999999999E-2</v>
      </c>
      <c r="F612">
        <v>694494451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-0.224913494809689</v>
      </c>
      <c r="Q612">
        <f t="shared" si="990"/>
        <v>-156201174.10034633</v>
      </c>
      <c r="R612">
        <f t="shared" si="991"/>
        <v>-6570896685.3094292</v>
      </c>
      <c r="S612">
        <f t="shared" si="992"/>
        <v>-65708.966853094287</v>
      </c>
      <c r="T612">
        <f t="shared" si="993"/>
        <v>-65.708966853094282</v>
      </c>
    </row>
    <row r="613" spans="1:20" x14ac:dyDescent="0.25">
      <c r="A613" s="5">
        <v>43980</v>
      </c>
      <c r="B613">
        <v>2.5190000000000001E-2</v>
      </c>
      <c r="C613">
        <v>2.6950000000000002E-2</v>
      </c>
      <c r="D613">
        <v>2.4760000000000001E-2</v>
      </c>
      <c r="E613">
        <v>2.588E-2</v>
      </c>
      <c r="F613">
        <v>605050160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2.2831050228309561E-2</v>
      </c>
      <c r="Q613">
        <f t="shared" si="990"/>
        <v>13813930.593606737</v>
      </c>
      <c r="R613">
        <f t="shared" si="991"/>
        <v>-6414695511.2090826</v>
      </c>
      <c r="S613">
        <f t="shared" si="992"/>
        <v>-64146.955112090829</v>
      </c>
      <c r="T613">
        <f t="shared" si="993"/>
        <v>-64.146955112090822</v>
      </c>
    </row>
    <row r="614" spans="1:20" x14ac:dyDescent="0.25">
      <c r="A614" s="5">
        <v>43979</v>
      </c>
      <c r="B614">
        <v>2.4410000000000001E-2</v>
      </c>
      <c r="C614">
        <v>2.6679999999999999E-2</v>
      </c>
      <c r="D614">
        <v>2.3820000000000001E-2</v>
      </c>
      <c r="E614">
        <v>2.5180000000000001E-2</v>
      </c>
      <c r="F614">
        <v>701990008.79999995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-4.8951048951048202E-2</v>
      </c>
      <c r="Q614">
        <f t="shared" si="990"/>
        <v>-34363147.283915557</v>
      </c>
      <c r="R614">
        <f t="shared" si="991"/>
        <v>-6428509441.8026896</v>
      </c>
      <c r="S614">
        <f t="shared" si="992"/>
        <v>-64285.094418026893</v>
      </c>
      <c r="T614">
        <f t="shared" si="993"/>
        <v>-64.285094418026887</v>
      </c>
    </row>
    <row r="615" spans="1:20" x14ac:dyDescent="0.25">
      <c r="A615" s="5">
        <v>43978</v>
      </c>
      <c r="B615">
        <v>2.5819999999999999E-2</v>
      </c>
      <c r="C615">
        <v>2.649E-2</v>
      </c>
      <c r="D615">
        <v>2.3619999999999999E-2</v>
      </c>
      <c r="E615">
        <v>2.4400000000000002E-2</v>
      </c>
      <c r="F615">
        <v>1230182337.4000001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-0.45644599303135702</v>
      </c>
      <c r="Q615">
        <f t="shared" si="990"/>
        <v>-561511798.60417891</v>
      </c>
      <c r="R615">
        <f t="shared" si="991"/>
        <v>-6394146294.518774</v>
      </c>
      <c r="S615">
        <f t="shared" si="992"/>
        <v>-63941.462945187741</v>
      </c>
      <c r="T615">
        <f t="shared" si="993"/>
        <v>-63.941462945187737</v>
      </c>
    </row>
    <row r="616" spans="1:20" x14ac:dyDescent="0.25">
      <c r="A616" s="5">
        <v>43977</v>
      </c>
      <c r="B616">
        <v>2.1319999999999999E-2</v>
      </c>
      <c r="C616">
        <v>2.6890000000000001E-2</v>
      </c>
      <c r="D616">
        <v>2.1139999999999999E-2</v>
      </c>
      <c r="E616">
        <v>2.5819999999999999E-2</v>
      </c>
      <c r="F616">
        <v>1251730829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0.62782608695652131</v>
      </c>
      <c r="Q616">
        <f t="shared" si="990"/>
        <v>785869268.29391253</v>
      </c>
      <c r="R616">
        <f t="shared" si="991"/>
        <v>-5832634495.9145956</v>
      </c>
      <c r="S616">
        <f t="shared" si="992"/>
        <v>-58326.344959145958</v>
      </c>
      <c r="T616">
        <f t="shared" si="993"/>
        <v>-58.326344959145956</v>
      </c>
    </row>
    <row r="617" spans="1:20" x14ac:dyDescent="0.25">
      <c r="A617" s="5">
        <v>43976</v>
      </c>
      <c r="B617">
        <v>1.924E-2</v>
      </c>
      <c r="C617">
        <v>2.163E-2</v>
      </c>
      <c r="D617">
        <v>1.9050000000000001E-2</v>
      </c>
      <c r="E617">
        <v>2.1319999999999999E-2</v>
      </c>
      <c r="F617">
        <v>457281327.30000001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0.75968992248061906</v>
      </c>
      <c r="Q617">
        <f t="shared" si="990"/>
        <v>347392016.08837157</v>
      </c>
      <c r="R617">
        <f t="shared" si="991"/>
        <v>-6618503764.2085085</v>
      </c>
      <c r="S617">
        <f t="shared" si="992"/>
        <v>-66185.037642085081</v>
      </c>
      <c r="T617">
        <f t="shared" si="993"/>
        <v>-66.185037642085078</v>
      </c>
    </row>
    <row r="618" spans="1:20" x14ac:dyDescent="0.25">
      <c r="A618" s="5">
        <v>43975</v>
      </c>
      <c r="B618">
        <v>2.0060000000000001E-2</v>
      </c>
      <c r="C618">
        <v>2.1729999999999999E-2</v>
      </c>
      <c r="D618">
        <v>1.9220000000000001E-2</v>
      </c>
      <c r="E618">
        <v>1.9269999999999999E-2</v>
      </c>
      <c r="F618">
        <v>597153540.5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-0.96015936254980239</v>
      </c>
      <c r="Q618">
        <f t="shared" si="990"/>
        <v>-573362562.79083765</v>
      </c>
      <c r="R618">
        <f t="shared" si="991"/>
        <v>-6965895780.2968798</v>
      </c>
      <c r="S618">
        <f t="shared" si="992"/>
        <v>-69658.957802968798</v>
      </c>
      <c r="T618">
        <f t="shared" si="993"/>
        <v>-69.6589578029688</v>
      </c>
    </row>
    <row r="619" spans="1:20" x14ac:dyDescent="0.25">
      <c r="A619" s="5">
        <v>43974</v>
      </c>
      <c r="B619">
        <v>2.0389999999999998E-2</v>
      </c>
      <c r="C619">
        <v>2.0719999999999999E-2</v>
      </c>
      <c r="D619">
        <v>1.9640000000000001E-2</v>
      </c>
      <c r="E619">
        <v>2.0060000000000001E-2</v>
      </c>
      <c r="F619">
        <v>298427388.39999998</v>
      </c>
      <c r="G619">
        <v>0</v>
      </c>
      <c r="L619" t="s">
        <v>7</v>
      </c>
      <c r="M619" t="s">
        <v>7</v>
      </c>
      <c r="N619" t="s">
        <v>8</v>
      </c>
      <c r="P619">
        <f t="shared" si="989"/>
        <v>-0.22222222222222007</v>
      </c>
      <c r="Q619">
        <f t="shared" si="990"/>
        <v>-66317197.422221579</v>
      </c>
      <c r="R619">
        <f t="shared" si="991"/>
        <v>-6392533217.5060425</v>
      </c>
      <c r="S619">
        <f t="shared" si="992"/>
        <v>-63925.332175060423</v>
      </c>
      <c r="T619">
        <f t="shared" si="993"/>
        <v>-63.925332175060426</v>
      </c>
    </row>
    <row r="620" spans="1:20" x14ac:dyDescent="0.25">
      <c r="A620" s="5">
        <v>43973</v>
      </c>
      <c r="B620">
        <v>1.9259999999999999E-2</v>
      </c>
      <c r="C620">
        <v>2.104E-2</v>
      </c>
      <c r="D620">
        <v>1.89E-2</v>
      </c>
      <c r="E620">
        <v>2.0389999999999998E-2</v>
      </c>
      <c r="F620">
        <v>441542448.10000002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0.39252336448597996</v>
      </c>
      <c r="Q620">
        <f t="shared" si="990"/>
        <v>173315727.29158819</v>
      </c>
      <c r="R620">
        <f t="shared" si="991"/>
        <v>-6326216020.0838213</v>
      </c>
      <c r="S620">
        <f t="shared" si="992"/>
        <v>-63262.160200838211</v>
      </c>
      <c r="T620">
        <f t="shared" si="993"/>
        <v>-63.26216020083821</v>
      </c>
    </row>
    <row r="621" spans="1:20" x14ac:dyDescent="0.25">
      <c r="A621" s="5">
        <v>43972</v>
      </c>
      <c r="B621">
        <v>2.0820000000000002E-2</v>
      </c>
      <c r="C621">
        <v>2.0979999999999999E-2</v>
      </c>
      <c r="D621">
        <v>1.8200000000000001E-2</v>
      </c>
      <c r="E621">
        <v>1.9189999999999999E-2</v>
      </c>
      <c r="F621">
        <v>723993570.70000005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-0.28776978417266286</v>
      </c>
      <c r="Q621">
        <f t="shared" si="990"/>
        <v>-208343473.58273456</v>
      </c>
      <c r="R621">
        <f t="shared" si="991"/>
        <v>-6499531747.3754091</v>
      </c>
      <c r="S621">
        <f t="shared" si="992"/>
        <v>-64995.31747375409</v>
      </c>
      <c r="T621">
        <f t="shared" si="993"/>
        <v>-64.995317473754085</v>
      </c>
    </row>
    <row r="622" spans="1:20" x14ac:dyDescent="0.25">
      <c r="A622" s="5">
        <v>43971</v>
      </c>
      <c r="B622">
        <v>2.2270000000000002E-2</v>
      </c>
      <c r="C622">
        <v>2.2419999999999999E-2</v>
      </c>
      <c r="D622">
        <v>1.95E-2</v>
      </c>
      <c r="E622">
        <v>2.0840000000000001E-2</v>
      </c>
      <c r="F622">
        <v>657775245.70000005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-8.219178082191686E-2</v>
      </c>
      <c r="Q622">
        <f t="shared" si="990"/>
        <v>-54063718.824656911</v>
      </c>
      <c r="R622">
        <f t="shared" si="991"/>
        <v>-6291188273.792675</v>
      </c>
      <c r="S622">
        <f t="shared" si="992"/>
        <v>-62911.882737926753</v>
      </c>
      <c r="T622">
        <f t="shared" si="993"/>
        <v>-62.911882737926753</v>
      </c>
    </row>
    <row r="623" spans="1:20" x14ac:dyDescent="0.25">
      <c r="A623" s="5">
        <v>43970</v>
      </c>
      <c r="B623">
        <v>2.0650000000000002E-2</v>
      </c>
      <c r="C623">
        <v>2.2970000000000001E-2</v>
      </c>
      <c r="D623">
        <v>2.017E-2</v>
      </c>
      <c r="E623">
        <v>2.2259999999999999E-2</v>
      </c>
      <c r="F623">
        <v>681899073.70000005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0.49285714285714127</v>
      </c>
      <c r="Q623">
        <f t="shared" si="990"/>
        <v>336078829.18071324</v>
      </c>
      <c r="R623">
        <f t="shared" si="991"/>
        <v>-6237124554.9680185</v>
      </c>
      <c r="S623">
        <f t="shared" si="992"/>
        <v>-62371.245549680185</v>
      </c>
      <c r="T623">
        <f t="shared" si="993"/>
        <v>-62.371245549680182</v>
      </c>
    </row>
    <row r="624" spans="1:20" x14ac:dyDescent="0.25">
      <c r="A624" s="5">
        <v>43969</v>
      </c>
      <c r="B624">
        <v>2.026E-2</v>
      </c>
      <c r="C624">
        <v>2.121E-2</v>
      </c>
      <c r="D624">
        <v>2.0150000000000001E-2</v>
      </c>
      <c r="E624">
        <v>2.0639999999999999E-2</v>
      </c>
      <c r="F624">
        <v>334258713.10000002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-7.5471698113211125E-2</v>
      </c>
      <c r="Q624">
        <f t="shared" si="990"/>
        <v>-25227072.686793651</v>
      </c>
      <c r="R624">
        <f t="shared" si="991"/>
        <v>-6573203384.1487322</v>
      </c>
      <c r="S624">
        <f t="shared" si="992"/>
        <v>-65732.033841487326</v>
      </c>
      <c r="T624">
        <f t="shared" si="993"/>
        <v>-65.732033841487322</v>
      </c>
    </row>
    <row r="625" spans="1:20" x14ac:dyDescent="0.25">
      <c r="A625" s="5">
        <v>43968</v>
      </c>
      <c r="B625">
        <v>1.9980000000000001E-2</v>
      </c>
      <c r="C625">
        <v>2.0920000000000001E-2</v>
      </c>
      <c r="D625">
        <v>1.9900000000000001E-2</v>
      </c>
      <c r="E625">
        <v>2.0250000000000001E-2</v>
      </c>
      <c r="F625">
        <v>300632626.10000002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-0.3137254901960792</v>
      </c>
      <c r="Q625">
        <f t="shared" si="990"/>
        <v>-94316117.992157102</v>
      </c>
      <c r="R625">
        <f t="shared" si="991"/>
        <v>-6547976311.4619389</v>
      </c>
      <c r="S625">
        <f t="shared" si="992"/>
        <v>-65479.763114619389</v>
      </c>
      <c r="T625">
        <f t="shared" si="993"/>
        <v>-65.479763114619388</v>
      </c>
    </row>
    <row r="626" spans="1:20" x14ac:dyDescent="0.25">
      <c r="A626" s="5">
        <v>43967</v>
      </c>
      <c r="B626">
        <v>1.9199999999999998E-2</v>
      </c>
      <c r="C626">
        <v>2.095E-2</v>
      </c>
      <c r="D626">
        <v>1.8599999999999998E-2</v>
      </c>
      <c r="E626">
        <v>1.9980000000000001E-2</v>
      </c>
      <c r="F626">
        <v>564466821.39999998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0.17446808510638462</v>
      </c>
      <c r="Q626">
        <f t="shared" si="990"/>
        <v>98481445.435745597</v>
      </c>
      <c r="R626">
        <f t="shared" si="991"/>
        <v>-6453660193.4697819</v>
      </c>
      <c r="S626">
        <f t="shared" si="992"/>
        <v>-64536.601934697821</v>
      </c>
      <c r="T626">
        <f t="shared" si="993"/>
        <v>-64.536601934697828</v>
      </c>
    </row>
    <row r="627" spans="1:20" x14ac:dyDescent="0.25">
      <c r="A627" s="5">
        <v>43966</v>
      </c>
      <c r="B627">
        <v>2.0140000000000002E-2</v>
      </c>
      <c r="C627">
        <v>2.0840000000000001E-2</v>
      </c>
      <c r="D627">
        <v>1.8769999999999998E-2</v>
      </c>
      <c r="E627">
        <v>1.9189999999999999E-2</v>
      </c>
      <c r="F627">
        <v>602955851.70000005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-0.59420289855072483</v>
      </c>
      <c r="Q627">
        <f t="shared" si="990"/>
        <v>-358278114.77826101</v>
      </c>
      <c r="R627">
        <f t="shared" si="991"/>
        <v>-6552141638.9055271</v>
      </c>
      <c r="S627">
        <f t="shared" si="992"/>
        <v>-65521.416389055274</v>
      </c>
      <c r="T627">
        <f t="shared" si="993"/>
        <v>-65.521416389055275</v>
      </c>
    </row>
    <row r="628" spans="1:20" x14ac:dyDescent="0.25">
      <c r="A628" s="5">
        <v>43965</v>
      </c>
      <c r="B628">
        <v>2.0310000000000002E-2</v>
      </c>
      <c r="C628">
        <v>2.164E-2</v>
      </c>
      <c r="D628">
        <v>1.9310000000000001E-2</v>
      </c>
      <c r="E628">
        <v>2.0140000000000002E-2</v>
      </c>
      <c r="F628">
        <v>1092428972.8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-0.2875536480686684</v>
      </c>
      <c r="Q628">
        <f t="shared" si="990"/>
        <v>-314131936.38454813</v>
      </c>
      <c r="R628">
        <f t="shared" si="991"/>
        <v>-6193863524.1272659</v>
      </c>
      <c r="S628">
        <f t="shared" si="992"/>
        <v>-61938.635241272663</v>
      </c>
      <c r="T628">
        <f t="shared" si="993"/>
        <v>-61.938635241272664</v>
      </c>
    </row>
    <row r="629" spans="1:20" x14ac:dyDescent="0.25">
      <c r="A629" s="5">
        <v>43964</v>
      </c>
      <c r="B629">
        <v>1.7270000000000001E-2</v>
      </c>
      <c r="C629">
        <v>2.0410000000000001E-2</v>
      </c>
      <c r="D629">
        <v>1.712E-2</v>
      </c>
      <c r="E629">
        <v>2.0299999999999999E-2</v>
      </c>
      <c r="F629">
        <v>906004405.5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0.93313069908814439</v>
      </c>
      <c r="Q629">
        <f t="shared" si="990"/>
        <v>845420524.28115368</v>
      </c>
      <c r="R629">
        <f t="shared" si="991"/>
        <v>-5879731587.7427177</v>
      </c>
      <c r="S629">
        <f t="shared" si="992"/>
        <v>-58797.31587742718</v>
      </c>
      <c r="T629">
        <f t="shared" si="993"/>
        <v>-58.797315877427181</v>
      </c>
    </row>
    <row r="630" spans="1:20" x14ac:dyDescent="0.25">
      <c r="A630" s="5">
        <v>43963</v>
      </c>
      <c r="B630">
        <v>1.5010000000000001E-2</v>
      </c>
      <c r="C630">
        <v>1.823E-2</v>
      </c>
      <c r="D630">
        <v>1.4840000000000001E-2</v>
      </c>
      <c r="E630">
        <v>1.7270000000000001E-2</v>
      </c>
      <c r="F630">
        <v>752399546.29999995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0.43362831858407119</v>
      </c>
      <c r="Q630">
        <f t="shared" si="990"/>
        <v>326261750.16548699</v>
      </c>
      <c r="R630">
        <f t="shared" si="991"/>
        <v>-6725152112.0238714</v>
      </c>
      <c r="S630">
        <f t="shared" si="992"/>
        <v>-67251.521120238715</v>
      </c>
      <c r="T630">
        <f t="shared" si="993"/>
        <v>-67.251521120238721</v>
      </c>
    </row>
    <row r="631" spans="1:20" x14ac:dyDescent="0.25">
      <c r="A631" s="5">
        <v>43962</v>
      </c>
      <c r="B631">
        <v>1.532E-2</v>
      </c>
      <c r="C631">
        <v>1.555E-2</v>
      </c>
      <c r="D631">
        <v>1.375E-2</v>
      </c>
      <c r="E631">
        <v>1.5010000000000001E-2</v>
      </c>
      <c r="F631">
        <v>582927586.10000002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0.40000000000000113</v>
      </c>
      <c r="Q631">
        <f t="shared" si="990"/>
        <v>233171034.44000068</v>
      </c>
      <c r="R631">
        <f t="shared" si="991"/>
        <v>-7051413862.1893587</v>
      </c>
      <c r="S631">
        <f t="shared" si="992"/>
        <v>-70514.13862189358</v>
      </c>
      <c r="T631">
        <f t="shared" si="993"/>
        <v>-70.514138621893579</v>
      </c>
    </row>
    <row r="632" spans="1:20" x14ac:dyDescent="0.25">
      <c r="A632" s="5">
        <v>43961</v>
      </c>
      <c r="B632">
        <v>1.7219999999999999E-2</v>
      </c>
      <c r="C632">
        <v>1.7250000000000001E-2</v>
      </c>
      <c r="D632">
        <v>1.353E-2</v>
      </c>
      <c r="E632">
        <v>1.533E-2</v>
      </c>
      <c r="F632">
        <v>833850313.20000005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-3.2258064516129573E-2</v>
      </c>
      <c r="Q632">
        <f t="shared" si="990"/>
        <v>-26898397.200000454</v>
      </c>
      <c r="R632">
        <f t="shared" si="991"/>
        <v>-7284584896.6293592</v>
      </c>
      <c r="S632">
        <f t="shared" si="992"/>
        <v>-72845.84896629359</v>
      </c>
      <c r="T632">
        <f t="shared" si="993"/>
        <v>-72.845848966293588</v>
      </c>
    </row>
    <row r="633" spans="1:20" x14ac:dyDescent="0.25">
      <c r="A633" s="5">
        <v>43960</v>
      </c>
      <c r="B633">
        <v>1.7919999999999998E-2</v>
      </c>
      <c r="C633">
        <v>1.8419999999999999E-2</v>
      </c>
      <c r="D633">
        <v>1.7180000000000001E-2</v>
      </c>
      <c r="E633">
        <v>1.7219999999999999E-2</v>
      </c>
      <c r="F633">
        <v>289308076.39999998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-0.93548387096774444</v>
      </c>
      <c r="Q633">
        <f t="shared" si="990"/>
        <v>-270643039.21290392</v>
      </c>
      <c r="R633">
        <f t="shared" si="991"/>
        <v>-7257686499.4293585</v>
      </c>
      <c r="S633">
        <f t="shared" si="992"/>
        <v>-72576.864994293588</v>
      </c>
      <c r="T633">
        <f t="shared" si="993"/>
        <v>-72.576864994293587</v>
      </c>
    </row>
    <row r="634" spans="1:20" x14ac:dyDescent="0.25">
      <c r="A634" s="5">
        <v>43959</v>
      </c>
      <c r="B634">
        <v>1.7399999999999999E-2</v>
      </c>
      <c r="C634">
        <v>1.8509999999999999E-2</v>
      </c>
      <c r="D634">
        <v>1.7069999999999998E-2</v>
      </c>
      <c r="E634">
        <v>1.7899999999999999E-2</v>
      </c>
      <c r="F634">
        <v>361056114.30000001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0.15277777777777876</v>
      </c>
      <c r="Q634">
        <f t="shared" si="990"/>
        <v>55161350.795833692</v>
      </c>
      <c r="R634">
        <f t="shared" si="991"/>
        <v>-6987043460.2164545</v>
      </c>
      <c r="S634">
        <f t="shared" si="992"/>
        <v>-69870.434602164547</v>
      </c>
      <c r="T634">
        <f t="shared" si="993"/>
        <v>-69.870434602164551</v>
      </c>
    </row>
    <row r="635" spans="1:20" x14ac:dyDescent="0.25">
      <c r="A635" s="5">
        <v>43958</v>
      </c>
      <c r="B635">
        <v>1.7059999999999999E-2</v>
      </c>
      <c r="C635">
        <v>1.788E-2</v>
      </c>
      <c r="D635">
        <v>1.6709999999999999E-2</v>
      </c>
      <c r="E635">
        <v>1.7399999999999999E-2</v>
      </c>
      <c r="F635">
        <v>405555320.10000002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0.17948717948717796</v>
      </c>
      <c r="Q635">
        <f t="shared" si="990"/>
        <v>72791980.530768618</v>
      </c>
      <c r="R635">
        <f t="shared" si="991"/>
        <v>-7042204811.0122881</v>
      </c>
      <c r="S635">
        <f t="shared" si="992"/>
        <v>-70422.04811012288</v>
      </c>
      <c r="T635">
        <f t="shared" si="993"/>
        <v>-70.422048110122873</v>
      </c>
    </row>
    <row r="636" spans="1:20" x14ac:dyDescent="0.25">
      <c r="A636" s="5">
        <v>43957</v>
      </c>
      <c r="B636">
        <v>1.6959999999999999E-2</v>
      </c>
      <c r="C636">
        <v>1.8169999999999999E-2</v>
      </c>
      <c r="D636">
        <v>1.67E-2</v>
      </c>
      <c r="E636">
        <v>1.704E-2</v>
      </c>
      <c r="F636">
        <v>412067567.80000001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-0.53741496598639427</v>
      </c>
      <c r="Q636">
        <f t="shared" si="990"/>
        <v>-221451277.93333322</v>
      </c>
      <c r="R636">
        <f t="shared" si="991"/>
        <v>-7114996791.5430565</v>
      </c>
      <c r="S636">
        <f t="shared" si="992"/>
        <v>-71149.967915430563</v>
      </c>
      <c r="T636">
        <f t="shared" si="993"/>
        <v>-71.149967915430565</v>
      </c>
    </row>
    <row r="637" spans="1:20" x14ac:dyDescent="0.25">
      <c r="A637" s="5">
        <v>43956</v>
      </c>
      <c r="B637">
        <v>1.6969999999999999E-2</v>
      </c>
      <c r="C637">
        <v>1.7180000000000001E-2</v>
      </c>
      <c r="D637">
        <v>1.627E-2</v>
      </c>
      <c r="E637">
        <v>1.6959999999999999E-2</v>
      </c>
      <c r="F637">
        <v>237462928.80000001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0.51648351648351387</v>
      </c>
      <c r="Q637">
        <f t="shared" si="990"/>
        <v>122645688.50109829</v>
      </c>
      <c r="R637">
        <f t="shared" si="991"/>
        <v>-6893545513.6097231</v>
      </c>
      <c r="S637">
        <f t="shared" si="992"/>
        <v>-68935.455136097225</v>
      </c>
      <c r="T637">
        <f t="shared" si="993"/>
        <v>-68.935455136097232</v>
      </c>
    </row>
    <row r="638" spans="1:20" x14ac:dyDescent="0.25">
      <c r="A638" s="5">
        <v>43955</v>
      </c>
      <c r="B638">
        <v>1.711E-2</v>
      </c>
      <c r="C638">
        <v>1.7469999999999999E-2</v>
      </c>
      <c r="D638">
        <v>1.562E-2</v>
      </c>
      <c r="E638">
        <v>1.6969999999999999E-2</v>
      </c>
      <c r="F638">
        <v>521561645.30000001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0.45945945945945876</v>
      </c>
      <c r="Q638">
        <f t="shared" si="990"/>
        <v>239636431.62432396</v>
      </c>
      <c r="R638">
        <f t="shared" si="991"/>
        <v>-7016191202.1108217</v>
      </c>
      <c r="S638">
        <f t="shared" si="992"/>
        <v>-70161.912021108219</v>
      </c>
      <c r="T638">
        <f t="shared" si="993"/>
        <v>-70.161912021108222</v>
      </c>
    </row>
    <row r="639" spans="1:20" x14ac:dyDescent="0.25">
      <c r="A639" s="5">
        <v>43954</v>
      </c>
      <c r="B639">
        <v>1.694E-2</v>
      </c>
      <c r="C639">
        <v>1.806E-2</v>
      </c>
      <c r="D639">
        <v>1.6480000000000002E-2</v>
      </c>
      <c r="E639">
        <v>1.711E-2</v>
      </c>
      <c r="F639">
        <v>550034677.5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-0.20253164556962103</v>
      </c>
      <c r="Q639">
        <f t="shared" si="990"/>
        <v>-111399428.35443081</v>
      </c>
      <c r="R639">
        <f t="shared" si="991"/>
        <v>-7255827633.7351456</v>
      </c>
      <c r="S639">
        <f t="shared" si="992"/>
        <v>-72558.276337351461</v>
      </c>
      <c r="T639">
        <f t="shared" si="993"/>
        <v>-72.558276337351458</v>
      </c>
    </row>
    <row r="640" spans="1:20" x14ac:dyDescent="0.25">
      <c r="A640" s="5">
        <v>43953</v>
      </c>
      <c r="B640">
        <v>1.585E-2</v>
      </c>
      <c r="C640">
        <v>1.721E-2</v>
      </c>
      <c r="D640">
        <v>1.575E-2</v>
      </c>
      <c r="E640">
        <v>1.6910000000000001E-2</v>
      </c>
      <c r="F640">
        <v>317889542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0.58904109589041331</v>
      </c>
      <c r="Q640">
        <f t="shared" si="990"/>
        <v>187250004.19178158</v>
      </c>
      <c r="R640">
        <f t="shared" si="991"/>
        <v>-7144428205.3807144</v>
      </c>
      <c r="S640">
        <f t="shared" si="992"/>
        <v>-71444.282053807139</v>
      </c>
      <c r="T640">
        <f t="shared" si="993"/>
        <v>-71.444282053807143</v>
      </c>
    </row>
    <row r="641" spans="1:20" x14ac:dyDescent="0.25">
      <c r="A641" s="5">
        <v>43952</v>
      </c>
      <c r="B641">
        <v>1.541E-2</v>
      </c>
      <c r="C641">
        <v>1.636E-2</v>
      </c>
      <c r="D641">
        <v>1.54E-2</v>
      </c>
      <c r="E641">
        <v>1.585E-2</v>
      </c>
      <c r="F641">
        <v>244563885.90000001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-6.2500000000001124E-2</v>
      </c>
      <c r="Q641">
        <f t="shared" si="990"/>
        <v>-15285242.868750276</v>
      </c>
      <c r="R641">
        <f t="shared" si="991"/>
        <v>-7331678209.5724964</v>
      </c>
      <c r="S641">
        <f t="shared" si="992"/>
        <v>-73316.782095724964</v>
      </c>
      <c r="T641">
        <f t="shared" si="993"/>
        <v>-73.31678209572496</v>
      </c>
    </row>
    <row r="642" spans="1:20" x14ac:dyDescent="0.25">
      <c r="A642" s="5">
        <v>43951</v>
      </c>
      <c r="B642">
        <v>1.644E-2</v>
      </c>
      <c r="C642">
        <v>1.6629999999999999E-2</v>
      </c>
      <c r="D642">
        <v>1.5129999999999999E-2</v>
      </c>
      <c r="E642">
        <v>1.5429999999999999E-2</v>
      </c>
      <c r="F642">
        <v>582148930.20000005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-0.6</v>
      </c>
      <c r="Q642">
        <f t="shared" si="990"/>
        <v>-349289358.12</v>
      </c>
      <c r="R642">
        <f t="shared" si="991"/>
        <v>-7316392966.7037458</v>
      </c>
      <c r="S642">
        <f t="shared" si="992"/>
        <v>-73163.929667037461</v>
      </c>
      <c r="T642">
        <f t="shared" si="993"/>
        <v>-73.163929667037465</v>
      </c>
    </row>
    <row r="643" spans="1:20" x14ac:dyDescent="0.25">
      <c r="A643" s="5">
        <v>43950</v>
      </c>
      <c r="B643">
        <v>1.566E-2</v>
      </c>
      <c r="C643">
        <v>1.6889999999999999E-2</v>
      </c>
      <c r="D643">
        <v>1.5480000000000001E-2</v>
      </c>
      <c r="E643">
        <v>1.6420000000000001E-2</v>
      </c>
      <c r="F643">
        <v>595281459.29999995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0.33333333333333498</v>
      </c>
      <c r="Q643">
        <f t="shared" si="990"/>
        <v>198427153.10000098</v>
      </c>
      <c r="R643">
        <f t="shared" si="991"/>
        <v>-6967103608.583746</v>
      </c>
      <c r="S643">
        <f t="shared" si="992"/>
        <v>-69671.036085837462</v>
      </c>
      <c r="T643">
        <f t="shared" si="993"/>
        <v>-69.671036085837457</v>
      </c>
    </row>
    <row r="644" spans="1:20" x14ac:dyDescent="0.25">
      <c r="A644" s="5">
        <v>43949</v>
      </c>
      <c r="B644">
        <v>1.5429999999999999E-2</v>
      </c>
      <c r="C644">
        <v>1.5800000000000002E-2</v>
      </c>
      <c r="D644">
        <v>1.494E-2</v>
      </c>
      <c r="E644">
        <v>1.5709999999999998E-2</v>
      </c>
      <c r="F644">
        <v>240524707.5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0.7906976744185974</v>
      </c>
      <c r="Q644">
        <f t="shared" si="990"/>
        <v>190182326.86046338</v>
      </c>
      <c r="R644">
        <f t="shared" si="991"/>
        <v>-7165530761.6837473</v>
      </c>
      <c r="S644">
        <f t="shared" si="992"/>
        <v>-71655.307616837468</v>
      </c>
      <c r="T644">
        <f t="shared" si="993"/>
        <v>-71.655307616837462</v>
      </c>
    </row>
    <row r="645" spans="1:20" x14ac:dyDescent="0.25">
      <c r="A645" s="5">
        <v>43948</v>
      </c>
      <c r="B645">
        <v>1.562E-2</v>
      </c>
      <c r="C645">
        <v>1.5980000000000001E-2</v>
      </c>
      <c r="D645">
        <v>1.4760000000000001E-2</v>
      </c>
      <c r="E645">
        <v>1.5440000000000001E-2</v>
      </c>
      <c r="F645">
        <v>339737737.89999998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0.11475409836065527</v>
      </c>
      <c r="Q645">
        <f t="shared" si="990"/>
        <v>38986297.791803114</v>
      </c>
      <c r="R645">
        <f t="shared" si="991"/>
        <v>-7355713088.5442104</v>
      </c>
      <c r="S645">
        <f t="shared" si="992"/>
        <v>-73557.130885442108</v>
      </c>
      <c r="T645">
        <f t="shared" si="993"/>
        <v>-73.557130885442106</v>
      </c>
    </row>
    <row r="646" spans="1:20" x14ac:dyDescent="0.25">
      <c r="A646" s="5">
        <v>43947</v>
      </c>
      <c r="B646">
        <v>1.504E-2</v>
      </c>
      <c r="C646">
        <v>1.61E-2</v>
      </c>
      <c r="D646">
        <v>1.495E-2</v>
      </c>
      <c r="E646">
        <v>1.5630000000000002E-2</v>
      </c>
      <c r="F646">
        <v>384349987.30000001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0.18260869565217702</v>
      </c>
      <c r="Q646">
        <f t="shared" ref="Q646:Q709" si="995">F646*P646</f>
        <v>70185649.854783803</v>
      </c>
      <c r="R646">
        <f t="shared" ref="R646:R709" si="996">R647+Q646</f>
        <v>-7394699386.3360138</v>
      </c>
      <c r="S646">
        <f t="shared" ref="S646:S709" si="997">R646/100000</f>
        <v>-73946.993863360141</v>
      </c>
      <c r="T646">
        <f t="shared" ref="T646:T709" si="998">S646/1000</f>
        <v>-73.946993863360134</v>
      </c>
    </row>
    <row r="647" spans="1:20" x14ac:dyDescent="0.25">
      <c r="A647" s="5">
        <v>43946</v>
      </c>
      <c r="B647">
        <v>1.468E-2</v>
      </c>
      <c r="C647">
        <v>1.55E-2</v>
      </c>
      <c r="D647">
        <v>1.4330000000000001E-2</v>
      </c>
      <c r="E647">
        <v>1.5049999999999999E-2</v>
      </c>
      <c r="F647">
        <v>327689366.10000002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0.23076923076922895</v>
      </c>
      <c r="Q647">
        <f t="shared" si="995"/>
        <v>75620622.946153253</v>
      </c>
      <c r="R647">
        <f t="shared" si="996"/>
        <v>-7464885036.1907978</v>
      </c>
      <c r="S647">
        <f t="shared" si="997"/>
        <v>-74648.850361907971</v>
      </c>
      <c r="T647">
        <f t="shared" si="998"/>
        <v>-74.648850361907975</v>
      </c>
    </row>
    <row r="648" spans="1:20" x14ac:dyDescent="0.25">
      <c r="A648" s="5">
        <v>43945</v>
      </c>
      <c r="B648">
        <v>1.431E-2</v>
      </c>
      <c r="C648">
        <v>1.576E-2</v>
      </c>
      <c r="D648">
        <v>1.4290000000000001E-2</v>
      </c>
      <c r="E648">
        <v>1.468E-2</v>
      </c>
      <c r="F648">
        <v>658211884.79999995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-0.46938775510204084</v>
      </c>
      <c r="Q648">
        <f t="shared" si="995"/>
        <v>-308956598.98775512</v>
      </c>
      <c r="R648">
        <f t="shared" si="996"/>
        <v>-7540505659.1369514</v>
      </c>
      <c r="S648">
        <f t="shared" si="997"/>
        <v>-75405.056591369517</v>
      </c>
      <c r="T648">
        <f t="shared" si="998"/>
        <v>-75.405056591369515</v>
      </c>
    </row>
    <row r="649" spans="1:20" x14ac:dyDescent="0.25">
      <c r="A649" s="5">
        <v>43944</v>
      </c>
      <c r="B649">
        <v>1.278E-2</v>
      </c>
      <c r="C649">
        <v>1.4970000000000001E-2</v>
      </c>
      <c r="D649">
        <v>1.2449999999999999E-2</v>
      </c>
      <c r="E649">
        <v>1.4279999999999999E-2</v>
      </c>
      <c r="F649">
        <v>637233223.60000002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0.45238095238095161</v>
      </c>
      <c r="Q649">
        <f t="shared" si="995"/>
        <v>288272172.58095187</v>
      </c>
      <c r="R649">
        <f t="shared" si="996"/>
        <v>-7231549060.1491966</v>
      </c>
      <c r="S649">
        <f t="shared" si="997"/>
        <v>-72315.490601491969</v>
      </c>
      <c r="T649">
        <f t="shared" si="998"/>
        <v>-72.315490601491973</v>
      </c>
    </row>
    <row r="650" spans="1:20" x14ac:dyDescent="0.25">
      <c r="A650" s="5">
        <v>43943</v>
      </c>
      <c r="B650">
        <v>1.1979999999999999E-2</v>
      </c>
      <c r="C650">
        <v>1.2800000000000001E-2</v>
      </c>
      <c r="D650">
        <v>1.193E-2</v>
      </c>
      <c r="E650">
        <v>1.277E-2</v>
      </c>
      <c r="F650">
        <v>186297144.80000001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0.93103448275861955</v>
      </c>
      <c r="Q650">
        <f t="shared" si="995"/>
        <v>173449065.84827566</v>
      </c>
      <c r="R650">
        <f t="shared" si="996"/>
        <v>-7519821232.7301483</v>
      </c>
      <c r="S650">
        <f t="shared" si="997"/>
        <v>-75198.212327301488</v>
      </c>
      <c r="T650">
        <f t="shared" si="998"/>
        <v>-75.198212327301491</v>
      </c>
    </row>
    <row r="651" spans="1:20" x14ac:dyDescent="0.25">
      <c r="A651" s="5">
        <v>43942</v>
      </c>
      <c r="B651">
        <v>1.2E-2</v>
      </c>
      <c r="C651">
        <v>1.2290000000000001E-2</v>
      </c>
      <c r="D651">
        <v>1.1639999999999999E-2</v>
      </c>
      <c r="E651">
        <v>1.1979999999999999E-2</v>
      </c>
      <c r="F651">
        <v>253992768.40000001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4.6153846153844186E-2</v>
      </c>
      <c r="Q651">
        <f t="shared" si="995"/>
        <v>11722743.156922577</v>
      </c>
      <c r="R651">
        <f t="shared" si="996"/>
        <v>-7693270298.5784245</v>
      </c>
      <c r="S651">
        <f t="shared" si="997"/>
        <v>-76932.702985784243</v>
      </c>
      <c r="T651">
        <f t="shared" si="998"/>
        <v>-76.932702985784246</v>
      </c>
    </row>
    <row r="652" spans="1:20" x14ac:dyDescent="0.25">
      <c r="A652" s="5">
        <v>43941</v>
      </c>
      <c r="B652">
        <v>1.289E-2</v>
      </c>
      <c r="C652">
        <v>1.333E-2</v>
      </c>
      <c r="D652">
        <v>1.175E-2</v>
      </c>
      <c r="E652">
        <v>1.201E-2</v>
      </c>
      <c r="F652">
        <v>369477142.80000001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-0.67088607594936733</v>
      </c>
      <c r="Q652">
        <f t="shared" si="995"/>
        <v>-247877070.48607606</v>
      </c>
      <c r="R652">
        <f t="shared" si="996"/>
        <v>-7704993041.7353468</v>
      </c>
      <c r="S652">
        <f t="shared" si="997"/>
        <v>-77049.930417353462</v>
      </c>
      <c r="T652">
        <f t="shared" si="998"/>
        <v>-77.049930417353465</v>
      </c>
    </row>
    <row r="653" spans="1:20" x14ac:dyDescent="0.25">
      <c r="A653" s="5">
        <v>43940</v>
      </c>
      <c r="B653">
        <v>1.338E-2</v>
      </c>
      <c r="C653">
        <v>1.38E-2</v>
      </c>
      <c r="D653">
        <v>1.273E-2</v>
      </c>
      <c r="E653">
        <v>1.2869999999999999E-2</v>
      </c>
      <c r="F653">
        <v>303467372.30000001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-0.73831775700934665</v>
      </c>
      <c r="Q653">
        <f t="shared" si="995"/>
        <v>-224055349.64205635</v>
      </c>
      <c r="R653">
        <f t="shared" si="996"/>
        <v>-7457115971.2492704</v>
      </c>
      <c r="S653">
        <f t="shared" si="997"/>
        <v>-74571.159712492707</v>
      </c>
      <c r="T653">
        <f t="shared" si="998"/>
        <v>-74.571159712492701</v>
      </c>
    </row>
    <row r="654" spans="1:20" x14ac:dyDescent="0.25">
      <c r="A654" s="5">
        <v>43939</v>
      </c>
      <c r="B654">
        <v>1.272E-2</v>
      </c>
      <c r="C654">
        <v>1.3520000000000001E-2</v>
      </c>
      <c r="D654">
        <v>1.2659999999999999E-2</v>
      </c>
      <c r="E654">
        <v>1.338E-2</v>
      </c>
      <c r="F654">
        <v>242036306.19999999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0.67441860465116044</v>
      </c>
      <c r="Q654">
        <f t="shared" si="995"/>
        <v>163233787.902325</v>
      </c>
      <c r="R654">
        <f t="shared" si="996"/>
        <v>-7233060621.607214</v>
      </c>
      <c r="S654">
        <f t="shared" si="997"/>
        <v>-72330.606216072134</v>
      </c>
      <c r="T654">
        <f t="shared" si="998"/>
        <v>-72.330606216072141</v>
      </c>
    </row>
    <row r="655" spans="1:20" x14ac:dyDescent="0.25">
      <c r="A655" s="5">
        <v>43938</v>
      </c>
      <c r="B655">
        <v>1.2619999999999999E-2</v>
      </c>
      <c r="C655">
        <v>1.3050000000000001E-2</v>
      </c>
      <c r="D655">
        <v>1.242E-2</v>
      </c>
      <c r="E655">
        <v>1.274E-2</v>
      </c>
      <c r="F655">
        <v>214711136.30000001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1.5873015873012465E-2</v>
      </c>
      <c r="Q655">
        <f t="shared" si="995"/>
        <v>3408113.274602443</v>
      </c>
      <c r="R655">
        <f t="shared" si="996"/>
        <v>-7396294409.5095387</v>
      </c>
      <c r="S655">
        <f t="shared" si="997"/>
        <v>-73962.944095095387</v>
      </c>
      <c r="T655">
        <f t="shared" si="998"/>
        <v>-73.962944095095381</v>
      </c>
    </row>
    <row r="656" spans="1:20" x14ac:dyDescent="0.25">
      <c r="A656" s="5">
        <v>43937</v>
      </c>
      <c r="B656">
        <v>1.163E-2</v>
      </c>
      <c r="C656">
        <v>1.2829999999999999E-2</v>
      </c>
      <c r="D656">
        <v>1.124E-2</v>
      </c>
      <c r="E656">
        <v>1.26E-2</v>
      </c>
      <c r="F656">
        <v>312664214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0.7106918238993718</v>
      </c>
      <c r="Q656">
        <f t="shared" si="995"/>
        <v>222207900.5157235</v>
      </c>
      <c r="R656">
        <f t="shared" si="996"/>
        <v>-7399702522.7841415</v>
      </c>
      <c r="S656">
        <f t="shared" si="997"/>
        <v>-73997.025227841412</v>
      </c>
      <c r="T656">
        <f t="shared" si="998"/>
        <v>-73.997025227841405</v>
      </c>
    </row>
    <row r="657" spans="1:20" x14ac:dyDescent="0.25">
      <c r="A657" s="5">
        <v>43936</v>
      </c>
      <c r="B657">
        <v>1.21E-2</v>
      </c>
      <c r="C657">
        <v>1.227E-2</v>
      </c>
      <c r="D657">
        <v>1.159E-2</v>
      </c>
      <c r="E657">
        <v>1.1639999999999999E-2</v>
      </c>
      <c r="F657">
        <v>160419299.09999999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-0.85294117647058909</v>
      </c>
      <c r="Q657">
        <f t="shared" si="995"/>
        <v>-136828225.7029413</v>
      </c>
      <c r="R657">
        <f t="shared" si="996"/>
        <v>-7621910423.2998648</v>
      </c>
      <c r="S657">
        <f t="shared" si="997"/>
        <v>-76219.104232998652</v>
      </c>
      <c r="T657">
        <f t="shared" si="998"/>
        <v>-76.219104232998646</v>
      </c>
    </row>
    <row r="658" spans="1:20" x14ac:dyDescent="0.25">
      <c r="A658" s="5">
        <v>43935</v>
      </c>
      <c r="B658">
        <v>1.1990000000000001E-2</v>
      </c>
      <c r="C658">
        <v>1.2489999999999999E-2</v>
      </c>
      <c r="D658">
        <v>1.172E-2</v>
      </c>
      <c r="E658">
        <v>1.208E-2</v>
      </c>
      <c r="F658">
        <v>234080134.90000001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-6.4935064935062306E-2</v>
      </c>
      <c r="Q658">
        <f t="shared" si="995"/>
        <v>-15200008.759739645</v>
      </c>
      <c r="R658">
        <f t="shared" si="996"/>
        <v>-7485082197.5969238</v>
      </c>
      <c r="S658">
        <f t="shared" si="997"/>
        <v>-74850.821975969244</v>
      </c>
      <c r="T658">
        <f t="shared" si="998"/>
        <v>-74.850821975969239</v>
      </c>
    </row>
    <row r="659" spans="1:20" x14ac:dyDescent="0.25">
      <c r="A659" s="5">
        <v>43934</v>
      </c>
      <c r="B659">
        <v>1.2189999999999999E-2</v>
      </c>
      <c r="C659">
        <v>1.225E-2</v>
      </c>
      <c r="D659">
        <v>1.15E-2</v>
      </c>
      <c r="E659">
        <v>1.1990000000000001E-2</v>
      </c>
      <c r="F659">
        <v>358807189.10000002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0.30666666666666775</v>
      </c>
      <c r="Q659">
        <f t="shared" si="995"/>
        <v>110034204.65733373</v>
      </c>
      <c r="R659">
        <f t="shared" si="996"/>
        <v>-7469882188.837184</v>
      </c>
      <c r="S659">
        <f t="shared" si="997"/>
        <v>-74698.821888371836</v>
      </c>
      <c r="T659">
        <f t="shared" si="998"/>
        <v>-74.698821888371839</v>
      </c>
    </row>
    <row r="660" spans="1:20" x14ac:dyDescent="0.25">
      <c r="A660" s="5">
        <v>43933</v>
      </c>
      <c r="B660">
        <v>1.223E-2</v>
      </c>
      <c r="C660">
        <v>1.294E-2</v>
      </c>
      <c r="D660">
        <v>1.1849999999999999E-2</v>
      </c>
      <c r="E660">
        <v>1.222E-2</v>
      </c>
      <c r="F660">
        <v>327218268.19999999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-0.32110091743119212</v>
      </c>
      <c r="Q660">
        <f t="shared" si="995"/>
        <v>-105070086.11926587</v>
      </c>
      <c r="R660">
        <f t="shared" si="996"/>
        <v>-7579916393.4945173</v>
      </c>
      <c r="S660">
        <f t="shared" si="997"/>
        <v>-75799.163934945173</v>
      </c>
      <c r="T660">
        <f t="shared" si="998"/>
        <v>-75.79916393494517</v>
      </c>
    </row>
    <row r="661" spans="1:20" x14ac:dyDescent="0.25">
      <c r="A661" s="5">
        <v>43932</v>
      </c>
      <c r="B661">
        <v>1.2E-2</v>
      </c>
      <c r="C661">
        <v>1.2619999999999999E-2</v>
      </c>
      <c r="D661">
        <v>1.1809999999999999E-2</v>
      </c>
      <c r="E661">
        <v>1.223E-2</v>
      </c>
      <c r="F661">
        <v>361896064.5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3.7037037037037673E-2</v>
      </c>
      <c r="Q661">
        <f t="shared" si="995"/>
        <v>13403557.944444675</v>
      </c>
      <c r="R661">
        <f t="shared" si="996"/>
        <v>-7474846307.3752518</v>
      </c>
      <c r="S661">
        <f t="shared" si="997"/>
        <v>-74748.463073752515</v>
      </c>
      <c r="T661">
        <f t="shared" si="998"/>
        <v>-74.748463073752518</v>
      </c>
    </row>
    <row r="662" spans="1:20" x14ac:dyDescent="0.25">
      <c r="A662" s="5">
        <v>43931</v>
      </c>
      <c r="B662">
        <v>1.349E-2</v>
      </c>
      <c r="C662">
        <v>1.3509999999999999E-2</v>
      </c>
      <c r="D662">
        <v>1.146E-2</v>
      </c>
      <c r="E662">
        <v>1.2E-2</v>
      </c>
      <c r="F662">
        <v>573374715.29999995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-0.47317073170731649</v>
      </c>
      <c r="Q662">
        <f t="shared" si="995"/>
        <v>-271304133.58097523</v>
      </c>
      <c r="R662">
        <f t="shared" si="996"/>
        <v>-7488249865.3196964</v>
      </c>
      <c r="S662">
        <f t="shared" si="997"/>
        <v>-74882.498653196963</v>
      </c>
      <c r="T662">
        <f t="shared" si="998"/>
        <v>-74.882498653196961</v>
      </c>
    </row>
    <row r="663" spans="1:20" x14ac:dyDescent="0.25">
      <c r="A663" s="5">
        <v>43930</v>
      </c>
      <c r="B663">
        <v>1.376E-2</v>
      </c>
      <c r="C663">
        <v>1.404E-2</v>
      </c>
      <c r="D663">
        <v>1.2959999999999999E-2</v>
      </c>
      <c r="E663">
        <v>1.35E-2</v>
      </c>
      <c r="F663">
        <v>473745175.69999999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</v>
      </c>
      <c r="Q663">
        <f t="shared" si="995"/>
        <v>0</v>
      </c>
      <c r="R663">
        <f t="shared" si="996"/>
        <v>-7216945731.7387209</v>
      </c>
      <c r="S663">
        <f t="shared" si="997"/>
        <v>-72169.457317387205</v>
      </c>
      <c r="T663">
        <f t="shared" si="998"/>
        <v>-72.169457317387199</v>
      </c>
    </row>
    <row r="664" spans="1:20" x14ac:dyDescent="0.25">
      <c r="A664" s="5">
        <v>43929</v>
      </c>
      <c r="B664">
        <v>1.2930000000000001E-2</v>
      </c>
      <c r="C664">
        <v>1.392E-2</v>
      </c>
      <c r="D664">
        <v>1.2749999999999999E-2</v>
      </c>
      <c r="E664">
        <v>1.3729999999999999E-2</v>
      </c>
      <c r="F664">
        <v>579952971.20000005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0.67521367521367393</v>
      </c>
      <c r="Q664">
        <f t="shared" si="995"/>
        <v>391592177.13504201</v>
      </c>
      <c r="R664">
        <f t="shared" si="996"/>
        <v>-7216945731.7387209</v>
      </c>
      <c r="S664">
        <f t="shared" si="997"/>
        <v>-72169.457317387205</v>
      </c>
      <c r="T664">
        <f t="shared" si="998"/>
        <v>-72.169457317387199</v>
      </c>
    </row>
    <row r="665" spans="1:20" x14ac:dyDescent="0.25">
      <c r="A665" s="5">
        <v>43928</v>
      </c>
      <c r="B665">
        <v>1.349E-2</v>
      </c>
      <c r="C665">
        <v>1.396E-2</v>
      </c>
      <c r="D665">
        <v>1.2659999999999999E-2</v>
      </c>
      <c r="E665">
        <v>1.294E-2</v>
      </c>
      <c r="F665">
        <v>945981292.60000002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-0.56923076923076832</v>
      </c>
      <c r="Q665">
        <f t="shared" si="995"/>
        <v>-538481658.86461449</v>
      </c>
      <c r="R665">
        <f t="shared" si="996"/>
        <v>-7608537908.8737631</v>
      </c>
      <c r="S665">
        <f t="shared" si="997"/>
        <v>-76085.379088737638</v>
      </c>
      <c r="T665">
        <f t="shared" si="998"/>
        <v>-76.085379088737639</v>
      </c>
    </row>
    <row r="666" spans="1:20" x14ac:dyDescent="0.25">
      <c r="A666" s="5">
        <v>43927</v>
      </c>
      <c r="B666">
        <v>1.14E-2</v>
      </c>
      <c r="C666">
        <v>1.359E-2</v>
      </c>
      <c r="D666">
        <v>1.14E-2</v>
      </c>
      <c r="E666">
        <v>1.3509999999999999E-2</v>
      </c>
      <c r="F666">
        <v>973640935.70000005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0.92694063926940617</v>
      </c>
      <c r="Q666">
        <f t="shared" si="995"/>
        <v>902507351.35662079</v>
      </c>
      <c r="R666">
        <f t="shared" si="996"/>
        <v>-7070056250.0091486</v>
      </c>
      <c r="S666">
        <f t="shared" si="997"/>
        <v>-70700.562500091488</v>
      </c>
      <c r="T666">
        <f t="shared" si="998"/>
        <v>-70.700562500091493</v>
      </c>
    </row>
    <row r="667" spans="1:20" x14ac:dyDescent="0.25">
      <c r="A667" s="5">
        <v>43926</v>
      </c>
      <c r="B667">
        <v>1.17E-2</v>
      </c>
      <c r="C667">
        <v>1.175E-2</v>
      </c>
      <c r="D667">
        <v>1.125E-2</v>
      </c>
      <c r="E667">
        <v>1.142E-2</v>
      </c>
      <c r="F667">
        <v>202395294.40000001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-0.32000000000000056</v>
      </c>
      <c r="Q667">
        <f t="shared" si="995"/>
        <v>-64766494.208000116</v>
      </c>
      <c r="R667">
        <f t="shared" si="996"/>
        <v>-7972563601.3657694</v>
      </c>
      <c r="S667">
        <f t="shared" si="997"/>
        <v>-79725.636013657699</v>
      </c>
      <c r="T667">
        <f t="shared" si="998"/>
        <v>-79.725636013657692</v>
      </c>
    </row>
    <row r="668" spans="1:20" x14ac:dyDescent="0.25">
      <c r="A668" s="5">
        <v>43925</v>
      </c>
      <c r="B668">
        <v>1.157E-2</v>
      </c>
      <c r="C668">
        <v>1.1939999999999999E-2</v>
      </c>
      <c r="D668">
        <v>1.132E-2</v>
      </c>
      <c r="E668">
        <v>1.171E-2</v>
      </c>
      <c r="F668">
        <v>234563845.09999999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0.25806451612903336</v>
      </c>
      <c r="Q668">
        <f t="shared" si="995"/>
        <v>60532605.187097028</v>
      </c>
      <c r="R668">
        <f t="shared" si="996"/>
        <v>-7907797107.1577692</v>
      </c>
      <c r="S668">
        <f t="shared" si="997"/>
        <v>-79077.971071577689</v>
      </c>
      <c r="T668">
        <f t="shared" si="998"/>
        <v>-79.077971071577693</v>
      </c>
    </row>
    <row r="669" spans="1:20" x14ac:dyDescent="0.25">
      <c r="A669" s="5">
        <v>43924</v>
      </c>
      <c r="B669">
        <v>1.153E-2</v>
      </c>
      <c r="C669">
        <v>1.1990000000000001E-2</v>
      </c>
      <c r="D669">
        <v>1.123E-2</v>
      </c>
      <c r="E669">
        <v>1.158E-2</v>
      </c>
      <c r="F669">
        <v>256655936.69999999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-7.8947368421053959E-2</v>
      </c>
      <c r="Q669">
        <f t="shared" si="995"/>
        <v>-20262310.792105604</v>
      </c>
      <c r="R669">
        <f t="shared" si="996"/>
        <v>-7968329712.3448658</v>
      </c>
      <c r="S669">
        <f t="shared" si="997"/>
        <v>-79683.297123448661</v>
      </c>
      <c r="T669">
        <f t="shared" si="998"/>
        <v>-79.683297123448668</v>
      </c>
    </row>
    <row r="670" spans="1:20" x14ac:dyDescent="0.25">
      <c r="A670" s="5">
        <v>43923</v>
      </c>
      <c r="B670">
        <v>1.123E-2</v>
      </c>
      <c r="C670">
        <v>1.218E-2</v>
      </c>
      <c r="D670">
        <v>1.115E-2</v>
      </c>
      <c r="E670">
        <v>1.153E-2</v>
      </c>
      <c r="F670">
        <v>481322653.30000001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-0.26213592233009658</v>
      </c>
      <c r="Q670">
        <f t="shared" si="995"/>
        <v>-126171957.66116481</v>
      </c>
      <c r="R670">
        <f t="shared" si="996"/>
        <v>-7948067401.5527601</v>
      </c>
      <c r="S670">
        <f t="shared" si="997"/>
        <v>-79480.674015527606</v>
      </c>
      <c r="T670">
        <f t="shared" si="998"/>
        <v>-79.480674015527612</v>
      </c>
    </row>
    <row r="671" spans="1:20" x14ac:dyDescent="0.25">
      <c r="A671" s="5">
        <v>43922</v>
      </c>
      <c r="B671">
        <v>1.099E-2</v>
      </c>
      <c r="C671">
        <v>1.14E-2</v>
      </c>
      <c r="D671">
        <v>1.0489999999999999E-2</v>
      </c>
      <c r="E671">
        <v>1.1220000000000001E-2</v>
      </c>
      <c r="F671">
        <v>406047767.19999999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0.60439560439560569</v>
      </c>
      <c r="Q671">
        <f t="shared" si="995"/>
        <v>245413485.6703302</v>
      </c>
      <c r="R671">
        <f t="shared" si="996"/>
        <v>-7821895443.8915949</v>
      </c>
      <c r="S671">
        <f t="shared" si="997"/>
        <v>-78218.954438915942</v>
      </c>
      <c r="T671">
        <f t="shared" si="998"/>
        <v>-78.218954438915944</v>
      </c>
    </row>
    <row r="672" spans="1:20" x14ac:dyDescent="0.25">
      <c r="A672" s="5">
        <v>43921</v>
      </c>
      <c r="B672">
        <v>1.068E-2</v>
      </c>
      <c r="C672">
        <v>1.125E-2</v>
      </c>
      <c r="D672">
        <v>1.0630000000000001E-2</v>
      </c>
      <c r="E672">
        <v>1.0970000000000001E-2</v>
      </c>
      <c r="F672">
        <v>207916536.5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9.6774193548388898E-2</v>
      </c>
      <c r="Q672">
        <f t="shared" si="995"/>
        <v>20120955.145161666</v>
      </c>
      <c r="R672">
        <f t="shared" si="996"/>
        <v>-8067308929.5619249</v>
      </c>
      <c r="S672">
        <f t="shared" si="997"/>
        <v>-80673.089295619255</v>
      </c>
      <c r="T672">
        <f t="shared" si="998"/>
        <v>-80.673089295619249</v>
      </c>
    </row>
    <row r="673" spans="1:20" x14ac:dyDescent="0.25">
      <c r="A673" s="5">
        <v>43920</v>
      </c>
      <c r="B673">
        <v>1.001E-2</v>
      </c>
      <c r="C673">
        <v>1.1129999999999999E-2</v>
      </c>
      <c r="D673">
        <v>1.001E-2</v>
      </c>
      <c r="E673">
        <v>1.068E-2</v>
      </c>
      <c r="F673">
        <v>288831345.19999999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0.19642857142857281</v>
      </c>
      <c r="Q673">
        <f t="shared" si="995"/>
        <v>56734728.521428972</v>
      </c>
      <c r="R673">
        <f t="shared" si="996"/>
        <v>-8087429884.7070866</v>
      </c>
      <c r="S673">
        <f t="shared" si="997"/>
        <v>-80874.298847070866</v>
      </c>
      <c r="T673">
        <f t="shared" si="998"/>
        <v>-80.874298847070861</v>
      </c>
    </row>
    <row r="674" spans="1:20" x14ac:dyDescent="0.25">
      <c r="A674" s="5">
        <v>43919</v>
      </c>
      <c r="B674">
        <v>1.0630000000000001E-2</v>
      </c>
      <c r="C674">
        <v>1.068E-2</v>
      </c>
      <c r="D674">
        <v>1.001E-2</v>
      </c>
      <c r="E674">
        <v>1.001E-2</v>
      </c>
      <c r="F674">
        <v>222731290.80000001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-1</v>
      </c>
      <c r="Q674">
        <f t="shared" si="995"/>
        <v>-222731290.80000001</v>
      </c>
      <c r="R674">
        <f t="shared" si="996"/>
        <v>-8144164613.2285156</v>
      </c>
      <c r="S674">
        <f t="shared" si="997"/>
        <v>-81441.646132285154</v>
      </c>
      <c r="T674">
        <f t="shared" si="998"/>
        <v>-81.441646132285157</v>
      </c>
    </row>
    <row r="675" spans="1:20" x14ac:dyDescent="0.25">
      <c r="A675" s="5">
        <v>43918</v>
      </c>
      <c r="B675">
        <v>1.078E-2</v>
      </c>
      <c r="C675">
        <v>1.0800000000000001E-2</v>
      </c>
      <c r="D675">
        <v>0.01</v>
      </c>
      <c r="E675">
        <v>1.0619999999999999E-2</v>
      </c>
      <c r="F675">
        <v>345466205.30000001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0.54999999999999682</v>
      </c>
      <c r="Q675">
        <f t="shared" si="995"/>
        <v>190006412.91499892</v>
      </c>
      <c r="R675">
        <f t="shared" si="996"/>
        <v>-7921433322.4285154</v>
      </c>
      <c r="S675">
        <f t="shared" si="997"/>
        <v>-79214.333224285161</v>
      </c>
      <c r="T675">
        <f t="shared" si="998"/>
        <v>-79.214333224285156</v>
      </c>
    </row>
    <row r="676" spans="1:20" x14ac:dyDescent="0.25">
      <c r="A676" s="5">
        <v>43917</v>
      </c>
      <c r="B676">
        <v>1.187E-2</v>
      </c>
      <c r="C676">
        <v>1.2200000000000001E-2</v>
      </c>
      <c r="D676">
        <v>1.055E-2</v>
      </c>
      <c r="E676">
        <v>1.076E-2</v>
      </c>
      <c r="F676">
        <v>282245581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-0.74545454545454537</v>
      </c>
      <c r="Q676">
        <f t="shared" si="995"/>
        <v>-210401251.29090908</v>
      </c>
      <c r="R676">
        <f t="shared" si="996"/>
        <v>-8111439735.3435144</v>
      </c>
      <c r="S676">
        <f t="shared" si="997"/>
        <v>-81114.397353435139</v>
      </c>
      <c r="T676">
        <f t="shared" si="998"/>
        <v>-81.114397353435137</v>
      </c>
    </row>
    <row r="677" spans="1:20" x14ac:dyDescent="0.25">
      <c r="A677" s="5">
        <v>43916</v>
      </c>
      <c r="B677">
        <v>1.1469999999999999E-2</v>
      </c>
      <c r="C677">
        <v>1.218E-2</v>
      </c>
      <c r="D677">
        <v>1.128E-2</v>
      </c>
      <c r="E677">
        <v>1.187E-2</v>
      </c>
      <c r="F677">
        <v>414075934.19999999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0.311111111111112</v>
      </c>
      <c r="Q677">
        <f t="shared" si="995"/>
        <v>128823623.9733337</v>
      </c>
      <c r="R677">
        <f t="shared" si="996"/>
        <v>-7901038484.0526056</v>
      </c>
      <c r="S677">
        <f t="shared" si="997"/>
        <v>-79010.384840526051</v>
      </c>
      <c r="T677">
        <f t="shared" si="998"/>
        <v>-79.010384840526044</v>
      </c>
    </row>
    <row r="678" spans="1:20" x14ac:dyDescent="0.25">
      <c r="A678" s="5">
        <v>43915</v>
      </c>
      <c r="B678">
        <v>1.1259999999999999E-2</v>
      </c>
      <c r="C678">
        <v>1.163E-2</v>
      </c>
      <c r="D678">
        <v>1.0710000000000001E-2</v>
      </c>
      <c r="E678">
        <v>1.1469999999999999E-2</v>
      </c>
      <c r="F678">
        <v>354205387.69999999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0.65217391304347694</v>
      </c>
      <c r="Q678">
        <f t="shared" si="995"/>
        <v>231003513.71739084</v>
      </c>
      <c r="R678">
        <f t="shared" si="996"/>
        <v>-8029862108.025939</v>
      </c>
      <c r="S678">
        <f t="shared" si="997"/>
        <v>-80298.621080259385</v>
      </c>
      <c r="T678">
        <f t="shared" si="998"/>
        <v>-80.29862108025938</v>
      </c>
    </row>
    <row r="679" spans="1:20" x14ac:dyDescent="0.25">
      <c r="A679" s="5">
        <v>43914</v>
      </c>
      <c r="B679">
        <v>1.1169999999999999E-2</v>
      </c>
      <c r="C679">
        <v>1.193E-2</v>
      </c>
      <c r="D679">
        <v>1.078E-2</v>
      </c>
      <c r="E679">
        <v>1.1259999999999999E-2</v>
      </c>
      <c r="F679">
        <v>494571328.5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-0.16521739130434865</v>
      </c>
      <c r="Q679">
        <f t="shared" si="995"/>
        <v>-81711784.708696052</v>
      </c>
      <c r="R679">
        <f t="shared" si="996"/>
        <v>-8260865621.74333</v>
      </c>
      <c r="S679">
        <f t="shared" si="997"/>
        <v>-82608.656217433294</v>
      </c>
      <c r="T679">
        <f t="shared" si="998"/>
        <v>-82.608656217433293</v>
      </c>
    </row>
    <row r="680" spans="1:20" x14ac:dyDescent="0.25">
      <c r="A680" s="5">
        <v>43913</v>
      </c>
      <c r="B680">
        <v>1.005E-2</v>
      </c>
      <c r="C680">
        <v>1.1520000000000001E-2</v>
      </c>
      <c r="D680">
        <v>9.8099999999999993E-3</v>
      </c>
      <c r="E680">
        <v>1.1140000000000001E-2</v>
      </c>
      <c r="F680">
        <v>458237815.89999998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0.5555555555555558</v>
      </c>
      <c r="Q680">
        <f t="shared" si="995"/>
        <v>254576564.38888898</v>
      </c>
      <c r="R680">
        <f t="shared" si="996"/>
        <v>-8179153837.0346336</v>
      </c>
      <c r="S680">
        <f t="shared" si="997"/>
        <v>-81791.53837034633</v>
      </c>
      <c r="T680">
        <f t="shared" si="998"/>
        <v>-81.791538370346331</v>
      </c>
    </row>
    <row r="681" spans="1:20" x14ac:dyDescent="0.25">
      <c r="A681" s="5">
        <v>43912</v>
      </c>
      <c r="B681">
        <v>1.119E-2</v>
      </c>
      <c r="C681">
        <v>1.167E-2</v>
      </c>
      <c r="D681">
        <v>9.8300000000000002E-3</v>
      </c>
      <c r="E681">
        <v>1.005E-2</v>
      </c>
      <c r="F681">
        <v>482278540.10000002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-0.76086956521739157</v>
      </c>
      <c r="Q681">
        <f t="shared" si="995"/>
        <v>-366951063.11956537</v>
      </c>
      <c r="R681">
        <f t="shared" si="996"/>
        <v>-8433730401.4235229</v>
      </c>
      <c r="S681">
        <f t="shared" si="997"/>
        <v>-84337.304014235226</v>
      </c>
      <c r="T681">
        <f t="shared" si="998"/>
        <v>-84.337304014235229</v>
      </c>
    </row>
    <row r="682" spans="1:20" x14ac:dyDescent="0.25">
      <c r="A682" s="5">
        <v>43911</v>
      </c>
      <c r="B682">
        <v>1.085E-2</v>
      </c>
      <c r="C682">
        <v>1.239E-2</v>
      </c>
      <c r="D682">
        <v>0.01</v>
      </c>
      <c r="E682">
        <v>1.1209999999999999E-2</v>
      </c>
      <c r="F682">
        <v>646956811.70000005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1.2552301255229615E-2</v>
      </c>
      <c r="Q682">
        <f t="shared" si="995"/>
        <v>8120796.7995812604</v>
      </c>
      <c r="R682">
        <f t="shared" si="996"/>
        <v>-8066779338.3039579</v>
      </c>
      <c r="S682">
        <f t="shared" si="997"/>
        <v>-80667.793383039578</v>
      </c>
      <c r="T682">
        <f t="shared" si="998"/>
        <v>-80.66779338303958</v>
      </c>
    </row>
    <row r="683" spans="1:20" x14ac:dyDescent="0.25">
      <c r="A683" s="5">
        <v>43910</v>
      </c>
      <c r="B683">
        <v>1.1220000000000001E-2</v>
      </c>
      <c r="C683">
        <v>1.29E-2</v>
      </c>
      <c r="D683">
        <v>9.5999999999999992E-3</v>
      </c>
      <c r="E683">
        <v>1.085E-2</v>
      </c>
      <c r="F683">
        <v>1011394442.7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-0.24242424242424196</v>
      </c>
      <c r="Q683">
        <f t="shared" si="995"/>
        <v>-245186531.56363592</v>
      </c>
      <c r="R683">
        <f t="shared" si="996"/>
        <v>-8074900135.1035395</v>
      </c>
      <c r="S683">
        <f t="shared" si="997"/>
        <v>-80749.001351035389</v>
      </c>
      <c r="T683">
        <f t="shared" si="998"/>
        <v>-80.749001351035389</v>
      </c>
    </row>
    <row r="684" spans="1:20" x14ac:dyDescent="0.25">
      <c r="A684" s="5">
        <v>43909</v>
      </c>
      <c r="B684">
        <v>9.1299999999999992E-3</v>
      </c>
      <c r="C684">
        <v>1.187E-2</v>
      </c>
      <c r="D684">
        <v>8.9599999999999992E-3</v>
      </c>
      <c r="E684">
        <v>1.1209999999999999E-2</v>
      </c>
      <c r="F684">
        <v>1066368718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0.5463917525773192</v>
      </c>
      <c r="Q684">
        <f t="shared" si="995"/>
        <v>582655072.72164905</v>
      </c>
      <c r="R684">
        <f t="shared" si="996"/>
        <v>-7829713603.5399036</v>
      </c>
      <c r="S684">
        <f t="shared" si="997"/>
        <v>-78297.136035399031</v>
      </c>
      <c r="T684">
        <f t="shared" si="998"/>
        <v>-78.297136035399035</v>
      </c>
    </row>
    <row r="685" spans="1:20" x14ac:dyDescent="0.25">
      <c r="A685" s="5">
        <v>43908</v>
      </c>
      <c r="B685">
        <v>9.2099999999999994E-3</v>
      </c>
      <c r="C685">
        <v>9.2999999999999992E-3</v>
      </c>
      <c r="D685">
        <v>8.0999999999999996E-3</v>
      </c>
      <c r="E685">
        <v>9.1199999999999996E-3</v>
      </c>
      <c r="F685">
        <v>713721987.29999995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0.70000000000000062</v>
      </c>
      <c r="Q685">
        <f t="shared" si="995"/>
        <v>499605391.11000043</v>
      </c>
      <c r="R685">
        <f t="shared" si="996"/>
        <v>-8412368676.2615528</v>
      </c>
      <c r="S685">
        <f t="shared" si="997"/>
        <v>-84123.686762615529</v>
      </c>
      <c r="T685">
        <f t="shared" si="998"/>
        <v>-84.123686762615534</v>
      </c>
    </row>
    <row r="686" spans="1:20" x14ac:dyDescent="0.25">
      <c r="A686" s="5">
        <v>43907</v>
      </c>
      <c r="B686">
        <v>8.1499999999999993E-3</v>
      </c>
      <c r="C686">
        <v>9.8799999999999999E-3</v>
      </c>
      <c r="D686">
        <v>7.9699999999999997E-3</v>
      </c>
      <c r="E686">
        <v>9.2099999999999994E-3</v>
      </c>
      <c r="F686">
        <v>757899922.60000002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0.29842931937172734</v>
      </c>
      <c r="Q686">
        <f t="shared" si="995"/>
        <v>226179558.05340284</v>
      </c>
      <c r="R686">
        <f t="shared" si="996"/>
        <v>-8911974067.3715534</v>
      </c>
      <c r="S686">
        <f t="shared" si="997"/>
        <v>-89119.74067371554</v>
      </c>
      <c r="T686">
        <f t="shared" si="998"/>
        <v>-89.11974067371554</v>
      </c>
    </row>
    <row r="687" spans="1:20" x14ac:dyDescent="0.25">
      <c r="A687" s="5">
        <v>43906</v>
      </c>
      <c r="B687">
        <v>9.8600000000000007E-3</v>
      </c>
      <c r="C687">
        <v>9.8600000000000007E-3</v>
      </c>
      <c r="D687">
        <v>6.7400000000000003E-3</v>
      </c>
      <c r="E687">
        <v>8.1300000000000001E-3</v>
      </c>
      <c r="F687">
        <v>1111508586.5999999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-0.10897435897435925</v>
      </c>
      <c r="Q687">
        <f t="shared" si="995"/>
        <v>-121125935.71923107</v>
      </c>
      <c r="R687">
        <f t="shared" si="996"/>
        <v>-9138153625.4249554</v>
      </c>
      <c r="S687">
        <f t="shared" si="997"/>
        <v>-91381.536254249557</v>
      </c>
      <c r="T687">
        <f t="shared" si="998"/>
        <v>-91.381536254249554</v>
      </c>
    </row>
    <row r="688" spans="1:20" x14ac:dyDescent="0.25">
      <c r="A688" s="5">
        <v>43905</v>
      </c>
      <c r="B688">
        <v>9.8300000000000002E-3</v>
      </c>
      <c r="C688">
        <v>1.15E-2</v>
      </c>
      <c r="D688">
        <v>9.3900000000000008E-3</v>
      </c>
      <c r="E688">
        <v>9.8600000000000007E-3</v>
      </c>
      <c r="F688">
        <v>568797501</v>
      </c>
      <c r="G688">
        <v>0</v>
      </c>
      <c r="L688" t="s">
        <v>8</v>
      </c>
      <c r="M688" t="s">
        <v>7</v>
      </c>
      <c r="N688" t="s">
        <v>8</v>
      </c>
      <c r="P688">
        <f t="shared" si="994"/>
        <v>-0.55450236966824629</v>
      </c>
      <c r="Q688">
        <f t="shared" si="995"/>
        <v>-315399562.16587669</v>
      </c>
      <c r="R688">
        <f t="shared" si="996"/>
        <v>-9017027689.7057247</v>
      </c>
      <c r="S688">
        <f t="shared" si="997"/>
        <v>-90170.276897057251</v>
      </c>
      <c r="T688">
        <f t="shared" si="998"/>
        <v>-90.170276897057249</v>
      </c>
    </row>
    <row r="689" spans="1:20" x14ac:dyDescent="0.25">
      <c r="A689" s="5">
        <v>43904</v>
      </c>
      <c r="B689">
        <v>1.082E-2</v>
      </c>
      <c r="C689">
        <v>1.137E-2</v>
      </c>
      <c r="D689">
        <v>9.5200000000000007E-3</v>
      </c>
      <c r="E689">
        <v>9.8300000000000002E-3</v>
      </c>
      <c r="F689">
        <v>488809312.80000001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-0.66486486486486529</v>
      </c>
      <c r="Q689">
        <f t="shared" si="995"/>
        <v>-324992137.69945967</v>
      </c>
      <c r="R689">
        <f t="shared" si="996"/>
        <v>-8701628127.5398483</v>
      </c>
      <c r="S689">
        <f t="shared" si="997"/>
        <v>-87016.281275398476</v>
      </c>
      <c r="T689">
        <f t="shared" si="998"/>
        <v>-87.01628127539847</v>
      </c>
    </row>
    <row r="690" spans="1:20" x14ac:dyDescent="0.25">
      <c r="A690" s="5">
        <v>43903</v>
      </c>
      <c r="B690">
        <v>9.3500000000000007E-3</v>
      </c>
      <c r="C690">
        <v>1.208E-2</v>
      </c>
      <c r="D690">
        <v>6.3200000000000001E-3</v>
      </c>
      <c r="E690">
        <v>1.0869999999999999E-2</v>
      </c>
      <c r="F690">
        <v>1501085364.5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0.57986111111111083</v>
      </c>
      <c r="Q690">
        <f t="shared" si="995"/>
        <v>870421027.33159685</v>
      </c>
      <c r="R690">
        <f t="shared" si="996"/>
        <v>-8376635989.8403893</v>
      </c>
      <c r="S690">
        <f t="shared" si="997"/>
        <v>-83766.359898403898</v>
      </c>
      <c r="T690">
        <f t="shared" si="998"/>
        <v>-83.766359898403891</v>
      </c>
    </row>
    <row r="691" spans="1:20" x14ac:dyDescent="0.25">
      <c r="A691" s="5">
        <v>43902</v>
      </c>
      <c r="B691">
        <v>1.898E-2</v>
      </c>
      <c r="C691">
        <v>1.9210000000000001E-2</v>
      </c>
      <c r="D691">
        <v>8.4499999999999992E-3</v>
      </c>
      <c r="E691">
        <v>9.1400000000000006E-3</v>
      </c>
      <c r="F691">
        <v>1745672785.4000001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-0.87174721189591053</v>
      </c>
      <c r="Q691">
        <f t="shared" si="995"/>
        <v>-1521785383.5550182</v>
      </c>
      <c r="R691">
        <f t="shared" si="996"/>
        <v>-9247057017.1719856</v>
      </c>
      <c r="S691">
        <f t="shared" si="997"/>
        <v>-92470.570171719854</v>
      </c>
      <c r="T691">
        <f t="shared" si="998"/>
        <v>-92.470570171719856</v>
      </c>
    </row>
    <row r="692" spans="1:20" x14ac:dyDescent="0.25">
      <c r="A692" s="5">
        <v>43901</v>
      </c>
      <c r="B692">
        <v>2.06E-2</v>
      </c>
      <c r="C692">
        <v>2.1489999999999999E-2</v>
      </c>
      <c r="D692">
        <v>1.7229999999999999E-2</v>
      </c>
      <c r="E692">
        <v>1.899E-2</v>
      </c>
      <c r="F692">
        <v>1133107149.0999999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-0.17370892018779288</v>
      </c>
      <c r="Q692">
        <f t="shared" si="995"/>
        <v>-196830819.32722941</v>
      </c>
      <c r="R692">
        <f t="shared" si="996"/>
        <v>-7725271633.6169682</v>
      </c>
      <c r="S692">
        <f t="shared" si="997"/>
        <v>-77252.716336169688</v>
      </c>
      <c r="T692">
        <f t="shared" si="998"/>
        <v>-77.252716336169684</v>
      </c>
    </row>
    <row r="693" spans="1:20" x14ac:dyDescent="0.25">
      <c r="A693" s="5">
        <v>43900</v>
      </c>
      <c r="B693">
        <v>2.053E-2</v>
      </c>
      <c r="C693">
        <v>2.239E-2</v>
      </c>
      <c r="D693">
        <v>1.9879999999999998E-2</v>
      </c>
      <c r="E693">
        <v>2.061E-2</v>
      </c>
      <c r="F693">
        <v>1046480525.3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-0.41832669322709087</v>
      </c>
      <c r="Q693">
        <f t="shared" si="995"/>
        <v>-437770737.67529798</v>
      </c>
      <c r="R693">
        <f t="shared" si="996"/>
        <v>-7528440814.2897387</v>
      </c>
      <c r="S693">
        <f t="shared" si="997"/>
        <v>-75284.408142897388</v>
      </c>
      <c r="T693">
        <f t="shared" si="998"/>
        <v>-75.284408142897391</v>
      </c>
    </row>
    <row r="694" spans="1:20" x14ac:dyDescent="0.25">
      <c r="A694" s="5">
        <v>43899</v>
      </c>
      <c r="B694">
        <v>2.1479999999999999E-2</v>
      </c>
      <c r="C694">
        <v>2.2610000000000002E-2</v>
      </c>
      <c r="D694">
        <v>1.8669999999999999E-2</v>
      </c>
      <c r="E694">
        <v>2.053E-2</v>
      </c>
      <c r="F694">
        <v>1257378101.4000001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-5.5837563451776984E-2</v>
      </c>
      <c r="Q694">
        <f t="shared" si="995"/>
        <v>-70208929.519797385</v>
      </c>
      <c r="R694">
        <f t="shared" si="996"/>
        <v>-7090670076.6144409</v>
      </c>
      <c r="S694">
        <f t="shared" si="997"/>
        <v>-70906.700766144408</v>
      </c>
      <c r="T694">
        <f t="shared" si="998"/>
        <v>-70.906700766144411</v>
      </c>
    </row>
    <row r="695" spans="1:20" x14ac:dyDescent="0.25">
      <c r="A695" s="5">
        <v>43898</v>
      </c>
      <c r="B695">
        <v>2.6790000000000001E-2</v>
      </c>
      <c r="C695">
        <v>2.6800000000000001E-2</v>
      </c>
      <c r="D695">
        <v>2.1000000000000001E-2</v>
      </c>
      <c r="E695">
        <v>2.1430000000000001E-2</v>
      </c>
      <c r="F695">
        <v>945593045.10000002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-0.85172413793103452</v>
      </c>
      <c r="Q695">
        <f t="shared" si="995"/>
        <v>-805384421.17137933</v>
      </c>
      <c r="R695">
        <f t="shared" si="996"/>
        <v>-7020461147.0946436</v>
      </c>
      <c r="S695">
        <f t="shared" si="997"/>
        <v>-70204.611470946431</v>
      </c>
      <c r="T695">
        <f t="shared" si="998"/>
        <v>-70.204611470946432</v>
      </c>
    </row>
    <row r="696" spans="1:20" x14ac:dyDescent="0.25">
      <c r="A696" s="5">
        <v>43897</v>
      </c>
      <c r="B696">
        <v>2.4979999999999999E-2</v>
      </c>
      <c r="C696">
        <v>2.9219999999999999E-2</v>
      </c>
      <c r="D696">
        <v>2.4910000000000002E-2</v>
      </c>
      <c r="E696">
        <v>2.6790000000000001E-2</v>
      </c>
      <c r="F696">
        <v>986883714.79999995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-0.12761020881670504</v>
      </c>
      <c r="Q696">
        <f t="shared" si="995"/>
        <v>-125936436.92343357</v>
      </c>
      <c r="R696">
        <f t="shared" si="996"/>
        <v>-6215076725.9232645</v>
      </c>
      <c r="S696">
        <f t="shared" si="997"/>
        <v>-62150.767259232642</v>
      </c>
      <c r="T696">
        <f t="shared" si="998"/>
        <v>-62.150767259232644</v>
      </c>
    </row>
    <row r="697" spans="1:20" x14ac:dyDescent="0.25">
      <c r="A697" s="5">
        <v>43896</v>
      </c>
      <c r="B697">
        <v>2.6360000000000001E-2</v>
      </c>
      <c r="C697">
        <v>2.6440000000000002E-2</v>
      </c>
      <c r="D697">
        <v>2.4299999999999999E-2</v>
      </c>
      <c r="E697">
        <v>2.4969999999999999E-2</v>
      </c>
      <c r="F697">
        <v>619002834.39999998</v>
      </c>
      <c r="G697">
        <v>0</v>
      </c>
      <c r="L697" t="s">
        <v>7</v>
      </c>
      <c r="M697" t="s">
        <v>8</v>
      </c>
      <c r="N697" t="s">
        <v>8</v>
      </c>
      <c r="P697">
        <f t="shared" si="994"/>
        <v>-0.37383177570093501</v>
      </c>
      <c r="Q697">
        <f t="shared" si="995"/>
        <v>-231402928.7476638</v>
      </c>
      <c r="R697">
        <f t="shared" si="996"/>
        <v>-6089140288.9998312</v>
      </c>
      <c r="S697">
        <f t="shared" si="997"/>
        <v>-60891.40288999831</v>
      </c>
      <c r="T697">
        <f t="shared" si="998"/>
        <v>-60.891402889998311</v>
      </c>
    </row>
    <row r="698" spans="1:20" x14ac:dyDescent="0.25">
      <c r="A698" s="5">
        <v>43895</v>
      </c>
      <c r="B698">
        <v>2.511E-2</v>
      </c>
      <c r="C698">
        <v>2.7959999999999999E-2</v>
      </c>
      <c r="D698">
        <v>2.495E-2</v>
      </c>
      <c r="E698">
        <v>2.639E-2</v>
      </c>
      <c r="F698">
        <v>899694395.60000002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-4.3189368770763528E-2</v>
      </c>
      <c r="Q698">
        <f t="shared" si="995"/>
        <v>-38857233.032557607</v>
      </c>
      <c r="R698">
        <f t="shared" si="996"/>
        <v>-5857737360.2521677</v>
      </c>
      <c r="S698">
        <f t="shared" si="997"/>
        <v>-58577.373602521679</v>
      </c>
      <c r="T698">
        <f t="shared" si="998"/>
        <v>-58.577373602521682</v>
      </c>
    </row>
    <row r="699" spans="1:20" x14ac:dyDescent="0.25">
      <c r="A699" s="5">
        <v>43894</v>
      </c>
      <c r="B699">
        <v>2.3439999999999999E-2</v>
      </c>
      <c r="C699">
        <v>2.7369999999999998E-2</v>
      </c>
      <c r="D699">
        <v>2.3390000000000001E-2</v>
      </c>
      <c r="E699">
        <v>2.511E-2</v>
      </c>
      <c r="F699">
        <v>1276187446.8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-0.13567839195979878</v>
      </c>
      <c r="Q699">
        <f t="shared" si="995"/>
        <v>-173151060.62110525</v>
      </c>
      <c r="R699">
        <f t="shared" si="996"/>
        <v>-5818880127.2196102</v>
      </c>
      <c r="S699">
        <f t="shared" si="997"/>
        <v>-58188.801272196099</v>
      </c>
      <c r="T699">
        <f t="shared" si="998"/>
        <v>-58.188801272196102</v>
      </c>
    </row>
    <row r="700" spans="1:20" x14ac:dyDescent="0.25">
      <c r="A700" s="5">
        <v>43893</v>
      </c>
      <c r="B700">
        <v>2.145E-2</v>
      </c>
      <c r="C700">
        <v>2.4E-2</v>
      </c>
      <c r="D700">
        <v>2.0469999999999999E-2</v>
      </c>
      <c r="E700">
        <v>2.3439999999999999E-2</v>
      </c>
      <c r="F700">
        <v>618780337.29999995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0.68271954674220892</v>
      </c>
      <c r="Q700">
        <f t="shared" si="995"/>
        <v>422453431.41444713</v>
      </c>
      <c r="R700">
        <f t="shared" si="996"/>
        <v>-5645729066.598505</v>
      </c>
      <c r="S700">
        <f t="shared" si="997"/>
        <v>-56457.290665985049</v>
      </c>
      <c r="T700">
        <f t="shared" si="998"/>
        <v>-56.457290665985049</v>
      </c>
    </row>
    <row r="701" spans="1:20" x14ac:dyDescent="0.25">
      <c r="A701" s="5">
        <v>43892</v>
      </c>
      <c r="B701">
        <v>1.934E-2</v>
      </c>
      <c r="C701">
        <v>2.1680000000000001E-2</v>
      </c>
      <c r="D701">
        <v>1.9009999999999999E-2</v>
      </c>
      <c r="E701">
        <v>2.1440000000000001E-2</v>
      </c>
      <c r="F701">
        <v>379683878.30000001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0.82022471910112327</v>
      </c>
      <c r="Q701">
        <f t="shared" si="995"/>
        <v>311426102.42584258</v>
      </c>
      <c r="R701">
        <f t="shared" si="996"/>
        <v>-6068182498.0129519</v>
      </c>
      <c r="S701">
        <f t="shared" si="997"/>
        <v>-60681.824980129517</v>
      </c>
      <c r="T701">
        <f t="shared" si="998"/>
        <v>-60.68182498012952</v>
      </c>
    </row>
    <row r="702" spans="1:20" x14ac:dyDescent="0.25">
      <c r="A702" s="5">
        <v>43891</v>
      </c>
      <c r="B702">
        <v>2.0150000000000001E-2</v>
      </c>
      <c r="C702">
        <v>2.1080000000000002E-2</v>
      </c>
      <c r="D702">
        <v>1.874E-2</v>
      </c>
      <c r="E702">
        <v>1.9349999999999999E-2</v>
      </c>
      <c r="F702">
        <v>419621195.60000002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-0.47863247863247954</v>
      </c>
      <c r="Q702">
        <f t="shared" si="995"/>
        <v>-200844332.93675253</v>
      </c>
      <c r="R702">
        <f t="shared" si="996"/>
        <v>-6379608600.4387941</v>
      </c>
      <c r="S702">
        <f t="shared" si="997"/>
        <v>-63796.086004387944</v>
      </c>
      <c r="T702">
        <f t="shared" si="998"/>
        <v>-63.796086004387945</v>
      </c>
    </row>
    <row r="703" spans="1:20" x14ac:dyDescent="0.25">
      <c r="A703" s="5">
        <v>43890</v>
      </c>
      <c r="B703">
        <v>2.0199999999999999E-2</v>
      </c>
      <c r="C703">
        <v>2.12E-2</v>
      </c>
      <c r="D703">
        <v>1.9810000000000001E-2</v>
      </c>
      <c r="E703">
        <v>2.0150000000000001E-2</v>
      </c>
      <c r="F703">
        <v>384070131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-0.51079136690647442</v>
      </c>
      <c r="Q703">
        <f t="shared" si="995"/>
        <v>-196179707.2014387</v>
      </c>
      <c r="R703">
        <f t="shared" si="996"/>
        <v>-6178764267.5020418</v>
      </c>
      <c r="S703">
        <f t="shared" si="997"/>
        <v>-61787.642675020419</v>
      </c>
      <c r="T703">
        <f t="shared" si="998"/>
        <v>-61.787642675020422</v>
      </c>
    </row>
    <row r="704" spans="1:20" x14ac:dyDescent="0.25">
      <c r="A704" s="5">
        <v>43889</v>
      </c>
      <c r="B704">
        <v>1.9640000000000001E-2</v>
      </c>
      <c r="C704">
        <v>2.043E-2</v>
      </c>
      <c r="D704">
        <v>1.7860000000000001E-2</v>
      </c>
      <c r="E704">
        <v>2.0199999999999999E-2</v>
      </c>
      <c r="F704">
        <v>455674502.30000001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0.82101167315175017</v>
      </c>
      <c r="Q704">
        <f t="shared" si="995"/>
        <v>374114085.54591405</v>
      </c>
      <c r="R704">
        <f t="shared" si="996"/>
        <v>-5982584560.3006029</v>
      </c>
      <c r="S704">
        <f t="shared" si="997"/>
        <v>-59825.845603006026</v>
      </c>
      <c r="T704">
        <f t="shared" si="998"/>
        <v>-59.825845603006023</v>
      </c>
    </row>
    <row r="705" spans="1:20" x14ac:dyDescent="0.25">
      <c r="A705" s="5">
        <v>43888</v>
      </c>
      <c r="B705">
        <v>1.8419999999999999E-2</v>
      </c>
      <c r="C705">
        <v>1.9900000000000001E-2</v>
      </c>
      <c r="D705">
        <v>1.746E-2</v>
      </c>
      <c r="E705">
        <v>1.9619999999999999E-2</v>
      </c>
      <c r="F705">
        <v>436872082.69999999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0.7704918032786866</v>
      </c>
      <c r="Q705">
        <f t="shared" si="995"/>
        <v>336606358.80163848</v>
      </c>
      <c r="R705">
        <f t="shared" si="996"/>
        <v>-6356698645.8465166</v>
      </c>
      <c r="S705">
        <f t="shared" si="997"/>
        <v>-63566.986458465166</v>
      </c>
      <c r="T705">
        <f t="shared" si="998"/>
        <v>-63.566986458465166</v>
      </c>
    </row>
    <row r="706" spans="1:20" x14ac:dyDescent="0.25">
      <c r="A706" s="5">
        <v>43887</v>
      </c>
      <c r="B706">
        <v>1.9029999999999998E-2</v>
      </c>
      <c r="C706">
        <v>1.9470000000000001E-2</v>
      </c>
      <c r="D706">
        <v>1.6760000000000001E-2</v>
      </c>
      <c r="E706">
        <v>1.8409999999999999E-2</v>
      </c>
      <c r="F706">
        <v>473199920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0.21771217712176999</v>
      </c>
      <c r="Q706">
        <f t="shared" si="995"/>
        <v>103021384.79704739</v>
      </c>
      <c r="R706">
        <f t="shared" si="996"/>
        <v>-6693305004.6481552</v>
      </c>
      <c r="S706">
        <f t="shared" si="997"/>
        <v>-66933.050046481556</v>
      </c>
      <c r="T706">
        <f t="shared" si="998"/>
        <v>-66.933050046481554</v>
      </c>
    </row>
    <row r="707" spans="1:20" x14ac:dyDescent="0.25">
      <c r="A707" s="5">
        <v>43886</v>
      </c>
      <c r="B707">
        <v>2.0750000000000001E-2</v>
      </c>
      <c r="C707">
        <v>2.0830000000000001E-2</v>
      </c>
      <c r="D707">
        <v>1.8679999999999999E-2</v>
      </c>
      <c r="E707">
        <v>1.907E-2</v>
      </c>
      <c r="F707">
        <v>447437214.5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-0.63720930232558048</v>
      </c>
      <c r="Q707">
        <f t="shared" si="995"/>
        <v>-285111155.28604609</v>
      </c>
      <c r="R707">
        <f t="shared" si="996"/>
        <v>-6796326389.4452028</v>
      </c>
      <c r="S707">
        <f t="shared" si="997"/>
        <v>-67963.263894452029</v>
      </c>
      <c r="T707">
        <f t="shared" si="998"/>
        <v>-67.963263894452027</v>
      </c>
    </row>
    <row r="708" spans="1:20" x14ac:dyDescent="0.25">
      <c r="A708" s="5">
        <v>43885</v>
      </c>
      <c r="B708">
        <v>2.2280000000000001E-2</v>
      </c>
      <c r="C708">
        <v>2.2360000000000001E-2</v>
      </c>
      <c r="D708">
        <v>0.02</v>
      </c>
      <c r="E708">
        <v>2.078E-2</v>
      </c>
      <c r="F708">
        <v>334945077.30000001</v>
      </c>
      <c r="G708">
        <v>0</v>
      </c>
      <c r="L708" t="s">
        <v>7</v>
      </c>
      <c r="M708" t="s">
        <v>8</v>
      </c>
      <c r="N708" t="s">
        <v>8</v>
      </c>
      <c r="P708">
        <f t="shared" si="994"/>
        <v>-0.33898305084745839</v>
      </c>
      <c r="Q708">
        <f t="shared" si="995"/>
        <v>-113540704.16949178</v>
      </c>
      <c r="R708">
        <f t="shared" si="996"/>
        <v>-6511215234.1591568</v>
      </c>
      <c r="S708">
        <f t="shared" si="997"/>
        <v>-65112.152341591565</v>
      </c>
      <c r="T708">
        <f t="shared" si="998"/>
        <v>-65.112152341591568</v>
      </c>
    </row>
    <row r="709" spans="1:20" x14ac:dyDescent="0.25">
      <c r="A709" s="5">
        <v>43884</v>
      </c>
      <c r="B709">
        <v>2.0760000000000001E-2</v>
      </c>
      <c r="C709">
        <v>2.3E-2</v>
      </c>
      <c r="D709">
        <v>2.0719999999999999E-2</v>
      </c>
      <c r="E709">
        <v>2.2290000000000001E-2</v>
      </c>
      <c r="F709">
        <v>368782509.5</v>
      </c>
      <c r="G709">
        <v>0</v>
      </c>
      <c r="L709" t="s">
        <v>8</v>
      </c>
      <c r="M709" t="s">
        <v>8</v>
      </c>
      <c r="N709" t="s">
        <v>8</v>
      </c>
      <c r="P709">
        <f t="shared" si="994"/>
        <v>0.37719298245614158</v>
      </c>
      <c r="Q709">
        <f t="shared" si="995"/>
        <v>139102174.63596538</v>
      </c>
      <c r="R709">
        <f t="shared" si="996"/>
        <v>-6397674529.989665</v>
      </c>
      <c r="S709">
        <f t="shared" si="997"/>
        <v>-63976.745299896647</v>
      </c>
      <c r="T709">
        <f t="shared" si="998"/>
        <v>-63.976745299896649</v>
      </c>
    </row>
    <row r="710" spans="1:20" x14ac:dyDescent="0.25">
      <c r="A710" s="5">
        <v>43883</v>
      </c>
      <c r="B710">
        <v>2.0750000000000001E-2</v>
      </c>
      <c r="C710">
        <v>2.1149999999999999E-2</v>
      </c>
      <c r="D710">
        <v>2.027E-2</v>
      </c>
      <c r="E710">
        <v>2.0760000000000001E-2</v>
      </c>
      <c r="F710">
        <v>154701488.19999999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0.11363636363636705</v>
      </c>
      <c r="Q710">
        <f t="shared" ref="Q710:Q766" si="1000">F710*P710</f>
        <v>17579714.568182345</v>
      </c>
      <c r="R710">
        <f t="shared" ref="R710:R766" si="1001">R711+Q710</f>
        <v>-6536776704.6256304</v>
      </c>
      <c r="S710">
        <f t="shared" ref="S710:S766" si="1002">R710/100000</f>
        <v>-65367.767046256304</v>
      </c>
      <c r="T710">
        <f t="shared" ref="T710:T766" si="1003">S710/1000</f>
        <v>-65.367767046256304</v>
      </c>
    </row>
    <row r="711" spans="1:20" x14ac:dyDescent="0.25">
      <c r="A711" s="5">
        <v>43882</v>
      </c>
      <c r="B711">
        <v>2.068E-2</v>
      </c>
      <c r="C711">
        <v>2.1899999999999999E-2</v>
      </c>
      <c r="D711">
        <v>2.0279999999999999E-2</v>
      </c>
      <c r="E711">
        <v>2.0740000000000001E-2</v>
      </c>
      <c r="F711">
        <v>323094839.5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-0.43209876543209619</v>
      </c>
      <c r="Q711">
        <f t="shared" si="1000"/>
        <v>-139608881.26543126</v>
      </c>
      <c r="R711">
        <f t="shared" si="1001"/>
        <v>-6554356419.1938124</v>
      </c>
      <c r="S711">
        <f t="shared" si="1002"/>
        <v>-65543.564191938131</v>
      </c>
      <c r="T711">
        <f t="shared" si="1003"/>
        <v>-65.543564191938131</v>
      </c>
    </row>
    <row r="712" spans="1:20" x14ac:dyDescent="0.25">
      <c r="A712" s="5">
        <v>43881</v>
      </c>
      <c r="B712">
        <v>1.9939999999999999E-2</v>
      </c>
      <c r="C712">
        <v>2.0729999999999998E-2</v>
      </c>
      <c r="D712">
        <v>1.9050000000000001E-2</v>
      </c>
      <c r="E712">
        <v>2.0709999999999999E-2</v>
      </c>
      <c r="F712">
        <v>231860140.09999999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0.97619047619047716</v>
      </c>
      <c r="Q712">
        <f t="shared" si="1000"/>
        <v>226339660.57380974</v>
      </c>
      <c r="R712">
        <f t="shared" si="1001"/>
        <v>-6414747537.928381</v>
      </c>
      <c r="S712">
        <f t="shared" si="1002"/>
        <v>-64147.475379283809</v>
      </c>
      <c r="T712">
        <f t="shared" si="1003"/>
        <v>-64.147475379283804</v>
      </c>
    </row>
    <row r="713" spans="1:20" x14ac:dyDescent="0.25">
      <c r="A713" s="5">
        <v>43880</v>
      </c>
      <c r="B713">
        <v>2.154E-2</v>
      </c>
      <c r="C713">
        <v>2.1999999999999999E-2</v>
      </c>
      <c r="D713">
        <v>1.925E-2</v>
      </c>
      <c r="E713">
        <v>1.9959999999999999E-2</v>
      </c>
      <c r="F713">
        <v>218514631.80000001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-0.48363636363636431</v>
      </c>
      <c r="Q713">
        <f t="shared" si="1000"/>
        <v>-105681621.92509106</v>
      </c>
      <c r="R713">
        <f t="shared" si="1001"/>
        <v>-6641087198.5021906</v>
      </c>
      <c r="S713">
        <f t="shared" si="1002"/>
        <v>-66410.871985021906</v>
      </c>
      <c r="T713">
        <f t="shared" si="1003"/>
        <v>-66.410871985021899</v>
      </c>
    </row>
    <row r="714" spans="1:20" x14ac:dyDescent="0.25">
      <c r="A714" s="5">
        <v>43879</v>
      </c>
      <c r="B714">
        <v>2.01E-2</v>
      </c>
      <c r="C714">
        <v>2.196E-2</v>
      </c>
      <c r="D714">
        <v>1.966E-2</v>
      </c>
      <c r="E714">
        <v>2.1510000000000001E-2</v>
      </c>
      <c r="F714">
        <v>396611373.30000001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0.60869565217391386</v>
      </c>
      <c r="Q714">
        <f t="shared" si="1000"/>
        <v>241415618.53043512</v>
      </c>
      <c r="R714">
        <f t="shared" si="1001"/>
        <v>-6535405576.5770998</v>
      </c>
      <c r="S714">
        <f t="shared" si="1002"/>
        <v>-65354.055765771001</v>
      </c>
      <c r="T714">
        <f t="shared" si="1003"/>
        <v>-65.354055765771008</v>
      </c>
    </row>
    <row r="715" spans="1:20" x14ac:dyDescent="0.25">
      <c r="A715" s="5">
        <v>43878</v>
      </c>
      <c r="B715">
        <v>2.009E-2</v>
      </c>
      <c r="C715">
        <v>2.0219999999999998E-2</v>
      </c>
      <c r="D715">
        <v>1.8759999999999999E-2</v>
      </c>
      <c r="E715">
        <v>2.009E-2</v>
      </c>
      <c r="F715">
        <v>407746218.30000001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0.82191780821918048</v>
      </c>
      <c r="Q715">
        <f t="shared" si="1000"/>
        <v>335133878.0547955</v>
      </c>
      <c r="R715">
        <f t="shared" si="1001"/>
        <v>-6776821195.1075354</v>
      </c>
      <c r="S715">
        <f t="shared" si="1002"/>
        <v>-67768.211951075355</v>
      </c>
      <c r="T715">
        <f t="shared" si="1003"/>
        <v>-67.768211951075358</v>
      </c>
    </row>
    <row r="716" spans="1:20" x14ac:dyDescent="0.25">
      <c r="A716" s="5">
        <v>43877</v>
      </c>
      <c r="B716">
        <v>2.0910000000000002E-2</v>
      </c>
      <c r="C716">
        <v>2.181E-2</v>
      </c>
      <c r="D716">
        <v>1.8589999999999999E-2</v>
      </c>
      <c r="E716">
        <v>2.0109999999999999E-2</v>
      </c>
      <c r="F716">
        <v>656256013.60000002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-5.5900621118012292E-2</v>
      </c>
      <c r="Q716">
        <f t="shared" si="1000"/>
        <v>-36685118.772670723</v>
      </c>
      <c r="R716">
        <f t="shared" si="1001"/>
        <v>-7111955073.1623306</v>
      </c>
      <c r="S716">
        <f t="shared" si="1002"/>
        <v>-71119.550731623312</v>
      </c>
      <c r="T716">
        <f t="shared" si="1003"/>
        <v>-71.119550731623306</v>
      </c>
    </row>
    <row r="717" spans="1:20" x14ac:dyDescent="0.25">
      <c r="A717" s="5">
        <v>43876</v>
      </c>
      <c r="B717">
        <v>2.3269999999999999E-2</v>
      </c>
      <c r="C717">
        <v>2.3720000000000001E-2</v>
      </c>
      <c r="D717">
        <v>0.02</v>
      </c>
      <c r="E717">
        <v>2.0899999999999998E-2</v>
      </c>
      <c r="F717">
        <v>589342906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-0.51612903225806572</v>
      </c>
      <c r="Q717">
        <f t="shared" si="1000"/>
        <v>-304176983.74193621</v>
      </c>
      <c r="R717">
        <f t="shared" si="1001"/>
        <v>-7075269954.3896599</v>
      </c>
      <c r="S717">
        <f t="shared" si="1002"/>
        <v>-70752.699543896597</v>
      </c>
      <c r="T717">
        <f t="shared" si="1003"/>
        <v>-70.752699543896597</v>
      </c>
    </row>
    <row r="718" spans="1:20" x14ac:dyDescent="0.25">
      <c r="A718" s="5">
        <v>43875</v>
      </c>
      <c r="B718">
        <v>2.232E-2</v>
      </c>
      <c r="C718">
        <v>2.383E-2</v>
      </c>
      <c r="D718">
        <v>2.2169999999999999E-2</v>
      </c>
      <c r="E718">
        <v>2.3259999999999999E-2</v>
      </c>
      <c r="F718">
        <v>441396099.5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0.31325301204819223</v>
      </c>
      <c r="Q718">
        <f t="shared" si="1000"/>
        <v>138268657.67469856</v>
      </c>
      <c r="R718">
        <f t="shared" si="1001"/>
        <v>-6771092970.6477242</v>
      </c>
      <c r="S718">
        <f t="shared" si="1002"/>
        <v>-67710.92970647724</v>
      </c>
      <c r="T718">
        <f t="shared" si="1003"/>
        <v>-67.710929706477245</v>
      </c>
    </row>
    <row r="719" spans="1:20" x14ac:dyDescent="0.25">
      <c r="A719" s="5">
        <v>43874</v>
      </c>
      <c r="B719">
        <v>2.282E-2</v>
      </c>
      <c r="C719">
        <v>2.3730000000000001E-2</v>
      </c>
      <c r="D719">
        <v>2.172E-2</v>
      </c>
      <c r="E719">
        <v>2.2329999999999999E-2</v>
      </c>
      <c r="F719">
        <v>524733065.89999998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-0.39303482587064775</v>
      </c>
      <c r="Q719">
        <f t="shared" si="1000"/>
        <v>-206238369.18457761</v>
      </c>
      <c r="R719">
        <f t="shared" si="1001"/>
        <v>-6909361628.322423</v>
      </c>
      <c r="S719">
        <f t="shared" si="1002"/>
        <v>-69093.616283224226</v>
      </c>
      <c r="T719">
        <f t="shared" si="1003"/>
        <v>-69.093616283224222</v>
      </c>
    </row>
    <row r="720" spans="1:20" x14ac:dyDescent="0.25">
      <c r="A720" s="5">
        <v>43873</v>
      </c>
      <c r="B720">
        <v>2.291E-2</v>
      </c>
      <c r="C720">
        <v>2.4549999999999999E-2</v>
      </c>
      <c r="D720">
        <v>2.24E-2</v>
      </c>
      <c r="E720">
        <v>2.2800000000000001E-2</v>
      </c>
      <c r="F720">
        <v>780105062.89999998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-0.62790697674418494</v>
      </c>
      <c r="Q720">
        <f t="shared" si="1000"/>
        <v>-489833411.58837122</v>
      </c>
      <c r="R720">
        <f t="shared" si="1001"/>
        <v>-6703123259.137845</v>
      </c>
      <c r="S720">
        <f t="shared" si="1002"/>
        <v>-67031.232591378444</v>
      </c>
      <c r="T720">
        <f t="shared" si="1003"/>
        <v>-67.031232591378441</v>
      </c>
    </row>
    <row r="721" spans="1:20" x14ac:dyDescent="0.25">
      <c r="A721" s="5">
        <v>43872</v>
      </c>
      <c r="B721">
        <v>2.1569999999999999E-2</v>
      </c>
      <c r="C721">
        <v>2.2919999999999999E-2</v>
      </c>
      <c r="D721">
        <v>2.0809999999999999E-2</v>
      </c>
      <c r="E721">
        <v>2.29E-2</v>
      </c>
      <c r="F721">
        <v>389524777.30000001</v>
      </c>
      <c r="G721">
        <v>0</v>
      </c>
      <c r="L721" t="s">
        <v>8</v>
      </c>
      <c r="M721" t="s">
        <v>7</v>
      </c>
      <c r="N721" t="s">
        <v>8</v>
      </c>
      <c r="P721">
        <f t="shared" si="999"/>
        <v>0.98104265402843682</v>
      </c>
      <c r="Q721">
        <f t="shared" si="1000"/>
        <v>382140421.33222783</v>
      </c>
      <c r="R721">
        <f t="shared" si="1001"/>
        <v>-6213289847.5494738</v>
      </c>
      <c r="S721">
        <f t="shared" si="1002"/>
        <v>-62132.898475494738</v>
      </c>
      <c r="T721">
        <f t="shared" si="1003"/>
        <v>-62.132898475494741</v>
      </c>
    </row>
    <row r="722" spans="1:20" x14ac:dyDescent="0.25">
      <c r="A722" s="5">
        <v>43871</v>
      </c>
      <c r="B722">
        <v>2.1899999999999999E-2</v>
      </c>
      <c r="C722">
        <v>2.23E-2</v>
      </c>
      <c r="D722">
        <v>2.0279999999999999E-2</v>
      </c>
      <c r="E722">
        <v>2.1590000000000002E-2</v>
      </c>
      <c r="F722">
        <v>530686843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0.29702970297029851</v>
      </c>
      <c r="Q722">
        <f t="shared" si="1000"/>
        <v>157629755.34653544</v>
      </c>
      <c r="R722">
        <f t="shared" si="1001"/>
        <v>-6595430268.8817015</v>
      </c>
      <c r="S722">
        <f t="shared" si="1002"/>
        <v>-65954.302688817013</v>
      </c>
      <c r="T722">
        <f t="shared" si="1003"/>
        <v>-65.954302688817009</v>
      </c>
    </row>
    <row r="723" spans="1:20" x14ac:dyDescent="0.25">
      <c r="A723" s="5">
        <v>43870</v>
      </c>
      <c r="B723">
        <v>2.121E-2</v>
      </c>
      <c r="C723">
        <v>2.23E-2</v>
      </c>
      <c r="D723">
        <v>2.07E-2</v>
      </c>
      <c r="E723">
        <v>2.197E-2</v>
      </c>
      <c r="F723">
        <v>513940247.69999999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0.58749999999999969</v>
      </c>
      <c r="Q723">
        <f t="shared" si="1000"/>
        <v>301939895.52374983</v>
      </c>
      <c r="R723">
        <f t="shared" si="1001"/>
        <v>-6753060024.2282372</v>
      </c>
      <c r="S723">
        <f t="shared" si="1002"/>
        <v>-67530.600242282366</v>
      </c>
      <c r="T723">
        <f t="shared" si="1003"/>
        <v>-67.530600242282361</v>
      </c>
    </row>
    <row r="724" spans="1:20" x14ac:dyDescent="0.25">
      <c r="A724" s="5">
        <v>43869</v>
      </c>
      <c r="B724">
        <v>2.3E-2</v>
      </c>
      <c r="C724">
        <v>2.3050000000000001E-2</v>
      </c>
      <c r="D724">
        <v>1.9449999999999999E-2</v>
      </c>
      <c r="E724">
        <v>2.1229999999999999E-2</v>
      </c>
      <c r="F724">
        <v>1047837209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-1.1111111111111615E-2</v>
      </c>
      <c r="Q724">
        <f t="shared" si="1000"/>
        <v>-11642635.655556083</v>
      </c>
      <c r="R724">
        <f t="shared" si="1001"/>
        <v>-7054999919.7519875</v>
      </c>
      <c r="S724">
        <f t="shared" si="1002"/>
        <v>-70549.999197519879</v>
      </c>
      <c r="T724">
        <f t="shared" si="1003"/>
        <v>-70.549999197519881</v>
      </c>
    </row>
    <row r="725" spans="1:20" x14ac:dyDescent="0.25">
      <c r="A725" s="5">
        <v>43868</v>
      </c>
      <c r="B725">
        <v>2.4479999999999998E-2</v>
      </c>
      <c r="C725">
        <v>2.5180000000000001E-2</v>
      </c>
      <c r="D725">
        <v>2.2800000000000001E-2</v>
      </c>
      <c r="E725">
        <v>2.3E-2</v>
      </c>
      <c r="F725">
        <v>702031749.5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-0.83193277310924474</v>
      </c>
      <c r="Q725">
        <f t="shared" si="1000"/>
        <v>-584043220.17226958</v>
      </c>
      <c r="R725">
        <f t="shared" si="1001"/>
        <v>-7043357284.0964317</v>
      </c>
      <c r="S725">
        <f t="shared" si="1002"/>
        <v>-70433.57284096432</v>
      </c>
      <c r="T725">
        <f t="shared" si="1003"/>
        <v>-70.433572840964317</v>
      </c>
    </row>
    <row r="726" spans="1:20" x14ac:dyDescent="0.25">
      <c r="A726" s="5">
        <v>43867</v>
      </c>
      <c r="B726">
        <v>2.154E-2</v>
      </c>
      <c r="C726">
        <v>2.4920000000000001E-2</v>
      </c>
      <c r="D726">
        <v>2.1499999999999998E-2</v>
      </c>
      <c r="E726">
        <v>2.4490000000000001E-2</v>
      </c>
      <c r="F726">
        <v>847034282.20000005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0.74853801169590672</v>
      </c>
      <c r="Q726">
        <f t="shared" si="1000"/>
        <v>634037357.4362576</v>
      </c>
      <c r="R726">
        <f t="shared" si="1001"/>
        <v>-6459314063.9241619</v>
      </c>
      <c r="S726">
        <f t="shared" si="1002"/>
        <v>-64593.140639241617</v>
      </c>
      <c r="T726">
        <f t="shared" si="1003"/>
        <v>-64.593140639241611</v>
      </c>
    </row>
    <row r="727" spans="1:20" x14ac:dyDescent="0.25">
      <c r="A727" s="5">
        <v>43866</v>
      </c>
      <c r="B727">
        <v>2.102E-2</v>
      </c>
      <c r="C727">
        <v>2.223E-2</v>
      </c>
      <c r="D727">
        <v>2.077E-2</v>
      </c>
      <c r="E727">
        <v>2.155E-2</v>
      </c>
      <c r="F727">
        <v>570440728.89999998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6.8493150684931114E-2</v>
      </c>
      <c r="Q727">
        <f t="shared" si="1000"/>
        <v>39071282.801369637</v>
      </c>
      <c r="R727">
        <f t="shared" si="1001"/>
        <v>-7093351421.3604193</v>
      </c>
      <c r="S727">
        <f t="shared" si="1002"/>
        <v>-70933.514213604198</v>
      </c>
      <c r="T727">
        <f t="shared" si="1003"/>
        <v>-70.933514213604198</v>
      </c>
    </row>
    <row r="728" spans="1:20" x14ac:dyDescent="0.25">
      <c r="A728" s="5">
        <v>43865</v>
      </c>
      <c r="B728">
        <v>2.1989999999999999E-2</v>
      </c>
      <c r="C728">
        <v>2.266E-2</v>
      </c>
      <c r="D728">
        <v>2.0199999999999999E-2</v>
      </c>
      <c r="E728">
        <v>2.0979999999999999E-2</v>
      </c>
      <c r="F728">
        <v>877010051.39999998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-0.36585365853658591</v>
      </c>
      <c r="Q728">
        <f t="shared" si="1000"/>
        <v>-320857335.87804925</v>
      </c>
      <c r="R728">
        <f t="shared" si="1001"/>
        <v>-7132422704.1617889</v>
      </c>
      <c r="S728">
        <f t="shared" si="1002"/>
        <v>-71324.227041617894</v>
      </c>
      <c r="T728">
        <f t="shared" si="1003"/>
        <v>-71.324227041617888</v>
      </c>
    </row>
    <row r="729" spans="1:20" x14ac:dyDescent="0.25">
      <c r="A729" s="5">
        <v>43864</v>
      </c>
      <c r="B729">
        <v>1.9029999999999998E-2</v>
      </c>
      <c r="C729">
        <v>2.2499999999999999E-2</v>
      </c>
      <c r="D729">
        <v>1.8859999999999998E-2</v>
      </c>
      <c r="E729">
        <v>2.1989999999999999E-2</v>
      </c>
      <c r="F729">
        <v>980888883.29999995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0.71978021978021978</v>
      </c>
      <c r="Q729">
        <f t="shared" si="1000"/>
        <v>706024416.00164831</v>
      </c>
      <c r="R729">
        <f t="shared" si="1001"/>
        <v>-6811565368.28374</v>
      </c>
      <c r="S729">
        <f t="shared" si="1002"/>
        <v>-68115.653682837394</v>
      </c>
      <c r="T729">
        <f t="shared" si="1003"/>
        <v>-68.11565368283739</v>
      </c>
    </row>
    <row r="730" spans="1:20" x14ac:dyDescent="0.25">
      <c r="A730" s="5">
        <v>43863</v>
      </c>
      <c r="B730">
        <v>1.8290000000000001E-2</v>
      </c>
      <c r="C730">
        <v>1.9699999999999999E-2</v>
      </c>
      <c r="D730">
        <v>1.78E-2</v>
      </c>
      <c r="E730">
        <v>1.9029999999999998E-2</v>
      </c>
      <c r="F730">
        <v>346032953.89999998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0.2947368421052623</v>
      </c>
      <c r="Q730">
        <f t="shared" si="1000"/>
        <v>101988660.0968418</v>
      </c>
      <c r="R730">
        <f t="shared" si="1001"/>
        <v>-7517589784.285388</v>
      </c>
      <c r="S730">
        <f t="shared" si="1002"/>
        <v>-75175.897842853883</v>
      </c>
      <c r="T730">
        <f t="shared" si="1003"/>
        <v>-75.175897842853885</v>
      </c>
    </row>
    <row r="731" spans="1:20" x14ac:dyDescent="0.25">
      <c r="A731" s="5">
        <v>43862</v>
      </c>
      <c r="B731">
        <v>1.7899999999999999E-2</v>
      </c>
      <c r="C731">
        <v>1.8419999999999999E-2</v>
      </c>
      <c r="D731">
        <v>1.78E-2</v>
      </c>
      <c r="E731">
        <v>1.8290000000000001E-2</v>
      </c>
      <c r="F731">
        <v>138733238.40000001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0.58064516129032784</v>
      </c>
      <c r="Q731">
        <f t="shared" si="1000"/>
        <v>80554783.587097511</v>
      </c>
      <c r="R731">
        <f t="shared" si="1001"/>
        <v>-7619578444.3822298</v>
      </c>
      <c r="S731">
        <f t="shared" si="1002"/>
        <v>-76195.784443822296</v>
      </c>
      <c r="T731">
        <f t="shared" si="1003"/>
        <v>-76.195784443822291</v>
      </c>
    </row>
    <row r="732" spans="1:20" x14ac:dyDescent="0.25">
      <c r="A732" s="5">
        <v>43861</v>
      </c>
      <c r="B732">
        <v>1.8589999999999999E-2</v>
      </c>
      <c r="C732">
        <v>1.8849999999999999E-2</v>
      </c>
      <c r="D732">
        <v>1.7690000000000001E-2</v>
      </c>
      <c r="E732">
        <v>1.7950000000000001E-2</v>
      </c>
      <c r="F732">
        <v>309411929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-0.55172413793103392</v>
      </c>
      <c r="Q732">
        <f t="shared" si="1000"/>
        <v>-170710029.79310328</v>
      </c>
      <c r="R732">
        <f t="shared" si="1001"/>
        <v>-7700133227.969327</v>
      </c>
      <c r="S732">
        <f t="shared" si="1002"/>
        <v>-77001.332279693263</v>
      </c>
      <c r="T732">
        <f t="shared" si="1003"/>
        <v>-77.001332279693258</v>
      </c>
    </row>
    <row r="733" spans="1:20" x14ac:dyDescent="0.25">
      <c r="A733" s="5">
        <v>43860</v>
      </c>
      <c r="B733">
        <v>1.704E-2</v>
      </c>
      <c r="C733">
        <v>1.8710000000000001E-2</v>
      </c>
      <c r="D733">
        <v>1.685E-2</v>
      </c>
      <c r="E733">
        <v>1.8589999999999999E-2</v>
      </c>
      <c r="F733">
        <v>528836868.5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0.87096774193548165</v>
      </c>
      <c r="Q733">
        <f t="shared" si="1000"/>
        <v>460599853.20967627</v>
      </c>
      <c r="R733">
        <f t="shared" si="1001"/>
        <v>-7529423198.1762238</v>
      </c>
      <c r="S733">
        <f t="shared" si="1002"/>
        <v>-75294.231981762234</v>
      </c>
      <c r="T733">
        <f t="shared" si="1003"/>
        <v>-75.294231981762238</v>
      </c>
    </row>
    <row r="734" spans="1:20" x14ac:dyDescent="0.25">
      <c r="A734" s="5">
        <v>43859</v>
      </c>
      <c r="B734">
        <v>1.7149999999999999E-2</v>
      </c>
      <c r="C734">
        <v>1.7250000000000001E-2</v>
      </c>
      <c r="D734">
        <v>1.6729999999999998E-2</v>
      </c>
      <c r="E734">
        <v>1.704E-2</v>
      </c>
      <c r="F734">
        <v>229198524.59999999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0.19230769230768999</v>
      </c>
      <c r="Q734">
        <f t="shared" si="1000"/>
        <v>44076639.346153311</v>
      </c>
      <c r="R734">
        <f t="shared" si="1001"/>
        <v>-7990023051.3858995</v>
      </c>
      <c r="S734">
        <f t="shared" si="1002"/>
        <v>-79900.230513859002</v>
      </c>
      <c r="T734">
        <f t="shared" si="1003"/>
        <v>-79.900230513859</v>
      </c>
    </row>
    <row r="735" spans="1:20" x14ac:dyDescent="0.25">
      <c r="A735" s="5">
        <v>43858</v>
      </c>
      <c r="B735">
        <v>1.6899999999999998E-2</v>
      </c>
      <c r="C735">
        <v>1.7350000000000001E-2</v>
      </c>
      <c r="D735">
        <v>1.6490000000000001E-2</v>
      </c>
      <c r="E735">
        <v>1.7139999999999999E-2</v>
      </c>
      <c r="F735">
        <v>292710824.5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0.51162790697673965</v>
      </c>
      <c r="Q735">
        <f t="shared" si="1000"/>
        <v>149759026.48837078</v>
      </c>
      <c r="R735">
        <f t="shared" si="1001"/>
        <v>-8034099690.7320528</v>
      </c>
      <c r="S735">
        <f t="shared" si="1002"/>
        <v>-80340.996907320528</v>
      </c>
      <c r="T735">
        <f t="shared" si="1003"/>
        <v>-80.34099690732053</v>
      </c>
    </row>
    <row r="736" spans="1:20" x14ac:dyDescent="0.25">
      <c r="A736" s="5">
        <v>43857</v>
      </c>
      <c r="B736">
        <v>1.6480000000000002E-2</v>
      </c>
      <c r="C736">
        <v>1.737E-2</v>
      </c>
      <c r="D736">
        <v>1.6469999999999999E-2</v>
      </c>
      <c r="E736">
        <v>1.6899999999999998E-2</v>
      </c>
      <c r="F736">
        <v>265267740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-4.4444444444446417E-2</v>
      </c>
      <c r="Q736">
        <f t="shared" si="1000"/>
        <v>-11789677.333333857</v>
      </c>
      <c r="R736">
        <f t="shared" si="1001"/>
        <v>-8183858717.2204237</v>
      </c>
      <c r="S736">
        <f t="shared" si="1002"/>
        <v>-81838.587172204236</v>
      </c>
      <c r="T736">
        <f t="shared" si="1003"/>
        <v>-81.838587172204242</v>
      </c>
    </row>
    <row r="737" spans="1:20" x14ac:dyDescent="0.25">
      <c r="A737" s="5">
        <v>43856</v>
      </c>
      <c r="B737">
        <v>1.6E-2</v>
      </c>
      <c r="C737">
        <v>1.6660000000000001E-2</v>
      </c>
      <c r="D737">
        <v>1.592E-2</v>
      </c>
      <c r="E737">
        <v>1.6449999999999999E-2</v>
      </c>
      <c r="F737">
        <v>139815455.5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0.43243243243242824</v>
      </c>
      <c r="Q737">
        <f t="shared" si="1000"/>
        <v>60460737.513512924</v>
      </c>
      <c r="R737">
        <f t="shared" si="1001"/>
        <v>-8172069039.8870897</v>
      </c>
      <c r="S737">
        <f t="shared" si="1002"/>
        <v>-81720.690398870895</v>
      </c>
      <c r="T737">
        <f t="shared" si="1003"/>
        <v>-81.7206903988709</v>
      </c>
    </row>
    <row r="738" spans="1:20" x14ac:dyDescent="0.25">
      <c r="A738" s="5">
        <v>43855</v>
      </c>
      <c r="B738">
        <v>1.6219999999999998E-2</v>
      </c>
      <c r="C738">
        <v>1.6420000000000001E-2</v>
      </c>
      <c r="D738">
        <v>1.576E-2</v>
      </c>
      <c r="E738">
        <v>1.602E-2</v>
      </c>
      <c r="F738">
        <v>153695842.30000001</v>
      </c>
      <c r="G738">
        <v>0</v>
      </c>
      <c r="L738" t="s">
        <v>8</v>
      </c>
      <c r="M738" t="s">
        <v>7</v>
      </c>
      <c r="N738" t="s">
        <v>8</v>
      </c>
      <c r="P738">
        <f t="shared" si="999"/>
        <v>-0.21212121212121371</v>
      </c>
      <c r="Q738">
        <f t="shared" si="1000"/>
        <v>-32602148.366666913</v>
      </c>
      <c r="R738">
        <f t="shared" si="1001"/>
        <v>-8232529777.4006023</v>
      </c>
      <c r="S738">
        <f t="shared" si="1002"/>
        <v>-82325.297774006031</v>
      </c>
      <c r="T738">
        <f t="shared" si="1003"/>
        <v>-82.325297774006032</v>
      </c>
    </row>
    <row r="739" spans="1:20" x14ac:dyDescent="0.25">
      <c r="A739" s="5">
        <v>43854</v>
      </c>
      <c r="B739">
        <v>1.6049999999999998E-2</v>
      </c>
      <c r="C739">
        <v>1.6459999999999999E-2</v>
      </c>
      <c r="D739">
        <v>1.5310000000000001E-2</v>
      </c>
      <c r="E739">
        <v>1.6219999999999998E-2</v>
      </c>
      <c r="F739">
        <v>189090063.30000001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0.58260869565217221</v>
      </c>
      <c r="Q739">
        <f t="shared" si="1000"/>
        <v>110165515.13999969</v>
      </c>
      <c r="R739">
        <f t="shared" si="1001"/>
        <v>-8199927629.0339355</v>
      </c>
      <c r="S739">
        <f t="shared" si="1002"/>
        <v>-81999.27629033936</v>
      </c>
      <c r="T739">
        <f t="shared" si="1003"/>
        <v>-81.999276290339353</v>
      </c>
    </row>
    <row r="740" spans="1:20" x14ac:dyDescent="0.25">
      <c r="A740" s="5">
        <v>43853</v>
      </c>
      <c r="B740">
        <v>1.7100000000000001E-2</v>
      </c>
      <c r="C740">
        <v>1.711E-2</v>
      </c>
      <c r="D740">
        <v>1.5689999999999999E-2</v>
      </c>
      <c r="E740">
        <v>1.6049999999999998E-2</v>
      </c>
      <c r="F740">
        <v>249820107.69999999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-0.49295774647887475</v>
      </c>
      <c r="Q740">
        <f t="shared" si="1000"/>
        <v>-123150757.31690177</v>
      </c>
      <c r="R740">
        <f t="shared" si="1001"/>
        <v>-8310093144.1739349</v>
      </c>
      <c r="S740">
        <f t="shared" si="1002"/>
        <v>-83100.931441739347</v>
      </c>
      <c r="T740">
        <f t="shared" si="1003"/>
        <v>-83.100931441739348</v>
      </c>
    </row>
    <row r="741" spans="1:20" x14ac:dyDescent="0.25">
      <c r="A741" s="5">
        <v>43852</v>
      </c>
      <c r="B741">
        <v>1.7149999999999999E-2</v>
      </c>
      <c r="C741">
        <v>1.7239999999999998E-2</v>
      </c>
      <c r="D741">
        <v>1.6719999999999999E-2</v>
      </c>
      <c r="E741">
        <v>1.7080000000000001E-2</v>
      </c>
      <c r="F741">
        <v>172091173.59999999</v>
      </c>
      <c r="G741">
        <v>0</v>
      </c>
      <c r="L741" t="s">
        <v>8</v>
      </c>
      <c r="M741" t="s">
        <v>7</v>
      </c>
      <c r="N741" t="s">
        <v>8</v>
      </c>
      <c r="P741">
        <f t="shared" si="999"/>
        <v>0.38461538461539591</v>
      </c>
      <c r="Q741">
        <f t="shared" si="1000"/>
        <v>66188912.923078865</v>
      </c>
      <c r="R741">
        <f t="shared" si="1001"/>
        <v>-8186942386.8570328</v>
      </c>
      <c r="S741">
        <f t="shared" si="1002"/>
        <v>-81869.423868570331</v>
      </c>
      <c r="T741">
        <f t="shared" si="1003"/>
        <v>-81.869423868570337</v>
      </c>
    </row>
    <row r="742" spans="1:20" x14ac:dyDescent="0.25">
      <c r="A742" s="5">
        <v>43851</v>
      </c>
      <c r="B742">
        <v>1.686E-2</v>
      </c>
      <c r="C742">
        <v>1.745E-2</v>
      </c>
      <c r="D742">
        <v>1.6160000000000001E-2</v>
      </c>
      <c r="E742">
        <v>1.7129999999999999E-2</v>
      </c>
      <c r="F742">
        <v>294705404.10000002</v>
      </c>
      <c r="G742">
        <v>0</v>
      </c>
      <c r="L742" t="s">
        <v>8</v>
      </c>
      <c r="M742" t="s">
        <v>7</v>
      </c>
      <c r="N742" t="s">
        <v>8</v>
      </c>
      <c r="P742">
        <f t="shared" si="999"/>
        <v>0.50387596899224651</v>
      </c>
      <c r="Q742">
        <f t="shared" si="1000"/>
        <v>148494971.05813909</v>
      </c>
      <c r="R742">
        <f t="shared" si="1001"/>
        <v>-8253131299.7801113</v>
      </c>
      <c r="S742">
        <f t="shared" si="1002"/>
        <v>-82531.312997801113</v>
      </c>
      <c r="T742">
        <f t="shared" si="1003"/>
        <v>-82.531312997801109</v>
      </c>
    </row>
    <row r="743" spans="1:20" x14ac:dyDescent="0.25">
      <c r="A743" s="5">
        <v>43850</v>
      </c>
      <c r="B743">
        <v>1.644E-2</v>
      </c>
      <c r="C743">
        <v>1.7229999999999999E-2</v>
      </c>
      <c r="D743">
        <v>1.602E-2</v>
      </c>
      <c r="E743">
        <v>1.685E-2</v>
      </c>
      <c r="F743">
        <v>256003406.30000001</v>
      </c>
      <c r="G743">
        <v>0</v>
      </c>
      <c r="L743" t="s">
        <v>8</v>
      </c>
      <c r="M743" t="s">
        <v>7</v>
      </c>
      <c r="N743" t="s">
        <v>8</v>
      </c>
      <c r="P743">
        <f t="shared" si="999"/>
        <v>0.37190082644628325</v>
      </c>
      <c r="Q743">
        <f t="shared" si="1000"/>
        <v>95207878.376033634</v>
      </c>
      <c r="R743">
        <f t="shared" si="1001"/>
        <v>-8401626270.8382502</v>
      </c>
      <c r="S743">
        <f t="shared" si="1002"/>
        <v>-84016.262708382506</v>
      </c>
      <c r="T743">
        <f t="shared" si="1003"/>
        <v>-84.016262708382513</v>
      </c>
    </row>
    <row r="744" spans="1:20" x14ac:dyDescent="0.25">
      <c r="A744" s="5">
        <v>43849</v>
      </c>
      <c r="B744">
        <v>1.7469999999999999E-2</v>
      </c>
      <c r="C744">
        <v>1.779E-2</v>
      </c>
      <c r="D744">
        <v>1.584E-2</v>
      </c>
      <c r="E744">
        <v>1.643E-2</v>
      </c>
      <c r="F744">
        <v>380894731.60000002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-0.39487179487179475</v>
      </c>
      <c r="Q744">
        <f t="shared" si="1000"/>
        <v>-150404586.32410252</v>
      </c>
      <c r="R744">
        <f t="shared" si="1001"/>
        <v>-8496834149.2142839</v>
      </c>
      <c r="S744">
        <f t="shared" si="1002"/>
        <v>-84968.341492142834</v>
      </c>
      <c r="T744">
        <f t="shared" si="1003"/>
        <v>-84.968341492142841</v>
      </c>
    </row>
    <row r="745" spans="1:20" x14ac:dyDescent="0.25">
      <c r="A745" s="5">
        <v>43848</v>
      </c>
      <c r="B745">
        <v>1.8700000000000001E-2</v>
      </c>
      <c r="C745">
        <v>1.8859999999999998E-2</v>
      </c>
      <c r="D745">
        <v>1.721E-2</v>
      </c>
      <c r="E745">
        <v>1.7479999999999999E-2</v>
      </c>
      <c r="F745">
        <v>408909989.5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-0.67272727272727317</v>
      </c>
      <c r="Q745">
        <f t="shared" si="1000"/>
        <v>-275084902.02727288</v>
      </c>
      <c r="R745">
        <f t="shared" si="1001"/>
        <v>-8346429562.8901815</v>
      </c>
      <c r="S745">
        <f t="shared" si="1002"/>
        <v>-83464.295628901818</v>
      </c>
      <c r="T745">
        <f t="shared" si="1003"/>
        <v>-83.464295628901823</v>
      </c>
    </row>
    <row r="746" spans="1:20" x14ac:dyDescent="0.25">
      <c r="A746" s="5">
        <v>43847</v>
      </c>
      <c r="B746">
        <v>1.6129999999999999E-2</v>
      </c>
      <c r="C746">
        <v>1.9259999999999999E-2</v>
      </c>
      <c r="D746">
        <v>1.576E-2</v>
      </c>
      <c r="E746">
        <v>1.8700000000000001E-2</v>
      </c>
      <c r="F746">
        <v>1188281610.0999999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0.68000000000000116</v>
      </c>
      <c r="Q746">
        <f t="shared" si="1000"/>
        <v>808031494.86800134</v>
      </c>
      <c r="R746">
        <f t="shared" si="1001"/>
        <v>-8071344660.8629084</v>
      </c>
      <c r="S746">
        <f t="shared" si="1002"/>
        <v>-80713.446608629078</v>
      </c>
      <c r="T746">
        <f t="shared" si="1003"/>
        <v>-80.713446608629084</v>
      </c>
    </row>
    <row r="747" spans="1:20" x14ac:dyDescent="0.25">
      <c r="A747" s="5">
        <v>43846</v>
      </c>
      <c r="B747">
        <v>1.6400000000000001E-2</v>
      </c>
      <c r="C747">
        <v>1.6449999999999999E-2</v>
      </c>
      <c r="D747">
        <v>1.542E-2</v>
      </c>
      <c r="E747">
        <v>1.6140000000000002E-2</v>
      </c>
      <c r="F747">
        <v>375117135.80000001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0.39805825242718856</v>
      </c>
      <c r="Q747">
        <f t="shared" si="1000"/>
        <v>149318471.53204039</v>
      </c>
      <c r="R747">
        <f t="shared" si="1001"/>
        <v>-8879376155.7309093</v>
      </c>
      <c r="S747">
        <f t="shared" si="1002"/>
        <v>-88793.761557309088</v>
      </c>
      <c r="T747">
        <f t="shared" si="1003"/>
        <v>-88.793761557309082</v>
      </c>
    </row>
    <row r="748" spans="1:20" x14ac:dyDescent="0.25">
      <c r="A748" s="5">
        <v>43845</v>
      </c>
      <c r="B748">
        <v>1.5630000000000002E-2</v>
      </c>
      <c r="C748">
        <v>1.704E-2</v>
      </c>
      <c r="D748">
        <v>1.546E-2</v>
      </c>
      <c r="E748">
        <v>1.6389999999999998E-2</v>
      </c>
      <c r="F748">
        <v>454172196.69999999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0.177215189873416</v>
      </c>
      <c r="Q748">
        <f t="shared" si="1000"/>
        <v>80486212.073416933</v>
      </c>
      <c r="R748">
        <f t="shared" si="1001"/>
        <v>-9028694627.262949</v>
      </c>
      <c r="S748">
        <f t="shared" si="1002"/>
        <v>-90286.946272629488</v>
      </c>
      <c r="T748">
        <f t="shared" si="1003"/>
        <v>-90.286946272629493</v>
      </c>
    </row>
    <row r="749" spans="1:20" x14ac:dyDescent="0.25">
      <c r="A749" s="5">
        <v>43844</v>
      </c>
      <c r="B749">
        <v>1.5480000000000001E-2</v>
      </c>
      <c r="C749">
        <v>1.6049999999999998E-2</v>
      </c>
      <c r="D749">
        <v>1.52E-2</v>
      </c>
      <c r="E749">
        <v>1.5640000000000001E-2</v>
      </c>
      <c r="F749">
        <v>508533400.10000002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3.5294117647063576E-2</v>
      </c>
      <c r="Q749">
        <f t="shared" si="1000"/>
        <v>17948237.650590654</v>
      </c>
      <c r="R749">
        <f t="shared" si="1001"/>
        <v>-9109180839.3363667</v>
      </c>
      <c r="S749">
        <f t="shared" si="1002"/>
        <v>-91091.808393363666</v>
      </c>
      <c r="T749">
        <f t="shared" si="1003"/>
        <v>-91.091808393363664</v>
      </c>
    </row>
    <row r="750" spans="1:20" x14ac:dyDescent="0.25">
      <c r="A750" s="5">
        <v>43843</v>
      </c>
      <c r="B750">
        <v>1.4970000000000001E-2</v>
      </c>
      <c r="C750">
        <v>1.5650000000000001E-2</v>
      </c>
      <c r="D750">
        <v>1.4760000000000001E-2</v>
      </c>
      <c r="E750">
        <v>1.5480000000000001E-2</v>
      </c>
      <c r="F750">
        <v>227352720.19999999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0.61797752808988771</v>
      </c>
      <c r="Q750">
        <f t="shared" si="1000"/>
        <v>140498872.03370789</v>
      </c>
      <c r="R750">
        <f t="shared" si="1001"/>
        <v>-9127129076.9869576</v>
      </c>
      <c r="S750">
        <f t="shared" si="1002"/>
        <v>-91271.290769869578</v>
      </c>
      <c r="T750">
        <f t="shared" si="1003"/>
        <v>-91.27129076986958</v>
      </c>
    </row>
    <row r="751" spans="1:20" x14ac:dyDescent="0.25">
      <c r="A751" s="5">
        <v>43842</v>
      </c>
      <c r="B751">
        <v>1.478E-2</v>
      </c>
      <c r="C751">
        <v>1.52E-2</v>
      </c>
      <c r="D751">
        <v>1.4659999999999999E-2</v>
      </c>
      <c r="E751">
        <v>1.4959999999999999E-2</v>
      </c>
      <c r="F751">
        <v>147803317.80000001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0.11111111111110969</v>
      </c>
      <c r="Q751">
        <f t="shared" si="1000"/>
        <v>16422590.866666459</v>
      </c>
      <c r="R751">
        <f t="shared" si="1001"/>
        <v>-9267627949.0206661</v>
      </c>
      <c r="S751">
        <f t="shared" si="1002"/>
        <v>-92676.279490206667</v>
      </c>
      <c r="T751">
        <f t="shared" si="1003"/>
        <v>-92.676279490206667</v>
      </c>
    </row>
    <row r="752" spans="1:20" x14ac:dyDescent="0.25">
      <c r="A752" s="5">
        <v>43841</v>
      </c>
      <c r="B752">
        <v>1.486E-2</v>
      </c>
      <c r="C752">
        <v>1.5100000000000001E-2</v>
      </c>
      <c r="D752">
        <v>1.4710000000000001E-2</v>
      </c>
      <c r="E752">
        <v>1.4789999999999999E-2</v>
      </c>
      <c r="F752">
        <v>178764052.80000001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-0.58974358974359731</v>
      </c>
      <c r="Q752">
        <f t="shared" si="1000"/>
        <v>-105424954.21538597</v>
      </c>
      <c r="R752">
        <f t="shared" si="1001"/>
        <v>-9284050539.8873329</v>
      </c>
      <c r="S752">
        <f t="shared" si="1002"/>
        <v>-92840.505398873327</v>
      </c>
      <c r="T752">
        <f t="shared" si="1003"/>
        <v>-92.840505398873333</v>
      </c>
    </row>
    <row r="753" spans="1:20" x14ac:dyDescent="0.25">
      <c r="A753" s="5">
        <v>43840</v>
      </c>
      <c r="B753">
        <v>1.4590000000000001E-2</v>
      </c>
      <c r="C753">
        <v>1.4970000000000001E-2</v>
      </c>
      <c r="D753">
        <v>1.423E-2</v>
      </c>
      <c r="E753">
        <v>1.486E-2</v>
      </c>
      <c r="F753">
        <v>211672984.30000001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0.70270270270270119</v>
      </c>
      <c r="Q753">
        <f t="shared" si="1000"/>
        <v>148743178.15675643</v>
      </c>
      <c r="R753">
        <f t="shared" si="1001"/>
        <v>-9178625585.6719475</v>
      </c>
      <c r="S753">
        <f t="shared" si="1002"/>
        <v>-91786.255856719479</v>
      </c>
      <c r="T753">
        <f t="shared" si="1003"/>
        <v>-91.786255856719478</v>
      </c>
    </row>
    <row r="754" spans="1:20" x14ac:dyDescent="0.25">
      <c r="A754" s="5">
        <v>43839</v>
      </c>
      <c r="B754">
        <v>1.4999999999999999E-2</v>
      </c>
      <c r="C754">
        <v>1.5140000000000001E-2</v>
      </c>
      <c r="D754">
        <v>1.4420000000000001E-2</v>
      </c>
      <c r="E754">
        <v>1.4590000000000001E-2</v>
      </c>
      <c r="F754">
        <v>179884184.09999999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-0.52777777777777779</v>
      </c>
      <c r="Q754">
        <f t="shared" si="1000"/>
        <v>-94938874.941666663</v>
      </c>
      <c r="R754">
        <f t="shared" si="1001"/>
        <v>-9327368763.8287048</v>
      </c>
      <c r="S754">
        <f t="shared" si="1002"/>
        <v>-93273.687638287054</v>
      </c>
      <c r="T754">
        <f t="shared" si="1003"/>
        <v>-93.273687638287058</v>
      </c>
    </row>
    <row r="755" spans="1:20" x14ac:dyDescent="0.25">
      <c r="A755" s="5">
        <v>43838</v>
      </c>
      <c r="B755">
        <v>1.508E-2</v>
      </c>
      <c r="C755">
        <v>1.532E-2</v>
      </c>
      <c r="D755">
        <v>1.469E-2</v>
      </c>
      <c r="E755">
        <v>1.499E-2</v>
      </c>
      <c r="F755">
        <v>333818052.19999999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-4.7619047619048407E-2</v>
      </c>
      <c r="Q755">
        <f t="shared" si="1000"/>
        <v>-15896097.723809786</v>
      </c>
      <c r="R755">
        <f t="shared" si="1001"/>
        <v>-9232429888.8870373</v>
      </c>
      <c r="S755">
        <f t="shared" si="1002"/>
        <v>-92324.298888870369</v>
      </c>
      <c r="T755">
        <f t="shared" si="1003"/>
        <v>-92.324298888870374</v>
      </c>
    </row>
    <row r="756" spans="1:20" x14ac:dyDescent="0.25">
      <c r="A756" s="5">
        <v>43837</v>
      </c>
      <c r="B756">
        <v>1.5559999999999999E-2</v>
      </c>
      <c r="C756">
        <v>1.5689999999999999E-2</v>
      </c>
      <c r="D756">
        <v>1.4760000000000001E-2</v>
      </c>
      <c r="E756">
        <v>1.5089999999999999E-2</v>
      </c>
      <c r="F756">
        <v>372258630.10000002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-0.29032258064516298</v>
      </c>
      <c r="Q756">
        <f t="shared" si="1000"/>
        <v>-108075086.15806516</v>
      </c>
      <c r="R756">
        <f t="shared" si="1001"/>
        <v>-9216533791.1632271</v>
      </c>
      <c r="S756">
        <f t="shared" si="1002"/>
        <v>-92165.337911632276</v>
      </c>
      <c r="T756">
        <f t="shared" si="1003"/>
        <v>-92.165337911632278</v>
      </c>
    </row>
    <row r="757" spans="1:20" x14ac:dyDescent="0.25">
      <c r="A757" s="5">
        <v>43836</v>
      </c>
      <c r="B757">
        <v>1.482E-2</v>
      </c>
      <c r="C757">
        <v>1.5949999999999999E-2</v>
      </c>
      <c r="D757">
        <v>1.4760000000000001E-2</v>
      </c>
      <c r="E757">
        <v>1.554E-2</v>
      </c>
      <c r="F757">
        <v>398548143.89999998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0.31092436974790005</v>
      </c>
      <c r="Q757">
        <f t="shared" si="1000"/>
        <v>123918330.45630287</v>
      </c>
      <c r="R757">
        <f t="shared" si="1001"/>
        <v>-9108458705.0051613</v>
      </c>
      <c r="S757">
        <f t="shared" si="1002"/>
        <v>-91084.587050051618</v>
      </c>
      <c r="T757">
        <f t="shared" si="1003"/>
        <v>-91.084587050051624</v>
      </c>
    </row>
    <row r="758" spans="1:20" x14ac:dyDescent="0.25">
      <c r="A758" s="5">
        <v>43835</v>
      </c>
      <c r="B758">
        <v>1.482E-2</v>
      </c>
      <c r="C758">
        <v>1.516E-2</v>
      </c>
      <c r="D758">
        <v>1.464E-2</v>
      </c>
      <c r="E758">
        <v>1.4829999999999999E-2</v>
      </c>
      <c r="F758">
        <v>185917300.09999999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-0.26923076923077177</v>
      </c>
      <c r="Q758">
        <f t="shared" si="1000"/>
        <v>-50054657.71923124</v>
      </c>
      <c r="R758">
        <f t="shared" si="1001"/>
        <v>-9232377035.4614639</v>
      </c>
      <c r="S758">
        <f t="shared" si="1002"/>
        <v>-92323.770354614637</v>
      </c>
      <c r="T758">
        <f t="shared" si="1003"/>
        <v>-92.323770354614638</v>
      </c>
    </row>
    <row r="759" spans="1:20" x14ac:dyDescent="0.25">
      <c r="A759" s="5">
        <v>43834</v>
      </c>
      <c r="B759">
        <v>1.5129999999999999E-2</v>
      </c>
      <c r="C759">
        <v>1.549E-2</v>
      </c>
      <c r="D759">
        <v>1.473E-2</v>
      </c>
      <c r="E759">
        <v>1.4840000000000001E-2</v>
      </c>
      <c r="F759">
        <v>230291045.90000001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-0.7105263157894719</v>
      </c>
      <c r="Q759">
        <f t="shared" si="1000"/>
        <v>-163627848.40263116</v>
      </c>
      <c r="R759">
        <f t="shared" si="1001"/>
        <v>-9182322377.7422333</v>
      </c>
      <c r="S759">
        <f t="shared" si="1002"/>
        <v>-91823.223777422332</v>
      </c>
      <c r="T759">
        <f t="shared" si="1003"/>
        <v>-91.823223777422328</v>
      </c>
    </row>
    <row r="760" spans="1:20" x14ac:dyDescent="0.25">
      <c r="A760" s="5">
        <v>43833</v>
      </c>
      <c r="B760">
        <v>1.4659999999999999E-2</v>
      </c>
      <c r="C760">
        <v>1.5429999999999999E-2</v>
      </c>
      <c r="D760">
        <v>1.417E-2</v>
      </c>
      <c r="E760">
        <v>1.512E-2</v>
      </c>
      <c r="F760">
        <v>381462323.69999999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0.50793650793650835</v>
      </c>
      <c r="Q760">
        <f t="shared" si="1000"/>
        <v>193758640.60952395</v>
      </c>
      <c r="R760">
        <f t="shared" si="1001"/>
        <v>-9018694529.3396015</v>
      </c>
      <c r="S760">
        <f t="shared" si="1002"/>
        <v>-90186.945293396013</v>
      </c>
      <c r="T760">
        <f t="shared" si="1003"/>
        <v>-90.186945293396008</v>
      </c>
    </row>
    <row r="761" spans="1:20" x14ac:dyDescent="0.25">
      <c r="A761" s="5">
        <v>43832</v>
      </c>
      <c r="B761">
        <v>1.498E-2</v>
      </c>
      <c r="C761">
        <v>1.5779999999999999E-2</v>
      </c>
      <c r="D761">
        <v>1.4279999999999999E-2</v>
      </c>
      <c r="E761">
        <v>1.4670000000000001E-2</v>
      </c>
      <c r="F761">
        <v>633705645.20000005</v>
      </c>
      <c r="G761">
        <v>0</v>
      </c>
      <c r="L761" t="s">
        <v>8</v>
      </c>
      <c r="M761" t="s">
        <v>7</v>
      </c>
      <c r="N761" t="s">
        <v>7</v>
      </c>
      <c r="P761">
        <f t="shared" si="999"/>
        <v>-0.47999999999999793</v>
      </c>
      <c r="Q761">
        <f t="shared" si="1000"/>
        <v>-304178709.69599873</v>
      </c>
      <c r="R761">
        <f t="shared" si="1001"/>
        <v>-9212453169.9491253</v>
      </c>
      <c r="S761">
        <f t="shared" si="1002"/>
        <v>-92124.531699491257</v>
      </c>
      <c r="T761">
        <f t="shared" si="1003"/>
        <v>-92.124531699491257</v>
      </c>
    </row>
    <row r="762" spans="1:20" x14ac:dyDescent="0.25">
      <c r="A762" s="5">
        <v>43831</v>
      </c>
      <c r="B762">
        <v>1.379E-2</v>
      </c>
      <c r="C762">
        <v>1.55E-2</v>
      </c>
      <c r="D762">
        <v>1.375E-2</v>
      </c>
      <c r="E762">
        <v>1.4959999999999999E-2</v>
      </c>
      <c r="F762">
        <v>491078226.69999999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0.38285714285714217</v>
      </c>
      <c r="Q762">
        <f t="shared" si="1000"/>
        <v>188012806.79371396</v>
      </c>
      <c r="R762">
        <f t="shared" si="1001"/>
        <v>-8908274460.2531261</v>
      </c>
      <c r="S762">
        <f t="shared" si="1002"/>
        <v>-89082.744602531267</v>
      </c>
      <c r="T762">
        <f t="shared" si="1003"/>
        <v>-89.082744602531264</v>
      </c>
    </row>
    <row r="763" spans="1:20" x14ac:dyDescent="0.25">
      <c r="A763" s="5">
        <v>43830</v>
      </c>
      <c r="B763">
        <v>1.4279999999999999E-2</v>
      </c>
      <c r="C763">
        <v>1.451E-2</v>
      </c>
      <c r="D763">
        <v>1.366E-2</v>
      </c>
      <c r="E763">
        <v>1.379E-2</v>
      </c>
      <c r="F763">
        <v>220977375.5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-0.69411764705882373</v>
      </c>
      <c r="Q763">
        <f t="shared" si="1000"/>
        <v>-153384295.93529415</v>
      </c>
      <c r="R763">
        <f t="shared" si="1001"/>
        <v>-9096287267.0468407</v>
      </c>
      <c r="S763">
        <f t="shared" si="1002"/>
        <v>-90962.872670468409</v>
      </c>
      <c r="T763">
        <f t="shared" si="1003"/>
        <v>-90.962872670468414</v>
      </c>
    </row>
    <row r="764" spans="1:20" x14ac:dyDescent="0.25">
      <c r="A764" s="5">
        <v>43829</v>
      </c>
      <c r="B764">
        <v>1.473E-2</v>
      </c>
      <c r="C764">
        <v>1.4959999999999999E-2</v>
      </c>
      <c r="D764">
        <v>1.4200000000000001E-2</v>
      </c>
      <c r="E764">
        <v>1.427E-2</v>
      </c>
      <c r="F764">
        <v>182360796.30000001</v>
      </c>
      <c r="G764">
        <v>0</v>
      </c>
      <c r="L764" t="s">
        <v>7</v>
      </c>
      <c r="M764" t="s">
        <v>7</v>
      </c>
      <c r="N764" t="s">
        <v>8</v>
      </c>
      <c r="P764">
        <f t="shared" si="999"/>
        <v>-0.81578947368421306</v>
      </c>
      <c r="Q764">
        <f t="shared" si="1000"/>
        <v>-148768018.03421101</v>
      </c>
      <c r="R764">
        <f t="shared" si="1001"/>
        <v>-8942902971.1115475</v>
      </c>
      <c r="S764">
        <f t="shared" si="1002"/>
        <v>-89429.02971111548</v>
      </c>
      <c r="T764">
        <f t="shared" si="1003"/>
        <v>-89.429029711115476</v>
      </c>
    </row>
    <row r="765" spans="1:20" x14ac:dyDescent="0.25">
      <c r="A765" s="5">
        <v>43828</v>
      </c>
      <c r="B765">
        <v>1.494E-2</v>
      </c>
      <c r="C765">
        <v>1.5389999999999999E-2</v>
      </c>
      <c r="D765">
        <v>1.455E-2</v>
      </c>
      <c r="E765">
        <v>1.474E-2</v>
      </c>
      <c r="F765">
        <v>286595877.39999998</v>
      </c>
      <c r="G765">
        <v>0</v>
      </c>
      <c r="L765" t="s">
        <v>7</v>
      </c>
      <c r="M765" t="s">
        <v>7</v>
      </c>
      <c r="N765" t="s">
        <v>8</v>
      </c>
      <c r="P765">
        <f t="shared" si="999"/>
        <v>-0.54761904761904889</v>
      </c>
      <c r="Q765">
        <f t="shared" si="1000"/>
        <v>-156945361.43333369</v>
      </c>
      <c r="R765">
        <f t="shared" si="1001"/>
        <v>-8794134953.0773373</v>
      </c>
      <c r="S765">
        <f t="shared" si="1002"/>
        <v>-87941.349530773368</v>
      </c>
      <c r="T765">
        <f t="shared" si="1003"/>
        <v>-87.941349530773365</v>
      </c>
    </row>
    <row r="766" spans="1:20" x14ac:dyDescent="0.25">
      <c r="A766" s="5">
        <v>43827</v>
      </c>
      <c r="B766">
        <v>1.519E-2</v>
      </c>
      <c r="C766">
        <v>1.546E-2</v>
      </c>
      <c r="D766">
        <v>1.4919999999999999E-2</v>
      </c>
      <c r="E766">
        <v>1.494E-2</v>
      </c>
      <c r="F766">
        <v>167633035</v>
      </c>
      <c r="G766">
        <v>0</v>
      </c>
      <c r="L766" t="s">
        <v>7</v>
      </c>
      <c r="M766" t="s">
        <v>7</v>
      </c>
      <c r="N766" t="s">
        <v>8</v>
      </c>
      <c r="P766">
        <f t="shared" si="999"/>
        <v>-0.9259259259259226</v>
      </c>
      <c r="Q766">
        <f t="shared" si="1000"/>
        <v>-155215773.14814758</v>
      </c>
      <c r="R766">
        <f t="shared" si="1001"/>
        <v>-8637189591.6440029</v>
      </c>
      <c r="S766">
        <f t="shared" si="1002"/>
        <v>-86371.895916440029</v>
      </c>
      <c r="T766">
        <f t="shared" si="1003"/>
        <v>-86.371895916440025</v>
      </c>
    </row>
    <row r="767" spans="1:20" x14ac:dyDescent="0.25">
      <c r="A767" s="5">
        <v>43826</v>
      </c>
      <c r="B767">
        <v>1.5630000000000002E-2</v>
      </c>
      <c r="C767">
        <v>1.585E-2</v>
      </c>
      <c r="D767">
        <v>1.451E-2</v>
      </c>
      <c r="E767">
        <v>1.5180000000000001E-2</v>
      </c>
      <c r="F767">
        <v>348584709</v>
      </c>
      <c r="G767">
        <v>0</v>
      </c>
      <c r="L767" t="s">
        <v>7</v>
      </c>
      <c r="M767" t="s">
        <v>7</v>
      </c>
      <c r="N767" t="s">
        <v>8</v>
      </c>
      <c r="P767">
        <f t="shared" ref="P767:P830" si="1004">IF(C767=D767,0,((E767-D767)-(C767-E767))/(C767-D767))</f>
        <v>1.2945697581916479E-15</v>
      </c>
      <c r="Q767">
        <f t="shared" ref="Q767:Q830" si="1005">F767*P767</f>
        <v>4.5126722243943595E-7</v>
      </c>
      <c r="R767">
        <f t="shared" ref="R767:R830" si="1006">R768+Q767</f>
        <v>-8481973818.4958553</v>
      </c>
      <c r="S767">
        <f t="shared" ref="S767:S830" si="1007">R767/100000</f>
        <v>-84819.738184958551</v>
      </c>
      <c r="T767">
        <f t="shared" ref="T767:T830" si="1008">S767/1000</f>
        <v>-84.819738184958553</v>
      </c>
    </row>
    <row r="768" spans="1:20" x14ac:dyDescent="0.25">
      <c r="A768" s="5">
        <v>43825</v>
      </c>
      <c r="B768">
        <v>1.562E-2</v>
      </c>
      <c r="C768">
        <v>1.635E-2</v>
      </c>
      <c r="D768">
        <v>1.525E-2</v>
      </c>
      <c r="E768">
        <v>1.566E-2</v>
      </c>
      <c r="F768">
        <v>394179878.69999999</v>
      </c>
      <c r="G768">
        <v>0</v>
      </c>
      <c r="L768" t="s">
        <v>7</v>
      </c>
      <c r="M768" t="s">
        <v>7</v>
      </c>
      <c r="N768" t="s">
        <v>8</v>
      </c>
      <c r="P768">
        <f t="shared" si="1004"/>
        <v>-0.25454545454545358</v>
      </c>
      <c r="Q768">
        <f t="shared" si="1005"/>
        <v>-100336696.39636326</v>
      </c>
      <c r="R768">
        <f t="shared" si="1006"/>
        <v>-8481973818.4958553</v>
      </c>
      <c r="S768">
        <f t="shared" si="1007"/>
        <v>-84819.738184958551</v>
      </c>
      <c r="T768">
        <f t="shared" si="1008"/>
        <v>-84.819738184958553</v>
      </c>
    </row>
    <row r="769" spans="1:20" x14ac:dyDescent="0.25">
      <c r="A769" s="5">
        <v>43824</v>
      </c>
      <c r="B769">
        <v>1.6129999999999999E-2</v>
      </c>
      <c r="C769">
        <v>1.6979999999999999E-2</v>
      </c>
      <c r="D769">
        <v>1.5100000000000001E-2</v>
      </c>
      <c r="E769">
        <v>1.5640000000000001E-2</v>
      </c>
      <c r="F769">
        <v>692544947.70000005</v>
      </c>
      <c r="G769">
        <v>0</v>
      </c>
      <c r="L769" t="s">
        <v>8</v>
      </c>
      <c r="M769" t="s">
        <v>7</v>
      </c>
      <c r="N769" t="s">
        <v>8</v>
      </c>
      <c r="P769">
        <f t="shared" si="1004"/>
        <v>-0.4255319148936158</v>
      </c>
      <c r="Q769">
        <f t="shared" si="1005"/>
        <v>-294699977.74468005</v>
      </c>
      <c r="R769">
        <f t="shared" si="1006"/>
        <v>-8381637122.0994921</v>
      </c>
      <c r="S769">
        <f t="shared" si="1007"/>
        <v>-83816.371220994915</v>
      </c>
      <c r="T769">
        <f t="shared" si="1008"/>
        <v>-83.81637122099491</v>
      </c>
    </row>
    <row r="770" spans="1:20" x14ac:dyDescent="0.25">
      <c r="A770" s="5">
        <v>43823</v>
      </c>
      <c r="B770">
        <v>1.508E-2</v>
      </c>
      <c r="C770">
        <v>1.619E-2</v>
      </c>
      <c r="D770">
        <v>1.4760000000000001E-2</v>
      </c>
      <c r="E770">
        <v>1.6129999999999999E-2</v>
      </c>
      <c r="F770">
        <v>603164613</v>
      </c>
      <c r="G770">
        <v>0</v>
      </c>
      <c r="L770" t="s">
        <v>8</v>
      </c>
      <c r="M770" t="s">
        <v>7</v>
      </c>
      <c r="N770" t="s">
        <v>8</v>
      </c>
      <c r="P770">
        <f t="shared" si="1004"/>
        <v>0.9160839160839146</v>
      </c>
      <c r="Q770">
        <f t="shared" si="1005"/>
        <v>552549400.72027886</v>
      </c>
      <c r="R770">
        <f t="shared" si="1006"/>
        <v>-8086937144.3548117</v>
      </c>
      <c r="S770">
        <f t="shared" si="1007"/>
        <v>-80869.371443548123</v>
      </c>
      <c r="T770">
        <f t="shared" si="1008"/>
        <v>-80.869371443548118</v>
      </c>
    </row>
    <row r="771" spans="1:20" x14ac:dyDescent="0.25">
      <c r="A771" s="5">
        <v>43822</v>
      </c>
      <c r="B771">
        <v>1.6140000000000002E-2</v>
      </c>
      <c r="C771">
        <v>1.6279999999999999E-2</v>
      </c>
      <c r="D771">
        <v>1.4630000000000001E-2</v>
      </c>
      <c r="E771">
        <v>1.508E-2</v>
      </c>
      <c r="F771">
        <v>1116971022.2</v>
      </c>
      <c r="G771">
        <v>0</v>
      </c>
      <c r="L771" t="s">
        <v>7</v>
      </c>
      <c r="M771" t="s">
        <v>7</v>
      </c>
      <c r="N771" t="s">
        <v>8</v>
      </c>
      <c r="P771">
        <f t="shared" si="1004"/>
        <v>-0.45454545454545531</v>
      </c>
      <c r="Q771">
        <f t="shared" si="1005"/>
        <v>-507714101.00000089</v>
      </c>
      <c r="R771">
        <f t="shared" si="1006"/>
        <v>-8639486545.0750904</v>
      </c>
      <c r="S771">
        <f t="shared" si="1007"/>
        <v>-86394.865450750905</v>
      </c>
      <c r="T771">
        <f t="shared" si="1008"/>
        <v>-86.394865450750899</v>
      </c>
    </row>
    <row r="772" spans="1:20" x14ac:dyDescent="0.25">
      <c r="A772" s="5">
        <v>43821</v>
      </c>
      <c r="B772">
        <v>1.7979999999999999E-2</v>
      </c>
      <c r="C772">
        <v>1.9980000000000001E-2</v>
      </c>
      <c r="D772">
        <v>1.4999999999999999E-2</v>
      </c>
      <c r="E772">
        <v>1.6140000000000002E-2</v>
      </c>
      <c r="F772">
        <v>2208662697.1999998</v>
      </c>
      <c r="G772">
        <v>0</v>
      </c>
      <c r="L772" t="s">
        <v>8</v>
      </c>
      <c r="M772" t="s">
        <v>8</v>
      </c>
      <c r="N772" t="s">
        <v>8</v>
      </c>
      <c r="P772">
        <f t="shared" si="1004"/>
        <v>-0.54216867469879448</v>
      </c>
      <c r="Q772">
        <f t="shared" si="1005"/>
        <v>-1197467727.3975887</v>
      </c>
      <c r="R772">
        <f t="shared" si="1006"/>
        <v>-8131772444.0750904</v>
      </c>
      <c r="S772">
        <f t="shared" si="1007"/>
        <v>-81317.724440750899</v>
      </c>
      <c r="T772">
        <f t="shared" si="1008"/>
        <v>-81.317724440750894</v>
      </c>
    </row>
    <row r="773" spans="1:20" x14ac:dyDescent="0.25">
      <c r="A773" s="5">
        <v>43820</v>
      </c>
      <c r="B773">
        <v>1.555E-2</v>
      </c>
      <c r="C773">
        <v>1.84E-2</v>
      </c>
      <c r="D773">
        <v>1.52E-2</v>
      </c>
      <c r="E773">
        <v>1.7979999999999999E-2</v>
      </c>
      <c r="F773">
        <v>1560964123.5</v>
      </c>
      <c r="G773">
        <v>0</v>
      </c>
      <c r="L773" t="s">
        <v>8</v>
      </c>
      <c r="M773" t="s">
        <v>8</v>
      </c>
      <c r="N773" t="s">
        <v>8</v>
      </c>
      <c r="P773">
        <f t="shared" si="1004"/>
        <v>0.73749999999999982</v>
      </c>
      <c r="Q773">
        <f t="shared" si="1005"/>
        <v>1151211041.0812497</v>
      </c>
      <c r="R773">
        <f t="shared" si="1006"/>
        <v>-6934304716.6775017</v>
      </c>
      <c r="S773">
        <f t="shared" si="1007"/>
        <v>-69343.04716677501</v>
      </c>
      <c r="T773">
        <f t="shared" si="1008"/>
        <v>-69.343047166775008</v>
      </c>
    </row>
    <row r="774" spans="1:20" x14ac:dyDescent="0.25">
      <c r="A774" s="5">
        <v>43819</v>
      </c>
      <c r="B774">
        <v>1.3140000000000001E-2</v>
      </c>
      <c r="C774">
        <v>1.585E-2</v>
      </c>
      <c r="D774">
        <v>1.312E-2</v>
      </c>
      <c r="E774">
        <v>1.5570000000000001E-2</v>
      </c>
      <c r="F774">
        <v>1683680305.9000001</v>
      </c>
      <c r="G774">
        <v>0</v>
      </c>
      <c r="L774" t="s">
        <v>8</v>
      </c>
      <c r="M774" t="s">
        <v>8</v>
      </c>
      <c r="N774" t="s">
        <v>8</v>
      </c>
      <c r="P774">
        <f t="shared" si="1004"/>
        <v>0.7948717948717956</v>
      </c>
      <c r="Q774">
        <f t="shared" si="1005"/>
        <v>1338309986.7410269</v>
      </c>
      <c r="R774">
        <f t="shared" si="1006"/>
        <v>-8085515757.7587519</v>
      </c>
      <c r="S774">
        <f t="shared" si="1007"/>
        <v>-80855.157577587524</v>
      </c>
      <c r="T774">
        <f t="shared" si="1008"/>
        <v>-80.855157577587519</v>
      </c>
    </row>
    <row r="775" spans="1:20" x14ac:dyDescent="0.25">
      <c r="A775" s="5">
        <v>43818</v>
      </c>
      <c r="B775">
        <v>1.2710000000000001E-2</v>
      </c>
      <c r="C775">
        <v>1.315E-2</v>
      </c>
      <c r="D775">
        <v>1.221E-2</v>
      </c>
      <c r="E775">
        <v>1.3140000000000001E-2</v>
      </c>
      <c r="F775">
        <v>434280462.19999999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0.97872340425532001</v>
      </c>
      <c r="Q775">
        <f t="shared" si="1005"/>
        <v>425040452.3659578</v>
      </c>
      <c r="R775">
        <f t="shared" si="1006"/>
        <v>-9423825744.4997787</v>
      </c>
      <c r="S775">
        <f t="shared" si="1007"/>
        <v>-94238.257444997784</v>
      </c>
      <c r="T775">
        <f t="shared" si="1008"/>
        <v>-94.238257444997785</v>
      </c>
    </row>
    <row r="776" spans="1:20" x14ac:dyDescent="0.25">
      <c r="A776" s="5">
        <v>43817</v>
      </c>
      <c r="B776">
        <v>1.21E-2</v>
      </c>
      <c r="C776">
        <v>1.35E-2</v>
      </c>
      <c r="D776">
        <v>1.1259999999999999E-2</v>
      </c>
      <c r="E776">
        <v>1.2699999999999999E-2</v>
      </c>
      <c r="F776">
        <v>954915615.89999998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0.28571428571428559</v>
      </c>
      <c r="Q776">
        <f t="shared" si="1005"/>
        <v>272833033.11428559</v>
      </c>
      <c r="R776">
        <f t="shared" si="1006"/>
        <v>-9848866196.865736</v>
      </c>
      <c r="S776">
        <f t="shared" si="1007"/>
        <v>-98488.661968657354</v>
      </c>
      <c r="T776">
        <f t="shared" si="1008"/>
        <v>-98.488661968657354</v>
      </c>
    </row>
    <row r="777" spans="1:20" x14ac:dyDescent="0.25">
      <c r="A777" s="5">
        <v>43816</v>
      </c>
      <c r="B777">
        <v>1.32E-2</v>
      </c>
      <c r="C777">
        <v>1.3299999999999999E-2</v>
      </c>
      <c r="D777">
        <v>1.17E-2</v>
      </c>
      <c r="E777">
        <v>1.208E-2</v>
      </c>
      <c r="F777">
        <v>897035940.29999995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-0.52499999999999958</v>
      </c>
      <c r="Q777">
        <f t="shared" si="1005"/>
        <v>-470943868.65749961</v>
      </c>
      <c r="R777">
        <f t="shared" si="1006"/>
        <v>-10121699229.980022</v>
      </c>
      <c r="S777">
        <f t="shared" si="1007"/>
        <v>-101216.99229980023</v>
      </c>
      <c r="T777">
        <f t="shared" si="1008"/>
        <v>-101.21699229980022</v>
      </c>
    </row>
    <row r="778" spans="1:20" x14ac:dyDescent="0.25">
      <c r="A778" s="5">
        <v>43815</v>
      </c>
      <c r="B778">
        <v>1.421E-2</v>
      </c>
      <c r="C778">
        <v>1.4619999999999999E-2</v>
      </c>
      <c r="D778">
        <v>1.29E-2</v>
      </c>
      <c r="E778">
        <v>1.32E-2</v>
      </c>
      <c r="F778">
        <v>947149789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-0.65116279069767435</v>
      </c>
      <c r="Q778">
        <f t="shared" si="1005"/>
        <v>-616748699.8139534</v>
      </c>
      <c r="R778">
        <f t="shared" si="1006"/>
        <v>-9650755361.3225231</v>
      </c>
      <c r="S778">
        <f t="shared" si="1007"/>
        <v>-96507.553613225231</v>
      </c>
      <c r="T778">
        <f t="shared" si="1008"/>
        <v>-96.507553613225227</v>
      </c>
    </row>
    <row r="779" spans="1:20" x14ac:dyDescent="0.25">
      <c r="A779" s="5">
        <v>43814</v>
      </c>
      <c r="B779">
        <v>1.3599999999999999E-2</v>
      </c>
      <c r="C779">
        <v>1.465E-2</v>
      </c>
      <c r="D779">
        <v>1.316E-2</v>
      </c>
      <c r="E779">
        <v>1.422E-2</v>
      </c>
      <c r="F779">
        <v>1000674253.4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0.42281879194630895</v>
      </c>
      <c r="Q779">
        <f t="shared" si="1005"/>
        <v>423103878.95436263</v>
      </c>
      <c r="R779">
        <f t="shared" si="1006"/>
        <v>-9034006661.5085697</v>
      </c>
      <c r="S779">
        <f t="shared" si="1007"/>
        <v>-90340.0666150857</v>
      </c>
      <c r="T779">
        <f t="shared" si="1008"/>
        <v>-90.340066615085703</v>
      </c>
    </row>
    <row r="780" spans="1:20" x14ac:dyDescent="0.25">
      <c r="A780" s="5">
        <v>43813</v>
      </c>
      <c r="B780">
        <v>1.6029999999999999E-2</v>
      </c>
      <c r="C780">
        <v>1.627E-2</v>
      </c>
      <c r="D780">
        <v>1.319E-2</v>
      </c>
      <c r="E780">
        <v>1.359E-2</v>
      </c>
      <c r="F780">
        <v>943749247.79999995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-0.74025974025974062</v>
      </c>
      <c r="Q780">
        <f t="shared" si="1005"/>
        <v>-698619573.04675353</v>
      </c>
      <c r="R780">
        <f t="shared" si="1006"/>
        <v>-9457110540.4629326</v>
      </c>
      <c r="S780">
        <f t="shared" si="1007"/>
        <v>-94571.105404629328</v>
      </c>
      <c r="T780">
        <f t="shared" si="1008"/>
        <v>-94.571105404629321</v>
      </c>
    </row>
    <row r="781" spans="1:20" x14ac:dyDescent="0.25">
      <c r="A781" s="5">
        <v>43812</v>
      </c>
      <c r="B781">
        <v>1.5709999999999998E-2</v>
      </c>
      <c r="C781">
        <v>1.686E-2</v>
      </c>
      <c r="D781">
        <v>1.5599999999999999E-2</v>
      </c>
      <c r="E781">
        <v>1.6029999999999999E-2</v>
      </c>
      <c r="F781">
        <v>607539258.79999995</v>
      </c>
      <c r="G781">
        <v>0</v>
      </c>
      <c r="L781" t="s">
        <v>8</v>
      </c>
      <c r="M781" t="s">
        <v>7</v>
      </c>
      <c r="N781" t="s">
        <v>8</v>
      </c>
      <c r="P781">
        <f t="shared" si="1004"/>
        <v>-0.31746031746031811</v>
      </c>
      <c r="Q781">
        <f t="shared" si="1005"/>
        <v>-192869605.96825436</v>
      </c>
      <c r="R781">
        <f t="shared" si="1006"/>
        <v>-8758490967.4161797</v>
      </c>
      <c r="S781">
        <f t="shared" si="1007"/>
        <v>-87584.909674161798</v>
      </c>
      <c r="T781">
        <f t="shared" si="1008"/>
        <v>-87.584909674161793</v>
      </c>
    </row>
    <row r="782" spans="1:20" x14ac:dyDescent="0.25">
      <c r="A782" s="5">
        <v>43811</v>
      </c>
      <c r="B782">
        <v>1.7940000000000001E-2</v>
      </c>
      <c r="C782">
        <v>1.813E-2</v>
      </c>
      <c r="D782">
        <v>1.532E-2</v>
      </c>
      <c r="E782">
        <v>1.5720000000000001E-2</v>
      </c>
      <c r="F782">
        <v>1229731085.5999999</v>
      </c>
      <c r="G782">
        <v>0</v>
      </c>
      <c r="L782" t="s">
        <v>7</v>
      </c>
      <c r="M782" t="s">
        <v>7</v>
      </c>
      <c r="N782" t="s">
        <v>8</v>
      </c>
      <c r="P782">
        <f t="shared" si="1004"/>
        <v>-0.7153024911032021</v>
      </c>
      <c r="Q782">
        <f t="shared" si="1005"/>
        <v>-879629708.91672504</v>
      </c>
      <c r="R782">
        <f t="shared" si="1006"/>
        <v>-8565621361.4479256</v>
      </c>
      <c r="S782">
        <f t="shared" si="1007"/>
        <v>-85656.21361447926</v>
      </c>
      <c r="T782">
        <f t="shared" si="1008"/>
        <v>-85.656213614479256</v>
      </c>
    </row>
    <row r="783" spans="1:20" x14ac:dyDescent="0.25">
      <c r="A783" s="5">
        <v>43810</v>
      </c>
      <c r="B783">
        <v>1.7260000000000001E-2</v>
      </c>
      <c r="C783">
        <v>1.9560000000000001E-2</v>
      </c>
      <c r="D783">
        <v>1.695E-2</v>
      </c>
      <c r="E783">
        <v>1.7940000000000001E-2</v>
      </c>
      <c r="F783">
        <v>1392393467.5</v>
      </c>
      <c r="G783">
        <v>0</v>
      </c>
      <c r="L783" t="s">
        <v>8</v>
      </c>
      <c r="M783" t="s">
        <v>8</v>
      </c>
      <c r="N783" t="s">
        <v>8</v>
      </c>
      <c r="P783">
        <f t="shared" si="1004"/>
        <v>-0.24137931034482696</v>
      </c>
      <c r="Q783">
        <f t="shared" si="1005"/>
        <v>-336094974.91379225</v>
      </c>
      <c r="R783">
        <f t="shared" si="1006"/>
        <v>-7685991652.5312004</v>
      </c>
      <c r="S783">
        <f t="shared" si="1007"/>
        <v>-76859.916525312001</v>
      </c>
      <c r="T783">
        <f t="shared" si="1008"/>
        <v>-76.859916525312002</v>
      </c>
    </row>
    <row r="784" spans="1:20" x14ac:dyDescent="0.25">
      <c r="A784" s="5">
        <v>43809</v>
      </c>
      <c r="B784">
        <v>3.424E-2</v>
      </c>
      <c r="C784">
        <v>3.483E-2</v>
      </c>
      <c r="D784">
        <v>1.124E-2</v>
      </c>
      <c r="E784">
        <v>1.7250000000000001E-2</v>
      </c>
      <c r="F784">
        <v>6142136747.6999998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-0.49046206019499777</v>
      </c>
      <c r="Q784">
        <f t="shared" si="1005"/>
        <v>-3012485043.2763453</v>
      </c>
      <c r="R784">
        <f t="shared" si="1006"/>
        <v>-7349896677.6174078</v>
      </c>
      <c r="S784">
        <f t="shared" si="1007"/>
        <v>-73498.966776174071</v>
      </c>
      <c r="T784">
        <f t="shared" si="1008"/>
        <v>-73.498966776174072</v>
      </c>
    </row>
    <row r="785" spans="1:20" x14ac:dyDescent="0.25">
      <c r="A785" s="5">
        <v>43808</v>
      </c>
      <c r="B785">
        <v>4.1489999999999999E-2</v>
      </c>
      <c r="C785">
        <v>4.2689999999999999E-2</v>
      </c>
      <c r="D785">
        <v>3.3430000000000001E-2</v>
      </c>
      <c r="E785">
        <v>3.4250000000000003E-2</v>
      </c>
      <c r="F785">
        <v>609748021.5</v>
      </c>
      <c r="G785">
        <v>0</v>
      </c>
      <c r="L785" t="s">
        <v>7</v>
      </c>
      <c r="M785" t="s">
        <v>7</v>
      </c>
      <c r="N785" t="s">
        <v>8</v>
      </c>
      <c r="P785">
        <f t="shared" si="1004"/>
        <v>-0.8228941684665223</v>
      </c>
      <c r="Q785">
        <f t="shared" si="1005"/>
        <v>-501758091.12634969</v>
      </c>
      <c r="R785">
        <f t="shared" si="1006"/>
        <v>-4337411634.3410625</v>
      </c>
      <c r="S785">
        <f t="shared" si="1007"/>
        <v>-43374.116343410627</v>
      </c>
      <c r="T785">
        <f t="shared" si="1008"/>
        <v>-43.374116343410627</v>
      </c>
    </row>
    <row r="786" spans="1:20" x14ac:dyDescent="0.25">
      <c r="A786" s="5">
        <v>43807</v>
      </c>
      <c r="B786">
        <v>3.8789999999999998E-2</v>
      </c>
      <c r="C786">
        <v>4.2700000000000002E-2</v>
      </c>
      <c r="D786">
        <v>3.8059999999999997E-2</v>
      </c>
      <c r="E786">
        <v>4.1500000000000002E-2</v>
      </c>
      <c r="F786">
        <v>381082933.80000001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0.48275862068965592</v>
      </c>
      <c r="Q786">
        <f t="shared" si="1005"/>
        <v>183971071.48965546</v>
      </c>
      <c r="R786">
        <f t="shared" si="1006"/>
        <v>-3835653543.2147126</v>
      </c>
      <c r="S786">
        <f t="shared" si="1007"/>
        <v>-38356.535432147124</v>
      </c>
      <c r="T786">
        <f t="shared" si="1008"/>
        <v>-38.356535432147126</v>
      </c>
    </row>
    <row r="787" spans="1:20" x14ac:dyDescent="0.25">
      <c r="A787" s="5">
        <v>43806</v>
      </c>
      <c r="B787">
        <v>4.1459999999999997E-2</v>
      </c>
      <c r="C787">
        <v>4.1950000000000001E-2</v>
      </c>
      <c r="D787">
        <v>3.712E-2</v>
      </c>
      <c r="E787">
        <v>3.8890000000000001E-2</v>
      </c>
      <c r="F787">
        <v>571914982.20000005</v>
      </c>
      <c r="G787">
        <v>0</v>
      </c>
      <c r="L787" t="s">
        <v>7</v>
      </c>
      <c r="M787" t="s">
        <v>8</v>
      </c>
      <c r="N787" t="s">
        <v>8</v>
      </c>
      <c r="P787">
        <f t="shared" si="1004"/>
        <v>-0.26708074534161474</v>
      </c>
      <c r="Q787">
        <f t="shared" si="1005"/>
        <v>-152747479.71801233</v>
      </c>
      <c r="R787">
        <f t="shared" si="1006"/>
        <v>-4019624614.7043681</v>
      </c>
      <c r="S787">
        <f t="shared" si="1007"/>
        <v>-40196.246147043683</v>
      </c>
      <c r="T787">
        <f t="shared" si="1008"/>
        <v>-40.196246147043681</v>
      </c>
    </row>
    <row r="788" spans="1:20" x14ac:dyDescent="0.25">
      <c r="A788" s="5">
        <v>43805</v>
      </c>
      <c r="B788">
        <v>3.3079999999999998E-2</v>
      </c>
      <c r="C788">
        <v>4.1980000000000003E-2</v>
      </c>
      <c r="D788">
        <v>3.2250000000000001E-2</v>
      </c>
      <c r="E788">
        <v>4.1360000000000001E-2</v>
      </c>
      <c r="F788">
        <v>689580569.5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0.87255909558067779</v>
      </c>
      <c r="Q788">
        <f t="shared" si="1005"/>
        <v>601699798.05292869</v>
      </c>
      <c r="R788">
        <f t="shared" si="1006"/>
        <v>-3866877134.9863558</v>
      </c>
      <c r="S788">
        <f t="shared" si="1007"/>
        <v>-38668.771349863557</v>
      </c>
      <c r="T788">
        <f t="shared" si="1008"/>
        <v>-38.668771349863555</v>
      </c>
    </row>
    <row r="789" spans="1:20" x14ac:dyDescent="0.25">
      <c r="A789" s="5">
        <v>43804</v>
      </c>
      <c r="B789">
        <v>3.1820000000000001E-2</v>
      </c>
      <c r="C789">
        <v>3.4470000000000001E-2</v>
      </c>
      <c r="D789">
        <v>3.1329999999999997E-2</v>
      </c>
      <c r="E789">
        <v>3.3160000000000002E-2</v>
      </c>
      <c r="F789">
        <v>512467200.10000002</v>
      </c>
      <c r="G789">
        <v>0</v>
      </c>
      <c r="L789" t="s">
        <v>8</v>
      </c>
      <c r="M789" t="s">
        <v>8</v>
      </c>
      <c r="N789" t="s">
        <v>8</v>
      </c>
      <c r="P789">
        <f t="shared" si="1004"/>
        <v>0.16560509554140315</v>
      </c>
      <c r="Q789">
        <f t="shared" si="1005"/>
        <v>84867179.634395868</v>
      </c>
      <c r="R789">
        <f t="shared" si="1006"/>
        <v>-4468576933.0392847</v>
      </c>
      <c r="S789">
        <f t="shared" si="1007"/>
        <v>-44685.769330392846</v>
      </c>
      <c r="T789">
        <f t="shared" si="1008"/>
        <v>-44.685769330392844</v>
      </c>
    </row>
    <row r="790" spans="1:20" x14ac:dyDescent="0.25">
      <c r="A790" s="5">
        <v>43803</v>
      </c>
      <c r="B790">
        <v>2.92E-2</v>
      </c>
      <c r="C790">
        <v>3.2669999999999998E-2</v>
      </c>
      <c r="D790">
        <v>2.776E-2</v>
      </c>
      <c r="E790">
        <v>3.1800000000000002E-2</v>
      </c>
      <c r="F790">
        <v>489105070.5</v>
      </c>
      <c r="G790">
        <v>0</v>
      </c>
      <c r="L790" t="s">
        <v>8</v>
      </c>
      <c r="M790" t="s">
        <v>8</v>
      </c>
      <c r="N790" t="s">
        <v>8</v>
      </c>
      <c r="P790">
        <f t="shared" si="1004"/>
        <v>0.64562118126273071</v>
      </c>
      <c r="Q790">
        <f t="shared" si="1005"/>
        <v>315776593.37780118</v>
      </c>
      <c r="R790">
        <f t="shared" si="1006"/>
        <v>-4553444112.6736803</v>
      </c>
      <c r="S790">
        <f t="shared" si="1007"/>
        <v>-45534.441126736805</v>
      </c>
      <c r="T790">
        <f t="shared" si="1008"/>
        <v>-45.534441126736802</v>
      </c>
    </row>
    <row r="791" spans="1:20" x14ac:dyDescent="0.25">
      <c r="A791" s="5">
        <v>43802</v>
      </c>
      <c r="B791">
        <v>2.6370000000000001E-2</v>
      </c>
      <c r="C791">
        <v>3.116E-2</v>
      </c>
      <c r="D791">
        <v>2.6360000000000001E-2</v>
      </c>
      <c r="E791">
        <v>2.9149999999999999E-2</v>
      </c>
      <c r="F791">
        <v>597316823.70000005</v>
      </c>
      <c r="G791">
        <v>0</v>
      </c>
      <c r="L791" t="s">
        <v>8</v>
      </c>
      <c r="M791" t="s">
        <v>8</v>
      </c>
      <c r="N791" t="s">
        <v>8</v>
      </c>
      <c r="P791">
        <f t="shared" si="1004"/>
        <v>0.1624999999999992</v>
      </c>
      <c r="Q791">
        <f t="shared" si="1005"/>
        <v>97063983.851249531</v>
      </c>
      <c r="R791">
        <f t="shared" si="1006"/>
        <v>-4869220706.0514812</v>
      </c>
      <c r="S791">
        <f t="shared" si="1007"/>
        <v>-48692.207060514811</v>
      </c>
      <c r="T791">
        <f t="shared" si="1008"/>
        <v>-48.692207060514811</v>
      </c>
    </row>
    <row r="792" spans="1:20" x14ac:dyDescent="0.25">
      <c r="A792" s="5">
        <v>43801</v>
      </c>
      <c r="B792">
        <v>2.6610000000000002E-2</v>
      </c>
      <c r="C792">
        <v>2.7279999999999999E-2</v>
      </c>
      <c r="D792">
        <v>2.4840000000000001E-2</v>
      </c>
      <c r="E792">
        <v>2.6370000000000001E-2</v>
      </c>
      <c r="F792">
        <v>372402095.19999999</v>
      </c>
      <c r="G792">
        <v>0</v>
      </c>
      <c r="L792" t="s">
        <v>7</v>
      </c>
      <c r="M792" t="s">
        <v>8</v>
      </c>
      <c r="N792" t="s">
        <v>8</v>
      </c>
      <c r="P792">
        <f t="shared" si="1004"/>
        <v>0.25409836065573899</v>
      </c>
      <c r="Q792">
        <f t="shared" si="1005"/>
        <v>94626761.895082444</v>
      </c>
      <c r="R792">
        <f t="shared" si="1006"/>
        <v>-4966284689.9027309</v>
      </c>
      <c r="S792">
        <f t="shared" si="1007"/>
        <v>-49662.84689902731</v>
      </c>
      <c r="T792">
        <f t="shared" si="1008"/>
        <v>-49.662846899027308</v>
      </c>
    </row>
    <row r="793" spans="1:20" x14ac:dyDescent="0.25">
      <c r="A793" s="5">
        <v>43800</v>
      </c>
      <c r="B793">
        <v>2.8910000000000002E-2</v>
      </c>
      <c r="C793">
        <v>2.894E-2</v>
      </c>
      <c r="D793">
        <v>2.613E-2</v>
      </c>
      <c r="E793">
        <v>2.6610000000000002E-2</v>
      </c>
      <c r="F793">
        <v>472083696.69999999</v>
      </c>
      <c r="G793">
        <v>0</v>
      </c>
      <c r="L793" t="s">
        <v>7</v>
      </c>
      <c r="M793" t="s">
        <v>8</v>
      </c>
      <c r="N793" t="s">
        <v>8</v>
      </c>
      <c r="P793">
        <f t="shared" si="1004"/>
        <v>-0.65836298932384252</v>
      </c>
      <c r="Q793">
        <f t="shared" si="1005"/>
        <v>-310802433.77046221</v>
      </c>
      <c r="R793">
        <f t="shared" si="1006"/>
        <v>-5060911451.7978134</v>
      </c>
      <c r="S793">
        <f t="shared" si="1007"/>
        <v>-50609.114517978131</v>
      </c>
      <c r="T793">
        <f t="shared" si="1008"/>
        <v>-50.609114517978128</v>
      </c>
    </row>
    <row r="794" spans="1:20" x14ac:dyDescent="0.25">
      <c r="A794" s="5">
        <v>43799</v>
      </c>
      <c r="B794">
        <v>2.4479999999999998E-2</v>
      </c>
      <c r="C794">
        <v>2.9600000000000001E-2</v>
      </c>
      <c r="D794">
        <v>2.4109999999999999E-2</v>
      </c>
      <c r="E794">
        <v>2.8899999999999999E-2</v>
      </c>
      <c r="F794">
        <v>701996285.60000002</v>
      </c>
      <c r="G794">
        <v>0</v>
      </c>
      <c r="L794" t="s">
        <v>8</v>
      </c>
      <c r="M794" t="s">
        <v>8</v>
      </c>
      <c r="N794" t="s">
        <v>8</v>
      </c>
      <c r="P794">
        <f t="shared" si="1004"/>
        <v>0.74499089253187523</v>
      </c>
      <c r="Q794">
        <f t="shared" si="1005"/>
        <v>522980839.36320519</v>
      </c>
      <c r="R794">
        <f t="shared" si="1006"/>
        <v>-4750109018.0273514</v>
      </c>
      <c r="S794">
        <f t="shared" si="1007"/>
        <v>-47501.090180273517</v>
      </c>
      <c r="T794">
        <f t="shared" si="1008"/>
        <v>-47.501090180273515</v>
      </c>
    </row>
    <row r="795" spans="1:20" x14ac:dyDescent="0.25">
      <c r="A795" s="5">
        <v>43798</v>
      </c>
      <c r="B795">
        <v>2.265E-2</v>
      </c>
      <c r="C795">
        <v>2.5170000000000001E-2</v>
      </c>
      <c r="D795">
        <v>2.2499999999999999E-2</v>
      </c>
      <c r="E795">
        <v>2.4510000000000001E-2</v>
      </c>
      <c r="F795">
        <v>335527815.5</v>
      </c>
      <c r="G795">
        <v>0</v>
      </c>
      <c r="L795" t="s">
        <v>7</v>
      </c>
      <c r="M795" t="s">
        <v>8</v>
      </c>
      <c r="N795" t="s">
        <v>8</v>
      </c>
      <c r="P795">
        <f t="shared" si="1004"/>
        <v>0.50561797752808968</v>
      </c>
      <c r="Q795">
        <f t="shared" si="1005"/>
        <v>169648895.47752801</v>
      </c>
      <c r="R795">
        <f t="shared" si="1006"/>
        <v>-5273089857.3905563</v>
      </c>
      <c r="S795">
        <f t="shared" si="1007"/>
        <v>-52730.898573905564</v>
      </c>
      <c r="T795">
        <f t="shared" si="1008"/>
        <v>-52.730898573905563</v>
      </c>
    </row>
    <row r="796" spans="1:20" x14ac:dyDescent="0.25">
      <c r="A796" s="5">
        <v>43797</v>
      </c>
      <c r="B796">
        <v>2.4580000000000001E-2</v>
      </c>
      <c r="C796">
        <v>2.58E-2</v>
      </c>
      <c r="D796">
        <v>2.2210000000000001E-2</v>
      </c>
      <c r="E796">
        <v>2.2669999999999999E-2</v>
      </c>
      <c r="F796">
        <v>505162238.19999999</v>
      </c>
      <c r="G796">
        <v>0</v>
      </c>
      <c r="L796" t="s">
        <v>8</v>
      </c>
      <c r="M796" t="s">
        <v>8</v>
      </c>
      <c r="N796" t="s">
        <v>8</v>
      </c>
      <c r="P796">
        <f t="shared" si="1004"/>
        <v>-0.74373259052924867</v>
      </c>
      <c r="Q796">
        <f t="shared" si="1005"/>
        <v>-375705620.05403936</v>
      </c>
      <c r="R796">
        <f t="shared" si="1006"/>
        <v>-5442738752.868084</v>
      </c>
      <c r="S796">
        <f t="shared" si="1007"/>
        <v>-54427.38752868084</v>
      </c>
      <c r="T796">
        <f t="shared" si="1008"/>
        <v>-54.427387528680839</v>
      </c>
    </row>
    <row r="797" spans="1:20" x14ac:dyDescent="0.25">
      <c r="A797" s="5">
        <v>43796</v>
      </c>
      <c r="B797">
        <v>2.171E-2</v>
      </c>
      <c r="C797">
        <v>2.5000000000000001E-2</v>
      </c>
      <c r="D797">
        <v>2.027E-2</v>
      </c>
      <c r="E797">
        <v>2.4590000000000001E-2</v>
      </c>
      <c r="F797">
        <v>756927193</v>
      </c>
      <c r="G797">
        <v>0</v>
      </c>
      <c r="L797" t="s">
        <v>8</v>
      </c>
      <c r="M797" t="s">
        <v>8</v>
      </c>
      <c r="N797" t="s">
        <v>8</v>
      </c>
      <c r="P797">
        <f t="shared" si="1004"/>
        <v>0.82663847780126831</v>
      </c>
      <c r="Q797">
        <f t="shared" si="1005"/>
        <v>625705142.6279068</v>
      </c>
      <c r="R797">
        <f t="shared" si="1006"/>
        <v>-5067033132.814045</v>
      </c>
      <c r="S797">
        <f t="shared" si="1007"/>
        <v>-50670.331328140448</v>
      </c>
      <c r="T797">
        <f t="shared" si="1008"/>
        <v>-50.670331328140449</v>
      </c>
    </row>
    <row r="798" spans="1:20" x14ac:dyDescent="0.25">
      <c r="A798" s="5">
        <v>43795</v>
      </c>
      <c r="B798">
        <v>2.094E-2</v>
      </c>
      <c r="C798">
        <v>2.2950000000000002E-2</v>
      </c>
      <c r="D798">
        <v>1.9939999999999999E-2</v>
      </c>
      <c r="E798">
        <v>2.171E-2</v>
      </c>
      <c r="F798">
        <v>857771499.39999998</v>
      </c>
      <c r="G798">
        <v>0</v>
      </c>
      <c r="L798" t="s">
        <v>8</v>
      </c>
      <c r="M798" t="s">
        <v>8</v>
      </c>
      <c r="N798" t="s">
        <v>8</v>
      </c>
      <c r="P798">
        <f t="shared" si="1004"/>
        <v>0.1760797342192687</v>
      </c>
      <c r="Q798">
        <f t="shared" si="1005"/>
        <v>151036177.63521561</v>
      </c>
      <c r="R798">
        <f t="shared" si="1006"/>
        <v>-5692738275.4419518</v>
      </c>
      <c r="S798">
        <f t="shared" si="1007"/>
        <v>-56927.382754419516</v>
      </c>
      <c r="T798">
        <f t="shared" si="1008"/>
        <v>-56.927382754419519</v>
      </c>
    </row>
    <row r="799" spans="1:20" x14ac:dyDescent="0.25">
      <c r="A799" s="5">
        <v>43794</v>
      </c>
      <c r="B799">
        <v>1.5089999999999999E-2</v>
      </c>
      <c r="C799">
        <v>2.1659999999999999E-2</v>
      </c>
      <c r="D799">
        <v>1.485E-2</v>
      </c>
      <c r="E799">
        <v>2.094E-2</v>
      </c>
      <c r="F799">
        <v>1064902274.5</v>
      </c>
      <c r="G799">
        <v>0</v>
      </c>
      <c r="L799" t="s">
        <v>8</v>
      </c>
      <c r="M799" t="s">
        <v>8</v>
      </c>
      <c r="N799" t="s">
        <v>8</v>
      </c>
      <c r="P799">
        <f t="shared" si="1004"/>
        <v>0.7885462555066084</v>
      </c>
      <c r="Q799">
        <f t="shared" si="1005"/>
        <v>839724701.03744543</v>
      </c>
      <c r="R799">
        <f t="shared" si="1006"/>
        <v>-5843774453.0771675</v>
      </c>
      <c r="S799">
        <f t="shared" si="1007"/>
        <v>-58437.744530771677</v>
      </c>
      <c r="T799">
        <f t="shared" si="1008"/>
        <v>-58.437744530771674</v>
      </c>
    </row>
    <row r="800" spans="1:20" x14ac:dyDescent="0.25">
      <c r="A800" s="5">
        <v>43793</v>
      </c>
      <c r="B800">
        <v>1.6619999999999999E-2</v>
      </c>
      <c r="C800">
        <v>1.77E-2</v>
      </c>
      <c r="D800">
        <v>1.504E-2</v>
      </c>
      <c r="E800">
        <v>1.515E-2</v>
      </c>
      <c r="F800">
        <v>574517033.20000005</v>
      </c>
      <c r="G800">
        <v>0</v>
      </c>
      <c r="L800" t="s">
        <v>8</v>
      </c>
      <c r="M800" t="s">
        <v>8</v>
      </c>
      <c r="N800" t="s">
        <v>8</v>
      </c>
      <c r="P800">
        <f t="shared" si="1004"/>
        <v>-0.91729323308270627</v>
      </c>
      <c r="Q800">
        <f t="shared" si="1005"/>
        <v>-527000586.84511256</v>
      </c>
      <c r="R800">
        <f t="shared" si="1006"/>
        <v>-6683499154.1146126</v>
      </c>
      <c r="S800">
        <f t="shared" si="1007"/>
        <v>-66834.991541146126</v>
      </c>
      <c r="T800">
        <f t="shared" si="1008"/>
        <v>-66.834991541146124</v>
      </c>
    </row>
    <row r="801" spans="1:20" x14ac:dyDescent="0.25">
      <c r="A801" s="5">
        <v>43792</v>
      </c>
      <c r="B801">
        <v>1.406E-2</v>
      </c>
      <c r="C801">
        <v>1.6899999999999998E-2</v>
      </c>
      <c r="D801">
        <v>1.3679999999999999E-2</v>
      </c>
      <c r="E801">
        <v>1.6619999999999999E-2</v>
      </c>
      <c r="F801">
        <v>529613232.19999999</v>
      </c>
      <c r="G801">
        <v>0</v>
      </c>
      <c r="L801" t="s">
        <v>8</v>
      </c>
      <c r="M801" t="s">
        <v>8</v>
      </c>
      <c r="N801" t="s">
        <v>8</v>
      </c>
      <c r="P801">
        <f t="shared" si="1004"/>
        <v>0.82608695652173969</v>
      </c>
      <c r="Q801">
        <f t="shared" si="1005"/>
        <v>437506583.12173939</v>
      </c>
      <c r="R801">
        <f t="shared" si="1006"/>
        <v>-6156498567.2694998</v>
      </c>
      <c r="S801">
        <f t="shared" si="1007"/>
        <v>-61564.985672694995</v>
      </c>
      <c r="T801">
        <f t="shared" si="1008"/>
        <v>-61.564985672694995</v>
      </c>
    </row>
    <row r="802" spans="1:20" x14ac:dyDescent="0.25">
      <c r="A802" s="5">
        <v>43791</v>
      </c>
      <c r="B802">
        <v>1.427E-2</v>
      </c>
      <c r="C802">
        <v>1.44E-2</v>
      </c>
      <c r="D802">
        <v>1.2149999999999999E-2</v>
      </c>
      <c r="E802">
        <v>1.4030000000000001E-2</v>
      </c>
      <c r="F802">
        <v>348609438.89999998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0.67111111111111221</v>
      </c>
      <c r="Q802">
        <f t="shared" si="1005"/>
        <v>233955667.88400036</v>
      </c>
      <c r="R802">
        <f t="shared" si="1006"/>
        <v>-6594005150.3912392</v>
      </c>
      <c r="S802">
        <f t="shared" si="1007"/>
        <v>-65940.051503912386</v>
      </c>
      <c r="T802">
        <f t="shared" si="1008"/>
        <v>-65.940051503912386</v>
      </c>
    </row>
    <row r="803" spans="1:20" x14ac:dyDescent="0.25">
      <c r="A803" s="5">
        <v>43790</v>
      </c>
      <c r="B803">
        <v>1.4330000000000001E-2</v>
      </c>
      <c r="C803">
        <v>1.457E-2</v>
      </c>
      <c r="D803">
        <v>1.332E-2</v>
      </c>
      <c r="E803">
        <v>1.4250000000000001E-2</v>
      </c>
      <c r="F803">
        <v>175568196.90000001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0.48800000000000116</v>
      </c>
      <c r="Q803">
        <f t="shared" si="1005"/>
        <v>85677280.087200209</v>
      </c>
      <c r="R803">
        <f t="shared" si="1006"/>
        <v>-6827960818.2752399</v>
      </c>
      <c r="S803">
        <f t="shared" si="1007"/>
        <v>-68279.608182752403</v>
      </c>
      <c r="T803">
        <f t="shared" si="1008"/>
        <v>-68.279608182752398</v>
      </c>
    </row>
    <row r="804" spans="1:20" x14ac:dyDescent="0.25">
      <c r="A804" s="5">
        <v>43789</v>
      </c>
      <c r="B804">
        <v>1.485E-2</v>
      </c>
      <c r="C804">
        <v>1.502E-2</v>
      </c>
      <c r="D804">
        <v>1.414E-2</v>
      </c>
      <c r="E804">
        <v>1.434E-2</v>
      </c>
      <c r="F804">
        <v>189958223.69999999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-0.54545454545454453</v>
      </c>
      <c r="Q804">
        <f t="shared" si="1005"/>
        <v>-103613576.56363618</v>
      </c>
      <c r="R804">
        <f t="shared" si="1006"/>
        <v>-6913638098.3624401</v>
      </c>
      <c r="S804">
        <f t="shared" si="1007"/>
        <v>-69136.380983624404</v>
      </c>
      <c r="T804">
        <f t="shared" si="1008"/>
        <v>-69.136380983624406</v>
      </c>
    </row>
    <row r="805" spans="1:20" x14ac:dyDescent="0.25">
      <c r="A805" s="5">
        <v>43788</v>
      </c>
      <c r="B805">
        <v>1.404E-2</v>
      </c>
      <c r="C805">
        <v>1.5100000000000001E-2</v>
      </c>
      <c r="D805">
        <v>1.359E-2</v>
      </c>
      <c r="E805">
        <v>1.4840000000000001E-2</v>
      </c>
      <c r="F805">
        <v>216103098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0.65562913907284814</v>
      </c>
      <c r="Q805">
        <f t="shared" si="1005"/>
        <v>141683488.09271532</v>
      </c>
      <c r="R805">
        <f t="shared" si="1006"/>
        <v>-6810024521.7988043</v>
      </c>
      <c r="S805">
        <f t="shared" si="1007"/>
        <v>-68100.245217988049</v>
      </c>
      <c r="T805">
        <f t="shared" si="1008"/>
        <v>-68.100245217988046</v>
      </c>
    </row>
    <row r="806" spans="1:20" x14ac:dyDescent="0.25">
      <c r="A806" s="5">
        <v>43787</v>
      </c>
      <c r="B806">
        <v>1.43E-2</v>
      </c>
      <c r="C806">
        <v>1.4489999999999999E-2</v>
      </c>
      <c r="D806">
        <v>1.3610000000000001E-2</v>
      </c>
      <c r="E806">
        <v>1.404E-2</v>
      </c>
      <c r="F806">
        <v>73760874.5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-2.2727272727271833E-2</v>
      </c>
      <c r="Q806">
        <f t="shared" si="1005"/>
        <v>-1676383.5113635703</v>
      </c>
      <c r="R806">
        <f t="shared" si="1006"/>
        <v>-6951708009.8915195</v>
      </c>
      <c r="S806">
        <f t="shared" si="1007"/>
        <v>-69517.08009891519</v>
      </c>
      <c r="T806">
        <f t="shared" si="1008"/>
        <v>-69.517080098915187</v>
      </c>
    </row>
    <row r="807" spans="1:20" x14ac:dyDescent="0.25">
      <c r="A807" s="5">
        <v>43786</v>
      </c>
      <c r="B807">
        <v>1.4449999999999999E-2</v>
      </c>
      <c r="C807">
        <v>1.478E-2</v>
      </c>
      <c r="D807">
        <v>1.4030000000000001E-2</v>
      </c>
      <c r="E807">
        <v>1.4319999999999999E-2</v>
      </c>
      <c r="F807">
        <v>96618076.900000006</v>
      </c>
      <c r="G807">
        <v>0</v>
      </c>
      <c r="L807" t="s">
        <v>8</v>
      </c>
      <c r="M807" t="s">
        <v>7</v>
      </c>
      <c r="N807" t="s">
        <v>8</v>
      </c>
      <c r="P807">
        <f t="shared" si="1004"/>
        <v>-0.22666666666666932</v>
      </c>
      <c r="Q807">
        <f t="shared" si="1005"/>
        <v>-21900097.430666924</v>
      </c>
      <c r="R807">
        <f t="shared" si="1006"/>
        <v>-6950031626.3801556</v>
      </c>
      <c r="S807">
        <f t="shared" si="1007"/>
        <v>-69500.316263801549</v>
      </c>
      <c r="T807">
        <f t="shared" si="1008"/>
        <v>-69.500316263801551</v>
      </c>
    </row>
    <row r="808" spans="1:20" x14ac:dyDescent="0.25">
      <c r="A808" s="5">
        <v>43785</v>
      </c>
      <c r="B808">
        <v>1.3809999999999999E-2</v>
      </c>
      <c r="C808">
        <v>1.4449999999999999E-2</v>
      </c>
      <c r="D808">
        <v>1.3690000000000001E-2</v>
      </c>
      <c r="E808">
        <v>1.4449999999999999E-2</v>
      </c>
      <c r="F808">
        <v>89273621.200000003</v>
      </c>
      <c r="G808">
        <v>0</v>
      </c>
      <c r="L808" t="s">
        <v>8</v>
      </c>
      <c r="M808" t="s">
        <v>7</v>
      </c>
      <c r="N808" t="s">
        <v>8</v>
      </c>
      <c r="P808">
        <f t="shared" si="1004"/>
        <v>1</v>
      </c>
      <c r="Q808">
        <f t="shared" si="1005"/>
        <v>89273621.200000003</v>
      </c>
      <c r="R808">
        <f t="shared" si="1006"/>
        <v>-6928131528.9494886</v>
      </c>
      <c r="S808">
        <f t="shared" si="1007"/>
        <v>-69281.315289494887</v>
      </c>
      <c r="T808">
        <f t="shared" si="1008"/>
        <v>-69.281315289494884</v>
      </c>
    </row>
    <row r="809" spans="1:20" x14ac:dyDescent="0.25">
      <c r="A809" s="5">
        <v>43784</v>
      </c>
      <c r="B809">
        <v>1.4420000000000001E-2</v>
      </c>
      <c r="C809">
        <v>1.4500000000000001E-2</v>
      </c>
      <c r="D809">
        <v>1.3559999999999999E-2</v>
      </c>
      <c r="E809">
        <v>1.3809999999999999E-2</v>
      </c>
      <c r="F809">
        <v>117032450.90000001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-0.46808510638297918</v>
      </c>
      <c r="Q809">
        <f t="shared" si="1005"/>
        <v>-54781147.22978729</v>
      </c>
      <c r="R809">
        <f t="shared" si="1006"/>
        <v>-7017405150.1494884</v>
      </c>
      <c r="S809">
        <f t="shared" si="1007"/>
        <v>-70174.051501494891</v>
      </c>
      <c r="T809">
        <f t="shared" si="1008"/>
        <v>-70.174051501494887</v>
      </c>
    </row>
    <row r="810" spans="1:20" x14ac:dyDescent="0.25">
      <c r="A810" s="5">
        <v>43783</v>
      </c>
      <c r="B810">
        <v>1.495E-2</v>
      </c>
      <c r="C810">
        <v>1.502E-2</v>
      </c>
      <c r="D810">
        <v>1.423E-2</v>
      </c>
      <c r="E810">
        <v>1.443E-2</v>
      </c>
      <c r="F810">
        <v>90633111.799999997</v>
      </c>
      <c r="G810">
        <v>0</v>
      </c>
      <c r="L810" t="s">
        <v>7</v>
      </c>
      <c r="M810" t="s">
        <v>8</v>
      </c>
      <c r="N810" t="s">
        <v>8</v>
      </c>
      <c r="P810">
        <f t="shared" si="1004"/>
        <v>-0.49367088607594856</v>
      </c>
      <c r="Q810">
        <f t="shared" si="1005"/>
        <v>-44742928.61012651</v>
      </c>
      <c r="R810">
        <f t="shared" si="1006"/>
        <v>-6962624002.9197016</v>
      </c>
      <c r="S810">
        <f t="shared" si="1007"/>
        <v>-69626.240029197012</v>
      </c>
      <c r="T810">
        <f t="shared" si="1008"/>
        <v>-69.626240029197007</v>
      </c>
    </row>
    <row r="811" spans="1:20" x14ac:dyDescent="0.25">
      <c r="A811" s="5">
        <v>43782</v>
      </c>
      <c r="B811">
        <v>1.4919999999999999E-2</v>
      </c>
      <c r="C811">
        <v>1.5169999999999999E-2</v>
      </c>
      <c r="D811">
        <v>1.4540000000000001E-2</v>
      </c>
      <c r="E811">
        <v>1.4930000000000001E-2</v>
      </c>
      <c r="F811">
        <v>82189698.900000006</v>
      </c>
      <c r="G811">
        <v>0</v>
      </c>
      <c r="L811" t="s">
        <v>7</v>
      </c>
      <c r="M811" t="s">
        <v>8</v>
      </c>
      <c r="N811" t="s">
        <v>8</v>
      </c>
      <c r="P811">
        <f t="shared" si="1004"/>
        <v>0.23809523809523994</v>
      </c>
      <c r="Q811">
        <f t="shared" si="1005"/>
        <v>19568975.928571582</v>
      </c>
      <c r="R811">
        <f t="shared" si="1006"/>
        <v>-6917881074.3095751</v>
      </c>
      <c r="S811">
        <f t="shared" si="1007"/>
        <v>-69178.810743095746</v>
      </c>
      <c r="T811">
        <f t="shared" si="1008"/>
        <v>-69.178810743095752</v>
      </c>
    </row>
    <row r="812" spans="1:20" x14ac:dyDescent="0.25">
      <c r="A812" s="5">
        <v>43781</v>
      </c>
      <c r="B812">
        <v>1.5429999999999999E-2</v>
      </c>
      <c r="C812">
        <v>1.5630000000000002E-2</v>
      </c>
      <c r="D812">
        <v>1.4500000000000001E-2</v>
      </c>
      <c r="E812">
        <v>1.487E-2</v>
      </c>
      <c r="F812">
        <v>184608022</v>
      </c>
      <c r="G812">
        <v>0</v>
      </c>
      <c r="L812" t="s">
        <v>7</v>
      </c>
      <c r="M812" t="s">
        <v>8</v>
      </c>
      <c r="N812" t="s">
        <v>8</v>
      </c>
      <c r="P812">
        <f t="shared" si="1004"/>
        <v>-0.34513274336283445</v>
      </c>
      <c r="Q812">
        <f t="shared" si="1005"/>
        <v>-63714273.079646498</v>
      </c>
      <c r="R812">
        <f t="shared" si="1006"/>
        <v>-6937450050.2381468</v>
      </c>
      <c r="S812">
        <f t="shared" si="1007"/>
        <v>-69374.500502381474</v>
      </c>
      <c r="T812">
        <f t="shared" si="1008"/>
        <v>-69.37450050238148</v>
      </c>
    </row>
    <row r="813" spans="1:20" x14ac:dyDescent="0.25">
      <c r="A813" s="5">
        <v>43780</v>
      </c>
      <c r="B813">
        <v>1.5720000000000001E-2</v>
      </c>
      <c r="C813">
        <v>1.593E-2</v>
      </c>
      <c r="D813">
        <v>1.4489999999999999E-2</v>
      </c>
      <c r="E813">
        <v>1.541E-2</v>
      </c>
      <c r="F813">
        <v>210005980.40000001</v>
      </c>
      <c r="G813">
        <v>0</v>
      </c>
      <c r="L813" t="s">
        <v>7</v>
      </c>
      <c r="M813" t="s">
        <v>8</v>
      </c>
      <c r="N813" t="s">
        <v>8</v>
      </c>
      <c r="P813">
        <f t="shared" si="1004"/>
        <v>0.27777777777777846</v>
      </c>
      <c r="Q813">
        <f t="shared" si="1005"/>
        <v>58334994.555555701</v>
      </c>
      <c r="R813">
        <f t="shared" si="1006"/>
        <v>-6873735777.1585007</v>
      </c>
      <c r="S813">
        <f t="shared" si="1007"/>
        <v>-68737.357771585012</v>
      </c>
      <c r="T813">
        <f t="shared" si="1008"/>
        <v>-68.73735777158501</v>
      </c>
    </row>
    <row r="814" spans="1:20" x14ac:dyDescent="0.25">
      <c r="A814" s="5">
        <v>43779</v>
      </c>
      <c r="B814">
        <v>1.489E-2</v>
      </c>
      <c r="C814">
        <v>1.6E-2</v>
      </c>
      <c r="D814">
        <v>1.4789999999999999E-2</v>
      </c>
      <c r="E814">
        <v>1.5709999999999998E-2</v>
      </c>
      <c r="F814">
        <v>158166163.19999999</v>
      </c>
      <c r="G814">
        <v>0</v>
      </c>
      <c r="L814" t="s">
        <v>8</v>
      </c>
      <c r="M814" t="s">
        <v>8</v>
      </c>
      <c r="N814" t="s">
        <v>8</v>
      </c>
      <c r="P814">
        <f t="shared" si="1004"/>
        <v>0.52066115702479043</v>
      </c>
      <c r="Q814">
        <f t="shared" si="1005"/>
        <v>82350977.533883825</v>
      </c>
      <c r="R814">
        <f t="shared" si="1006"/>
        <v>-6932070771.714056</v>
      </c>
      <c r="S814">
        <f t="shared" si="1007"/>
        <v>-69320.707717140554</v>
      </c>
      <c r="T814">
        <f t="shared" si="1008"/>
        <v>-69.32070771714055</v>
      </c>
    </row>
    <row r="815" spans="1:20" x14ac:dyDescent="0.25">
      <c r="A815" s="5">
        <v>43778</v>
      </c>
      <c r="B815">
        <v>1.4319999999999999E-2</v>
      </c>
      <c r="C815">
        <v>1.523E-2</v>
      </c>
      <c r="D815">
        <v>1.4279999999999999E-2</v>
      </c>
      <c r="E815">
        <v>1.491E-2</v>
      </c>
      <c r="F815">
        <v>162345921.59999999</v>
      </c>
      <c r="G815">
        <v>0</v>
      </c>
      <c r="L815" t="s">
        <v>8</v>
      </c>
      <c r="M815" t="s">
        <v>8</v>
      </c>
      <c r="N815" t="s">
        <v>8</v>
      </c>
      <c r="P815">
        <f t="shared" si="1004"/>
        <v>0.32631578947368328</v>
      </c>
      <c r="Q815">
        <f t="shared" si="1005"/>
        <v>52976037.574736692</v>
      </c>
      <c r="R815">
        <f t="shared" si="1006"/>
        <v>-7014421749.2479401</v>
      </c>
      <c r="S815">
        <f t="shared" si="1007"/>
        <v>-70144.217492479394</v>
      </c>
      <c r="T815">
        <f t="shared" si="1008"/>
        <v>-70.144217492479399</v>
      </c>
    </row>
    <row r="816" spans="1:20" x14ac:dyDescent="0.25">
      <c r="A816" s="5">
        <v>43777</v>
      </c>
      <c r="B816">
        <v>1.512E-2</v>
      </c>
      <c r="C816">
        <v>1.546E-2</v>
      </c>
      <c r="D816">
        <v>1.379E-2</v>
      </c>
      <c r="E816">
        <v>1.4319999999999999E-2</v>
      </c>
      <c r="F816">
        <v>236014058.80000001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-0.36526946107784508</v>
      </c>
      <c r="Q816">
        <f t="shared" si="1005"/>
        <v>-86208728.064670846</v>
      </c>
      <c r="R816">
        <f t="shared" si="1006"/>
        <v>-7067397786.8226767</v>
      </c>
      <c r="S816">
        <f t="shared" si="1007"/>
        <v>-70673.977868226764</v>
      </c>
      <c r="T816">
        <f t="shared" si="1008"/>
        <v>-70.673977868226771</v>
      </c>
    </row>
    <row r="817" spans="1:20" x14ac:dyDescent="0.25">
      <c r="A817" s="5">
        <v>43776</v>
      </c>
      <c r="B817">
        <v>1.4460000000000001E-2</v>
      </c>
      <c r="C817">
        <v>1.542E-2</v>
      </c>
      <c r="D817">
        <v>1.421E-2</v>
      </c>
      <c r="E817">
        <v>1.512E-2</v>
      </c>
      <c r="F817">
        <v>237761244.40000001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0.50413223140495855</v>
      </c>
      <c r="Q817">
        <f t="shared" si="1005"/>
        <v>119863106.68099171</v>
      </c>
      <c r="R817">
        <f t="shared" si="1006"/>
        <v>-6981189058.7580061</v>
      </c>
      <c r="S817">
        <f t="shared" si="1007"/>
        <v>-69811.890587580056</v>
      </c>
      <c r="T817">
        <f t="shared" si="1008"/>
        <v>-69.811890587580052</v>
      </c>
    </row>
    <row r="818" spans="1:20" x14ac:dyDescent="0.25">
      <c r="A818" s="5">
        <v>43775</v>
      </c>
      <c r="B818">
        <v>1.465E-2</v>
      </c>
      <c r="C818">
        <v>1.486E-2</v>
      </c>
      <c r="D818">
        <v>1.43E-2</v>
      </c>
      <c r="E818">
        <v>1.447E-2</v>
      </c>
      <c r="F818">
        <v>150238377.90000001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-0.39285714285714252</v>
      </c>
      <c r="Q818">
        <f t="shared" si="1005"/>
        <v>-59022219.889285669</v>
      </c>
      <c r="R818">
        <f t="shared" si="1006"/>
        <v>-7101052165.4389982</v>
      </c>
      <c r="S818">
        <f t="shared" si="1007"/>
        <v>-71010.521654389988</v>
      </c>
      <c r="T818">
        <f t="shared" si="1008"/>
        <v>-71.01052165438999</v>
      </c>
    </row>
    <row r="819" spans="1:20" x14ac:dyDescent="0.25">
      <c r="A819" s="5">
        <v>43774</v>
      </c>
      <c r="B819">
        <v>1.4279999999999999E-2</v>
      </c>
      <c r="C819">
        <v>1.5140000000000001E-2</v>
      </c>
      <c r="D819">
        <v>1.3950000000000001E-2</v>
      </c>
      <c r="E819">
        <v>1.47E-2</v>
      </c>
      <c r="F819">
        <v>267620780.09999999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0.2605042016806704</v>
      </c>
      <c r="Q819">
        <f t="shared" si="1005"/>
        <v>69716337.673108742</v>
      </c>
      <c r="R819">
        <f t="shared" si="1006"/>
        <v>-7042029945.5497122</v>
      </c>
      <c r="S819">
        <f t="shared" si="1007"/>
        <v>-70420.299455497123</v>
      </c>
      <c r="T819">
        <f t="shared" si="1008"/>
        <v>-70.42029945549713</v>
      </c>
    </row>
    <row r="820" spans="1:20" x14ac:dyDescent="0.25">
      <c r="A820" s="5">
        <v>43773</v>
      </c>
      <c r="B820">
        <v>1.354E-2</v>
      </c>
      <c r="C820">
        <v>1.461E-2</v>
      </c>
      <c r="D820">
        <v>1.3509999999999999E-2</v>
      </c>
      <c r="E820">
        <v>1.4319999999999999E-2</v>
      </c>
      <c r="F820">
        <v>233424567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0.47272727272727227</v>
      </c>
      <c r="Q820">
        <f t="shared" si="1005"/>
        <v>110346158.94545443</v>
      </c>
      <c r="R820">
        <f t="shared" si="1006"/>
        <v>-7111746283.2228212</v>
      </c>
      <c r="S820">
        <f t="shared" si="1007"/>
        <v>-71117.462832228208</v>
      </c>
      <c r="T820">
        <f t="shared" si="1008"/>
        <v>-71.117462832228213</v>
      </c>
    </row>
    <row r="821" spans="1:20" x14ac:dyDescent="0.25">
      <c r="A821" s="5">
        <v>43772</v>
      </c>
      <c r="B821">
        <v>1.354E-2</v>
      </c>
      <c r="C821">
        <v>1.3729999999999999E-2</v>
      </c>
      <c r="D821">
        <v>1.329E-2</v>
      </c>
      <c r="E821">
        <v>1.354E-2</v>
      </c>
      <c r="F821">
        <v>73641398.400000006</v>
      </c>
      <c r="G821">
        <v>0</v>
      </c>
      <c r="L821" t="s">
        <v>7</v>
      </c>
      <c r="M821" t="s">
        <v>8</v>
      </c>
      <c r="N821" t="s">
        <v>8</v>
      </c>
      <c r="P821">
        <f t="shared" si="1004"/>
        <v>0.13636363636363888</v>
      </c>
      <c r="Q821">
        <f t="shared" si="1005"/>
        <v>10042008.872727459</v>
      </c>
      <c r="R821">
        <f t="shared" si="1006"/>
        <v>-7222092442.1682758</v>
      </c>
      <c r="S821">
        <f t="shared" si="1007"/>
        <v>-72220.924421682765</v>
      </c>
      <c r="T821">
        <f t="shared" si="1008"/>
        <v>-72.220924421682767</v>
      </c>
    </row>
    <row r="822" spans="1:20" x14ac:dyDescent="0.25">
      <c r="A822" s="5">
        <v>43771</v>
      </c>
      <c r="B822">
        <v>1.3769999999999999E-2</v>
      </c>
      <c r="C822">
        <v>1.3899999999999999E-2</v>
      </c>
      <c r="D822">
        <v>1.34E-2</v>
      </c>
      <c r="E822">
        <v>1.353E-2</v>
      </c>
      <c r="F822">
        <v>78503532.200000003</v>
      </c>
      <c r="G822">
        <v>0</v>
      </c>
      <c r="L822" t="s">
        <v>7</v>
      </c>
      <c r="M822" t="s">
        <v>8</v>
      </c>
      <c r="N822" t="s">
        <v>8</v>
      </c>
      <c r="P822">
        <f t="shared" si="1004"/>
        <v>-0.47999999999999904</v>
      </c>
      <c r="Q822">
        <f t="shared" si="1005"/>
        <v>-37681695.455999926</v>
      </c>
      <c r="R822">
        <f t="shared" si="1006"/>
        <v>-7232134451.0410032</v>
      </c>
      <c r="S822">
        <f t="shared" si="1007"/>
        <v>-72321.344510410039</v>
      </c>
      <c r="T822">
        <f t="shared" si="1008"/>
        <v>-72.321344510410043</v>
      </c>
    </row>
    <row r="823" spans="1:20" x14ac:dyDescent="0.25">
      <c r="A823" s="5">
        <v>43770</v>
      </c>
      <c r="B823">
        <v>1.3599999999999999E-2</v>
      </c>
      <c r="C823">
        <v>1.406E-2</v>
      </c>
      <c r="D823">
        <v>1.336E-2</v>
      </c>
      <c r="E823">
        <v>1.3769999999999999E-2</v>
      </c>
      <c r="F823">
        <v>91318676.400000006</v>
      </c>
      <c r="G823">
        <v>0</v>
      </c>
      <c r="L823" t="s">
        <v>7</v>
      </c>
      <c r="M823" t="s">
        <v>8</v>
      </c>
      <c r="N823" t="s">
        <v>8</v>
      </c>
      <c r="P823">
        <f t="shared" si="1004"/>
        <v>0.1714285714285696</v>
      </c>
      <c r="Q823">
        <f t="shared" si="1005"/>
        <v>15654630.239999834</v>
      </c>
      <c r="R823">
        <f t="shared" si="1006"/>
        <v>-7194452755.5850029</v>
      </c>
      <c r="S823">
        <f t="shared" si="1007"/>
        <v>-71944.527555850029</v>
      </c>
      <c r="T823">
        <f t="shared" si="1008"/>
        <v>-71.94452755585003</v>
      </c>
    </row>
    <row r="824" spans="1:20" x14ac:dyDescent="0.25">
      <c r="A824" s="5">
        <v>43769</v>
      </c>
      <c r="B824">
        <v>1.341E-2</v>
      </c>
      <c r="C824">
        <v>1.388E-2</v>
      </c>
      <c r="D824">
        <v>1.324E-2</v>
      </c>
      <c r="E824">
        <v>1.3599999999999999E-2</v>
      </c>
      <c r="F824">
        <v>104160241.7</v>
      </c>
      <c r="G824">
        <v>0</v>
      </c>
      <c r="L824" t="s">
        <v>7</v>
      </c>
      <c r="M824" t="s">
        <v>8</v>
      </c>
      <c r="N824" t="s">
        <v>8</v>
      </c>
      <c r="P824">
        <f t="shared" si="1004"/>
        <v>0.12499999999999763</v>
      </c>
      <c r="Q824">
        <f t="shared" si="1005"/>
        <v>13020030.212499753</v>
      </c>
      <c r="R824">
        <f t="shared" si="1006"/>
        <v>-7210107385.8250027</v>
      </c>
      <c r="S824">
        <f t="shared" si="1007"/>
        <v>-72101.07385825002</v>
      </c>
      <c r="T824">
        <f t="shared" si="1008"/>
        <v>-72.101073858250018</v>
      </c>
    </row>
    <row r="825" spans="1:20" x14ac:dyDescent="0.25">
      <c r="A825" s="5">
        <v>43768</v>
      </c>
      <c r="B825">
        <v>1.409E-2</v>
      </c>
      <c r="C825">
        <v>1.414E-2</v>
      </c>
      <c r="D825">
        <v>1.3259999999999999E-2</v>
      </c>
      <c r="E825">
        <v>1.34E-2</v>
      </c>
      <c r="F825">
        <v>128502634.09999999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-0.68181818181817921</v>
      </c>
      <c r="Q825">
        <f t="shared" si="1005"/>
        <v>-87615432.340908751</v>
      </c>
      <c r="R825">
        <f t="shared" si="1006"/>
        <v>-7223127416.0375023</v>
      </c>
      <c r="S825">
        <f t="shared" si="1007"/>
        <v>-72231.274160375018</v>
      </c>
      <c r="T825">
        <f t="shared" si="1008"/>
        <v>-72.231274160375023</v>
      </c>
    </row>
    <row r="826" spans="1:20" x14ac:dyDescent="0.25">
      <c r="A826" s="5">
        <v>43767</v>
      </c>
      <c r="B826">
        <v>1.3990000000000001E-2</v>
      </c>
      <c r="C826">
        <v>1.443E-2</v>
      </c>
      <c r="D826">
        <v>1.3780000000000001E-2</v>
      </c>
      <c r="E826">
        <v>1.409E-2</v>
      </c>
      <c r="F826">
        <v>176630436.09999999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-4.6153846153846975E-2</v>
      </c>
      <c r="Q826">
        <f t="shared" si="1005"/>
        <v>-8152173.9738462986</v>
      </c>
      <c r="R826">
        <f t="shared" si="1006"/>
        <v>-7135511983.6965933</v>
      </c>
      <c r="S826">
        <f t="shared" si="1007"/>
        <v>-71355.11983696594</v>
      </c>
      <c r="T826">
        <f t="shared" si="1008"/>
        <v>-71.35511983696594</v>
      </c>
    </row>
    <row r="827" spans="1:20" x14ac:dyDescent="0.25">
      <c r="A827" s="5">
        <v>43766</v>
      </c>
      <c r="B827">
        <v>1.4030000000000001E-2</v>
      </c>
      <c r="C827">
        <v>1.515E-2</v>
      </c>
      <c r="D827">
        <v>1.391E-2</v>
      </c>
      <c r="E827">
        <v>1.3979999999999999E-2</v>
      </c>
      <c r="F827">
        <v>299848970.19999999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-0.88709677419355015</v>
      </c>
      <c r="Q827">
        <f t="shared" si="1005"/>
        <v>-265995054.20967793</v>
      </c>
      <c r="R827">
        <f t="shared" si="1006"/>
        <v>-7127359809.7227468</v>
      </c>
      <c r="S827">
        <f t="shared" si="1007"/>
        <v>-71273.59809722747</v>
      </c>
      <c r="T827">
        <f t="shared" si="1008"/>
        <v>-71.273598097227463</v>
      </c>
    </row>
    <row r="828" spans="1:20" x14ac:dyDescent="0.25">
      <c r="A828" s="5">
        <v>43765</v>
      </c>
      <c r="B828">
        <v>1.3480000000000001E-2</v>
      </c>
      <c r="C828">
        <v>1.464E-2</v>
      </c>
      <c r="D828">
        <v>1.333E-2</v>
      </c>
      <c r="E828">
        <v>1.4019999999999999E-2</v>
      </c>
      <c r="F828">
        <v>250305672.5</v>
      </c>
      <c r="G828">
        <v>0</v>
      </c>
      <c r="L828" t="s">
        <v>8</v>
      </c>
      <c r="M828" t="s">
        <v>7</v>
      </c>
      <c r="N828" t="s">
        <v>8</v>
      </c>
      <c r="P828">
        <f t="shared" si="1004"/>
        <v>5.3435114503815925E-2</v>
      </c>
      <c r="Q828">
        <f t="shared" si="1005"/>
        <v>13375112.270992149</v>
      </c>
      <c r="R828">
        <f t="shared" si="1006"/>
        <v>-6861364755.5130692</v>
      </c>
      <c r="S828">
        <f t="shared" si="1007"/>
        <v>-68613.647555130694</v>
      </c>
      <c r="T828">
        <f t="shared" si="1008"/>
        <v>-68.613647555130697</v>
      </c>
    </row>
    <row r="829" spans="1:20" x14ac:dyDescent="0.25">
      <c r="A829" s="5">
        <v>43764</v>
      </c>
      <c r="B829">
        <v>1.438E-2</v>
      </c>
      <c r="C829">
        <v>1.489E-2</v>
      </c>
      <c r="D829">
        <v>1.316E-2</v>
      </c>
      <c r="E829">
        <v>1.3480000000000001E-2</v>
      </c>
      <c r="F829">
        <v>381110868.10000002</v>
      </c>
      <c r="G829">
        <v>0</v>
      </c>
      <c r="L829" t="s">
        <v>7</v>
      </c>
      <c r="M829" t="s">
        <v>7</v>
      </c>
      <c r="N829" t="s">
        <v>8</v>
      </c>
      <c r="P829">
        <f t="shared" si="1004"/>
        <v>-0.63005780346820728</v>
      </c>
      <c r="Q829">
        <f t="shared" si="1005"/>
        <v>-240121876.4329477</v>
      </c>
      <c r="R829">
        <f t="shared" si="1006"/>
        <v>-6874739867.7840614</v>
      </c>
      <c r="S829">
        <f t="shared" si="1007"/>
        <v>-68747.398677840611</v>
      </c>
      <c r="T829">
        <f t="shared" si="1008"/>
        <v>-68.747398677840607</v>
      </c>
    </row>
    <row r="830" spans="1:20" x14ac:dyDescent="0.25">
      <c r="A830" s="5">
        <v>43763</v>
      </c>
      <c r="B830">
        <v>1.338E-2</v>
      </c>
      <c r="C830">
        <v>1.474E-2</v>
      </c>
      <c r="D830">
        <v>1.2999999999999999E-2</v>
      </c>
      <c r="E830">
        <v>1.435E-2</v>
      </c>
      <c r="F830">
        <v>319745672.80000001</v>
      </c>
      <c r="G830">
        <v>0</v>
      </c>
      <c r="L830" t="s">
        <v>8</v>
      </c>
      <c r="M830" t="s">
        <v>7</v>
      </c>
      <c r="N830" t="s">
        <v>8</v>
      </c>
      <c r="P830">
        <f t="shared" si="1004"/>
        <v>0.55172413793103481</v>
      </c>
      <c r="Q830">
        <f t="shared" si="1005"/>
        <v>176411405.68275872</v>
      </c>
      <c r="R830">
        <f t="shared" si="1006"/>
        <v>-6634617991.3511133</v>
      </c>
      <c r="S830">
        <f t="shared" si="1007"/>
        <v>-66346.179913511136</v>
      </c>
      <c r="T830">
        <f t="shared" si="1008"/>
        <v>-66.346179913511136</v>
      </c>
    </row>
    <row r="831" spans="1:20" x14ac:dyDescent="0.25">
      <c r="A831" s="5">
        <v>43762</v>
      </c>
      <c r="B831">
        <v>1.3220000000000001E-2</v>
      </c>
      <c r="C831">
        <v>1.383E-2</v>
      </c>
      <c r="D831">
        <v>1.289E-2</v>
      </c>
      <c r="E831">
        <v>1.338E-2</v>
      </c>
      <c r="F831">
        <v>176823245.59999999</v>
      </c>
      <c r="G831">
        <v>0</v>
      </c>
      <c r="L831" t="s">
        <v>8</v>
      </c>
      <c r="M831" t="s">
        <v>7</v>
      </c>
      <c r="N831" t="s">
        <v>8</v>
      </c>
      <c r="P831">
        <f t="shared" ref="P831:P894" si="1009">IF(C831=D831,0,((E831-D831)-(C831-E831))/(C831-D831))</f>
        <v>4.2553191489359973E-2</v>
      </c>
      <c r="Q831">
        <f t="shared" ref="Q831:Q894" si="1010">F831*P831</f>
        <v>7524393.429786928</v>
      </c>
      <c r="R831">
        <f t="shared" ref="R831:R894" si="1011">R832+Q831</f>
        <v>-6811029397.0338717</v>
      </c>
      <c r="S831">
        <f t="shared" ref="S831:S894" si="1012">R831/100000</f>
        <v>-68110.293970338724</v>
      </c>
      <c r="T831">
        <f t="shared" ref="T831:T894" si="1013">S831/1000</f>
        <v>-68.110293970338731</v>
      </c>
    </row>
    <row r="832" spans="1:20" x14ac:dyDescent="0.25">
      <c r="A832" s="5">
        <v>43761</v>
      </c>
      <c r="B832">
        <v>1.443E-2</v>
      </c>
      <c r="C832">
        <v>1.4630000000000001E-2</v>
      </c>
      <c r="D832">
        <v>1.259E-2</v>
      </c>
      <c r="E832">
        <v>1.3259999999999999E-2</v>
      </c>
      <c r="F832">
        <v>332302515.89999998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-0.34313725490196206</v>
      </c>
      <c r="Q832">
        <f t="shared" si="1010"/>
        <v>-114025373.10294159</v>
      </c>
      <c r="R832">
        <f t="shared" si="1011"/>
        <v>-6818553790.4636583</v>
      </c>
      <c r="S832">
        <f t="shared" si="1012"/>
        <v>-68185.537904636585</v>
      </c>
      <c r="T832">
        <f t="shared" si="1013"/>
        <v>-68.18553790463659</v>
      </c>
    </row>
    <row r="833" spans="1:20" x14ac:dyDescent="0.25">
      <c r="A833" s="5">
        <v>43760</v>
      </c>
      <c r="B833">
        <v>1.491E-2</v>
      </c>
      <c r="C833">
        <v>1.533E-2</v>
      </c>
      <c r="D833">
        <v>1.43E-2</v>
      </c>
      <c r="E833">
        <v>1.443E-2</v>
      </c>
      <c r="F833">
        <v>242262152.90000001</v>
      </c>
      <c r="G833">
        <v>0</v>
      </c>
      <c r="L833" t="s">
        <v>8</v>
      </c>
      <c r="M833" t="s">
        <v>8</v>
      </c>
      <c r="N833" t="s">
        <v>8</v>
      </c>
      <c r="P833">
        <f t="shared" si="1009"/>
        <v>-0.74757281553398069</v>
      </c>
      <c r="Q833">
        <f t="shared" si="1010"/>
        <v>-181108599.74077672</v>
      </c>
      <c r="R833">
        <f t="shared" si="1011"/>
        <v>-6704528417.3607168</v>
      </c>
      <c r="S833">
        <f t="shared" si="1012"/>
        <v>-67045.284173607171</v>
      </c>
      <c r="T833">
        <f t="shared" si="1013"/>
        <v>-67.045284173607172</v>
      </c>
    </row>
    <row r="834" spans="1:20" x14ac:dyDescent="0.25">
      <c r="A834" s="5">
        <v>43759</v>
      </c>
      <c r="B834">
        <v>1.38E-2</v>
      </c>
      <c r="C834">
        <v>1.516E-2</v>
      </c>
      <c r="D834">
        <v>1.354E-2</v>
      </c>
      <c r="E834">
        <v>1.491E-2</v>
      </c>
      <c r="F834">
        <v>336082470.10000002</v>
      </c>
      <c r="G834">
        <v>0</v>
      </c>
      <c r="L834" t="s">
        <v>8</v>
      </c>
      <c r="M834" t="s">
        <v>8</v>
      </c>
      <c r="N834" t="s">
        <v>8</v>
      </c>
      <c r="P834">
        <f t="shared" si="1009"/>
        <v>0.69135802469135776</v>
      </c>
      <c r="Q834">
        <f t="shared" si="1010"/>
        <v>232353312.66172832</v>
      </c>
      <c r="R834">
        <f t="shared" si="1011"/>
        <v>-6523419817.6199398</v>
      </c>
      <c r="S834">
        <f t="shared" si="1012"/>
        <v>-65234.198176199396</v>
      </c>
      <c r="T834">
        <f t="shared" si="1013"/>
        <v>-65.234198176199399</v>
      </c>
    </row>
    <row r="835" spans="1:20" x14ac:dyDescent="0.25">
      <c r="A835" s="5">
        <v>43758</v>
      </c>
      <c r="B835">
        <v>1.376E-2</v>
      </c>
      <c r="C835">
        <v>1.4030000000000001E-2</v>
      </c>
      <c r="D835">
        <v>1.32E-2</v>
      </c>
      <c r="E835">
        <v>1.376E-2</v>
      </c>
      <c r="F835">
        <v>127160718.2</v>
      </c>
      <c r="G835">
        <v>0</v>
      </c>
      <c r="L835" t="s">
        <v>8</v>
      </c>
      <c r="M835" t="s">
        <v>7</v>
      </c>
      <c r="N835" t="s">
        <v>8</v>
      </c>
      <c r="P835">
        <f t="shared" si="1009"/>
        <v>0.34939759036144374</v>
      </c>
      <c r="Q835">
        <f t="shared" si="1010"/>
        <v>44429648.527710587</v>
      </c>
      <c r="R835">
        <f t="shared" si="1011"/>
        <v>-6755773130.2816677</v>
      </c>
      <c r="S835">
        <f t="shared" si="1012"/>
        <v>-67557.731302816683</v>
      </c>
      <c r="T835">
        <f t="shared" si="1013"/>
        <v>-67.557731302816677</v>
      </c>
    </row>
    <row r="836" spans="1:20" x14ac:dyDescent="0.25">
      <c r="A836" s="5">
        <v>43757</v>
      </c>
      <c r="B836">
        <v>1.333E-2</v>
      </c>
      <c r="C836">
        <v>1.389E-2</v>
      </c>
      <c r="D836">
        <v>1.302E-2</v>
      </c>
      <c r="E836">
        <v>1.376E-2</v>
      </c>
      <c r="F836">
        <v>136027755.19999999</v>
      </c>
      <c r="G836">
        <v>0</v>
      </c>
      <c r="L836" t="s">
        <v>8</v>
      </c>
      <c r="M836" t="s">
        <v>7</v>
      </c>
      <c r="N836" t="s">
        <v>8</v>
      </c>
      <c r="P836">
        <f t="shared" si="1009"/>
        <v>0.70114942528735624</v>
      </c>
      <c r="Q836">
        <f t="shared" si="1010"/>
        <v>95375782.381609172</v>
      </c>
      <c r="R836">
        <f t="shared" si="1011"/>
        <v>-6800202778.8093786</v>
      </c>
      <c r="S836">
        <f t="shared" si="1012"/>
        <v>-68002.027788093779</v>
      </c>
      <c r="T836">
        <f t="shared" si="1013"/>
        <v>-68.002027788093784</v>
      </c>
    </row>
    <row r="837" spans="1:20" x14ac:dyDescent="0.25">
      <c r="A837" s="5">
        <v>43756</v>
      </c>
      <c r="B837">
        <v>1.4250000000000001E-2</v>
      </c>
      <c r="C837">
        <v>1.443E-2</v>
      </c>
      <c r="D837">
        <v>1.2999999999999999E-2</v>
      </c>
      <c r="E837">
        <v>1.3339999999999999E-2</v>
      </c>
      <c r="F837">
        <v>190539827.5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-0.5244755244755247</v>
      </c>
      <c r="Q837">
        <f t="shared" si="1010"/>
        <v>-99933475.961538509</v>
      </c>
      <c r="R837">
        <f t="shared" si="1011"/>
        <v>-6895578561.1909876</v>
      </c>
      <c r="S837">
        <f t="shared" si="1012"/>
        <v>-68955.785611909872</v>
      </c>
      <c r="T837">
        <f t="shared" si="1013"/>
        <v>-68.955785611909874</v>
      </c>
    </row>
    <row r="838" spans="1:20" x14ac:dyDescent="0.25">
      <c r="A838" s="5">
        <v>43755</v>
      </c>
      <c r="B838">
        <v>1.3860000000000001E-2</v>
      </c>
      <c r="C838">
        <v>1.4579999999999999E-2</v>
      </c>
      <c r="D838">
        <v>1.3480000000000001E-2</v>
      </c>
      <c r="E838">
        <v>1.4250000000000001E-2</v>
      </c>
      <c r="F838">
        <v>183009067.30000001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0.40000000000000158</v>
      </c>
      <c r="Q838">
        <f t="shared" si="1010"/>
        <v>73203626.9200003</v>
      </c>
      <c r="R838">
        <f t="shared" si="1011"/>
        <v>-6795645085.2294493</v>
      </c>
      <c r="S838">
        <f t="shared" si="1012"/>
        <v>-67956.450852294496</v>
      </c>
      <c r="T838">
        <f t="shared" si="1013"/>
        <v>-67.956450852294495</v>
      </c>
    </row>
    <row r="839" spans="1:20" x14ac:dyDescent="0.25">
      <c r="A839" s="5">
        <v>43754</v>
      </c>
      <c r="B839">
        <v>1.434E-2</v>
      </c>
      <c r="C839">
        <v>1.447E-2</v>
      </c>
      <c r="D839">
        <v>1.2829999999999999E-2</v>
      </c>
      <c r="E839">
        <v>1.3860000000000001E-2</v>
      </c>
      <c r="F839">
        <v>255790740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0.25609756097561082</v>
      </c>
      <c r="Q839">
        <f t="shared" si="1010"/>
        <v>65507384.634146616</v>
      </c>
      <c r="R839">
        <f t="shared" si="1011"/>
        <v>-6868848712.1494493</v>
      </c>
      <c r="S839">
        <f t="shared" si="1012"/>
        <v>-68688.487121494487</v>
      </c>
      <c r="T839">
        <f t="shared" si="1013"/>
        <v>-68.688487121494489</v>
      </c>
    </row>
    <row r="840" spans="1:20" x14ac:dyDescent="0.25">
      <c r="A840" s="5">
        <v>43753</v>
      </c>
      <c r="B840">
        <v>1.523E-2</v>
      </c>
      <c r="C840">
        <v>1.5389999999999999E-2</v>
      </c>
      <c r="D840">
        <v>1.4109999999999999E-2</v>
      </c>
      <c r="E840">
        <v>1.4370000000000001E-2</v>
      </c>
      <c r="F840">
        <v>240211695.5</v>
      </c>
      <c r="G840">
        <v>0</v>
      </c>
      <c r="L840" t="s">
        <v>7</v>
      </c>
      <c r="M840" t="s">
        <v>7</v>
      </c>
      <c r="N840" t="s">
        <v>8</v>
      </c>
      <c r="P840">
        <f t="shared" si="1009"/>
        <v>-0.59374999999999756</v>
      </c>
      <c r="Q840">
        <f t="shared" si="1010"/>
        <v>-142625694.2031244</v>
      </c>
      <c r="R840">
        <f t="shared" si="1011"/>
        <v>-6934356096.783596</v>
      </c>
      <c r="S840">
        <f t="shared" si="1012"/>
        <v>-69343.560967835961</v>
      </c>
      <c r="T840">
        <f t="shared" si="1013"/>
        <v>-69.343560967835955</v>
      </c>
    </row>
    <row r="841" spans="1:20" x14ac:dyDescent="0.25">
      <c r="A841" s="5">
        <v>43752</v>
      </c>
      <c r="B841">
        <v>1.4930000000000001E-2</v>
      </c>
      <c r="C841">
        <v>1.6719999999999999E-2</v>
      </c>
      <c r="D841">
        <v>1.485E-2</v>
      </c>
      <c r="E841">
        <v>1.5219999999999999E-2</v>
      </c>
      <c r="F841">
        <v>475384929.10000002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-0.60427807486631113</v>
      </c>
      <c r="Q841">
        <f t="shared" si="1010"/>
        <v>-287264689.77700585</v>
      </c>
      <c r="R841">
        <f t="shared" si="1011"/>
        <v>-6791730402.580472</v>
      </c>
      <c r="S841">
        <f t="shared" si="1012"/>
        <v>-67917.304025804726</v>
      </c>
      <c r="T841">
        <f t="shared" si="1013"/>
        <v>-67.917304025804725</v>
      </c>
    </row>
    <row r="842" spans="1:20" x14ac:dyDescent="0.25">
      <c r="A842" s="5">
        <v>43751</v>
      </c>
      <c r="B842">
        <v>1.555E-2</v>
      </c>
      <c r="C842">
        <v>1.5679999999999999E-2</v>
      </c>
      <c r="D842">
        <v>1.4080000000000001E-2</v>
      </c>
      <c r="E842">
        <v>1.494E-2</v>
      </c>
      <c r="F842">
        <v>225545366</v>
      </c>
      <c r="G842">
        <v>0</v>
      </c>
      <c r="L842" t="s">
        <v>7</v>
      </c>
      <c r="M842" t="s">
        <v>7</v>
      </c>
      <c r="N842" t="s">
        <v>8</v>
      </c>
      <c r="P842">
        <f t="shared" si="1009"/>
        <v>7.5000000000000247E-2</v>
      </c>
      <c r="Q842">
        <f t="shared" si="1010"/>
        <v>16915902.450000055</v>
      </c>
      <c r="R842">
        <f t="shared" si="1011"/>
        <v>-6504465712.8034658</v>
      </c>
      <c r="S842">
        <f t="shared" si="1012"/>
        <v>-65044.657128034662</v>
      </c>
      <c r="T842">
        <f t="shared" si="1013"/>
        <v>-65.044657128034657</v>
      </c>
    </row>
    <row r="843" spans="1:20" x14ac:dyDescent="0.25">
      <c r="A843" s="5">
        <v>43750</v>
      </c>
      <c r="B843">
        <v>1.5800000000000002E-2</v>
      </c>
      <c r="C843">
        <v>1.6500000000000001E-2</v>
      </c>
      <c r="D843">
        <v>1.452E-2</v>
      </c>
      <c r="E843">
        <v>1.555E-2</v>
      </c>
      <c r="F843">
        <v>495026909.39999998</v>
      </c>
      <c r="G843">
        <v>0</v>
      </c>
      <c r="L843" t="s">
        <v>7</v>
      </c>
      <c r="M843" t="s">
        <v>7</v>
      </c>
      <c r="N843" t="s">
        <v>8</v>
      </c>
      <c r="P843">
        <f t="shared" si="1009"/>
        <v>4.0404040404039616E-2</v>
      </c>
      <c r="Q843">
        <f t="shared" si="1010"/>
        <v>20001087.248484459</v>
      </c>
      <c r="R843">
        <f t="shared" si="1011"/>
        <v>-6521381615.2534657</v>
      </c>
      <c r="S843">
        <f t="shared" si="1012"/>
        <v>-65213.816152534659</v>
      </c>
      <c r="T843">
        <f t="shared" si="1013"/>
        <v>-65.213816152534662</v>
      </c>
    </row>
    <row r="844" spans="1:20" x14ac:dyDescent="0.25">
      <c r="A844" s="5">
        <v>43749</v>
      </c>
      <c r="B844">
        <v>1.61E-2</v>
      </c>
      <c r="C844">
        <v>1.7659999999999999E-2</v>
      </c>
      <c r="D844">
        <v>1.529E-2</v>
      </c>
      <c r="E844">
        <v>1.5800000000000002E-2</v>
      </c>
      <c r="F844">
        <v>776515586</v>
      </c>
      <c r="G844">
        <v>0</v>
      </c>
      <c r="L844" t="s">
        <v>8</v>
      </c>
      <c r="M844" t="s">
        <v>8</v>
      </c>
      <c r="N844" t="s">
        <v>8</v>
      </c>
      <c r="P844">
        <f t="shared" si="1009"/>
        <v>-0.56962025316455522</v>
      </c>
      <c r="Q844">
        <f t="shared" si="1010"/>
        <v>-442319004.68354297</v>
      </c>
      <c r="R844">
        <f t="shared" si="1011"/>
        <v>-6541382702.5019503</v>
      </c>
      <c r="S844">
        <f t="shared" si="1012"/>
        <v>-65413.827025019506</v>
      </c>
      <c r="T844">
        <f t="shared" si="1013"/>
        <v>-65.413827025019501</v>
      </c>
    </row>
    <row r="845" spans="1:20" x14ac:dyDescent="0.25">
      <c r="A845" s="5">
        <v>43748</v>
      </c>
      <c r="B845">
        <v>1.444E-2</v>
      </c>
      <c r="C845">
        <v>1.7100000000000001E-2</v>
      </c>
      <c r="D845">
        <v>1.338E-2</v>
      </c>
      <c r="E845">
        <v>1.61E-2</v>
      </c>
      <c r="F845">
        <v>507302441.10000002</v>
      </c>
      <c r="G845">
        <v>0</v>
      </c>
      <c r="L845" t="s">
        <v>8</v>
      </c>
      <c r="M845" t="s">
        <v>8</v>
      </c>
      <c r="N845" t="s">
        <v>8</v>
      </c>
      <c r="P845">
        <f t="shared" si="1009"/>
        <v>0.46236559139784916</v>
      </c>
      <c r="Q845">
        <f t="shared" si="1010"/>
        <v>234559193.19677407</v>
      </c>
      <c r="R845">
        <f t="shared" si="1011"/>
        <v>-6099063697.8184071</v>
      </c>
      <c r="S845">
        <f t="shared" si="1012"/>
        <v>-60990.636978184069</v>
      </c>
      <c r="T845">
        <f t="shared" si="1013"/>
        <v>-60.990636978184071</v>
      </c>
    </row>
    <row r="846" spans="1:20" x14ac:dyDescent="0.25">
      <c r="A846" s="5">
        <v>43747</v>
      </c>
      <c r="B846">
        <v>1.243E-2</v>
      </c>
      <c r="C846">
        <v>1.4500000000000001E-2</v>
      </c>
      <c r="D846">
        <v>1.23E-2</v>
      </c>
      <c r="E846">
        <v>1.444E-2</v>
      </c>
      <c r="F846">
        <v>552149785.60000002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0.94545454545454455</v>
      </c>
      <c r="Q846">
        <f t="shared" si="1010"/>
        <v>522032524.56727225</v>
      </c>
      <c r="R846">
        <f t="shared" si="1011"/>
        <v>-6333622891.0151815</v>
      </c>
      <c r="S846">
        <f t="shared" si="1012"/>
        <v>-63336.228910151818</v>
      </c>
      <c r="T846">
        <f t="shared" si="1013"/>
        <v>-63.336228910151817</v>
      </c>
    </row>
    <row r="847" spans="1:20" x14ac:dyDescent="0.25">
      <c r="A847" s="5">
        <v>43746</v>
      </c>
      <c r="B847">
        <v>1.09E-2</v>
      </c>
      <c r="C847">
        <v>1.2800000000000001E-2</v>
      </c>
      <c r="D847">
        <v>1.0670000000000001E-2</v>
      </c>
      <c r="E847">
        <v>1.244E-2</v>
      </c>
      <c r="F847">
        <v>341305266.5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0.66197183098591461</v>
      </c>
      <c r="Q847">
        <f t="shared" si="1010"/>
        <v>225934472.19014055</v>
      </c>
      <c r="R847">
        <f t="shared" si="1011"/>
        <v>-6855655415.5824537</v>
      </c>
      <c r="S847">
        <f t="shared" si="1012"/>
        <v>-68556.554155824531</v>
      </c>
      <c r="T847">
        <f t="shared" si="1013"/>
        <v>-68.556554155824529</v>
      </c>
    </row>
    <row r="848" spans="1:20" x14ac:dyDescent="0.25">
      <c r="A848" s="5">
        <v>43745</v>
      </c>
      <c r="B848">
        <v>1.013E-2</v>
      </c>
      <c r="C848">
        <v>1.112E-2</v>
      </c>
      <c r="D848">
        <v>1.0030000000000001E-2</v>
      </c>
      <c r="E848">
        <v>1.091E-2</v>
      </c>
      <c r="F848">
        <v>206810304.90000001</v>
      </c>
      <c r="G848">
        <v>0</v>
      </c>
      <c r="L848" t="s">
        <v>8</v>
      </c>
      <c r="M848" t="s">
        <v>7</v>
      </c>
      <c r="N848" t="s">
        <v>7</v>
      </c>
      <c r="P848">
        <f t="shared" si="1009"/>
        <v>0.61467889908256823</v>
      </c>
      <c r="Q848">
        <f t="shared" si="1010"/>
        <v>127121930.53486226</v>
      </c>
      <c r="R848">
        <f t="shared" si="1011"/>
        <v>-7081589887.7725945</v>
      </c>
      <c r="S848">
        <f t="shared" si="1012"/>
        <v>-70815.898877725951</v>
      </c>
      <c r="T848">
        <f t="shared" si="1013"/>
        <v>-70.815898877725957</v>
      </c>
    </row>
    <row r="849" spans="1:20" x14ac:dyDescent="0.25">
      <c r="A849" s="5">
        <v>43744</v>
      </c>
      <c r="B849">
        <v>1.048E-2</v>
      </c>
      <c r="C849">
        <v>1.059E-2</v>
      </c>
      <c r="D849">
        <v>1.005E-2</v>
      </c>
      <c r="E849">
        <v>1.0160000000000001E-2</v>
      </c>
      <c r="F849">
        <v>65066229.100000001</v>
      </c>
      <c r="G849">
        <v>0</v>
      </c>
      <c r="L849" t="s">
        <v>7</v>
      </c>
      <c r="M849" t="s">
        <v>7</v>
      </c>
      <c r="N849" t="s">
        <v>7</v>
      </c>
      <c r="P849">
        <f t="shared" si="1009"/>
        <v>-0.59259259259259034</v>
      </c>
      <c r="Q849">
        <f t="shared" si="1010"/>
        <v>-38557765.392592445</v>
      </c>
      <c r="R849">
        <f t="shared" si="1011"/>
        <v>-7208711818.307457</v>
      </c>
      <c r="S849">
        <f t="shared" si="1012"/>
        <v>-72087.118183074563</v>
      </c>
      <c r="T849">
        <f t="shared" si="1013"/>
        <v>-72.087118183074566</v>
      </c>
    </row>
    <row r="850" spans="1:20" x14ac:dyDescent="0.25">
      <c r="A850" s="5">
        <v>43743</v>
      </c>
      <c r="B850">
        <v>1.055E-2</v>
      </c>
      <c r="C850">
        <v>1.064E-2</v>
      </c>
      <c r="D850">
        <v>1.038E-2</v>
      </c>
      <c r="E850">
        <v>1.048E-2</v>
      </c>
      <c r="F850">
        <v>39459278</v>
      </c>
      <c r="G850">
        <v>0</v>
      </c>
      <c r="L850" t="s">
        <v>7</v>
      </c>
      <c r="M850" t="s">
        <v>7</v>
      </c>
      <c r="N850" t="s">
        <v>7</v>
      </c>
      <c r="P850">
        <f t="shared" si="1009"/>
        <v>-0.23076923076923486</v>
      </c>
      <c r="Q850">
        <f t="shared" si="1010"/>
        <v>-9105987.2307693921</v>
      </c>
      <c r="R850">
        <f t="shared" si="1011"/>
        <v>-7170154052.9148645</v>
      </c>
      <c r="S850">
        <f t="shared" si="1012"/>
        <v>-71701.540529148639</v>
      </c>
      <c r="T850">
        <f t="shared" si="1013"/>
        <v>-71.701540529148645</v>
      </c>
    </row>
    <row r="851" spans="1:20" x14ac:dyDescent="0.25">
      <c r="A851" s="5">
        <v>43742</v>
      </c>
      <c r="B851">
        <v>1.055E-2</v>
      </c>
      <c r="C851">
        <v>1.074E-2</v>
      </c>
      <c r="D851">
        <v>1.031E-2</v>
      </c>
      <c r="E851">
        <v>1.055E-2</v>
      </c>
      <c r="F851">
        <v>48311449.899999999</v>
      </c>
      <c r="G851">
        <v>0</v>
      </c>
      <c r="L851" t="s">
        <v>7</v>
      </c>
      <c r="M851" t="s">
        <v>7</v>
      </c>
      <c r="N851" t="s">
        <v>7</v>
      </c>
      <c r="P851">
        <f t="shared" si="1009"/>
        <v>0.11627906976744523</v>
      </c>
      <c r="Q851">
        <f t="shared" si="1010"/>
        <v>5617610.4534885343</v>
      </c>
      <c r="R851">
        <f t="shared" si="1011"/>
        <v>-7161048065.6840954</v>
      </c>
      <c r="S851">
        <f t="shared" si="1012"/>
        <v>-71610.480656840955</v>
      </c>
      <c r="T851">
        <f t="shared" si="1013"/>
        <v>-71.610480656840949</v>
      </c>
    </row>
    <row r="852" spans="1:20" x14ac:dyDescent="0.25">
      <c r="A852" s="5">
        <v>43741</v>
      </c>
      <c r="B852">
        <v>1.081E-2</v>
      </c>
      <c r="C852">
        <v>1.0919999999999999E-2</v>
      </c>
      <c r="D852">
        <v>1.039E-2</v>
      </c>
      <c r="E852">
        <v>1.0540000000000001E-2</v>
      </c>
      <c r="F852">
        <v>48399668.700000003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-0.43396226415093947</v>
      </c>
      <c r="Q852">
        <f t="shared" si="1010"/>
        <v>-21003629.813207358</v>
      </c>
      <c r="R852">
        <f t="shared" si="1011"/>
        <v>-7166665676.1375837</v>
      </c>
      <c r="S852">
        <f t="shared" si="1012"/>
        <v>-71666.656761375838</v>
      </c>
      <c r="T852">
        <f t="shared" si="1013"/>
        <v>-71.666656761375833</v>
      </c>
    </row>
    <row r="853" spans="1:20" x14ac:dyDescent="0.25">
      <c r="A853" s="5">
        <v>43740</v>
      </c>
      <c r="B853">
        <v>1.065E-2</v>
      </c>
      <c r="C853">
        <v>1.0970000000000001E-2</v>
      </c>
      <c r="D853">
        <v>1.047E-2</v>
      </c>
      <c r="E853">
        <v>1.081E-2</v>
      </c>
      <c r="F853">
        <v>68962300.200000003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0.35999999999999888</v>
      </c>
      <c r="Q853">
        <f t="shared" si="1010"/>
        <v>24826428.071999922</v>
      </c>
      <c r="R853">
        <f t="shared" si="1011"/>
        <v>-7145662046.3243761</v>
      </c>
      <c r="S853">
        <f t="shared" si="1012"/>
        <v>-71456.620463243758</v>
      </c>
      <c r="T853">
        <f t="shared" si="1013"/>
        <v>-71.456620463243752</v>
      </c>
    </row>
    <row r="854" spans="1:20" x14ac:dyDescent="0.25">
      <c r="A854" s="5">
        <v>43739</v>
      </c>
      <c r="B854">
        <v>1.089E-2</v>
      </c>
      <c r="C854">
        <v>1.112E-2</v>
      </c>
      <c r="D854">
        <v>1.055E-2</v>
      </c>
      <c r="E854">
        <v>1.069E-2</v>
      </c>
      <c r="F854">
        <v>110743093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-0.50877192982456254</v>
      </c>
      <c r="Q854">
        <f t="shared" si="1010"/>
        <v>-56342977.140351005</v>
      </c>
      <c r="R854">
        <f t="shared" si="1011"/>
        <v>-7170488474.3963757</v>
      </c>
      <c r="S854">
        <f t="shared" si="1012"/>
        <v>-71704.884743963761</v>
      </c>
      <c r="T854">
        <f t="shared" si="1013"/>
        <v>-71.70488474396376</v>
      </c>
    </row>
    <row r="855" spans="1:20" x14ac:dyDescent="0.25">
      <c r="A855" s="5">
        <v>43738</v>
      </c>
      <c r="B855">
        <v>1.0869999999999999E-2</v>
      </c>
      <c r="C855">
        <v>1.11E-2</v>
      </c>
      <c r="D855">
        <v>1.001E-2</v>
      </c>
      <c r="E855">
        <v>1.09E-2</v>
      </c>
      <c r="F855">
        <v>163662456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0.63302752293577913</v>
      </c>
      <c r="Q855">
        <f t="shared" si="1010"/>
        <v>103602839.11926594</v>
      </c>
      <c r="R855">
        <f t="shared" si="1011"/>
        <v>-7114145497.2560244</v>
      </c>
      <c r="S855">
        <f t="shared" si="1012"/>
        <v>-71141.454972560241</v>
      </c>
      <c r="T855">
        <f t="shared" si="1013"/>
        <v>-71.14145497256024</v>
      </c>
    </row>
    <row r="856" spans="1:20" x14ac:dyDescent="0.25">
      <c r="A856" s="5">
        <v>43737</v>
      </c>
      <c r="B856">
        <v>1.123E-2</v>
      </c>
      <c r="C856">
        <v>1.128E-2</v>
      </c>
      <c r="D856">
        <v>1.0619999999999999E-2</v>
      </c>
      <c r="E856">
        <v>1.0869999999999999E-2</v>
      </c>
      <c r="F856">
        <v>74017670.599999994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-0.24242424242424274</v>
      </c>
      <c r="Q856">
        <f t="shared" si="1010"/>
        <v>-17943677.721212141</v>
      </c>
      <c r="R856">
        <f t="shared" si="1011"/>
        <v>-7217748336.3752899</v>
      </c>
      <c r="S856">
        <f t="shared" si="1012"/>
        <v>-72177.483363752894</v>
      </c>
      <c r="T856">
        <f t="shared" si="1013"/>
        <v>-72.177483363752899</v>
      </c>
    </row>
    <row r="857" spans="1:20" x14ac:dyDescent="0.25">
      <c r="A857" s="5">
        <v>43736</v>
      </c>
      <c r="B857">
        <v>1.082E-2</v>
      </c>
      <c r="C857">
        <v>1.136E-2</v>
      </c>
      <c r="D857">
        <v>1.073E-2</v>
      </c>
      <c r="E857">
        <v>1.1209999999999999E-2</v>
      </c>
      <c r="F857">
        <v>137111918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0.5238095238095215</v>
      </c>
      <c r="Q857">
        <f t="shared" si="1010"/>
        <v>71820528.476190165</v>
      </c>
      <c r="R857">
        <f t="shared" si="1011"/>
        <v>-7199804658.6540775</v>
      </c>
      <c r="S857">
        <f t="shared" si="1012"/>
        <v>-71998.046586540775</v>
      </c>
      <c r="T857">
        <f t="shared" si="1013"/>
        <v>-71.998046586540781</v>
      </c>
    </row>
    <row r="858" spans="1:20" x14ac:dyDescent="0.25">
      <c r="A858" s="5">
        <v>43735</v>
      </c>
      <c r="B858">
        <v>1.0670000000000001E-2</v>
      </c>
      <c r="C858">
        <v>1.0999999999999999E-2</v>
      </c>
      <c r="D858">
        <v>1.0330000000000001E-2</v>
      </c>
      <c r="E858">
        <v>1.082E-2</v>
      </c>
      <c r="F858">
        <v>75524737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0.46268656716417927</v>
      </c>
      <c r="Q858">
        <f t="shared" si="1010"/>
        <v>34944281.298507474</v>
      </c>
      <c r="R858">
        <f t="shared" si="1011"/>
        <v>-7271625187.1302681</v>
      </c>
      <c r="S858">
        <f t="shared" si="1012"/>
        <v>-72716.25187130268</v>
      </c>
      <c r="T858">
        <f t="shared" si="1013"/>
        <v>-72.716251871302674</v>
      </c>
    </row>
    <row r="859" spans="1:20" x14ac:dyDescent="0.25">
      <c r="A859" s="5">
        <v>43734</v>
      </c>
      <c r="B859">
        <v>1.0959999999999999E-2</v>
      </c>
      <c r="C859">
        <v>1.153E-2</v>
      </c>
      <c r="D859">
        <v>0.01</v>
      </c>
      <c r="E859">
        <v>1.059E-2</v>
      </c>
      <c r="F859">
        <v>124237242.59999999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-0.22875816993464027</v>
      </c>
      <c r="Q859">
        <f t="shared" si="1010"/>
        <v>-28420284.254901927</v>
      </c>
      <c r="R859">
        <f t="shared" si="1011"/>
        <v>-7306569468.4287758</v>
      </c>
      <c r="S859">
        <f t="shared" si="1012"/>
        <v>-73065.694684287751</v>
      </c>
      <c r="T859">
        <f t="shared" si="1013"/>
        <v>-73.065694684287749</v>
      </c>
    </row>
    <row r="860" spans="1:20" x14ac:dyDescent="0.25">
      <c r="A860" s="5">
        <v>43733</v>
      </c>
      <c r="B860">
        <v>1.095E-2</v>
      </c>
      <c r="C860">
        <v>1.18E-2</v>
      </c>
      <c r="D860">
        <v>1.0370000000000001E-2</v>
      </c>
      <c r="E860">
        <v>1.098E-2</v>
      </c>
      <c r="F860">
        <v>156085317.80000001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-0.14685314685314704</v>
      </c>
      <c r="Q860">
        <f t="shared" si="1010"/>
        <v>-22921620.09650353</v>
      </c>
      <c r="R860">
        <f t="shared" si="1011"/>
        <v>-7278149184.1738739</v>
      </c>
      <c r="S860">
        <f t="shared" si="1012"/>
        <v>-72781.491841738738</v>
      </c>
      <c r="T860">
        <f t="shared" si="1013"/>
        <v>-72.781491841738742</v>
      </c>
    </row>
    <row r="861" spans="1:20" x14ac:dyDescent="0.25">
      <c r="A861" s="5">
        <v>43732</v>
      </c>
      <c r="B861">
        <v>1.2189999999999999E-2</v>
      </c>
      <c r="C861">
        <v>1.3480000000000001E-2</v>
      </c>
      <c r="D861">
        <v>1.0500000000000001E-2</v>
      </c>
      <c r="E861">
        <v>1.0880000000000001E-2</v>
      </c>
      <c r="F861">
        <v>270931468.10000002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-0.74496644295302006</v>
      </c>
      <c r="Q861">
        <f t="shared" si="1010"/>
        <v>-201834852.07449663</v>
      </c>
      <c r="R861">
        <f t="shared" si="1011"/>
        <v>-7255227564.0773706</v>
      </c>
      <c r="S861">
        <f t="shared" si="1012"/>
        <v>-72552.275640773703</v>
      </c>
      <c r="T861">
        <f t="shared" si="1013"/>
        <v>-72.552275640773701</v>
      </c>
    </row>
    <row r="862" spans="1:20" x14ac:dyDescent="0.25">
      <c r="A862" s="5">
        <v>43731</v>
      </c>
      <c r="B862">
        <v>1.252E-2</v>
      </c>
      <c r="C862">
        <v>1.3050000000000001E-2</v>
      </c>
      <c r="D862">
        <v>1.2149999999999999E-2</v>
      </c>
      <c r="E862">
        <v>1.2239999999999999E-2</v>
      </c>
      <c r="F862">
        <v>64180261.899999999</v>
      </c>
      <c r="G862">
        <v>0</v>
      </c>
      <c r="L862" t="s">
        <v>7</v>
      </c>
      <c r="M862" t="s">
        <v>7</v>
      </c>
      <c r="N862" t="s">
        <v>8</v>
      </c>
      <c r="P862">
        <f t="shared" si="1009"/>
        <v>-0.80000000000000082</v>
      </c>
      <c r="Q862">
        <f t="shared" si="1010"/>
        <v>-51344209.520000048</v>
      </c>
      <c r="R862">
        <f t="shared" si="1011"/>
        <v>-7053392712.0028744</v>
      </c>
      <c r="S862">
        <f t="shared" si="1012"/>
        <v>-70533.927120028748</v>
      </c>
      <c r="T862">
        <f t="shared" si="1013"/>
        <v>-70.53392712002875</v>
      </c>
    </row>
    <row r="863" spans="1:20" x14ac:dyDescent="0.25">
      <c r="A863" s="5">
        <v>43730</v>
      </c>
      <c r="B863">
        <v>1.3350000000000001E-2</v>
      </c>
      <c r="C863">
        <v>1.336E-2</v>
      </c>
      <c r="D863">
        <v>1.234E-2</v>
      </c>
      <c r="E863">
        <v>1.252E-2</v>
      </c>
      <c r="F863">
        <v>83065792.799999997</v>
      </c>
      <c r="G863">
        <v>0</v>
      </c>
      <c r="L863" t="s">
        <v>7</v>
      </c>
      <c r="M863" t="s">
        <v>7</v>
      </c>
      <c r="N863" t="s">
        <v>8</v>
      </c>
      <c r="P863">
        <f t="shared" si="1009"/>
        <v>-0.64705882352941257</v>
      </c>
      <c r="Q863">
        <f t="shared" si="1010"/>
        <v>-53748454.164705947</v>
      </c>
      <c r="R863">
        <f t="shared" si="1011"/>
        <v>-7002048502.4828739</v>
      </c>
      <c r="S863">
        <f t="shared" si="1012"/>
        <v>-70020.48502482874</v>
      </c>
      <c r="T863">
        <f t="shared" si="1013"/>
        <v>-70.020485024828744</v>
      </c>
    </row>
    <row r="864" spans="1:20" x14ac:dyDescent="0.25">
      <c r="A864" s="5">
        <v>43729</v>
      </c>
      <c r="B864">
        <v>1.362E-2</v>
      </c>
      <c r="C864">
        <v>1.366E-2</v>
      </c>
      <c r="D864">
        <v>1.3129999999999999E-2</v>
      </c>
      <c r="E864">
        <v>1.3310000000000001E-2</v>
      </c>
      <c r="F864">
        <v>48485065.100000001</v>
      </c>
      <c r="G864">
        <v>0</v>
      </c>
      <c r="L864" t="s">
        <v>8</v>
      </c>
      <c r="M864" t="s">
        <v>7</v>
      </c>
      <c r="N864" t="s">
        <v>8</v>
      </c>
      <c r="P864">
        <f t="shared" si="1009"/>
        <v>-0.32075471698112823</v>
      </c>
      <c r="Q864">
        <f t="shared" si="1010"/>
        <v>-15551813.333962077</v>
      </c>
      <c r="R864">
        <f t="shared" si="1011"/>
        <v>-6948300048.3181677</v>
      </c>
      <c r="S864">
        <f t="shared" si="1012"/>
        <v>-69483.000483181677</v>
      </c>
      <c r="T864">
        <f t="shared" si="1013"/>
        <v>-69.483000483181684</v>
      </c>
    </row>
    <row r="865" spans="1:20" x14ac:dyDescent="0.25">
      <c r="A865" s="5">
        <v>43728</v>
      </c>
      <c r="B865">
        <v>1.374E-2</v>
      </c>
      <c r="C865">
        <v>1.388E-2</v>
      </c>
      <c r="D865">
        <v>1.338E-2</v>
      </c>
      <c r="E865">
        <v>1.363E-2</v>
      </c>
      <c r="F865">
        <v>56120816.5</v>
      </c>
      <c r="G865">
        <v>0</v>
      </c>
      <c r="L865" t="s">
        <v>8</v>
      </c>
      <c r="M865" t="s">
        <v>7</v>
      </c>
      <c r="N865" t="s">
        <v>8</v>
      </c>
      <c r="P865">
        <f t="shared" si="1009"/>
        <v>0</v>
      </c>
      <c r="Q865">
        <f t="shared" si="1010"/>
        <v>0</v>
      </c>
      <c r="R865">
        <f t="shared" si="1011"/>
        <v>-6932748234.9842052</v>
      </c>
      <c r="S865">
        <f t="shared" si="1012"/>
        <v>-69327.482349842059</v>
      </c>
      <c r="T865">
        <f t="shared" si="1013"/>
        <v>-69.327482349842057</v>
      </c>
    </row>
    <row r="866" spans="1:20" x14ac:dyDescent="0.25">
      <c r="A866" s="5">
        <v>43727</v>
      </c>
      <c r="B866">
        <v>1.4319999999999999E-2</v>
      </c>
      <c r="C866">
        <v>1.443E-2</v>
      </c>
      <c r="D866">
        <v>1.291E-2</v>
      </c>
      <c r="E866">
        <v>1.366E-2</v>
      </c>
      <c r="F866">
        <v>198458620.19999999</v>
      </c>
      <c r="G866">
        <v>0</v>
      </c>
      <c r="L866" t="s">
        <v>7</v>
      </c>
      <c r="M866" t="s">
        <v>7</v>
      </c>
      <c r="N866" t="s">
        <v>8</v>
      </c>
      <c r="P866">
        <f t="shared" si="1009"/>
        <v>-1.3157894736841565E-2</v>
      </c>
      <c r="Q866">
        <f t="shared" si="1010"/>
        <v>-2611297.6342104189</v>
      </c>
      <c r="R866">
        <f t="shared" si="1011"/>
        <v>-6932748234.9842052</v>
      </c>
      <c r="S866">
        <f t="shared" si="1012"/>
        <v>-69327.482349842059</v>
      </c>
      <c r="T866">
        <f t="shared" si="1013"/>
        <v>-69.327482349842057</v>
      </c>
    </row>
    <row r="867" spans="1:20" x14ac:dyDescent="0.25">
      <c r="A867" s="5">
        <v>43726</v>
      </c>
      <c r="B867">
        <v>1.3469999999999999E-2</v>
      </c>
      <c r="C867">
        <v>1.486E-2</v>
      </c>
      <c r="D867">
        <v>1.3350000000000001E-2</v>
      </c>
      <c r="E867">
        <v>1.4319999999999999E-2</v>
      </c>
      <c r="F867">
        <v>300820774.39999998</v>
      </c>
      <c r="G867">
        <v>0</v>
      </c>
      <c r="L867" t="s">
        <v>8</v>
      </c>
      <c r="M867" t="s">
        <v>7</v>
      </c>
      <c r="N867" t="s">
        <v>8</v>
      </c>
      <c r="P867">
        <f t="shared" si="1009"/>
        <v>0.2847682119205287</v>
      </c>
      <c r="Q867">
        <f t="shared" si="1010"/>
        <v>85664194.034436747</v>
      </c>
      <c r="R867">
        <f t="shared" si="1011"/>
        <v>-6930136937.3499947</v>
      </c>
      <c r="S867">
        <f t="shared" si="1012"/>
        <v>-69301.36937349994</v>
      </c>
      <c r="T867">
        <f t="shared" si="1013"/>
        <v>-69.301369373499938</v>
      </c>
    </row>
    <row r="868" spans="1:20" x14ac:dyDescent="0.25">
      <c r="A868" s="5">
        <v>43725</v>
      </c>
      <c r="B868">
        <v>1.29E-2</v>
      </c>
      <c r="C868">
        <v>1.388E-2</v>
      </c>
      <c r="D868">
        <v>1.2760000000000001E-2</v>
      </c>
      <c r="E868">
        <v>1.3480000000000001E-2</v>
      </c>
      <c r="F868">
        <v>96218969.599999994</v>
      </c>
      <c r="G868">
        <v>0</v>
      </c>
      <c r="L868" t="s">
        <v>8</v>
      </c>
      <c r="M868" t="s">
        <v>7</v>
      </c>
      <c r="N868" t="s">
        <v>8</v>
      </c>
      <c r="P868">
        <f t="shared" si="1009"/>
        <v>0.28571428571428659</v>
      </c>
      <c r="Q868">
        <f t="shared" si="1010"/>
        <v>27491134.171428654</v>
      </c>
      <c r="R868">
        <f t="shared" si="1011"/>
        <v>-7015801131.3844318</v>
      </c>
      <c r="S868">
        <f t="shared" si="1012"/>
        <v>-70158.011313844312</v>
      </c>
      <c r="T868">
        <f t="shared" si="1013"/>
        <v>-70.158011313844312</v>
      </c>
    </row>
    <row r="869" spans="1:20" x14ac:dyDescent="0.25">
      <c r="A869" s="5">
        <v>43724</v>
      </c>
      <c r="B869">
        <v>1.2829999999999999E-2</v>
      </c>
      <c r="C869">
        <v>1.2999999999999999E-2</v>
      </c>
      <c r="D869">
        <v>1.251E-2</v>
      </c>
      <c r="E869">
        <v>1.29E-2</v>
      </c>
      <c r="F869">
        <v>56442517.600000001</v>
      </c>
      <c r="G869">
        <v>0</v>
      </c>
      <c r="L869" t="s">
        <v>7</v>
      </c>
      <c r="M869" t="s">
        <v>7</v>
      </c>
      <c r="N869" t="s">
        <v>8</v>
      </c>
      <c r="P869">
        <f t="shared" si="1009"/>
        <v>0.59183673469387932</v>
      </c>
      <c r="Q869">
        <f t="shared" si="1010"/>
        <v>33404755.314285815</v>
      </c>
      <c r="R869">
        <f t="shared" si="1011"/>
        <v>-7043292265.5558605</v>
      </c>
      <c r="S869">
        <f t="shared" si="1012"/>
        <v>-70432.922655558606</v>
      </c>
      <c r="T869">
        <f t="shared" si="1013"/>
        <v>-70.432922655558613</v>
      </c>
    </row>
    <row r="870" spans="1:20" x14ac:dyDescent="0.25">
      <c r="A870" s="5">
        <v>43723</v>
      </c>
      <c r="B870">
        <v>1.304E-2</v>
      </c>
      <c r="C870">
        <v>1.324E-2</v>
      </c>
      <c r="D870">
        <v>1.259E-2</v>
      </c>
      <c r="E870">
        <v>1.2829999999999999E-2</v>
      </c>
      <c r="F870">
        <v>56612198.100000001</v>
      </c>
      <c r="G870">
        <v>0</v>
      </c>
      <c r="L870" t="s">
        <v>8</v>
      </c>
      <c r="M870" t="s">
        <v>7</v>
      </c>
      <c r="N870" t="s">
        <v>8</v>
      </c>
      <c r="P870">
        <f t="shared" si="1009"/>
        <v>-0.26153846153846444</v>
      </c>
      <c r="Q870">
        <f t="shared" si="1010"/>
        <v>-14806267.19538478</v>
      </c>
      <c r="R870">
        <f t="shared" si="1011"/>
        <v>-7076697020.8701468</v>
      </c>
      <c r="S870">
        <f t="shared" si="1012"/>
        <v>-70766.970208701474</v>
      </c>
      <c r="T870">
        <f t="shared" si="1013"/>
        <v>-70.76697020870148</v>
      </c>
    </row>
    <row r="871" spans="1:20" x14ac:dyDescent="0.25">
      <c r="A871" s="5">
        <v>43722</v>
      </c>
      <c r="B871">
        <v>1.2930000000000001E-2</v>
      </c>
      <c r="C871">
        <v>1.3440000000000001E-2</v>
      </c>
      <c r="D871">
        <v>1.2840000000000001E-2</v>
      </c>
      <c r="E871">
        <v>1.3050000000000001E-2</v>
      </c>
      <c r="F871">
        <v>48470841.600000001</v>
      </c>
      <c r="G871">
        <v>0</v>
      </c>
      <c r="L871" t="s">
        <v>8</v>
      </c>
      <c r="M871" t="s">
        <v>7</v>
      </c>
      <c r="N871" t="s">
        <v>8</v>
      </c>
      <c r="P871">
        <f t="shared" si="1009"/>
        <v>-0.29999999999999943</v>
      </c>
      <c r="Q871">
        <f t="shared" si="1010"/>
        <v>-14541252.479999973</v>
      </c>
      <c r="R871">
        <f t="shared" si="1011"/>
        <v>-7061890753.6747618</v>
      </c>
      <c r="S871">
        <f t="shared" si="1012"/>
        <v>-70618.907536747618</v>
      </c>
      <c r="T871">
        <f t="shared" si="1013"/>
        <v>-70.618907536747614</v>
      </c>
    </row>
    <row r="872" spans="1:20" x14ac:dyDescent="0.25">
      <c r="A872" s="5">
        <v>43721</v>
      </c>
      <c r="B872">
        <v>1.294E-2</v>
      </c>
      <c r="C872">
        <v>1.3220000000000001E-2</v>
      </c>
      <c r="D872">
        <v>1.2670000000000001E-2</v>
      </c>
      <c r="E872">
        <v>1.2930000000000001E-2</v>
      </c>
      <c r="F872">
        <v>44860625</v>
      </c>
      <c r="G872">
        <v>0</v>
      </c>
      <c r="L872" t="s">
        <v>7</v>
      </c>
      <c r="M872" t="s">
        <v>7</v>
      </c>
      <c r="N872" t="s">
        <v>8</v>
      </c>
      <c r="P872">
        <f t="shared" si="1009"/>
        <v>-5.4545454545455466E-2</v>
      </c>
      <c r="Q872">
        <f t="shared" si="1010"/>
        <v>-2446943.1818182231</v>
      </c>
      <c r="R872">
        <f t="shared" si="1011"/>
        <v>-7047349501.1947622</v>
      </c>
      <c r="S872">
        <f t="shared" si="1012"/>
        <v>-70473.495011947627</v>
      </c>
      <c r="T872">
        <f t="shared" si="1013"/>
        <v>-70.473495011947634</v>
      </c>
    </row>
    <row r="873" spans="1:20" x14ac:dyDescent="0.25">
      <c r="A873" s="5">
        <v>43720</v>
      </c>
      <c r="B873">
        <v>1.3100000000000001E-2</v>
      </c>
      <c r="C873">
        <v>1.316E-2</v>
      </c>
      <c r="D873">
        <v>1.2500000000000001E-2</v>
      </c>
      <c r="E873">
        <v>1.2959999999999999E-2</v>
      </c>
      <c r="F873">
        <v>80307156.900000006</v>
      </c>
      <c r="G873">
        <v>0</v>
      </c>
      <c r="L873" t="s">
        <v>7</v>
      </c>
      <c r="M873" t="s">
        <v>7</v>
      </c>
      <c r="N873" t="s">
        <v>8</v>
      </c>
      <c r="P873">
        <f t="shared" si="1009"/>
        <v>0.39393939393939154</v>
      </c>
      <c r="Q873">
        <f t="shared" si="1010"/>
        <v>31636152.718181629</v>
      </c>
      <c r="R873">
        <f t="shared" si="1011"/>
        <v>-7044902558.0129442</v>
      </c>
      <c r="S873">
        <f t="shared" si="1012"/>
        <v>-70449.025580129441</v>
      </c>
      <c r="T873">
        <f t="shared" si="1013"/>
        <v>-70.449025580129444</v>
      </c>
    </row>
    <row r="874" spans="1:20" x14ac:dyDescent="0.25">
      <c r="A874" s="5">
        <v>43719</v>
      </c>
      <c r="B874">
        <v>1.3509999999999999E-2</v>
      </c>
      <c r="C874">
        <v>1.372E-2</v>
      </c>
      <c r="D874">
        <v>1.285E-2</v>
      </c>
      <c r="E874">
        <v>1.3100000000000001E-2</v>
      </c>
      <c r="F874">
        <v>92349749.799999997</v>
      </c>
      <c r="G874">
        <v>0</v>
      </c>
      <c r="L874" t="s">
        <v>7</v>
      </c>
      <c r="M874" t="s">
        <v>7</v>
      </c>
      <c r="N874" t="s">
        <v>8</v>
      </c>
      <c r="P874">
        <f t="shared" si="1009"/>
        <v>-0.42528735632183806</v>
      </c>
      <c r="Q874">
        <f t="shared" si="1010"/>
        <v>-39275180.949425191</v>
      </c>
      <c r="R874">
        <f t="shared" si="1011"/>
        <v>-7076538710.7311258</v>
      </c>
      <c r="S874">
        <f t="shared" si="1012"/>
        <v>-70765.387107311253</v>
      </c>
      <c r="T874">
        <f t="shared" si="1013"/>
        <v>-70.765387107311255</v>
      </c>
    </row>
    <row r="875" spans="1:20" x14ac:dyDescent="0.25">
      <c r="A875" s="5">
        <v>43718</v>
      </c>
      <c r="B875">
        <v>1.41E-2</v>
      </c>
      <c r="C875">
        <v>1.438E-2</v>
      </c>
      <c r="D875">
        <v>1.319E-2</v>
      </c>
      <c r="E875">
        <v>1.35E-2</v>
      </c>
      <c r="F875">
        <v>95787661</v>
      </c>
      <c r="G875">
        <v>0</v>
      </c>
      <c r="L875" t="s">
        <v>8</v>
      </c>
      <c r="M875" t="s">
        <v>7</v>
      </c>
      <c r="N875" t="s">
        <v>8</v>
      </c>
      <c r="P875">
        <f t="shared" si="1009"/>
        <v>-0.47899159663865631</v>
      </c>
      <c r="Q875">
        <f t="shared" si="1010"/>
        <v>-45881484.680672348</v>
      </c>
      <c r="R875">
        <f t="shared" si="1011"/>
        <v>-7037263529.7817011</v>
      </c>
      <c r="S875">
        <f t="shared" si="1012"/>
        <v>-70372.635297817018</v>
      </c>
      <c r="T875">
        <f t="shared" si="1013"/>
        <v>-70.372635297817013</v>
      </c>
    </row>
    <row r="876" spans="1:20" x14ac:dyDescent="0.25">
      <c r="A876" s="5">
        <v>43717</v>
      </c>
      <c r="B876">
        <v>1.387E-2</v>
      </c>
      <c r="C876">
        <v>1.464E-2</v>
      </c>
      <c r="D876">
        <v>1.2970000000000001E-2</v>
      </c>
      <c r="E876">
        <v>1.41E-2</v>
      </c>
      <c r="F876">
        <v>209711539.90000001</v>
      </c>
      <c r="G876">
        <v>0</v>
      </c>
      <c r="L876" t="s">
        <v>7</v>
      </c>
      <c r="M876" t="s">
        <v>7</v>
      </c>
      <c r="N876" t="s">
        <v>8</v>
      </c>
      <c r="P876">
        <f t="shared" si="1009"/>
        <v>0.35329341317365187</v>
      </c>
      <c r="Q876">
        <f t="shared" si="1010"/>
        <v>74089705.713173479</v>
      </c>
      <c r="R876">
        <f t="shared" si="1011"/>
        <v>-6991382045.1010284</v>
      </c>
      <c r="S876">
        <f t="shared" si="1012"/>
        <v>-69913.820451010281</v>
      </c>
      <c r="T876">
        <f t="shared" si="1013"/>
        <v>-69.913820451010281</v>
      </c>
    </row>
    <row r="877" spans="1:20" x14ac:dyDescent="0.25">
      <c r="A877" s="5">
        <v>43716</v>
      </c>
      <c r="B877">
        <v>1.3780000000000001E-2</v>
      </c>
      <c r="C877">
        <v>1.401E-2</v>
      </c>
      <c r="D877">
        <v>1.3639999999999999E-2</v>
      </c>
      <c r="E877">
        <v>1.387E-2</v>
      </c>
      <c r="F877">
        <v>56146893.100000001</v>
      </c>
      <c r="G877">
        <v>0</v>
      </c>
      <c r="L877" t="s">
        <v>7</v>
      </c>
      <c r="M877" t="s">
        <v>8</v>
      </c>
      <c r="N877" t="s">
        <v>8</v>
      </c>
      <c r="P877">
        <f t="shared" si="1009"/>
        <v>0.24324324324324703</v>
      </c>
      <c r="Q877">
        <f t="shared" si="1010"/>
        <v>13657352.375675889</v>
      </c>
      <c r="R877">
        <f t="shared" si="1011"/>
        <v>-7065471750.8142023</v>
      </c>
      <c r="S877">
        <f t="shared" si="1012"/>
        <v>-70654.717508142028</v>
      </c>
      <c r="T877">
        <f t="shared" si="1013"/>
        <v>-70.654717508142028</v>
      </c>
    </row>
    <row r="878" spans="1:20" x14ac:dyDescent="0.25">
      <c r="A878" s="5">
        <v>43715</v>
      </c>
      <c r="B878">
        <v>1.3559999999999999E-2</v>
      </c>
      <c r="C878">
        <v>1.4080000000000001E-2</v>
      </c>
      <c r="D878">
        <v>1.3469999999999999E-2</v>
      </c>
      <c r="E878">
        <v>1.379E-2</v>
      </c>
      <c r="F878">
        <v>85406834.299999997</v>
      </c>
      <c r="G878">
        <v>0</v>
      </c>
      <c r="L878" t="s">
        <v>7</v>
      </c>
      <c r="M878" t="s">
        <v>8</v>
      </c>
      <c r="N878" t="s">
        <v>8</v>
      </c>
      <c r="P878">
        <f t="shared" si="1009"/>
        <v>4.9180327868853208E-2</v>
      </c>
      <c r="Q878">
        <f t="shared" si="1010"/>
        <v>4200336.113114818</v>
      </c>
      <c r="R878">
        <f t="shared" si="1011"/>
        <v>-7079129103.1898785</v>
      </c>
      <c r="S878">
        <f t="shared" si="1012"/>
        <v>-70791.291031898785</v>
      </c>
      <c r="T878">
        <f t="shared" si="1013"/>
        <v>-70.79129103189878</v>
      </c>
    </row>
    <row r="879" spans="1:20" x14ac:dyDescent="0.25">
      <c r="A879" s="5">
        <v>43714</v>
      </c>
      <c r="B879">
        <v>1.487E-2</v>
      </c>
      <c r="C879">
        <v>1.491E-2</v>
      </c>
      <c r="D879">
        <v>1.34E-2</v>
      </c>
      <c r="E879">
        <v>1.358E-2</v>
      </c>
      <c r="F879">
        <v>204994676.40000001</v>
      </c>
      <c r="G879">
        <v>0</v>
      </c>
      <c r="L879" t="s">
        <v>7</v>
      </c>
      <c r="M879" t="s">
        <v>8</v>
      </c>
      <c r="N879" t="s">
        <v>8</v>
      </c>
      <c r="P879">
        <f t="shared" si="1009"/>
        <v>-0.76158940397351038</v>
      </c>
      <c r="Q879">
        <f t="shared" si="1010"/>
        <v>-156121773.41721863</v>
      </c>
      <c r="R879">
        <f t="shared" si="1011"/>
        <v>-7083329439.3029928</v>
      </c>
      <c r="S879">
        <f t="shared" si="1012"/>
        <v>-70833.294393029923</v>
      </c>
      <c r="T879">
        <f t="shared" si="1013"/>
        <v>-70.833294393029917</v>
      </c>
    </row>
    <row r="880" spans="1:20" x14ac:dyDescent="0.25">
      <c r="A880" s="5">
        <v>43713</v>
      </c>
      <c r="B880">
        <v>1.4109999999999999E-2</v>
      </c>
      <c r="C880">
        <v>1.52E-2</v>
      </c>
      <c r="D880">
        <v>1.4030000000000001E-2</v>
      </c>
      <c r="E880">
        <v>1.487E-2</v>
      </c>
      <c r="F880">
        <v>215593248.59999999</v>
      </c>
      <c r="G880">
        <v>0</v>
      </c>
      <c r="L880" t="s">
        <v>8</v>
      </c>
      <c r="M880" t="s">
        <v>8</v>
      </c>
      <c r="N880" t="s">
        <v>8</v>
      </c>
      <c r="P880">
        <f t="shared" si="1009"/>
        <v>0.43589743589743474</v>
      </c>
      <c r="Q880">
        <f t="shared" si="1010"/>
        <v>93976544.261538208</v>
      </c>
      <c r="R880">
        <f t="shared" si="1011"/>
        <v>-6927207665.8857746</v>
      </c>
      <c r="S880">
        <f t="shared" si="1012"/>
        <v>-69272.076658857739</v>
      </c>
      <c r="T880">
        <f t="shared" si="1013"/>
        <v>-69.272076658857742</v>
      </c>
    </row>
    <row r="881" spans="1:20" x14ac:dyDescent="0.25">
      <c r="A881" s="5">
        <v>43712</v>
      </c>
      <c r="B881">
        <v>1.431E-2</v>
      </c>
      <c r="C881">
        <v>1.457E-2</v>
      </c>
      <c r="D881">
        <v>1.3809999999999999E-2</v>
      </c>
      <c r="E881">
        <v>1.41E-2</v>
      </c>
      <c r="F881">
        <v>135373752.09999999</v>
      </c>
      <c r="G881">
        <v>0</v>
      </c>
      <c r="L881" t="s">
        <v>7</v>
      </c>
      <c r="M881" t="s">
        <v>8</v>
      </c>
      <c r="N881" t="s">
        <v>7</v>
      </c>
      <c r="P881">
        <f t="shared" si="1009"/>
        <v>-0.2368421052631573</v>
      </c>
      <c r="Q881">
        <f t="shared" si="1010"/>
        <v>-32062204.44473676</v>
      </c>
      <c r="R881">
        <f t="shared" si="1011"/>
        <v>-7021184210.1473131</v>
      </c>
      <c r="S881">
        <f t="shared" si="1012"/>
        <v>-70211.842101473128</v>
      </c>
      <c r="T881">
        <f t="shared" si="1013"/>
        <v>-70.211842101473124</v>
      </c>
    </row>
    <row r="882" spans="1:20" x14ac:dyDescent="0.25">
      <c r="A882" s="5">
        <v>43711</v>
      </c>
      <c r="B882">
        <v>1.374E-2</v>
      </c>
      <c r="C882">
        <v>1.4999999999999999E-2</v>
      </c>
      <c r="D882">
        <v>1.2749999999999999E-2</v>
      </c>
      <c r="E882">
        <v>1.4330000000000001E-2</v>
      </c>
      <c r="F882">
        <v>236492770.30000001</v>
      </c>
      <c r="G882">
        <v>0</v>
      </c>
      <c r="L882" t="s">
        <v>8</v>
      </c>
      <c r="M882" t="s">
        <v>8</v>
      </c>
      <c r="N882" t="s">
        <v>7</v>
      </c>
      <c r="P882">
        <f t="shared" si="1009"/>
        <v>0.40444444444444566</v>
      </c>
      <c r="Q882">
        <f t="shared" si="1010"/>
        <v>95648187.099111408</v>
      </c>
      <c r="R882">
        <f t="shared" si="1011"/>
        <v>-6989122005.7025766</v>
      </c>
      <c r="S882">
        <f t="shared" si="1012"/>
        <v>-69891.22005702577</v>
      </c>
      <c r="T882">
        <f t="shared" si="1013"/>
        <v>-69.891220057025777</v>
      </c>
    </row>
    <row r="883" spans="1:20" x14ac:dyDescent="0.25">
      <c r="A883" s="5">
        <v>43710</v>
      </c>
      <c r="B883">
        <v>1.225E-2</v>
      </c>
      <c r="C883">
        <v>1.3950000000000001E-2</v>
      </c>
      <c r="D883">
        <v>1.2019999999999999E-2</v>
      </c>
      <c r="E883">
        <v>1.3780000000000001E-2</v>
      </c>
      <c r="F883">
        <v>221181128.90000001</v>
      </c>
      <c r="G883">
        <v>0</v>
      </c>
      <c r="L883" t="s">
        <v>8</v>
      </c>
      <c r="M883" t="s">
        <v>8</v>
      </c>
      <c r="N883" t="s">
        <v>7</v>
      </c>
      <c r="P883">
        <f t="shared" si="1009"/>
        <v>0.82383419689119175</v>
      </c>
      <c r="Q883">
        <f t="shared" si="1010"/>
        <v>182216577.69481868</v>
      </c>
      <c r="R883">
        <f t="shared" si="1011"/>
        <v>-7084770192.8016882</v>
      </c>
      <c r="S883">
        <f t="shared" si="1012"/>
        <v>-70847.701928016875</v>
      </c>
      <c r="T883">
        <f t="shared" si="1013"/>
        <v>-70.847701928016875</v>
      </c>
    </row>
    <row r="884" spans="1:20" x14ac:dyDescent="0.25">
      <c r="A884" s="5">
        <v>43709</v>
      </c>
      <c r="B884">
        <v>1.175E-2</v>
      </c>
      <c r="C884">
        <v>1.2359999999999999E-2</v>
      </c>
      <c r="D884">
        <v>1.1520000000000001E-2</v>
      </c>
      <c r="E884">
        <v>1.217E-2</v>
      </c>
      <c r="F884">
        <v>70966390.599999994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0.54761904761904889</v>
      </c>
      <c r="Q884">
        <f t="shared" si="1010"/>
        <v>38862547.233333424</v>
      </c>
      <c r="R884">
        <f t="shared" si="1011"/>
        <v>-7266986770.4965067</v>
      </c>
      <c r="S884">
        <f t="shared" si="1012"/>
        <v>-72669.867704965072</v>
      </c>
      <c r="T884">
        <f t="shared" si="1013"/>
        <v>-72.669867704965071</v>
      </c>
    </row>
    <row r="885" spans="1:20" x14ac:dyDescent="0.25">
      <c r="A885" s="5">
        <v>43708</v>
      </c>
      <c r="B885">
        <v>1.2319999999999999E-2</v>
      </c>
      <c r="C885">
        <v>1.234E-2</v>
      </c>
      <c r="D885">
        <v>1.132E-2</v>
      </c>
      <c r="E885">
        <v>1.1769999999999999E-2</v>
      </c>
      <c r="F885">
        <v>70188124.400000006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-0.11764705882353141</v>
      </c>
      <c r="Q885">
        <f t="shared" si="1010"/>
        <v>-8257426.400000141</v>
      </c>
      <c r="R885">
        <f t="shared" si="1011"/>
        <v>-7305849317.7298403</v>
      </c>
      <c r="S885">
        <f t="shared" si="1012"/>
        <v>-73058.493177298398</v>
      </c>
      <c r="T885">
        <f t="shared" si="1013"/>
        <v>-73.058493177298402</v>
      </c>
    </row>
    <row r="886" spans="1:20" x14ac:dyDescent="0.25">
      <c r="A886" s="5">
        <v>43707</v>
      </c>
      <c r="B886">
        <v>1.1679999999999999E-2</v>
      </c>
      <c r="C886">
        <v>1.2449999999999999E-2</v>
      </c>
      <c r="D886">
        <v>1.155E-2</v>
      </c>
      <c r="E886">
        <v>1.2319999999999999E-2</v>
      </c>
      <c r="F886">
        <v>109461152.5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0.71111111111111125</v>
      </c>
      <c r="Q886">
        <f t="shared" si="1010"/>
        <v>77839041.777777791</v>
      </c>
      <c r="R886">
        <f t="shared" si="1011"/>
        <v>-7297591891.3298397</v>
      </c>
      <c r="S886">
        <f t="shared" si="1012"/>
        <v>-72975.918913298403</v>
      </c>
      <c r="T886">
        <f t="shared" si="1013"/>
        <v>-72.975918913298401</v>
      </c>
    </row>
    <row r="887" spans="1:20" x14ac:dyDescent="0.25">
      <c r="A887" s="5">
        <v>43706</v>
      </c>
      <c r="B887">
        <v>1.291E-2</v>
      </c>
      <c r="C887">
        <v>1.291E-2</v>
      </c>
      <c r="D887">
        <v>1.1480000000000001E-2</v>
      </c>
      <c r="E887">
        <v>1.1679999999999999E-2</v>
      </c>
      <c r="F887">
        <v>148121402.90000001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-0.72027972027972176</v>
      </c>
      <c r="Q887">
        <f t="shared" si="1010"/>
        <v>-106688842.64825197</v>
      </c>
      <c r="R887">
        <f t="shared" si="1011"/>
        <v>-7375430933.1076174</v>
      </c>
      <c r="S887">
        <f t="shared" si="1012"/>
        <v>-73754.309331076176</v>
      </c>
      <c r="T887">
        <f t="shared" si="1013"/>
        <v>-73.754309331076172</v>
      </c>
    </row>
    <row r="888" spans="1:20" x14ac:dyDescent="0.25">
      <c r="A888" s="5">
        <v>43705</v>
      </c>
      <c r="B888">
        <v>1.417E-2</v>
      </c>
      <c r="C888">
        <v>1.461E-2</v>
      </c>
      <c r="D888">
        <v>1.2749999999999999E-2</v>
      </c>
      <c r="E888">
        <v>1.291E-2</v>
      </c>
      <c r="F888">
        <v>166959782.19999999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-0.82795698924731143</v>
      </c>
      <c r="Q888">
        <f t="shared" si="1010"/>
        <v>-138235518.59569883</v>
      </c>
      <c r="R888">
        <f t="shared" si="1011"/>
        <v>-7268742090.4593658</v>
      </c>
      <c r="S888">
        <f t="shared" si="1012"/>
        <v>-72687.420904593659</v>
      </c>
      <c r="T888">
        <f t="shared" si="1013"/>
        <v>-72.687420904593665</v>
      </c>
    </row>
    <row r="889" spans="1:20" x14ac:dyDescent="0.25">
      <c r="A889" s="5">
        <v>43704</v>
      </c>
      <c r="B889">
        <v>1.391E-2</v>
      </c>
      <c r="C889">
        <v>1.49E-2</v>
      </c>
      <c r="D889">
        <v>1.372E-2</v>
      </c>
      <c r="E889">
        <v>1.4160000000000001E-2</v>
      </c>
      <c r="F889">
        <v>178712745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-0.2542372881355916</v>
      </c>
      <c r="Q889">
        <f t="shared" si="1010"/>
        <v>-45435443.644067504</v>
      </c>
      <c r="R889">
        <f t="shared" si="1011"/>
        <v>-7130506571.8636665</v>
      </c>
      <c r="S889">
        <f t="shared" si="1012"/>
        <v>-71305.065718636659</v>
      </c>
      <c r="T889">
        <f t="shared" si="1013"/>
        <v>-71.305065718636655</v>
      </c>
    </row>
    <row r="890" spans="1:20" x14ac:dyDescent="0.25">
      <c r="A890" s="5">
        <v>43703</v>
      </c>
      <c r="B890">
        <v>1.3679999999999999E-2</v>
      </c>
      <c r="C890">
        <v>1.473E-2</v>
      </c>
      <c r="D890">
        <v>1.366E-2</v>
      </c>
      <c r="E890">
        <v>1.392E-2</v>
      </c>
      <c r="F890">
        <v>162985868.30000001</v>
      </c>
      <c r="G890">
        <v>0</v>
      </c>
      <c r="L890" t="s">
        <v>8</v>
      </c>
      <c r="M890" t="s">
        <v>7</v>
      </c>
      <c r="N890" t="s">
        <v>7</v>
      </c>
      <c r="P890">
        <f t="shared" si="1009"/>
        <v>-0.51401869158878533</v>
      </c>
      <c r="Q890">
        <f t="shared" si="1010"/>
        <v>-83777782.771028087</v>
      </c>
      <c r="R890">
        <f t="shared" si="1011"/>
        <v>-7085071128.2195988</v>
      </c>
      <c r="S890">
        <f t="shared" si="1012"/>
        <v>-70850.711282195989</v>
      </c>
      <c r="T890">
        <f t="shared" si="1013"/>
        <v>-70.850711282195988</v>
      </c>
    </row>
    <row r="891" spans="1:20" x14ac:dyDescent="0.25">
      <c r="A891" s="5">
        <v>43702</v>
      </c>
      <c r="B891">
        <v>1.4829999999999999E-2</v>
      </c>
      <c r="C891">
        <v>1.4959999999999999E-2</v>
      </c>
      <c r="D891">
        <v>1.355E-2</v>
      </c>
      <c r="E891">
        <v>1.3729999999999999E-2</v>
      </c>
      <c r="F891">
        <v>151830261.59999999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-0.74468085106383031</v>
      </c>
      <c r="Q891">
        <f t="shared" si="1010"/>
        <v>-113065088.42553198</v>
      </c>
      <c r="R891">
        <f t="shared" si="1011"/>
        <v>-7001293345.4485703</v>
      </c>
      <c r="S891">
        <f t="shared" si="1012"/>
        <v>-70012.933454485697</v>
      </c>
      <c r="T891">
        <f t="shared" si="1013"/>
        <v>-70.012933454485704</v>
      </c>
    </row>
    <row r="892" spans="1:20" x14ac:dyDescent="0.25">
      <c r="A892" s="5">
        <v>43701</v>
      </c>
      <c r="B892">
        <v>1.536E-2</v>
      </c>
      <c r="C892">
        <v>1.545E-2</v>
      </c>
      <c r="D892">
        <v>1.4200000000000001E-2</v>
      </c>
      <c r="E892">
        <v>1.4829999999999999E-2</v>
      </c>
      <c r="F892">
        <v>305267605.19999999</v>
      </c>
      <c r="G892">
        <v>0</v>
      </c>
      <c r="L892" t="s">
        <v>7</v>
      </c>
      <c r="M892" t="s">
        <v>7</v>
      </c>
      <c r="N892" t="s">
        <v>7</v>
      </c>
      <c r="P892">
        <f t="shared" si="1009"/>
        <v>7.9999999999982897E-3</v>
      </c>
      <c r="Q892">
        <f t="shared" si="1010"/>
        <v>2442140.8415994779</v>
      </c>
      <c r="R892">
        <f t="shared" si="1011"/>
        <v>-6888228257.0230379</v>
      </c>
      <c r="S892">
        <f t="shared" si="1012"/>
        <v>-68882.282570230382</v>
      </c>
      <c r="T892">
        <f t="shared" si="1013"/>
        <v>-68.882282570230387</v>
      </c>
    </row>
    <row r="893" spans="1:20" x14ac:dyDescent="0.25">
      <c r="A893" s="5">
        <v>43700</v>
      </c>
      <c r="B893">
        <v>1.67E-2</v>
      </c>
      <c r="C893">
        <v>1.736E-2</v>
      </c>
      <c r="D893">
        <v>1.495E-2</v>
      </c>
      <c r="E893">
        <v>1.5339999999999999E-2</v>
      </c>
      <c r="F893">
        <v>360555621</v>
      </c>
      <c r="G893">
        <v>0</v>
      </c>
      <c r="L893" t="s">
        <v>8</v>
      </c>
      <c r="M893" t="s">
        <v>8</v>
      </c>
      <c r="N893" t="s">
        <v>7</v>
      </c>
      <c r="P893">
        <f t="shared" si="1009"/>
        <v>-0.6763485477178427</v>
      </c>
      <c r="Q893">
        <f t="shared" si="1010"/>
        <v>-243861270.63485491</v>
      </c>
      <c r="R893">
        <f t="shared" si="1011"/>
        <v>-6890670397.8646374</v>
      </c>
      <c r="S893">
        <f t="shared" si="1012"/>
        <v>-68906.703978646372</v>
      </c>
      <c r="T893">
        <f t="shared" si="1013"/>
        <v>-68.906703978646377</v>
      </c>
    </row>
    <row r="894" spans="1:20" x14ac:dyDescent="0.25">
      <c r="A894" s="5">
        <v>43699</v>
      </c>
      <c r="B894">
        <v>1.5509999999999999E-2</v>
      </c>
      <c r="C894">
        <v>1.7129999999999999E-2</v>
      </c>
      <c r="D894">
        <v>1.465E-2</v>
      </c>
      <c r="E894">
        <v>1.6719999999999999E-2</v>
      </c>
      <c r="F894">
        <v>488617075.69999999</v>
      </c>
      <c r="G894">
        <v>0</v>
      </c>
      <c r="L894" t="s">
        <v>8</v>
      </c>
      <c r="M894" t="s">
        <v>8</v>
      </c>
      <c r="N894" t="s">
        <v>7</v>
      </c>
      <c r="P894">
        <f t="shared" si="1009"/>
        <v>0.66935483870967682</v>
      </c>
      <c r="Q894">
        <f t="shared" si="1010"/>
        <v>327058203.89596742</v>
      </c>
      <c r="R894">
        <f t="shared" si="1011"/>
        <v>-6646809127.2297821</v>
      </c>
      <c r="S894">
        <f t="shared" si="1012"/>
        <v>-66468.091272297825</v>
      </c>
      <c r="T894">
        <f t="shared" si="1013"/>
        <v>-66.468091272297826</v>
      </c>
    </row>
    <row r="895" spans="1:20" x14ac:dyDescent="0.25">
      <c r="A895" s="5">
        <v>43698</v>
      </c>
      <c r="B895">
        <v>1.5820000000000001E-2</v>
      </c>
      <c r="C895">
        <v>1.5970000000000002E-2</v>
      </c>
      <c r="D895">
        <v>1.4420000000000001E-2</v>
      </c>
      <c r="E895">
        <v>1.5469999999999999E-2</v>
      </c>
      <c r="F895">
        <v>344245407.30000001</v>
      </c>
      <c r="G895">
        <v>0</v>
      </c>
      <c r="L895" t="s">
        <v>7</v>
      </c>
      <c r="M895" t="s">
        <v>8</v>
      </c>
      <c r="N895" t="s">
        <v>7</v>
      </c>
      <c r="P895">
        <f t="shared" ref="P895:P958" si="1014">IF(C895=D895,0,((E895-D895)-(C895-E895))/(C895-D895))</f>
        <v>0.35483870967741699</v>
      </c>
      <c r="Q895">
        <f t="shared" ref="Q895:Q958" si="1015">F895*P895</f>
        <v>122151596.13870886</v>
      </c>
      <c r="R895">
        <f t="shared" ref="R895:R958" si="1016">R896+Q895</f>
        <v>-6973867331.1257496</v>
      </c>
      <c r="S895">
        <f t="shared" ref="S895:S958" si="1017">R895/100000</f>
        <v>-69738.673311257502</v>
      </c>
      <c r="T895">
        <f t="shared" ref="T895:T958" si="1018">S895/1000</f>
        <v>-69.7386733112575</v>
      </c>
    </row>
    <row r="896" spans="1:20" x14ac:dyDescent="0.25">
      <c r="A896" s="5">
        <v>43697</v>
      </c>
      <c r="B896">
        <v>1.5429999999999999E-2</v>
      </c>
      <c r="C896">
        <v>1.5990000000000001E-2</v>
      </c>
      <c r="D896">
        <v>1.481E-2</v>
      </c>
      <c r="E896">
        <v>1.5779999999999999E-2</v>
      </c>
      <c r="F896">
        <v>306085526.10000002</v>
      </c>
      <c r="G896">
        <v>0</v>
      </c>
      <c r="L896" t="s">
        <v>8</v>
      </c>
      <c r="M896" t="s">
        <v>8</v>
      </c>
      <c r="N896" t="s">
        <v>7</v>
      </c>
      <c r="P896">
        <f t="shared" si="1014"/>
        <v>0.64406779661016655</v>
      </c>
      <c r="Q896">
        <f t="shared" si="1015"/>
        <v>197139830.36949065</v>
      </c>
      <c r="R896">
        <f t="shared" si="1016"/>
        <v>-7096018927.2644587</v>
      </c>
      <c r="S896">
        <f t="shared" si="1017"/>
        <v>-70960.18927264458</v>
      </c>
      <c r="T896">
        <f t="shared" si="1018"/>
        <v>-70.960189272644584</v>
      </c>
    </row>
    <row r="897" spans="1:20" x14ac:dyDescent="0.25">
      <c r="A897" s="5">
        <v>43696</v>
      </c>
      <c r="B897">
        <v>1.393E-2</v>
      </c>
      <c r="C897">
        <v>1.5939999999999999E-2</v>
      </c>
      <c r="D897">
        <v>1.384E-2</v>
      </c>
      <c r="E897">
        <v>1.542E-2</v>
      </c>
      <c r="F897">
        <v>438255057.39999998</v>
      </c>
      <c r="G897">
        <v>0</v>
      </c>
      <c r="L897" t="s">
        <v>8</v>
      </c>
      <c r="M897" t="s">
        <v>8</v>
      </c>
      <c r="N897" t="s">
        <v>7</v>
      </c>
      <c r="P897">
        <f t="shared" si="1014"/>
        <v>0.50476190476190497</v>
      </c>
      <c r="Q897">
        <f t="shared" si="1015"/>
        <v>221214457.54476199</v>
      </c>
      <c r="R897">
        <f t="shared" si="1016"/>
        <v>-7293158757.6339493</v>
      </c>
      <c r="S897">
        <f t="shared" si="1017"/>
        <v>-72931.587576339487</v>
      </c>
      <c r="T897">
        <f t="shared" si="1018"/>
        <v>-72.931587576339481</v>
      </c>
    </row>
    <row r="898" spans="1:20" x14ac:dyDescent="0.25">
      <c r="A898" s="5">
        <v>43695</v>
      </c>
      <c r="B898">
        <v>1.4160000000000001E-2</v>
      </c>
      <c r="C898">
        <v>1.455E-2</v>
      </c>
      <c r="D898">
        <v>1.3599999999999999E-2</v>
      </c>
      <c r="E898">
        <v>1.3899999999999999E-2</v>
      </c>
      <c r="F898">
        <v>211127169.5</v>
      </c>
      <c r="G898">
        <v>0</v>
      </c>
      <c r="L898" t="s">
        <v>7</v>
      </c>
      <c r="M898" t="s">
        <v>7</v>
      </c>
      <c r="N898" t="s">
        <v>7</v>
      </c>
      <c r="P898">
        <f t="shared" si="1014"/>
        <v>-0.36842105263157993</v>
      </c>
      <c r="Q898">
        <f t="shared" si="1015"/>
        <v>-77783694.026316002</v>
      </c>
      <c r="R898">
        <f t="shared" si="1016"/>
        <v>-7514373215.1787109</v>
      </c>
      <c r="S898">
        <f t="shared" si="1017"/>
        <v>-75143.732151787102</v>
      </c>
      <c r="T898">
        <f t="shared" si="1018"/>
        <v>-75.143732151787106</v>
      </c>
    </row>
    <row r="899" spans="1:20" x14ac:dyDescent="0.25">
      <c r="A899" s="5">
        <v>43694</v>
      </c>
      <c r="B899">
        <v>1.3299999999999999E-2</v>
      </c>
      <c r="C899">
        <v>1.4800000000000001E-2</v>
      </c>
      <c r="D899">
        <v>1.3220000000000001E-2</v>
      </c>
      <c r="E899">
        <v>1.417E-2</v>
      </c>
      <c r="F899">
        <v>286427641.89999998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0.20253164556961972</v>
      </c>
      <c r="Q899">
        <f t="shared" si="1015"/>
        <v>58010661.650632754</v>
      </c>
      <c r="R899">
        <f t="shared" si="1016"/>
        <v>-7436589521.1523952</v>
      </c>
      <c r="S899">
        <f t="shared" si="1017"/>
        <v>-74365.895211523952</v>
      </c>
      <c r="T899">
        <f t="shared" si="1018"/>
        <v>-74.365895211523949</v>
      </c>
    </row>
    <row r="900" spans="1:20" x14ac:dyDescent="0.25">
      <c r="A900" s="5">
        <v>43693</v>
      </c>
      <c r="B900">
        <v>1.4579999999999999E-2</v>
      </c>
      <c r="C900">
        <v>1.472E-2</v>
      </c>
      <c r="D900">
        <v>1.316E-2</v>
      </c>
      <c r="E900">
        <v>1.3299999999999999E-2</v>
      </c>
      <c r="F900">
        <v>333896356.10000002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-0.82051282051282126</v>
      </c>
      <c r="Q900">
        <f t="shared" si="1015"/>
        <v>-273966240.90256435</v>
      </c>
      <c r="R900">
        <f t="shared" si="1016"/>
        <v>-7494600182.8030281</v>
      </c>
      <c r="S900">
        <f t="shared" si="1017"/>
        <v>-74946.001828030276</v>
      </c>
      <c r="T900">
        <f t="shared" si="1018"/>
        <v>-74.946001828030276</v>
      </c>
    </row>
    <row r="901" spans="1:20" x14ac:dyDescent="0.25">
      <c r="A901" s="5">
        <v>43692</v>
      </c>
      <c r="B901">
        <v>1.4749999999999999E-2</v>
      </c>
      <c r="C901">
        <v>1.566E-2</v>
      </c>
      <c r="D901">
        <v>1.4200000000000001E-2</v>
      </c>
      <c r="E901">
        <v>1.455E-2</v>
      </c>
      <c r="F901">
        <v>365523090.10000002</v>
      </c>
      <c r="G901">
        <v>0</v>
      </c>
      <c r="L901" t="s">
        <v>7</v>
      </c>
      <c r="M901" t="s">
        <v>7</v>
      </c>
      <c r="N901" t="s">
        <v>8</v>
      </c>
      <c r="P901">
        <f t="shared" si="1014"/>
        <v>-0.52054794520547976</v>
      </c>
      <c r="Q901">
        <f t="shared" si="1015"/>
        <v>-190272293.47671247</v>
      </c>
      <c r="R901">
        <f t="shared" si="1016"/>
        <v>-7220633941.9004641</v>
      </c>
      <c r="S901">
        <f t="shared" si="1017"/>
        <v>-72206.339419004638</v>
      </c>
      <c r="T901">
        <f t="shared" si="1018"/>
        <v>-72.206339419004635</v>
      </c>
    </row>
    <row r="902" spans="1:20" x14ac:dyDescent="0.25">
      <c r="A902" s="5">
        <v>43691</v>
      </c>
      <c r="B902">
        <v>1.6820000000000002E-2</v>
      </c>
      <c r="C902">
        <v>1.737E-2</v>
      </c>
      <c r="D902">
        <v>1.4540000000000001E-2</v>
      </c>
      <c r="E902">
        <v>1.4749999999999999E-2</v>
      </c>
      <c r="F902">
        <v>673891620.89999998</v>
      </c>
      <c r="G902">
        <v>0</v>
      </c>
      <c r="L902" t="s">
        <v>7</v>
      </c>
      <c r="M902" t="s">
        <v>7</v>
      </c>
      <c r="N902" t="s">
        <v>8</v>
      </c>
      <c r="P902">
        <f t="shared" si="1014"/>
        <v>-0.85159010600706819</v>
      </c>
      <c r="Q902">
        <f t="shared" si="1015"/>
        <v>-573879436.87950599</v>
      </c>
      <c r="R902">
        <f t="shared" si="1016"/>
        <v>-7030361648.4237518</v>
      </c>
      <c r="S902">
        <f t="shared" si="1017"/>
        <v>-70303.616484237515</v>
      </c>
      <c r="T902">
        <f t="shared" si="1018"/>
        <v>-70.303616484237509</v>
      </c>
    </row>
    <row r="903" spans="1:20" x14ac:dyDescent="0.25">
      <c r="A903" s="5">
        <v>43690</v>
      </c>
      <c r="B903">
        <v>1.6920000000000001E-2</v>
      </c>
      <c r="C903">
        <v>1.7250000000000001E-2</v>
      </c>
      <c r="D903">
        <v>1.502E-2</v>
      </c>
      <c r="E903">
        <v>1.6820000000000002E-2</v>
      </c>
      <c r="F903">
        <v>643086628.60000002</v>
      </c>
      <c r="G903">
        <v>0</v>
      </c>
      <c r="L903" t="s">
        <v>7</v>
      </c>
      <c r="M903" t="s">
        <v>7</v>
      </c>
      <c r="N903" t="s">
        <v>8</v>
      </c>
      <c r="P903">
        <f t="shared" si="1014"/>
        <v>0.61434977578475369</v>
      </c>
      <c r="Q903">
        <f t="shared" si="1015"/>
        <v>395080126.09058321</v>
      </c>
      <c r="R903">
        <f t="shared" si="1016"/>
        <v>-6456482211.5442457</v>
      </c>
      <c r="S903">
        <f t="shared" si="1017"/>
        <v>-64564.822115442454</v>
      </c>
      <c r="T903">
        <f t="shared" si="1018"/>
        <v>-64.564822115442453</v>
      </c>
    </row>
    <row r="904" spans="1:20" x14ac:dyDescent="0.25">
      <c r="A904" s="5">
        <v>43689</v>
      </c>
      <c r="B904">
        <v>1.609E-2</v>
      </c>
      <c r="C904">
        <v>1.8200000000000001E-2</v>
      </c>
      <c r="D904">
        <v>1.5820000000000001E-2</v>
      </c>
      <c r="E904">
        <v>1.6910000000000001E-2</v>
      </c>
      <c r="F904">
        <v>839532697.5</v>
      </c>
      <c r="G904">
        <v>0</v>
      </c>
      <c r="L904" t="s">
        <v>7</v>
      </c>
      <c r="M904" t="s">
        <v>8</v>
      </c>
      <c r="N904" t="s">
        <v>8</v>
      </c>
      <c r="P904">
        <f t="shared" si="1014"/>
        <v>-8.4033613445377631E-2</v>
      </c>
      <c r="Q904">
        <f t="shared" si="1015"/>
        <v>-70548966.176470146</v>
      </c>
      <c r="R904">
        <f t="shared" si="1016"/>
        <v>-6851562337.6348286</v>
      </c>
      <c r="S904">
        <f t="shared" si="1017"/>
        <v>-68515.623376348289</v>
      </c>
      <c r="T904">
        <f t="shared" si="1018"/>
        <v>-68.515623376348287</v>
      </c>
    </row>
    <row r="905" spans="1:20" x14ac:dyDescent="0.25">
      <c r="A905" s="5">
        <v>43688</v>
      </c>
      <c r="B905">
        <v>1.5010000000000001E-2</v>
      </c>
      <c r="C905">
        <v>1.8700000000000001E-2</v>
      </c>
      <c r="D905">
        <v>1.4019999999999999E-2</v>
      </c>
      <c r="E905">
        <v>1.6029999999999999E-2</v>
      </c>
      <c r="F905">
        <v>1195445043.0999999</v>
      </c>
      <c r="G905">
        <v>0</v>
      </c>
      <c r="L905" t="s">
        <v>8</v>
      </c>
      <c r="M905" t="s">
        <v>8</v>
      </c>
      <c r="N905" t="s">
        <v>8</v>
      </c>
      <c r="P905">
        <f t="shared" si="1014"/>
        <v>-0.14102564102564152</v>
      </c>
      <c r="Q905">
        <f t="shared" si="1015"/>
        <v>-168588403.51410314</v>
      </c>
      <c r="R905">
        <f t="shared" si="1016"/>
        <v>-6781013371.4583588</v>
      </c>
      <c r="S905">
        <f t="shared" si="1017"/>
        <v>-67810.133714583586</v>
      </c>
      <c r="T905">
        <f t="shared" si="1018"/>
        <v>-67.810133714583586</v>
      </c>
    </row>
    <row r="906" spans="1:20" x14ac:dyDescent="0.25">
      <c r="A906" s="5">
        <v>43687</v>
      </c>
      <c r="B906">
        <v>1.2149999999999999E-2</v>
      </c>
      <c r="C906">
        <v>1.549E-2</v>
      </c>
      <c r="D906">
        <v>1.213E-2</v>
      </c>
      <c r="E906">
        <v>1.4970000000000001E-2</v>
      </c>
      <c r="F906">
        <v>819362182.29999995</v>
      </c>
      <c r="G906">
        <v>0</v>
      </c>
      <c r="L906" t="s">
        <v>8</v>
      </c>
      <c r="M906" t="s">
        <v>8</v>
      </c>
      <c r="N906" t="s">
        <v>7</v>
      </c>
      <c r="P906">
        <f t="shared" si="1014"/>
        <v>0.69047619047619069</v>
      </c>
      <c r="Q906">
        <f t="shared" si="1015"/>
        <v>565750078.25476205</v>
      </c>
      <c r="R906">
        <f t="shared" si="1016"/>
        <v>-6612424967.9442558</v>
      </c>
      <c r="S906">
        <f t="shared" si="1017"/>
        <v>-66124.249679442553</v>
      </c>
      <c r="T906">
        <f t="shared" si="1018"/>
        <v>-66.124249679442556</v>
      </c>
    </row>
    <row r="907" spans="1:20" x14ac:dyDescent="0.25">
      <c r="A907" s="5">
        <v>43686</v>
      </c>
      <c r="B907">
        <v>1.444E-2</v>
      </c>
      <c r="C907">
        <v>1.486E-2</v>
      </c>
      <c r="D907">
        <v>1.21E-2</v>
      </c>
      <c r="E907">
        <v>1.218E-2</v>
      </c>
      <c r="F907">
        <v>567134284.20000005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-0.94202898550724623</v>
      </c>
      <c r="Q907">
        <f t="shared" si="1015"/>
        <v>-534256934.39130431</v>
      </c>
      <c r="R907">
        <f t="shared" si="1016"/>
        <v>-7178175046.1990175</v>
      </c>
      <c r="S907">
        <f t="shared" si="1017"/>
        <v>-71781.750461990174</v>
      </c>
      <c r="T907">
        <f t="shared" si="1018"/>
        <v>-71.781750461990171</v>
      </c>
    </row>
    <row r="908" spans="1:20" x14ac:dyDescent="0.25">
      <c r="A908" s="5">
        <v>43685</v>
      </c>
      <c r="B908">
        <v>1.669E-2</v>
      </c>
      <c r="C908">
        <v>1.7639999999999999E-2</v>
      </c>
      <c r="D908">
        <v>1.4160000000000001E-2</v>
      </c>
      <c r="E908">
        <v>1.453E-2</v>
      </c>
      <c r="F908">
        <v>887359062.79999995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-0.78735632183908111</v>
      </c>
      <c r="Q908">
        <f t="shared" si="1015"/>
        <v>-698667767.8367821</v>
      </c>
      <c r="R908">
        <f t="shared" si="1016"/>
        <v>-6643918111.8077135</v>
      </c>
      <c r="S908">
        <f t="shared" si="1017"/>
        <v>-66439.181118077133</v>
      </c>
      <c r="T908">
        <f t="shared" si="1018"/>
        <v>-66.43918111807713</v>
      </c>
    </row>
    <row r="909" spans="1:20" x14ac:dyDescent="0.25">
      <c r="A909" s="5">
        <v>43684</v>
      </c>
      <c r="B909">
        <v>1.5310000000000001E-2</v>
      </c>
      <c r="C909">
        <v>2.0629999999999999E-2</v>
      </c>
      <c r="D909">
        <v>1.5310000000000001E-2</v>
      </c>
      <c r="E909">
        <v>1.6660000000000001E-2</v>
      </c>
      <c r="F909">
        <v>1977529841.8</v>
      </c>
      <c r="G909">
        <v>0</v>
      </c>
      <c r="L909" t="s">
        <v>8</v>
      </c>
      <c r="M909" t="s">
        <v>8</v>
      </c>
      <c r="N909" t="s">
        <v>8</v>
      </c>
      <c r="P909">
        <f t="shared" si="1014"/>
        <v>-0.49248120300751846</v>
      </c>
      <c r="Q909">
        <f t="shared" si="1015"/>
        <v>-973896275.47293162</v>
      </c>
      <c r="R909">
        <f t="shared" si="1016"/>
        <v>-5945250343.9709311</v>
      </c>
      <c r="S909">
        <f t="shared" si="1017"/>
        <v>-59452.503439709311</v>
      </c>
      <c r="T909">
        <f t="shared" si="1018"/>
        <v>-59.452503439709311</v>
      </c>
    </row>
    <row r="910" spans="1:20" x14ac:dyDescent="0.25">
      <c r="A910" s="5">
        <v>43683</v>
      </c>
      <c r="B910">
        <v>1.1679999999999999E-2</v>
      </c>
      <c r="C910">
        <v>1.736E-2</v>
      </c>
      <c r="D910">
        <v>1.1639999999999999E-2</v>
      </c>
      <c r="E910">
        <v>1.5310000000000001E-2</v>
      </c>
      <c r="F910">
        <v>1705674410.7</v>
      </c>
      <c r="G910">
        <v>0</v>
      </c>
      <c r="L910" t="s">
        <v>8</v>
      </c>
      <c r="M910" t="s">
        <v>8</v>
      </c>
      <c r="N910" t="s">
        <v>8</v>
      </c>
      <c r="P910">
        <f t="shared" si="1014"/>
        <v>0.28321678321678345</v>
      </c>
      <c r="Q910">
        <f t="shared" si="1015"/>
        <v>483075619.81363678</v>
      </c>
      <c r="R910">
        <f t="shared" si="1016"/>
        <v>-4971354068.4979992</v>
      </c>
      <c r="S910">
        <f t="shared" si="1017"/>
        <v>-49713.540684979991</v>
      </c>
      <c r="T910">
        <f t="shared" si="1018"/>
        <v>-49.713540684979989</v>
      </c>
    </row>
    <row r="911" spans="1:20" x14ac:dyDescent="0.25">
      <c r="A911" s="5">
        <v>43682</v>
      </c>
      <c r="B911">
        <v>1.022E-2</v>
      </c>
      <c r="C911">
        <v>1.2930000000000001E-2</v>
      </c>
      <c r="D911">
        <v>9.5099999999999994E-3</v>
      </c>
      <c r="E911">
        <v>1.1690000000000001E-2</v>
      </c>
      <c r="F911">
        <v>718163052.70000005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0.27485380116959102</v>
      </c>
      <c r="Q911">
        <f t="shared" si="1015"/>
        <v>197389844.89415231</v>
      </c>
      <c r="R911">
        <f t="shared" si="1016"/>
        <v>-5454429688.311636</v>
      </c>
      <c r="S911">
        <f t="shared" si="1017"/>
        <v>-54544.29688311636</v>
      </c>
      <c r="T911">
        <f t="shared" si="1018"/>
        <v>-54.54429688311636</v>
      </c>
    </row>
    <row r="912" spans="1:20" x14ac:dyDescent="0.25">
      <c r="A912" s="5">
        <v>43681</v>
      </c>
      <c r="B912">
        <v>1.0619999999999999E-2</v>
      </c>
      <c r="C912">
        <v>1.099E-2</v>
      </c>
      <c r="D912">
        <v>1.013E-2</v>
      </c>
      <c r="E912">
        <v>1.022E-2</v>
      </c>
      <c r="F912">
        <v>99736984.5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-0.79069767441860506</v>
      </c>
      <c r="Q912">
        <f t="shared" si="1015"/>
        <v>-78861801.697674453</v>
      </c>
      <c r="R912">
        <f t="shared" si="1016"/>
        <v>-5651819533.2057886</v>
      </c>
      <c r="S912">
        <f t="shared" si="1017"/>
        <v>-56518.195332057883</v>
      </c>
      <c r="T912">
        <f t="shared" si="1018"/>
        <v>-56.518195332057886</v>
      </c>
    </row>
    <row r="913" spans="1:20" x14ac:dyDescent="0.25">
      <c r="A913" s="5">
        <v>43680</v>
      </c>
      <c r="B913">
        <v>1.1089999999999999E-2</v>
      </c>
      <c r="C913">
        <v>1.14E-2</v>
      </c>
      <c r="D913">
        <v>1.0580000000000001E-2</v>
      </c>
      <c r="E913">
        <v>1.0619999999999999E-2</v>
      </c>
      <c r="F913">
        <v>90599072.900000006</v>
      </c>
      <c r="G913">
        <v>0</v>
      </c>
      <c r="L913" t="s">
        <v>8</v>
      </c>
      <c r="M913" t="s">
        <v>7</v>
      </c>
      <c r="N913" t="s">
        <v>7</v>
      </c>
      <c r="P913">
        <f t="shared" si="1014"/>
        <v>-0.90243902439024781</v>
      </c>
      <c r="Q913">
        <f t="shared" si="1015"/>
        <v>-81760138.958536938</v>
      </c>
      <c r="R913">
        <f t="shared" si="1016"/>
        <v>-5572957731.5081139</v>
      </c>
      <c r="S913">
        <f t="shared" si="1017"/>
        <v>-55729.577315081136</v>
      </c>
      <c r="T913">
        <f t="shared" si="1018"/>
        <v>-55.729577315081137</v>
      </c>
    </row>
    <row r="914" spans="1:20" x14ac:dyDescent="0.25">
      <c r="A914" s="5">
        <v>43679</v>
      </c>
      <c r="B914">
        <v>1.061E-2</v>
      </c>
      <c r="C914">
        <v>1.155E-2</v>
      </c>
      <c r="D914">
        <v>1.0410000000000001E-2</v>
      </c>
      <c r="E914">
        <v>1.1089999999999999E-2</v>
      </c>
      <c r="F914">
        <v>144581652.30000001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0.19298245614034934</v>
      </c>
      <c r="Q914">
        <f t="shared" si="1015"/>
        <v>27901722.373683989</v>
      </c>
      <c r="R914">
        <f t="shared" si="1016"/>
        <v>-5491197592.5495768</v>
      </c>
      <c r="S914">
        <f t="shared" si="1017"/>
        <v>-54911.975925495768</v>
      </c>
      <c r="T914">
        <f t="shared" si="1018"/>
        <v>-54.911975925495767</v>
      </c>
    </row>
    <row r="915" spans="1:20" x14ac:dyDescent="0.25">
      <c r="A915" s="5">
        <v>43678</v>
      </c>
      <c r="B915">
        <v>1.1339999999999999E-2</v>
      </c>
      <c r="C915">
        <v>1.154E-2</v>
      </c>
      <c r="D915">
        <v>1.055E-2</v>
      </c>
      <c r="E915">
        <v>1.0619999999999999E-2</v>
      </c>
      <c r="F915">
        <v>111946706.8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-0.85858585858586078</v>
      </c>
      <c r="Q915">
        <f t="shared" si="1015"/>
        <v>-96115859.373737618</v>
      </c>
      <c r="R915">
        <f t="shared" si="1016"/>
        <v>-5519099314.9232607</v>
      </c>
      <c r="S915">
        <f t="shared" si="1017"/>
        <v>-55190.993149232607</v>
      </c>
      <c r="T915">
        <f t="shared" si="1018"/>
        <v>-55.190993149232604</v>
      </c>
    </row>
    <row r="916" spans="1:20" x14ac:dyDescent="0.25">
      <c r="A916" s="5">
        <v>43677</v>
      </c>
      <c r="B916">
        <v>1.1509999999999999E-2</v>
      </c>
      <c r="C916">
        <v>1.166E-2</v>
      </c>
      <c r="D916">
        <v>1.112E-2</v>
      </c>
      <c r="E916">
        <v>1.1310000000000001E-2</v>
      </c>
      <c r="F916">
        <v>77499188.099999994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-0.29629629629629356</v>
      </c>
      <c r="Q916">
        <f t="shared" si="1015"/>
        <v>-22962722.399999786</v>
      </c>
      <c r="R916">
        <f t="shared" si="1016"/>
        <v>-5422983455.5495234</v>
      </c>
      <c r="S916">
        <f t="shared" si="1017"/>
        <v>-54229.834555495232</v>
      </c>
      <c r="T916">
        <f t="shared" si="1018"/>
        <v>-54.229834555495231</v>
      </c>
    </row>
    <row r="917" spans="1:20" x14ac:dyDescent="0.25">
      <c r="A917" s="5">
        <v>43676</v>
      </c>
      <c r="B917">
        <v>1.1350000000000001E-2</v>
      </c>
      <c r="C917">
        <v>1.1679999999999999E-2</v>
      </c>
      <c r="D917">
        <v>1.0999999999999999E-2</v>
      </c>
      <c r="E917">
        <v>1.157E-2</v>
      </c>
      <c r="F917">
        <v>53295692.399999999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0.67647058823529715</v>
      </c>
      <c r="Q917">
        <f t="shared" si="1015"/>
        <v>36052968.388235457</v>
      </c>
      <c r="R917">
        <f t="shared" si="1016"/>
        <v>-5400020733.1495237</v>
      </c>
      <c r="S917">
        <f t="shared" si="1017"/>
        <v>-54000.207331495236</v>
      </c>
      <c r="T917">
        <f t="shared" si="1018"/>
        <v>-54.000207331495233</v>
      </c>
    </row>
    <row r="918" spans="1:20" x14ac:dyDescent="0.25">
      <c r="A918" s="5">
        <v>43675</v>
      </c>
      <c r="B918">
        <v>1.1730000000000001E-2</v>
      </c>
      <c r="C918">
        <v>1.196E-2</v>
      </c>
      <c r="D918">
        <v>1.1259999999999999E-2</v>
      </c>
      <c r="E918">
        <v>1.133E-2</v>
      </c>
      <c r="F918">
        <v>50457970.700000003</v>
      </c>
      <c r="G918">
        <v>0</v>
      </c>
      <c r="L918" t="s">
        <v>7</v>
      </c>
      <c r="M918" t="s">
        <v>8</v>
      </c>
      <c r="N918" t="s">
        <v>7</v>
      </c>
      <c r="P918">
        <f t="shared" si="1014"/>
        <v>-0.79999999999999849</v>
      </c>
      <c r="Q918">
        <f t="shared" si="1015"/>
        <v>-40366376.559999928</v>
      </c>
      <c r="R918">
        <f t="shared" si="1016"/>
        <v>-5436073701.5377588</v>
      </c>
      <c r="S918">
        <f t="shared" si="1017"/>
        <v>-54360.737015377592</v>
      </c>
      <c r="T918">
        <f t="shared" si="1018"/>
        <v>-54.360737015377595</v>
      </c>
    </row>
    <row r="919" spans="1:20" x14ac:dyDescent="0.25">
      <c r="A919" s="5">
        <v>43674</v>
      </c>
      <c r="B919">
        <v>1.1979999999999999E-2</v>
      </c>
      <c r="C919">
        <v>1.2160000000000001E-2</v>
      </c>
      <c r="D919">
        <v>1.124E-2</v>
      </c>
      <c r="E919">
        <v>1.179E-2</v>
      </c>
      <c r="F919">
        <v>57836881.200000003</v>
      </c>
      <c r="G919">
        <v>0</v>
      </c>
      <c r="L919" t="s">
        <v>7</v>
      </c>
      <c r="M919" t="s">
        <v>8</v>
      </c>
      <c r="N919" t="s">
        <v>7</v>
      </c>
      <c r="P919">
        <f t="shared" si="1014"/>
        <v>0.1956521739130429</v>
      </c>
      <c r="Q919">
        <f t="shared" si="1015"/>
        <v>11315911.539130403</v>
      </c>
      <c r="R919">
        <f t="shared" si="1016"/>
        <v>-5395707324.9777594</v>
      </c>
      <c r="S919">
        <f t="shared" si="1017"/>
        <v>-53957.073249777597</v>
      </c>
      <c r="T919">
        <f t="shared" si="1018"/>
        <v>-53.957073249777594</v>
      </c>
    </row>
    <row r="920" spans="1:20" x14ac:dyDescent="0.25">
      <c r="A920" s="5">
        <v>43673</v>
      </c>
      <c r="B920">
        <v>1.2749999999999999E-2</v>
      </c>
      <c r="C920">
        <v>1.3270000000000001E-2</v>
      </c>
      <c r="D920">
        <v>1.1730000000000001E-2</v>
      </c>
      <c r="E920">
        <v>1.1979999999999999E-2</v>
      </c>
      <c r="F920">
        <v>86377810.400000006</v>
      </c>
      <c r="G920">
        <v>0</v>
      </c>
      <c r="L920" t="s">
        <v>8</v>
      </c>
      <c r="M920" t="s">
        <v>8</v>
      </c>
      <c r="N920" t="s">
        <v>7</v>
      </c>
      <c r="P920">
        <f t="shared" si="1014"/>
        <v>-0.67532467532467721</v>
      </c>
      <c r="Q920">
        <f t="shared" si="1015"/>
        <v>-58333066.763636529</v>
      </c>
      <c r="R920">
        <f t="shared" si="1016"/>
        <v>-5407023236.5168896</v>
      </c>
      <c r="S920">
        <f t="shared" si="1017"/>
        <v>-54070.232365168893</v>
      </c>
      <c r="T920">
        <f t="shared" si="1018"/>
        <v>-54.070232365168891</v>
      </c>
    </row>
    <row r="921" spans="1:20" x14ac:dyDescent="0.25">
      <c r="A921" s="5">
        <v>43672</v>
      </c>
      <c r="B921">
        <v>1.218E-2</v>
      </c>
      <c r="C921">
        <v>1.298E-2</v>
      </c>
      <c r="D921">
        <v>1.1900000000000001E-2</v>
      </c>
      <c r="E921">
        <v>1.277E-2</v>
      </c>
      <c r="F921">
        <v>87262445.599999994</v>
      </c>
      <c r="G921">
        <v>0</v>
      </c>
      <c r="L921" t="s">
        <v>8</v>
      </c>
      <c r="M921" t="s">
        <v>7</v>
      </c>
      <c r="N921" t="s">
        <v>7</v>
      </c>
      <c r="P921">
        <f t="shared" si="1014"/>
        <v>0.61111111111111072</v>
      </c>
      <c r="Q921">
        <f t="shared" si="1015"/>
        <v>53327050.088888854</v>
      </c>
      <c r="R921">
        <f t="shared" si="1016"/>
        <v>-5348690169.753253</v>
      </c>
      <c r="S921">
        <f t="shared" si="1017"/>
        <v>-53486.901697532528</v>
      </c>
      <c r="T921">
        <f t="shared" si="1018"/>
        <v>-53.486901697532531</v>
      </c>
    </row>
    <row r="922" spans="1:20" x14ac:dyDescent="0.25">
      <c r="A922" s="5">
        <v>43671</v>
      </c>
      <c r="B922">
        <v>1.191E-2</v>
      </c>
      <c r="C922">
        <v>1.2789999999999999E-2</v>
      </c>
      <c r="D922">
        <v>1.1900000000000001E-2</v>
      </c>
      <c r="E922">
        <v>1.218E-2</v>
      </c>
      <c r="F922">
        <v>90884427.599999994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-0.37078651685393371</v>
      </c>
      <c r="Q922">
        <f t="shared" si="1015"/>
        <v>-33698720.346067518</v>
      </c>
      <c r="R922">
        <f t="shared" si="1016"/>
        <v>-5402017219.8421421</v>
      </c>
      <c r="S922">
        <f t="shared" si="1017"/>
        <v>-54020.172198421424</v>
      </c>
      <c r="T922">
        <f t="shared" si="1018"/>
        <v>-54.02017219842142</v>
      </c>
    </row>
    <row r="923" spans="1:20" x14ac:dyDescent="0.25">
      <c r="A923" s="5">
        <v>43670</v>
      </c>
      <c r="B923">
        <v>1.146E-2</v>
      </c>
      <c r="C923">
        <v>1.2489999999999999E-2</v>
      </c>
      <c r="D923">
        <v>1.1089999999999999E-2</v>
      </c>
      <c r="E923">
        <v>1.193E-2</v>
      </c>
      <c r="F923">
        <v>96196226.900000006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0.20000000000000048</v>
      </c>
      <c r="Q923">
        <f t="shared" si="1015"/>
        <v>19239245.380000047</v>
      </c>
      <c r="R923">
        <f t="shared" si="1016"/>
        <v>-5368318499.4960747</v>
      </c>
      <c r="S923">
        <f t="shared" si="1017"/>
        <v>-53683.184994960749</v>
      </c>
      <c r="T923">
        <f t="shared" si="1018"/>
        <v>-53.683184994960747</v>
      </c>
    </row>
    <row r="924" spans="1:20" x14ac:dyDescent="0.25">
      <c r="A924" s="5">
        <v>43669</v>
      </c>
      <c r="B924">
        <v>1.278E-2</v>
      </c>
      <c r="C924">
        <v>1.282E-2</v>
      </c>
      <c r="D924">
        <v>1.145E-2</v>
      </c>
      <c r="E924">
        <v>1.154E-2</v>
      </c>
      <c r="F924">
        <v>104242721.3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-0.86861313868613166</v>
      </c>
      <c r="Q924">
        <f t="shared" si="1015"/>
        <v>-90546597.333576664</v>
      </c>
      <c r="R924">
        <f t="shared" si="1016"/>
        <v>-5387557744.8760748</v>
      </c>
      <c r="S924">
        <f t="shared" si="1017"/>
        <v>-53875.577448760749</v>
      </c>
      <c r="T924">
        <f t="shared" si="1018"/>
        <v>-53.875577448760751</v>
      </c>
    </row>
    <row r="925" spans="1:20" x14ac:dyDescent="0.25">
      <c r="A925" s="5">
        <v>43668</v>
      </c>
      <c r="B925">
        <v>1.346E-2</v>
      </c>
      <c r="C925">
        <v>1.3599999999999999E-2</v>
      </c>
      <c r="D925">
        <v>1.24E-2</v>
      </c>
      <c r="E925">
        <v>1.272E-2</v>
      </c>
      <c r="F925">
        <v>67716133.200000003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-0.46666666666666512</v>
      </c>
      <c r="Q925">
        <f t="shared" si="1015"/>
        <v>-31600862.159999896</v>
      </c>
      <c r="R925">
        <f t="shared" si="1016"/>
        <v>-5297011147.5424986</v>
      </c>
      <c r="S925">
        <f t="shared" si="1017"/>
        <v>-52970.111475424987</v>
      </c>
      <c r="T925">
        <f t="shared" si="1018"/>
        <v>-52.970111475424986</v>
      </c>
    </row>
    <row r="926" spans="1:20" x14ac:dyDescent="0.25">
      <c r="A926" s="5">
        <v>43667</v>
      </c>
      <c r="B926">
        <v>1.3950000000000001E-2</v>
      </c>
      <c r="C926">
        <v>1.409E-2</v>
      </c>
      <c r="D926">
        <v>1.3100000000000001E-2</v>
      </c>
      <c r="E926">
        <v>1.345E-2</v>
      </c>
      <c r="F926">
        <v>51976782.700000003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-0.29292929292929337</v>
      </c>
      <c r="Q926">
        <f t="shared" si="1015"/>
        <v>-15225522.205050528</v>
      </c>
      <c r="R926">
        <f t="shared" si="1016"/>
        <v>-5265410285.3824987</v>
      </c>
      <c r="S926">
        <f t="shared" si="1017"/>
        <v>-52654.102853824988</v>
      </c>
      <c r="T926">
        <f t="shared" si="1018"/>
        <v>-52.654102853824988</v>
      </c>
    </row>
    <row r="927" spans="1:20" x14ac:dyDescent="0.25">
      <c r="A927" s="5">
        <v>43666</v>
      </c>
      <c r="B927">
        <v>1.3429999999999999E-2</v>
      </c>
      <c r="C927">
        <v>1.448E-2</v>
      </c>
      <c r="D927">
        <v>1.3220000000000001E-2</v>
      </c>
      <c r="E927">
        <v>1.3899999999999999E-2</v>
      </c>
      <c r="F927">
        <v>104993002.09999999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7.936507936507757E-2</v>
      </c>
      <c r="Q927">
        <f t="shared" si="1015"/>
        <v>8332777.9444442559</v>
      </c>
      <c r="R927">
        <f t="shared" si="1016"/>
        <v>-5250184763.1774483</v>
      </c>
      <c r="S927">
        <f t="shared" si="1017"/>
        <v>-52501.847631774486</v>
      </c>
      <c r="T927">
        <f t="shared" si="1018"/>
        <v>-52.501847631774488</v>
      </c>
    </row>
    <row r="928" spans="1:20" x14ac:dyDescent="0.25">
      <c r="A928" s="5">
        <v>43665</v>
      </c>
      <c r="B928">
        <v>1.3650000000000001E-2</v>
      </c>
      <c r="C928">
        <v>1.392E-2</v>
      </c>
      <c r="D928">
        <v>1.3169999999999999E-2</v>
      </c>
      <c r="E928">
        <v>1.337E-2</v>
      </c>
      <c r="F928">
        <v>82349270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-0.46666666666666573</v>
      </c>
      <c r="Q928">
        <f t="shared" si="1015"/>
        <v>-38429659.333333254</v>
      </c>
      <c r="R928">
        <f t="shared" si="1016"/>
        <v>-5258517541.1218929</v>
      </c>
      <c r="S928">
        <f t="shared" si="1017"/>
        <v>-52585.17541121893</v>
      </c>
      <c r="T928">
        <f t="shared" si="1018"/>
        <v>-52.585175411218927</v>
      </c>
    </row>
    <row r="929" spans="1:20" x14ac:dyDescent="0.25">
      <c r="A929" s="5">
        <v>43664</v>
      </c>
      <c r="B929">
        <v>1.3140000000000001E-2</v>
      </c>
      <c r="C929">
        <v>1.4250000000000001E-2</v>
      </c>
      <c r="D929">
        <v>1.2500000000000001E-2</v>
      </c>
      <c r="E929">
        <v>1.362E-2</v>
      </c>
      <c r="F929">
        <v>224879379.30000001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0.27999999999999953</v>
      </c>
      <c r="Q929">
        <f t="shared" si="1015"/>
        <v>62966226.203999899</v>
      </c>
      <c r="R929">
        <f t="shared" si="1016"/>
        <v>-5220087881.7885599</v>
      </c>
      <c r="S929">
        <f t="shared" si="1017"/>
        <v>-52200.878817885598</v>
      </c>
      <c r="T929">
        <f t="shared" si="1018"/>
        <v>-52.200878817885595</v>
      </c>
    </row>
    <row r="930" spans="1:20" x14ac:dyDescent="0.25">
      <c r="A930" s="5">
        <v>43663</v>
      </c>
      <c r="B930">
        <v>1.2019999999999999E-2</v>
      </c>
      <c r="C930">
        <v>1.4E-2</v>
      </c>
      <c r="D930">
        <v>1.163E-2</v>
      </c>
      <c r="E930">
        <v>1.316E-2</v>
      </c>
      <c r="F930">
        <v>252450983.09999999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0.29113924050632889</v>
      </c>
      <c r="Q930">
        <f t="shared" si="1015"/>
        <v>73498387.484810069</v>
      </c>
      <c r="R930">
        <f t="shared" si="1016"/>
        <v>-5283054107.9925594</v>
      </c>
      <c r="S930">
        <f t="shared" si="1017"/>
        <v>-52830.541079925591</v>
      </c>
      <c r="T930">
        <f t="shared" si="1018"/>
        <v>-52.830541079925588</v>
      </c>
    </row>
    <row r="931" spans="1:20" x14ac:dyDescent="0.25">
      <c r="A931" s="5">
        <v>43662</v>
      </c>
      <c r="B931">
        <v>1.3849999999999999E-2</v>
      </c>
      <c r="C931">
        <v>1.4590000000000001E-2</v>
      </c>
      <c r="D931">
        <v>1.18E-2</v>
      </c>
      <c r="E931">
        <v>1.206E-2</v>
      </c>
      <c r="F931">
        <v>258587967.69999999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-0.81362007168458805</v>
      </c>
      <c r="Q931">
        <f t="shared" si="1015"/>
        <v>-210392360.81684592</v>
      </c>
      <c r="R931">
        <f t="shared" si="1016"/>
        <v>-5356552495.4773693</v>
      </c>
      <c r="S931">
        <f t="shared" si="1017"/>
        <v>-53565.524954773697</v>
      </c>
      <c r="T931">
        <f t="shared" si="1018"/>
        <v>-53.5655249547737</v>
      </c>
    </row>
    <row r="932" spans="1:20" x14ac:dyDescent="0.25">
      <c r="A932" s="5">
        <v>43661</v>
      </c>
      <c r="B932">
        <v>1.431E-2</v>
      </c>
      <c r="C932">
        <v>1.435E-2</v>
      </c>
      <c r="D932">
        <v>1.2880000000000001E-2</v>
      </c>
      <c r="E932">
        <v>1.3860000000000001E-2</v>
      </c>
      <c r="F932">
        <v>195436667.09999999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0.33333333333333415</v>
      </c>
      <c r="Q932">
        <f t="shared" si="1015"/>
        <v>65145555.700000159</v>
      </c>
      <c r="R932">
        <f t="shared" si="1016"/>
        <v>-5146160134.6605234</v>
      </c>
      <c r="S932">
        <f t="shared" si="1017"/>
        <v>-51461.601346605232</v>
      </c>
      <c r="T932">
        <f t="shared" si="1018"/>
        <v>-51.461601346605235</v>
      </c>
    </row>
    <row r="933" spans="1:20" x14ac:dyDescent="0.25">
      <c r="A933" s="5">
        <v>43660</v>
      </c>
      <c r="B933">
        <v>1.6639999999999999E-2</v>
      </c>
      <c r="C933">
        <v>1.745E-2</v>
      </c>
      <c r="D933">
        <v>1.417E-2</v>
      </c>
      <c r="E933">
        <v>1.431E-2</v>
      </c>
      <c r="F933">
        <v>296945768.69999999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-0.91463414634146367</v>
      </c>
      <c r="Q933">
        <f t="shared" si="1015"/>
        <v>-271596739.66463423</v>
      </c>
      <c r="R933">
        <f t="shared" si="1016"/>
        <v>-5211305690.3605232</v>
      </c>
      <c r="S933">
        <f t="shared" si="1017"/>
        <v>-52113.056903605233</v>
      </c>
      <c r="T933">
        <f t="shared" si="1018"/>
        <v>-52.113056903605234</v>
      </c>
    </row>
    <row r="934" spans="1:20" x14ac:dyDescent="0.25">
      <c r="A934" s="5">
        <v>43659</v>
      </c>
      <c r="B934">
        <v>1.5699999999999999E-2</v>
      </c>
      <c r="C934">
        <v>1.7780000000000001E-2</v>
      </c>
      <c r="D934">
        <v>1.515E-2</v>
      </c>
      <c r="E934">
        <v>1.6619999999999999E-2</v>
      </c>
      <c r="F934">
        <v>433122420.39999998</v>
      </c>
      <c r="G934">
        <v>0</v>
      </c>
      <c r="L934" t="s">
        <v>8</v>
      </c>
      <c r="M934" t="s">
        <v>8</v>
      </c>
      <c r="N934" t="s">
        <v>7</v>
      </c>
      <c r="P934">
        <f t="shared" si="1014"/>
        <v>0.11787072243345921</v>
      </c>
      <c r="Q934">
        <f t="shared" si="1015"/>
        <v>51052452.594676428</v>
      </c>
      <c r="R934">
        <f t="shared" si="1016"/>
        <v>-4939708950.6958895</v>
      </c>
      <c r="S934">
        <f t="shared" si="1017"/>
        <v>-49397.089506958895</v>
      </c>
      <c r="T934">
        <f t="shared" si="1018"/>
        <v>-49.397089506958892</v>
      </c>
    </row>
    <row r="935" spans="1:20" x14ac:dyDescent="0.25">
      <c r="A935" s="5">
        <v>43658</v>
      </c>
      <c r="B935">
        <v>1.443E-2</v>
      </c>
      <c r="C935">
        <v>1.6500000000000001E-2</v>
      </c>
      <c r="D935">
        <v>1.409E-2</v>
      </c>
      <c r="E935">
        <v>1.5699999999999999E-2</v>
      </c>
      <c r="F935">
        <v>248278116.09999999</v>
      </c>
      <c r="G935">
        <v>0</v>
      </c>
      <c r="L935" t="s">
        <v>7</v>
      </c>
      <c r="M935" t="s">
        <v>7</v>
      </c>
      <c r="N935" t="s">
        <v>7</v>
      </c>
      <c r="P935">
        <f t="shared" si="1014"/>
        <v>0.33609958506223914</v>
      </c>
      <c r="Q935">
        <f t="shared" si="1015"/>
        <v>83446171.801244438</v>
      </c>
      <c r="R935">
        <f t="shared" si="1016"/>
        <v>-4990761403.2905655</v>
      </c>
      <c r="S935">
        <f t="shared" si="1017"/>
        <v>-49907.614032905658</v>
      </c>
      <c r="T935">
        <f t="shared" si="1018"/>
        <v>-49.907614032905656</v>
      </c>
    </row>
    <row r="936" spans="1:20" x14ac:dyDescent="0.25">
      <c r="A936" s="5">
        <v>43657</v>
      </c>
      <c r="B936">
        <v>1.6119999999999999E-2</v>
      </c>
      <c r="C936">
        <v>1.687E-2</v>
      </c>
      <c r="D936">
        <v>1.418E-2</v>
      </c>
      <c r="E936">
        <v>1.4420000000000001E-2</v>
      </c>
      <c r="F936">
        <v>264561118.59999999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-0.82156133828996236</v>
      </c>
      <c r="Q936">
        <f t="shared" si="1015"/>
        <v>-217353186.65650544</v>
      </c>
      <c r="R936">
        <f t="shared" si="1016"/>
        <v>-5074207575.0918102</v>
      </c>
      <c r="S936">
        <f t="shared" si="1017"/>
        <v>-50742.075750918106</v>
      </c>
      <c r="T936">
        <f t="shared" si="1018"/>
        <v>-50.742075750918104</v>
      </c>
    </row>
    <row r="937" spans="1:20" x14ac:dyDescent="0.25">
      <c r="A937" s="5">
        <v>43656</v>
      </c>
      <c r="B937">
        <v>1.6219999999999998E-2</v>
      </c>
      <c r="C937">
        <v>1.7479999999999999E-2</v>
      </c>
      <c r="D937">
        <v>1.477E-2</v>
      </c>
      <c r="E937">
        <v>1.61E-2</v>
      </c>
      <c r="F937">
        <v>437375040.30000001</v>
      </c>
      <c r="G937">
        <v>0</v>
      </c>
      <c r="L937" t="s">
        <v>7</v>
      </c>
      <c r="M937" t="s">
        <v>8</v>
      </c>
      <c r="N937" t="s">
        <v>7</v>
      </c>
      <c r="P937">
        <f t="shared" si="1014"/>
        <v>-1.8450184501844914E-2</v>
      </c>
      <c r="Q937">
        <f t="shared" si="1015"/>
        <v>-8069650.1900368547</v>
      </c>
      <c r="R937">
        <f t="shared" si="1016"/>
        <v>-4856854388.4353046</v>
      </c>
      <c r="S937">
        <f t="shared" si="1017"/>
        <v>-48568.543884353043</v>
      </c>
      <c r="T937">
        <f t="shared" si="1018"/>
        <v>-48.568543884353041</v>
      </c>
    </row>
    <row r="938" spans="1:20" x14ac:dyDescent="0.25">
      <c r="A938" s="5">
        <v>43655</v>
      </c>
      <c r="B938">
        <v>1.6639999999999999E-2</v>
      </c>
      <c r="C938">
        <v>1.7219999999999999E-2</v>
      </c>
      <c r="D938">
        <v>1.5049999999999999E-2</v>
      </c>
      <c r="E938">
        <v>1.6219999999999998E-2</v>
      </c>
      <c r="F938">
        <v>309295834.89999998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7.8341013824883995E-2</v>
      </c>
      <c r="Q938">
        <f t="shared" si="1015"/>
        <v>24230549.277879935</v>
      </c>
      <c r="R938">
        <f t="shared" si="1016"/>
        <v>-4848784738.2452679</v>
      </c>
      <c r="S938">
        <f t="shared" si="1017"/>
        <v>-48487.847382452681</v>
      </c>
      <c r="T938">
        <f t="shared" si="1018"/>
        <v>-48.487847382452678</v>
      </c>
    </row>
    <row r="939" spans="1:20" x14ac:dyDescent="0.25">
      <c r="A939" s="5">
        <v>43654</v>
      </c>
      <c r="B939">
        <v>1.7610000000000001E-2</v>
      </c>
      <c r="C939">
        <v>1.7670000000000002E-2</v>
      </c>
      <c r="D939">
        <v>1.6500000000000001E-2</v>
      </c>
      <c r="E939">
        <v>1.6639999999999999E-2</v>
      </c>
      <c r="F939">
        <v>219596457.59999999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-0.76068376068376464</v>
      </c>
      <c r="Q939">
        <f t="shared" si="1015"/>
        <v>-167043459.20000085</v>
      </c>
      <c r="R939">
        <f t="shared" si="1016"/>
        <v>-4873015287.5231476</v>
      </c>
      <c r="S939">
        <f t="shared" si="1017"/>
        <v>-48730.152875231477</v>
      </c>
      <c r="T939">
        <f t="shared" si="1018"/>
        <v>-48.730152875231475</v>
      </c>
    </row>
    <row r="940" spans="1:20" x14ac:dyDescent="0.25">
      <c r="A940" s="5">
        <v>43653</v>
      </c>
      <c r="B940">
        <v>1.7680000000000001E-2</v>
      </c>
      <c r="C940">
        <v>1.84E-2</v>
      </c>
      <c r="D940">
        <v>1.712E-2</v>
      </c>
      <c r="E940">
        <v>1.7590000000000001E-2</v>
      </c>
      <c r="F940">
        <v>138660572.09999999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-0.26562499999999734</v>
      </c>
      <c r="Q940">
        <f t="shared" si="1015"/>
        <v>-36831714.464062132</v>
      </c>
      <c r="R940">
        <f t="shared" si="1016"/>
        <v>-4705971828.3231468</v>
      </c>
      <c r="S940">
        <f t="shared" si="1017"/>
        <v>-47059.718283231465</v>
      </c>
      <c r="T940">
        <f t="shared" si="1018"/>
        <v>-47.059718283231462</v>
      </c>
    </row>
    <row r="941" spans="1:20" x14ac:dyDescent="0.25">
      <c r="A941" s="5">
        <v>43652</v>
      </c>
      <c r="B941">
        <v>1.8110000000000001E-2</v>
      </c>
      <c r="C941">
        <v>1.8440000000000002E-2</v>
      </c>
      <c r="D941">
        <v>1.7500000000000002E-2</v>
      </c>
      <c r="E941">
        <v>1.7680000000000001E-2</v>
      </c>
      <c r="F941">
        <v>101526675.59999999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-0.61702127659574546</v>
      </c>
      <c r="Q941">
        <f t="shared" si="1015"/>
        <v>-62644118.987234116</v>
      </c>
      <c r="R941">
        <f t="shared" si="1016"/>
        <v>-4669140113.8590851</v>
      </c>
      <c r="S941">
        <f t="shared" si="1017"/>
        <v>-46691.401138590852</v>
      </c>
      <c r="T941">
        <f t="shared" si="1018"/>
        <v>-46.691401138590855</v>
      </c>
    </row>
    <row r="942" spans="1:20" x14ac:dyDescent="0.25">
      <c r="A942" s="5">
        <v>43651</v>
      </c>
      <c r="B942">
        <v>1.797E-2</v>
      </c>
      <c r="C942">
        <v>1.958E-2</v>
      </c>
      <c r="D942">
        <v>1.7600000000000001E-2</v>
      </c>
      <c r="E942">
        <v>1.8110000000000001E-2</v>
      </c>
      <c r="F942">
        <v>245911827.09999999</v>
      </c>
      <c r="G942">
        <v>0</v>
      </c>
      <c r="L942" t="s">
        <v>8</v>
      </c>
      <c r="M942" t="s">
        <v>7</v>
      </c>
      <c r="N942" t="s">
        <v>7</v>
      </c>
      <c r="P942">
        <f t="shared" si="1014"/>
        <v>-0.48484848484848458</v>
      </c>
      <c r="Q942">
        <f t="shared" si="1015"/>
        <v>-119229976.77575751</v>
      </c>
      <c r="R942">
        <f t="shared" si="1016"/>
        <v>-4606495994.871851</v>
      </c>
      <c r="S942">
        <f t="shared" si="1017"/>
        <v>-46064.959948718511</v>
      </c>
      <c r="T942">
        <f t="shared" si="1018"/>
        <v>-46.06495994871851</v>
      </c>
    </row>
    <row r="943" spans="1:20" x14ac:dyDescent="0.25">
      <c r="A943" s="5">
        <v>43650</v>
      </c>
      <c r="B943">
        <v>1.9259999999999999E-2</v>
      </c>
      <c r="C943">
        <v>1.9300000000000001E-2</v>
      </c>
      <c r="D943">
        <v>1.7000000000000001E-2</v>
      </c>
      <c r="E943">
        <v>1.797E-2</v>
      </c>
      <c r="F943">
        <v>378345924.89999998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-0.15652173913043596</v>
      </c>
      <c r="Q943">
        <f t="shared" si="1015"/>
        <v>-59219362.158261314</v>
      </c>
      <c r="R943">
        <f t="shared" si="1016"/>
        <v>-4487266018.0960932</v>
      </c>
      <c r="S943">
        <f t="shared" si="1017"/>
        <v>-44872.660180960935</v>
      </c>
      <c r="T943">
        <f t="shared" si="1018"/>
        <v>-44.872660180960935</v>
      </c>
    </row>
    <row r="944" spans="1:20" x14ac:dyDescent="0.25">
      <c r="A944" s="5">
        <v>43649</v>
      </c>
      <c r="B944">
        <v>1.9980000000000001E-2</v>
      </c>
      <c r="C944">
        <v>2.0410000000000001E-2</v>
      </c>
      <c r="D944">
        <v>1.857E-2</v>
      </c>
      <c r="E944">
        <v>1.9300000000000001E-2</v>
      </c>
      <c r="F944">
        <v>402571000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-0.20652173913043376</v>
      </c>
      <c r="Q944">
        <f t="shared" si="1015"/>
        <v>-83139663.043477848</v>
      </c>
      <c r="R944">
        <f t="shared" si="1016"/>
        <v>-4428046655.9378319</v>
      </c>
      <c r="S944">
        <f t="shared" si="1017"/>
        <v>-44280.466559378321</v>
      </c>
      <c r="T944">
        <f t="shared" si="1018"/>
        <v>-44.280466559378318</v>
      </c>
    </row>
    <row r="945" spans="1:20" x14ac:dyDescent="0.25">
      <c r="A945" s="5">
        <v>43648</v>
      </c>
      <c r="B945">
        <v>2.2380000000000001E-2</v>
      </c>
      <c r="C945">
        <v>2.265E-2</v>
      </c>
      <c r="D945">
        <v>1.9519999999999999E-2</v>
      </c>
      <c r="E945">
        <v>2.002E-2</v>
      </c>
      <c r="F945">
        <v>394132210.19999999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-0.68051118210862604</v>
      </c>
      <c r="Q945">
        <f t="shared" si="1015"/>
        <v>-268211376.27028748</v>
      </c>
      <c r="R945">
        <f t="shared" si="1016"/>
        <v>-4344906992.8943539</v>
      </c>
      <c r="S945">
        <f t="shared" si="1017"/>
        <v>-43449.069928943536</v>
      </c>
      <c r="T945">
        <f t="shared" si="1018"/>
        <v>-43.449069928943537</v>
      </c>
    </row>
    <row r="946" spans="1:20" x14ac:dyDescent="0.25">
      <c r="A946" s="5">
        <v>43647</v>
      </c>
      <c r="B946">
        <v>2.2179999999999998E-2</v>
      </c>
      <c r="C946">
        <v>2.3130000000000001E-2</v>
      </c>
      <c r="D946">
        <v>2.009E-2</v>
      </c>
      <c r="E946">
        <v>2.2380000000000001E-2</v>
      </c>
      <c r="F946">
        <v>549433910.10000002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0.5065789473684208</v>
      </c>
      <c r="Q946">
        <f t="shared" si="1015"/>
        <v>278331651.82697356</v>
      </c>
      <c r="R946">
        <f t="shared" si="1016"/>
        <v>-4076695616.6240668</v>
      </c>
      <c r="S946">
        <f t="shared" si="1017"/>
        <v>-40766.95616624067</v>
      </c>
      <c r="T946">
        <f t="shared" si="1018"/>
        <v>-40.766956166240668</v>
      </c>
    </row>
    <row r="947" spans="1:20" x14ac:dyDescent="0.25">
      <c r="A947" s="5">
        <v>43646</v>
      </c>
      <c r="B947">
        <v>2.4070000000000001E-2</v>
      </c>
      <c r="C947">
        <v>2.69E-2</v>
      </c>
      <c r="D947">
        <v>2.2009999999999998E-2</v>
      </c>
      <c r="E947">
        <v>2.2169999999999999E-2</v>
      </c>
      <c r="F947">
        <v>1018619377.2</v>
      </c>
      <c r="G947">
        <v>0</v>
      </c>
      <c r="L947" t="s">
        <v>8</v>
      </c>
      <c r="M947" t="s">
        <v>7</v>
      </c>
      <c r="N947" t="s">
        <v>8</v>
      </c>
      <c r="P947">
        <f t="shared" si="1014"/>
        <v>-0.9345603271983639</v>
      </c>
      <c r="Q947">
        <f t="shared" si="1015"/>
        <v>-951961258.44662571</v>
      </c>
      <c r="R947">
        <f t="shared" si="1016"/>
        <v>-4355027268.4510403</v>
      </c>
      <c r="S947">
        <f t="shared" si="1017"/>
        <v>-43550.272684510404</v>
      </c>
      <c r="T947">
        <f t="shared" si="1018"/>
        <v>-43.550272684510404</v>
      </c>
    </row>
    <row r="948" spans="1:20" x14ac:dyDescent="0.25">
      <c r="A948" s="5">
        <v>43645</v>
      </c>
      <c r="B948">
        <v>1.925E-2</v>
      </c>
      <c r="C948">
        <v>2.656E-2</v>
      </c>
      <c r="D948">
        <v>1.9220000000000001E-2</v>
      </c>
      <c r="E948">
        <v>2.4119999999999999E-2</v>
      </c>
      <c r="F948">
        <v>1290963508</v>
      </c>
      <c r="G948">
        <v>0</v>
      </c>
      <c r="L948" t="s">
        <v>8</v>
      </c>
      <c r="M948" t="s">
        <v>8</v>
      </c>
      <c r="N948" t="s">
        <v>8</v>
      </c>
      <c r="P948">
        <f t="shared" si="1014"/>
        <v>0.3351498637602176</v>
      </c>
      <c r="Q948">
        <f t="shared" si="1015"/>
        <v>432666243.8256126</v>
      </c>
      <c r="R948">
        <f t="shared" si="1016"/>
        <v>-3403066010.0044146</v>
      </c>
      <c r="S948">
        <f t="shared" si="1017"/>
        <v>-34030.660100044144</v>
      </c>
      <c r="T948">
        <f t="shared" si="1018"/>
        <v>-34.030660100044145</v>
      </c>
    </row>
    <row r="949" spans="1:20" x14ac:dyDescent="0.25">
      <c r="A949" s="5">
        <v>43644</v>
      </c>
      <c r="B949">
        <v>1.9480000000000001E-2</v>
      </c>
      <c r="C949">
        <v>2.1160000000000002E-2</v>
      </c>
      <c r="D949">
        <v>1.9050000000000001E-2</v>
      </c>
      <c r="E949">
        <v>1.9199999999999998E-2</v>
      </c>
      <c r="F949">
        <v>490034713.69999999</v>
      </c>
      <c r="G949">
        <v>0</v>
      </c>
      <c r="L949" t="s">
        <v>7</v>
      </c>
      <c r="M949" t="s">
        <v>8</v>
      </c>
      <c r="N949" t="s">
        <v>7</v>
      </c>
      <c r="P949">
        <f t="shared" si="1014"/>
        <v>-0.85781990521327267</v>
      </c>
      <c r="Q949">
        <f t="shared" si="1015"/>
        <v>-420361531.6573472</v>
      </c>
      <c r="R949">
        <f t="shared" si="1016"/>
        <v>-3835732253.8300271</v>
      </c>
      <c r="S949">
        <f t="shared" si="1017"/>
        <v>-38357.322538300272</v>
      </c>
      <c r="T949">
        <f t="shared" si="1018"/>
        <v>-38.357322538300274</v>
      </c>
    </row>
    <row r="950" spans="1:20" x14ac:dyDescent="0.25">
      <c r="A950" s="5">
        <v>43643</v>
      </c>
      <c r="B950">
        <v>1.788E-2</v>
      </c>
      <c r="C950">
        <v>2.1680000000000001E-2</v>
      </c>
      <c r="D950">
        <v>1.7229999999999999E-2</v>
      </c>
      <c r="E950">
        <v>1.942E-2</v>
      </c>
      <c r="F950">
        <v>952899255.39999998</v>
      </c>
      <c r="G950">
        <v>0</v>
      </c>
      <c r="L950" t="s">
        <v>8</v>
      </c>
      <c r="M950" t="s">
        <v>8</v>
      </c>
      <c r="N950" t="s">
        <v>7</v>
      </c>
      <c r="P950">
        <f t="shared" si="1014"/>
        <v>-1.5730337078651815E-2</v>
      </c>
      <c r="Q950">
        <f t="shared" si="1015"/>
        <v>-14989426.489438325</v>
      </c>
      <c r="R950">
        <f t="shared" si="1016"/>
        <v>-3415370722.1726799</v>
      </c>
      <c r="S950">
        <f t="shared" si="1017"/>
        <v>-34153.7072217268</v>
      </c>
      <c r="T950">
        <f t="shared" si="1018"/>
        <v>-34.153707221726798</v>
      </c>
    </row>
    <row r="951" spans="1:20" x14ac:dyDescent="0.25">
      <c r="A951" s="5">
        <v>43642</v>
      </c>
      <c r="B951">
        <v>1.9199999999999998E-2</v>
      </c>
      <c r="C951">
        <v>1.95E-2</v>
      </c>
      <c r="D951">
        <v>1.6389999999999998E-2</v>
      </c>
      <c r="E951">
        <v>1.7950000000000001E-2</v>
      </c>
      <c r="F951">
        <v>826569793.29999995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3.2154340836022689E-3</v>
      </c>
      <c r="Q951">
        <f t="shared" si="1015"/>
        <v>2657780.685852902</v>
      </c>
      <c r="R951">
        <f t="shared" si="1016"/>
        <v>-3400381295.6832414</v>
      </c>
      <c r="S951">
        <f t="shared" si="1017"/>
        <v>-34003.812956832415</v>
      </c>
      <c r="T951">
        <f t="shared" si="1018"/>
        <v>-34.003812956832412</v>
      </c>
    </row>
    <row r="952" spans="1:20" x14ac:dyDescent="0.25">
      <c r="A952" s="5">
        <v>43641</v>
      </c>
      <c r="B952">
        <v>2.0719999999999999E-2</v>
      </c>
      <c r="C952">
        <v>2.0719999999999999E-2</v>
      </c>
      <c r="D952">
        <v>1.9029999999999998E-2</v>
      </c>
      <c r="E952">
        <v>1.9199999999999998E-2</v>
      </c>
      <c r="F952">
        <v>364473706.30000001</v>
      </c>
      <c r="G952">
        <v>0</v>
      </c>
      <c r="L952" t="s">
        <v>7</v>
      </c>
      <c r="M952" t="s">
        <v>7</v>
      </c>
      <c r="N952" t="s">
        <v>7</v>
      </c>
      <c r="P952">
        <f t="shared" si="1014"/>
        <v>-0.79881656804733736</v>
      </c>
      <c r="Q952">
        <f t="shared" si="1015"/>
        <v>-291147635.21005923</v>
      </c>
      <c r="R952">
        <f t="shared" si="1016"/>
        <v>-3403039076.3690944</v>
      </c>
      <c r="S952">
        <f t="shared" si="1017"/>
        <v>-34030.390763690943</v>
      </c>
      <c r="T952">
        <f t="shared" si="1018"/>
        <v>-34.030390763690946</v>
      </c>
    </row>
    <row r="953" spans="1:20" x14ac:dyDescent="0.25">
      <c r="A953" s="5">
        <v>43640</v>
      </c>
      <c r="B953">
        <v>2.104E-2</v>
      </c>
      <c r="C953">
        <v>2.1690000000000001E-2</v>
      </c>
      <c r="D953">
        <v>0.02</v>
      </c>
      <c r="E953">
        <v>2.0719999999999999E-2</v>
      </c>
      <c r="F953">
        <v>290258602.60000002</v>
      </c>
      <c r="G953">
        <v>0</v>
      </c>
      <c r="L953" t="s">
        <v>7</v>
      </c>
      <c r="M953" t="s">
        <v>7</v>
      </c>
      <c r="N953" t="s">
        <v>7</v>
      </c>
      <c r="P953">
        <f t="shared" si="1014"/>
        <v>-0.14792899408284238</v>
      </c>
      <c r="Q953">
        <f t="shared" si="1015"/>
        <v>-42937663.106509499</v>
      </c>
      <c r="R953">
        <f t="shared" si="1016"/>
        <v>-3111891441.1590352</v>
      </c>
      <c r="S953">
        <f t="shared" si="1017"/>
        <v>-31118.914411590351</v>
      </c>
      <c r="T953">
        <f t="shared" si="1018"/>
        <v>-31.11891441159035</v>
      </c>
    </row>
    <row r="954" spans="1:20" x14ac:dyDescent="0.25">
      <c r="A954" s="5">
        <v>43639</v>
      </c>
      <c r="B954">
        <v>2.1930000000000002E-2</v>
      </c>
      <c r="C954">
        <v>2.2380000000000001E-2</v>
      </c>
      <c r="D954">
        <v>2.078E-2</v>
      </c>
      <c r="E954">
        <v>2.104E-2</v>
      </c>
      <c r="F954">
        <v>942419639.89999998</v>
      </c>
      <c r="G954">
        <v>0</v>
      </c>
      <c r="L954" t="s">
        <v>7</v>
      </c>
      <c r="M954" t="s">
        <v>8</v>
      </c>
      <c r="N954" t="s">
        <v>7</v>
      </c>
      <c r="P954">
        <f t="shared" si="1014"/>
        <v>-0.67500000000000038</v>
      </c>
      <c r="Q954">
        <f t="shared" si="1015"/>
        <v>-636133256.93250036</v>
      </c>
      <c r="R954">
        <f t="shared" si="1016"/>
        <v>-3068953778.0525255</v>
      </c>
      <c r="S954">
        <f t="shared" si="1017"/>
        <v>-30689.537780525254</v>
      </c>
      <c r="T954">
        <f t="shared" si="1018"/>
        <v>-30.689537780525253</v>
      </c>
    </row>
    <row r="955" spans="1:20" x14ac:dyDescent="0.25">
      <c r="A955" s="5">
        <v>43638</v>
      </c>
      <c r="B955">
        <v>2.103E-2</v>
      </c>
      <c r="C955">
        <v>2.2759999999999999E-2</v>
      </c>
      <c r="D955">
        <v>2.0500000000000001E-2</v>
      </c>
      <c r="E955">
        <v>2.1940000000000001E-2</v>
      </c>
      <c r="F955">
        <v>1239942559</v>
      </c>
      <c r="G955">
        <v>0</v>
      </c>
      <c r="L955" t="s">
        <v>8</v>
      </c>
      <c r="M955" t="s">
        <v>8</v>
      </c>
      <c r="N955" t="s">
        <v>7</v>
      </c>
      <c r="P955">
        <f t="shared" si="1014"/>
        <v>0.27433628318584202</v>
      </c>
      <c r="Q955">
        <f t="shared" si="1015"/>
        <v>340161233.00000161</v>
      </c>
      <c r="R955">
        <f t="shared" si="1016"/>
        <v>-2432820521.1200252</v>
      </c>
      <c r="S955">
        <f t="shared" si="1017"/>
        <v>-24328.205211200253</v>
      </c>
      <c r="T955">
        <f t="shared" si="1018"/>
        <v>-24.328205211200252</v>
      </c>
    </row>
    <row r="956" spans="1:20" x14ac:dyDescent="0.25">
      <c r="A956" s="5">
        <v>43637</v>
      </c>
      <c r="B956">
        <v>2.2419999999999999E-2</v>
      </c>
      <c r="C956">
        <v>2.3429999999999999E-2</v>
      </c>
      <c r="D956">
        <v>2.061E-2</v>
      </c>
      <c r="E956">
        <v>2.1000000000000001E-2</v>
      </c>
      <c r="F956">
        <v>1001459457.6</v>
      </c>
      <c r="G956">
        <v>0</v>
      </c>
      <c r="L956" t="s">
        <v>7</v>
      </c>
      <c r="M956" t="s">
        <v>8</v>
      </c>
      <c r="N956" t="s">
        <v>7</v>
      </c>
      <c r="P956">
        <f t="shared" si="1014"/>
        <v>-0.72340425531914787</v>
      </c>
      <c r="Q956">
        <f t="shared" si="1015"/>
        <v>-724460033.15744579</v>
      </c>
      <c r="R956">
        <f t="shared" si="1016"/>
        <v>-2772981754.1200266</v>
      </c>
      <c r="S956">
        <f t="shared" si="1017"/>
        <v>-27729.817541200267</v>
      </c>
      <c r="T956">
        <f t="shared" si="1018"/>
        <v>-27.729817541200269</v>
      </c>
    </row>
    <row r="957" spans="1:20" x14ac:dyDescent="0.25">
      <c r="A957" s="5">
        <v>43636</v>
      </c>
      <c r="B957">
        <v>2.307E-2</v>
      </c>
      <c r="C957">
        <v>2.376E-2</v>
      </c>
      <c r="D957">
        <v>2.1780000000000001E-2</v>
      </c>
      <c r="E957">
        <v>2.2409999999999999E-2</v>
      </c>
      <c r="F957">
        <v>684710485.29999995</v>
      </c>
      <c r="G957">
        <v>0</v>
      </c>
      <c r="L957" t="s">
        <v>7</v>
      </c>
      <c r="M957" t="s">
        <v>8</v>
      </c>
      <c r="N957" t="s">
        <v>7</v>
      </c>
      <c r="P957">
        <f t="shared" si="1014"/>
        <v>-0.36363636363636476</v>
      </c>
      <c r="Q957">
        <f t="shared" si="1015"/>
        <v>-248985631.01818258</v>
      </c>
      <c r="R957">
        <f t="shared" si="1016"/>
        <v>-2048521720.9625809</v>
      </c>
      <c r="S957">
        <f t="shared" si="1017"/>
        <v>-20485.217209625811</v>
      </c>
      <c r="T957">
        <f t="shared" si="1018"/>
        <v>-20.485217209625812</v>
      </c>
    </row>
    <row r="958" spans="1:20" x14ac:dyDescent="0.25">
      <c r="A958" s="5">
        <v>43635</v>
      </c>
      <c r="B958">
        <v>2.249E-2</v>
      </c>
      <c r="C958">
        <v>2.4400000000000002E-2</v>
      </c>
      <c r="D958">
        <v>2.2329999999999999E-2</v>
      </c>
      <c r="E958">
        <v>2.3089999999999999E-2</v>
      </c>
      <c r="F958">
        <v>1270664876.5999999</v>
      </c>
      <c r="G958">
        <v>0</v>
      </c>
      <c r="L958" t="s">
        <v>8</v>
      </c>
      <c r="M958" t="s">
        <v>8</v>
      </c>
      <c r="N958" t="s">
        <v>7</v>
      </c>
      <c r="P958">
        <f t="shared" si="1014"/>
        <v>-0.26570048309178806</v>
      </c>
      <c r="Q958">
        <f t="shared" si="1015"/>
        <v>-337616271.56038725</v>
      </c>
      <c r="R958">
        <f t="shared" si="1016"/>
        <v>-1799536089.9443984</v>
      </c>
      <c r="S958">
        <f t="shared" si="1017"/>
        <v>-17995.360899443986</v>
      </c>
      <c r="T958">
        <f t="shared" si="1018"/>
        <v>-17.995360899443984</v>
      </c>
    </row>
    <row r="959" spans="1:20" x14ac:dyDescent="0.25">
      <c r="A959" s="5">
        <v>43634</v>
      </c>
      <c r="B959">
        <v>2.1749999999999999E-2</v>
      </c>
      <c r="C959">
        <v>2.2890000000000001E-2</v>
      </c>
      <c r="D959">
        <v>2.1219999999999999E-2</v>
      </c>
      <c r="E959">
        <v>2.247E-2</v>
      </c>
      <c r="F959">
        <v>650343325.29999995</v>
      </c>
      <c r="G959">
        <v>0</v>
      </c>
      <c r="L959" t="s">
        <v>7</v>
      </c>
      <c r="M959" t="s">
        <v>8</v>
      </c>
      <c r="N959" t="s">
        <v>7</v>
      </c>
      <c r="P959">
        <f t="shared" ref="P959:P1012" si="1019">IF(C959=D959,0,((E959-D959)-(C959-E959))/(C959-D959))</f>
        <v>0.49700598802395224</v>
      </c>
      <c r="Q959">
        <f t="shared" ref="Q959:Q1012" si="1020">F959*P959</f>
        <v>323224526.94550908</v>
      </c>
      <c r="R959">
        <f t="shared" ref="R959:R1012" si="1021">R960+Q959</f>
        <v>-1461919818.3840113</v>
      </c>
      <c r="S959">
        <f t="shared" ref="S959:S1012" si="1022">R959/100000</f>
        <v>-14619.198183840113</v>
      </c>
      <c r="T959">
        <f t="shared" ref="T959:T1012" si="1023">S959/1000</f>
        <v>-14.619198183840114</v>
      </c>
    </row>
    <row r="960" spans="1:20" x14ac:dyDescent="0.25">
      <c r="A960" s="5">
        <v>43633</v>
      </c>
      <c r="B960">
        <v>2.239E-2</v>
      </c>
      <c r="C960">
        <v>2.385E-2</v>
      </c>
      <c r="D960">
        <v>2.1219999999999999E-2</v>
      </c>
      <c r="E960">
        <v>2.1749999999999999E-2</v>
      </c>
      <c r="F960">
        <v>567072821.39999998</v>
      </c>
      <c r="G960">
        <v>0</v>
      </c>
      <c r="L960" t="s">
        <v>8</v>
      </c>
      <c r="M960" t="s">
        <v>8</v>
      </c>
      <c r="N960" t="s">
        <v>7</v>
      </c>
      <c r="P960">
        <f t="shared" si="1019"/>
        <v>-0.59695817490494363</v>
      </c>
      <c r="Q960">
        <f t="shared" si="1020"/>
        <v>-338518756.50114107</v>
      </c>
      <c r="R960">
        <f t="shared" si="1021"/>
        <v>-1785144345.3295202</v>
      </c>
      <c r="S960">
        <f t="shared" si="1022"/>
        <v>-17851.443453295204</v>
      </c>
      <c r="T960">
        <f t="shared" si="1023"/>
        <v>-17.851443453295204</v>
      </c>
    </row>
    <row r="961" spans="1:20" x14ac:dyDescent="0.25">
      <c r="A961" s="5">
        <v>43632</v>
      </c>
      <c r="B961">
        <v>2.179E-2</v>
      </c>
      <c r="C961">
        <v>2.2800000000000001E-2</v>
      </c>
      <c r="D961">
        <v>2.0629999999999999E-2</v>
      </c>
      <c r="E961">
        <v>2.24E-2</v>
      </c>
      <c r="F961">
        <v>648967789.39999998</v>
      </c>
      <c r="G961">
        <v>0</v>
      </c>
      <c r="L961" t="s">
        <v>7</v>
      </c>
      <c r="M961" t="s">
        <v>8</v>
      </c>
      <c r="N961" t="s">
        <v>7</v>
      </c>
      <c r="P961">
        <f t="shared" si="1019"/>
        <v>0.63133640552995329</v>
      </c>
      <c r="Q961">
        <f t="shared" si="1020"/>
        <v>409716991.46451569</v>
      </c>
      <c r="R961">
        <f t="shared" si="1021"/>
        <v>-1446625588.8283792</v>
      </c>
      <c r="S961">
        <f t="shared" si="1022"/>
        <v>-14466.255888283791</v>
      </c>
      <c r="T961">
        <f t="shared" si="1023"/>
        <v>-14.466255888283792</v>
      </c>
    </row>
    <row r="962" spans="1:20" x14ac:dyDescent="0.25">
      <c r="A962" s="5">
        <v>43631</v>
      </c>
      <c r="B962">
        <v>2.053E-2</v>
      </c>
      <c r="C962">
        <v>2.2950000000000002E-2</v>
      </c>
      <c r="D962">
        <v>2.053E-2</v>
      </c>
      <c r="E962">
        <v>2.179E-2</v>
      </c>
      <c r="F962">
        <v>659353874.39999998</v>
      </c>
      <c r="G962">
        <v>0</v>
      </c>
      <c r="L962" t="s">
        <v>8</v>
      </c>
      <c r="M962" t="s">
        <v>8</v>
      </c>
      <c r="N962" t="s">
        <v>7</v>
      </c>
      <c r="P962">
        <f t="shared" si="1019"/>
        <v>4.1322314049586494E-2</v>
      </c>
      <c r="Q962">
        <f t="shared" si="1020"/>
        <v>27246027.867768407</v>
      </c>
      <c r="R962">
        <f t="shared" si="1021"/>
        <v>-1856342580.2928948</v>
      </c>
      <c r="S962">
        <f t="shared" si="1022"/>
        <v>-18563.425802928949</v>
      </c>
      <c r="T962">
        <f t="shared" si="1023"/>
        <v>-18.563425802928947</v>
      </c>
    </row>
    <row r="963" spans="1:20" x14ac:dyDescent="0.25">
      <c r="A963" s="5">
        <v>43630</v>
      </c>
      <c r="B963">
        <v>2.3140000000000001E-2</v>
      </c>
      <c r="C963">
        <v>2.3300000000000001E-2</v>
      </c>
      <c r="D963">
        <v>1.9E-2</v>
      </c>
      <c r="E963">
        <v>2.0549999999999999E-2</v>
      </c>
      <c r="F963">
        <v>658163305.29999995</v>
      </c>
      <c r="G963">
        <v>0</v>
      </c>
      <c r="L963" t="s">
        <v>7</v>
      </c>
      <c r="M963" t="s">
        <v>7</v>
      </c>
      <c r="N963" t="s">
        <v>7</v>
      </c>
      <c r="P963">
        <f t="shared" si="1019"/>
        <v>-0.27906976744186107</v>
      </c>
      <c r="Q963">
        <f t="shared" si="1020"/>
        <v>-183673480.5488376</v>
      </c>
      <c r="R963">
        <f t="shared" si="1021"/>
        <v>-1883588608.1606631</v>
      </c>
      <c r="S963">
        <f t="shared" si="1022"/>
        <v>-18835.88608160663</v>
      </c>
      <c r="T963">
        <f t="shared" si="1023"/>
        <v>-18.835886081606631</v>
      </c>
    </row>
    <row r="964" spans="1:20" x14ac:dyDescent="0.25">
      <c r="A964" s="5">
        <v>43629</v>
      </c>
      <c r="B964">
        <v>2.3040000000000001E-2</v>
      </c>
      <c r="C964">
        <v>2.4750000000000001E-2</v>
      </c>
      <c r="D964">
        <v>2.2210000000000001E-2</v>
      </c>
      <c r="E964">
        <v>2.3099999999999999E-2</v>
      </c>
      <c r="F964">
        <v>1130423131.5</v>
      </c>
      <c r="G964">
        <v>0</v>
      </c>
      <c r="L964" t="s">
        <v>7</v>
      </c>
      <c r="M964" t="s">
        <v>7</v>
      </c>
      <c r="N964" t="s">
        <v>8</v>
      </c>
      <c r="P964">
        <f t="shared" si="1019"/>
        <v>-0.29921259842519826</v>
      </c>
      <c r="Q964">
        <f t="shared" si="1020"/>
        <v>-338236842.4960646</v>
      </c>
      <c r="R964">
        <f t="shared" si="1021"/>
        <v>-1699915127.6118255</v>
      </c>
      <c r="S964">
        <f t="shared" si="1022"/>
        <v>-16999.151276118253</v>
      </c>
      <c r="T964">
        <f t="shared" si="1023"/>
        <v>-16.999151276118251</v>
      </c>
    </row>
    <row r="965" spans="1:20" x14ac:dyDescent="0.25">
      <c r="A965" s="5">
        <v>43628</v>
      </c>
      <c r="B965">
        <v>2.3900000000000001E-2</v>
      </c>
      <c r="C965">
        <v>2.5250000000000002E-2</v>
      </c>
      <c r="D965">
        <v>2.281E-2</v>
      </c>
      <c r="E965">
        <v>2.3050000000000001E-2</v>
      </c>
      <c r="F965">
        <v>680341982.29999995</v>
      </c>
      <c r="G965">
        <v>0</v>
      </c>
      <c r="L965" t="s">
        <v>7</v>
      </c>
      <c r="M965" t="s">
        <v>7</v>
      </c>
      <c r="N965" t="s">
        <v>8</v>
      </c>
      <c r="P965">
        <f t="shared" si="1019"/>
        <v>-0.80327868852458972</v>
      </c>
      <c r="Q965">
        <f t="shared" si="1020"/>
        <v>-546504215.29016364</v>
      </c>
      <c r="R965">
        <f t="shared" si="1021"/>
        <v>-1361678285.1157608</v>
      </c>
      <c r="S965">
        <f t="shared" si="1022"/>
        <v>-13616.782851157608</v>
      </c>
      <c r="T965">
        <f t="shared" si="1023"/>
        <v>-13.616782851157607</v>
      </c>
    </row>
    <row r="966" spans="1:20" x14ac:dyDescent="0.25">
      <c r="A966" s="5">
        <v>43627</v>
      </c>
      <c r="B966">
        <v>2.7009999999999999E-2</v>
      </c>
      <c r="C966">
        <v>2.7060000000000001E-2</v>
      </c>
      <c r="D966">
        <v>2.332E-2</v>
      </c>
      <c r="E966">
        <v>2.3900000000000001E-2</v>
      </c>
      <c r="F966">
        <v>652982968.70000005</v>
      </c>
      <c r="G966">
        <v>0</v>
      </c>
      <c r="L966" t="s">
        <v>7</v>
      </c>
      <c r="M966" t="s">
        <v>7</v>
      </c>
      <c r="N966" t="s">
        <v>8</v>
      </c>
      <c r="P966">
        <f t="shared" si="1019"/>
        <v>-0.68983957219251302</v>
      </c>
      <c r="Q966">
        <f t="shared" si="1020"/>
        <v>-450453491.77700514</v>
      </c>
      <c r="R966">
        <f t="shared" si="1021"/>
        <v>-815174069.82559729</v>
      </c>
      <c r="S966">
        <f t="shared" si="1022"/>
        <v>-8151.7406982559733</v>
      </c>
      <c r="T966">
        <f t="shared" si="1023"/>
        <v>-8.1517406982559741</v>
      </c>
    </row>
    <row r="967" spans="1:20" x14ac:dyDescent="0.25">
      <c r="A967" s="5">
        <v>43626</v>
      </c>
      <c r="B967">
        <v>2.537E-2</v>
      </c>
      <c r="C967">
        <v>2.7349999999999999E-2</v>
      </c>
      <c r="D967">
        <v>2.3879999999999998E-2</v>
      </c>
      <c r="E967">
        <v>2.6980000000000001E-2</v>
      </c>
      <c r="F967">
        <v>861155174.39999998</v>
      </c>
      <c r="G967">
        <v>0</v>
      </c>
      <c r="L967" t="s">
        <v>7</v>
      </c>
      <c r="M967" t="s">
        <v>8</v>
      </c>
      <c r="N967" t="s">
        <v>8</v>
      </c>
      <c r="P967">
        <f t="shared" si="1019"/>
        <v>0.78674351585014479</v>
      </c>
      <c r="Q967">
        <f t="shared" si="1020"/>
        <v>677508249.60000062</v>
      </c>
      <c r="R967">
        <f t="shared" si="1021"/>
        <v>-364720578.04859209</v>
      </c>
      <c r="S967">
        <f t="shared" si="1022"/>
        <v>-3647.205780485921</v>
      </c>
      <c r="T967">
        <f t="shared" si="1023"/>
        <v>-3.6472057804859208</v>
      </c>
    </row>
    <row r="968" spans="1:20" x14ac:dyDescent="0.25">
      <c r="A968" s="5">
        <v>43625</v>
      </c>
      <c r="B968">
        <v>2.5829999999999999E-2</v>
      </c>
      <c r="C968">
        <v>2.76E-2</v>
      </c>
      <c r="D968">
        <v>2.4309999999999998E-2</v>
      </c>
      <c r="E968">
        <v>2.537E-2</v>
      </c>
      <c r="F968">
        <v>1037582796.8</v>
      </c>
      <c r="G968">
        <v>0</v>
      </c>
      <c r="L968" t="s">
        <v>8</v>
      </c>
      <c r="M968" t="s">
        <v>8</v>
      </c>
      <c r="N968" t="s">
        <v>8</v>
      </c>
      <c r="P968">
        <f t="shared" si="1019"/>
        <v>-0.35562310030395045</v>
      </c>
      <c r="Q968">
        <f t="shared" si="1020"/>
        <v>-368988411.02005982</v>
      </c>
      <c r="R968">
        <f t="shared" si="1021"/>
        <v>-1042228827.6485927</v>
      </c>
      <c r="S968">
        <f t="shared" si="1022"/>
        <v>-10422.288276485928</v>
      </c>
      <c r="T968">
        <f t="shared" si="1023"/>
        <v>-10.422288276485927</v>
      </c>
    </row>
    <row r="969" spans="1:20" x14ac:dyDescent="0.25">
      <c r="A969" s="5">
        <v>43624</v>
      </c>
      <c r="B969">
        <v>2.4289999999999999E-2</v>
      </c>
      <c r="C969">
        <v>2.6620000000000001E-2</v>
      </c>
      <c r="D969">
        <v>2.3300000000000001E-2</v>
      </c>
      <c r="E969">
        <v>2.5829999999999999E-2</v>
      </c>
      <c r="F969">
        <v>892055754</v>
      </c>
      <c r="G969">
        <v>0</v>
      </c>
      <c r="L969" t="s">
        <v>8</v>
      </c>
      <c r="M969" t="s">
        <v>8</v>
      </c>
      <c r="N969" t="s">
        <v>8</v>
      </c>
      <c r="P969">
        <f t="shared" si="1019"/>
        <v>0.5240963855421672</v>
      </c>
      <c r="Q969">
        <f t="shared" si="1020"/>
        <v>467523196.37349266</v>
      </c>
      <c r="R969">
        <f t="shared" si="1021"/>
        <v>-673240416.62853289</v>
      </c>
      <c r="S969">
        <f t="shared" si="1022"/>
        <v>-6732.4041662853288</v>
      </c>
      <c r="T969">
        <f t="shared" si="1023"/>
        <v>-6.7324041662853285</v>
      </c>
    </row>
    <row r="970" spans="1:20" x14ac:dyDescent="0.25">
      <c r="A970" s="5">
        <v>43623</v>
      </c>
      <c r="B970">
        <v>2.3609999999999999E-2</v>
      </c>
      <c r="C970">
        <v>2.4879999999999999E-2</v>
      </c>
      <c r="D970">
        <v>2.231E-2</v>
      </c>
      <c r="E970">
        <v>2.426E-2</v>
      </c>
      <c r="F970">
        <v>581785344.20000005</v>
      </c>
      <c r="G970">
        <v>0</v>
      </c>
      <c r="L970" t="s">
        <v>7</v>
      </c>
      <c r="M970" t="s">
        <v>8</v>
      </c>
      <c r="N970" t="s">
        <v>8</v>
      </c>
      <c r="P970">
        <f t="shared" si="1019"/>
        <v>0.51750972762645975</v>
      </c>
      <c r="Q970">
        <f t="shared" si="1020"/>
        <v>301079575.01400816</v>
      </c>
      <c r="R970">
        <f t="shared" si="1021"/>
        <v>-1140763613.0020256</v>
      </c>
      <c r="S970">
        <f t="shared" si="1022"/>
        <v>-11407.636130020255</v>
      </c>
      <c r="T970">
        <f t="shared" si="1023"/>
        <v>-11.407636130020256</v>
      </c>
    </row>
    <row r="971" spans="1:20" x14ac:dyDescent="0.25">
      <c r="A971" s="5">
        <v>43622</v>
      </c>
      <c r="B971">
        <v>2.29E-2</v>
      </c>
      <c r="C971">
        <v>2.5139999999999999E-2</v>
      </c>
      <c r="D971">
        <v>2.1499999999999998E-2</v>
      </c>
      <c r="E971">
        <v>2.3609999999999999E-2</v>
      </c>
      <c r="F971">
        <v>1610958057.5999999</v>
      </c>
      <c r="G971">
        <v>0</v>
      </c>
      <c r="L971" t="s">
        <v>8</v>
      </c>
      <c r="M971" t="s">
        <v>8</v>
      </c>
      <c r="N971" t="s">
        <v>8</v>
      </c>
      <c r="P971">
        <f t="shared" si="1019"/>
        <v>0.15934065934065947</v>
      </c>
      <c r="Q971">
        <f t="shared" si="1020"/>
        <v>256691119.06813207</v>
      </c>
      <c r="R971">
        <f t="shared" si="1021"/>
        <v>-1441843188.0160339</v>
      </c>
      <c r="S971">
        <f t="shared" si="1022"/>
        <v>-14418.431880160339</v>
      </c>
      <c r="T971">
        <f t="shared" si="1023"/>
        <v>-14.418431880160339</v>
      </c>
    </row>
    <row r="972" spans="1:20" x14ac:dyDescent="0.25">
      <c r="A972" s="5">
        <v>43621</v>
      </c>
      <c r="B972">
        <v>2.1399999999999999E-2</v>
      </c>
      <c r="C972">
        <v>2.3609999999999999E-2</v>
      </c>
      <c r="D972">
        <v>1.9539999999999998E-2</v>
      </c>
      <c r="E972">
        <v>2.2849999999999999E-2</v>
      </c>
      <c r="F972">
        <v>1684301208.5</v>
      </c>
      <c r="G972">
        <v>0</v>
      </c>
      <c r="L972" t="s">
        <v>8</v>
      </c>
      <c r="M972" t="s">
        <v>8</v>
      </c>
      <c r="N972" t="s">
        <v>7</v>
      </c>
      <c r="P972">
        <f t="shared" si="1019"/>
        <v>0.62653562653562644</v>
      </c>
      <c r="Q972">
        <f t="shared" si="1020"/>
        <v>1055274712.9422603</v>
      </c>
      <c r="R972">
        <f t="shared" si="1021"/>
        <v>-1698534307.084166</v>
      </c>
      <c r="S972">
        <f t="shared" si="1022"/>
        <v>-16985.34307084166</v>
      </c>
      <c r="T972">
        <f t="shared" si="1023"/>
        <v>-16.985343070841658</v>
      </c>
    </row>
    <row r="973" spans="1:20" x14ac:dyDescent="0.25">
      <c r="A973" s="5">
        <v>43620</v>
      </c>
      <c r="B973">
        <v>1.9109999999999999E-2</v>
      </c>
      <c r="C973">
        <v>2.198E-2</v>
      </c>
      <c r="D973">
        <v>1.78E-2</v>
      </c>
      <c r="E973">
        <v>2.1389999999999999E-2</v>
      </c>
      <c r="F973">
        <v>1436021143.0999999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0.71770334928229651</v>
      </c>
      <c r="Q973">
        <f t="shared" si="1020"/>
        <v>1030637184.043062</v>
      </c>
      <c r="R973">
        <f t="shared" si="1021"/>
        <v>-2753809020.0264263</v>
      </c>
      <c r="S973">
        <f t="shared" si="1022"/>
        <v>-27538.090200264262</v>
      </c>
      <c r="T973">
        <f t="shared" si="1023"/>
        <v>-27.538090200264261</v>
      </c>
    </row>
    <row r="974" spans="1:20" x14ac:dyDescent="0.25">
      <c r="A974" s="5">
        <v>43619</v>
      </c>
      <c r="B974">
        <v>2.0119999999999999E-2</v>
      </c>
      <c r="C974">
        <v>2.0990000000000002E-2</v>
      </c>
      <c r="D974">
        <v>1.873E-2</v>
      </c>
      <c r="E974">
        <v>1.9109999999999999E-2</v>
      </c>
      <c r="F974">
        <v>515148781</v>
      </c>
      <c r="G974">
        <v>0</v>
      </c>
      <c r="L974" t="s">
        <v>7</v>
      </c>
      <c r="M974" t="s">
        <v>7</v>
      </c>
      <c r="N974" t="s">
        <v>7</v>
      </c>
      <c r="P974">
        <f t="shared" si="1019"/>
        <v>-0.66371681415929373</v>
      </c>
      <c r="Q974">
        <f t="shared" si="1020"/>
        <v>-341912907.74336368</v>
      </c>
      <c r="R974">
        <f t="shared" si="1021"/>
        <v>-3784446204.0694885</v>
      </c>
      <c r="S974">
        <f t="shared" si="1022"/>
        <v>-37844.462040694889</v>
      </c>
      <c r="T974">
        <f t="shared" si="1023"/>
        <v>-37.844462040694886</v>
      </c>
    </row>
    <row r="975" spans="1:20" x14ac:dyDescent="0.25">
      <c r="A975" s="5">
        <v>43618</v>
      </c>
      <c r="B975">
        <v>2.1069999999999998E-2</v>
      </c>
      <c r="C975">
        <v>2.2210000000000001E-2</v>
      </c>
      <c r="D975">
        <v>1.9609999999999999E-2</v>
      </c>
      <c r="E975">
        <v>2.0119999999999999E-2</v>
      </c>
      <c r="F975">
        <v>514773376.30000001</v>
      </c>
      <c r="G975">
        <v>0</v>
      </c>
      <c r="L975" t="s">
        <v>7</v>
      </c>
      <c r="M975" t="s">
        <v>8</v>
      </c>
      <c r="N975" t="s">
        <v>7</v>
      </c>
      <c r="P975">
        <f t="shared" si="1019"/>
        <v>-0.60769230769230786</v>
      </c>
      <c r="Q975">
        <f t="shared" si="1020"/>
        <v>-312823820.98230779</v>
      </c>
      <c r="R975">
        <f t="shared" si="1021"/>
        <v>-3442533296.3261247</v>
      </c>
      <c r="S975">
        <f t="shared" si="1022"/>
        <v>-34425.332963261244</v>
      </c>
      <c r="T975">
        <f t="shared" si="1023"/>
        <v>-34.425332963261241</v>
      </c>
    </row>
    <row r="976" spans="1:20" x14ac:dyDescent="0.25">
      <c r="A976" s="5">
        <v>43617</v>
      </c>
      <c r="B976">
        <v>2.2159999999999999E-2</v>
      </c>
      <c r="C976">
        <v>2.2890000000000001E-2</v>
      </c>
      <c r="D976">
        <v>2.0670000000000001E-2</v>
      </c>
      <c r="E976">
        <v>2.104E-2</v>
      </c>
      <c r="F976">
        <v>963080818.79999995</v>
      </c>
      <c r="G976">
        <v>0</v>
      </c>
      <c r="L976" t="s">
        <v>7</v>
      </c>
      <c r="M976" t="s">
        <v>8</v>
      </c>
      <c r="N976" t="s">
        <v>7</v>
      </c>
      <c r="P976">
        <f t="shared" si="1019"/>
        <v>-0.66666666666666774</v>
      </c>
      <c r="Q976">
        <f t="shared" si="1020"/>
        <v>-642053879.200001</v>
      </c>
      <c r="R976">
        <f t="shared" si="1021"/>
        <v>-3129709475.3438168</v>
      </c>
      <c r="S976">
        <f t="shared" si="1022"/>
        <v>-31297.094753438167</v>
      </c>
      <c r="T976">
        <f t="shared" si="1023"/>
        <v>-31.297094753438166</v>
      </c>
    </row>
    <row r="977" spans="1:20" x14ac:dyDescent="0.25">
      <c r="A977" s="5">
        <v>43616</v>
      </c>
      <c r="B977">
        <v>1.9720000000000001E-2</v>
      </c>
      <c r="C977">
        <v>2.299E-2</v>
      </c>
      <c r="D977">
        <v>1.9390000000000001E-2</v>
      </c>
      <c r="E977">
        <v>2.2159999999999999E-2</v>
      </c>
      <c r="F977">
        <v>1075501624</v>
      </c>
      <c r="G977">
        <v>0</v>
      </c>
      <c r="L977" t="s">
        <v>8</v>
      </c>
      <c r="M977" t="s">
        <v>8</v>
      </c>
      <c r="N977" t="s">
        <v>7</v>
      </c>
      <c r="P977">
        <f t="shared" si="1019"/>
        <v>0.53888888888888831</v>
      </c>
      <c r="Q977">
        <f t="shared" si="1020"/>
        <v>579575875.15555489</v>
      </c>
      <c r="R977">
        <f t="shared" si="1021"/>
        <v>-2487655596.1438155</v>
      </c>
      <c r="S977">
        <f t="shared" si="1022"/>
        <v>-24876.555961438156</v>
      </c>
      <c r="T977">
        <f t="shared" si="1023"/>
        <v>-24.876555961438157</v>
      </c>
    </row>
    <row r="978" spans="1:20" x14ac:dyDescent="0.25">
      <c r="A978" s="5">
        <v>43615</v>
      </c>
      <c r="B978">
        <v>2.213E-2</v>
      </c>
      <c r="C978">
        <v>2.3300000000000001E-2</v>
      </c>
      <c r="D978">
        <v>1.8239999999999999E-2</v>
      </c>
      <c r="E978">
        <v>1.9720000000000001E-2</v>
      </c>
      <c r="F978">
        <v>1037590833.5</v>
      </c>
      <c r="G978">
        <v>0</v>
      </c>
      <c r="L978" t="s">
        <v>7</v>
      </c>
      <c r="M978" t="s">
        <v>7</v>
      </c>
      <c r="N978" t="s">
        <v>7</v>
      </c>
      <c r="P978">
        <f t="shared" si="1019"/>
        <v>-0.41501976284584918</v>
      </c>
      <c r="Q978">
        <f t="shared" si="1020"/>
        <v>-430620701.65019697</v>
      </c>
      <c r="R978">
        <f t="shared" si="1021"/>
        <v>-3067231471.2993703</v>
      </c>
      <c r="S978">
        <f t="shared" si="1022"/>
        <v>-30672.314712993702</v>
      </c>
      <c r="T978">
        <f t="shared" si="1023"/>
        <v>-30.672314712993703</v>
      </c>
    </row>
    <row r="979" spans="1:20" x14ac:dyDescent="0.25">
      <c r="A979" s="5">
        <v>43614</v>
      </c>
      <c r="B979">
        <v>2.3789999999999999E-2</v>
      </c>
      <c r="C979">
        <v>2.487E-2</v>
      </c>
      <c r="D979">
        <v>2.2069999999999999E-2</v>
      </c>
      <c r="E979">
        <v>2.2120000000000001E-2</v>
      </c>
      <c r="F979">
        <v>860955448.60000002</v>
      </c>
      <c r="G979">
        <v>0</v>
      </c>
      <c r="L979" t="s">
        <v>7</v>
      </c>
      <c r="M979" t="s">
        <v>8</v>
      </c>
      <c r="N979" t="s">
        <v>7</v>
      </c>
      <c r="P979">
        <f t="shared" si="1019"/>
        <v>-0.9642857142857133</v>
      </c>
      <c r="Q979">
        <f t="shared" si="1020"/>
        <v>-830207039.7214278</v>
      </c>
      <c r="R979">
        <f t="shared" si="1021"/>
        <v>-2636610769.6491733</v>
      </c>
      <c r="S979">
        <f t="shared" si="1022"/>
        <v>-26366.107696491734</v>
      </c>
      <c r="T979">
        <f t="shared" si="1023"/>
        <v>-26.366107696491735</v>
      </c>
    </row>
    <row r="980" spans="1:20" x14ac:dyDescent="0.25">
      <c r="A980" s="5">
        <v>43613</v>
      </c>
      <c r="B980">
        <v>2.232E-2</v>
      </c>
      <c r="C980">
        <v>2.5399999999999999E-2</v>
      </c>
      <c r="D980">
        <v>2.102E-2</v>
      </c>
      <c r="E980">
        <v>2.3800000000000002E-2</v>
      </c>
      <c r="F980">
        <v>1527919636.5999999</v>
      </c>
      <c r="G980">
        <v>0</v>
      </c>
      <c r="L980" t="s">
        <v>8</v>
      </c>
      <c r="M980" t="s">
        <v>8</v>
      </c>
      <c r="N980" t="s">
        <v>7</v>
      </c>
      <c r="P980">
        <f t="shared" si="1019"/>
        <v>0.26940639269406491</v>
      </c>
      <c r="Q980">
        <f t="shared" si="1020"/>
        <v>411631317.62283254</v>
      </c>
      <c r="R980">
        <f t="shared" si="1021"/>
        <v>-1806403729.9277456</v>
      </c>
      <c r="S980">
        <f t="shared" si="1022"/>
        <v>-18064.037299277457</v>
      </c>
      <c r="T980">
        <f t="shared" si="1023"/>
        <v>-18.064037299277459</v>
      </c>
    </row>
    <row r="981" spans="1:20" x14ac:dyDescent="0.25">
      <c r="A981" s="5">
        <v>43612</v>
      </c>
      <c r="B981">
        <v>2.4170000000000001E-2</v>
      </c>
      <c r="C981">
        <v>2.478E-2</v>
      </c>
      <c r="D981">
        <v>2.0760000000000001E-2</v>
      </c>
      <c r="E981">
        <v>2.2349999999999998E-2</v>
      </c>
      <c r="F981">
        <v>1191302944.8</v>
      </c>
      <c r="G981">
        <v>0</v>
      </c>
      <c r="L981" t="s">
        <v>7</v>
      </c>
      <c r="M981" t="s">
        <v>7</v>
      </c>
      <c r="N981" t="s">
        <v>7</v>
      </c>
      <c r="P981">
        <f t="shared" si="1019"/>
        <v>-0.20895522388059803</v>
      </c>
      <c r="Q981">
        <f t="shared" si="1020"/>
        <v>-248928973.54029971</v>
      </c>
      <c r="R981">
        <f t="shared" si="1021"/>
        <v>-2218035047.5505781</v>
      </c>
      <c r="S981">
        <f t="shared" si="1022"/>
        <v>-22180.35047550578</v>
      </c>
      <c r="T981">
        <f t="shared" si="1023"/>
        <v>-22.180350475505779</v>
      </c>
    </row>
    <row r="982" spans="1:20" x14ac:dyDescent="0.25">
      <c r="A982" s="5">
        <v>43611</v>
      </c>
      <c r="B982">
        <v>2.4819999999999998E-2</v>
      </c>
      <c r="C982">
        <v>2.725E-2</v>
      </c>
      <c r="D982">
        <v>2.3050000000000001E-2</v>
      </c>
      <c r="E982">
        <v>2.419E-2</v>
      </c>
      <c r="F982">
        <v>1308601539.2</v>
      </c>
      <c r="G982">
        <v>0</v>
      </c>
      <c r="L982" t="s">
        <v>7</v>
      </c>
      <c r="M982" t="s">
        <v>7</v>
      </c>
      <c r="N982" t="s">
        <v>7</v>
      </c>
      <c r="P982">
        <f t="shared" si="1019"/>
        <v>-0.45714285714285763</v>
      </c>
      <c r="Q982">
        <f t="shared" si="1020"/>
        <v>-598217846.49142921</v>
      </c>
      <c r="R982">
        <f t="shared" si="1021"/>
        <v>-1969106074.0102782</v>
      </c>
      <c r="S982">
        <f t="shared" si="1022"/>
        <v>-19691.060740102781</v>
      </c>
      <c r="T982">
        <f t="shared" si="1023"/>
        <v>-19.691060740102781</v>
      </c>
    </row>
    <row r="983" spans="1:20" x14ac:dyDescent="0.25">
      <c r="A983" s="5">
        <v>43610</v>
      </c>
      <c r="B983">
        <v>2.5270000000000001E-2</v>
      </c>
      <c r="C983">
        <v>2.835E-2</v>
      </c>
      <c r="D983">
        <v>2.3019999999999999E-2</v>
      </c>
      <c r="E983">
        <v>2.4750000000000001E-2</v>
      </c>
      <c r="F983">
        <v>2092787378.5999999</v>
      </c>
      <c r="G983">
        <v>0</v>
      </c>
      <c r="L983" t="s">
        <v>8</v>
      </c>
      <c r="M983" t="s">
        <v>8</v>
      </c>
      <c r="N983" t="s">
        <v>7</v>
      </c>
      <c r="P983">
        <f t="shared" si="1019"/>
        <v>-0.35084427767354526</v>
      </c>
      <c r="Q983">
        <f t="shared" si="1020"/>
        <v>-734242476.16922927</v>
      </c>
      <c r="R983">
        <f t="shared" si="1021"/>
        <v>-1370888227.5188491</v>
      </c>
      <c r="S983">
        <f t="shared" si="1022"/>
        <v>-13708.882275188491</v>
      </c>
      <c r="T983">
        <f t="shared" si="1023"/>
        <v>-13.708882275188492</v>
      </c>
    </row>
    <row r="984" spans="1:20" x14ac:dyDescent="0.25">
      <c r="A984" s="5">
        <v>43609</v>
      </c>
      <c r="B984">
        <v>2.7359999999999999E-2</v>
      </c>
      <c r="C984">
        <v>2.87E-2</v>
      </c>
      <c r="D984">
        <v>2.265E-2</v>
      </c>
      <c r="E984">
        <v>2.529E-2</v>
      </c>
      <c r="F984">
        <v>2439816666.4000001</v>
      </c>
      <c r="G984">
        <v>0</v>
      </c>
      <c r="L984" t="s">
        <v>7</v>
      </c>
      <c r="M984" t="s">
        <v>7</v>
      </c>
      <c r="N984" t="s">
        <v>7</v>
      </c>
      <c r="P984">
        <f t="shared" si="1019"/>
        <v>-0.12727272727272726</v>
      </c>
      <c r="Q984">
        <f t="shared" si="1020"/>
        <v>-310522121.17818183</v>
      </c>
      <c r="R984">
        <f t="shared" si="1021"/>
        <v>-636645751.34961987</v>
      </c>
      <c r="S984">
        <f t="shared" si="1022"/>
        <v>-6366.4575134961988</v>
      </c>
      <c r="T984">
        <f t="shared" si="1023"/>
        <v>-6.3664575134961989</v>
      </c>
    </row>
    <row r="985" spans="1:20" x14ac:dyDescent="0.25">
      <c r="A985" s="5">
        <v>43608</v>
      </c>
      <c r="B985">
        <v>2.215E-2</v>
      </c>
      <c r="C985">
        <v>3.4009999999999999E-2</v>
      </c>
      <c r="D985">
        <v>2.1430000000000001E-2</v>
      </c>
      <c r="E985">
        <v>2.7390000000000001E-2</v>
      </c>
      <c r="F985">
        <v>5742350972.3000002</v>
      </c>
      <c r="G985">
        <v>0</v>
      </c>
      <c r="L985" t="s">
        <v>8</v>
      </c>
      <c r="M985" t="s">
        <v>8</v>
      </c>
      <c r="N985" t="s">
        <v>8</v>
      </c>
      <c r="P985">
        <f t="shared" si="1019"/>
        <v>-5.2464228934816975E-2</v>
      </c>
      <c r="Q985">
        <f t="shared" si="1020"/>
        <v>-301268016.03481609</v>
      </c>
      <c r="R985">
        <f t="shared" si="1021"/>
        <v>-326123630.17143804</v>
      </c>
      <c r="S985">
        <f t="shared" si="1022"/>
        <v>-3261.2363017143803</v>
      </c>
      <c r="T985">
        <f t="shared" si="1023"/>
        <v>-3.2612363017143804</v>
      </c>
    </row>
    <row r="986" spans="1:20" x14ac:dyDescent="0.25">
      <c r="A986" s="5">
        <v>43607</v>
      </c>
      <c r="B986">
        <v>2.9499999999999998E-2</v>
      </c>
      <c r="C986">
        <v>3.1699999999999999E-2</v>
      </c>
      <c r="D986">
        <v>2.0500000000000001E-2</v>
      </c>
      <c r="E986">
        <v>2.2089999999999999E-2</v>
      </c>
      <c r="F986">
        <v>4411472529.8999996</v>
      </c>
      <c r="G986">
        <v>0</v>
      </c>
      <c r="L986" t="s">
        <v>7</v>
      </c>
      <c r="M986" t="s">
        <v>7</v>
      </c>
      <c r="N986" t="s">
        <v>7</v>
      </c>
      <c r="P986">
        <f t="shared" si="1019"/>
        <v>-0.71607142857142891</v>
      </c>
      <c r="Q986">
        <f t="shared" si="1020"/>
        <v>-3158929436.5891085</v>
      </c>
      <c r="R986">
        <f t="shared" si="1021"/>
        <v>-24855614.136621952</v>
      </c>
      <c r="S986">
        <f t="shared" si="1022"/>
        <v>-248.55614136621952</v>
      </c>
      <c r="T986">
        <f t="shared" si="1023"/>
        <v>-0.24855614136621951</v>
      </c>
    </row>
    <row r="987" spans="1:20" x14ac:dyDescent="0.25">
      <c r="A987" s="5">
        <v>43606</v>
      </c>
      <c r="B987">
        <v>2.937E-2</v>
      </c>
      <c r="C987">
        <v>4.4999999999999998E-2</v>
      </c>
      <c r="D987">
        <v>2.4379999999999999E-2</v>
      </c>
      <c r="E987">
        <v>2.9530000000000001E-2</v>
      </c>
      <c r="F987">
        <v>7216196145.8999996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-0.50048496605237613</v>
      </c>
      <c r="Q987">
        <f t="shared" si="1020"/>
        <v>-3611597683.1080489</v>
      </c>
      <c r="R987">
        <f t="shared" si="1021"/>
        <v>3134073822.4524865</v>
      </c>
      <c r="S987">
        <f t="shared" si="1022"/>
        <v>31340.738224524866</v>
      </c>
      <c r="T987">
        <f t="shared" si="1023"/>
        <v>31.340738224524866</v>
      </c>
    </row>
    <row r="988" spans="1:20" x14ac:dyDescent="0.25">
      <c r="A988" s="5">
        <v>43605</v>
      </c>
      <c r="B988">
        <v>2.0160000000000001E-2</v>
      </c>
      <c r="C988">
        <v>3.5000000000000003E-2</v>
      </c>
      <c r="D988">
        <v>1.8329999999999999E-2</v>
      </c>
      <c r="E988">
        <v>2.9499999999999998E-2</v>
      </c>
      <c r="F988">
        <v>4959586016</v>
      </c>
      <c r="G988">
        <v>0</v>
      </c>
      <c r="L988" t="s">
        <v>8</v>
      </c>
      <c r="M988" t="s">
        <v>8</v>
      </c>
      <c r="N988" t="s">
        <v>8</v>
      </c>
      <c r="P988">
        <f t="shared" si="1019"/>
        <v>0.34013197360527853</v>
      </c>
      <c r="Q988">
        <f t="shared" si="1020"/>
        <v>1686913779.8872204</v>
      </c>
      <c r="R988">
        <f t="shared" si="1021"/>
        <v>6745671505.5605354</v>
      </c>
      <c r="S988">
        <f t="shared" si="1022"/>
        <v>67456.715055605353</v>
      </c>
      <c r="T988">
        <f t="shared" si="1023"/>
        <v>67.456715055605358</v>
      </c>
    </row>
    <row r="989" spans="1:20" x14ac:dyDescent="0.25">
      <c r="A989" s="5">
        <v>43604</v>
      </c>
      <c r="B989">
        <v>1.235E-2</v>
      </c>
      <c r="C989">
        <v>2.069E-2</v>
      </c>
      <c r="D989">
        <v>1.226E-2</v>
      </c>
      <c r="E989">
        <v>2.018E-2</v>
      </c>
      <c r="F989">
        <v>2909833092.5999999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0.87900355871886116</v>
      </c>
      <c r="Q989">
        <f t="shared" si="1020"/>
        <v>2557753643.6733093</v>
      </c>
      <c r="R989">
        <f t="shared" si="1021"/>
        <v>5058757725.673315</v>
      </c>
      <c r="S989">
        <f t="shared" si="1022"/>
        <v>50587.577256733151</v>
      </c>
      <c r="T989">
        <f t="shared" si="1023"/>
        <v>50.587577256733148</v>
      </c>
    </row>
    <row r="990" spans="1:20" x14ac:dyDescent="0.25">
      <c r="A990" s="5">
        <v>43603</v>
      </c>
      <c r="B990">
        <v>1.456E-2</v>
      </c>
      <c r="C990">
        <v>1.489E-2</v>
      </c>
      <c r="D990">
        <v>1.205E-2</v>
      </c>
      <c r="E990">
        <v>1.235E-2</v>
      </c>
      <c r="F990">
        <v>1670915897.8</v>
      </c>
      <c r="G990">
        <v>0</v>
      </c>
      <c r="L990" t="s">
        <v>7</v>
      </c>
      <c r="M990" t="s">
        <v>7</v>
      </c>
      <c r="N990" t="s">
        <v>8</v>
      </c>
      <c r="P990">
        <f t="shared" si="1019"/>
        <v>-0.78873239436619724</v>
      </c>
      <c r="Q990">
        <f t="shared" si="1020"/>
        <v>-1317905496.856338</v>
      </c>
      <c r="R990">
        <f t="shared" si="1021"/>
        <v>2501004082.0000062</v>
      </c>
      <c r="S990">
        <f t="shared" si="1022"/>
        <v>25010.04082000006</v>
      </c>
      <c r="T990">
        <f t="shared" si="1023"/>
        <v>25.010040820000061</v>
      </c>
    </row>
    <row r="991" spans="1:20" x14ac:dyDescent="0.25">
      <c r="A991" s="5">
        <v>43602</v>
      </c>
      <c r="B991">
        <v>1.086E-2</v>
      </c>
      <c r="C991">
        <v>1.507E-2</v>
      </c>
      <c r="D991">
        <v>9.2099999999999994E-3</v>
      </c>
      <c r="E991">
        <v>1.455E-2</v>
      </c>
      <c r="F991">
        <v>4397262355.6000004</v>
      </c>
      <c r="G991">
        <v>0</v>
      </c>
      <c r="L991" t="s">
        <v>8</v>
      </c>
      <c r="M991" t="s">
        <v>8</v>
      </c>
      <c r="N991" t="s">
        <v>8</v>
      </c>
      <c r="P991">
        <f t="shared" si="1019"/>
        <v>0.82252559726962471</v>
      </c>
      <c r="Q991">
        <f t="shared" si="1020"/>
        <v>3616860845.3911271</v>
      </c>
      <c r="R991">
        <f t="shared" si="1021"/>
        <v>3818909578.8563442</v>
      </c>
      <c r="S991">
        <f t="shared" si="1022"/>
        <v>38189.095788563442</v>
      </c>
      <c r="T991">
        <f t="shared" si="1023"/>
        <v>38.189095788563442</v>
      </c>
    </row>
    <row r="992" spans="1:20" x14ac:dyDescent="0.25">
      <c r="A992" s="5">
        <v>43601</v>
      </c>
      <c r="B992">
        <v>9.5700000000000004E-3</v>
      </c>
      <c r="C992">
        <v>1.205E-2</v>
      </c>
      <c r="D992">
        <v>8.26E-3</v>
      </c>
      <c r="E992">
        <v>1.0869999999999999E-2</v>
      </c>
      <c r="F992">
        <v>2158935027.1999998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0.37730870712401027</v>
      </c>
      <c r="Q992">
        <f t="shared" si="1020"/>
        <v>814584983.87757182</v>
      </c>
      <c r="R992">
        <f t="shared" si="1021"/>
        <v>202048733.46521711</v>
      </c>
      <c r="S992">
        <f t="shared" si="1022"/>
        <v>2020.4873346521711</v>
      </c>
      <c r="T992">
        <f t="shared" si="1023"/>
        <v>2.020487334652171</v>
      </c>
    </row>
    <row r="993" spans="1:20" x14ac:dyDescent="0.25">
      <c r="A993" s="5">
        <v>43600</v>
      </c>
      <c r="B993">
        <v>7.77E-3</v>
      </c>
      <c r="C993">
        <v>0.01</v>
      </c>
      <c r="D993">
        <v>7.0499999999999998E-3</v>
      </c>
      <c r="E993">
        <v>9.5600000000000008E-3</v>
      </c>
      <c r="F993">
        <v>1803273014.2</v>
      </c>
      <c r="G993">
        <v>0</v>
      </c>
      <c r="L993" t="s">
        <v>7</v>
      </c>
      <c r="M993" t="s">
        <v>7</v>
      </c>
      <c r="N993" t="s">
        <v>7</v>
      </c>
      <c r="P993">
        <f t="shared" si="1019"/>
        <v>0.70169491525423777</v>
      </c>
      <c r="Q993">
        <f t="shared" si="1020"/>
        <v>1265347504.879323</v>
      </c>
      <c r="R993">
        <f t="shared" si="1021"/>
        <v>-612536250.41235471</v>
      </c>
      <c r="S993">
        <f t="shared" si="1022"/>
        <v>-6125.3625041235473</v>
      </c>
      <c r="T993">
        <f t="shared" si="1023"/>
        <v>-6.1253625041235473</v>
      </c>
    </row>
    <row r="994" spans="1:20" x14ac:dyDescent="0.25">
      <c r="A994" s="5">
        <v>43599</v>
      </c>
      <c r="B994">
        <v>8.6400000000000001E-3</v>
      </c>
      <c r="C994">
        <v>1.12E-2</v>
      </c>
      <c r="D994">
        <v>7.1799999999999998E-3</v>
      </c>
      <c r="E994">
        <v>7.7999999999999996E-3</v>
      </c>
      <c r="F994">
        <v>3861464345.0999999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-0.691542288557214</v>
      </c>
      <c r="Q994">
        <f t="shared" si="1020"/>
        <v>-2670365890.3925376</v>
      </c>
      <c r="R994">
        <f t="shared" si="1021"/>
        <v>-1877883755.2916777</v>
      </c>
      <c r="S994">
        <f t="shared" si="1022"/>
        <v>-18778.837552916779</v>
      </c>
      <c r="T994">
        <f t="shared" si="1023"/>
        <v>-18.77883755291678</v>
      </c>
    </row>
    <row r="995" spans="1:20" x14ac:dyDescent="0.25">
      <c r="A995" s="5">
        <v>43598</v>
      </c>
      <c r="B995">
        <v>5.2900000000000004E-3</v>
      </c>
      <c r="C995">
        <v>9.1999999999999998E-3</v>
      </c>
      <c r="D995">
        <v>5.1599999999999997E-3</v>
      </c>
      <c r="E995">
        <v>8.6800000000000002E-3</v>
      </c>
      <c r="F995">
        <v>2877309846.0999999</v>
      </c>
      <c r="G995">
        <v>0</v>
      </c>
      <c r="L995" t="s">
        <v>8</v>
      </c>
      <c r="M995" t="s">
        <v>8</v>
      </c>
      <c r="N995" t="s">
        <v>8</v>
      </c>
      <c r="P995">
        <f t="shared" si="1019"/>
        <v>0.74257425742574279</v>
      </c>
      <c r="Q995">
        <f t="shared" si="1020"/>
        <v>2136616222.3514857</v>
      </c>
      <c r="R995">
        <f t="shared" si="1021"/>
        <v>792482135.10085988</v>
      </c>
      <c r="S995">
        <f t="shared" si="1022"/>
        <v>7924.8213510085989</v>
      </c>
      <c r="T995">
        <f t="shared" si="1023"/>
        <v>7.9248213510085987</v>
      </c>
    </row>
    <row r="996" spans="1:20" x14ac:dyDescent="0.25">
      <c r="A996" s="5">
        <v>43597</v>
      </c>
      <c r="B996">
        <v>4.62E-3</v>
      </c>
      <c r="C996">
        <v>5.7200000000000003E-3</v>
      </c>
      <c r="D996">
        <v>4.4400000000000004E-3</v>
      </c>
      <c r="E996">
        <v>5.3E-3</v>
      </c>
      <c r="F996">
        <v>1166562752.9000001</v>
      </c>
      <c r="G996">
        <v>0</v>
      </c>
      <c r="L996" t="s">
        <v>8</v>
      </c>
      <c r="M996" t="s">
        <v>8</v>
      </c>
      <c r="N996" t="s">
        <v>8</v>
      </c>
      <c r="P996">
        <f t="shared" si="1019"/>
        <v>0.34374999999999956</v>
      </c>
      <c r="Q996">
        <f t="shared" si="1020"/>
        <v>401005946.30937451</v>
      </c>
      <c r="R996">
        <f t="shared" si="1021"/>
        <v>-1344134087.2506258</v>
      </c>
      <c r="S996">
        <f t="shared" si="1022"/>
        <v>-13441.340872506258</v>
      </c>
      <c r="T996">
        <f t="shared" si="1023"/>
        <v>-13.441340872506258</v>
      </c>
    </row>
    <row r="997" spans="1:20" x14ac:dyDescent="0.25">
      <c r="A997" s="5">
        <v>43596</v>
      </c>
      <c r="B997">
        <v>3.79E-3</v>
      </c>
      <c r="C997">
        <v>5.0499999999999998E-3</v>
      </c>
      <c r="D997">
        <v>3.7100000000000002E-3</v>
      </c>
      <c r="E997">
        <v>4.5999999999999999E-3</v>
      </c>
      <c r="F997">
        <v>688249967.79999995</v>
      </c>
      <c r="G997">
        <v>0</v>
      </c>
      <c r="L997" t="s">
        <v>8</v>
      </c>
      <c r="M997" t="s">
        <v>8</v>
      </c>
      <c r="N997" t="s">
        <v>8</v>
      </c>
      <c r="P997">
        <f t="shared" si="1019"/>
        <v>0.32835820895522388</v>
      </c>
      <c r="Q997">
        <f t="shared" si="1020"/>
        <v>225992526.74029848</v>
      </c>
      <c r="R997">
        <f t="shared" si="1021"/>
        <v>-1745140033.5600004</v>
      </c>
      <c r="S997">
        <f t="shared" si="1022"/>
        <v>-17451.400335600003</v>
      </c>
      <c r="T997">
        <f t="shared" si="1023"/>
        <v>-17.451400335600002</v>
      </c>
    </row>
    <row r="998" spans="1:20" x14ac:dyDescent="0.25">
      <c r="A998" s="5">
        <v>43595</v>
      </c>
      <c r="B998">
        <v>3.13E-3</v>
      </c>
      <c r="C998">
        <v>3.8800000000000002E-3</v>
      </c>
      <c r="D998">
        <v>3.1199999999999999E-3</v>
      </c>
      <c r="E998">
        <v>3.7799999999999999E-3</v>
      </c>
      <c r="F998">
        <v>408703745.60000002</v>
      </c>
      <c r="G998">
        <v>0</v>
      </c>
      <c r="L998" t="s">
        <v>8</v>
      </c>
      <c r="M998" t="s">
        <v>8</v>
      </c>
      <c r="N998" t="s">
        <v>7</v>
      </c>
      <c r="P998">
        <f t="shared" si="1019"/>
        <v>0.7368421052631573</v>
      </c>
      <c r="Q998">
        <f t="shared" si="1020"/>
        <v>301150128.33684188</v>
      </c>
      <c r="R998">
        <f t="shared" si="1021"/>
        <v>-1971132560.3002989</v>
      </c>
      <c r="S998">
        <f t="shared" si="1022"/>
        <v>-19711.325603002988</v>
      </c>
      <c r="T998">
        <f t="shared" si="1023"/>
        <v>-19.711325603002987</v>
      </c>
    </row>
    <row r="999" spans="1:20" x14ac:dyDescent="0.25">
      <c r="A999" s="5">
        <v>43594</v>
      </c>
      <c r="B999">
        <v>3.3600000000000001E-3</v>
      </c>
      <c r="C999">
        <v>3.4099999999999998E-3</v>
      </c>
      <c r="D999">
        <v>3.0300000000000001E-3</v>
      </c>
      <c r="E999">
        <v>3.14E-3</v>
      </c>
      <c r="F999">
        <v>211829251.90000001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-0.42105263157894768</v>
      </c>
      <c r="Q999">
        <f t="shared" si="1020"/>
        <v>-89191263.957894802</v>
      </c>
      <c r="R999">
        <f t="shared" si="1021"/>
        <v>-2272282688.6371408</v>
      </c>
      <c r="S999">
        <f t="shared" si="1022"/>
        <v>-22722.826886371407</v>
      </c>
      <c r="T999">
        <f t="shared" si="1023"/>
        <v>-22.722826886371408</v>
      </c>
    </row>
    <row r="1000" spans="1:20" x14ac:dyDescent="0.25">
      <c r="A1000" s="5">
        <v>43593</v>
      </c>
      <c r="B1000">
        <v>3.3500000000000001E-3</v>
      </c>
      <c r="C1000">
        <v>3.48E-3</v>
      </c>
      <c r="D1000">
        <v>3.2799999999999999E-3</v>
      </c>
      <c r="E1000">
        <v>3.3300000000000001E-3</v>
      </c>
      <c r="F1000">
        <v>154227974.59999999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-0.49999999999999889</v>
      </c>
      <c r="Q1000">
        <f t="shared" si="1020"/>
        <v>-77113987.299999833</v>
      </c>
      <c r="R1000">
        <f t="shared" si="1021"/>
        <v>-2183091424.6792459</v>
      </c>
      <c r="S1000">
        <f t="shared" si="1022"/>
        <v>-21830.914246792461</v>
      </c>
      <c r="T1000">
        <f t="shared" si="1023"/>
        <v>-21.83091424679246</v>
      </c>
    </row>
    <row r="1001" spans="1:20" x14ac:dyDescent="0.25">
      <c r="A1001" s="5">
        <v>43592</v>
      </c>
      <c r="B1001">
        <v>3.7399999999999998E-3</v>
      </c>
      <c r="C1001">
        <v>3.8500000000000001E-3</v>
      </c>
      <c r="D1001">
        <v>3.3300000000000001E-3</v>
      </c>
      <c r="E1001">
        <v>3.3600000000000001E-3</v>
      </c>
      <c r="F1001">
        <v>172934704.90000001</v>
      </c>
      <c r="G1001">
        <v>0</v>
      </c>
      <c r="L1001" t="s">
        <v>7</v>
      </c>
      <c r="M1001" t="s">
        <v>7</v>
      </c>
      <c r="N1001" t="s">
        <v>7</v>
      </c>
      <c r="P1001">
        <f t="shared" si="1019"/>
        <v>-0.88461538461538436</v>
      </c>
      <c r="Q1001">
        <f t="shared" si="1020"/>
        <v>-152980700.48846149</v>
      </c>
      <c r="R1001">
        <f t="shared" si="1021"/>
        <v>-2105977437.379246</v>
      </c>
      <c r="S1001">
        <f t="shared" si="1022"/>
        <v>-21059.774373792461</v>
      </c>
      <c r="T1001">
        <f t="shared" si="1023"/>
        <v>-21.059774373792461</v>
      </c>
    </row>
    <row r="1002" spans="1:20" x14ac:dyDescent="0.25">
      <c r="A1002" s="5">
        <v>43591</v>
      </c>
      <c r="B1002">
        <v>3.7100000000000002E-3</v>
      </c>
      <c r="C1002">
        <v>3.9199999999999999E-3</v>
      </c>
      <c r="D1002">
        <v>3.5000000000000001E-3</v>
      </c>
      <c r="E1002">
        <v>3.7299999999999998E-3</v>
      </c>
      <c r="F1002">
        <v>270695596.39999998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9.5238095238094497E-2</v>
      </c>
      <c r="Q1002">
        <f t="shared" si="1020"/>
        <v>25780532.990475986</v>
      </c>
      <c r="R1002">
        <f t="shared" si="1021"/>
        <v>-1952996736.8907845</v>
      </c>
      <c r="S1002">
        <f t="shared" si="1022"/>
        <v>-19529.967368907845</v>
      </c>
      <c r="T1002">
        <f t="shared" si="1023"/>
        <v>-19.529967368907844</v>
      </c>
    </row>
    <row r="1003" spans="1:20" x14ac:dyDescent="0.25">
      <c r="A1003" s="5">
        <v>43590</v>
      </c>
      <c r="B1003">
        <v>3.96E-3</v>
      </c>
      <c r="C1003">
        <v>4.0600000000000002E-3</v>
      </c>
      <c r="D1003">
        <v>3.5899999999999999E-3</v>
      </c>
      <c r="E1003">
        <v>3.7200000000000002E-3</v>
      </c>
      <c r="F1003">
        <v>161357630.80000001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-0.44680851063829685</v>
      </c>
      <c r="Q1003">
        <f t="shared" si="1020"/>
        <v>-72095962.697872177</v>
      </c>
      <c r="R1003">
        <f t="shared" si="1021"/>
        <v>-1978777269.8812604</v>
      </c>
      <c r="S1003">
        <f t="shared" si="1022"/>
        <v>-19787.772698812605</v>
      </c>
      <c r="T1003">
        <f t="shared" si="1023"/>
        <v>-19.787772698812606</v>
      </c>
    </row>
    <row r="1004" spans="1:20" x14ac:dyDescent="0.25">
      <c r="A1004" s="5">
        <v>43589</v>
      </c>
      <c r="B1004">
        <v>4.2300000000000003E-3</v>
      </c>
      <c r="C1004">
        <v>4.2500000000000003E-3</v>
      </c>
      <c r="D1004">
        <v>3.81E-3</v>
      </c>
      <c r="E1004">
        <v>3.9699999999999996E-3</v>
      </c>
      <c r="F1004">
        <v>151436176.59999999</v>
      </c>
      <c r="G1004">
        <v>0</v>
      </c>
      <c r="L1004" t="s">
        <v>7</v>
      </c>
      <c r="M1004" t="s">
        <v>7</v>
      </c>
      <c r="N1004" t="s">
        <v>8</v>
      </c>
      <c r="P1004">
        <f t="shared" si="1019"/>
        <v>-0.27272727272727526</v>
      </c>
      <c r="Q1004">
        <f t="shared" si="1020"/>
        <v>-41300775.436364017</v>
      </c>
      <c r="R1004">
        <f t="shared" si="1021"/>
        <v>-1906681307.1833882</v>
      </c>
      <c r="S1004">
        <f t="shared" si="1022"/>
        <v>-19066.813071833883</v>
      </c>
      <c r="T1004">
        <f t="shared" si="1023"/>
        <v>-19.066813071833884</v>
      </c>
    </row>
    <row r="1005" spans="1:20" x14ac:dyDescent="0.25">
      <c r="A1005" s="5">
        <v>43588</v>
      </c>
      <c r="B1005">
        <v>4.1900000000000001E-3</v>
      </c>
      <c r="C1005">
        <v>4.4000000000000003E-3</v>
      </c>
      <c r="D1005">
        <v>3.9399999999999999E-3</v>
      </c>
      <c r="E1005">
        <v>4.2300000000000003E-3</v>
      </c>
      <c r="F1005">
        <v>279265819.69999999</v>
      </c>
      <c r="G1005">
        <v>0</v>
      </c>
      <c r="L1005" t="s">
        <v>7</v>
      </c>
      <c r="M1005" t="s">
        <v>7</v>
      </c>
      <c r="N1005" t="s">
        <v>8</v>
      </c>
      <c r="P1005">
        <f t="shared" si="1019"/>
        <v>0.2608695652173918</v>
      </c>
      <c r="Q1005">
        <f t="shared" si="1020"/>
        <v>72851952.965217531</v>
      </c>
      <c r="R1005">
        <f t="shared" si="1021"/>
        <v>-1865380531.7470243</v>
      </c>
      <c r="S1005">
        <f t="shared" si="1022"/>
        <v>-18653.805317470244</v>
      </c>
      <c r="T1005">
        <f t="shared" si="1023"/>
        <v>-18.653805317470244</v>
      </c>
    </row>
    <row r="1006" spans="1:20" x14ac:dyDescent="0.25">
      <c r="A1006" s="5">
        <v>43587</v>
      </c>
      <c r="B1006">
        <v>4.3200000000000001E-3</v>
      </c>
      <c r="C1006">
        <v>4.6800000000000001E-3</v>
      </c>
      <c r="D1006">
        <v>4.1000000000000003E-3</v>
      </c>
      <c r="E1006">
        <v>4.1900000000000001E-3</v>
      </c>
      <c r="F1006">
        <v>270118878.80000001</v>
      </c>
      <c r="G1006">
        <v>0</v>
      </c>
      <c r="L1006" t="s">
        <v>8</v>
      </c>
      <c r="M1006" t="s">
        <v>8</v>
      </c>
      <c r="N1006" t="s">
        <v>8</v>
      </c>
      <c r="P1006">
        <f t="shared" si="1019"/>
        <v>-0.6896551724137937</v>
      </c>
      <c r="Q1006">
        <f t="shared" si="1020"/>
        <v>-186288881.93103465</v>
      </c>
      <c r="R1006">
        <f t="shared" si="1021"/>
        <v>-1938232484.7122419</v>
      </c>
      <c r="S1006">
        <f t="shared" si="1022"/>
        <v>-19382.324847122418</v>
      </c>
      <c r="T1006">
        <f t="shared" si="1023"/>
        <v>-19.382324847122419</v>
      </c>
    </row>
    <row r="1007" spans="1:20" x14ac:dyDescent="0.25">
      <c r="A1007" s="5">
        <v>43586</v>
      </c>
      <c r="B1007">
        <v>4.4200000000000003E-3</v>
      </c>
      <c r="C1007">
        <v>4.64E-3</v>
      </c>
      <c r="D1007">
        <v>4.0200000000000001E-3</v>
      </c>
      <c r="E1007">
        <v>4.3200000000000001E-3</v>
      </c>
      <c r="F1007">
        <v>650430750</v>
      </c>
      <c r="G1007">
        <v>0</v>
      </c>
      <c r="L1007" t="s">
        <v>7</v>
      </c>
      <c r="M1007" t="s">
        <v>7</v>
      </c>
      <c r="N1007" t="s">
        <v>8</v>
      </c>
      <c r="P1007">
        <f t="shared" si="1019"/>
        <v>-3.2258064516129122E-2</v>
      </c>
      <c r="Q1007">
        <f t="shared" si="1020"/>
        <v>-20981637.09677425</v>
      </c>
      <c r="R1007">
        <f t="shared" si="1021"/>
        <v>-1751943602.7812073</v>
      </c>
      <c r="S1007">
        <f t="shared" si="1022"/>
        <v>-17519.436027812073</v>
      </c>
      <c r="T1007">
        <f t="shared" si="1023"/>
        <v>-17.519436027812073</v>
      </c>
    </row>
    <row r="1008" spans="1:20" x14ac:dyDescent="0.25">
      <c r="A1008" s="5">
        <v>43585</v>
      </c>
      <c r="B1008">
        <v>3.46E-3</v>
      </c>
      <c r="C1008">
        <v>5.1599999999999997E-3</v>
      </c>
      <c r="D1008">
        <v>3.46E-3</v>
      </c>
      <c r="E1008">
        <v>4.4200000000000003E-3</v>
      </c>
      <c r="F1008">
        <v>1165706893.8</v>
      </c>
      <c r="G1008">
        <v>0</v>
      </c>
      <c r="L1008" t="s">
        <v>8</v>
      </c>
      <c r="M1008" t="s">
        <v>8</v>
      </c>
      <c r="N1008" t="s">
        <v>8</v>
      </c>
      <c r="P1008">
        <f t="shared" si="1019"/>
        <v>0.12941176470588298</v>
      </c>
      <c r="Q1008">
        <f t="shared" si="1020"/>
        <v>150856186.25647131</v>
      </c>
      <c r="R1008">
        <f t="shared" si="1021"/>
        <v>-1730961965.684433</v>
      </c>
      <c r="S1008">
        <f t="shared" si="1022"/>
        <v>-17309.61965684433</v>
      </c>
      <c r="T1008">
        <f t="shared" si="1023"/>
        <v>-17.30961965684433</v>
      </c>
    </row>
    <row r="1009" spans="1:20" x14ac:dyDescent="0.25">
      <c r="A1009" s="5">
        <v>43584</v>
      </c>
      <c r="B1009">
        <v>4.4200000000000003E-3</v>
      </c>
      <c r="C1009">
        <v>4.5599999999999998E-3</v>
      </c>
      <c r="D1009">
        <v>3.4299999999999999E-3</v>
      </c>
      <c r="E1009">
        <v>3.47E-3</v>
      </c>
      <c r="F1009">
        <v>520557584.60000002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-0.92920353982300863</v>
      </c>
      <c r="Q1009">
        <f t="shared" si="1020"/>
        <v>-483703950.29203528</v>
      </c>
      <c r="R1009">
        <f t="shared" si="1021"/>
        <v>-1881818151.9409044</v>
      </c>
      <c r="S1009">
        <f t="shared" si="1022"/>
        <v>-18818.181519409045</v>
      </c>
      <c r="T1009">
        <f t="shared" si="1023"/>
        <v>-18.818181519409045</v>
      </c>
    </row>
    <row r="1010" spans="1:20" x14ac:dyDescent="0.25">
      <c r="A1010" s="5">
        <v>43583</v>
      </c>
      <c r="B1010">
        <v>5.2100000000000002E-3</v>
      </c>
      <c r="C1010">
        <v>5.2700000000000004E-3</v>
      </c>
      <c r="D1010">
        <v>4.3400000000000001E-3</v>
      </c>
      <c r="E1010">
        <v>4.4200000000000003E-3</v>
      </c>
      <c r="F1010">
        <v>457183971.5</v>
      </c>
      <c r="G1010">
        <v>0</v>
      </c>
      <c r="L1010" t="s">
        <v>7</v>
      </c>
      <c r="M1010" t="s">
        <v>7</v>
      </c>
      <c r="N1010" t="s">
        <v>7</v>
      </c>
      <c r="P1010">
        <f t="shared" si="1019"/>
        <v>-0.82795698924731143</v>
      </c>
      <c r="Q1010">
        <f t="shared" si="1020"/>
        <v>-378528664.57526863</v>
      </c>
      <c r="R1010">
        <f t="shared" si="1021"/>
        <v>-1398114201.648869</v>
      </c>
      <c r="S1010">
        <f t="shared" si="1022"/>
        <v>-13981.142016488689</v>
      </c>
      <c r="T1010">
        <f t="shared" si="1023"/>
        <v>-13.98114201648869</v>
      </c>
    </row>
    <row r="1011" spans="1:20" x14ac:dyDescent="0.25">
      <c r="A1011" s="5">
        <v>43582</v>
      </c>
      <c r="B1011">
        <v>5.4299999999999999E-3</v>
      </c>
      <c r="C1011">
        <v>5.8599999999999998E-3</v>
      </c>
      <c r="D1011">
        <v>5.1599999999999997E-3</v>
      </c>
      <c r="E1011">
        <v>5.2100000000000002E-3</v>
      </c>
      <c r="F1011">
        <v>440339020</v>
      </c>
      <c r="G1011">
        <v>0</v>
      </c>
      <c r="L1011" t="s">
        <v>7</v>
      </c>
      <c r="M1011" t="s">
        <v>7</v>
      </c>
      <c r="N1011" t="s">
        <v>7</v>
      </c>
      <c r="P1011">
        <f t="shared" si="1019"/>
        <v>-0.85714285714285554</v>
      </c>
      <c r="Q1011">
        <f t="shared" si="1020"/>
        <v>-377433445.71428502</v>
      </c>
      <c r="R1011">
        <f t="shared" si="1021"/>
        <v>-1019585537.0736005</v>
      </c>
      <c r="S1011">
        <f t="shared" si="1022"/>
        <v>-10195.855370736006</v>
      </c>
      <c r="T1011">
        <f t="shared" si="1023"/>
        <v>-10.195855370736005</v>
      </c>
    </row>
    <row r="1012" spans="1:20" x14ac:dyDescent="0.25">
      <c r="A1012" s="5">
        <v>43581</v>
      </c>
      <c r="B1012">
        <v>2.63E-3</v>
      </c>
      <c r="C1012">
        <v>1.052E-2</v>
      </c>
      <c r="D1012">
        <v>2.63E-3</v>
      </c>
      <c r="E1012">
        <v>5.45E-3</v>
      </c>
      <c r="F1012">
        <v>2251813333.6999998</v>
      </c>
      <c r="G1012">
        <v>0</v>
      </c>
      <c r="P1012">
        <f t="shared" si="1019"/>
        <v>-0.28517110266159695</v>
      </c>
      <c r="Q1012">
        <f t="shared" si="1020"/>
        <v>-642152091.35931551</v>
      </c>
      <c r="R1012">
        <f t="shared" si="1021"/>
        <v>-642152091.35931551</v>
      </c>
      <c r="S1012">
        <f t="shared" si="1022"/>
        <v>-6421.5209135931555</v>
      </c>
      <c r="T1012">
        <f t="shared" si="1023"/>
        <v>-6.421520913593155</v>
      </c>
    </row>
    <row r="1013" spans="1:20" x14ac:dyDescent="0.25">
      <c r="A1013" s="5"/>
      <c r="C1013"/>
      <c r="D1013"/>
    </row>
    <row r="1014" spans="1:20" x14ac:dyDescent="0.25">
      <c r="A1014" s="5"/>
      <c r="C1014"/>
      <c r="D1014"/>
    </row>
    <row r="1015" spans="1:20" x14ac:dyDescent="0.25">
      <c r="A1015" s="5"/>
      <c r="C1015"/>
      <c r="D1015"/>
    </row>
    <row r="1016" spans="1:20" x14ac:dyDescent="0.25">
      <c r="A1016" s="5"/>
      <c r="C1016"/>
      <c r="D1016"/>
    </row>
    <row r="1017" spans="1:20" x14ac:dyDescent="0.25">
      <c r="A1017" s="5"/>
      <c r="C1017"/>
      <c r="D1017"/>
    </row>
    <row r="1018" spans="1:20" x14ac:dyDescent="0.25">
      <c r="A1018" s="5"/>
      <c r="C1018"/>
      <c r="D1018"/>
    </row>
    <row r="1019" spans="1:20" x14ac:dyDescent="0.25">
      <c r="A1019" s="5"/>
      <c r="C1019"/>
      <c r="D1019"/>
    </row>
    <row r="1020" spans="1:20" x14ac:dyDescent="0.25">
      <c r="A1020" s="5"/>
      <c r="C1020"/>
      <c r="D1020"/>
    </row>
    <row r="1021" spans="1:20" x14ac:dyDescent="0.25">
      <c r="A1021" s="5"/>
      <c r="C1021"/>
      <c r="D1021"/>
    </row>
    <row r="1022" spans="1:20" x14ac:dyDescent="0.25">
      <c r="A1022" s="5"/>
      <c r="C1022"/>
      <c r="D1022"/>
    </row>
    <row r="1023" spans="1:20" x14ac:dyDescent="0.25">
      <c r="A1023" s="5"/>
      <c r="C1023"/>
      <c r="D1023"/>
    </row>
    <row r="1024" spans="1:20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RV565" sqref="RV56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$A$564</v>
      </c>
      <c r="D111" s="1" t="str">
        <f>ADDRESS(C121-1,D121,1,1)</f>
        <v>$RV$564</v>
      </c>
      <c r="E111"/>
    </row>
    <row r="112" spans="1:5" x14ac:dyDescent="0.25">
      <c r="A112" s="7">
        <v>12164.144957890772</v>
      </c>
      <c r="C112" s="1" t="str">
        <f>ADDRESS(C121,1,1,1)</f>
        <v>$A$565</v>
      </c>
      <c r="D112" s="1" t="str">
        <f>ADDRESS(C121,D121-1,1,1)</f>
        <v>$RU$565</v>
      </c>
      <c r="E112"/>
    </row>
    <row r="113" spans="1:5" x14ac:dyDescent="0.25">
      <c r="A113" s="7">
        <v>11925.63231165762</v>
      </c>
      <c r="C113" s="1" t="str">
        <f>ADDRESS(C121+1,1,1,1)</f>
        <v>$A$566</v>
      </c>
      <c r="D113" s="1" t="str">
        <f>ADDRESS(C121-1,D121+1,1,1)</f>
        <v>$RW$564</v>
      </c>
    </row>
    <row r="114" spans="1:5" x14ac:dyDescent="0.25">
      <c r="A114" s="7">
        <v>11691.796383978059</v>
      </c>
      <c r="C114" s="1" t="str">
        <f>ADDRESS(C121,D121,1,1)</f>
        <v>$RV$565</v>
      </c>
      <c r="D114" s="1" t="str">
        <f>ADDRESS(C121+1,D121+1,1,1)</f>
        <v>$RW$566</v>
      </c>
    </row>
    <row r="115" spans="1:5" x14ac:dyDescent="0.25">
      <c r="A115" s="7">
        <v>11462.545474488292</v>
      </c>
      <c r="C115" s="1" t="str">
        <f>ADDRESS(C121+1,D121,1,1)</f>
        <v>$RV$566</v>
      </c>
    </row>
    <row r="116" spans="1:5" x14ac:dyDescent="0.25">
      <c r="A116" s="7">
        <v>11237.789680870874</v>
      </c>
      <c r="C116" s="1">
        <f>C117-1</f>
        <v>564</v>
      </c>
    </row>
    <row r="117" spans="1:5" x14ac:dyDescent="0.25">
      <c r="A117" s="7">
        <v>11017.440863598895</v>
      </c>
      <c r="C117" s="1">
        <f>C121</f>
        <v>565</v>
      </c>
      <c r="D117" s="1">
        <f>D121</f>
        <v>490</v>
      </c>
    </row>
    <row r="118" spans="1:5" x14ac:dyDescent="0.25">
      <c r="A118" s="7">
        <v>10801.412611371465</v>
      </c>
      <c r="C118" s="1">
        <f>C117+1</f>
        <v>566</v>
      </c>
      <c r="D118" s="1">
        <f>D117+1</f>
        <v>491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565</v>
      </c>
      <c r="D121" s="19">
        <v>490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R565</v>
      </c>
      <c r="D123" s="1" t="str">
        <f>"C"&amp;D121</f>
        <v>C490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1.5459796707758806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 t="s">
        <v>34</v>
      </c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486" x14ac:dyDescent="0.25">
      <c r="A529" s="7">
        <v>3.1536243640574906</v>
      </c>
      <c r="B529"/>
      <c r="C529"/>
      <c r="D529"/>
      <c r="E529"/>
    </row>
    <row r="530" spans="1:486" x14ac:dyDescent="0.25">
      <c r="A530" s="7">
        <v>3.0917885922132262</v>
      </c>
      <c r="B530"/>
      <c r="C530"/>
      <c r="D530"/>
      <c r="E530"/>
    </row>
    <row r="531" spans="1:486" x14ac:dyDescent="0.25">
      <c r="A531" s="7">
        <v>3.0311652864835552</v>
      </c>
      <c r="B531"/>
      <c r="C531"/>
      <c r="D531"/>
      <c r="E531"/>
    </row>
    <row r="532" spans="1:486" x14ac:dyDescent="0.25">
      <c r="A532" s="7">
        <v>2.9717306730230932</v>
      </c>
      <c r="B532"/>
      <c r="C532"/>
      <c r="D532"/>
      <c r="E532"/>
    </row>
    <row r="533" spans="1:486" x14ac:dyDescent="0.25">
      <c r="A533" s="7">
        <v>2.9134614441402875</v>
      </c>
      <c r="B533"/>
      <c r="C533"/>
      <c r="D533"/>
      <c r="E533"/>
      <c r="RG533" s="27" t="s">
        <v>8</v>
      </c>
    </row>
    <row r="534" spans="1:486" x14ac:dyDescent="0.25">
      <c r="A534" s="7">
        <v>2.8563347491571447</v>
      </c>
      <c r="B534"/>
      <c r="C534"/>
      <c r="D534"/>
      <c r="E534"/>
      <c r="RG534" s="27" t="s">
        <v>8</v>
      </c>
      <c r="RH534" s="27" t="s">
        <v>7</v>
      </c>
    </row>
    <row r="535" spans="1:486" x14ac:dyDescent="0.25">
      <c r="A535" s="7">
        <v>2.8003281854481812</v>
      </c>
      <c r="B535"/>
      <c r="C535"/>
      <c r="D535"/>
      <c r="E535"/>
      <c r="RG535" s="27" t="s">
        <v>8</v>
      </c>
      <c r="RH535" s="27" t="s">
        <v>7</v>
      </c>
    </row>
    <row r="536" spans="1:486" x14ac:dyDescent="0.25">
      <c r="A536" s="7">
        <v>2.7454197896550796</v>
      </c>
      <c r="B536"/>
      <c r="C536"/>
      <c r="D536"/>
      <c r="E536"/>
      <c r="RG536" s="27" t="s">
        <v>8</v>
      </c>
      <c r="RH536" s="27" t="s">
        <v>7</v>
      </c>
    </row>
    <row r="537" spans="1:486" x14ac:dyDescent="0.25">
      <c r="A537" s="7">
        <v>2.6915880290736074</v>
      </c>
      <c r="B537"/>
      <c r="C537"/>
      <c r="D537"/>
      <c r="E537"/>
      <c r="NC537" s="27" t="s">
        <v>8</v>
      </c>
      <c r="RE537" s="27" t="s">
        <v>8</v>
      </c>
      <c r="RG537" s="27" t="s">
        <v>8</v>
      </c>
      <c r="RH537" s="27" t="s">
        <v>7</v>
      </c>
    </row>
    <row r="538" spans="1:486" x14ac:dyDescent="0.25">
      <c r="A538" s="7">
        <v>2.6388117932094191</v>
      </c>
      <c r="B538"/>
      <c r="C538"/>
      <c r="D538"/>
      <c r="E538"/>
      <c r="NC538" s="27" t="s">
        <v>8</v>
      </c>
      <c r="ND538" s="27" t="s">
        <v>7</v>
      </c>
      <c r="RE538" s="27" t="s">
        <v>8</v>
      </c>
      <c r="RF538" s="27" t="s">
        <v>7</v>
      </c>
      <c r="RG538" s="27" t="s">
        <v>8</v>
      </c>
      <c r="RH538" s="27" t="s">
        <v>7</v>
      </c>
      <c r="RI538" s="27" t="s">
        <v>8</v>
      </c>
    </row>
    <row r="539" spans="1:486" x14ac:dyDescent="0.25">
      <c r="A539" s="7">
        <v>2.5870703854994304</v>
      </c>
      <c r="B539"/>
      <c r="C539"/>
      <c r="D539"/>
      <c r="E539"/>
      <c r="NC539" s="27" t="s">
        <v>8</v>
      </c>
      <c r="ND539" s="27" t="s">
        <v>7</v>
      </c>
      <c r="RE539" s="27" t="s">
        <v>8</v>
      </c>
      <c r="RF539" s="27" t="s">
        <v>7</v>
      </c>
      <c r="RG539" s="27" t="s">
        <v>8</v>
      </c>
      <c r="RH539" s="27" t="s">
        <v>7</v>
      </c>
      <c r="RI539" s="27" t="s">
        <v>8</v>
      </c>
      <c r="RJ539" s="27" t="s">
        <v>7</v>
      </c>
    </row>
    <row r="540" spans="1:486" x14ac:dyDescent="0.25">
      <c r="A540" s="7">
        <v>2.53634351519552</v>
      </c>
      <c r="B540"/>
      <c r="C540"/>
      <c r="D540"/>
      <c r="E540"/>
      <c r="NC540" s="27" t="s">
        <v>8</v>
      </c>
      <c r="ND540" s="27" t="s">
        <v>7</v>
      </c>
      <c r="QY540" s="27" t="s">
        <v>8</v>
      </c>
      <c r="RE540" s="27" t="s">
        <v>8</v>
      </c>
      <c r="RF540" s="27" t="s">
        <v>7</v>
      </c>
      <c r="RG540" s="27" t="s">
        <v>8</v>
      </c>
      <c r="RH540" s="27" t="s">
        <v>7</v>
      </c>
      <c r="RI540" s="27" t="s">
        <v>8</v>
      </c>
      <c r="RJ540" s="27" t="s">
        <v>7</v>
      </c>
    </row>
    <row r="541" spans="1:486" x14ac:dyDescent="0.25">
      <c r="A541" s="7">
        <v>2.4866112894073726</v>
      </c>
      <c r="B541"/>
      <c r="C541"/>
      <c r="D541"/>
      <c r="E541"/>
      <c r="NC541" s="27" t="s">
        <v>8</v>
      </c>
      <c r="ND541" s="27" t="s">
        <v>7</v>
      </c>
      <c r="QY541" s="27" t="s">
        <v>8</v>
      </c>
      <c r="QZ541" s="27" t="s">
        <v>7</v>
      </c>
      <c r="RE541" s="27" t="s">
        <v>8</v>
      </c>
      <c r="RF541" s="27" t="s">
        <v>7</v>
      </c>
      <c r="RG541" s="27" t="s">
        <v>8</v>
      </c>
      <c r="RH541" s="27" t="s">
        <v>7</v>
      </c>
      <c r="RI541" s="27" t="s">
        <v>8</v>
      </c>
      <c r="RJ541" s="27" t="s">
        <v>7</v>
      </c>
    </row>
    <row r="542" spans="1:486" x14ac:dyDescent="0.25">
      <c r="A542" s="7">
        <v>2.4378542053013459</v>
      </c>
      <c r="B542"/>
      <c r="C542"/>
      <c r="D542"/>
      <c r="E542"/>
      <c r="NC542" s="27" t="s">
        <v>8</v>
      </c>
      <c r="ND542" s="27" t="s">
        <v>7</v>
      </c>
      <c r="NI542" s="27" t="s">
        <v>8</v>
      </c>
      <c r="QY542" s="27" t="s">
        <v>8</v>
      </c>
      <c r="QZ542" s="27" t="s">
        <v>7</v>
      </c>
      <c r="RE542" s="27" t="s">
        <v>8</v>
      </c>
      <c r="RF542" s="27" t="s">
        <v>7</v>
      </c>
      <c r="RH542" s="27" t="s">
        <v>7</v>
      </c>
      <c r="RJ542" s="27" t="s">
        <v>7</v>
      </c>
      <c r="RO542" s="27" t="s">
        <v>8</v>
      </c>
      <c r="RQ542" s="27" t="s">
        <v>8</v>
      </c>
    </row>
    <row r="543" spans="1:486" x14ac:dyDescent="0.25">
      <c r="A543" s="7">
        <v>2.3900531424522997</v>
      </c>
      <c r="B543"/>
      <c r="C543"/>
      <c r="D543"/>
      <c r="E543"/>
      <c r="NC543" s="27" t="s">
        <v>8</v>
      </c>
      <c r="ND543" s="27" t="s">
        <v>7</v>
      </c>
      <c r="NI543" s="27" t="s">
        <v>8</v>
      </c>
      <c r="NJ543" s="27" t="s">
        <v>7</v>
      </c>
      <c r="QW543" s="27" t="s">
        <v>8</v>
      </c>
      <c r="QY543" s="27" t="s">
        <v>8</v>
      </c>
      <c r="QZ543" s="27" t="s">
        <v>7</v>
      </c>
      <c r="RE543" s="27" t="s">
        <v>8</v>
      </c>
      <c r="RJ543" s="27" t="s">
        <v>7</v>
      </c>
      <c r="RO543" s="27" t="s">
        <v>8</v>
      </c>
      <c r="RP543" s="27" t="s">
        <v>7</v>
      </c>
      <c r="RQ543" s="27" t="s">
        <v>8</v>
      </c>
      <c r="RR543" s="27" t="s">
        <v>7</v>
      </c>
    </row>
    <row r="544" spans="1:486" x14ac:dyDescent="0.25">
      <c r="A544" s="7">
        <v>2.343189355345392</v>
      </c>
      <c r="B544"/>
      <c r="C544"/>
      <c r="D544"/>
      <c r="E544"/>
      <c r="NC544" s="27" t="s">
        <v>8</v>
      </c>
      <c r="ND544" s="27" t="s">
        <v>7</v>
      </c>
      <c r="NI544" s="27" t="s">
        <v>8</v>
      </c>
      <c r="NJ544" s="27" t="s">
        <v>7</v>
      </c>
      <c r="QW544" s="27" t="s">
        <v>8</v>
      </c>
      <c r="QX544" s="27" t="s">
        <v>7</v>
      </c>
      <c r="QY544" s="27" t="s">
        <v>8</v>
      </c>
      <c r="QZ544" s="27" t="s">
        <v>7</v>
      </c>
      <c r="RE544" s="27" t="s">
        <v>8</v>
      </c>
      <c r="RJ544" s="27" t="s">
        <v>7</v>
      </c>
      <c r="RO544" s="27" t="s">
        <v>8</v>
      </c>
      <c r="RP544" s="27" t="s">
        <v>7</v>
      </c>
      <c r="RQ544" s="27" t="s">
        <v>8</v>
      </c>
      <c r="RR544" s="27" t="s">
        <v>7</v>
      </c>
    </row>
    <row r="545" spans="1:490" x14ac:dyDescent="0.25">
      <c r="A545" s="7">
        <v>2.2972444660248938</v>
      </c>
      <c r="B545"/>
      <c r="C545"/>
      <c r="D545"/>
      <c r="E545"/>
      <c r="NC545" s="27" t="s">
        <v>8</v>
      </c>
      <c r="ND545" s="27" t="s">
        <v>7</v>
      </c>
      <c r="NI545" s="27" t="s">
        <v>8</v>
      </c>
      <c r="NJ545" s="27" t="s">
        <v>7</v>
      </c>
      <c r="QW545" s="27" t="s">
        <v>8</v>
      </c>
      <c r="QX545" s="27" t="s">
        <v>7</v>
      </c>
      <c r="QY545" s="27" t="s">
        <v>8</v>
      </c>
      <c r="QZ545" s="27" t="s">
        <v>7</v>
      </c>
      <c r="RE545" s="27" t="s">
        <v>8</v>
      </c>
      <c r="RJ545" s="27" t="s">
        <v>7</v>
      </c>
      <c r="RK545" s="27" t="s">
        <v>8</v>
      </c>
      <c r="RO545" s="27" t="s">
        <v>8</v>
      </c>
      <c r="RP545" s="27" t="s">
        <v>7</v>
      </c>
      <c r="RQ545" s="27" t="s">
        <v>8</v>
      </c>
      <c r="RR545" s="27" t="s">
        <v>7</v>
      </c>
    </row>
    <row r="546" spans="1:490" x14ac:dyDescent="0.25">
      <c r="A546" s="7">
        <v>2.252200456887151</v>
      </c>
      <c r="B546"/>
      <c r="C546"/>
      <c r="D546"/>
      <c r="E546"/>
      <c r="NC546" s="27" t="s">
        <v>8</v>
      </c>
      <c r="ND546" s="27" t="s">
        <v>7</v>
      </c>
      <c r="NI546" s="27" t="s">
        <v>8</v>
      </c>
      <c r="NJ546" s="27" t="s">
        <v>7</v>
      </c>
      <c r="QW546" s="27" t="s">
        <v>8</v>
      </c>
      <c r="QX546" s="27" t="s">
        <v>7</v>
      </c>
      <c r="QY546" s="27" t="s">
        <v>8</v>
      </c>
      <c r="QZ546" s="27" t="s">
        <v>7</v>
      </c>
      <c r="RC546" s="27" t="s">
        <v>8</v>
      </c>
      <c r="RE546" s="27" t="s">
        <v>8</v>
      </c>
      <c r="RJ546" s="27" t="s">
        <v>7</v>
      </c>
      <c r="RK546" s="27" t="s">
        <v>8</v>
      </c>
      <c r="RL546" s="27" t="s">
        <v>7</v>
      </c>
      <c r="RO546" s="27" t="s">
        <v>8</v>
      </c>
      <c r="RP546" s="27" t="s">
        <v>7</v>
      </c>
      <c r="RQ546" s="27" t="s">
        <v>8</v>
      </c>
      <c r="RR546" s="27" t="s">
        <v>7</v>
      </c>
    </row>
    <row r="547" spans="1:490" x14ac:dyDescent="0.25">
      <c r="A547" s="7">
        <v>2.208039663614854</v>
      </c>
      <c r="B547"/>
      <c r="C547"/>
      <c r="D547"/>
      <c r="E547"/>
      <c r="NC547" s="27" t="s">
        <v>8</v>
      </c>
      <c r="ND547" s="27" t="s">
        <v>7</v>
      </c>
      <c r="NI547" s="27" t="s">
        <v>8</v>
      </c>
      <c r="NJ547" s="27" t="s">
        <v>7</v>
      </c>
      <c r="QG547" s="27" t="s">
        <v>8</v>
      </c>
      <c r="QW547" s="27" t="s">
        <v>8</v>
      </c>
      <c r="QX547" s="27" t="s">
        <v>7</v>
      </c>
      <c r="QY547" s="27" t="s">
        <v>8</v>
      </c>
      <c r="QZ547" s="27" t="s">
        <v>7</v>
      </c>
      <c r="RA547" s="27" t="s">
        <v>8</v>
      </c>
      <c r="RC547" s="27" t="s">
        <v>8</v>
      </c>
      <c r="RD547" s="27" t="s">
        <v>7</v>
      </c>
      <c r="RE547" s="27" t="s">
        <v>8</v>
      </c>
      <c r="RJ547" s="27" t="s">
        <v>7</v>
      </c>
      <c r="RK547" s="27" t="s">
        <v>8</v>
      </c>
      <c r="RL547" s="27" t="s">
        <v>7</v>
      </c>
      <c r="RO547" s="27" t="s">
        <v>8</v>
      </c>
      <c r="RP547" s="27" t="s">
        <v>7</v>
      </c>
      <c r="RR547" s="27" t="s">
        <v>7</v>
      </c>
    </row>
    <row r="548" spans="1:490" x14ac:dyDescent="0.25">
      <c r="A548" s="7">
        <v>2.1647447682498568</v>
      </c>
      <c r="B548"/>
      <c r="C548"/>
      <c r="D548"/>
      <c r="E548"/>
      <c r="NC548" s="27" t="s">
        <v>8</v>
      </c>
      <c r="ND548" s="27" t="s">
        <v>7</v>
      </c>
      <c r="NE548" s="27" t="s">
        <v>8</v>
      </c>
      <c r="NI548" s="27" t="s">
        <v>8</v>
      </c>
      <c r="NJ548" s="27" t="s">
        <v>7</v>
      </c>
      <c r="QG548" s="27" t="s">
        <v>8</v>
      </c>
      <c r="QH548" s="27" t="s">
        <v>7</v>
      </c>
      <c r="QW548" s="27" t="s">
        <v>8</v>
      </c>
      <c r="QX548" s="27" t="s">
        <v>7</v>
      </c>
      <c r="QY548" s="27" t="s">
        <v>8</v>
      </c>
      <c r="QZ548" s="27" t="s">
        <v>7</v>
      </c>
      <c r="RA548" s="27" t="s">
        <v>8</v>
      </c>
      <c r="RB548" s="27" t="s">
        <v>7</v>
      </c>
      <c r="RC548" s="27" t="s">
        <v>8</v>
      </c>
      <c r="RD548" s="27" t="s">
        <v>7</v>
      </c>
      <c r="RE548" s="27" t="s">
        <v>8</v>
      </c>
      <c r="RJ548" s="27" t="s">
        <v>7</v>
      </c>
      <c r="RK548" s="27" t="s">
        <v>8</v>
      </c>
      <c r="RL548" s="27" t="s">
        <v>7</v>
      </c>
      <c r="RM548" s="27" t="s">
        <v>8</v>
      </c>
      <c r="RO548" s="27" t="s">
        <v>8</v>
      </c>
      <c r="RR548" s="27" t="s">
        <v>7</v>
      </c>
    </row>
    <row r="549" spans="1:490" x14ac:dyDescent="0.25">
      <c r="A549" s="7">
        <v>2.1222987924018204</v>
      </c>
      <c r="B549"/>
      <c r="C549"/>
      <c r="D549"/>
      <c r="E549"/>
      <c r="NC549" s="27" t="s">
        <v>8</v>
      </c>
      <c r="ND549" s="27" t="s">
        <v>7</v>
      </c>
      <c r="NE549" s="27" t="s">
        <v>8</v>
      </c>
      <c r="NF549" s="27" t="s">
        <v>7</v>
      </c>
      <c r="NI549" s="27" t="s">
        <v>8</v>
      </c>
      <c r="NJ549" s="27" t="s">
        <v>7</v>
      </c>
      <c r="QG549" s="27" t="s">
        <v>8</v>
      </c>
      <c r="QH549" s="27" t="s">
        <v>7</v>
      </c>
      <c r="QI549" s="27" t="s">
        <v>8</v>
      </c>
      <c r="QW549" s="27" t="s">
        <v>8</v>
      </c>
      <c r="QX549" s="27" t="s">
        <v>7</v>
      </c>
      <c r="QY549" s="27" t="s">
        <v>8</v>
      </c>
      <c r="QZ549" s="27" t="s">
        <v>7</v>
      </c>
      <c r="RA549" s="27" t="s">
        <v>8</v>
      </c>
      <c r="RB549" s="27" t="s">
        <v>7</v>
      </c>
      <c r="RC549" s="27" t="s">
        <v>8</v>
      </c>
      <c r="RD549" s="27" t="s">
        <v>7</v>
      </c>
      <c r="RE549" s="27" t="s">
        <v>8</v>
      </c>
      <c r="RJ549" s="27" t="s">
        <v>7</v>
      </c>
      <c r="RK549" s="27" t="s">
        <v>8</v>
      </c>
      <c r="RL549" s="27" t="s">
        <v>7</v>
      </c>
      <c r="RM549" s="27" t="s">
        <v>8</v>
      </c>
      <c r="RN549" s="27" t="s">
        <v>7</v>
      </c>
      <c r="RO549" s="27" t="s">
        <v>8</v>
      </c>
      <c r="RR549" s="27" t="s">
        <v>7</v>
      </c>
    </row>
    <row r="550" spans="1:490" x14ac:dyDescent="0.25">
      <c r="A550" s="7">
        <v>2.0806850905900198</v>
      </c>
      <c r="B550"/>
      <c r="C550"/>
      <c r="D550"/>
      <c r="E550"/>
      <c r="NC550" s="27" t="s">
        <v>8</v>
      </c>
      <c r="ND550" s="27" t="s">
        <v>7</v>
      </c>
      <c r="NE550" s="27" t="s">
        <v>8</v>
      </c>
      <c r="NF550" s="27" t="s">
        <v>7</v>
      </c>
      <c r="NI550" s="27" t="s">
        <v>8</v>
      </c>
      <c r="NJ550" s="27" t="s">
        <v>7</v>
      </c>
      <c r="QG550" s="27" t="s">
        <v>8</v>
      </c>
      <c r="QH550" s="27" t="s">
        <v>7</v>
      </c>
      <c r="QI550" s="27" t="s">
        <v>8</v>
      </c>
      <c r="QJ550" s="27" t="s">
        <v>7</v>
      </c>
      <c r="QW550" s="27" t="s">
        <v>8</v>
      </c>
      <c r="QX550" s="27" t="s">
        <v>7</v>
      </c>
      <c r="QY550" s="27" t="s">
        <v>8</v>
      </c>
      <c r="QZ550" s="27" t="s">
        <v>7</v>
      </c>
      <c r="RA550" s="27" t="s">
        <v>8</v>
      </c>
      <c r="RB550" s="27" t="s">
        <v>7</v>
      </c>
      <c r="RC550" s="27" t="s">
        <v>8</v>
      </c>
      <c r="RD550" s="27" t="s">
        <v>7</v>
      </c>
      <c r="RJ550" s="27" t="s">
        <v>7</v>
      </c>
      <c r="RK550" s="27" t="s">
        <v>8</v>
      </c>
      <c r="RL550" s="27" t="s">
        <v>7</v>
      </c>
      <c r="RM550" s="27" t="s">
        <v>8</v>
      </c>
      <c r="RN550" s="27" t="s">
        <v>7</v>
      </c>
      <c r="RO550" s="27" t="s">
        <v>8</v>
      </c>
      <c r="RR550" s="27" t="s">
        <v>7</v>
      </c>
    </row>
    <row r="551" spans="1:490" x14ac:dyDescent="0.25">
      <c r="A551" s="7">
        <v>2.0398873437157055</v>
      </c>
      <c r="B551"/>
      <c r="C551"/>
      <c r="D551"/>
      <c r="E551"/>
      <c r="NC551" s="27" t="s">
        <v>8</v>
      </c>
      <c r="ND551" s="27" t="s">
        <v>7</v>
      </c>
      <c r="NE551" s="27" t="s">
        <v>8</v>
      </c>
      <c r="NF551" s="27" t="s">
        <v>7</v>
      </c>
      <c r="NI551" s="27" t="s">
        <v>8</v>
      </c>
      <c r="NJ551" s="27" t="s">
        <v>7</v>
      </c>
      <c r="QG551" s="27" t="s">
        <v>8</v>
      </c>
      <c r="QH551" s="27" t="s">
        <v>7</v>
      </c>
      <c r="QI551" s="27" t="s">
        <v>8</v>
      </c>
      <c r="QJ551" s="27" t="s">
        <v>7</v>
      </c>
      <c r="QW551" s="27" t="s">
        <v>8</v>
      </c>
      <c r="QX551" s="27" t="s">
        <v>7</v>
      </c>
      <c r="QY551" s="27" t="s">
        <v>8</v>
      </c>
      <c r="QZ551" s="27" t="s">
        <v>7</v>
      </c>
      <c r="RA551" s="27" t="s">
        <v>8</v>
      </c>
      <c r="RB551" s="27" t="s">
        <v>7</v>
      </c>
      <c r="RC551" s="27" t="s">
        <v>8</v>
      </c>
      <c r="RJ551" s="27" t="s">
        <v>7</v>
      </c>
      <c r="RL551" s="27" t="s">
        <v>7</v>
      </c>
      <c r="RM551" s="27" t="s">
        <v>8</v>
      </c>
      <c r="RN551" s="27" t="s">
        <v>7</v>
      </c>
      <c r="RO551" s="27" t="s">
        <v>8</v>
      </c>
      <c r="RR551" s="27" t="s">
        <v>7</v>
      </c>
    </row>
    <row r="552" spans="1:490" x14ac:dyDescent="0.25">
      <c r="A552" s="7">
        <v>1.9998895526624565</v>
      </c>
      <c r="B552"/>
      <c r="C552"/>
      <c r="D552"/>
      <c r="E552"/>
      <c r="NC552" s="27" t="s">
        <v>8</v>
      </c>
      <c r="ND552" s="27" t="s">
        <v>7</v>
      </c>
      <c r="NE552" s="27" t="s">
        <v>8</v>
      </c>
      <c r="NF552" s="27" t="s">
        <v>7</v>
      </c>
      <c r="NI552" s="27" t="s">
        <v>8</v>
      </c>
      <c r="NJ552" s="27" t="s">
        <v>7</v>
      </c>
      <c r="QG552" s="27" t="s">
        <v>8</v>
      </c>
      <c r="QH552" s="27" t="s">
        <v>7</v>
      </c>
      <c r="QI552" s="27" t="s">
        <v>8</v>
      </c>
      <c r="QJ552" s="27" t="s">
        <v>7</v>
      </c>
      <c r="QW552" s="27" t="s">
        <v>8</v>
      </c>
      <c r="QX552" s="27" t="s">
        <v>7</v>
      </c>
      <c r="QY552" s="27" t="s">
        <v>8</v>
      </c>
      <c r="QZ552" s="27" t="s">
        <v>7</v>
      </c>
      <c r="RA552" s="27" t="s">
        <v>8</v>
      </c>
      <c r="RB552" s="27" t="s">
        <v>7</v>
      </c>
      <c r="RC552" s="27" t="s">
        <v>8</v>
      </c>
      <c r="RL552" s="27" t="s">
        <v>7</v>
      </c>
      <c r="RM552" s="27" t="s">
        <v>8</v>
      </c>
      <c r="RN552" s="27" t="s">
        <v>7</v>
      </c>
      <c r="RO552" s="27" t="s">
        <v>8</v>
      </c>
      <c r="RR552" s="27" t="s">
        <v>7</v>
      </c>
    </row>
    <row r="553" spans="1:490" x14ac:dyDescent="0.25">
      <c r="A553" s="7">
        <v>1.9606760320220162</v>
      </c>
      <c r="B553"/>
      <c r="C553"/>
      <c r="D553"/>
      <c r="E553"/>
      <c r="NC553" s="27" t="s">
        <v>8</v>
      </c>
      <c r="ND553" s="27" t="s">
        <v>7</v>
      </c>
      <c r="NE553" s="27" t="s">
        <v>8</v>
      </c>
      <c r="NF553" s="27" t="s">
        <v>7</v>
      </c>
      <c r="NG553" s="27" t="s">
        <v>8</v>
      </c>
      <c r="NI553" s="27" t="s">
        <v>8</v>
      </c>
      <c r="NJ553" s="27" t="s">
        <v>7</v>
      </c>
      <c r="NK553" s="27" t="s">
        <v>8</v>
      </c>
      <c r="NM553" s="27" t="s">
        <v>8</v>
      </c>
      <c r="QG553" s="27" t="s">
        <v>8</v>
      </c>
      <c r="QH553" s="27" t="s">
        <v>7</v>
      </c>
      <c r="QI553" s="27" t="s">
        <v>8</v>
      </c>
      <c r="QJ553" s="27" t="s">
        <v>7</v>
      </c>
      <c r="QU553" s="27" t="s">
        <v>8</v>
      </c>
      <c r="QW553" s="27" t="s">
        <v>8</v>
      </c>
      <c r="QX553" s="27" t="s">
        <v>7</v>
      </c>
      <c r="QY553" s="27" t="s">
        <v>8</v>
      </c>
      <c r="QZ553" s="27" t="s">
        <v>7</v>
      </c>
      <c r="RA553" s="27" t="s">
        <v>8</v>
      </c>
      <c r="RB553" s="27" t="s">
        <v>7</v>
      </c>
      <c r="RL553" s="27" t="s">
        <v>7</v>
      </c>
      <c r="RM553" s="27" t="s">
        <v>8</v>
      </c>
      <c r="RN553" s="27" t="s">
        <v>7</v>
      </c>
      <c r="RO553" s="27" t="s">
        <v>8</v>
      </c>
      <c r="RR553" s="27" t="s">
        <v>7</v>
      </c>
    </row>
    <row r="554" spans="1:490" x14ac:dyDescent="0.25">
      <c r="A554" s="7">
        <v>1.9222314039431532</v>
      </c>
      <c r="B554"/>
      <c r="C554"/>
      <c r="D554"/>
      <c r="E554"/>
      <c r="NC554" s="27" t="s">
        <v>8</v>
      </c>
      <c r="ND554" s="27" t="s">
        <v>7</v>
      </c>
      <c r="NE554" s="27" t="s">
        <v>8</v>
      </c>
      <c r="NF554" s="27" t="s">
        <v>7</v>
      </c>
      <c r="NG554" s="27" t="s">
        <v>8</v>
      </c>
      <c r="NH554" s="27" t="s">
        <v>7</v>
      </c>
      <c r="NI554" s="27" t="s">
        <v>8</v>
      </c>
      <c r="NJ554" s="27" t="s">
        <v>7</v>
      </c>
      <c r="NK554" s="27" t="s">
        <v>8</v>
      </c>
      <c r="NL554" s="27" t="s">
        <v>7</v>
      </c>
      <c r="NM554" s="27" t="s">
        <v>8</v>
      </c>
      <c r="NN554" s="27" t="s">
        <v>7</v>
      </c>
      <c r="QG554" s="27" t="s">
        <v>8</v>
      </c>
      <c r="QH554" s="27" t="s">
        <v>7</v>
      </c>
      <c r="QI554" s="27" t="s">
        <v>8</v>
      </c>
      <c r="QJ554" s="27" t="s">
        <v>7</v>
      </c>
      <c r="QK554" s="27" t="s">
        <v>8</v>
      </c>
      <c r="QU554" s="27" t="s">
        <v>8</v>
      </c>
      <c r="QV554" s="27" t="s">
        <v>7</v>
      </c>
      <c r="QW554" s="27" t="s">
        <v>8</v>
      </c>
      <c r="QX554" s="27" t="s">
        <v>7</v>
      </c>
      <c r="QY554" s="27" t="s">
        <v>8</v>
      </c>
      <c r="QZ554" s="27" t="s">
        <v>7</v>
      </c>
      <c r="RA554" s="27" t="s">
        <v>8</v>
      </c>
      <c r="RL554" s="27" t="s">
        <v>7</v>
      </c>
      <c r="RN554" s="27" t="s">
        <v>7</v>
      </c>
      <c r="RR554" s="27" t="s">
        <v>7</v>
      </c>
    </row>
    <row r="555" spans="1:490" x14ac:dyDescent="0.25">
      <c r="A555" s="7">
        <v>1.8845405921011305</v>
      </c>
      <c r="B555"/>
      <c r="C555"/>
      <c r="D555"/>
      <c r="E555"/>
      <c r="NA555" s="27" t="s">
        <v>8</v>
      </c>
      <c r="NC555" s="27" t="s">
        <v>8</v>
      </c>
      <c r="ND555" s="27" t="s">
        <v>7</v>
      </c>
      <c r="NE555" s="27" t="s">
        <v>8</v>
      </c>
      <c r="NF555" s="27" t="s">
        <v>7</v>
      </c>
      <c r="NG555" s="27" t="s">
        <v>8</v>
      </c>
      <c r="NH555" s="27" t="s">
        <v>7</v>
      </c>
      <c r="NI555" s="27" t="s">
        <v>8</v>
      </c>
      <c r="NJ555" s="27" t="s">
        <v>7</v>
      </c>
      <c r="NK555" s="27" t="s">
        <v>8</v>
      </c>
      <c r="NL555" s="27" t="s">
        <v>7</v>
      </c>
      <c r="NM555" s="27" t="s">
        <v>8</v>
      </c>
      <c r="NN555" s="27" t="s">
        <v>7</v>
      </c>
      <c r="NO555" s="27" t="s">
        <v>8</v>
      </c>
      <c r="QG555" s="27" t="s">
        <v>8</v>
      </c>
      <c r="QH555" s="27" t="s">
        <v>7</v>
      </c>
      <c r="QI555" s="27" t="s">
        <v>8</v>
      </c>
      <c r="QJ555" s="27" t="s">
        <v>7</v>
      </c>
      <c r="QK555" s="27" t="s">
        <v>8</v>
      </c>
      <c r="QL555" s="27" t="s">
        <v>7</v>
      </c>
      <c r="QU555" s="27" t="s">
        <v>8</v>
      </c>
      <c r="QV555" s="27" t="s">
        <v>7</v>
      </c>
      <c r="QW555" s="27" t="s">
        <v>8</v>
      </c>
      <c r="QX555" s="27" t="s">
        <v>7</v>
      </c>
      <c r="QY555" s="27" t="s">
        <v>8</v>
      </c>
      <c r="QZ555" s="27" t="s">
        <v>7</v>
      </c>
      <c r="RA555" s="27" t="s">
        <v>8</v>
      </c>
      <c r="RR555" s="27" t="s">
        <v>7</v>
      </c>
    </row>
    <row r="556" spans="1:490" x14ac:dyDescent="0.25">
      <c r="A556" s="7">
        <v>1.8475888157854219</v>
      </c>
      <c r="B556"/>
      <c r="C556"/>
      <c r="D556"/>
      <c r="E556"/>
      <c r="NA556" s="27" t="s">
        <v>8</v>
      </c>
      <c r="NB556" s="27" t="s">
        <v>7</v>
      </c>
      <c r="NC556" s="27" t="s">
        <v>8</v>
      </c>
      <c r="ND556" s="27" t="s">
        <v>7</v>
      </c>
      <c r="NE556" s="27" t="s">
        <v>8</v>
      </c>
      <c r="NF556" s="27" t="s">
        <v>7</v>
      </c>
      <c r="NG556" s="27" t="s">
        <v>8</v>
      </c>
      <c r="NH556" s="27" t="s">
        <v>7</v>
      </c>
      <c r="NI556" s="27" t="s">
        <v>8</v>
      </c>
      <c r="NJ556" s="27" t="s">
        <v>7</v>
      </c>
      <c r="NK556" s="27" t="s">
        <v>8</v>
      </c>
      <c r="NL556" s="27" t="s">
        <v>7</v>
      </c>
      <c r="NM556" s="27" t="s">
        <v>8</v>
      </c>
      <c r="NN556" s="27" t="s">
        <v>7</v>
      </c>
      <c r="NO556" s="27" t="s">
        <v>8</v>
      </c>
      <c r="NP556" s="27" t="s">
        <v>7</v>
      </c>
      <c r="QG556" s="27" t="s">
        <v>8</v>
      </c>
      <c r="QH556" s="27" t="s">
        <v>7</v>
      </c>
      <c r="QI556" s="27" t="s">
        <v>8</v>
      </c>
      <c r="QJ556" s="27" t="s">
        <v>7</v>
      </c>
      <c r="QK556" s="27" t="s">
        <v>8</v>
      </c>
      <c r="QL556" s="27" t="s">
        <v>7</v>
      </c>
      <c r="QU556" s="27" t="s">
        <v>8</v>
      </c>
      <c r="QV556" s="27" t="s">
        <v>7</v>
      </c>
      <c r="QW556" s="27" t="s">
        <v>8</v>
      </c>
      <c r="QX556" s="27" t="s">
        <v>7</v>
      </c>
      <c r="QY556" s="27" t="s">
        <v>8</v>
      </c>
      <c r="QZ556" s="27" t="s">
        <v>7</v>
      </c>
      <c r="RA556" s="27" t="s">
        <v>8</v>
      </c>
      <c r="RR556" s="27" t="s">
        <v>7</v>
      </c>
    </row>
    <row r="557" spans="1:490" x14ac:dyDescent="0.25">
      <c r="A557" s="7">
        <v>1.8113615841033548</v>
      </c>
      <c r="B557"/>
      <c r="C557"/>
      <c r="D557"/>
      <c r="E557"/>
      <c r="NA557" s="27" t="s">
        <v>8</v>
      </c>
      <c r="NB557" s="27" t="s">
        <v>7</v>
      </c>
      <c r="NC557" s="27" t="s">
        <v>8</v>
      </c>
      <c r="ND557" s="27" t="s">
        <v>7</v>
      </c>
      <c r="NE557" s="27" t="s">
        <v>8</v>
      </c>
      <c r="NF557" s="27" t="s">
        <v>7</v>
      </c>
      <c r="NG557" s="27" t="s">
        <v>8</v>
      </c>
      <c r="NH557" s="27" t="s">
        <v>7</v>
      </c>
      <c r="NI557" s="27" t="s">
        <v>8</v>
      </c>
      <c r="NJ557" s="27" t="s">
        <v>7</v>
      </c>
      <c r="NK557" s="27" t="s">
        <v>8</v>
      </c>
      <c r="NL557" s="27" t="s">
        <v>7</v>
      </c>
      <c r="NM557" s="27" t="s">
        <v>8</v>
      </c>
      <c r="NN557" s="27" t="s">
        <v>7</v>
      </c>
      <c r="NO557" s="27" t="s">
        <v>8</v>
      </c>
      <c r="NP557" s="27" t="s">
        <v>7</v>
      </c>
      <c r="QG557" s="27" t="s">
        <v>8</v>
      </c>
      <c r="QH557" s="27" t="s">
        <v>7</v>
      </c>
      <c r="QJ557" s="27" t="s">
        <v>7</v>
      </c>
      <c r="QL557" s="27" t="s">
        <v>7</v>
      </c>
      <c r="QU557" s="27" t="s">
        <v>8</v>
      </c>
      <c r="QV557" s="27" t="s">
        <v>7</v>
      </c>
      <c r="QW557" s="27" t="s">
        <v>8</v>
      </c>
      <c r="QX557" s="27" t="s">
        <v>7</v>
      </c>
      <c r="QY557" s="27" t="s">
        <v>8</v>
      </c>
      <c r="QZ557" s="27" t="s">
        <v>7</v>
      </c>
      <c r="RA557" s="27" t="s">
        <v>8</v>
      </c>
      <c r="RR557" s="27" t="s">
        <v>7</v>
      </c>
      <c r="RU557" s="27" t="s">
        <v>8</v>
      </c>
    </row>
    <row r="558" spans="1:490" x14ac:dyDescent="0.25">
      <c r="A558" s="7">
        <v>1.7758446902974065</v>
      </c>
      <c r="B558"/>
      <c r="C558"/>
      <c r="D558"/>
      <c r="E558"/>
      <c r="NA558" s="27" t="s">
        <v>8</v>
      </c>
      <c r="NB558" s="27" t="s">
        <v>7</v>
      </c>
      <c r="NC558" s="27" t="s">
        <v>8</v>
      </c>
      <c r="ND558" s="27" t="s">
        <v>7</v>
      </c>
      <c r="NE558" s="27" t="s">
        <v>8</v>
      </c>
      <c r="NF558" s="27" t="s">
        <v>7</v>
      </c>
      <c r="NG558" s="27" t="s">
        <v>8</v>
      </c>
      <c r="NH558" s="27" t="s">
        <v>7</v>
      </c>
      <c r="NI558" s="27" t="s">
        <v>8</v>
      </c>
      <c r="NJ558" s="27" t="s">
        <v>7</v>
      </c>
      <c r="NK558" s="27" t="s">
        <v>8</v>
      </c>
      <c r="NL558" s="27" t="s">
        <v>7</v>
      </c>
      <c r="NN558" s="27" t="s">
        <v>7</v>
      </c>
      <c r="NP558" s="27" t="s">
        <v>7</v>
      </c>
      <c r="PG558" s="27" t="s">
        <v>8</v>
      </c>
      <c r="QG558" s="27" t="s">
        <v>8</v>
      </c>
      <c r="QL558" s="27" t="s">
        <v>7</v>
      </c>
      <c r="QM558" s="27" t="s">
        <v>8</v>
      </c>
      <c r="QU558" s="27" t="s">
        <v>8</v>
      </c>
      <c r="QV558" s="27" t="s">
        <v>7</v>
      </c>
      <c r="QW558" s="27" t="s">
        <v>8</v>
      </c>
      <c r="QX558" s="27" t="s">
        <v>7</v>
      </c>
      <c r="QY558" s="27" t="s">
        <v>8</v>
      </c>
      <c r="QZ558" s="27" t="s">
        <v>7</v>
      </c>
      <c r="RA558" s="27" t="s">
        <v>8</v>
      </c>
      <c r="RR558" s="27" t="s">
        <v>7</v>
      </c>
      <c r="RU558" s="27" t="s">
        <v>8</v>
      </c>
      <c r="RV558" s="27" t="s">
        <v>7</v>
      </c>
    </row>
    <row r="559" spans="1:490" x14ac:dyDescent="0.25">
      <c r="A559" s="7">
        <v>1.7410242061739281</v>
      </c>
      <c r="B559"/>
      <c r="C559"/>
      <c r="D559"/>
      <c r="E559"/>
      <c r="NA559" s="27" t="s">
        <v>8</v>
      </c>
      <c r="NB559" s="27" t="s">
        <v>7</v>
      </c>
      <c r="NC559" s="27" t="s">
        <v>8</v>
      </c>
      <c r="ND559" s="27" t="s">
        <v>7</v>
      </c>
      <c r="NE559" s="27" t="s">
        <v>8</v>
      </c>
      <c r="NF559" s="27" t="s">
        <v>7</v>
      </c>
      <c r="NG559" s="27" t="s">
        <v>8</v>
      </c>
      <c r="NH559" s="27" t="s">
        <v>7</v>
      </c>
      <c r="NI559" s="27" t="s">
        <v>8</v>
      </c>
      <c r="NJ559" s="27" t="s">
        <v>7</v>
      </c>
      <c r="NK559" s="27" t="s">
        <v>8</v>
      </c>
      <c r="NP559" s="27" t="s">
        <v>7</v>
      </c>
      <c r="PG559" s="27" t="s">
        <v>8</v>
      </c>
      <c r="PH559" s="27" t="s">
        <v>7</v>
      </c>
      <c r="QG559" s="27" t="s">
        <v>8</v>
      </c>
      <c r="QL559" s="27" t="s">
        <v>7</v>
      </c>
      <c r="QM559" s="27" t="s">
        <v>8</v>
      </c>
      <c r="QN559" s="27" t="s">
        <v>7</v>
      </c>
      <c r="QO559" s="27" t="s">
        <v>8</v>
      </c>
      <c r="QU559" s="27" t="s">
        <v>8</v>
      </c>
      <c r="QV559" s="27" t="s">
        <v>7</v>
      </c>
      <c r="QW559" s="27" t="s">
        <v>8</v>
      </c>
      <c r="QX559" s="27" t="s">
        <v>7</v>
      </c>
      <c r="QY559" s="27" t="s">
        <v>8</v>
      </c>
      <c r="QZ559" s="27" t="s">
        <v>7</v>
      </c>
      <c r="RR559" s="27" t="s">
        <v>7</v>
      </c>
      <c r="RU559" s="27" t="s">
        <v>8</v>
      </c>
      <c r="RV559" s="27" t="s">
        <v>7</v>
      </c>
    </row>
    <row r="560" spans="1:490" x14ac:dyDescent="0.25">
      <c r="A560" s="7">
        <v>1.7068864766411058</v>
      </c>
      <c r="B560"/>
      <c r="C560"/>
      <c r="D560"/>
      <c r="E560"/>
      <c r="NA560" s="27" t="s">
        <v>8</v>
      </c>
      <c r="NB560" s="27" t="s">
        <v>7</v>
      </c>
      <c r="NC560" s="27" t="s">
        <v>8</v>
      </c>
      <c r="ND560" s="27" t="s">
        <v>7</v>
      </c>
      <c r="NE560" s="27" t="s">
        <v>8</v>
      </c>
      <c r="NF560" s="27" t="s">
        <v>7</v>
      </c>
      <c r="NG560" s="27" t="s">
        <v>8</v>
      </c>
      <c r="NH560" s="27" t="s">
        <v>7</v>
      </c>
      <c r="NI560" s="27" t="s">
        <v>8</v>
      </c>
      <c r="NJ560" s="27" t="s">
        <v>7</v>
      </c>
      <c r="NK560" s="27" t="s">
        <v>8</v>
      </c>
      <c r="NP560" s="27" t="s">
        <v>7</v>
      </c>
      <c r="NQ560" s="27" t="s">
        <v>8</v>
      </c>
      <c r="NU560" s="27" t="s">
        <v>8</v>
      </c>
      <c r="PG560" s="27" t="s">
        <v>8</v>
      </c>
      <c r="PH560" s="27" t="s">
        <v>7</v>
      </c>
      <c r="QG560" s="27" t="s">
        <v>8</v>
      </c>
      <c r="QL560" s="27" t="s">
        <v>7</v>
      </c>
      <c r="QM560" s="27" t="s">
        <v>8</v>
      </c>
      <c r="QN560" s="27" t="s">
        <v>7</v>
      </c>
      <c r="QO560" s="27" t="s">
        <v>8</v>
      </c>
      <c r="QP560" s="27" t="s">
        <v>7</v>
      </c>
      <c r="QU560" s="27" t="s">
        <v>8</v>
      </c>
      <c r="QV560" s="27" t="s">
        <v>7</v>
      </c>
      <c r="QW560" s="27" t="s">
        <v>8</v>
      </c>
      <c r="QX560" s="27" t="s">
        <v>7</v>
      </c>
      <c r="QY560" s="27" t="s">
        <v>8</v>
      </c>
      <c r="RR560" s="27" t="s">
        <v>7</v>
      </c>
      <c r="RU560" s="27" t="s">
        <v>8</v>
      </c>
      <c r="RV560" s="27" t="s">
        <v>7</v>
      </c>
    </row>
    <row r="561" spans="1:490" x14ac:dyDescent="0.25">
      <c r="A561" s="7">
        <v>1.6734181143540252</v>
      </c>
      <c r="B561"/>
      <c r="C561"/>
      <c r="D561"/>
      <c r="E561"/>
      <c r="NA561" s="27" t="s">
        <v>8</v>
      </c>
      <c r="NB561" s="27" t="s">
        <v>7</v>
      </c>
      <c r="NC561" s="27" t="s">
        <v>8</v>
      </c>
      <c r="ND561" s="27" t="s">
        <v>7</v>
      </c>
      <c r="NE561" s="27" t="s">
        <v>8</v>
      </c>
      <c r="NF561" s="27" t="s">
        <v>7</v>
      </c>
      <c r="NG561" s="27" t="s">
        <v>8</v>
      </c>
      <c r="NH561" s="27" t="s">
        <v>7</v>
      </c>
      <c r="NI561" s="27" t="s">
        <v>8</v>
      </c>
      <c r="NJ561" s="27" t="s">
        <v>7</v>
      </c>
      <c r="NK561" s="27" t="s">
        <v>8</v>
      </c>
      <c r="NP561" s="27" t="s">
        <v>7</v>
      </c>
      <c r="NQ561" s="27" t="s">
        <v>8</v>
      </c>
      <c r="NR561" s="27" t="s">
        <v>7</v>
      </c>
      <c r="NU561" s="27" t="s">
        <v>8</v>
      </c>
      <c r="NV561" s="27" t="s">
        <v>7</v>
      </c>
      <c r="PA561" s="27" t="s">
        <v>8</v>
      </c>
      <c r="PG561" s="27" t="s">
        <v>8</v>
      </c>
      <c r="PH561" s="27" t="s">
        <v>7</v>
      </c>
      <c r="QE561" s="27" t="s">
        <v>8</v>
      </c>
      <c r="QG561" s="27" t="s">
        <v>8</v>
      </c>
      <c r="QL561" s="27" t="s">
        <v>7</v>
      </c>
      <c r="QM561" s="27" t="s">
        <v>8</v>
      </c>
      <c r="QN561" s="27" t="s">
        <v>7</v>
      </c>
      <c r="QO561" s="27" t="s">
        <v>8</v>
      </c>
      <c r="QP561" s="27" t="s">
        <v>7</v>
      </c>
      <c r="QQ561" s="27" t="s">
        <v>8</v>
      </c>
      <c r="QS561" s="27" t="s">
        <v>8</v>
      </c>
      <c r="QU561" s="27" t="s">
        <v>8</v>
      </c>
      <c r="QV561" s="27" t="s">
        <v>7</v>
      </c>
      <c r="QW561" s="27" t="s">
        <v>8</v>
      </c>
      <c r="QX561" s="27" t="s">
        <v>7</v>
      </c>
      <c r="QY561" s="27" t="s">
        <v>8</v>
      </c>
      <c r="RR561" s="27" t="s">
        <v>7</v>
      </c>
      <c r="RU561" s="27" t="s">
        <v>8</v>
      </c>
      <c r="RV561" s="27" t="s">
        <v>7</v>
      </c>
    </row>
    <row r="562" spans="1:490" x14ac:dyDescent="0.25">
      <c r="A562" s="7">
        <v>1.6406059944647307</v>
      </c>
      <c r="B562"/>
      <c r="C562"/>
      <c r="D562"/>
      <c r="E562"/>
      <c r="NA562" s="27" t="s">
        <v>8</v>
      </c>
      <c r="NB562" s="27" t="s">
        <v>7</v>
      </c>
      <c r="NC562" s="27" t="s">
        <v>8</v>
      </c>
      <c r="ND562" s="27" t="s">
        <v>7</v>
      </c>
      <c r="NE562" s="27" t="s">
        <v>8</v>
      </c>
      <c r="NF562" s="27" t="s">
        <v>7</v>
      </c>
      <c r="NG562" s="27" t="s">
        <v>8</v>
      </c>
      <c r="NH562" s="27" t="s">
        <v>7</v>
      </c>
      <c r="NI562" s="27" t="s">
        <v>8</v>
      </c>
      <c r="NJ562" s="27" t="s">
        <v>7</v>
      </c>
      <c r="NK562" s="27" t="s">
        <v>8</v>
      </c>
      <c r="NP562" s="27" t="s">
        <v>7</v>
      </c>
      <c r="NQ562" s="27" t="s">
        <v>8</v>
      </c>
      <c r="NR562" s="27" t="s">
        <v>7</v>
      </c>
      <c r="NU562" s="27" t="s">
        <v>8</v>
      </c>
      <c r="NV562" s="27" t="s">
        <v>7</v>
      </c>
      <c r="PA562" s="27" t="s">
        <v>8</v>
      </c>
      <c r="PB562" s="27" t="s">
        <v>7</v>
      </c>
      <c r="PG562" s="27" t="s">
        <v>8</v>
      </c>
      <c r="PH562" s="27" t="s">
        <v>7</v>
      </c>
      <c r="QE562" s="27" t="s">
        <v>8</v>
      </c>
      <c r="QF562" s="27" t="s">
        <v>7</v>
      </c>
      <c r="QG562" s="27" t="s">
        <v>8</v>
      </c>
      <c r="QL562" s="27" t="s">
        <v>7</v>
      </c>
      <c r="QM562" s="27" t="s">
        <v>8</v>
      </c>
      <c r="QN562" s="27" t="s">
        <v>7</v>
      </c>
      <c r="QP562" s="27" t="s">
        <v>7</v>
      </c>
      <c r="QQ562" s="27" t="s">
        <v>8</v>
      </c>
      <c r="QR562" s="27" t="s">
        <v>7</v>
      </c>
      <c r="QS562" s="27" t="s">
        <v>8</v>
      </c>
      <c r="QT562" s="27" t="s">
        <v>7</v>
      </c>
      <c r="QU562" s="27" t="s">
        <v>8</v>
      </c>
      <c r="QV562" s="27" t="s">
        <v>7</v>
      </c>
      <c r="QW562" s="27" t="s">
        <v>8</v>
      </c>
      <c r="QX562" s="27" t="s">
        <v>7</v>
      </c>
      <c r="QY562" s="27" t="s">
        <v>8</v>
      </c>
      <c r="RR562" s="27" t="s">
        <v>7</v>
      </c>
      <c r="RS562" s="27" t="s">
        <v>8</v>
      </c>
      <c r="RU562" s="27" t="s">
        <v>8</v>
      </c>
      <c r="RV562" s="27" t="s">
        <v>7</v>
      </c>
    </row>
    <row r="563" spans="1:490" x14ac:dyDescent="0.25">
      <c r="A563" s="7">
        <v>1.6084372494752261</v>
      </c>
      <c r="B563"/>
      <c r="C563"/>
      <c r="D563"/>
      <c r="E563"/>
      <c r="NA563" s="27" t="s">
        <v>8</v>
      </c>
      <c r="NB563" s="27" t="s">
        <v>7</v>
      </c>
      <c r="NC563" s="27" t="s">
        <v>8</v>
      </c>
      <c r="ND563" s="27" t="s">
        <v>7</v>
      </c>
      <c r="NE563" s="27" t="s">
        <v>8</v>
      </c>
      <c r="NF563" s="27" t="s">
        <v>7</v>
      </c>
      <c r="NG563" s="27" t="s">
        <v>8</v>
      </c>
      <c r="NH563" s="27" t="s">
        <v>7</v>
      </c>
      <c r="NI563" s="27" t="s">
        <v>8</v>
      </c>
      <c r="NJ563" s="27" t="s">
        <v>7</v>
      </c>
      <c r="NK563" s="27" t="s">
        <v>8</v>
      </c>
      <c r="NP563" s="27" t="s">
        <v>7</v>
      </c>
      <c r="NQ563" s="27" t="s">
        <v>8</v>
      </c>
      <c r="NR563" s="27" t="s">
        <v>7</v>
      </c>
      <c r="NU563" s="27" t="s">
        <v>8</v>
      </c>
      <c r="NV563" s="27" t="s">
        <v>7</v>
      </c>
      <c r="PA563" s="27" t="s">
        <v>8</v>
      </c>
      <c r="PB563" s="27" t="s">
        <v>7</v>
      </c>
      <c r="PG563" s="27" t="s">
        <v>8</v>
      </c>
      <c r="PH563" s="27" t="s">
        <v>7</v>
      </c>
      <c r="PY563" s="27" t="s">
        <v>8</v>
      </c>
      <c r="QA563" s="27" t="s">
        <v>8</v>
      </c>
      <c r="QC563" s="27" t="s">
        <v>8</v>
      </c>
      <c r="QE563" s="27" t="s">
        <v>8</v>
      </c>
      <c r="QF563" s="27" t="s">
        <v>7</v>
      </c>
      <c r="QG563" s="27" t="s">
        <v>8</v>
      </c>
      <c r="QL563" s="27" t="s">
        <v>7</v>
      </c>
      <c r="QM563" s="27" t="s">
        <v>8</v>
      </c>
      <c r="QP563" s="27" t="s">
        <v>7</v>
      </c>
      <c r="QQ563" s="27" t="s">
        <v>8</v>
      </c>
      <c r="QR563" s="27" t="s">
        <v>7</v>
      </c>
      <c r="QS563" s="27" t="s">
        <v>8</v>
      </c>
      <c r="QT563" s="27" t="s">
        <v>7</v>
      </c>
      <c r="QU563" s="27" t="s">
        <v>8</v>
      </c>
      <c r="QV563" s="27" t="s">
        <v>7</v>
      </c>
      <c r="QW563" s="27" t="s">
        <v>8</v>
      </c>
      <c r="QX563" s="27" t="s">
        <v>7</v>
      </c>
      <c r="QY563" s="27" t="s">
        <v>8</v>
      </c>
      <c r="RR563" s="27" t="s">
        <v>7</v>
      </c>
      <c r="RS563" s="27" t="s">
        <v>8</v>
      </c>
      <c r="RT563" s="27" t="s">
        <v>7</v>
      </c>
      <c r="RU563" s="27" t="s">
        <v>8</v>
      </c>
      <c r="RV563" s="27" t="s">
        <v>7</v>
      </c>
    </row>
    <row r="564" spans="1:490" x14ac:dyDescent="0.25">
      <c r="A564" s="7">
        <v>1.5768992641913981</v>
      </c>
      <c r="B564"/>
      <c r="C564"/>
      <c r="D564"/>
      <c r="E564"/>
      <c r="NA564" s="27" t="s">
        <v>8</v>
      </c>
      <c r="NB564" s="27" t="s">
        <v>7</v>
      </c>
      <c r="NC564" s="27" t="s">
        <v>8</v>
      </c>
      <c r="ND564" s="27" t="s">
        <v>7</v>
      </c>
      <c r="NE564" s="27" t="s">
        <v>8</v>
      </c>
      <c r="NF564" s="27" t="s">
        <v>7</v>
      </c>
      <c r="NG564" s="27" t="s">
        <v>8</v>
      </c>
      <c r="NH564" s="27" t="s">
        <v>7</v>
      </c>
      <c r="NI564" s="27" t="s">
        <v>8</v>
      </c>
      <c r="NJ564" s="27" t="s">
        <v>7</v>
      </c>
      <c r="NK564" s="27" t="s">
        <v>8</v>
      </c>
      <c r="NP564" s="27" t="s">
        <v>7</v>
      </c>
      <c r="NQ564" s="27" t="s">
        <v>8</v>
      </c>
      <c r="NR564" s="27" t="s">
        <v>7</v>
      </c>
      <c r="NU564" s="27" t="s">
        <v>8</v>
      </c>
      <c r="NV564" s="27" t="s">
        <v>7</v>
      </c>
      <c r="PA564" s="27" t="s">
        <v>8</v>
      </c>
      <c r="PB564" s="27" t="s">
        <v>7</v>
      </c>
      <c r="PG564" s="27" t="s">
        <v>8</v>
      </c>
      <c r="PH564" s="27" t="s">
        <v>7</v>
      </c>
      <c r="PY564" s="27" t="s">
        <v>8</v>
      </c>
      <c r="PZ564" s="27" t="s">
        <v>7</v>
      </c>
      <c r="QA564" s="27" t="s">
        <v>8</v>
      </c>
      <c r="QB564" s="27" t="s">
        <v>7</v>
      </c>
      <c r="QC564" s="27" t="s">
        <v>8</v>
      </c>
      <c r="QD564" s="27" t="s">
        <v>7</v>
      </c>
      <c r="QE564" s="27" t="s">
        <v>8</v>
      </c>
      <c r="QF564" s="27" t="s">
        <v>7</v>
      </c>
      <c r="QG564" s="27" t="s">
        <v>8</v>
      </c>
      <c r="QL564" s="27" t="s">
        <v>7</v>
      </c>
      <c r="QM564" s="27" t="s">
        <v>8</v>
      </c>
      <c r="QP564" s="27" t="s">
        <v>7</v>
      </c>
      <c r="QQ564" s="27" t="s">
        <v>8</v>
      </c>
      <c r="QR564" s="27" t="s">
        <v>7</v>
      </c>
      <c r="QS564" s="27" t="s">
        <v>8</v>
      </c>
      <c r="QT564" s="27" t="s">
        <v>7</v>
      </c>
      <c r="QU564" s="27" t="s">
        <v>8</v>
      </c>
      <c r="QV564" s="27" t="s">
        <v>7</v>
      </c>
      <c r="QW564" s="27" t="s">
        <v>8</v>
      </c>
      <c r="QX564" s="27" t="s">
        <v>7</v>
      </c>
      <c r="RR564" s="27" t="s">
        <v>7</v>
      </c>
      <c r="RS564" s="27" t="s">
        <v>8</v>
      </c>
      <c r="RT564" s="27" t="s">
        <v>7</v>
      </c>
      <c r="RU564" s="27" t="s">
        <v>8</v>
      </c>
      <c r="RV564" s="27" t="s">
        <v>7</v>
      </c>
    </row>
    <row r="565" spans="1:490" x14ac:dyDescent="0.25">
      <c r="A565" s="7">
        <v>1.5459796707758806</v>
      </c>
      <c r="B565"/>
      <c r="C565"/>
      <c r="D565"/>
      <c r="E565"/>
      <c r="NA565" s="27" t="s">
        <v>8</v>
      </c>
      <c r="NB565" s="27" t="s">
        <v>7</v>
      </c>
      <c r="NC565" s="27" t="s">
        <v>8</v>
      </c>
      <c r="ND565" s="27" t="s">
        <v>7</v>
      </c>
      <c r="NE565" s="27" t="s">
        <v>8</v>
      </c>
      <c r="NF565" s="27" t="s">
        <v>7</v>
      </c>
      <c r="NG565" s="27" t="s">
        <v>8</v>
      </c>
      <c r="NH565" s="27" t="s">
        <v>7</v>
      </c>
      <c r="NI565" s="27" t="s">
        <v>8</v>
      </c>
      <c r="NJ565" s="27" t="s">
        <v>7</v>
      </c>
      <c r="NK565" s="27" t="s">
        <v>8</v>
      </c>
      <c r="NP565" s="27" t="s">
        <v>7</v>
      </c>
      <c r="NQ565" s="27" t="s">
        <v>8</v>
      </c>
      <c r="NR565" s="27" t="s">
        <v>7</v>
      </c>
      <c r="NU565" s="27" t="s">
        <v>8</v>
      </c>
      <c r="NV565" s="27" t="s">
        <v>7</v>
      </c>
      <c r="NW565" s="27" t="s">
        <v>8</v>
      </c>
      <c r="OY565" s="27" t="s">
        <v>8</v>
      </c>
      <c r="PA565" s="27" t="s">
        <v>8</v>
      </c>
      <c r="PB565" s="27" t="s">
        <v>7</v>
      </c>
      <c r="PG565" s="27" t="s">
        <v>8</v>
      </c>
      <c r="PH565" s="27" t="s">
        <v>7</v>
      </c>
      <c r="PY565" s="27" t="s">
        <v>8</v>
      </c>
      <c r="PZ565" s="27" t="s">
        <v>7</v>
      </c>
      <c r="QA565" s="27" t="s">
        <v>8</v>
      </c>
      <c r="QB565" s="27" t="s">
        <v>7</v>
      </c>
      <c r="QC565" s="27" t="s">
        <v>8</v>
      </c>
      <c r="QD565" s="27" t="s">
        <v>7</v>
      </c>
      <c r="QE565" s="27" t="s">
        <v>8</v>
      </c>
      <c r="QF565" s="27" t="s">
        <v>7</v>
      </c>
      <c r="QL565" s="27" t="s">
        <v>7</v>
      </c>
      <c r="QP565" s="27" t="s">
        <v>7</v>
      </c>
      <c r="QQ565" s="27" t="s">
        <v>8</v>
      </c>
      <c r="QR565" s="27" t="s">
        <v>7</v>
      </c>
      <c r="QS565" s="27" t="s">
        <v>8</v>
      </c>
      <c r="QT565" s="27" t="s">
        <v>7</v>
      </c>
      <c r="QV565" s="27" t="s">
        <v>7</v>
      </c>
      <c r="QW565" s="27" t="s">
        <v>8</v>
      </c>
      <c r="RR565" s="27" t="s">
        <v>7</v>
      </c>
      <c r="RS565" s="27" t="s">
        <v>8</v>
      </c>
      <c r="RT565" s="27" t="s">
        <v>7</v>
      </c>
      <c r="RU565" s="27" t="s">
        <v>8</v>
      </c>
      <c r="RV565" s="27" t="s">
        <v>7</v>
      </c>
    </row>
    <row r="566" spans="1:490" x14ac:dyDescent="0.25">
      <c r="A566" s="7">
        <v>1.5156663438979221</v>
      </c>
      <c r="B566"/>
      <c r="C566"/>
      <c r="D566"/>
      <c r="E566"/>
      <c r="NA566" s="27" t="s">
        <v>8</v>
      </c>
      <c r="NB566" s="27" t="s">
        <v>7</v>
      </c>
      <c r="NC566" s="27" t="s">
        <v>8</v>
      </c>
      <c r="ND566" s="27" t="s">
        <v>7</v>
      </c>
      <c r="NE566" s="27" t="s">
        <v>8</v>
      </c>
      <c r="NF566" s="27" t="s">
        <v>7</v>
      </c>
      <c r="NG566" s="27" t="s">
        <v>8</v>
      </c>
      <c r="NH566" s="27" t="s">
        <v>7</v>
      </c>
      <c r="NJ566" s="27" t="s">
        <v>7</v>
      </c>
      <c r="NP566" s="27" t="s">
        <v>7</v>
      </c>
      <c r="NQ566" s="27" t="s">
        <v>8</v>
      </c>
      <c r="NR566" s="27" t="s">
        <v>7</v>
      </c>
      <c r="NS566" s="27" t="s">
        <v>8</v>
      </c>
      <c r="NU566" s="27" t="s">
        <v>8</v>
      </c>
      <c r="NV566" s="27" t="s">
        <v>7</v>
      </c>
      <c r="NW566" s="27" t="s">
        <v>8</v>
      </c>
      <c r="NX566" s="27" t="s">
        <v>7</v>
      </c>
      <c r="OW566" s="27" t="s">
        <v>8</v>
      </c>
      <c r="OY566" s="27" t="s">
        <v>8</v>
      </c>
      <c r="OZ566" s="27" t="s">
        <v>7</v>
      </c>
      <c r="PA566" s="27" t="s">
        <v>8</v>
      </c>
      <c r="PB566" s="27" t="s">
        <v>7</v>
      </c>
      <c r="PC566" s="27" t="s">
        <v>8</v>
      </c>
      <c r="PE566" s="27" t="s">
        <v>8</v>
      </c>
      <c r="PG566" s="27" t="s">
        <v>8</v>
      </c>
      <c r="PH566" s="27" t="s">
        <v>7</v>
      </c>
      <c r="PY566" s="27" t="s">
        <v>8</v>
      </c>
      <c r="PZ566" s="27" t="s">
        <v>7</v>
      </c>
      <c r="QA566" s="27" t="s">
        <v>8</v>
      </c>
      <c r="QB566" s="27" t="s">
        <v>7</v>
      </c>
      <c r="QC566" s="27" t="s">
        <v>8</v>
      </c>
      <c r="QD566" s="27" t="s">
        <v>7</v>
      </c>
      <c r="QP566" s="27" t="s">
        <v>7</v>
      </c>
      <c r="QQ566" s="27" t="s">
        <v>8</v>
      </c>
      <c r="QR566" s="27" t="s">
        <v>7</v>
      </c>
      <c r="QS566" s="27" t="s">
        <v>8</v>
      </c>
      <c r="QV566" s="27" t="s">
        <v>7</v>
      </c>
      <c r="RR566" s="27" t="s">
        <v>7</v>
      </c>
      <c r="RS566" s="27" t="s">
        <v>8</v>
      </c>
      <c r="RT566" s="27" t="s">
        <v>7</v>
      </c>
      <c r="RU566" s="27" t="s">
        <v>8</v>
      </c>
    </row>
    <row r="567" spans="1:490" x14ac:dyDescent="0.25">
      <c r="A567" s="7">
        <v>1.4859473959783549</v>
      </c>
      <c r="B567"/>
      <c r="C567"/>
      <c r="D567"/>
      <c r="E567"/>
      <c r="NA567" s="27" t="s">
        <v>8</v>
      </c>
      <c r="NB567" s="27" t="s">
        <v>7</v>
      </c>
      <c r="ND567" s="27" t="s">
        <v>7</v>
      </c>
      <c r="NE567" s="27" t="s">
        <v>8</v>
      </c>
      <c r="NF567" s="27" t="s">
        <v>7</v>
      </c>
      <c r="NG567" s="27" t="s">
        <v>8</v>
      </c>
      <c r="NP567" s="27" t="s">
        <v>7</v>
      </c>
      <c r="NQ567" s="27" t="s">
        <v>8</v>
      </c>
      <c r="NR567" s="27" t="s">
        <v>7</v>
      </c>
      <c r="NS567" s="27" t="s">
        <v>8</v>
      </c>
      <c r="NT567" s="27" t="s">
        <v>7</v>
      </c>
      <c r="NU567" s="27" t="s">
        <v>8</v>
      </c>
      <c r="NV567" s="27" t="s">
        <v>7</v>
      </c>
      <c r="NW567" s="27" t="s">
        <v>8</v>
      </c>
      <c r="NX567" s="27" t="s">
        <v>7</v>
      </c>
      <c r="OW567" s="27" t="s">
        <v>8</v>
      </c>
      <c r="OX567" s="27" t="s">
        <v>7</v>
      </c>
      <c r="OY567" s="27" t="s">
        <v>8</v>
      </c>
      <c r="OZ567" s="27" t="s">
        <v>7</v>
      </c>
      <c r="PA567" s="27" t="s">
        <v>8</v>
      </c>
      <c r="PB567" s="27" t="s">
        <v>7</v>
      </c>
      <c r="PC567" s="27" t="s">
        <v>8</v>
      </c>
      <c r="PD567" s="27" t="s">
        <v>7</v>
      </c>
      <c r="PE567" s="27" t="s">
        <v>8</v>
      </c>
      <c r="PF567" s="27" t="s">
        <v>7</v>
      </c>
      <c r="PG567" s="27" t="s">
        <v>8</v>
      </c>
      <c r="PH567" s="27" t="s">
        <v>7</v>
      </c>
      <c r="PI567" s="27" t="s">
        <v>8</v>
      </c>
      <c r="PK567" s="27" t="s">
        <v>8</v>
      </c>
      <c r="PY567" s="27" t="s">
        <v>8</v>
      </c>
      <c r="PZ567" s="27" t="s">
        <v>7</v>
      </c>
      <c r="QA567" s="27" t="s">
        <v>8</v>
      </c>
      <c r="QB567" s="27" t="s">
        <v>7</v>
      </c>
      <c r="QC567" s="27" t="s">
        <v>8</v>
      </c>
      <c r="QP567" s="27" t="s">
        <v>7</v>
      </c>
      <c r="QR567" s="27" t="s">
        <v>7</v>
      </c>
      <c r="QS567" s="27" t="s">
        <v>8</v>
      </c>
      <c r="RR567" s="27" t="s">
        <v>7</v>
      </c>
      <c r="RS567" s="27" t="s">
        <v>8</v>
      </c>
      <c r="RT567" s="27" t="s">
        <v>7</v>
      </c>
      <c r="RU567" s="27" t="s">
        <v>8</v>
      </c>
    </row>
    <row r="568" spans="1:490" x14ac:dyDescent="0.25">
      <c r="A568" s="7">
        <v>1.4568111725277988</v>
      </c>
      <c r="B568"/>
      <c r="C568"/>
      <c r="D568"/>
      <c r="E568"/>
      <c r="NA568" s="27" t="s">
        <v>8</v>
      </c>
      <c r="ND568" s="27" t="s">
        <v>7</v>
      </c>
      <c r="NE568" s="27" t="s">
        <v>8</v>
      </c>
      <c r="NF568" s="27" t="s">
        <v>7</v>
      </c>
      <c r="NG568" s="27" t="s">
        <v>8</v>
      </c>
      <c r="NP568" s="27" t="s">
        <v>7</v>
      </c>
      <c r="NR568" s="27" t="s">
        <v>7</v>
      </c>
      <c r="NS568" s="27" t="s">
        <v>8</v>
      </c>
      <c r="NT568" s="27" t="s">
        <v>7</v>
      </c>
      <c r="NU568" s="27" t="s">
        <v>8</v>
      </c>
      <c r="NV568" s="27" t="s">
        <v>7</v>
      </c>
      <c r="NX568" s="27" t="s">
        <v>7</v>
      </c>
      <c r="OW568" s="27" t="s">
        <v>8</v>
      </c>
      <c r="OX568" s="27" t="s">
        <v>7</v>
      </c>
      <c r="OY568" s="27" t="s">
        <v>8</v>
      </c>
      <c r="OZ568" s="27" t="s">
        <v>7</v>
      </c>
      <c r="PA568" s="27" t="s">
        <v>8</v>
      </c>
      <c r="PB568" s="27" t="s">
        <v>7</v>
      </c>
      <c r="PC568" s="27" t="s">
        <v>8</v>
      </c>
      <c r="PD568" s="27" t="s">
        <v>7</v>
      </c>
      <c r="PE568" s="27" t="s">
        <v>8</v>
      </c>
      <c r="PF568" s="27" t="s">
        <v>7</v>
      </c>
      <c r="PG568" s="27" t="s">
        <v>8</v>
      </c>
      <c r="PH568" s="27" t="s">
        <v>7</v>
      </c>
      <c r="PI568" s="27" t="s">
        <v>8</v>
      </c>
      <c r="PJ568" s="27" t="s">
        <v>7</v>
      </c>
      <c r="PK568" s="27" t="s">
        <v>8</v>
      </c>
      <c r="PL568" s="27" t="s">
        <v>7</v>
      </c>
      <c r="PY568" s="27" t="s">
        <v>8</v>
      </c>
      <c r="PZ568" s="27" t="s">
        <v>7</v>
      </c>
      <c r="QA568" s="27" t="s">
        <v>8</v>
      </c>
      <c r="QB568" s="27" t="s">
        <v>7</v>
      </c>
      <c r="QR568" s="27" t="s">
        <v>7</v>
      </c>
      <c r="RR568" s="27" t="s">
        <v>7</v>
      </c>
      <c r="RS568" s="27" t="s">
        <v>8</v>
      </c>
      <c r="RT568" s="27" t="s">
        <v>7</v>
      </c>
      <c r="RU568" s="27" t="s">
        <v>8</v>
      </c>
    </row>
    <row r="569" spans="1:490" x14ac:dyDescent="0.25">
      <c r="A569" s="7">
        <v>1.4282462475762734</v>
      </c>
      <c r="B569"/>
      <c r="C569"/>
      <c r="D569"/>
      <c r="E569"/>
      <c r="NA569" s="27" t="s">
        <v>8</v>
      </c>
      <c r="ND569" s="27" t="s">
        <v>7</v>
      </c>
      <c r="NE569" s="27" t="s">
        <v>8</v>
      </c>
      <c r="NF569" s="27" t="s">
        <v>7</v>
      </c>
      <c r="NG569" s="27" t="s">
        <v>8</v>
      </c>
      <c r="NR569" s="27" t="s">
        <v>7</v>
      </c>
      <c r="NS569" s="27" t="s">
        <v>8</v>
      </c>
      <c r="NT569" s="27" t="s">
        <v>7</v>
      </c>
      <c r="NU569" s="27" t="s">
        <v>8</v>
      </c>
      <c r="NX569" s="27" t="s">
        <v>7</v>
      </c>
      <c r="NY569" s="27" t="s">
        <v>8</v>
      </c>
      <c r="OW569" s="27" t="s">
        <v>8</v>
      </c>
      <c r="OX569" s="27" t="s">
        <v>7</v>
      </c>
      <c r="OY569" s="27" t="s">
        <v>8</v>
      </c>
      <c r="OZ569" s="27" t="s">
        <v>7</v>
      </c>
      <c r="PA569" s="27" t="s">
        <v>8</v>
      </c>
      <c r="PB569" s="27" t="s">
        <v>7</v>
      </c>
      <c r="PC569" s="27" t="s">
        <v>8</v>
      </c>
      <c r="PD569" s="27" t="s">
        <v>7</v>
      </c>
      <c r="PE569" s="27" t="s">
        <v>8</v>
      </c>
      <c r="PF569" s="27" t="s">
        <v>7</v>
      </c>
      <c r="PH569" s="27" t="s">
        <v>7</v>
      </c>
      <c r="PI569" s="27" t="s">
        <v>8</v>
      </c>
      <c r="PJ569" s="27" t="s">
        <v>7</v>
      </c>
      <c r="PK569" s="27" t="s">
        <v>8</v>
      </c>
      <c r="PL569" s="27" t="s">
        <v>7</v>
      </c>
      <c r="PM569" s="27" t="s">
        <v>8</v>
      </c>
      <c r="PW569" s="27" t="s">
        <v>8</v>
      </c>
      <c r="PY569" s="27" t="s">
        <v>8</v>
      </c>
      <c r="PZ569" s="27" t="s">
        <v>7</v>
      </c>
      <c r="RR569" s="27" t="s">
        <v>7</v>
      </c>
      <c r="RS569" s="27" t="s">
        <v>8</v>
      </c>
      <c r="RT569" s="27" t="s">
        <v>7</v>
      </c>
      <c r="RU569" s="27" t="s">
        <v>8</v>
      </c>
    </row>
    <row r="570" spans="1:490" x14ac:dyDescent="0.25">
      <c r="A570" s="7">
        <v>1.4002414191924248</v>
      </c>
      <c r="B570"/>
      <c r="C570"/>
      <c r="D570"/>
      <c r="E570"/>
      <c r="NA570" s="27" t="s">
        <v>8</v>
      </c>
      <c r="ND570" s="27" t="s">
        <v>7</v>
      </c>
      <c r="NE570" s="27" t="s">
        <v>8</v>
      </c>
      <c r="NF570" s="27" t="s">
        <v>7</v>
      </c>
      <c r="NG570" s="27" t="s">
        <v>8</v>
      </c>
      <c r="NR570" s="27" t="s">
        <v>7</v>
      </c>
      <c r="NS570" s="27" t="s">
        <v>8</v>
      </c>
      <c r="NT570" s="27" t="s">
        <v>7</v>
      </c>
      <c r="NU570" s="27" t="s">
        <v>8</v>
      </c>
      <c r="NX570" s="27" t="s">
        <v>7</v>
      </c>
      <c r="NY570" s="27" t="s">
        <v>8</v>
      </c>
      <c r="NZ570" s="27" t="s">
        <v>7</v>
      </c>
      <c r="OW570" s="27" t="s">
        <v>8</v>
      </c>
      <c r="OX570" s="27" t="s">
        <v>7</v>
      </c>
      <c r="OY570" s="27" t="s">
        <v>8</v>
      </c>
      <c r="OZ570" s="27" t="s">
        <v>7</v>
      </c>
      <c r="PA570" s="27" t="s">
        <v>8</v>
      </c>
      <c r="PB570" s="27" t="s">
        <v>7</v>
      </c>
      <c r="PC570" s="27" t="s">
        <v>8</v>
      </c>
      <c r="PD570" s="27" t="s">
        <v>7</v>
      </c>
      <c r="PE570" s="27" t="s">
        <v>8</v>
      </c>
      <c r="PH570" s="27" t="s">
        <v>7</v>
      </c>
      <c r="PI570" s="27" t="s">
        <v>8</v>
      </c>
      <c r="PJ570" s="27" t="s">
        <v>7</v>
      </c>
      <c r="PK570" s="27" t="s">
        <v>8</v>
      </c>
      <c r="PL570" s="27" t="s">
        <v>7</v>
      </c>
      <c r="PM570" s="27" t="s">
        <v>8</v>
      </c>
      <c r="PN570" s="27" t="s">
        <v>7</v>
      </c>
      <c r="PW570" s="27" t="s">
        <v>8</v>
      </c>
      <c r="PX570" s="27" t="s">
        <v>7</v>
      </c>
      <c r="PY570" s="27" t="s">
        <v>8</v>
      </c>
      <c r="RR570" s="27" t="s">
        <v>7</v>
      </c>
      <c r="RT570" s="27" t="s">
        <v>7</v>
      </c>
      <c r="RU570" s="27" t="s">
        <v>8</v>
      </c>
    </row>
    <row r="571" spans="1:490" x14ac:dyDescent="0.25">
      <c r="A571" s="7">
        <v>1.3727857050906125</v>
      </c>
      <c r="B571"/>
      <c r="C571"/>
      <c r="D571"/>
      <c r="E571"/>
      <c r="NA571" s="27" t="s">
        <v>8</v>
      </c>
      <c r="ND571" s="27" t="s">
        <v>7</v>
      </c>
      <c r="NE571" s="27" t="s">
        <v>8</v>
      </c>
      <c r="NF571" s="27" t="s">
        <v>7</v>
      </c>
      <c r="NG571" s="27" t="s">
        <v>8</v>
      </c>
      <c r="NR571" s="27" t="s">
        <v>7</v>
      </c>
      <c r="NS571" s="27" t="s">
        <v>8</v>
      </c>
      <c r="NT571" s="27" t="s">
        <v>7</v>
      </c>
      <c r="NU571" s="27" t="s">
        <v>8</v>
      </c>
      <c r="NX571" s="27" t="s">
        <v>7</v>
      </c>
      <c r="NY571" s="27" t="s">
        <v>8</v>
      </c>
      <c r="NZ571" s="27" t="s">
        <v>7</v>
      </c>
      <c r="OW571" s="27" t="s">
        <v>8</v>
      </c>
      <c r="OX571" s="27" t="s">
        <v>7</v>
      </c>
      <c r="OZ571" s="27" t="s">
        <v>7</v>
      </c>
      <c r="PA571" s="27" t="s">
        <v>8</v>
      </c>
      <c r="PB571" s="27" t="s">
        <v>7</v>
      </c>
      <c r="PD571" s="27" t="s">
        <v>7</v>
      </c>
      <c r="PE571" s="27" t="s">
        <v>8</v>
      </c>
      <c r="PH571" s="27" t="s">
        <v>7</v>
      </c>
      <c r="PI571" s="27" t="s">
        <v>8</v>
      </c>
      <c r="PJ571" s="27" t="s">
        <v>7</v>
      </c>
      <c r="PK571" s="27" t="s">
        <v>8</v>
      </c>
      <c r="PL571" s="27" t="s">
        <v>7</v>
      </c>
      <c r="PM571" s="27" t="s">
        <v>8</v>
      </c>
      <c r="PN571" s="27" t="s">
        <v>7</v>
      </c>
      <c r="PW571" s="27" t="s">
        <v>8</v>
      </c>
      <c r="PX571" s="27" t="s">
        <v>7</v>
      </c>
      <c r="PY571" s="27" t="s">
        <v>8</v>
      </c>
      <c r="RT571" s="27" t="s">
        <v>7</v>
      </c>
      <c r="RU571" s="27" t="s">
        <v>8</v>
      </c>
    </row>
    <row r="572" spans="1:490" x14ac:dyDescent="0.25">
      <c r="A572" s="7">
        <v>1.3458683383241299</v>
      </c>
      <c r="B572"/>
      <c r="C572"/>
      <c r="D572"/>
      <c r="E572"/>
      <c r="NA572" s="27" t="s">
        <v>8</v>
      </c>
      <c r="ND572" s="27" t="s">
        <v>7</v>
      </c>
      <c r="NE572" s="27" t="s">
        <v>8</v>
      </c>
      <c r="NF572" s="27" t="s">
        <v>7</v>
      </c>
      <c r="NG572" s="27" t="s">
        <v>8</v>
      </c>
      <c r="NR572" s="27" t="s">
        <v>7</v>
      </c>
      <c r="NS572" s="27" t="s">
        <v>8</v>
      </c>
      <c r="NT572" s="27" t="s">
        <v>7</v>
      </c>
      <c r="NU572" s="27" t="s">
        <v>8</v>
      </c>
      <c r="NX572" s="27" t="s">
        <v>7</v>
      </c>
      <c r="NY572" s="27" t="s">
        <v>8</v>
      </c>
      <c r="NZ572" s="27" t="s">
        <v>7</v>
      </c>
      <c r="OW572" s="27" t="s">
        <v>8</v>
      </c>
      <c r="OZ572" s="27" t="s">
        <v>7</v>
      </c>
      <c r="PA572" s="27" t="s">
        <v>8</v>
      </c>
      <c r="PD572" s="27" t="s">
        <v>7</v>
      </c>
      <c r="PE572" s="27" t="s">
        <v>8</v>
      </c>
      <c r="PH572" s="27" t="s">
        <v>7</v>
      </c>
      <c r="PI572" s="27" t="s">
        <v>8</v>
      </c>
      <c r="PJ572" s="27" t="s">
        <v>7</v>
      </c>
      <c r="PK572" s="27" t="s">
        <v>8</v>
      </c>
      <c r="PL572" s="27" t="s">
        <v>7</v>
      </c>
      <c r="PM572" s="27" t="s">
        <v>8</v>
      </c>
      <c r="PN572" s="27" t="s">
        <v>7</v>
      </c>
      <c r="PS572" s="27" t="s">
        <v>8</v>
      </c>
      <c r="PW572" s="27" t="s">
        <v>8</v>
      </c>
      <c r="PX572" s="27" t="s">
        <v>7</v>
      </c>
      <c r="PY572" s="27" t="s">
        <v>8</v>
      </c>
      <c r="RT572" s="27" t="s">
        <v>7</v>
      </c>
      <c r="RU572" s="27" t="s">
        <v>8</v>
      </c>
    </row>
    <row r="573" spans="1:490" x14ac:dyDescent="0.25">
      <c r="A573" s="7">
        <v>1.3194787630628724</v>
      </c>
      <c r="B573"/>
      <c r="C573"/>
      <c r="D573"/>
      <c r="E573"/>
      <c r="NA573" s="27" t="s">
        <v>8</v>
      </c>
      <c r="ND573" s="27" t="s">
        <v>7</v>
      </c>
      <c r="NE573" s="27" t="s">
        <v>8</v>
      </c>
      <c r="NF573" s="27" t="s">
        <v>7</v>
      </c>
      <c r="NG573" s="27" t="s">
        <v>8</v>
      </c>
      <c r="NR573" s="27" t="s">
        <v>7</v>
      </c>
      <c r="NS573" s="27" t="s">
        <v>8</v>
      </c>
      <c r="NT573" s="27" t="s">
        <v>7</v>
      </c>
      <c r="NU573" s="27" t="s">
        <v>8</v>
      </c>
      <c r="NX573" s="27" t="s">
        <v>7</v>
      </c>
      <c r="NZ573" s="27" t="s">
        <v>7</v>
      </c>
      <c r="OW573" s="27" t="s">
        <v>8</v>
      </c>
      <c r="OZ573" s="27" t="s">
        <v>7</v>
      </c>
      <c r="PA573" s="27" t="s">
        <v>8</v>
      </c>
      <c r="PD573" s="27" t="s">
        <v>7</v>
      </c>
      <c r="PH573" s="27" t="s">
        <v>7</v>
      </c>
      <c r="PI573" s="27" t="s">
        <v>8</v>
      </c>
      <c r="PJ573" s="27" t="s">
        <v>7</v>
      </c>
      <c r="PK573" s="27" t="s">
        <v>8</v>
      </c>
      <c r="PL573" s="27" t="s">
        <v>7</v>
      </c>
      <c r="PN573" s="27" t="s">
        <v>7</v>
      </c>
      <c r="PS573" s="27" t="s">
        <v>8</v>
      </c>
      <c r="PT573" s="27" t="s">
        <v>7</v>
      </c>
      <c r="PU573" s="27" t="s">
        <v>8</v>
      </c>
      <c r="PW573" s="27" t="s">
        <v>8</v>
      </c>
      <c r="PX573" s="27" t="s">
        <v>7</v>
      </c>
      <c r="PY573" s="27" t="s">
        <v>8</v>
      </c>
      <c r="RT573" s="27" t="s">
        <v>7</v>
      </c>
    </row>
    <row r="574" spans="1:490" x14ac:dyDescent="0.25">
      <c r="A574" s="7">
        <v>1.2936066304537963</v>
      </c>
      <c r="B574"/>
      <c r="C574"/>
      <c r="D574"/>
      <c r="E574"/>
      <c r="NA574" s="27" t="s">
        <v>8</v>
      </c>
      <c r="ND574" s="27" t="s">
        <v>7</v>
      </c>
      <c r="NE574" s="27" t="s">
        <v>8</v>
      </c>
      <c r="NF574" s="27" t="s">
        <v>7</v>
      </c>
      <c r="NG574" s="27" t="s">
        <v>8</v>
      </c>
      <c r="NR574" s="27" t="s">
        <v>7</v>
      </c>
      <c r="NT574" s="27" t="s">
        <v>7</v>
      </c>
      <c r="NU574" s="27" t="s">
        <v>8</v>
      </c>
      <c r="NZ574" s="27" t="s">
        <v>7</v>
      </c>
      <c r="OW574" s="27" t="s">
        <v>8</v>
      </c>
      <c r="OZ574" s="27" t="s">
        <v>7</v>
      </c>
      <c r="PH574" s="27" t="s">
        <v>7</v>
      </c>
      <c r="PI574" s="27" t="s">
        <v>8</v>
      </c>
      <c r="PJ574" s="27" t="s">
        <v>7</v>
      </c>
      <c r="PK574" s="27" t="s">
        <v>8</v>
      </c>
      <c r="PN574" s="27" t="s">
        <v>7</v>
      </c>
      <c r="PS574" s="27" t="s">
        <v>8</v>
      </c>
      <c r="PT574" s="27" t="s">
        <v>7</v>
      </c>
      <c r="PU574" s="27" t="s">
        <v>8</v>
      </c>
      <c r="PV574" s="27" t="s">
        <v>7</v>
      </c>
      <c r="PW574" s="27" t="s">
        <v>8</v>
      </c>
      <c r="PX574" s="27" t="s">
        <v>7</v>
      </c>
      <c r="PY574" s="27" t="s">
        <v>8</v>
      </c>
    </row>
    <row r="575" spans="1:490" x14ac:dyDescent="0.25">
      <c r="A575" s="7">
        <v>1.2682417945625455</v>
      </c>
      <c r="B575"/>
      <c r="C575"/>
      <c r="D575"/>
      <c r="E575"/>
      <c r="NA575" s="27" t="s">
        <v>8</v>
      </c>
      <c r="ND575" s="27" t="s">
        <v>7</v>
      </c>
      <c r="NE575" s="27" t="s">
        <v>8</v>
      </c>
      <c r="NF575" s="27" t="s">
        <v>7</v>
      </c>
      <c r="NG575" s="27" t="s">
        <v>8</v>
      </c>
      <c r="NT575" s="27" t="s">
        <v>7</v>
      </c>
      <c r="NU575" s="27" t="s">
        <v>8</v>
      </c>
      <c r="NZ575" s="27" t="s">
        <v>7</v>
      </c>
      <c r="OW575" s="27" t="s">
        <v>8</v>
      </c>
      <c r="PH575" s="27" t="s">
        <v>7</v>
      </c>
      <c r="PI575" s="27" t="s">
        <v>8</v>
      </c>
      <c r="PJ575" s="27" t="s">
        <v>7</v>
      </c>
      <c r="PK575" s="27" t="s">
        <v>8</v>
      </c>
      <c r="PN575" s="27" t="s">
        <v>7</v>
      </c>
      <c r="PS575" s="27" t="s">
        <v>8</v>
      </c>
      <c r="PT575" s="27" t="s">
        <v>7</v>
      </c>
      <c r="PU575" s="27" t="s">
        <v>8</v>
      </c>
      <c r="PV575" s="27" t="s">
        <v>7</v>
      </c>
      <c r="PW575" s="27" t="s">
        <v>8</v>
      </c>
      <c r="PX575" s="27" t="s">
        <v>7</v>
      </c>
      <c r="PY575" s="27" t="s">
        <v>8</v>
      </c>
    </row>
    <row r="576" spans="1:490" x14ac:dyDescent="0.25">
      <c r="A576" s="7">
        <v>1.2433743083946525</v>
      </c>
      <c r="B576"/>
      <c r="C576"/>
      <c r="D576"/>
      <c r="E576"/>
      <c r="NA576" s="27" t="s">
        <v>8</v>
      </c>
      <c r="ND576" s="27" t="s">
        <v>7</v>
      </c>
      <c r="NE576" s="27" t="s">
        <v>8</v>
      </c>
      <c r="NF576" s="27" t="s">
        <v>7</v>
      </c>
      <c r="NG576" s="27" t="s">
        <v>8</v>
      </c>
      <c r="NT576" s="27" t="s">
        <v>7</v>
      </c>
      <c r="NU576" s="27" t="s">
        <v>8</v>
      </c>
      <c r="NZ576" s="27" t="s">
        <v>7</v>
      </c>
      <c r="OA576" s="27" t="s">
        <v>8</v>
      </c>
      <c r="OC576" s="27" t="s">
        <v>8</v>
      </c>
      <c r="OW576" s="27" t="s">
        <v>8</v>
      </c>
      <c r="PH576" s="27" t="s">
        <v>7</v>
      </c>
      <c r="PI576" s="27" t="s">
        <v>8</v>
      </c>
      <c r="PJ576" s="27" t="s">
        <v>7</v>
      </c>
      <c r="PK576" s="27" t="s">
        <v>8</v>
      </c>
      <c r="PN576" s="27" t="s">
        <v>7</v>
      </c>
      <c r="PO576" s="27" t="s">
        <v>8</v>
      </c>
      <c r="PS576" s="27" t="s">
        <v>8</v>
      </c>
      <c r="PT576" s="27" t="s">
        <v>7</v>
      </c>
      <c r="PV576" s="27" t="s">
        <v>7</v>
      </c>
      <c r="PW576" s="27" t="s">
        <v>8</v>
      </c>
      <c r="PX576" s="27" t="s">
        <v>7</v>
      </c>
      <c r="PY576" s="27" t="s">
        <v>8</v>
      </c>
    </row>
    <row r="577" spans="1:441" x14ac:dyDescent="0.25">
      <c r="A577" s="7">
        <v>1.2189944199947573</v>
      </c>
      <c r="B577"/>
      <c r="C577"/>
      <c r="D577"/>
      <c r="E577"/>
      <c r="MY577" s="27" t="s">
        <v>8</v>
      </c>
      <c r="NA577" s="27" t="s">
        <v>8</v>
      </c>
      <c r="ND577" s="27" t="s">
        <v>7</v>
      </c>
      <c r="NE577" s="27" t="s">
        <v>8</v>
      </c>
      <c r="NF577" s="27" t="s">
        <v>7</v>
      </c>
      <c r="NG577" s="27" t="s">
        <v>8</v>
      </c>
      <c r="NT577" s="27" t="s">
        <v>7</v>
      </c>
      <c r="NU577" s="27" t="s">
        <v>8</v>
      </c>
      <c r="NZ577" s="27" t="s">
        <v>7</v>
      </c>
      <c r="OA577" s="27" t="s">
        <v>8</v>
      </c>
      <c r="OB577" s="27" t="s">
        <v>7</v>
      </c>
      <c r="OC577" s="27" t="s">
        <v>8</v>
      </c>
      <c r="OD577" s="27" t="s">
        <v>7</v>
      </c>
      <c r="OW577" s="27" t="s">
        <v>8</v>
      </c>
      <c r="PH577" s="27" t="s">
        <v>7</v>
      </c>
      <c r="PI577" s="27" t="s">
        <v>8</v>
      </c>
      <c r="PJ577" s="27" t="s">
        <v>7</v>
      </c>
      <c r="PK577" s="27" t="s">
        <v>8</v>
      </c>
      <c r="PN577" s="27" t="s">
        <v>7</v>
      </c>
      <c r="PO577" s="27" t="s">
        <v>8</v>
      </c>
      <c r="PP577" s="27" t="s">
        <v>7</v>
      </c>
      <c r="PS577" s="27" t="s">
        <v>8</v>
      </c>
      <c r="PV577" s="27" t="s">
        <v>7</v>
      </c>
      <c r="PX577" s="27" t="s">
        <v>7</v>
      </c>
      <c r="PY577" s="27" t="s">
        <v>8</v>
      </c>
    </row>
    <row r="578" spans="1:441" x14ac:dyDescent="0.25">
      <c r="A578" s="7">
        <v>1.1950925686223111</v>
      </c>
      <c r="B578"/>
      <c r="C578"/>
      <c r="D578"/>
      <c r="E578"/>
      <c r="MY578" s="27" t="s">
        <v>8</v>
      </c>
      <c r="MZ578" s="27" t="s">
        <v>7</v>
      </c>
      <c r="NA578" s="27" t="s">
        <v>8</v>
      </c>
      <c r="ND578" s="27" t="s">
        <v>7</v>
      </c>
      <c r="NE578" s="27" t="s">
        <v>8</v>
      </c>
      <c r="NF578" s="27" t="s">
        <v>7</v>
      </c>
      <c r="NG578" s="27" t="s">
        <v>8</v>
      </c>
      <c r="NT578" s="27" t="s">
        <v>7</v>
      </c>
      <c r="NU578" s="27" t="s">
        <v>8</v>
      </c>
      <c r="NZ578" s="27" t="s">
        <v>7</v>
      </c>
      <c r="OA578" s="27" t="s">
        <v>8</v>
      </c>
      <c r="OB578" s="27" t="s">
        <v>7</v>
      </c>
      <c r="OC578" s="27" t="s">
        <v>8</v>
      </c>
      <c r="OD578" s="27" t="s">
        <v>7</v>
      </c>
      <c r="OU578" s="27" t="s">
        <v>8</v>
      </c>
      <c r="OW578" s="27" t="s">
        <v>8</v>
      </c>
      <c r="PH578" s="27" t="s">
        <v>7</v>
      </c>
      <c r="PI578" s="27" t="s">
        <v>8</v>
      </c>
      <c r="PJ578" s="27" t="s">
        <v>7</v>
      </c>
      <c r="PN578" s="27" t="s">
        <v>7</v>
      </c>
      <c r="PO578" s="27" t="s">
        <v>8</v>
      </c>
      <c r="PP578" s="27" t="s">
        <v>7</v>
      </c>
      <c r="PS578" s="27" t="s">
        <v>8</v>
      </c>
      <c r="PX578" s="27" t="s">
        <v>7</v>
      </c>
      <c r="PY578" s="27" t="s">
        <v>8</v>
      </c>
    </row>
    <row r="579" spans="1:441" x14ac:dyDescent="0.25">
      <c r="A579" s="7">
        <v>1.1716593810022657</v>
      </c>
      <c r="B579"/>
      <c r="C579"/>
      <c r="D579"/>
      <c r="E579"/>
      <c r="MY579" s="27" t="s">
        <v>8</v>
      </c>
      <c r="MZ579" s="27" t="s">
        <v>7</v>
      </c>
      <c r="NA579" s="27" t="s">
        <v>8</v>
      </c>
      <c r="ND579" s="27" t="s">
        <v>7</v>
      </c>
      <c r="NE579" s="27" t="s">
        <v>8</v>
      </c>
      <c r="NF579" s="27" t="s">
        <v>7</v>
      </c>
      <c r="NG579" s="27" t="s">
        <v>8</v>
      </c>
      <c r="NT579" s="27" t="s">
        <v>7</v>
      </c>
      <c r="NZ579" s="27" t="s">
        <v>7</v>
      </c>
      <c r="OA579" s="27" t="s">
        <v>8</v>
      </c>
      <c r="OB579" s="27" t="s">
        <v>7</v>
      </c>
      <c r="OC579" s="27" t="s">
        <v>8</v>
      </c>
      <c r="OD579" s="27" t="s">
        <v>7</v>
      </c>
      <c r="OE579" s="27" t="s">
        <v>8</v>
      </c>
      <c r="OG579" s="27" t="s">
        <v>8</v>
      </c>
      <c r="OU579" s="27" t="s">
        <v>8</v>
      </c>
      <c r="OV579" s="27" t="s">
        <v>7</v>
      </c>
      <c r="OW579" s="27" t="s">
        <v>8</v>
      </c>
      <c r="PH579" s="27" t="s">
        <v>7</v>
      </c>
      <c r="PI579" s="27" t="s">
        <v>8</v>
      </c>
      <c r="PN579" s="27" t="s">
        <v>7</v>
      </c>
      <c r="PO579" s="27" t="s">
        <v>8</v>
      </c>
      <c r="PP579" s="27" t="s">
        <v>7</v>
      </c>
      <c r="PS579" s="27" t="s">
        <v>8</v>
      </c>
      <c r="PX579" s="27" t="s">
        <v>7</v>
      </c>
    </row>
    <row r="580" spans="1:441" x14ac:dyDescent="0.25">
      <c r="A580" s="7">
        <v>1.14868566764928</v>
      </c>
      <c r="B580"/>
      <c r="C580"/>
      <c r="D580"/>
      <c r="E580"/>
      <c r="MY580" s="27" t="s">
        <v>8</v>
      </c>
      <c r="MZ580" s="27" t="s">
        <v>7</v>
      </c>
      <c r="NA580" s="27" t="s">
        <v>8</v>
      </c>
      <c r="ND580" s="27" t="s">
        <v>7</v>
      </c>
      <c r="NE580" s="27" t="s">
        <v>8</v>
      </c>
      <c r="NF580" s="27" t="s">
        <v>7</v>
      </c>
      <c r="NG580" s="27" t="s">
        <v>8</v>
      </c>
      <c r="NZ580" s="27" t="s">
        <v>7</v>
      </c>
      <c r="OA580" s="27" t="s">
        <v>8</v>
      </c>
      <c r="OB580" s="27" t="s">
        <v>7</v>
      </c>
      <c r="OC580" s="27" t="s">
        <v>8</v>
      </c>
      <c r="OD580" s="27" t="s">
        <v>7</v>
      </c>
      <c r="OE580" s="27" t="s">
        <v>8</v>
      </c>
      <c r="OF580" s="27" t="s">
        <v>7</v>
      </c>
      <c r="OG580" s="27" t="s">
        <v>8</v>
      </c>
      <c r="OH580" s="27" t="s">
        <v>7</v>
      </c>
      <c r="OU580" s="27" t="s">
        <v>8</v>
      </c>
      <c r="OV580" s="27" t="s">
        <v>7</v>
      </c>
      <c r="OW580" s="27" t="s">
        <v>8</v>
      </c>
      <c r="PH580" s="27" t="s">
        <v>7</v>
      </c>
      <c r="PI580" s="27" t="s">
        <v>8</v>
      </c>
      <c r="PN580" s="27" t="s">
        <v>7</v>
      </c>
      <c r="PO580" s="27" t="s">
        <v>8</v>
      </c>
      <c r="PP580" s="27" t="s">
        <v>7</v>
      </c>
      <c r="PQ580" s="27" t="s">
        <v>8</v>
      </c>
      <c r="PS580" s="27" t="s">
        <v>8</v>
      </c>
    </row>
    <row r="581" spans="1:441" x14ac:dyDescent="0.25">
      <c r="A581" s="7">
        <v>1.1261624192640001</v>
      </c>
      <c r="B581"/>
      <c r="C581"/>
      <c r="D581"/>
      <c r="E581"/>
      <c r="MY581" s="27" t="s">
        <v>8</v>
      </c>
      <c r="MZ581" s="27" t="s">
        <v>7</v>
      </c>
      <c r="NA581" s="27" t="s">
        <v>8</v>
      </c>
      <c r="ND581" s="27" t="s">
        <v>7</v>
      </c>
      <c r="NE581" s="27" t="s">
        <v>8</v>
      </c>
      <c r="NF581" s="27" t="s">
        <v>7</v>
      </c>
      <c r="NG581" s="27" t="s">
        <v>8</v>
      </c>
      <c r="NZ581" s="27" t="s">
        <v>7</v>
      </c>
      <c r="OA581" s="27" t="s">
        <v>8</v>
      </c>
      <c r="OB581" s="27" t="s">
        <v>7</v>
      </c>
      <c r="OC581" s="27" t="s">
        <v>8</v>
      </c>
      <c r="OD581" s="27" t="s">
        <v>7</v>
      </c>
      <c r="OE581" s="27" t="s">
        <v>8</v>
      </c>
      <c r="OF581" s="27" t="s">
        <v>7</v>
      </c>
      <c r="OG581" s="27" t="s">
        <v>8</v>
      </c>
      <c r="OH581" s="27" t="s">
        <v>7</v>
      </c>
      <c r="OQ581" s="27" t="s">
        <v>8</v>
      </c>
      <c r="OS581" s="27" t="s">
        <v>8</v>
      </c>
      <c r="OU581" s="27" t="s">
        <v>8</v>
      </c>
      <c r="OV581" s="27" t="s">
        <v>7</v>
      </c>
      <c r="OW581" s="27" t="s">
        <v>8</v>
      </c>
      <c r="PH581" s="27" t="s">
        <v>7</v>
      </c>
      <c r="PN581" s="27" t="s">
        <v>7</v>
      </c>
      <c r="PO581" s="27" t="s">
        <v>8</v>
      </c>
      <c r="PP581" s="27" t="s">
        <v>7</v>
      </c>
      <c r="PQ581" s="27" t="s">
        <v>8</v>
      </c>
      <c r="PR581" s="27" t="s">
        <v>7</v>
      </c>
      <c r="PS581" s="27" t="s">
        <v>8</v>
      </c>
    </row>
    <row r="582" spans="1:441" x14ac:dyDescent="0.25">
      <c r="A582" s="7">
        <v>1.1040808032</v>
      </c>
      <c r="B582"/>
      <c r="C582"/>
      <c r="D582"/>
      <c r="E582"/>
      <c r="MY582" s="27" t="s">
        <v>8</v>
      </c>
      <c r="MZ582" s="27" t="s">
        <v>7</v>
      </c>
      <c r="NA582" s="27" t="s">
        <v>8</v>
      </c>
      <c r="ND582" s="27" t="s">
        <v>7</v>
      </c>
      <c r="NE582" s="27" t="s">
        <v>8</v>
      </c>
      <c r="NF582" s="27" t="s">
        <v>7</v>
      </c>
      <c r="NG582" s="27" t="s">
        <v>8</v>
      </c>
      <c r="NZ582" s="27" t="s">
        <v>7</v>
      </c>
      <c r="OA582" s="27" t="s">
        <v>8</v>
      </c>
      <c r="OB582" s="27" t="s">
        <v>7</v>
      </c>
      <c r="OC582" s="27" t="s">
        <v>8</v>
      </c>
      <c r="OD582" s="27" t="s">
        <v>7</v>
      </c>
      <c r="OE582" s="27" t="s">
        <v>8</v>
      </c>
      <c r="OF582" s="27" t="s">
        <v>7</v>
      </c>
      <c r="OG582" s="27" t="s">
        <v>8</v>
      </c>
      <c r="OH582" s="27" t="s">
        <v>7</v>
      </c>
      <c r="OQ582" s="27" t="s">
        <v>8</v>
      </c>
      <c r="OR582" s="27" t="s">
        <v>7</v>
      </c>
      <c r="OS582" s="27" t="s">
        <v>8</v>
      </c>
      <c r="OT582" s="27" t="s">
        <v>7</v>
      </c>
      <c r="OU582" s="27" t="s">
        <v>8</v>
      </c>
      <c r="OV582" s="27" t="s">
        <v>7</v>
      </c>
      <c r="OW582" s="27" t="s">
        <v>8</v>
      </c>
      <c r="PN582" s="27" t="s">
        <v>7</v>
      </c>
      <c r="PO582" s="27" t="s">
        <v>8</v>
      </c>
      <c r="PP582" s="27" t="s">
        <v>7</v>
      </c>
      <c r="PQ582" s="27" t="s">
        <v>8</v>
      </c>
      <c r="PR582" s="27" t="s">
        <v>7</v>
      </c>
      <c r="PS582" s="27" t="s">
        <v>8</v>
      </c>
    </row>
    <row r="583" spans="1:441" x14ac:dyDescent="0.25">
      <c r="A583" s="7">
        <v>1.08243216</v>
      </c>
      <c r="B583"/>
      <c r="C583"/>
      <c r="D583"/>
      <c r="E583"/>
      <c r="MY583" s="27" t="s">
        <v>8</v>
      </c>
      <c r="MZ583" s="27" t="s">
        <v>7</v>
      </c>
      <c r="NA583" s="27" t="s">
        <v>8</v>
      </c>
      <c r="ND583" s="27" t="s">
        <v>7</v>
      </c>
      <c r="NE583" s="27" t="s">
        <v>8</v>
      </c>
      <c r="NF583" s="27" t="s">
        <v>7</v>
      </c>
      <c r="NG583" s="27" t="s">
        <v>8</v>
      </c>
      <c r="NZ583" s="27" t="s">
        <v>7</v>
      </c>
      <c r="OA583" s="27" t="s">
        <v>8</v>
      </c>
      <c r="OB583" s="27" t="s">
        <v>7</v>
      </c>
      <c r="OC583" s="27" t="s">
        <v>8</v>
      </c>
      <c r="OD583" s="27" t="s">
        <v>7</v>
      </c>
      <c r="OE583" s="27" t="s">
        <v>8</v>
      </c>
      <c r="OF583" s="27" t="s">
        <v>7</v>
      </c>
      <c r="OH583" s="27" t="s">
        <v>7</v>
      </c>
      <c r="OQ583" s="27" t="s">
        <v>8</v>
      </c>
      <c r="OR583" s="27" t="s">
        <v>7</v>
      </c>
      <c r="OS583" s="27" t="s">
        <v>8</v>
      </c>
      <c r="OT583" s="27" t="s">
        <v>7</v>
      </c>
      <c r="OU583" s="27" t="s">
        <v>8</v>
      </c>
      <c r="OV583" s="27" t="s">
        <v>7</v>
      </c>
      <c r="OW583" s="27" t="s">
        <v>8</v>
      </c>
      <c r="PN583" s="27" t="s">
        <v>7</v>
      </c>
      <c r="PO583" s="27" t="s">
        <v>8</v>
      </c>
      <c r="PP583" s="27" t="s">
        <v>7</v>
      </c>
      <c r="PQ583" s="27" t="s">
        <v>8</v>
      </c>
      <c r="PR583" s="27" t="s">
        <v>7</v>
      </c>
      <c r="PS583" s="27" t="s">
        <v>8</v>
      </c>
    </row>
    <row r="584" spans="1:441" x14ac:dyDescent="0.25">
      <c r="A584" s="7">
        <v>1.0612079999999999</v>
      </c>
      <c r="B584"/>
      <c r="C584"/>
      <c r="D584"/>
      <c r="E584"/>
      <c r="MY584" s="27" t="s">
        <v>8</v>
      </c>
      <c r="MZ584" s="27" t="s">
        <v>7</v>
      </c>
      <c r="NA584" s="27" t="s">
        <v>8</v>
      </c>
      <c r="ND584" s="27" t="s">
        <v>7</v>
      </c>
      <c r="NE584" s="27" t="s">
        <v>8</v>
      </c>
      <c r="NF584" s="27" t="s">
        <v>7</v>
      </c>
      <c r="NG584" s="27" t="s">
        <v>8</v>
      </c>
      <c r="NZ584" s="27" t="s">
        <v>7</v>
      </c>
      <c r="OA584" s="27" t="s">
        <v>8</v>
      </c>
      <c r="OB584" s="27" t="s">
        <v>7</v>
      </c>
      <c r="OC584" s="27" t="s">
        <v>8</v>
      </c>
      <c r="OD584" s="27" t="s">
        <v>7</v>
      </c>
      <c r="OH584" s="27" t="s">
        <v>7</v>
      </c>
      <c r="OQ584" s="27" t="s">
        <v>8</v>
      </c>
      <c r="OR584" s="27" t="s">
        <v>7</v>
      </c>
      <c r="OS584" s="27" t="s">
        <v>8</v>
      </c>
      <c r="OT584" s="27" t="s">
        <v>7</v>
      </c>
      <c r="OU584" s="27" t="s">
        <v>8</v>
      </c>
      <c r="OV584" s="27" t="s">
        <v>7</v>
      </c>
      <c r="OW584" s="27" t="s">
        <v>8</v>
      </c>
      <c r="PN584" s="27" t="s">
        <v>7</v>
      </c>
      <c r="PO584" s="27" t="s">
        <v>8</v>
      </c>
      <c r="PP584" s="27" t="s">
        <v>7</v>
      </c>
      <c r="PR584" s="27" t="s">
        <v>7</v>
      </c>
    </row>
    <row r="585" spans="1:441" x14ac:dyDescent="0.25">
      <c r="A585" s="7">
        <v>1.0404</v>
      </c>
      <c r="B585"/>
      <c r="C585"/>
      <c r="D585"/>
      <c r="E585"/>
      <c r="MW585" s="27" t="s">
        <v>8</v>
      </c>
      <c r="MY585" s="27" t="s">
        <v>8</v>
      </c>
      <c r="MZ585" s="27" t="s">
        <v>7</v>
      </c>
      <c r="NA585" s="27" t="s">
        <v>8</v>
      </c>
      <c r="ND585" s="27" t="s">
        <v>7</v>
      </c>
      <c r="NF585" s="27" t="s">
        <v>7</v>
      </c>
      <c r="NG585" s="27" t="s">
        <v>8</v>
      </c>
      <c r="NZ585" s="27" t="s">
        <v>7</v>
      </c>
      <c r="OA585" s="27" t="s">
        <v>8</v>
      </c>
      <c r="OB585" s="27" t="s">
        <v>7</v>
      </c>
      <c r="OC585" s="27" t="s">
        <v>8</v>
      </c>
      <c r="OH585" s="27" t="s">
        <v>7</v>
      </c>
      <c r="OQ585" s="27" t="s">
        <v>8</v>
      </c>
      <c r="OR585" s="27" t="s">
        <v>7</v>
      </c>
      <c r="OS585" s="27" t="s">
        <v>8</v>
      </c>
      <c r="OT585" s="27" t="s">
        <v>7</v>
      </c>
      <c r="OU585" s="27" t="s">
        <v>8</v>
      </c>
      <c r="OV585" s="27" t="s">
        <v>7</v>
      </c>
      <c r="PN585" s="27" t="s">
        <v>7</v>
      </c>
      <c r="PO585" s="27" t="s">
        <v>8</v>
      </c>
    </row>
    <row r="586" spans="1:441" x14ac:dyDescent="0.25">
      <c r="A586" s="7">
        <v>1.02</v>
      </c>
      <c r="B586"/>
      <c r="C586"/>
      <c r="D586"/>
      <c r="E586"/>
      <c r="MW586" s="27" t="s">
        <v>8</v>
      </c>
      <c r="MX586" s="27" t="s">
        <v>7</v>
      </c>
      <c r="MY586" s="27" t="s">
        <v>8</v>
      </c>
      <c r="MZ586" s="27" t="s">
        <v>7</v>
      </c>
      <c r="NA586" s="27" t="s">
        <v>8</v>
      </c>
      <c r="NF586" s="27" t="s">
        <v>7</v>
      </c>
      <c r="NG586" s="27" t="s">
        <v>8</v>
      </c>
      <c r="NZ586" s="27" t="s">
        <v>7</v>
      </c>
      <c r="OA586" s="27" t="s">
        <v>8</v>
      </c>
      <c r="OB586" s="27" t="s">
        <v>7</v>
      </c>
      <c r="OH586" s="27" t="s">
        <v>7</v>
      </c>
      <c r="OQ586" s="27" t="s">
        <v>8</v>
      </c>
      <c r="OR586" s="27" t="s">
        <v>7</v>
      </c>
      <c r="OS586" s="27" t="s">
        <v>8</v>
      </c>
      <c r="OT586" s="27" t="s">
        <v>7</v>
      </c>
      <c r="PN586" s="27" t="s">
        <v>7</v>
      </c>
    </row>
    <row r="587" spans="1:441" x14ac:dyDescent="0.25">
      <c r="A587" s="7">
        <v>1</v>
      </c>
      <c r="B587"/>
      <c r="C587"/>
      <c r="D587"/>
      <c r="E587" s="29" t="s">
        <v>8</v>
      </c>
      <c r="MW587" s="27" t="s">
        <v>8</v>
      </c>
      <c r="MX587" s="27" t="s">
        <v>7</v>
      </c>
      <c r="MY587" s="27" t="s">
        <v>8</v>
      </c>
      <c r="MZ587" s="27" t="s">
        <v>7</v>
      </c>
      <c r="NA587" s="27" t="s">
        <v>8</v>
      </c>
      <c r="NF587" s="27" t="s">
        <v>7</v>
      </c>
      <c r="NG587" s="27" t="s">
        <v>8</v>
      </c>
      <c r="NZ587" s="27" t="s">
        <v>7</v>
      </c>
      <c r="OA587" s="27" t="s">
        <v>8</v>
      </c>
      <c r="OH587" s="27" t="s">
        <v>7</v>
      </c>
      <c r="OQ587" s="27" t="s">
        <v>8</v>
      </c>
      <c r="OR587" s="27" t="s">
        <v>7</v>
      </c>
      <c r="OS587" s="27" t="s">
        <v>8</v>
      </c>
    </row>
    <row r="588" spans="1:441" x14ac:dyDescent="0.25">
      <c r="A588" s="7">
        <v>0.98039215686274506</v>
      </c>
      <c r="B588"/>
      <c r="C588"/>
      <c r="D588"/>
      <c r="E588"/>
      <c r="F588" s="27" t="s">
        <v>7</v>
      </c>
      <c r="MW588" s="27" t="s">
        <v>8</v>
      </c>
      <c r="MX588" s="27" t="s">
        <v>7</v>
      </c>
      <c r="MY588" s="27" t="s">
        <v>8</v>
      </c>
      <c r="MZ588" s="27" t="s">
        <v>7</v>
      </c>
      <c r="NA588" s="27" t="s">
        <v>8</v>
      </c>
      <c r="NF588" s="27" t="s">
        <v>7</v>
      </c>
      <c r="NG588" s="27" t="s">
        <v>8</v>
      </c>
      <c r="NZ588" s="27" t="s">
        <v>7</v>
      </c>
      <c r="OA588" s="27" t="s">
        <v>8</v>
      </c>
      <c r="OH588" s="27" t="s">
        <v>7</v>
      </c>
      <c r="OO588" s="27" t="s">
        <v>8</v>
      </c>
      <c r="OQ588" s="27" t="s">
        <v>8</v>
      </c>
      <c r="OR588" s="27" t="s">
        <v>7</v>
      </c>
      <c r="OS588" s="27" t="s">
        <v>8</v>
      </c>
    </row>
    <row r="589" spans="1:441" x14ac:dyDescent="0.25">
      <c r="A589" s="7">
        <v>0.96116878123798544</v>
      </c>
      <c r="B589"/>
      <c r="C589"/>
      <c r="D589"/>
      <c r="E589"/>
      <c r="F589" s="27" t="s">
        <v>7</v>
      </c>
      <c r="MW589" s="27" t="s">
        <v>8</v>
      </c>
      <c r="MX589" s="27" t="s">
        <v>7</v>
      </c>
      <c r="MY589" s="27" t="s">
        <v>8</v>
      </c>
      <c r="MZ589" s="27" t="s">
        <v>7</v>
      </c>
      <c r="NF589" s="27" t="s">
        <v>7</v>
      </c>
      <c r="NG589" s="27" t="s">
        <v>8</v>
      </c>
      <c r="NZ589" s="27" t="s">
        <v>7</v>
      </c>
      <c r="OA589" s="27" t="s">
        <v>8</v>
      </c>
      <c r="OH589" s="27" t="s">
        <v>7</v>
      </c>
      <c r="OO589" s="27" t="s">
        <v>8</v>
      </c>
      <c r="OP589" s="27" t="s">
        <v>7</v>
      </c>
      <c r="OQ589" s="27" t="s">
        <v>8</v>
      </c>
      <c r="OR589" s="27" t="s">
        <v>7</v>
      </c>
      <c r="OS589" s="27" t="s">
        <v>8</v>
      </c>
    </row>
    <row r="590" spans="1:441" x14ac:dyDescent="0.25">
      <c r="A590" s="7">
        <v>0.94232233454704462</v>
      </c>
      <c r="B590"/>
      <c r="C590"/>
      <c r="D590"/>
      <c r="E590"/>
      <c r="F590" s="27" t="s">
        <v>7</v>
      </c>
      <c r="MQ590" s="27" t="s">
        <v>8</v>
      </c>
      <c r="MW590" s="27" t="s">
        <v>8</v>
      </c>
      <c r="MX590" s="27" t="s">
        <v>7</v>
      </c>
      <c r="MY590" s="27" t="s">
        <v>8</v>
      </c>
      <c r="NF590" s="27" t="s">
        <v>7</v>
      </c>
      <c r="NG590" s="27" t="s">
        <v>8</v>
      </c>
      <c r="NZ590" s="27" t="s">
        <v>7</v>
      </c>
      <c r="OH590" s="27" t="s">
        <v>7</v>
      </c>
      <c r="OI590" s="27" t="s">
        <v>8</v>
      </c>
      <c r="OM590" s="27" t="s">
        <v>8</v>
      </c>
      <c r="OO590" s="27" t="s">
        <v>8</v>
      </c>
      <c r="OP590" s="27" t="s">
        <v>7</v>
      </c>
      <c r="OQ590" s="27" t="s">
        <v>8</v>
      </c>
      <c r="OR590" s="27" t="s">
        <v>7</v>
      </c>
    </row>
    <row r="591" spans="1:441" x14ac:dyDescent="0.25">
      <c r="A591" s="7">
        <v>0.92384542602651432</v>
      </c>
      <c r="B591"/>
      <c r="C591"/>
      <c r="D591"/>
      <c r="E591"/>
      <c r="F591" s="27" t="s">
        <v>7</v>
      </c>
      <c r="MQ591" s="27" t="s">
        <v>8</v>
      </c>
      <c r="MR591" s="27" t="s">
        <v>7</v>
      </c>
      <c r="MW591" s="27" t="s">
        <v>8</v>
      </c>
      <c r="MX591" s="27" t="s">
        <v>7</v>
      </c>
      <c r="MY591" s="27" t="s">
        <v>8</v>
      </c>
      <c r="NF591" s="27" t="s">
        <v>7</v>
      </c>
      <c r="NG591" s="27" t="s">
        <v>8</v>
      </c>
      <c r="OH591" s="27" t="s">
        <v>7</v>
      </c>
      <c r="OI591" s="27" t="s">
        <v>8</v>
      </c>
      <c r="OJ591" s="27" t="s">
        <v>7</v>
      </c>
      <c r="OM591" s="27" t="s">
        <v>8</v>
      </c>
      <c r="ON591" s="27" t="s">
        <v>7</v>
      </c>
      <c r="OO591" s="27" t="s">
        <v>8</v>
      </c>
      <c r="OP591" s="27" t="s">
        <v>7</v>
      </c>
      <c r="OQ591" s="27" t="s">
        <v>8</v>
      </c>
    </row>
    <row r="592" spans="1:441" x14ac:dyDescent="0.25">
      <c r="A592" s="7">
        <v>0.90573080982991594</v>
      </c>
      <c r="B592"/>
      <c r="C592"/>
      <c r="D592"/>
      <c r="E592"/>
      <c r="F592" s="27" t="s">
        <v>7</v>
      </c>
      <c r="MQ592" s="27" t="s">
        <v>8</v>
      </c>
      <c r="MR592" s="27" t="s">
        <v>7</v>
      </c>
      <c r="MW592" s="27" t="s">
        <v>8</v>
      </c>
      <c r="MX592" s="27" t="s">
        <v>7</v>
      </c>
      <c r="MY592" s="27" t="s">
        <v>8</v>
      </c>
      <c r="NF592" s="27" t="s">
        <v>7</v>
      </c>
      <c r="NG592" s="27" t="s">
        <v>8</v>
      </c>
      <c r="OH592" s="27" t="s">
        <v>7</v>
      </c>
      <c r="OI592" s="27" t="s">
        <v>8</v>
      </c>
      <c r="OJ592" s="27" t="s">
        <v>7</v>
      </c>
      <c r="OM592" s="27" t="s">
        <v>8</v>
      </c>
      <c r="ON592" s="27" t="s">
        <v>7</v>
      </c>
      <c r="OO592" s="27" t="s">
        <v>8</v>
      </c>
      <c r="OP592" s="27" t="s">
        <v>7</v>
      </c>
      <c r="OQ592" s="27" t="s">
        <v>8</v>
      </c>
    </row>
    <row r="593" spans="1:406" x14ac:dyDescent="0.25">
      <c r="A593" s="7">
        <v>0.8879713821861922</v>
      </c>
      <c r="B593"/>
      <c r="C593"/>
      <c r="D593"/>
      <c r="E593"/>
      <c r="F593" s="27" t="s">
        <v>7</v>
      </c>
      <c r="MQ593" s="27" t="s">
        <v>8</v>
      </c>
      <c r="MR593" s="27" t="s">
        <v>7</v>
      </c>
      <c r="MW593" s="27" t="s">
        <v>8</v>
      </c>
      <c r="MX593" s="27" t="s">
        <v>7</v>
      </c>
      <c r="MY593" s="27" t="s">
        <v>8</v>
      </c>
      <c r="NF593" s="27" t="s">
        <v>7</v>
      </c>
      <c r="NG593" s="27" t="s">
        <v>8</v>
      </c>
      <c r="OH593" s="27" t="s">
        <v>7</v>
      </c>
      <c r="OI593" s="27" t="s">
        <v>8</v>
      </c>
      <c r="OJ593" s="27" t="s">
        <v>7</v>
      </c>
      <c r="OM593" s="27" t="s">
        <v>8</v>
      </c>
      <c r="ON593" s="27" t="s">
        <v>7</v>
      </c>
      <c r="OO593" s="27" t="s">
        <v>8</v>
      </c>
      <c r="OP593" s="27" t="s">
        <v>7</v>
      </c>
    </row>
    <row r="594" spans="1:406" x14ac:dyDescent="0.25">
      <c r="A594" s="7">
        <v>0.87056017861391399</v>
      </c>
      <c r="B594"/>
      <c r="C594"/>
      <c r="D594"/>
      <c r="E594"/>
      <c r="F594" s="27" t="s">
        <v>7</v>
      </c>
      <c r="MQ594" s="27" t="s">
        <v>8</v>
      </c>
      <c r="MR594" s="27" t="s">
        <v>7</v>
      </c>
      <c r="MW594" s="27" t="s">
        <v>8</v>
      </c>
      <c r="MX594" s="27" t="s">
        <v>7</v>
      </c>
      <c r="MY594" s="27" t="s">
        <v>8</v>
      </c>
      <c r="NF594" s="27" t="s">
        <v>7</v>
      </c>
      <c r="NG594" s="27" t="s">
        <v>8</v>
      </c>
      <c r="OH594" s="27" t="s">
        <v>7</v>
      </c>
      <c r="OJ594" s="27" t="s">
        <v>7</v>
      </c>
      <c r="OM594" s="27" t="s">
        <v>8</v>
      </c>
      <c r="ON594" s="27" t="s">
        <v>7</v>
      </c>
      <c r="OO594" s="27" t="s">
        <v>8</v>
      </c>
    </row>
    <row r="595" spans="1:406" x14ac:dyDescent="0.25">
      <c r="A595" s="7">
        <v>0.85349037119011173</v>
      </c>
      <c r="B595"/>
      <c r="C595"/>
      <c r="D595"/>
      <c r="E595"/>
      <c r="F595" s="27" t="s">
        <v>7</v>
      </c>
      <c r="MQ595" s="27" t="s">
        <v>8</v>
      </c>
      <c r="MR595" s="27" t="s">
        <v>7</v>
      </c>
      <c r="MS595" s="27" t="s">
        <v>8</v>
      </c>
      <c r="MW595" s="27" t="s">
        <v>8</v>
      </c>
      <c r="MX595" s="27" t="s">
        <v>7</v>
      </c>
      <c r="MY595" s="27" t="s">
        <v>8</v>
      </c>
      <c r="NF595" s="27" t="s">
        <v>7</v>
      </c>
      <c r="NG595" s="27" t="s">
        <v>8</v>
      </c>
      <c r="OJ595" s="27" t="s">
        <v>7</v>
      </c>
      <c r="OK595" s="27" t="s">
        <v>8</v>
      </c>
      <c r="OM595" s="27" t="s">
        <v>8</v>
      </c>
      <c r="ON595" s="27" t="s">
        <v>7</v>
      </c>
    </row>
    <row r="596" spans="1:406" x14ac:dyDescent="0.25">
      <c r="A596" s="7">
        <v>0.83675526587265858</v>
      </c>
      <c r="B596"/>
      <c r="C596"/>
      <c r="D596"/>
      <c r="E596"/>
      <c r="F596" s="27" t="s">
        <v>7</v>
      </c>
      <c r="MQ596" s="27" t="s">
        <v>8</v>
      </c>
      <c r="MR596" s="27" t="s">
        <v>7</v>
      </c>
      <c r="MS596" s="27" t="s">
        <v>8</v>
      </c>
      <c r="MT596" s="27" t="s">
        <v>7</v>
      </c>
      <c r="MW596" s="27" t="s">
        <v>8</v>
      </c>
      <c r="MX596" s="27" t="s">
        <v>7</v>
      </c>
      <c r="MY596" s="27" t="s">
        <v>8</v>
      </c>
      <c r="NF596" s="27" t="s">
        <v>7</v>
      </c>
      <c r="NG596" s="27" t="s">
        <v>8</v>
      </c>
      <c r="OJ596" s="27" t="s">
        <v>7</v>
      </c>
      <c r="OK596" s="27" t="s">
        <v>8</v>
      </c>
      <c r="OL596" s="27" t="s">
        <v>7</v>
      </c>
      <c r="OM596" s="27" t="s">
        <v>8</v>
      </c>
    </row>
    <row r="597" spans="1:406" x14ac:dyDescent="0.25">
      <c r="A597" s="7">
        <v>0.82034829987515545</v>
      </c>
      <c r="B597"/>
      <c r="C597"/>
      <c r="D597"/>
      <c r="E597"/>
      <c r="F597" s="27" t="s">
        <v>7</v>
      </c>
      <c r="MQ597" s="27" t="s">
        <v>8</v>
      </c>
      <c r="MR597" s="27" t="s">
        <v>7</v>
      </c>
      <c r="MS597" s="27" t="s">
        <v>8</v>
      </c>
      <c r="MT597" s="27" t="s">
        <v>7</v>
      </c>
      <c r="MU597" s="27" t="s">
        <v>8</v>
      </c>
      <c r="MW597" s="27" t="s">
        <v>8</v>
      </c>
      <c r="MX597" s="27" t="s">
        <v>7</v>
      </c>
      <c r="MY597" s="27" t="s">
        <v>8</v>
      </c>
      <c r="NF597" s="27" t="s">
        <v>7</v>
      </c>
      <c r="NG597" s="27" t="s">
        <v>8</v>
      </c>
      <c r="OJ597" s="27" t="s">
        <v>7</v>
      </c>
      <c r="OK597" s="27" t="s">
        <v>8</v>
      </c>
      <c r="OL597" s="27" t="s">
        <v>7</v>
      </c>
      <c r="OM597" s="27" t="s">
        <v>8</v>
      </c>
    </row>
    <row r="598" spans="1:406" x14ac:dyDescent="0.25">
      <c r="A598" s="7">
        <v>0.80426303909328967</v>
      </c>
      <c r="B598"/>
      <c r="C598"/>
      <c r="D598"/>
      <c r="E598"/>
      <c r="F598" s="27" t="s">
        <v>7</v>
      </c>
      <c r="MQ598" s="27" t="s">
        <v>8</v>
      </c>
      <c r="MR598" s="27" t="s">
        <v>7</v>
      </c>
      <c r="MS598" s="27" t="s">
        <v>8</v>
      </c>
      <c r="MT598" s="27" t="s">
        <v>7</v>
      </c>
      <c r="MU598" s="27" t="s">
        <v>8</v>
      </c>
      <c r="MV598" s="27" t="s">
        <v>7</v>
      </c>
      <c r="MW598" s="27" t="s">
        <v>8</v>
      </c>
      <c r="MX598" s="27" t="s">
        <v>7</v>
      </c>
      <c r="MY598" s="27" t="s">
        <v>8</v>
      </c>
      <c r="NF598" s="27" t="s">
        <v>7</v>
      </c>
      <c r="NG598" s="27" t="s">
        <v>8</v>
      </c>
      <c r="OJ598" s="27" t="s">
        <v>7</v>
      </c>
      <c r="OK598" s="27" t="s">
        <v>8</v>
      </c>
      <c r="OL598" s="27" t="s">
        <v>7</v>
      </c>
      <c r="OM598" s="27" t="s">
        <v>8</v>
      </c>
    </row>
    <row r="599" spans="1:406" x14ac:dyDescent="0.25">
      <c r="A599" s="7">
        <v>0.78849317558165644</v>
      </c>
      <c r="B599"/>
      <c r="C599"/>
      <c r="D599"/>
      <c r="E599"/>
      <c r="F599" s="27" t="s">
        <v>7</v>
      </c>
      <c r="MQ599" s="27" t="s">
        <v>8</v>
      </c>
      <c r="MR599" s="27" t="s">
        <v>7</v>
      </c>
      <c r="MS599" s="27" t="s">
        <v>8</v>
      </c>
      <c r="MT599" s="27" t="s">
        <v>7</v>
      </c>
      <c r="MU599" s="27" t="s">
        <v>8</v>
      </c>
      <c r="MV599" s="27" t="s">
        <v>7</v>
      </c>
      <c r="MW599" s="27" t="s">
        <v>8</v>
      </c>
      <c r="MX599" s="27" t="s">
        <v>7</v>
      </c>
      <c r="MY599" s="27" t="s">
        <v>8</v>
      </c>
      <c r="NF599" s="27" t="s">
        <v>7</v>
      </c>
      <c r="NG599" s="27" t="s">
        <v>8</v>
      </c>
      <c r="OJ599" s="27" t="s">
        <v>7</v>
      </c>
      <c r="OL599" s="27" t="s">
        <v>7</v>
      </c>
      <c r="OM599" s="27" t="s">
        <v>8</v>
      </c>
    </row>
    <row r="600" spans="1:406" x14ac:dyDescent="0.25">
      <c r="A600" s="7">
        <v>0.77303252508005538</v>
      </c>
      <c r="B600"/>
      <c r="C600"/>
      <c r="D600"/>
      <c r="E600"/>
      <c r="F600" s="27" t="s">
        <v>7</v>
      </c>
      <c r="MQ600" s="27" t="s">
        <v>8</v>
      </c>
      <c r="MR600" s="27" t="s">
        <v>7</v>
      </c>
      <c r="MS600" s="27" t="s">
        <v>8</v>
      </c>
      <c r="MT600" s="27" t="s">
        <v>7</v>
      </c>
      <c r="MU600" s="27" t="s">
        <v>8</v>
      </c>
      <c r="MV600" s="27" t="s">
        <v>7</v>
      </c>
      <c r="MW600" s="27" t="s">
        <v>8</v>
      </c>
      <c r="MX600" s="27" t="s">
        <v>7</v>
      </c>
      <c r="NF600" s="27" t="s">
        <v>7</v>
      </c>
      <c r="NG600" s="27" t="s">
        <v>8</v>
      </c>
      <c r="OL600" s="27" t="s">
        <v>7</v>
      </c>
      <c r="OM600" s="27" t="s">
        <v>8</v>
      </c>
    </row>
    <row r="601" spans="1:406" x14ac:dyDescent="0.25">
      <c r="A601" s="7">
        <v>0.75787502458828959</v>
      </c>
      <c r="B601"/>
      <c r="C601"/>
      <c r="D601"/>
      <c r="E601"/>
      <c r="F601" s="27" t="s">
        <v>7</v>
      </c>
      <c r="MQ601" s="27" t="s">
        <v>8</v>
      </c>
      <c r="MR601" s="27" t="s">
        <v>7</v>
      </c>
      <c r="MS601" s="27" t="s">
        <v>8</v>
      </c>
      <c r="MT601" s="27" t="s">
        <v>7</v>
      </c>
      <c r="MU601" s="27" t="s">
        <v>8</v>
      </c>
      <c r="MV601" s="27" t="s">
        <v>7</v>
      </c>
      <c r="MW601" s="27" t="s">
        <v>8</v>
      </c>
      <c r="NF601" s="27" t="s">
        <v>7</v>
      </c>
      <c r="OL601" s="27" t="s">
        <v>7</v>
      </c>
      <c r="OM601" s="27" t="s">
        <v>8</v>
      </c>
    </row>
    <row r="602" spans="1:406" x14ac:dyDescent="0.25">
      <c r="A602" s="7">
        <v>0.74301472998851925</v>
      </c>
      <c r="B602"/>
      <c r="C602"/>
      <c r="D602"/>
      <c r="E602"/>
      <c r="F602" s="27" t="s">
        <v>7</v>
      </c>
      <c r="MQ602" s="27" t="s">
        <v>8</v>
      </c>
      <c r="MR602" s="27" t="s">
        <v>7</v>
      </c>
      <c r="MT602" s="27" t="s">
        <v>7</v>
      </c>
      <c r="MU602" s="27" t="s">
        <v>8</v>
      </c>
      <c r="MV602" s="27" t="s">
        <v>7</v>
      </c>
      <c r="MW602" s="27" t="s">
        <v>8</v>
      </c>
      <c r="OL602" s="27" t="s">
        <v>7</v>
      </c>
      <c r="OM602" s="27" t="s">
        <v>8</v>
      </c>
    </row>
    <row r="603" spans="1:406" x14ac:dyDescent="0.25">
      <c r="A603" s="7">
        <v>0.72844581371423456</v>
      </c>
      <c r="B603"/>
      <c r="C603"/>
      <c r="D603"/>
      <c r="E603"/>
      <c r="F603" s="27" t="s">
        <v>7</v>
      </c>
      <c r="MQ603" s="27" t="s">
        <v>8</v>
      </c>
      <c r="MT603" s="27" t="s">
        <v>7</v>
      </c>
      <c r="MU603" s="27" t="s">
        <v>8</v>
      </c>
      <c r="MV603" s="27" t="s">
        <v>7</v>
      </c>
      <c r="OL603" s="18" t="s">
        <v>7</v>
      </c>
      <c r="OM603" s="27" t="s">
        <v>8</v>
      </c>
    </row>
    <row r="604" spans="1:406" x14ac:dyDescent="0.25">
      <c r="A604" s="7">
        <v>0.71416256246493581</v>
      </c>
      <c r="B604"/>
      <c r="C604"/>
      <c r="D604"/>
      <c r="E604"/>
      <c r="F604" s="27" t="s">
        <v>7</v>
      </c>
      <c r="MQ604" s="27" t="s">
        <v>8</v>
      </c>
      <c r="MT604" s="27" t="s">
        <v>7</v>
      </c>
      <c r="MU604" s="27" t="s">
        <v>8</v>
      </c>
      <c r="OL604" s="27" t="s">
        <v>7</v>
      </c>
      <c r="OM604" s="27" t="s">
        <v>8</v>
      </c>
    </row>
    <row r="605" spans="1:406" x14ac:dyDescent="0.25">
      <c r="A605" s="7">
        <v>0.7001593749656233</v>
      </c>
      <c r="B605"/>
      <c r="C605"/>
      <c r="D605"/>
      <c r="E605"/>
      <c r="F605" s="27" t="s">
        <v>7</v>
      </c>
      <c r="MQ605" s="27" t="s">
        <v>8</v>
      </c>
      <c r="MT605" s="27" t="s">
        <v>7</v>
      </c>
      <c r="OL605" s="27" t="s">
        <v>7</v>
      </c>
      <c r="OM605" s="27" t="s">
        <v>8</v>
      </c>
    </row>
    <row r="606" spans="1:406" x14ac:dyDescent="0.25">
      <c r="A606" s="7">
        <v>0.68643075977021883</v>
      </c>
      <c r="B606"/>
      <c r="C606"/>
      <c r="D606"/>
      <c r="E606"/>
      <c r="F606" s="27" t="s">
        <v>7</v>
      </c>
      <c r="MQ606" s="27" t="s">
        <v>8</v>
      </c>
      <c r="OL606" s="27" t="s">
        <v>7</v>
      </c>
      <c r="OM606" s="27" t="s">
        <v>8</v>
      </c>
    </row>
    <row r="607" spans="1:406" x14ac:dyDescent="0.25">
      <c r="A607" s="7">
        <v>0.67297133310805768</v>
      </c>
      <c r="B607"/>
      <c r="C607"/>
      <c r="D607"/>
      <c r="E607"/>
      <c r="F607" s="27" t="s">
        <v>7</v>
      </c>
      <c r="MQ607" s="27" t="s">
        <v>8</v>
      </c>
      <c r="OL607" s="27" t="s">
        <v>7</v>
      </c>
      <c r="OM607" s="27" t="s">
        <v>8</v>
      </c>
    </row>
    <row r="608" spans="1:406" x14ac:dyDescent="0.25">
      <c r="A608" s="7">
        <v>0.65977581677260566</v>
      </c>
      <c r="B608"/>
      <c r="C608"/>
      <c r="D608"/>
      <c r="E608"/>
      <c r="F608" s="27" t="s">
        <v>7</v>
      </c>
      <c r="MQ608" s="27" t="s">
        <v>8</v>
      </c>
      <c r="OL608" s="27" t="s">
        <v>7</v>
      </c>
      <c r="OM608" s="27" t="s">
        <v>8</v>
      </c>
    </row>
    <row r="609" spans="1:403" x14ac:dyDescent="0.25">
      <c r="A609" s="7">
        <v>0.64683903605157422</v>
      </c>
      <c r="B609"/>
      <c r="C609"/>
      <c r="D609"/>
      <c r="E609"/>
      <c r="F609" s="27" t="s">
        <v>7</v>
      </c>
      <c r="MQ609" s="27" t="s">
        <v>8</v>
      </c>
      <c r="OL609" s="27" t="s">
        <v>7</v>
      </c>
      <c r="OM609" s="27" t="s">
        <v>8</v>
      </c>
    </row>
    <row r="610" spans="1:403" x14ac:dyDescent="0.25">
      <c r="A610" s="7">
        <v>0.63415591769762181</v>
      </c>
      <c r="B610"/>
      <c r="C610"/>
      <c r="D610"/>
      <c r="E610"/>
      <c r="F610" s="27" t="s">
        <v>7</v>
      </c>
      <c r="MQ610" s="27" t="s">
        <v>8</v>
      </c>
      <c r="OL610" s="27" t="s">
        <v>7</v>
      </c>
      <c r="OM610" s="27" t="s">
        <v>8</v>
      </c>
    </row>
    <row r="611" spans="1:403" x14ac:dyDescent="0.25">
      <c r="A611" s="7">
        <v>0.62172148793884496</v>
      </c>
      <c r="B611"/>
      <c r="C611"/>
      <c r="D611"/>
      <c r="E611"/>
      <c r="F611" s="27" t="s">
        <v>7</v>
      </c>
      <c r="MQ611" s="27" t="s">
        <v>8</v>
      </c>
      <c r="OL611" s="27" t="s">
        <v>7</v>
      </c>
    </row>
    <row r="612" spans="1:403" x14ac:dyDescent="0.25">
      <c r="A612" s="7">
        <v>0.60953087052827937</v>
      </c>
      <c r="B612"/>
      <c r="C612"/>
      <c r="D612"/>
      <c r="E612"/>
      <c r="F612" s="27" t="s">
        <v>7</v>
      </c>
      <c r="MQ612" s="27" t="s">
        <v>8</v>
      </c>
    </row>
    <row r="613" spans="1:403" x14ac:dyDescent="0.25">
      <c r="A613" s="7">
        <v>0.59757928483164646</v>
      </c>
      <c r="B613"/>
      <c r="C613"/>
      <c r="D613"/>
      <c r="E613"/>
      <c r="F613" s="27" t="s">
        <v>7</v>
      </c>
      <c r="MQ613" s="27" t="s">
        <v>8</v>
      </c>
    </row>
    <row r="614" spans="1:403" x14ac:dyDescent="0.25">
      <c r="A614" s="7">
        <v>0.58586204395259456</v>
      </c>
      <c r="B614"/>
      <c r="C614"/>
      <c r="D614"/>
      <c r="E614"/>
      <c r="F614" s="27" t="s">
        <v>7</v>
      </c>
      <c r="MQ614" s="27" t="s">
        <v>8</v>
      </c>
    </row>
    <row r="615" spans="1:403" x14ac:dyDescent="0.25">
      <c r="A615" s="7">
        <v>0.57437455289470052</v>
      </c>
      <c r="B615"/>
      <c r="C615"/>
      <c r="D615"/>
      <c r="E615"/>
      <c r="F615" s="27" t="s">
        <v>7</v>
      </c>
      <c r="MQ615" s="27" t="s">
        <v>8</v>
      </c>
    </row>
    <row r="616" spans="1:403" x14ac:dyDescent="0.25">
      <c r="A616" s="7">
        <v>0.56311230675951029</v>
      </c>
      <c r="B616"/>
      <c r="C616"/>
      <c r="D616"/>
      <c r="E616"/>
      <c r="F616" s="27" t="s">
        <v>7</v>
      </c>
      <c r="MQ616" s="27" t="s">
        <v>8</v>
      </c>
    </row>
    <row r="617" spans="1:403" x14ac:dyDescent="0.25">
      <c r="A617" s="7">
        <v>0.55207088897991208</v>
      </c>
      <c r="B617"/>
      <c r="C617"/>
      <c r="D617"/>
      <c r="E617"/>
      <c r="F617" s="27" t="s">
        <v>7</v>
      </c>
      <c r="MQ617" s="27" t="s">
        <v>8</v>
      </c>
    </row>
    <row r="618" spans="1:403" x14ac:dyDescent="0.25">
      <c r="A618" s="7">
        <v>0.54124596958814908</v>
      </c>
      <c r="B618"/>
      <c r="C618"/>
      <c r="D618"/>
      <c r="E618"/>
      <c r="F618" s="27" t="s">
        <v>7</v>
      </c>
      <c r="LM618" s="27" t="s">
        <v>8</v>
      </c>
      <c r="MQ618" s="27" t="s">
        <v>8</v>
      </c>
    </row>
    <row r="619" spans="1:403" x14ac:dyDescent="0.25">
      <c r="A619" s="7">
        <v>0.53063330351779314</v>
      </c>
      <c r="B619"/>
      <c r="C619"/>
      <c r="D619"/>
      <c r="E619"/>
      <c r="F619" s="27" t="s">
        <v>7</v>
      </c>
      <c r="LM619" s="27" t="s">
        <v>8</v>
      </c>
      <c r="LN619" s="27" t="s">
        <v>7</v>
      </c>
      <c r="MQ619" s="27" t="s">
        <v>8</v>
      </c>
    </row>
    <row r="620" spans="1:403" x14ac:dyDescent="0.25">
      <c r="A620" s="7">
        <v>0.52022872893901284</v>
      </c>
      <c r="B620"/>
      <c r="C620"/>
      <c r="D620"/>
      <c r="E620"/>
      <c r="F620" s="27" t="s">
        <v>7</v>
      </c>
      <c r="LM620" s="27" t="s">
        <v>8</v>
      </c>
      <c r="LN620" s="27" t="s">
        <v>7</v>
      </c>
      <c r="MQ620" s="27" t="s">
        <v>8</v>
      </c>
    </row>
    <row r="621" spans="1:403" x14ac:dyDescent="0.25">
      <c r="A621" s="7">
        <v>0.51002816562648323</v>
      </c>
      <c r="B621"/>
      <c r="C621"/>
      <c r="D621"/>
      <c r="E621"/>
      <c r="F621" s="27" t="s">
        <v>7</v>
      </c>
      <c r="LM621" s="27" t="s">
        <v>8</v>
      </c>
      <c r="LN621" s="27" t="s">
        <v>7</v>
      </c>
      <c r="MQ621" s="27" t="s">
        <v>8</v>
      </c>
    </row>
    <row r="622" spans="1:403" x14ac:dyDescent="0.25">
      <c r="A622" s="7">
        <v>0.50002761335929735</v>
      </c>
      <c r="B622"/>
      <c r="C622"/>
      <c r="D622"/>
      <c r="E622"/>
      <c r="F622" s="27" t="s">
        <v>7</v>
      </c>
      <c r="LM622" s="27" t="s">
        <v>8</v>
      </c>
      <c r="LN622" s="27" t="s">
        <v>7</v>
      </c>
      <c r="MQ622" s="27" t="s">
        <v>8</v>
      </c>
    </row>
    <row r="623" spans="1:403" x14ac:dyDescent="0.25">
      <c r="A623" s="7">
        <v>0.49022315035225228</v>
      </c>
      <c r="B623"/>
      <c r="C623"/>
      <c r="D623"/>
      <c r="E623"/>
      <c r="F623" s="27" t="s">
        <v>7</v>
      </c>
      <c r="LM623" s="27" t="s">
        <v>8</v>
      </c>
      <c r="LN623" s="27" t="s">
        <v>7</v>
      </c>
      <c r="MQ623" s="27" t="s">
        <v>8</v>
      </c>
    </row>
    <row r="624" spans="1:403" x14ac:dyDescent="0.25">
      <c r="A624" s="7">
        <v>0.48061093171789437</v>
      </c>
      <c r="B624"/>
      <c r="C624"/>
      <c r="D624"/>
      <c r="E624"/>
      <c r="F624" s="27" t="s">
        <v>7</v>
      </c>
      <c r="LM624" s="27" t="s">
        <v>8</v>
      </c>
      <c r="LN624" s="27" t="s">
        <v>7</v>
      </c>
      <c r="MQ624" s="27" t="s">
        <v>8</v>
      </c>
    </row>
    <row r="625" spans="1:355" x14ac:dyDescent="0.25">
      <c r="A625" s="7">
        <v>0.47118718795871994</v>
      </c>
      <c r="B625"/>
      <c r="C625"/>
      <c r="D625"/>
      <c r="E625"/>
      <c r="F625" s="27" t="s">
        <v>7</v>
      </c>
      <c r="LM625" s="27" t="s">
        <v>8</v>
      </c>
      <c r="LN625" s="27" t="s">
        <v>7</v>
      </c>
      <c r="MQ625" s="27" t="s">
        <v>8</v>
      </c>
    </row>
    <row r="626" spans="1:355" x14ac:dyDescent="0.25">
      <c r="A626" s="7">
        <v>0.46194822348894116</v>
      </c>
      <c r="B626"/>
      <c r="C626"/>
      <c r="D626"/>
      <c r="E626"/>
      <c r="F626" s="27" t="s">
        <v>7</v>
      </c>
      <c r="LM626" s="27" t="s">
        <v>8</v>
      </c>
      <c r="LN626" s="27" t="s">
        <v>7</v>
      </c>
      <c r="LO626" s="27" t="s">
        <v>8</v>
      </c>
      <c r="MK626" s="27" t="s">
        <v>8</v>
      </c>
      <c r="MQ626" s="27" t="s">
        <v>8</v>
      </c>
    </row>
    <row r="627" spans="1:355" x14ac:dyDescent="0.25">
      <c r="A627" s="7">
        <v>0.45289041518523643</v>
      </c>
      <c r="B627"/>
      <c r="C627"/>
      <c r="D627"/>
      <c r="E627"/>
      <c r="F627" s="27" t="s">
        <v>7</v>
      </c>
      <c r="LM627" s="27" t="s">
        <v>8</v>
      </c>
      <c r="LN627" s="27" t="s">
        <v>7</v>
      </c>
      <c r="LO627" s="27" t="s">
        <v>8</v>
      </c>
      <c r="LP627" s="27" t="s">
        <v>7</v>
      </c>
      <c r="MK627" s="27" t="s">
        <v>8</v>
      </c>
      <c r="ML627" s="27" t="s">
        <v>7</v>
      </c>
      <c r="MQ627" s="27" t="s">
        <v>8</v>
      </c>
    </row>
    <row r="628" spans="1:355" x14ac:dyDescent="0.25">
      <c r="A628" s="7">
        <v>0.44401021096591808</v>
      </c>
      <c r="B628"/>
      <c r="C628"/>
      <c r="D628"/>
      <c r="E628"/>
      <c r="F628" s="27" t="s">
        <v>7</v>
      </c>
      <c r="LM628" s="27" t="s">
        <v>8</v>
      </c>
      <c r="LN628" s="27" t="s">
        <v>7</v>
      </c>
      <c r="LO628" s="27" t="s">
        <v>8</v>
      </c>
      <c r="LP628" s="27" t="s">
        <v>7</v>
      </c>
      <c r="MK628" s="27" t="s">
        <v>8</v>
      </c>
      <c r="ML628" s="27" t="s">
        <v>7</v>
      </c>
      <c r="MQ628" s="27" t="s">
        <v>8</v>
      </c>
    </row>
    <row r="629" spans="1:355" x14ac:dyDescent="0.25">
      <c r="A629" s="7">
        <v>0.4353041283979589</v>
      </c>
      <c r="B629"/>
      <c r="C629"/>
      <c r="D629"/>
      <c r="E629"/>
      <c r="F629" s="27" t="s">
        <v>7</v>
      </c>
      <c r="LM629" s="27" t="s">
        <v>8</v>
      </c>
      <c r="LN629" s="27" t="s">
        <v>7</v>
      </c>
      <c r="LO629" s="27" t="s">
        <v>8</v>
      </c>
      <c r="LP629" s="27" t="s">
        <v>7</v>
      </c>
      <c r="LS629" s="27" t="s">
        <v>8</v>
      </c>
      <c r="MK629" s="27" t="s">
        <v>8</v>
      </c>
      <c r="ML629" s="27" t="s">
        <v>7</v>
      </c>
      <c r="MQ629" s="27" t="s">
        <v>8</v>
      </c>
    </row>
    <row r="630" spans="1:355" x14ac:dyDescent="0.25">
      <c r="A630" s="7">
        <v>0.4267687533313323</v>
      </c>
      <c r="B630"/>
      <c r="C630"/>
      <c r="D630"/>
      <c r="E630"/>
      <c r="F630" s="27" t="s">
        <v>7</v>
      </c>
      <c r="LM630" s="27" t="s">
        <v>8</v>
      </c>
      <c r="LN630" s="27" t="s">
        <v>7</v>
      </c>
      <c r="LO630" s="27" t="s">
        <v>8</v>
      </c>
      <c r="LP630" s="27" t="s">
        <v>7</v>
      </c>
      <c r="LQ630" s="27" t="s">
        <v>8</v>
      </c>
      <c r="LS630" s="27" t="s">
        <v>8</v>
      </c>
      <c r="LT630" s="27" t="s">
        <v>7</v>
      </c>
      <c r="MK630" s="27" t="s">
        <v>8</v>
      </c>
      <c r="ML630" s="27" t="s">
        <v>7</v>
      </c>
      <c r="MQ630" s="27" t="s">
        <v>8</v>
      </c>
    </row>
    <row r="631" spans="1:355" x14ac:dyDescent="0.25">
      <c r="A631" s="7">
        <v>0.41840073856012971</v>
      </c>
      <c r="B631"/>
      <c r="C631"/>
      <c r="D631"/>
      <c r="E631"/>
      <c r="F631" s="27" t="s">
        <v>7</v>
      </c>
      <c r="LM631" s="27" t="s">
        <v>8</v>
      </c>
      <c r="LN631" s="27" t="s">
        <v>7</v>
      </c>
      <c r="LO631" s="27" t="s">
        <v>8</v>
      </c>
      <c r="LP631" s="27" t="s">
        <v>7</v>
      </c>
      <c r="LQ631" s="27" t="s">
        <v>8</v>
      </c>
      <c r="LR631" s="27" t="s">
        <v>7</v>
      </c>
      <c r="LS631" s="27" t="s">
        <v>8</v>
      </c>
      <c r="LT631" s="27" t="s">
        <v>7</v>
      </c>
      <c r="LU631" s="27" t="s">
        <v>8</v>
      </c>
      <c r="MA631" s="27" t="s">
        <v>8</v>
      </c>
      <c r="MK631" s="27" t="s">
        <v>8</v>
      </c>
      <c r="ML631" s="27" t="s">
        <v>7</v>
      </c>
      <c r="MO631" s="27" t="s">
        <v>8</v>
      </c>
      <c r="MQ631" s="27" t="s">
        <v>8</v>
      </c>
    </row>
    <row r="632" spans="1:355" x14ac:dyDescent="0.25">
      <c r="A632" s="7">
        <v>0.41019680250993112</v>
      </c>
      <c r="B632"/>
      <c r="C632"/>
      <c r="D632"/>
      <c r="E632"/>
      <c r="F632" s="27" t="s">
        <v>7</v>
      </c>
      <c r="LM632" s="27" t="s">
        <v>8</v>
      </c>
      <c r="LN632" s="27" t="s">
        <v>7</v>
      </c>
      <c r="LO632" s="27" t="s">
        <v>8</v>
      </c>
      <c r="LP632" s="27" t="s">
        <v>7</v>
      </c>
      <c r="LQ632" s="27" t="s">
        <v>8</v>
      </c>
      <c r="LR632" s="27" t="s">
        <v>7</v>
      </c>
      <c r="LS632" s="27" t="s">
        <v>8</v>
      </c>
      <c r="LT632" s="27" t="s">
        <v>7</v>
      </c>
      <c r="LU632" s="27" t="s">
        <v>8</v>
      </c>
      <c r="LV632" s="27" t="s">
        <v>7</v>
      </c>
      <c r="MA632" s="27" t="s">
        <v>8</v>
      </c>
      <c r="MB632" s="27" t="s">
        <v>7</v>
      </c>
      <c r="MK632" s="27" t="s">
        <v>8</v>
      </c>
      <c r="ML632" s="27" t="s">
        <v>7</v>
      </c>
      <c r="MO632" s="27" t="s">
        <v>8</v>
      </c>
      <c r="MP632" s="27" t="s">
        <v>7</v>
      </c>
      <c r="MQ632" s="27" t="s">
        <v>8</v>
      </c>
    </row>
    <row r="633" spans="1:355" x14ac:dyDescent="0.25">
      <c r="A633" s="7">
        <v>0.40215372795091286</v>
      </c>
      <c r="B633"/>
      <c r="C633"/>
      <c r="D633"/>
      <c r="E633"/>
      <c r="F633" s="27" t="s">
        <v>7</v>
      </c>
      <c r="LM633" s="27" t="s">
        <v>8</v>
      </c>
      <c r="LN633" s="27" t="s">
        <v>7</v>
      </c>
      <c r="LP633" s="27" t="s">
        <v>7</v>
      </c>
      <c r="LQ633" s="27" t="s">
        <v>8</v>
      </c>
      <c r="LR633" s="27" t="s">
        <v>7</v>
      </c>
      <c r="LS633" s="27" t="s">
        <v>8</v>
      </c>
      <c r="LT633" s="27" t="s">
        <v>7</v>
      </c>
      <c r="LU633" s="27" t="s">
        <v>8</v>
      </c>
      <c r="LV633" s="27" t="s">
        <v>7</v>
      </c>
      <c r="MA633" s="27" t="s">
        <v>8</v>
      </c>
      <c r="MB633" s="27" t="s">
        <v>7</v>
      </c>
      <c r="MK633" s="27" t="s">
        <v>8</v>
      </c>
      <c r="ML633" s="27" t="s">
        <v>7</v>
      </c>
      <c r="MO633" s="27" t="s">
        <v>8</v>
      </c>
      <c r="MP633" s="27" t="s">
        <v>7</v>
      </c>
      <c r="MQ633" s="27" t="s">
        <v>8</v>
      </c>
    </row>
    <row r="634" spans="1:355" x14ac:dyDescent="0.25">
      <c r="A634" s="7">
        <v>0.39426836073618904</v>
      </c>
      <c r="B634"/>
      <c r="C634"/>
      <c r="D634"/>
      <c r="E634"/>
      <c r="F634" s="27" t="s">
        <v>7</v>
      </c>
      <c r="LM634" s="27" t="s">
        <v>8</v>
      </c>
      <c r="LP634" s="27" t="s">
        <v>7</v>
      </c>
      <c r="LQ634" s="27" t="s">
        <v>8</v>
      </c>
      <c r="LR634" s="27" t="s">
        <v>7</v>
      </c>
      <c r="LS634" s="27" t="s">
        <v>8</v>
      </c>
      <c r="LT634" s="27" t="s">
        <v>7</v>
      </c>
      <c r="LU634" s="27" t="s">
        <v>8</v>
      </c>
      <c r="LV634" s="27" t="s">
        <v>7</v>
      </c>
      <c r="MA634" s="27" t="s">
        <v>8</v>
      </c>
      <c r="MB634" s="27" t="s">
        <v>7</v>
      </c>
      <c r="MC634" s="27" t="s">
        <v>8</v>
      </c>
      <c r="MK634" s="27" t="s">
        <v>8</v>
      </c>
      <c r="ML634" s="27" t="s">
        <v>7</v>
      </c>
      <c r="MO634" s="27" t="s">
        <v>8</v>
      </c>
      <c r="MP634" s="27" t="s">
        <v>7</v>
      </c>
      <c r="MQ634" s="27" t="s">
        <v>8</v>
      </c>
    </row>
    <row r="635" spans="1:355" x14ac:dyDescent="0.25">
      <c r="A635" s="7">
        <v>0.38653760856489122</v>
      </c>
      <c r="B635"/>
      <c r="C635"/>
      <c r="D635"/>
      <c r="E635"/>
      <c r="F635" s="27" t="s">
        <v>7</v>
      </c>
      <c r="LM635" s="27" t="s">
        <v>8</v>
      </c>
      <c r="LP635" s="27" t="s">
        <v>7</v>
      </c>
      <c r="LQ635" s="27" t="s">
        <v>8</v>
      </c>
      <c r="LR635" s="27" t="s">
        <v>7</v>
      </c>
      <c r="LS635" s="27" t="s">
        <v>8</v>
      </c>
      <c r="LT635" s="27" t="s">
        <v>7</v>
      </c>
      <c r="LU635" s="27" t="s">
        <v>8</v>
      </c>
      <c r="LV635" s="27" t="s">
        <v>7</v>
      </c>
      <c r="MA635" s="27" t="s">
        <v>8</v>
      </c>
      <c r="MB635" s="27" t="s">
        <v>7</v>
      </c>
      <c r="MC635" s="27" t="s">
        <v>8</v>
      </c>
      <c r="MD635" s="27" t="s">
        <v>7</v>
      </c>
      <c r="MG635" s="27" t="s">
        <v>8</v>
      </c>
      <c r="MK635" s="27" t="s">
        <v>8</v>
      </c>
      <c r="ML635" s="27" t="s">
        <v>7</v>
      </c>
      <c r="MM635" s="27" t="s">
        <v>8</v>
      </c>
      <c r="MO635" s="27" t="s">
        <v>8</v>
      </c>
      <c r="MP635" s="27" t="s">
        <v>7</v>
      </c>
      <c r="MQ635" s="27" t="s">
        <v>8</v>
      </c>
    </row>
    <row r="636" spans="1:355" x14ac:dyDescent="0.25">
      <c r="A636" s="7">
        <v>0.37895843976950117</v>
      </c>
      <c r="B636"/>
      <c r="C636"/>
      <c r="D636"/>
      <c r="E636"/>
      <c r="F636" s="27" t="s">
        <v>7</v>
      </c>
      <c r="LM636" s="27" t="s">
        <v>8</v>
      </c>
      <c r="LP636" s="27" t="s">
        <v>7</v>
      </c>
      <c r="LR636" s="27" t="s">
        <v>7</v>
      </c>
      <c r="LS636" s="27" t="s">
        <v>8</v>
      </c>
      <c r="LT636" s="27" t="s">
        <v>7</v>
      </c>
      <c r="LV636" s="27" t="s">
        <v>7</v>
      </c>
      <c r="MA636" s="27" t="s">
        <v>8</v>
      </c>
      <c r="MB636" s="27" t="s">
        <v>7</v>
      </c>
      <c r="MC636" s="27" t="s">
        <v>8</v>
      </c>
      <c r="MD636" s="27" t="s">
        <v>7</v>
      </c>
      <c r="MG636" s="27" t="s">
        <v>8</v>
      </c>
      <c r="MH636" s="27" t="s">
        <v>7</v>
      </c>
      <c r="MI636" s="27" t="s">
        <v>8</v>
      </c>
      <c r="MK636" s="27" t="s">
        <v>8</v>
      </c>
      <c r="ML636" s="27" t="s">
        <v>7</v>
      </c>
      <c r="MM636" s="27" t="s">
        <v>8</v>
      </c>
      <c r="MN636" s="27" t="s">
        <v>7</v>
      </c>
      <c r="MO636" s="27" t="s">
        <v>8</v>
      </c>
      <c r="MP636" s="27" t="s">
        <v>7</v>
      </c>
      <c r="MQ636" s="27" t="s">
        <v>8</v>
      </c>
    </row>
    <row r="637" spans="1:355" x14ac:dyDescent="0.25">
      <c r="A637" s="7">
        <v>0.37152788212696197</v>
      </c>
      <c r="B637"/>
      <c r="C637"/>
      <c r="D637"/>
      <c r="E637"/>
      <c r="F637" s="27" t="s">
        <v>7</v>
      </c>
      <c r="LM637" s="27" t="s">
        <v>8</v>
      </c>
      <c r="LR637" s="27" t="s">
        <v>7</v>
      </c>
      <c r="LS637" s="27" t="s">
        <v>8</v>
      </c>
      <c r="LV637" s="27" t="s">
        <v>7</v>
      </c>
      <c r="LW637" s="27" t="s">
        <v>8</v>
      </c>
      <c r="MA637" s="27" t="s">
        <v>8</v>
      </c>
      <c r="MB637" s="27" t="s">
        <v>7</v>
      </c>
      <c r="MC637" s="27" t="s">
        <v>8</v>
      </c>
      <c r="MD637" s="27" t="s">
        <v>7</v>
      </c>
      <c r="ME637" s="27" t="s">
        <v>8</v>
      </c>
      <c r="MG637" s="27" t="s">
        <v>8</v>
      </c>
      <c r="MH637" s="27" t="s">
        <v>7</v>
      </c>
      <c r="MI637" s="27" t="s">
        <v>8</v>
      </c>
      <c r="MJ637" s="27" t="s">
        <v>7</v>
      </c>
      <c r="MK637" s="27" t="s">
        <v>8</v>
      </c>
      <c r="ML637" s="27" t="s">
        <v>7</v>
      </c>
      <c r="MM637" s="27" t="s">
        <v>8</v>
      </c>
      <c r="MN637" s="27" t="s">
        <v>7</v>
      </c>
      <c r="MO637" s="27" t="s">
        <v>8</v>
      </c>
      <c r="MP637" s="27" t="s">
        <v>7</v>
      </c>
      <c r="MQ637" s="27" t="s">
        <v>8</v>
      </c>
    </row>
    <row r="638" spans="1:355" x14ac:dyDescent="0.25">
      <c r="A638" s="7">
        <v>0.36424302169310002</v>
      </c>
      <c r="B638"/>
      <c r="C638"/>
      <c r="D638"/>
      <c r="E638"/>
      <c r="F638" s="27" t="s">
        <v>7</v>
      </c>
      <c r="LM638" s="27" t="s">
        <v>8</v>
      </c>
      <c r="LR638" s="27" t="s">
        <v>7</v>
      </c>
      <c r="LS638" s="27" t="s">
        <v>8</v>
      </c>
      <c r="LV638" s="27" t="s">
        <v>7</v>
      </c>
      <c r="LW638" s="27" t="s">
        <v>8</v>
      </c>
      <c r="LX638" s="27" t="s">
        <v>7</v>
      </c>
      <c r="MA638" s="27" t="s">
        <v>8</v>
      </c>
      <c r="MB638" s="27" t="s">
        <v>7</v>
      </c>
      <c r="MC638" s="27" t="s">
        <v>8</v>
      </c>
      <c r="MD638" s="27" t="s">
        <v>7</v>
      </c>
      <c r="ME638" s="27" t="s">
        <v>8</v>
      </c>
      <c r="MF638" s="27" t="s">
        <v>7</v>
      </c>
      <c r="MG638" s="27" t="s">
        <v>8</v>
      </c>
      <c r="MH638" s="27" t="s">
        <v>7</v>
      </c>
      <c r="MI638" s="27" t="s">
        <v>8</v>
      </c>
      <c r="MJ638" s="27" t="s">
        <v>7</v>
      </c>
      <c r="MK638" s="27" t="s">
        <v>8</v>
      </c>
      <c r="ML638" s="27" t="s">
        <v>7</v>
      </c>
      <c r="MM638" s="27" t="s">
        <v>8</v>
      </c>
      <c r="MN638" s="27" t="s">
        <v>7</v>
      </c>
      <c r="MO638" s="27" t="s">
        <v>8</v>
      </c>
      <c r="MP638" s="27" t="s">
        <v>7</v>
      </c>
      <c r="MQ638" s="27" t="s">
        <v>8</v>
      </c>
    </row>
    <row r="639" spans="1:355" x14ac:dyDescent="0.25">
      <c r="A639" s="7">
        <v>0.35710100165990194</v>
      </c>
      <c r="B639"/>
      <c r="C639"/>
      <c r="D639"/>
      <c r="E639"/>
      <c r="F639" s="27" t="s">
        <v>7</v>
      </c>
      <c r="LM639" s="27" t="s">
        <v>8</v>
      </c>
      <c r="LR639" s="27" t="s">
        <v>7</v>
      </c>
      <c r="LS639" s="27" t="s">
        <v>8</v>
      </c>
      <c r="LV639" s="27" t="s">
        <v>7</v>
      </c>
      <c r="LW639" s="27" t="s">
        <v>8</v>
      </c>
      <c r="LX639" s="27" t="s">
        <v>7</v>
      </c>
      <c r="MA639" s="27" t="s">
        <v>8</v>
      </c>
      <c r="MB639" s="27" t="s">
        <v>7</v>
      </c>
      <c r="MC639" s="27" t="s">
        <v>8</v>
      </c>
      <c r="MD639" s="27" t="s">
        <v>7</v>
      </c>
      <c r="ME639" s="27" t="s">
        <v>8</v>
      </c>
      <c r="MF639" s="27" t="s">
        <v>7</v>
      </c>
      <c r="MG639" s="27" t="s">
        <v>8</v>
      </c>
      <c r="MH639" s="27" t="s">
        <v>7</v>
      </c>
      <c r="MI639" s="27" t="s">
        <v>8</v>
      </c>
      <c r="MJ639" s="27" t="s">
        <v>7</v>
      </c>
      <c r="MK639" s="27" t="s">
        <v>8</v>
      </c>
      <c r="ML639" s="27" t="s">
        <v>7</v>
      </c>
      <c r="MM639" s="27" t="s">
        <v>8</v>
      </c>
      <c r="MN639" s="27" t="s">
        <v>7</v>
      </c>
      <c r="MO639" s="27" t="s">
        <v>8</v>
      </c>
      <c r="MP639" s="27" t="s">
        <v>7</v>
      </c>
      <c r="MQ639" s="27" t="s">
        <v>8</v>
      </c>
    </row>
    <row r="640" spans="1:355" x14ac:dyDescent="0.25">
      <c r="A640" s="7">
        <v>0.35009902123519804</v>
      </c>
      <c r="B640"/>
      <c r="C640"/>
      <c r="D640"/>
      <c r="E640"/>
      <c r="F640" s="27" t="s">
        <v>7</v>
      </c>
      <c r="LM640" s="27" t="s">
        <v>8</v>
      </c>
      <c r="LR640" s="27" t="s">
        <v>7</v>
      </c>
      <c r="LV640" s="27" t="s">
        <v>7</v>
      </c>
      <c r="LW640" s="27" t="s">
        <v>8</v>
      </c>
      <c r="LX640" s="27" t="s">
        <v>7</v>
      </c>
      <c r="LY640" s="27" t="s">
        <v>8</v>
      </c>
      <c r="MA640" s="27" t="s">
        <v>8</v>
      </c>
      <c r="MB640" s="27" t="s">
        <v>7</v>
      </c>
      <c r="MC640" s="27" t="s">
        <v>8</v>
      </c>
      <c r="MD640" s="27" t="s">
        <v>7</v>
      </c>
      <c r="MF640" s="27" t="s">
        <v>7</v>
      </c>
      <c r="MH640" s="27" t="s">
        <v>7</v>
      </c>
      <c r="MI640" s="27" t="s">
        <v>8</v>
      </c>
      <c r="MJ640" s="27" t="s">
        <v>7</v>
      </c>
      <c r="ML640" s="27" t="s">
        <v>7</v>
      </c>
      <c r="MM640" s="27" t="s">
        <v>8</v>
      </c>
      <c r="MN640" s="27" t="s">
        <v>7</v>
      </c>
      <c r="MO640" s="27" t="s">
        <v>8</v>
      </c>
      <c r="MP640" s="27" t="s">
        <v>7</v>
      </c>
      <c r="MQ640" s="27" t="s">
        <v>8</v>
      </c>
    </row>
    <row r="641" spans="1:355" x14ac:dyDescent="0.25">
      <c r="A641" s="7">
        <v>0.34323433454431179</v>
      </c>
      <c r="B641"/>
      <c r="C641"/>
      <c r="D641"/>
      <c r="E641"/>
      <c r="F641" s="27" t="s">
        <v>7</v>
      </c>
      <c r="LM641" s="27" t="s">
        <v>8</v>
      </c>
      <c r="LV641" s="27" t="s">
        <v>7</v>
      </c>
      <c r="LW641" s="27" t="s">
        <v>8</v>
      </c>
      <c r="LX641" s="27" t="s">
        <v>7</v>
      </c>
      <c r="LY641" s="27" t="s">
        <v>8</v>
      </c>
      <c r="LZ641" s="27" t="s">
        <v>7</v>
      </c>
      <c r="MA641" s="27" t="s">
        <v>8</v>
      </c>
      <c r="MB641" s="27" t="s">
        <v>7</v>
      </c>
      <c r="MC641" s="27" t="s">
        <v>8</v>
      </c>
      <c r="MH641" s="27" t="s">
        <v>7</v>
      </c>
      <c r="MI641" s="27" t="s">
        <v>8</v>
      </c>
      <c r="ML641" s="27" t="s">
        <v>7</v>
      </c>
      <c r="MM641" s="27" t="s">
        <v>8</v>
      </c>
      <c r="MN641" s="27" t="s">
        <v>7</v>
      </c>
      <c r="MO641" s="27" t="s">
        <v>8</v>
      </c>
      <c r="MP641" s="27" t="s">
        <v>7</v>
      </c>
      <c r="MQ641" s="27" t="s">
        <v>8</v>
      </c>
    </row>
    <row r="642" spans="1:355" x14ac:dyDescent="0.25">
      <c r="A642" s="7">
        <v>0.33650424955324681</v>
      </c>
      <c r="B642"/>
      <c r="C642"/>
      <c r="D642"/>
      <c r="E642"/>
      <c r="F642" s="27" t="s">
        <v>7</v>
      </c>
      <c r="LM642" s="27" t="s">
        <v>8</v>
      </c>
      <c r="LV642" s="27" t="s">
        <v>7</v>
      </c>
      <c r="LW642" s="27" t="s">
        <v>8</v>
      </c>
      <c r="LX642" s="27" t="s">
        <v>7</v>
      </c>
      <c r="LY642" s="27" t="s">
        <v>8</v>
      </c>
      <c r="LZ642" s="27" t="s">
        <v>7</v>
      </c>
      <c r="MA642" s="27" t="s">
        <v>8</v>
      </c>
      <c r="MB642" s="27" t="s">
        <v>7</v>
      </c>
      <c r="MH642" s="27" t="s">
        <v>7</v>
      </c>
      <c r="MI642" s="27" t="s">
        <v>8</v>
      </c>
      <c r="ML642" s="27" t="s">
        <v>7</v>
      </c>
      <c r="MM642" s="27" t="s">
        <v>8</v>
      </c>
      <c r="MN642" s="27" t="s">
        <v>7</v>
      </c>
      <c r="MO642" s="27" t="s">
        <v>8</v>
      </c>
      <c r="MP642" s="27" t="s">
        <v>7</v>
      </c>
      <c r="MQ642" s="27" t="s">
        <v>8</v>
      </c>
    </row>
    <row r="643" spans="1:355" x14ac:dyDescent="0.25">
      <c r="A643" s="7">
        <v>0.3299061270129871</v>
      </c>
      <c r="B643"/>
      <c r="C643"/>
      <c r="D643"/>
      <c r="E643"/>
      <c r="F643" s="27" t="s">
        <v>7</v>
      </c>
      <c r="LM643" s="27" t="s">
        <v>8</v>
      </c>
      <c r="LV643" s="27" t="s">
        <v>7</v>
      </c>
      <c r="LW643" s="27" t="s">
        <v>8</v>
      </c>
      <c r="LX643" s="27" t="s">
        <v>7</v>
      </c>
      <c r="LY643" s="27" t="s">
        <v>8</v>
      </c>
      <c r="LZ643" s="27" t="s">
        <v>7</v>
      </c>
      <c r="MH643" s="27" t="s">
        <v>7</v>
      </c>
      <c r="MI643" s="27" t="s">
        <v>8</v>
      </c>
      <c r="ML643" s="27" t="s">
        <v>7</v>
      </c>
      <c r="MM643" s="27" t="s">
        <v>8</v>
      </c>
      <c r="MN643" s="27" t="s">
        <v>7</v>
      </c>
      <c r="MO643" s="27" t="s">
        <v>8</v>
      </c>
      <c r="MP643" s="27" t="s">
        <v>7</v>
      </c>
      <c r="MQ643" s="27" t="s">
        <v>8</v>
      </c>
    </row>
    <row r="644" spans="1:355" x14ac:dyDescent="0.25">
      <c r="A644" s="7">
        <v>0.32343737942449713</v>
      </c>
      <c r="B644"/>
      <c r="C644"/>
      <c r="D644"/>
      <c r="E644"/>
      <c r="F644" s="27" t="s">
        <v>7</v>
      </c>
      <c r="LM644" s="27" t="s">
        <v>8</v>
      </c>
      <c r="LV644" s="27" t="s">
        <v>7</v>
      </c>
      <c r="LX644" s="27" t="s">
        <v>7</v>
      </c>
      <c r="LY644" s="27" t="s">
        <v>8</v>
      </c>
      <c r="MH644" s="27" t="s">
        <v>7</v>
      </c>
      <c r="MI644" s="27" t="s">
        <v>8</v>
      </c>
      <c r="ML644" s="27" t="s">
        <v>7</v>
      </c>
      <c r="MM644" s="27" t="s">
        <v>8</v>
      </c>
      <c r="MN644" s="27" t="s">
        <v>7</v>
      </c>
      <c r="MO644" s="27" t="s">
        <v>8</v>
      </c>
      <c r="MP644" s="27" t="s">
        <v>7</v>
      </c>
      <c r="MQ644" s="27" t="s">
        <v>8</v>
      </c>
    </row>
    <row r="645" spans="1:355" x14ac:dyDescent="0.25">
      <c r="A645" s="7">
        <v>0.31709547002401678</v>
      </c>
      <c r="B645"/>
      <c r="C645"/>
      <c r="D645"/>
      <c r="E645"/>
      <c r="F645" s="27" t="s">
        <v>7</v>
      </c>
      <c r="LM645" s="27" t="s">
        <v>8</v>
      </c>
      <c r="LX645" s="27" t="s">
        <v>7</v>
      </c>
      <c r="LY645" s="27" t="s">
        <v>8</v>
      </c>
      <c r="MH645" s="27" t="s">
        <v>7</v>
      </c>
      <c r="MI645" s="27" t="s">
        <v>8</v>
      </c>
      <c r="ML645" s="27" t="s">
        <v>7</v>
      </c>
      <c r="MM645" s="27" t="s">
        <v>8</v>
      </c>
      <c r="MN645" s="27" t="s">
        <v>7</v>
      </c>
      <c r="MO645" s="27" t="s">
        <v>8</v>
      </c>
      <c r="MP645" s="27" t="s">
        <v>7</v>
      </c>
      <c r="MQ645" s="27" t="s">
        <v>8</v>
      </c>
    </row>
    <row r="646" spans="1:355" x14ac:dyDescent="0.25">
      <c r="A646" s="7">
        <v>0.31087791178825175</v>
      </c>
      <c r="B646"/>
      <c r="C646"/>
      <c r="D646"/>
      <c r="E646"/>
      <c r="F646" s="27" t="s">
        <v>7</v>
      </c>
      <c r="LM646" s="27" t="s">
        <v>8</v>
      </c>
      <c r="LX646" s="27" t="s">
        <v>7</v>
      </c>
      <c r="LY646" s="27" t="s">
        <v>8</v>
      </c>
      <c r="MH646" s="27" t="s">
        <v>7</v>
      </c>
      <c r="ML646" s="27" t="s">
        <v>7</v>
      </c>
      <c r="MM646" s="27" t="s">
        <v>8</v>
      </c>
      <c r="MN646" s="27" t="s">
        <v>7</v>
      </c>
      <c r="MO646" s="27" t="s">
        <v>8</v>
      </c>
      <c r="MP646" s="27" t="s">
        <v>7</v>
      </c>
      <c r="MQ646" s="27" t="s">
        <v>8</v>
      </c>
    </row>
    <row r="647" spans="1:355" x14ac:dyDescent="0.25">
      <c r="A647" s="7">
        <v>0.30478226645907036</v>
      </c>
      <c r="B647"/>
      <c r="C647"/>
      <c r="D647"/>
      <c r="E647"/>
      <c r="F647" s="27" t="s">
        <v>7</v>
      </c>
      <c r="LM647" s="27" t="s">
        <v>8</v>
      </c>
      <c r="LX647" s="27" t="s">
        <v>7</v>
      </c>
      <c r="LY647" s="27" t="s">
        <v>8</v>
      </c>
      <c r="ML647" s="27" t="s">
        <v>7</v>
      </c>
      <c r="MM647" s="27" t="s">
        <v>8</v>
      </c>
      <c r="MN647" s="27" t="s">
        <v>7</v>
      </c>
      <c r="MO647" s="27" t="s">
        <v>8</v>
      </c>
      <c r="MP647" s="27" t="s">
        <v>7</v>
      </c>
      <c r="MQ647" s="27" t="s">
        <v>8</v>
      </c>
    </row>
    <row r="648" spans="1:355" x14ac:dyDescent="0.25">
      <c r="A648" s="7">
        <v>0.29880614358732388</v>
      </c>
      <c r="B648"/>
      <c r="C648"/>
      <c r="D648"/>
      <c r="E648"/>
      <c r="F648" s="27" t="s">
        <v>7</v>
      </c>
      <c r="LM648" s="27" t="s">
        <v>8</v>
      </c>
      <c r="LX648" s="27" t="s">
        <v>7</v>
      </c>
      <c r="ML648" s="27" t="s">
        <v>7</v>
      </c>
      <c r="MM648" s="27" t="s">
        <v>8</v>
      </c>
      <c r="MN648" s="27" t="s">
        <v>7</v>
      </c>
      <c r="MP648" s="27" t="s">
        <v>7</v>
      </c>
    </row>
    <row r="649" spans="1:355" x14ac:dyDescent="0.25">
      <c r="A649" s="7">
        <v>0.2929471995954156</v>
      </c>
      <c r="B649"/>
      <c r="C649"/>
      <c r="D649"/>
      <c r="E649"/>
      <c r="F649" s="27" t="s">
        <v>7</v>
      </c>
      <c r="LM649" s="27" t="s">
        <v>8</v>
      </c>
      <c r="ML649" s="27" t="s">
        <v>7</v>
      </c>
      <c r="MM649" s="27" t="s">
        <v>8</v>
      </c>
    </row>
    <row r="650" spans="1:355" x14ac:dyDescent="0.25">
      <c r="A650" s="7">
        <v>0.28720313685825055</v>
      </c>
      <c r="B650"/>
      <c r="C650"/>
      <c r="D650"/>
      <c r="E650"/>
      <c r="F650" s="27" t="s">
        <v>7</v>
      </c>
      <c r="LM650" s="27" t="s">
        <v>8</v>
      </c>
      <c r="ML650" s="27" t="s">
        <v>7</v>
      </c>
      <c r="MM650" s="27" t="s">
        <v>8</v>
      </c>
    </row>
    <row r="651" spans="1:355" x14ac:dyDescent="0.25">
      <c r="A651" s="7">
        <v>0.28157170280220645</v>
      </c>
      <c r="B651"/>
      <c r="C651"/>
      <c r="D651"/>
      <c r="E651"/>
      <c r="F651" s="27" t="s">
        <v>7</v>
      </c>
      <c r="LM651" s="27" t="s">
        <v>8</v>
      </c>
      <c r="ML651" s="27" t="s">
        <v>7</v>
      </c>
      <c r="MM651" s="27" t="s">
        <v>8</v>
      </c>
    </row>
    <row r="652" spans="1:355" x14ac:dyDescent="0.25">
      <c r="A652" s="7">
        <v>0.27605068902177105</v>
      </c>
      <c r="B652"/>
      <c r="C652"/>
      <c r="D652"/>
      <c r="E652"/>
      <c r="F652" s="27" t="s">
        <v>7</v>
      </c>
      <c r="LM652" s="27" t="s">
        <v>8</v>
      </c>
      <c r="ML652" s="27" t="s">
        <v>7</v>
      </c>
      <c r="MM652" s="27" t="s">
        <v>8</v>
      </c>
    </row>
    <row r="653" spans="1:355" x14ac:dyDescent="0.25">
      <c r="A653" s="7">
        <v>0.27063793041350104</v>
      </c>
      <c r="B653"/>
      <c r="C653"/>
      <c r="D653"/>
      <c r="E653"/>
      <c r="F653" s="27" t="s">
        <v>7</v>
      </c>
      <c r="LM653" s="27" t="s">
        <v>8</v>
      </c>
      <c r="ML653" s="27" t="s">
        <v>7</v>
      </c>
      <c r="MM653" s="27" t="s">
        <v>8</v>
      </c>
    </row>
    <row r="654" spans="1:355" x14ac:dyDescent="0.25">
      <c r="A654" s="7">
        <v>0.26533130432696184</v>
      </c>
      <c r="B654"/>
      <c r="C654"/>
      <c r="D654"/>
      <c r="E654"/>
      <c r="F654" s="27" t="s">
        <v>7</v>
      </c>
      <c r="LM654" s="27" t="s">
        <v>8</v>
      </c>
      <c r="ML654" s="27" t="s">
        <v>7</v>
      </c>
    </row>
    <row r="655" spans="1:355" x14ac:dyDescent="0.25">
      <c r="A655" s="7">
        <v>0.26012872973231554</v>
      </c>
      <c r="B655"/>
      <c r="C655"/>
      <c r="D655"/>
      <c r="E655"/>
      <c r="F655" s="27" t="s">
        <v>7</v>
      </c>
      <c r="LM655" s="27" t="s">
        <v>8</v>
      </c>
    </row>
    <row r="656" spans="1:355" x14ac:dyDescent="0.25">
      <c r="A656" s="7">
        <v>0.25502816640423093</v>
      </c>
      <c r="B656"/>
      <c r="C656"/>
      <c r="D656"/>
      <c r="E656"/>
      <c r="F656" s="27" t="s">
        <v>7</v>
      </c>
      <c r="LM656" s="27" t="s">
        <v>8</v>
      </c>
    </row>
    <row r="657" spans="1:325" x14ac:dyDescent="0.25">
      <c r="A657" s="7">
        <v>0.25002761412179503</v>
      </c>
      <c r="B657"/>
      <c r="C657"/>
      <c r="D657"/>
      <c r="E657"/>
      <c r="F657" s="27" t="s">
        <v>7</v>
      </c>
      <c r="LG657" s="27" t="s">
        <v>8</v>
      </c>
      <c r="LM657" s="27" t="s">
        <v>8</v>
      </c>
    </row>
    <row r="658" spans="1:325" x14ac:dyDescent="0.25">
      <c r="A658" s="7">
        <v>0.24512511188411276</v>
      </c>
      <c r="B658"/>
      <c r="C658"/>
      <c r="D658"/>
      <c r="E658"/>
      <c r="F658" s="27" t="s">
        <v>7</v>
      </c>
      <c r="LG658" s="27" t="s">
        <v>8</v>
      </c>
      <c r="LH658" s="27" t="s">
        <v>7</v>
      </c>
      <c r="LM658" s="27" t="s">
        <v>8</v>
      </c>
    </row>
    <row r="659" spans="1:325" x14ac:dyDescent="0.25">
      <c r="A659" s="7">
        <v>0.24031873714128701</v>
      </c>
      <c r="B659"/>
      <c r="C659"/>
      <c r="D659"/>
      <c r="E659"/>
      <c r="F659" s="27" t="s">
        <v>7</v>
      </c>
      <c r="LG659" s="27" t="s">
        <v>8</v>
      </c>
      <c r="LH659" s="27" t="s">
        <v>7</v>
      </c>
      <c r="LM659" s="27" t="s">
        <v>8</v>
      </c>
    </row>
    <row r="660" spans="1:325" x14ac:dyDescent="0.25">
      <c r="A660" s="7">
        <v>0.23560660504047748</v>
      </c>
      <c r="B660"/>
      <c r="C660"/>
      <c r="D660"/>
      <c r="E660"/>
      <c r="F660" s="27" t="s">
        <v>7</v>
      </c>
      <c r="LG660" s="27" t="s">
        <v>8</v>
      </c>
      <c r="LH660" s="27" t="s">
        <v>7</v>
      </c>
      <c r="LI660" s="27" t="s">
        <v>8</v>
      </c>
      <c r="LM660" s="27" t="s">
        <v>8</v>
      </c>
    </row>
    <row r="661" spans="1:325" x14ac:dyDescent="0.25">
      <c r="A661" s="7">
        <v>0.23098686768674265</v>
      </c>
      <c r="B661"/>
      <c r="C661"/>
      <c r="D661"/>
      <c r="E661"/>
      <c r="F661" s="27" t="s">
        <v>7</v>
      </c>
      <c r="LE661" s="27" t="s">
        <v>8</v>
      </c>
      <c r="LG661" s="27" t="s">
        <v>8</v>
      </c>
      <c r="LH661" s="27" t="s">
        <v>7</v>
      </c>
      <c r="LI661" s="27" t="s">
        <v>8</v>
      </c>
      <c r="LJ661" s="27" t="s">
        <v>7</v>
      </c>
      <c r="LM661" s="27" t="s">
        <v>8</v>
      </c>
    </row>
    <row r="662" spans="1:325" x14ac:dyDescent="0.25">
      <c r="A662" s="7">
        <v>0.22645771341837515</v>
      </c>
      <c r="B662"/>
      <c r="C662"/>
      <c r="D662"/>
      <c r="E662"/>
      <c r="F662" s="27" t="s">
        <v>7</v>
      </c>
      <c r="LE662" s="27" t="s">
        <v>8</v>
      </c>
      <c r="LF662" s="27" t="s">
        <v>7</v>
      </c>
      <c r="LG662" s="27" t="s">
        <v>8</v>
      </c>
      <c r="LH662" s="27" t="s">
        <v>7</v>
      </c>
      <c r="LI662" s="27" t="s">
        <v>8</v>
      </c>
      <c r="LJ662" s="27" t="s">
        <v>7</v>
      </c>
      <c r="LK662" s="27" t="s">
        <v>8</v>
      </c>
      <c r="LM662" s="27" t="s">
        <v>8</v>
      </c>
    </row>
    <row r="663" spans="1:325" x14ac:dyDescent="0.25">
      <c r="A663" s="7">
        <v>0.22201736609644623</v>
      </c>
      <c r="B663"/>
      <c r="C663"/>
      <c r="D663"/>
      <c r="E663"/>
      <c r="F663" s="27" t="s">
        <v>7</v>
      </c>
      <c r="LE663" s="27" t="s">
        <v>8</v>
      </c>
      <c r="LF663" s="27" t="s">
        <v>7</v>
      </c>
      <c r="LG663" s="27" t="s">
        <v>8</v>
      </c>
      <c r="LH663" s="27" t="s">
        <v>7</v>
      </c>
      <c r="LI663" s="27" t="s">
        <v>8</v>
      </c>
      <c r="LJ663" s="27" t="s">
        <v>7</v>
      </c>
      <c r="LK663" s="27" t="s">
        <v>8</v>
      </c>
      <c r="LL663" s="27" t="s">
        <v>7</v>
      </c>
      <c r="LM663" s="27" t="s">
        <v>8</v>
      </c>
    </row>
    <row r="664" spans="1:325" x14ac:dyDescent="0.25">
      <c r="A664" s="7">
        <v>0.21766408440828061</v>
      </c>
      <c r="B664"/>
      <c r="C664"/>
      <c r="D664"/>
      <c r="E664"/>
      <c r="F664" s="27" t="s">
        <v>7</v>
      </c>
      <c r="LC664" s="27" t="s">
        <v>8</v>
      </c>
      <c r="LE664" s="27" t="s">
        <v>8</v>
      </c>
      <c r="LF664" s="27" t="s">
        <v>7</v>
      </c>
      <c r="LG664" s="27" t="s">
        <v>8</v>
      </c>
      <c r="LH664" s="27" t="s">
        <v>7</v>
      </c>
      <c r="LI664" s="27" t="s">
        <v>8</v>
      </c>
      <c r="LJ664" s="27" t="s">
        <v>7</v>
      </c>
      <c r="LK664" s="27" t="s">
        <v>8</v>
      </c>
      <c r="LL664" s="27" t="s">
        <v>7</v>
      </c>
      <c r="LM664" s="27" t="s">
        <v>8</v>
      </c>
    </row>
    <row r="665" spans="1:325" x14ac:dyDescent="0.25">
      <c r="A665" s="7">
        <v>0.21339616118458882</v>
      </c>
      <c r="B665"/>
      <c r="C665"/>
      <c r="D665"/>
      <c r="E665"/>
      <c r="F665" s="27" t="s">
        <v>7</v>
      </c>
      <c r="LC665" s="27" t="s">
        <v>8</v>
      </c>
      <c r="LD665" s="27" t="s">
        <v>7</v>
      </c>
      <c r="LE665" s="27" t="s">
        <v>8</v>
      </c>
      <c r="LF665" s="27" t="s">
        <v>7</v>
      </c>
      <c r="LG665" s="27" t="s">
        <v>8</v>
      </c>
      <c r="LH665" s="27" t="s">
        <v>7</v>
      </c>
      <c r="LJ665" s="27" t="s">
        <v>7</v>
      </c>
      <c r="LK665" s="27" t="s">
        <v>8</v>
      </c>
      <c r="LL665" s="27" t="s">
        <v>7</v>
      </c>
      <c r="LM665" s="27" t="s">
        <v>8</v>
      </c>
    </row>
    <row r="666" spans="1:325" x14ac:dyDescent="0.25">
      <c r="A666" s="7">
        <v>0.20921192272998904</v>
      </c>
      <c r="B666"/>
      <c r="C666"/>
      <c r="D666"/>
      <c r="E666"/>
      <c r="F666" s="27" t="s">
        <v>7</v>
      </c>
      <c r="LC666" s="27" t="s">
        <v>8</v>
      </c>
      <c r="LD666" s="27" t="s">
        <v>7</v>
      </c>
      <c r="LE666" s="27" t="s">
        <v>8</v>
      </c>
      <c r="LF666" s="27" t="s">
        <v>7</v>
      </c>
      <c r="LG666" s="27" t="s">
        <v>8</v>
      </c>
      <c r="LJ666" s="27" t="s">
        <v>7</v>
      </c>
      <c r="LK666" s="27" t="s">
        <v>8</v>
      </c>
      <c r="LL666" s="27" t="s">
        <v>7</v>
      </c>
      <c r="LM666" s="27" t="s">
        <v>8</v>
      </c>
    </row>
    <row r="667" spans="1:325" x14ac:dyDescent="0.25">
      <c r="A667" s="7">
        <v>0.20510972816665593</v>
      </c>
      <c r="B667"/>
      <c r="C667"/>
      <c r="D667"/>
      <c r="E667"/>
      <c r="F667" s="27" t="s">
        <v>7</v>
      </c>
      <c r="LC667" s="27" t="s">
        <v>8</v>
      </c>
      <c r="LD667" s="27" t="s">
        <v>7</v>
      </c>
      <c r="LE667" s="27" t="s">
        <v>8</v>
      </c>
      <c r="LF667" s="27" t="s">
        <v>7</v>
      </c>
      <c r="LG667" s="27" t="s">
        <v>8</v>
      </c>
      <c r="LJ667" s="27" t="s">
        <v>7</v>
      </c>
      <c r="LK667" s="27" t="s">
        <v>8</v>
      </c>
      <c r="LL667" s="27" t="s">
        <v>7</v>
      </c>
    </row>
    <row r="668" spans="1:325" x14ac:dyDescent="0.25">
      <c r="A668" s="7">
        <v>0.20108796879083912</v>
      </c>
      <c r="B668"/>
      <c r="C668"/>
      <c r="D668"/>
      <c r="E668"/>
      <c r="F668" s="27" t="s">
        <v>7</v>
      </c>
      <c r="LC668" s="27" t="s">
        <v>8</v>
      </c>
      <c r="LD668" s="27" t="s">
        <v>7</v>
      </c>
      <c r="LE668" s="27" t="s">
        <v>8</v>
      </c>
      <c r="LF668" s="27" t="s">
        <v>7</v>
      </c>
      <c r="LG668" s="27" t="s">
        <v>8</v>
      </c>
      <c r="LJ668" s="27" t="s">
        <v>7</v>
      </c>
      <c r="LK668" s="27" t="s">
        <v>8</v>
      </c>
    </row>
    <row r="669" spans="1:325" x14ac:dyDescent="0.25">
      <c r="A669" s="7">
        <v>0.19714506744199917</v>
      </c>
      <c r="B669"/>
      <c r="C669"/>
      <c r="D669"/>
      <c r="E669"/>
      <c r="F669" s="27" t="s">
        <v>7</v>
      </c>
      <c r="LA669" s="27" t="s">
        <v>8</v>
      </c>
      <c r="LC669" s="27" t="s">
        <v>8</v>
      </c>
      <c r="LD669" s="27" t="s">
        <v>7</v>
      </c>
      <c r="LE669" s="27" t="s">
        <v>8</v>
      </c>
      <c r="LF669" s="27" t="s">
        <v>7</v>
      </c>
      <c r="LG669" s="27" t="s">
        <v>8</v>
      </c>
      <c r="LJ669" s="27" t="s">
        <v>7</v>
      </c>
      <c r="LK669" s="27" t="s">
        <v>8</v>
      </c>
    </row>
    <row r="670" spans="1:325" x14ac:dyDescent="0.25">
      <c r="A670" s="7">
        <v>0.19327947788431293</v>
      </c>
      <c r="B670"/>
      <c r="C670"/>
      <c r="D670"/>
      <c r="E670"/>
      <c r="F670" s="27" t="s">
        <v>7</v>
      </c>
      <c r="LA670" s="27" t="s">
        <v>8</v>
      </c>
      <c r="LB670" s="27" t="s">
        <v>7</v>
      </c>
      <c r="LC670" s="27" t="s">
        <v>8</v>
      </c>
      <c r="LD670" s="27" t="s">
        <v>7</v>
      </c>
      <c r="LE670" s="27" t="s">
        <v>8</v>
      </c>
      <c r="LF670" s="27" t="s">
        <v>7</v>
      </c>
      <c r="LG670" s="27" t="s">
        <v>8</v>
      </c>
      <c r="LJ670" s="27" t="s">
        <v>7</v>
      </c>
      <c r="LK670" s="27" t="s">
        <v>8</v>
      </c>
    </row>
    <row r="671" spans="1:325" x14ac:dyDescent="0.25">
      <c r="A671" s="7">
        <v>0.18948968420030682</v>
      </c>
      <c r="B671"/>
      <c r="C671"/>
      <c r="D671"/>
      <c r="E671"/>
      <c r="F671" s="27" t="s">
        <v>7</v>
      </c>
      <c r="LA671" s="27" t="s">
        <v>8</v>
      </c>
      <c r="LB671" s="27" t="s">
        <v>7</v>
      </c>
      <c r="LC671" s="27" t="s">
        <v>8</v>
      </c>
      <c r="LD671" s="27" t="s">
        <v>7</v>
      </c>
      <c r="LE671" s="27" t="s">
        <v>8</v>
      </c>
      <c r="LF671" s="27" t="s">
        <v>7</v>
      </c>
      <c r="LG671" s="27" t="s">
        <v>8</v>
      </c>
      <c r="LJ671" s="27" t="s">
        <v>7</v>
      </c>
      <c r="LK671" s="27" t="s">
        <v>8</v>
      </c>
    </row>
    <row r="672" spans="1:325" x14ac:dyDescent="0.25">
      <c r="A672" s="7">
        <v>0.18577420019637925</v>
      </c>
      <c r="B672"/>
      <c r="C672"/>
      <c r="D672"/>
      <c r="E672"/>
      <c r="F672" s="27" t="s">
        <v>7</v>
      </c>
      <c r="LA672" s="27" t="s">
        <v>8</v>
      </c>
      <c r="LB672" s="27" t="s">
        <v>7</v>
      </c>
      <c r="LC672" s="27" t="s">
        <v>8</v>
      </c>
      <c r="LD672" s="27" t="s">
        <v>7</v>
      </c>
      <c r="LE672" s="27" t="s">
        <v>8</v>
      </c>
      <c r="LF672" s="27" t="s">
        <v>7</v>
      </c>
      <c r="LG672" s="27" t="s">
        <v>8</v>
      </c>
      <c r="LJ672" s="27" t="s">
        <v>7</v>
      </c>
    </row>
    <row r="673" spans="1:319" x14ac:dyDescent="0.25">
      <c r="A673" s="7">
        <v>0.18213156881997963</v>
      </c>
      <c r="B673"/>
      <c r="C673"/>
      <c r="D673"/>
      <c r="E673"/>
      <c r="F673" s="27" t="s">
        <v>7</v>
      </c>
      <c r="LA673" s="27" t="s">
        <v>8</v>
      </c>
      <c r="LB673" s="27" t="s">
        <v>7</v>
      </c>
      <c r="LC673" s="27" t="s">
        <v>8</v>
      </c>
      <c r="LD673" s="27" t="s">
        <v>7</v>
      </c>
      <c r="LE673" s="27" t="s">
        <v>8</v>
      </c>
      <c r="LF673" s="27" t="s">
        <v>7</v>
      </c>
      <c r="LG673" s="27" t="s">
        <v>8</v>
      </c>
    </row>
    <row r="674" spans="1:319" x14ac:dyDescent="0.25">
      <c r="A674" s="7">
        <v>0.17856036158821534</v>
      </c>
      <c r="B674"/>
      <c r="C674"/>
      <c r="D674"/>
      <c r="E674"/>
      <c r="F674" s="27" t="s">
        <v>7</v>
      </c>
      <c r="LA674" s="27" t="s">
        <v>8</v>
      </c>
      <c r="LB674" s="27" t="s">
        <v>7</v>
      </c>
      <c r="LC674" s="27" t="s">
        <v>8</v>
      </c>
      <c r="LD674" s="27" t="s">
        <v>7</v>
      </c>
      <c r="LE674" s="27" t="s">
        <v>8</v>
      </c>
      <c r="LF674" s="27" t="s">
        <v>7</v>
      </c>
      <c r="LG674" s="27" t="s">
        <v>8</v>
      </c>
    </row>
    <row r="675" spans="1:319" x14ac:dyDescent="0.25">
      <c r="A675" s="7">
        <v>0.17505917802766208</v>
      </c>
      <c r="B675"/>
      <c r="C675"/>
      <c r="D675"/>
      <c r="E675"/>
      <c r="F675" s="27" t="s">
        <v>7</v>
      </c>
      <c r="LA675" s="27" t="s">
        <v>8</v>
      </c>
      <c r="LB675" s="27" t="s">
        <v>7</v>
      </c>
      <c r="LC675" s="27" t="s">
        <v>8</v>
      </c>
      <c r="LD675" s="27" t="s">
        <v>7</v>
      </c>
      <c r="LE675" s="27" t="s">
        <v>8</v>
      </c>
      <c r="LF675" s="27" t="s">
        <v>7</v>
      </c>
      <c r="LG675" s="27" t="s">
        <v>8</v>
      </c>
    </row>
    <row r="676" spans="1:319" x14ac:dyDescent="0.25">
      <c r="A676" s="7">
        <v>0.17162664512515888</v>
      </c>
      <c r="B676"/>
      <c r="C676"/>
      <c r="D676"/>
      <c r="E676"/>
      <c r="F676" s="27" t="s">
        <v>7</v>
      </c>
      <c r="LA676" s="27" t="s">
        <v>8</v>
      </c>
      <c r="LB676" s="27" t="s">
        <v>7</v>
      </c>
      <c r="LC676" s="27" t="s">
        <v>8</v>
      </c>
      <c r="LD676" s="27" t="s">
        <v>7</v>
      </c>
      <c r="LE676" s="27" t="s">
        <v>8</v>
      </c>
      <c r="LF676" s="27" t="s">
        <v>7</v>
      </c>
    </row>
    <row r="677" spans="1:319" x14ac:dyDescent="0.25">
      <c r="A677" s="7">
        <v>0.16826141678937145</v>
      </c>
      <c r="B677"/>
      <c r="C677"/>
      <c r="D677"/>
      <c r="E677"/>
      <c r="F677" s="27" t="s">
        <v>7</v>
      </c>
      <c r="LA677" s="27" t="s">
        <v>8</v>
      </c>
      <c r="LB677" s="27" t="s">
        <v>7</v>
      </c>
      <c r="LC677" s="27" t="s">
        <v>8</v>
      </c>
      <c r="LD677" s="27" t="s">
        <v>7</v>
      </c>
      <c r="LE677" s="27" t="s">
        <v>8</v>
      </c>
    </row>
    <row r="678" spans="1:319" x14ac:dyDescent="0.25">
      <c r="A678" s="7">
        <v>0.16496217332291319</v>
      </c>
      <c r="B678"/>
      <c r="C678"/>
      <c r="D678"/>
      <c r="E678"/>
      <c r="F678" s="27" t="s">
        <v>7</v>
      </c>
      <c r="LA678" s="27" t="s">
        <v>8</v>
      </c>
      <c r="LB678" s="27" t="s">
        <v>7</v>
      </c>
      <c r="LC678" s="27" t="s">
        <v>8</v>
      </c>
      <c r="LD678" s="27" t="s">
        <v>7</v>
      </c>
      <c r="LE678" s="27" t="s">
        <v>8</v>
      </c>
    </row>
    <row r="679" spans="1:319" x14ac:dyDescent="0.25">
      <c r="A679" s="7">
        <v>0.16172762090481685</v>
      </c>
      <c r="B679"/>
      <c r="C679"/>
      <c r="D679"/>
      <c r="E679"/>
      <c r="F679" s="27" t="s">
        <v>7</v>
      </c>
      <c r="LA679" s="27" t="s">
        <v>8</v>
      </c>
      <c r="LB679" s="27" t="s">
        <v>7</v>
      </c>
      <c r="LC679" s="27" t="s">
        <v>8</v>
      </c>
      <c r="LD679" s="27" t="s">
        <v>7</v>
      </c>
    </row>
    <row r="680" spans="1:319" x14ac:dyDescent="0.25">
      <c r="A680" s="7">
        <v>0.15855649108315376</v>
      </c>
      <c r="B680"/>
      <c r="C680"/>
      <c r="D680"/>
      <c r="E680"/>
      <c r="F680" s="27" t="s">
        <v>7</v>
      </c>
      <c r="LA680" s="27" t="s">
        <v>8</v>
      </c>
      <c r="LB680" s="27" t="s">
        <v>7</v>
      </c>
      <c r="LC680" s="27" t="s">
        <v>8</v>
      </c>
    </row>
    <row r="681" spans="1:319" x14ac:dyDescent="0.25">
      <c r="A681" s="7">
        <v>0.15544754027760171</v>
      </c>
      <c r="B681"/>
      <c r="C681"/>
      <c r="D681"/>
      <c r="E681"/>
      <c r="F681" s="27" t="s">
        <v>7</v>
      </c>
      <c r="LA681" s="27" t="s">
        <v>8</v>
      </c>
      <c r="LB681" s="27" t="s">
        <v>7</v>
      </c>
      <c r="LC681" s="27" t="s">
        <v>8</v>
      </c>
    </row>
    <row r="682" spans="1:319" x14ac:dyDescent="0.25">
      <c r="A682" s="7">
        <v>0.15239954929176638</v>
      </c>
      <c r="B682"/>
      <c r="C682"/>
      <c r="D682"/>
      <c r="E682"/>
      <c r="F682" s="27" t="s">
        <v>7</v>
      </c>
      <c r="LA682" s="27" t="s">
        <v>8</v>
      </c>
      <c r="LB682" s="27" t="s">
        <v>7</v>
      </c>
      <c r="LC682" s="27" t="s">
        <v>8</v>
      </c>
    </row>
    <row r="683" spans="1:319" x14ac:dyDescent="0.25">
      <c r="A683" s="7">
        <v>0.14941132283506509</v>
      </c>
      <c r="B683"/>
      <c r="C683"/>
      <c r="D683"/>
      <c r="E683"/>
      <c r="F683" s="27" t="s">
        <v>7</v>
      </c>
      <c r="LA683" s="27" t="s">
        <v>8</v>
      </c>
      <c r="LB683" s="27" t="s">
        <v>7</v>
      </c>
      <c r="LC683" s="27" t="s">
        <v>8</v>
      </c>
    </row>
    <row r="684" spans="1:319" x14ac:dyDescent="0.25">
      <c r="A684" s="7">
        <v>0.14648168905398537</v>
      </c>
      <c r="B684"/>
      <c r="C684"/>
      <c r="D684"/>
      <c r="E684"/>
      <c r="F684" s="27" t="s">
        <v>7</v>
      </c>
      <c r="KW684" s="27" t="s">
        <v>8</v>
      </c>
      <c r="LA684" s="27" t="s">
        <v>8</v>
      </c>
      <c r="LB684" s="27" t="s">
        <v>7</v>
      </c>
      <c r="LC684" s="27" t="s">
        <v>8</v>
      </c>
    </row>
    <row r="685" spans="1:319" x14ac:dyDescent="0.25">
      <c r="A685" s="7">
        <v>0.14360949907253467</v>
      </c>
      <c r="B685"/>
      <c r="C685"/>
      <c r="D685"/>
      <c r="E685"/>
      <c r="F685" s="27" t="s">
        <v>7</v>
      </c>
      <c r="KW685" s="27" t="s">
        <v>8</v>
      </c>
      <c r="KX685" s="27" t="s">
        <v>7</v>
      </c>
      <c r="LA685" s="27" t="s">
        <v>8</v>
      </c>
      <c r="LB685" s="27" t="s">
        <v>7</v>
      </c>
      <c r="LC685" s="27" t="s">
        <v>8</v>
      </c>
    </row>
    <row r="686" spans="1:319" x14ac:dyDescent="0.25">
      <c r="A686" s="7">
        <v>0.14079362654170066</v>
      </c>
      <c r="B686"/>
      <c r="C686"/>
      <c r="D686"/>
      <c r="E686"/>
      <c r="F686" s="27" t="s">
        <v>7</v>
      </c>
      <c r="KW686" s="27" t="s">
        <v>8</v>
      </c>
      <c r="KX686" s="27" t="s">
        <v>7</v>
      </c>
      <c r="LA686" s="27" t="s">
        <v>8</v>
      </c>
      <c r="LB686" s="27" t="s">
        <v>7</v>
      </c>
      <c r="LC686" s="27" t="s">
        <v>8</v>
      </c>
    </row>
    <row r="687" spans="1:319" x14ac:dyDescent="0.25">
      <c r="A687" s="7">
        <v>0.13803296719774574</v>
      </c>
      <c r="B687"/>
      <c r="C687"/>
      <c r="D687"/>
      <c r="E687"/>
      <c r="F687" s="27" t="s">
        <v>7</v>
      </c>
      <c r="KW687" s="27" t="s">
        <v>8</v>
      </c>
      <c r="KX687" s="27" t="s">
        <v>7</v>
      </c>
      <c r="LA687" s="27" t="s">
        <v>8</v>
      </c>
      <c r="LB687" s="27" t="s">
        <v>7</v>
      </c>
      <c r="LC687" s="27" t="s">
        <v>8</v>
      </c>
    </row>
    <row r="688" spans="1:319" x14ac:dyDescent="0.25">
      <c r="A688" s="7">
        <v>0.1353264384291625</v>
      </c>
      <c r="B688"/>
      <c r="C688"/>
      <c r="D688"/>
      <c r="E688"/>
      <c r="F688" s="27" t="s">
        <v>7</v>
      </c>
      <c r="KW688" s="27" t="s">
        <v>8</v>
      </c>
      <c r="KX688" s="27" t="s">
        <v>7</v>
      </c>
      <c r="LA688" s="27" t="s">
        <v>8</v>
      </c>
      <c r="LB688" s="27" t="s">
        <v>7</v>
      </c>
      <c r="LC688" s="27" t="s">
        <v>8</v>
      </c>
    </row>
    <row r="689" spans="1:315" x14ac:dyDescent="0.25">
      <c r="A689" s="7">
        <v>0.13267297885212009</v>
      </c>
      <c r="B689"/>
      <c r="C689"/>
      <c r="D689"/>
      <c r="E689"/>
      <c r="F689" s="27" t="s">
        <v>7</v>
      </c>
      <c r="KW689" s="27" t="s">
        <v>8</v>
      </c>
      <c r="KX689" s="27" t="s">
        <v>7</v>
      </c>
      <c r="LA689" s="27" t="s">
        <v>8</v>
      </c>
      <c r="LB689" s="27" t="s">
        <v>7</v>
      </c>
      <c r="LC689" s="27" t="s">
        <v>8</v>
      </c>
    </row>
    <row r="690" spans="1:315" x14ac:dyDescent="0.25">
      <c r="A690" s="7">
        <v>0.13007154789423539</v>
      </c>
      <c r="B690"/>
      <c r="C690"/>
      <c r="D690"/>
      <c r="E690"/>
      <c r="F690" s="27" t="s">
        <v>7</v>
      </c>
      <c r="KW690" s="27" t="s">
        <v>8</v>
      </c>
      <c r="KX690" s="27" t="s">
        <v>7</v>
      </c>
      <c r="LA690" s="27" t="s">
        <v>8</v>
      </c>
      <c r="LB690" s="27" t="s">
        <v>7</v>
      </c>
      <c r="LC690" s="27" t="s">
        <v>8</v>
      </c>
    </row>
    <row r="691" spans="1:315" x14ac:dyDescent="0.25">
      <c r="A691" s="7">
        <v>0.12752112538650529</v>
      </c>
      <c r="B691"/>
      <c r="C691"/>
      <c r="D691"/>
      <c r="E691"/>
      <c r="F691" s="27" t="s">
        <v>7</v>
      </c>
      <c r="KW691" s="27" t="s">
        <v>8</v>
      </c>
      <c r="KX691" s="27" t="s">
        <v>7</v>
      </c>
      <c r="KY691" s="27" t="s">
        <v>8</v>
      </c>
      <c r="LA691" s="27" t="s">
        <v>8</v>
      </c>
      <c r="LB691" s="27" t="s">
        <v>7</v>
      </c>
      <c r="LC691" s="27" t="s">
        <v>8</v>
      </c>
    </row>
    <row r="692" spans="1:315" x14ac:dyDescent="0.25">
      <c r="A692" s="7">
        <v>0.12502071116324048</v>
      </c>
      <c r="B692"/>
      <c r="C692"/>
      <c r="D692"/>
      <c r="E692"/>
      <c r="F692" s="27" t="s">
        <v>7</v>
      </c>
      <c r="KW692" s="27" t="s">
        <v>8</v>
      </c>
      <c r="KX692" s="27" t="s">
        <v>7</v>
      </c>
      <c r="KY692" s="27" t="s">
        <v>8</v>
      </c>
      <c r="KZ692" s="27" t="s">
        <v>7</v>
      </c>
      <c r="LA692" s="27" t="s">
        <v>8</v>
      </c>
      <c r="LB692" s="27" t="s">
        <v>7</v>
      </c>
      <c r="LC692" s="27" t="s">
        <v>8</v>
      </c>
    </row>
    <row r="693" spans="1:315" x14ac:dyDescent="0.25">
      <c r="A693" s="7">
        <v>0.1225693246698436</v>
      </c>
      <c r="B693"/>
      <c r="C693"/>
      <c r="D693"/>
      <c r="E693"/>
      <c r="F693" s="27" t="s">
        <v>7</v>
      </c>
      <c r="KW693" s="27" t="s">
        <v>8</v>
      </c>
      <c r="KX693" s="27" t="s">
        <v>7</v>
      </c>
      <c r="KY693" s="27" t="s">
        <v>8</v>
      </c>
      <c r="KZ693" s="27" t="s">
        <v>7</v>
      </c>
      <c r="LA693" s="27" t="s">
        <v>8</v>
      </c>
      <c r="LB693" s="27" t="s">
        <v>7</v>
      </c>
      <c r="LC693" s="27" t="s">
        <v>8</v>
      </c>
    </row>
    <row r="694" spans="1:315" x14ac:dyDescent="0.25">
      <c r="A694" s="7">
        <v>0.12016600457827803</v>
      </c>
      <c r="B694"/>
      <c r="C694"/>
      <c r="D694"/>
      <c r="E694"/>
      <c r="F694" s="27" t="s">
        <v>7</v>
      </c>
      <c r="KW694" s="27" t="s">
        <v>8</v>
      </c>
      <c r="KX694" s="27" t="s">
        <v>7</v>
      </c>
      <c r="KY694" s="27" t="s">
        <v>8</v>
      </c>
      <c r="KZ694" s="27" t="s">
        <v>7</v>
      </c>
      <c r="LA694" s="27" t="s">
        <v>8</v>
      </c>
      <c r="LB694" s="27" t="s">
        <v>7</v>
      </c>
      <c r="LC694" s="27" t="s">
        <v>8</v>
      </c>
    </row>
    <row r="695" spans="1:315" x14ac:dyDescent="0.25">
      <c r="A695" s="7">
        <v>0.1178098084100765</v>
      </c>
      <c r="B695"/>
      <c r="C695"/>
      <c r="D695"/>
      <c r="E695"/>
      <c r="F695" s="27" t="s">
        <v>7</v>
      </c>
      <c r="KW695" s="27" t="s">
        <v>8</v>
      </c>
      <c r="KX695" s="27" t="s">
        <v>7</v>
      </c>
      <c r="KY695" s="27" t="s">
        <v>8</v>
      </c>
      <c r="KZ695" s="27" t="s">
        <v>7</v>
      </c>
      <c r="LA695" s="27" t="s">
        <v>8</v>
      </c>
      <c r="LB695" s="27" t="s">
        <v>7</v>
      </c>
      <c r="LC695" s="27" t="s">
        <v>8</v>
      </c>
    </row>
    <row r="696" spans="1:315" x14ac:dyDescent="0.25">
      <c r="A696" s="7">
        <v>0.11549981216674166</v>
      </c>
      <c r="B696"/>
      <c r="C696"/>
      <c r="D696"/>
      <c r="E696"/>
      <c r="F696" s="27" t="s">
        <v>7</v>
      </c>
      <c r="KW696" s="27" t="s">
        <v>8</v>
      </c>
      <c r="KX696" s="27" t="s">
        <v>7</v>
      </c>
      <c r="KY696" s="27" t="s">
        <v>8</v>
      </c>
      <c r="KZ696" s="27" t="s">
        <v>7</v>
      </c>
      <c r="LA696" s="27" t="s">
        <v>8</v>
      </c>
      <c r="LB696" s="27" t="s">
        <v>7</v>
      </c>
      <c r="LC696" s="27" t="s">
        <v>8</v>
      </c>
    </row>
    <row r="697" spans="1:315" x14ac:dyDescent="0.25">
      <c r="A697" s="7">
        <v>0.11323510996739378</v>
      </c>
      <c r="B697"/>
      <c r="C697"/>
      <c r="D697"/>
      <c r="E697"/>
      <c r="F697" s="27" t="s">
        <v>7</v>
      </c>
      <c r="KW697" s="27" t="s">
        <v>8</v>
      </c>
      <c r="KX697" s="27" t="s">
        <v>7</v>
      </c>
      <c r="KZ697" s="27" t="s">
        <v>7</v>
      </c>
      <c r="LA697" s="27" t="s">
        <v>8</v>
      </c>
      <c r="LB697" s="27" t="s">
        <v>7</v>
      </c>
      <c r="LC697" s="27" t="s">
        <v>8</v>
      </c>
    </row>
    <row r="698" spans="1:315" x14ac:dyDescent="0.25">
      <c r="A698" s="7">
        <v>0.11101481369352331</v>
      </c>
      <c r="B698"/>
      <c r="C698"/>
      <c r="D698"/>
      <c r="E698"/>
      <c r="F698" s="27" t="s">
        <v>7</v>
      </c>
      <c r="KW698" s="27" t="s">
        <v>8</v>
      </c>
      <c r="KZ698" s="27" t="s">
        <v>7</v>
      </c>
      <c r="LA698" s="27" t="s">
        <v>8</v>
      </c>
      <c r="LB698" s="27" t="s">
        <v>7</v>
      </c>
      <c r="LC698" s="27" t="s">
        <v>8</v>
      </c>
    </row>
    <row r="699" spans="1:315" x14ac:dyDescent="0.25">
      <c r="A699" s="7">
        <v>0.10883805264070913</v>
      </c>
      <c r="B699"/>
      <c r="C699"/>
      <c r="D699"/>
      <c r="E699"/>
      <c r="F699" s="27" t="s">
        <v>7</v>
      </c>
      <c r="KW699" s="27" t="s">
        <v>8</v>
      </c>
      <c r="KZ699" s="27" t="s">
        <v>7</v>
      </c>
      <c r="LA699" s="27" t="s">
        <v>8</v>
      </c>
      <c r="LB699" s="27" t="s">
        <v>7</v>
      </c>
      <c r="LC699" s="27" t="s">
        <v>8</v>
      </c>
    </row>
    <row r="700" spans="1:315" x14ac:dyDescent="0.25">
      <c r="A700" s="7">
        <v>0.10670397317716582</v>
      </c>
      <c r="B700"/>
      <c r="C700"/>
      <c r="D700"/>
      <c r="E700"/>
      <c r="F700" s="27" t="s">
        <v>7</v>
      </c>
      <c r="KW700" s="27" t="s">
        <v>8</v>
      </c>
      <c r="KZ700" s="27" t="s">
        <v>7</v>
      </c>
      <c r="LA700" s="27" t="s">
        <v>8</v>
      </c>
      <c r="LB700" s="27" t="s">
        <v>7</v>
      </c>
      <c r="LC700" s="27" t="s">
        <v>8</v>
      </c>
    </row>
    <row r="701" spans="1:315" x14ac:dyDescent="0.25">
      <c r="A701" s="7">
        <v>0.1046117384089861</v>
      </c>
      <c r="B701"/>
      <c r="C701"/>
      <c r="D701"/>
      <c r="E701"/>
      <c r="F701" s="27" t="s">
        <v>7</v>
      </c>
      <c r="KW701" s="27" t="s">
        <v>8</v>
      </c>
      <c r="KZ701" s="27" t="s">
        <v>7</v>
      </c>
      <c r="LA701" s="27" t="s">
        <v>8</v>
      </c>
      <c r="LB701" s="27" t="s">
        <v>7</v>
      </c>
      <c r="LC701" s="27" t="s">
        <v>8</v>
      </c>
    </row>
    <row r="702" spans="1:315" x14ac:dyDescent="0.25">
      <c r="A702" s="7">
        <v>0.10256052785194716</v>
      </c>
      <c r="B702"/>
      <c r="C702"/>
      <c r="D702"/>
      <c r="E702"/>
      <c r="F702" s="27" t="s">
        <v>7</v>
      </c>
      <c r="KW702" s="27" t="s">
        <v>8</v>
      </c>
      <c r="KZ702" s="27" t="s">
        <v>7</v>
      </c>
      <c r="LA702" s="27" t="s">
        <v>8</v>
      </c>
      <c r="LB702" s="27" t="s">
        <v>7</v>
      </c>
      <c r="LC702" s="27" t="s">
        <v>8</v>
      </c>
    </row>
    <row r="703" spans="1:315" x14ac:dyDescent="0.25">
      <c r="A703" s="7">
        <v>0.10054953710975212</v>
      </c>
      <c r="B703"/>
      <c r="C703"/>
      <c r="D703"/>
      <c r="E703"/>
      <c r="F703" s="27" t="s">
        <v>7</v>
      </c>
      <c r="KW703" s="27" t="s">
        <v>8</v>
      </c>
      <c r="KZ703" s="27" t="s">
        <v>7</v>
      </c>
      <c r="LA703" s="27" t="s">
        <v>8</v>
      </c>
      <c r="LB703" s="27" t="s">
        <v>7</v>
      </c>
    </row>
    <row r="704" spans="1:315" x14ac:dyDescent="0.25">
      <c r="A704" s="7">
        <v>9.8577977558580512E-2</v>
      </c>
      <c r="B704"/>
      <c r="C704"/>
      <c r="D704"/>
      <c r="E704"/>
      <c r="F704" s="27" t="s">
        <v>7</v>
      </c>
      <c r="KW704" s="27" t="s">
        <v>8</v>
      </c>
      <c r="KZ704" s="27" t="s">
        <v>7</v>
      </c>
      <c r="LA704" s="27" t="s">
        <v>8</v>
      </c>
    </row>
    <row r="705" spans="1:313" x14ac:dyDescent="0.25">
      <c r="A705" s="7">
        <v>9.6645076037824032E-2</v>
      </c>
      <c r="B705"/>
      <c r="C705"/>
      <c r="D705"/>
      <c r="E705"/>
      <c r="F705" s="27" t="s">
        <v>7</v>
      </c>
      <c r="KW705" s="27" t="s">
        <v>8</v>
      </c>
      <c r="KZ705" s="27" t="s">
        <v>7</v>
      </c>
      <c r="LA705" s="27" t="s">
        <v>8</v>
      </c>
    </row>
    <row r="706" spans="1:313" x14ac:dyDescent="0.25">
      <c r="A706" s="7">
        <v>9.4750074546886304E-2</v>
      </c>
      <c r="B706"/>
      <c r="C706"/>
      <c r="D706"/>
      <c r="E706"/>
      <c r="F706" s="27" t="s">
        <v>7</v>
      </c>
      <c r="KW706" s="27" t="s">
        <v>8</v>
      </c>
      <c r="KZ706" s="27" t="s">
        <v>7</v>
      </c>
      <c r="LA706" s="27" t="s">
        <v>8</v>
      </c>
    </row>
    <row r="707" spans="1:313" x14ac:dyDescent="0.25">
      <c r="A707" s="7">
        <v>9.2892229947927743E-2</v>
      </c>
      <c r="B707"/>
      <c r="C707"/>
      <c r="D707"/>
      <c r="E707"/>
      <c r="F707" s="27" t="s">
        <v>7</v>
      </c>
      <c r="KW707" s="27" t="s">
        <v>8</v>
      </c>
      <c r="KZ707" s="27" t="s">
        <v>7</v>
      </c>
      <c r="LA707" s="27" t="s">
        <v>8</v>
      </c>
    </row>
    <row r="708" spans="1:313" x14ac:dyDescent="0.25">
      <c r="A708" s="7">
        <v>9.1070813674438963E-2</v>
      </c>
      <c r="B708"/>
      <c r="C708"/>
      <c r="D708"/>
      <c r="E708"/>
      <c r="F708" s="27" t="s">
        <v>7</v>
      </c>
      <c r="KW708" s="27" t="s">
        <v>8</v>
      </c>
      <c r="KZ708" s="27" t="s">
        <v>7</v>
      </c>
      <c r="LA708" s="27" t="s">
        <v>8</v>
      </c>
    </row>
    <row r="709" spans="1:313" x14ac:dyDescent="0.25">
      <c r="A709" s="7">
        <v>8.9285111445528392E-2</v>
      </c>
      <c r="B709"/>
      <c r="C709"/>
      <c r="D709"/>
      <c r="E709"/>
      <c r="F709" s="27" t="s">
        <v>7</v>
      </c>
      <c r="KW709" s="27" t="s">
        <v>8</v>
      </c>
      <c r="KZ709" s="27" t="s">
        <v>7</v>
      </c>
      <c r="LA709" s="27" t="s">
        <v>8</v>
      </c>
    </row>
    <row r="710" spans="1:313" x14ac:dyDescent="0.25">
      <c r="A710" s="7">
        <v>8.7534422985812155E-2</v>
      </c>
      <c r="B710"/>
      <c r="C710"/>
      <c r="D710"/>
      <c r="E710"/>
      <c r="F710" s="27" t="s">
        <v>7</v>
      </c>
      <c r="KW710" s="27" t="s">
        <v>8</v>
      </c>
      <c r="KZ710" s="27" t="s">
        <v>7</v>
      </c>
      <c r="LA710" s="27" t="s">
        <v>8</v>
      </c>
    </row>
    <row r="711" spans="1:313" x14ac:dyDescent="0.25">
      <c r="A711" s="7">
        <v>8.5818061750796232E-2</v>
      </c>
      <c r="B711"/>
      <c r="C711"/>
      <c r="D711"/>
      <c r="E711"/>
      <c r="F711" s="27" t="s">
        <v>7</v>
      </c>
      <c r="KW711" s="27" t="s">
        <v>8</v>
      </c>
      <c r="KZ711" s="27" t="s">
        <v>7</v>
      </c>
      <c r="LA711" s="27" t="s">
        <v>8</v>
      </c>
    </row>
    <row r="712" spans="1:313" x14ac:dyDescent="0.25">
      <c r="A712" s="7">
        <v>8.4135354657643366E-2</v>
      </c>
      <c r="B712"/>
      <c r="C712"/>
      <c r="D712"/>
      <c r="E712"/>
      <c r="F712" s="27" t="s">
        <v>7</v>
      </c>
      <c r="KW712" s="27" t="s">
        <v>8</v>
      </c>
      <c r="KZ712" s="27" t="s">
        <v>7</v>
      </c>
      <c r="LA712" s="27" t="s">
        <v>8</v>
      </c>
    </row>
    <row r="713" spans="1:313" x14ac:dyDescent="0.25">
      <c r="A713" s="7">
        <v>8.248564182121898E-2</v>
      </c>
      <c r="B713"/>
      <c r="C713"/>
      <c r="D713"/>
      <c r="E713"/>
      <c r="F713" s="27" t="s">
        <v>7</v>
      </c>
      <c r="KW713" s="27" t="s">
        <v>8</v>
      </c>
      <c r="KZ713" s="27" t="s">
        <v>7</v>
      </c>
    </row>
    <row r="714" spans="1:313" x14ac:dyDescent="0.25">
      <c r="A714" s="7">
        <v>8.0868276295312735E-2</v>
      </c>
      <c r="B714"/>
      <c r="C714"/>
      <c r="D714"/>
      <c r="E714"/>
      <c r="F714" s="27" t="s">
        <v>7</v>
      </c>
      <c r="KW714" s="27" t="s">
        <v>8</v>
      </c>
    </row>
    <row r="715" spans="1:313" x14ac:dyDescent="0.25">
      <c r="A715" s="7">
        <v>7.9282623818934056E-2</v>
      </c>
      <c r="B715"/>
      <c r="C715"/>
      <c r="D715"/>
      <c r="E715"/>
      <c r="F715" s="27" t="s">
        <v>7</v>
      </c>
      <c r="KW715" s="27" t="s">
        <v>8</v>
      </c>
    </row>
    <row r="716" spans="1:313" x14ac:dyDescent="0.25">
      <c r="A716" s="7">
        <v>7.7728062567582412E-2</v>
      </c>
      <c r="B716"/>
      <c r="C716"/>
      <c r="D716"/>
      <c r="E716"/>
      <c r="F716" s="27" t="s">
        <v>7</v>
      </c>
      <c r="KW716" s="27" t="s">
        <v>8</v>
      </c>
    </row>
    <row r="717" spans="1:313" x14ac:dyDescent="0.25">
      <c r="A717" s="7">
        <v>7.6203982909394521E-2</v>
      </c>
      <c r="B717"/>
      <c r="C717"/>
      <c r="D717"/>
      <c r="E717"/>
      <c r="F717" s="27" t="s">
        <v>7</v>
      </c>
      <c r="KW717" s="27" t="s">
        <v>8</v>
      </c>
    </row>
    <row r="718" spans="1:313" x14ac:dyDescent="0.25">
      <c r="A718" s="7">
        <v>7.4709787166073058E-2</v>
      </c>
      <c r="B718"/>
      <c r="C718"/>
      <c r="D718"/>
      <c r="E718"/>
      <c r="F718" s="27" t="s">
        <v>7</v>
      </c>
      <c r="KW718" s="27" t="s">
        <v>8</v>
      </c>
    </row>
    <row r="719" spans="1:313" x14ac:dyDescent="0.25">
      <c r="A719" s="7">
        <v>7.3244889378503E-2</v>
      </c>
      <c r="B719"/>
      <c r="C719"/>
      <c r="D719"/>
      <c r="E719"/>
      <c r="F719" s="27" t="s">
        <v>7</v>
      </c>
      <c r="KW719" s="27" t="s">
        <v>8</v>
      </c>
    </row>
    <row r="720" spans="1:313" x14ac:dyDescent="0.25">
      <c r="A720" s="7">
        <v>7.1808715076963722E-2</v>
      </c>
      <c r="B720"/>
      <c r="C720"/>
      <c r="D720"/>
      <c r="E720"/>
      <c r="F720" s="27" t="s">
        <v>7</v>
      </c>
      <c r="KW720" s="27" t="s">
        <v>8</v>
      </c>
    </row>
    <row r="721" spans="1:309" x14ac:dyDescent="0.25">
      <c r="A721" s="7">
        <v>7.0400701055846782E-2</v>
      </c>
      <c r="B721"/>
      <c r="C721"/>
      <c r="D721"/>
      <c r="E721"/>
      <c r="F721" s="27" t="s">
        <v>7</v>
      </c>
      <c r="KW721" s="27" t="s">
        <v>8</v>
      </c>
    </row>
    <row r="722" spans="1:309" x14ac:dyDescent="0.25">
      <c r="A722" s="7">
        <v>6.9020295152790956E-2</v>
      </c>
      <c r="B722"/>
      <c r="C722"/>
      <c r="D722"/>
      <c r="E722"/>
      <c r="F722" s="27" t="s">
        <v>7</v>
      </c>
      <c r="KW722" s="27" t="s">
        <v>8</v>
      </c>
    </row>
    <row r="723" spans="1:309" x14ac:dyDescent="0.25">
      <c r="A723" s="7">
        <v>6.7666956032147993E-2</v>
      </c>
      <c r="B723"/>
      <c r="C723"/>
      <c r="D723"/>
      <c r="E723"/>
      <c r="F723" s="27" t="s">
        <v>7</v>
      </c>
      <c r="KW723" s="27" t="s">
        <v>8</v>
      </c>
    </row>
    <row r="724" spans="1:309" x14ac:dyDescent="0.25">
      <c r="A724" s="7">
        <v>6.6340152972694105E-2</v>
      </c>
      <c r="B724"/>
      <c r="C724"/>
      <c r="D724"/>
      <c r="E724"/>
      <c r="F724" s="27" t="s">
        <v>7</v>
      </c>
      <c r="KW724" s="27" t="s">
        <v>8</v>
      </c>
    </row>
    <row r="725" spans="1:309" x14ac:dyDescent="0.25">
      <c r="A725" s="7">
        <v>6.5039365659504023E-2</v>
      </c>
      <c r="B725"/>
      <c r="C725"/>
      <c r="D725"/>
      <c r="E725"/>
      <c r="F725" s="27" t="s">
        <v>7</v>
      </c>
      <c r="KW725" s="27" t="s">
        <v>8</v>
      </c>
    </row>
    <row r="726" spans="1:309" x14ac:dyDescent="0.25">
      <c r="A726" s="7">
        <v>6.3764083979905906E-2</v>
      </c>
      <c r="B726"/>
      <c r="C726"/>
      <c r="D726"/>
      <c r="E726"/>
      <c r="F726" s="27" t="s">
        <v>7</v>
      </c>
      <c r="KW726" s="27" t="s">
        <v>8</v>
      </c>
    </row>
    <row r="727" spans="1:309" x14ac:dyDescent="0.25">
      <c r="A727" s="7">
        <v>6.251380782343717E-2</v>
      </c>
      <c r="B727"/>
      <c r="C727"/>
      <c r="D727"/>
      <c r="E727"/>
      <c r="F727" s="27" t="s">
        <v>7</v>
      </c>
      <c r="KW727" s="27" t="s">
        <v>8</v>
      </c>
    </row>
    <row r="728" spans="1:309" x14ac:dyDescent="0.25">
      <c r="A728" s="7">
        <v>6.1288046885722716E-2</v>
      </c>
      <c r="B728"/>
      <c r="C728"/>
      <c r="D728"/>
      <c r="E728"/>
      <c r="F728" s="27" t="s">
        <v>7</v>
      </c>
      <c r="KW728" s="27" t="s">
        <v>8</v>
      </c>
    </row>
    <row r="729" spans="1:309" x14ac:dyDescent="0.25">
      <c r="A729" s="7">
        <v>6.0086320476198739E-2</v>
      </c>
      <c r="B729"/>
      <c r="C729"/>
      <c r="D729"/>
      <c r="E729"/>
      <c r="F729" s="27" t="s">
        <v>7</v>
      </c>
      <c r="KW729" s="27" t="s">
        <v>8</v>
      </c>
    </row>
    <row r="730" spans="1:309" x14ac:dyDescent="0.25">
      <c r="A730" s="7">
        <v>5.8908157329606609E-2</v>
      </c>
      <c r="B730"/>
      <c r="C730"/>
      <c r="D730"/>
      <c r="E730"/>
      <c r="F730" s="27" t="s">
        <v>7</v>
      </c>
      <c r="KW730" s="27" t="s">
        <v>8</v>
      </c>
    </row>
    <row r="731" spans="1:309" x14ac:dyDescent="0.25">
      <c r="A731" s="7">
        <v>5.7753095421182947E-2</v>
      </c>
      <c r="B731"/>
      <c r="C731"/>
      <c r="D731"/>
      <c r="E731"/>
      <c r="F731" s="27" t="s">
        <v>7</v>
      </c>
      <c r="KW731" s="27" t="s">
        <v>8</v>
      </c>
    </row>
    <row r="732" spans="1:309" x14ac:dyDescent="0.25">
      <c r="A732" s="7">
        <v>5.6620681785473484E-2</v>
      </c>
      <c r="B732"/>
      <c r="C732"/>
      <c r="D732"/>
      <c r="E732"/>
      <c r="F732" s="27" t="s">
        <v>7</v>
      </c>
      <c r="KW732" s="27" t="s">
        <v>8</v>
      </c>
    </row>
    <row r="733" spans="1:309" x14ac:dyDescent="0.25">
      <c r="A733" s="7">
        <v>5.5510472338699497E-2</v>
      </c>
      <c r="B733"/>
      <c r="C733"/>
      <c r="D733"/>
      <c r="E733"/>
      <c r="F733" s="27" t="s">
        <v>7</v>
      </c>
      <c r="KU733" s="27" t="s">
        <v>8</v>
      </c>
      <c r="KW733" s="27" t="s">
        <v>8</v>
      </c>
    </row>
    <row r="734" spans="1:309" x14ac:dyDescent="0.25">
      <c r="A734" s="7">
        <v>5.4422031704607354E-2</v>
      </c>
      <c r="B734"/>
      <c r="C734"/>
      <c r="D734"/>
      <c r="E734"/>
      <c r="F734" s="27" t="s">
        <v>7</v>
      </c>
      <c r="KU734" s="27" t="s">
        <v>8</v>
      </c>
      <c r="KV734" s="27" t="s">
        <v>7</v>
      </c>
      <c r="KW734" s="27" t="s">
        <v>8</v>
      </c>
    </row>
    <row r="735" spans="1:309" x14ac:dyDescent="0.25">
      <c r="A735" s="7">
        <v>5.3354933043732705E-2</v>
      </c>
      <c r="B735"/>
      <c r="C735"/>
      <c r="D735"/>
      <c r="E735"/>
      <c r="F735" s="27" t="s">
        <v>7</v>
      </c>
      <c r="KU735" s="27" t="s">
        <v>8</v>
      </c>
      <c r="KV735" s="27" t="s">
        <v>7</v>
      </c>
      <c r="KW735" s="27" t="s">
        <v>8</v>
      </c>
    </row>
    <row r="736" spans="1:309" x14ac:dyDescent="0.25">
      <c r="A736" s="7">
        <v>5.2308757886012455E-2</v>
      </c>
      <c r="B736"/>
      <c r="C736"/>
      <c r="D736"/>
      <c r="E736"/>
      <c r="F736" s="27" t="s">
        <v>7</v>
      </c>
      <c r="KU736" s="27" t="s">
        <v>8</v>
      </c>
      <c r="KV736" s="27" t="s">
        <v>7</v>
      </c>
      <c r="KW736" s="27" t="s">
        <v>8</v>
      </c>
    </row>
    <row r="737" spans="1:309" x14ac:dyDescent="0.25">
      <c r="A737" s="7">
        <v>5.1283095966678877E-2</v>
      </c>
      <c r="B737"/>
      <c r="C737"/>
      <c r="D737"/>
      <c r="E737"/>
      <c r="F737" s="27" t="s">
        <v>7</v>
      </c>
      <c r="KU737" s="27" t="s">
        <v>8</v>
      </c>
      <c r="KV737" s="27" t="s">
        <v>7</v>
      </c>
      <c r="KW737" s="27" t="s">
        <v>8</v>
      </c>
    </row>
    <row r="738" spans="1:309" x14ac:dyDescent="0.25">
      <c r="A738" s="7">
        <v>5.0277545065371444E-2</v>
      </c>
      <c r="B738"/>
      <c r="C738"/>
      <c r="D738"/>
      <c r="E738"/>
      <c r="F738" s="27" t="s">
        <v>7</v>
      </c>
      <c r="KU738" s="27" t="s">
        <v>8</v>
      </c>
      <c r="KV738" s="27" t="s">
        <v>7</v>
      </c>
      <c r="KW738" s="27" t="s">
        <v>8</v>
      </c>
    </row>
    <row r="739" spans="1:309" x14ac:dyDescent="0.25">
      <c r="A739" s="7">
        <v>4.9291710848403378E-2</v>
      </c>
      <c r="B739"/>
      <c r="C739"/>
      <c r="D739"/>
      <c r="E739"/>
      <c r="F739" s="27" t="s">
        <v>7</v>
      </c>
      <c r="KU739" s="27" t="s">
        <v>8</v>
      </c>
      <c r="KV739" s="27" t="s">
        <v>7</v>
      </c>
      <c r="KW739" s="27" t="s">
        <v>8</v>
      </c>
    </row>
    <row r="740" spans="1:309" x14ac:dyDescent="0.25">
      <c r="A740" s="7">
        <v>4.8325206714120959E-2</v>
      </c>
      <c r="B740"/>
      <c r="C740"/>
      <c r="D740"/>
      <c r="E740"/>
      <c r="F740" s="27" t="s">
        <v>7</v>
      </c>
      <c r="KQ740" s="27" t="s">
        <v>8</v>
      </c>
      <c r="KU740" s="27" t="s">
        <v>8</v>
      </c>
      <c r="KV740" s="27" t="s">
        <v>7</v>
      </c>
      <c r="KW740" s="27" t="s">
        <v>8</v>
      </c>
    </row>
    <row r="741" spans="1:309" x14ac:dyDescent="0.25">
      <c r="A741" s="7">
        <v>4.7377653641295057E-2</v>
      </c>
      <c r="B741"/>
      <c r="C741"/>
      <c r="D741"/>
      <c r="E741"/>
      <c r="F741" s="27" t="s">
        <v>7</v>
      </c>
      <c r="KQ741" s="27" t="s">
        <v>8</v>
      </c>
      <c r="KR741" s="27" t="s">
        <v>7</v>
      </c>
      <c r="KU741" s="27" t="s">
        <v>8</v>
      </c>
      <c r="KV741" s="27" t="s">
        <v>7</v>
      </c>
    </row>
    <row r="742" spans="1:309" x14ac:dyDescent="0.25">
      <c r="A742" s="7">
        <v>4.644868004048535E-2</v>
      </c>
      <c r="B742"/>
      <c r="C742"/>
      <c r="D742"/>
      <c r="E742"/>
      <c r="F742" s="27" t="s">
        <v>7</v>
      </c>
      <c r="KQ742" s="27" t="s">
        <v>8</v>
      </c>
      <c r="KR742" s="27" t="s">
        <v>7</v>
      </c>
      <c r="KS742" s="27" t="s">
        <v>8</v>
      </c>
      <c r="KU742" s="27" t="s">
        <v>8</v>
      </c>
    </row>
    <row r="743" spans="1:309" x14ac:dyDescent="0.25">
      <c r="A743" s="7">
        <v>4.5537921608318974E-2</v>
      </c>
      <c r="B743"/>
      <c r="C743"/>
      <c r="D743"/>
      <c r="E743"/>
      <c r="F743" s="27" t="s">
        <v>7</v>
      </c>
      <c r="KQ743" s="27" t="s">
        <v>8</v>
      </c>
      <c r="KR743" s="27" t="s">
        <v>7</v>
      </c>
      <c r="KS743" s="27" t="s">
        <v>8</v>
      </c>
      <c r="KT743" s="27" t="s">
        <v>7</v>
      </c>
      <c r="KU743" s="27" t="s">
        <v>8</v>
      </c>
    </row>
    <row r="744" spans="1:309" x14ac:dyDescent="0.25">
      <c r="A744" s="7">
        <v>4.4645021184626446E-2</v>
      </c>
      <c r="B744"/>
      <c r="C744"/>
      <c r="D744"/>
      <c r="E744"/>
      <c r="F744" s="27" t="s">
        <v>7</v>
      </c>
      <c r="O744" s="27" t="s">
        <v>8</v>
      </c>
      <c r="KQ744" s="27" t="s">
        <v>8</v>
      </c>
      <c r="KR744" s="27" t="s">
        <v>7</v>
      </c>
      <c r="KS744" s="27" t="s">
        <v>8</v>
      </c>
      <c r="KT744" s="27" t="s">
        <v>7</v>
      </c>
      <c r="KU744" s="27" t="s">
        <v>8</v>
      </c>
    </row>
    <row r="745" spans="1:309" x14ac:dyDescent="0.25">
      <c r="A745" s="7">
        <v>4.3769628612378868E-2</v>
      </c>
      <c r="B745"/>
      <c r="C745"/>
      <c r="D745"/>
      <c r="E745"/>
      <c r="F745" s="27" t="s">
        <v>7</v>
      </c>
      <c r="O745" s="27" t="s">
        <v>8</v>
      </c>
      <c r="P745" s="27" t="s">
        <v>7</v>
      </c>
      <c r="KQ745" s="27" t="s">
        <v>8</v>
      </c>
      <c r="KR745" s="27" t="s">
        <v>7</v>
      </c>
      <c r="KS745" s="27" t="s">
        <v>8</v>
      </c>
      <c r="KT745" s="27" t="s">
        <v>7</v>
      </c>
      <c r="KU745" s="27" t="s">
        <v>8</v>
      </c>
    </row>
    <row r="746" spans="1:309" x14ac:dyDescent="0.25">
      <c r="A746" s="7">
        <v>4.2911400600371442E-2</v>
      </c>
      <c r="B746"/>
      <c r="C746"/>
      <c r="D746"/>
      <c r="E746"/>
      <c r="F746" s="27" t="s">
        <v>7</v>
      </c>
      <c r="O746" s="27" t="s">
        <v>8</v>
      </c>
      <c r="P746" s="27" t="s">
        <v>7</v>
      </c>
      <c r="KQ746" s="27" t="s">
        <v>8</v>
      </c>
      <c r="KR746" s="27" t="s">
        <v>7</v>
      </c>
      <c r="KS746" s="27" t="s">
        <v>8</v>
      </c>
      <c r="KT746" s="27" t="s">
        <v>7</v>
      </c>
      <c r="KU746" s="27" t="s">
        <v>8</v>
      </c>
    </row>
    <row r="747" spans="1:309" x14ac:dyDescent="0.25">
      <c r="A747" s="7">
        <v>4.2070000588599457E-2</v>
      </c>
      <c r="B747"/>
      <c r="C747"/>
      <c r="D747"/>
      <c r="E747"/>
      <c r="F747" s="27" t="s">
        <v>7</v>
      </c>
      <c r="O747" s="27" t="s">
        <v>8</v>
      </c>
      <c r="P747" s="27" t="s">
        <v>7</v>
      </c>
      <c r="DG747" s="27" t="s">
        <v>8</v>
      </c>
      <c r="KQ747" s="27" t="s">
        <v>8</v>
      </c>
      <c r="KR747" s="27" t="s">
        <v>7</v>
      </c>
      <c r="KS747" s="27" t="s">
        <v>8</v>
      </c>
      <c r="KT747" s="27" t="s">
        <v>7</v>
      </c>
      <c r="KU747" s="27" t="s">
        <v>8</v>
      </c>
    </row>
    <row r="748" spans="1:309" x14ac:dyDescent="0.25">
      <c r="A748" s="7">
        <v>4.1245098616273977E-2</v>
      </c>
      <c r="B748"/>
      <c r="C748"/>
      <c r="D748"/>
      <c r="E748"/>
      <c r="F748" s="27" t="s">
        <v>7</v>
      </c>
      <c r="O748" s="27" t="s">
        <v>8</v>
      </c>
      <c r="P748" s="27" t="s">
        <v>7</v>
      </c>
      <c r="DE748" s="27" t="s">
        <v>8</v>
      </c>
      <c r="DG748" s="27" t="s">
        <v>8</v>
      </c>
      <c r="DH748" s="27" t="s">
        <v>7</v>
      </c>
      <c r="KQ748" s="27" t="s">
        <v>8</v>
      </c>
      <c r="KR748" s="27" t="s">
        <v>7</v>
      </c>
      <c r="KS748" s="27" t="s">
        <v>8</v>
      </c>
      <c r="KT748" s="27" t="s">
        <v>7</v>
      </c>
      <c r="KU748" s="27" t="s">
        <v>8</v>
      </c>
    </row>
    <row r="749" spans="1:309" x14ac:dyDescent="0.25">
      <c r="A749" s="7">
        <v>4.043637119242547E-2</v>
      </c>
      <c r="B749"/>
      <c r="C749"/>
      <c r="D749"/>
      <c r="E749"/>
      <c r="F749" s="27" t="s">
        <v>7</v>
      </c>
      <c r="O749" s="27" t="s">
        <v>8</v>
      </c>
      <c r="P749" s="27" t="s">
        <v>7</v>
      </c>
      <c r="DE749" s="27" t="s">
        <v>8</v>
      </c>
      <c r="DF749" s="27" t="s">
        <v>7</v>
      </c>
      <c r="DG749" s="27" t="s">
        <v>8</v>
      </c>
      <c r="DH749" s="27" t="s">
        <v>7</v>
      </c>
      <c r="KQ749" s="27" t="s">
        <v>8</v>
      </c>
      <c r="KR749" s="27" t="s">
        <v>7</v>
      </c>
      <c r="KS749" s="27" t="s">
        <v>8</v>
      </c>
      <c r="KT749" s="27" t="s">
        <v>7</v>
      </c>
      <c r="KU749" s="27" t="s">
        <v>8</v>
      </c>
    </row>
    <row r="750" spans="1:309" x14ac:dyDescent="0.25">
      <c r="A750" s="7">
        <v>3.9643501169044582E-2</v>
      </c>
      <c r="B750"/>
      <c r="C750"/>
      <c r="D750"/>
      <c r="E750"/>
      <c r="F750" s="27" t="s">
        <v>7</v>
      </c>
      <c r="O750" s="27" t="s">
        <v>8</v>
      </c>
      <c r="P750" s="27" t="s">
        <v>7</v>
      </c>
      <c r="DE750" s="27" t="s">
        <v>8</v>
      </c>
      <c r="DF750" s="27" t="s">
        <v>7</v>
      </c>
      <c r="DG750" s="27" t="s">
        <v>8</v>
      </c>
      <c r="DH750" s="27" t="s">
        <v>7</v>
      </c>
      <c r="KG750" s="27" t="s">
        <v>8</v>
      </c>
      <c r="KQ750" s="27" t="s">
        <v>8</v>
      </c>
      <c r="KR750" s="27" t="s">
        <v>7</v>
      </c>
      <c r="KS750" s="27" t="s">
        <v>8</v>
      </c>
      <c r="KT750" s="27" t="s">
        <v>7</v>
      </c>
      <c r="KU750" s="27" t="s">
        <v>8</v>
      </c>
    </row>
    <row r="751" spans="1:309" x14ac:dyDescent="0.25">
      <c r="A751" s="7">
        <v>3.8866177616710372E-2</v>
      </c>
      <c r="B751"/>
      <c r="C751"/>
      <c r="D751"/>
      <c r="E751"/>
      <c r="F751" s="27" t="s">
        <v>7</v>
      </c>
      <c r="O751" s="27" t="s">
        <v>8</v>
      </c>
      <c r="P751" s="27" t="s">
        <v>7</v>
      </c>
      <c r="DE751" s="27" t="s">
        <v>8</v>
      </c>
      <c r="DF751" s="27" t="s">
        <v>7</v>
      </c>
      <c r="DG751" s="27" t="s">
        <v>8</v>
      </c>
      <c r="DH751" s="27" t="s">
        <v>7</v>
      </c>
      <c r="KG751" s="27" t="s">
        <v>8</v>
      </c>
      <c r="KH751" s="27" t="s">
        <v>7</v>
      </c>
      <c r="KQ751" s="27" t="s">
        <v>8</v>
      </c>
      <c r="KR751" s="27" t="s">
        <v>7</v>
      </c>
      <c r="KS751" s="27" t="s">
        <v>8</v>
      </c>
      <c r="KT751" s="27" t="s">
        <v>7</v>
      </c>
      <c r="KU751" s="27" t="s">
        <v>8</v>
      </c>
    </row>
    <row r="752" spans="1:309" x14ac:dyDescent="0.25">
      <c r="A752" s="7">
        <v>3.8104095702657229E-2</v>
      </c>
      <c r="B752"/>
      <c r="C752"/>
      <c r="D752"/>
      <c r="E752"/>
      <c r="F752" s="27" t="s">
        <v>7</v>
      </c>
      <c r="O752" s="27" t="s">
        <v>8</v>
      </c>
      <c r="P752" s="27" t="s">
        <v>7</v>
      </c>
      <c r="DE752" s="27" t="s">
        <v>8</v>
      </c>
      <c r="DF752" s="27" t="s">
        <v>7</v>
      </c>
      <c r="DG752" s="27" t="s">
        <v>8</v>
      </c>
      <c r="DH752" s="27" t="s">
        <v>7</v>
      </c>
      <c r="KG752" s="27" t="s">
        <v>8</v>
      </c>
      <c r="KH752" s="27" t="s">
        <v>7</v>
      </c>
      <c r="KQ752" s="27" t="s">
        <v>8</v>
      </c>
      <c r="KR752" s="27" t="s">
        <v>7</v>
      </c>
      <c r="KS752" s="27" t="s">
        <v>8</v>
      </c>
      <c r="KT752" s="27" t="s">
        <v>7</v>
      </c>
      <c r="KU752" s="27" t="s">
        <v>8</v>
      </c>
    </row>
    <row r="753" spans="1:307" x14ac:dyDescent="0.25">
      <c r="A753" s="7">
        <v>3.7356956571232579E-2</v>
      </c>
      <c r="B753"/>
      <c r="C753"/>
      <c r="D753"/>
      <c r="E753"/>
      <c r="F753" s="27" t="s">
        <v>7</v>
      </c>
      <c r="O753" s="27" t="s">
        <v>8</v>
      </c>
      <c r="P753" s="27" t="s">
        <v>7</v>
      </c>
      <c r="DE753" s="27" t="s">
        <v>8</v>
      </c>
      <c r="DF753" s="27" t="s">
        <v>7</v>
      </c>
      <c r="DH753" s="27" t="s">
        <v>7</v>
      </c>
      <c r="KG753" s="27" t="s">
        <v>8</v>
      </c>
      <c r="KH753" s="27" t="s">
        <v>7</v>
      </c>
      <c r="KM753" s="27" t="s">
        <v>8</v>
      </c>
      <c r="KQ753" s="27" t="s">
        <v>8</v>
      </c>
      <c r="KR753" s="27" t="s">
        <v>7</v>
      </c>
      <c r="KT753" s="27" t="s">
        <v>7</v>
      </c>
      <c r="KU753" s="27" t="s">
        <v>8</v>
      </c>
    </row>
    <row r="754" spans="1:307" x14ac:dyDescent="0.25">
      <c r="A754" s="7">
        <v>3.6624467226698605E-2</v>
      </c>
      <c r="B754"/>
      <c r="C754"/>
      <c r="D754"/>
      <c r="E754"/>
      <c r="F754" s="27" t="s">
        <v>7</v>
      </c>
      <c r="O754" s="27" t="s">
        <v>8</v>
      </c>
      <c r="P754" s="27" t="s">
        <v>7</v>
      </c>
      <c r="DE754" s="27" t="s">
        <v>8</v>
      </c>
      <c r="DH754" s="27" t="s">
        <v>7</v>
      </c>
      <c r="KG754" s="27" t="s">
        <v>8</v>
      </c>
      <c r="KH754" s="27" t="s">
        <v>7</v>
      </c>
      <c r="KK754" s="27" t="s">
        <v>8</v>
      </c>
      <c r="KM754" s="27" t="s">
        <v>8</v>
      </c>
      <c r="KN754" s="27" t="s">
        <v>7</v>
      </c>
      <c r="KQ754" s="27" t="s">
        <v>8</v>
      </c>
      <c r="KT754" s="27" t="s">
        <v>7</v>
      </c>
    </row>
    <row r="755" spans="1:307" x14ac:dyDescent="0.25">
      <c r="A755" s="7">
        <v>3.5906340418331961E-2</v>
      </c>
      <c r="B755"/>
      <c r="C755"/>
      <c r="D755"/>
      <c r="E755"/>
      <c r="F755" s="27" t="s">
        <v>7</v>
      </c>
      <c r="O755" s="27" t="s">
        <v>8</v>
      </c>
      <c r="P755" s="27" t="s">
        <v>7</v>
      </c>
      <c r="DE755" s="27" t="s">
        <v>8</v>
      </c>
      <c r="DH755" s="27" t="s">
        <v>7</v>
      </c>
      <c r="KG755" s="27" t="s">
        <v>8</v>
      </c>
      <c r="KH755" s="27" t="s">
        <v>7</v>
      </c>
      <c r="KK755" s="27" t="s">
        <v>8</v>
      </c>
      <c r="KL755" s="27" t="s">
        <v>7</v>
      </c>
      <c r="KM755" s="27" t="s">
        <v>8</v>
      </c>
      <c r="KN755" s="27" t="s">
        <v>7</v>
      </c>
      <c r="KQ755" s="27" t="s">
        <v>8</v>
      </c>
    </row>
    <row r="756" spans="1:307" x14ac:dyDescent="0.25">
      <c r="A756" s="7">
        <v>3.5202294527776436E-2</v>
      </c>
      <c r="B756"/>
      <c r="C756"/>
      <c r="D756"/>
      <c r="E756"/>
      <c r="F756" s="27" t="s">
        <v>7</v>
      </c>
      <c r="O756" s="27" t="s">
        <v>8</v>
      </c>
      <c r="P756" s="27" t="s">
        <v>7</v>
      </c>
      <c r="DE756" s="27" t="s">
        <v>8</v>
      </c>
      <c r="DH756" s="27" t="s">
        <v>7</v>
      </c>
      <c r="KG756" s="27" t="s">
        <v>8</v>
      </c>
      <c r="KH756" s="27" t="s">
        <v>7</v>
      </c>
      <c r="KK756" s="27" t="s">
        <v>8</v>
      </c>
      <c r="KL756" s="27" t="s">
        <v>7</v>
      </c>
      <c r="KM756" s="27" t="s">
        <v>8</v>
      </c>
      <c r="KN756" s="27" t="s">
        <v>7</v>
      </c>
      <c r="KO756" s="27" t="s">
        <v>8</v>
      </c>
      <c r="KQ756" s="27" t="s">
        <v>8</v>
      </c>
    </row>
    <row r="757" spans="1:307" x14ac:dyDescent="0.25">
      <c r="A757" s="7">
        <v>3.451205345860435E-2</v>
      </c>
      <c r="B757"/>
      <c r="C757"/>
      <c r="D757"/>
      <c r="E757"/>
      <c r="F757" s="27" t="s">
        <v>7</v>
      </c>
      <c r="O757" s="27" t="s">
        <v>8</v>
      </c>
      <c r="P757" s="27" t="s">
        <v>7</v>
      </c>
      <c r="DE757" s="27" t="s">
        <v>8</v>
      </c>
      <c r="DH757" s="27" t="s">
        <v>7</v>
      </c>
      <c r="KG757" s="27" t="s">
        <v>8</v>
      </c>
      <c r="KH757" s="27" t="s">
        <v>7</v>
      </c>
      <c r="KI757" s="27" t="s">
        <v>8</v>
      </c>
      <c r="KK757" s="27" t="s">
        <v>8</v>
      </c>
      <c r="KL757" s="27" t="s">
        <v>7</v>
      </c>
      <c r="KM757" s="27" t="s">
        <v>8</v>
      </c>
      <c r="KN757" s="27" t="s">
        <v>7</v>
      </c>
      <c r="KO757" s="27" t="s">
        <v>8</v>
      </c>
      <c r="KP757" s="27" t="s">
        <v>7</v>
      </c>
      <c r="KQ757" s="27" t="s">
        <v>8</v>
      </c>
    </row>
    <row r="758" spans="1:307" x14ac:dyDescent="0.25">
      <c r="A758" s="7">
        <v>3.3835346528043479E-2</v>
      </c>
      <c r="B758"/>
      <c r="C758"/>
      <c r="D758"/>
      <c r="E758"/>
      <c r="F758" s="27" t="s">
        <v>7</v>
      </c>
      <c r="O758" s="27" t="s">
        <v>8</v>
      </c>
      <c r="P758" s="27" t="s">
        <v>7</v>
      </c>
      <c r="Q758" s="27" t="s">
        <v>8</v>
      </c>
      <c r="DE758" s="27" t="s">
        <v>8</v>
      </c>
      <c r="DH758" s="27" t="s">
        <v>7</v>
      </c>
      <c r="KG758" s="27" t="s">
        <v>8</v>
      </c>
      <c r="KH758" s="27" t="s">
        <v>7</v>
      </c>
      <c r="KI758" s="27" t="s">
        <v>8</v>
      </c>
      <c r="KJ758" s="27" t="s">
        <v>7</v>
      </c>
      <c r="KK758" s="27" t="s">
        <v>8</v>
      </c>
      <c r="KL758" s="27" t="s">
        <v>7</v>
      </c>
      <c r="KM758" s="27" t="s">
        <v>8</v>
      </c>
      <c r="KN758" s="27" t="s">
        <v>7</v>
      </c>
      <c r="KO758" s="27" t="s">
        <v>8</v>
      </c>
      <c r="KP758" s="27" t="s">
        <v>7</v>
      </c>
      <c r="KQ758" s="27" t="s">
        <v>8</v>
      </c>
    </row>
    <row r="759" spans="1:307" x14ac:dyDescent="0.25">
      <c r="A759" s="7">
        <v>3.3171908360826938E-2</v>
      </c>
      <c r="B759"/>
      <c r="C759"/>
      <c r="D759"/>
      <c r="E759"/>
      <c r="F759" s="27" t="s">
        <v>7</v>
      </c>
      <c r="O759" s="27" t="s">
        <v>8</v>
      </c>
      <c r="P759" s="27" t="s">
        <v>7</v>
      </c>
      <c r="Q759" s="27" t="s">
        <v>8</v>
      </c>
      <c r="R759" s="27" t="s">
        <v>7</v>
      </c>
      <c r="DE759" s="27" t="s">
        <v>8</v>
      </c>
      <c r="DH759" s="27" t="s">
        <v>7</v>
      </c>
      <c r="KG759" s="27" t="s">
        <v>8</v>
      </c>
      <c r="KH759" s="27" t="s">
        <v>7</v>
      </c>
      <c r="KI759" s="27" t="s">
        <v>8</v>
      </c>
      <c r="KJ759" s="27" t="s">
        <v>7</v>
      </c>
      <c r="KK759" s="27" t="s">
        <v>8</v>
      </c>
      <c r="KL759" s="27" t="s">
        <v>7</v>
      </c>
      <c r="KM759" s="27" t="s">
        <v>8</v>
      </c>
      <c r="KN759" s="27" t="s">
        <v>7</v>
      </c>
      <c r="KO759" s="27" t="s">
        <v>8</v>
      </c>
      <c r="KP759" s="27" t="s">
        <v>7</v>
      </c>
      <c r="KQ759" s="27" t="s">
        <v>8</v>
      </c>
    </row>
    <row r="760" spans="1:307" x14ac:dyDescent="0.25">
      <c r="A760" s="7">
        <v>3.2521478785124451E-2</v>
      </c>
      <c r="B760"/>
      <c r="C760"/>
      <c r="D760"/>
      <c r="E760"/>
      <c r="F760" s="27" t="s">
        <v>7</v>
      </c>
      <c r="O760" s="27" t="s">
        <v>8</v>
      </c>
      <c r="P760" s="27" t="s">
        <v>7</v>
      </c>
      <c r="Q760" s="27" t="s">
        <v>8</v>
      </c>
      <c r="R760" s="27" t="s">
        <v>7</v>
      </c>
      <c r="DE760" s="27" t="s">
        <v>8</v>
      </c>
      <c r="DH760" s="27" t="s">
        <v>7</v>
      </c>
      <c r="KG760" s="27" t="s">
        <v>8</v>
      </c>
      <c r="KH760" s="27" t="s">
        <v>7</v>
      </c>
      <c r="KI760" s="27" t="s">
        <v>8</v>
      </c>
      <c r="KJ760" s="27" t="s">
        <v>7</v>
      </c>
      <c r="KK760" s="27" t="s">
        <v>8</v>
      </c>
      <c r="KL760" s="27" t="s">
        <v>7</v>
      </c>
      <c r="KM760" s="27" t="s">
        <v>8</v>
      </c>
      <c r="KN760" s="27" t="s">
        <v>7</v>
      </c>
      <c r="KO760" s="27" t="s">
        <v>8</v>
      </c>
      <c r="KP760" s="27" t="s">
        <v>7</v>
      </c>
    </row>
    <row r="761" spans="1:307" x14ac:dyDescent="0.25">
      <c r="A761" s="7">
        <v>3.1883802730514173E-2</v>
      </c>
      <c r="B761"/>
      <c r="C761"/>
      <c r="D761"/>
      <c r="E761"/>
      <c r="F761" s="27" t="s">
        <v>7</v>
      </c>
      <c r="O761" s="27" t="s">
        <v>8</v>
      </c>
      <c r="P761" s="27" t="s">
        <v>7</v>
      </c>
      <c r="Q761" s="27" t="s">
        <v>8</v>
      </c>
      <c r="R761" s="27" t="s">
        <v>7</v>
      </c>
      <c r="DE761" s="27" t="s">
        <v>8</v>
      </c>
      <c r="DH761" s="27" t="s">
        <v>7</v>
      </c>
      <c r="HW761" s="27" t="s">
        <v>8</v>
      </c>
      <c r="KG761" s="27" t="s">
        <v>8</v>
      </c>
      <c r="KH761" s="27" t="s">
        <v>7</v>
      </c>
      <c r="KI761" s="27" t="s">
        <v>8</v>
      </c>
      <c r="KJ761" s="27" t="s">
        <v>7</v>
      </c>
      <c r="KK761" s="27" t="s">
        <v>8</v>
      </c>
      <c r="KL761" s="27" t="s">
        <v>7</v>
      </c>
      <c r="KM761" s="27" t="s">
        <v>8</v>
      </c>
      <c r="KN761" s="27" t="s">
        <v>7</v>
      </c>
      <c r="KO761" s="27" t="s">
        <v>8</v>
      </c>
    </row>
    <row r="762" spans="1:307" x14ac:dyDescent="0.25">
      <c r="A762" s="7">
        <v>3.1258630127955073E-2</v>
      </c>
      <c r="B762"/>
      <c r="C762"/>
      <c r="D762"/>
      <c r="E762"/>
      <c r="F762" s="27" t="s">
        <v>7</v>
      </c>
      <c r="O762" s="27" t="s">
        <v>8</v>
      </c>
      <c r="P762" s="27" t="s">
        <v>7</v>
      </c>
      <c r="Q762" s="27" t="s">
        <v>8</v>
      </c>
      <c r="R762" s="27" t="s">
        <v>7</v>
      </c>
      <c r="DE762" s="27" t="s">
        <v>8</v>
      </c>
      <c r="DH762" s="27" t="s">
        <v>7</v>
      </c>
      <c r="HW762" s="27" t="s">
        <v>8</v>
      </c>
      <c r="HX762" s="27" t="s">
        <v>7</v>
      </c>
      <c r="KG762" s="27" t="s">
        <v>8</v>
      </c>
      <c r="KH762" s="27" t="s">
        <v>7</v>
      </c>
      <c r="KI762" s="27" t="s">
        <v>8</v>
      </c>
      <c r="KJ762" s="27" t="s">
        <v>7</v>
      </c>
      <c r="KK762" s="27" t="s">
        <v>8</v>
      </c>
      <c r="KL762" s="27" t="s">
        <v>7</v>
      </c>
      <c r="KM762" s="27" t="s">
        <v>8</v>
      </c>
      <c r="KN762" s="27" t="s">
        <v>7</v>
      </c>
      <c r="KO762" s="27" t="s">
        <v>8</v>
      </c>
    </row>
    <row r="763" spans="1:307" x14ac:dyDescent="0.25">
      <c r="A763" s="7">
        <v>3.064571581172066E-2</v>
      </c>
      <c r="B763"/>
      <c r="C763"/>
      <c r="D763"/>
      <c r="E763"/>
      <c r="F763" s="27" t="s">
        <v>7</v>
      </c>
      <c r="O763" s="27" t="s">
        <v>8</v>
      </c>
      <c r="P763" s="27" t="s">
        <v>7</v>
      </c>
      <c r="Q763" s="27" t="s">
        <v>8</v>
      </c>
      <c r="R763" s="27" t="s">
        <v>7</v>
      </c>
      <c r="DE763" s="27" t="s">
        <v>8</v>
      </c>
      <c r="DH763" s="27" t="s">
        <v>7</v>
      </c>
      <c r="HW763" s="27" t="s">
        <v>8</v>
      </c>
      <c r="HX763" s="27" t="s">
        <v>7</v>
      </c>
      <c r="KG763" s="27" t="s">
        <v>8</v>
      </c>
      <c r="KH763" s="27" t="s">
        <v>7</v>
      </c>
      <c r="KI763" s="27" t="s">
        <v>8</v>
      </c>
      <c r="KJ763" s="27" t="s">
        <v>7</v>
      </c>
      <c r="KK763" s="27" t="s">
        <v>8</v>
      </c>
      <c r="KL763" s="27" t="s">
        <v>7</v>
      </c>
      <c r="KN763" s="27" t="s">
        <v>7</v>
      </c>
      <c r="KO763" s="27" t="s">
        <v>8</v>
      </c>
    </row>
    <row r="764" spans="1:307" x14ac:dyDescent="0.25">
      <c r="A764" s="7">
        <v>3.0044819423255549E-2</v>
      </c>
      <c r="B764"/>
      <c r="C764"/>
      <c r="D764"/>
      <c r="E764"/>
      <c r="F764" s="27" t="s">
        <v>7</v>
      </c>
      <c r="O764" s="27" t="s">
        <v>8</v>
      </c>
      <c r="P764" s="27" t="s">
        <v>7</v>
      </c>
      <c r="Q764" s="27" t="s">
        <v>8</v>
      </c>
      <c r="R764" s="27" t="s">
        <v>7</v>
      </c>
      <c r="DE764" s="27" t="s">
        <v>8</v>
      </c>
      <c r="DH764" s="27" t="s">
        <v>7</v>
      </c>
      <c r="HW764" s="27" t="s">
        <v>8</v>
      </c>
      <c r="HX764" s="27" t="s">
        <v>7</v>
      </c>
      <c r="KG764" s="27" t="s">
        <v>8</v>
      </c>
      <c r="KH764" s="27" t="s">
        <v>7</v>
      </c>
      <c r="KI764" s="27" t="s">
        <v>8</v>
      </c>
      <c r="KJ764" s="27" t="s">
        <v>7</v>
      </c>
      <c r="KK764" s="27" t="s">
        <v>8</v>
      </c>
      <c r="KN764" s="27" t="s">
        <v>7</v>
      </c>
      <c r="KO764" s="27" t="s">
        <v>8</v>
      </c>
    </row>
    <row r="765" spans="1:307" x14ac:dyDescent="0.25">
      <c r="A765" s="7">
        <v>2.9455705316917203E-2</v>
      </c>
      <c r="B765"/>
      <c r="C765"/>
      <c r="D765"/>
      <c r="E765"/>
      <c r="F765" s="27" t="s">
        <v>7</v>
      </c>
      <c r="O765" s="27" t="s">
        <v>8</v>
      </c>
      <c r="P765" s="27" t="s">
        <v>7</v>
      </c>
      <c r="Q765" s="27" t="s">
        <v>8</v>
      </c>
      <c r="R765" s="27" t="s">
        <v>7</v>
      </c>
      <c r="DC765" s="27" t="s">
        <v>8</v>
      </c>
      <c r="DE765" s="27" t="s">
        <v>8</v>
      </c>
      <c r="DH765" s="27" t="s">
        <v>7</v>
      </c>
      <c r="HW765" s="27" t="s">
        <v>8</v>
      </c>
      <c r="HX765" s="27" t="s">
        <v>7</v>
      </c>
      <c r="KG765" s="27" t="s">
        <v>8</v>
      </c>
      <c r="KH765" s="27" t="s">
        <v>7</v>
      </c>
      <c r="KI765" s="27" t="s">
        <v>8</v>
      </c>
      <c r="KJ765" s="27" t="s">
        <v>7</v>
      </c>
      <c r="KK765" s="27" t="s">
        <v>8</v>
      </c>
      <c r="KN765" s="27" t="s">
        <v>7</v>
      </c>
      <c r="KO765" s="27" t="s">
        <v>8</v>
      </c>
    </row>
    <row r="766" spans="1:307" x14ac:dyDescent="0.25">
      <c r="A766" s="7">
        <v>2.8878142467565884E-2</v>
      </c>
      <c r="B766"/>
      <c r="C766"/>
      <c r="D766"/>
      <c r="E766"/>
      <c r="F766" s="27" t="s">
        <v>7</v>
      </c>
      <c r="O766" s="27" t="s">
        <v>8</v>
      </c>
      <c r="P766" s="27" t="s">
        <v>7</v>
      </c>
      <c r="Q766" s="27" t="s">
        <v>8</v>
      </c>
      <c r="R766" s="27" t="s">
        <v>7</v>
      </c>
      <c r="DC766" s="27" t="s">
        <v>8</v>
      </c>
      <c r="DD766" s="27" t="s">
        <v>7</v>
      </c>
      <c r="DE766" s="27" t="s">
        <v>8</v>
      </c>
      <c r="DH766" s="27" t="s">
        <v>7</v>
      </c>
      <c r="EW766" s="27" t="s">
        <v>8</v>
      </c>
      <c r="HW766" s="27" t="s">
        <v>8</v>
      </c>
      <c r="HX766" s="27" t="s">
        <v>7</v>
      </c>
      <c r="HY766" s="27" t="s">
        <v>8</v>
      </c>
      <c r="KG766" s="27" t="s">
        <v>8</v>
      </c>
      <c r="KH766" s="27" t="s">
        <v>7</v>
      </c>
      <c r="KI766" s="27" t="s">
        <v>8</v>
      </c>
      <c r="KJ766" s="27" t="s">
        <v>7</v>
      </c>
      <c r="KK766" s="27" t="s">
        <v>8</v>
      </c>
      <c r="KN766" s="27" t="s">
        <v>7</v>
      </c>
      <c r="KO766" s="27" t="s">
        <v>8</v>
      </c>
    </row>
    <row r="767" spans="1:307" x14ac:dyDescent="0.25">
      <c r="A767" s="7">
        <v>2.8311904379966554E-2</v>
      </c>
      <c r="B767"/>
      <c r="C767"/>
      <c r="D767"/>
      <c r="E767"/>
      <c r="F767" s="27" t="s">
        <v>7</v>
      </c>
      <c r="O767" s="27" t="s">
        <v>8</v>
      </c>
      <c r="P767" s="27" t="s">
        <v>7</v>
      </c>
      <c r="Q767" s="27" t="s">
        <v>8</v>
      </c>
      <c r="R767" s="27" t="s">
        <v>7</v>
      </c>
      <c r="S767" s="27" t="s">
        <v>8</v>
      </c>
      <c r="DC767" s="27" t="s">
        <v>8</v>
      </c>
      <c r="DD767" s="27" t="s">
        <v>7</v>
      </c>
      <c r="DE767" s="27" t="s">
        <v>8</v>
      </c>
      <c r="DH767" s="27" t="s">
        <v>7</v>
      </c>
      <c r="EW767" s="27" t="s">
        <v>8</v>
      </c>
      <c r="EX767" s="27" t="s">
        <v>7</v>
      </c>
      <c r="HU767" s="27" t="s">
        <v>8</v>
      </c>
      <c r="HW767" s="27" t="s">
        <v>8</v>
      </c>
      <c r="HX767" s="27" t="s">
        <v>7</v>
      </c>
      <c r="HY767" s="27" t="s">
        <v>8</v>
      </c>
      <c r="HZ767" s="27" t="s">
        <v>7</v>
      </c>
      <c r="IA767" s="27" t="s">
        <v>8</v>
      </c>
      <c r="IE767" s="27" t="s">
        <v>8</v>
      </c>
      <c r="KG767" s="27" t="s">
        <v>8</v>
      </c>
      <c r="KH767" s="27" t="s">
        <v>7</v>
      </c>
      <c r="KI767" s="27" t="s">
        <v>8</v>
      </c>
      <c r="KJ767" s="27" t="s">
        <v>7</v>
      </c>
      <c r="KK767" s="27" t="s">
        <v>8</v>
      </c>
      <c r="KN767" s="27" t="s">
        <v>7</v>
      </c>
      <c r="KO767" s="27" t="s">
        <v>8</v>
      </c>
    </row>
    <row r="768" spans="1:307" x14ac:dyDescent="0.25">
      <c r="A768" s="7">
        <v>2.7756768999967207E-2</v>
      </c>
      <c r="B768"/>
      <c r="C768"/>
      <c r="D768"/>
      <c r="E768"/>
      <c r="F768" s="27" t="s">
        <v>7</v>
      </c>
      <c r="O768" s="27" t="s">
        <v>8</v>
      </c>
      <c r="P768" s="27" t="s">
        <v>7</v>
      </c>
      <c r="Q768" s="27" t="s">
        <v>8</v>
      </c>
      <c r="R768" s="27" t="s">
        <v>7</v>
      </c>
      <c r="S768" s="27" t="s">
        <v>8</v>
      </c>
      <c r="T768" s="27" t="s">
        <v>7</v>
      </c>
      <c r="DC768" s="27" t="s">
        <v>8</v>
      </c>
      <c r="DD768" s="27" t="s">
        <v>7</v>
      </c>
      <c r="DE768" s="27" t="s">
        <v>8</v>
      </c>
      <c r="DH768" s="27" t="s">
        <v>7</v>
      </c>
      <c r="EU768" s="27" t="s">
        <v>8</v>
      </c>
      <c r="EW768" s="27" t="s">
        <v>8</v>
      </c>
      <c r="EX768" s="27" t="s">
        <v>7</v>
      </c>
      <c r="HU768" s="27" t="s">
        <v>8</v>
      </c>
      <c r="HV768" s="27" t="s">
        <v>7</v>
      </c>
      <c r="HW768" s="27" t="s">
        <v>8</v>
      </c>
      <c r="HX768" s="27" t="s">
        <v>7</v>
      </c>
      <c r="HY768" s="27" t="s">
        <v>8</v>
      </c>
      <c r="HZ768" s="27" t="s">
        <v>7</v>
      </c>
      <c r="IA768" s="27" t="s">
        <v>8</v>
      </c>
      <c r="IB768" s="27" t="s">
        <v>7</v>
      </c>
      <c r="IE768" s="27" t="s">
        <v>8</v>
      </c>
      <c r="IF768" s="27" t="s">
        <v>7</v>
      </c>
      <c r="KG768" s="27" t="s">
        <v>8</v>
      </c>
      <c r="KH768" s="27" t="s">
        <v>7</v>
      </c>
      <c r="KJ768" s="27" t="s">
        <v>7</v>
      </c>
      <c r="KK768" s="27" t="s">
        <v>8</v>
      </c>
      <c r="KN768" s="27" t="s">
        <v>7</v>
      </c>
      <c r="KO768" s="27" t="s">
        <v>8</v>
      </c>
    </row>
    <row r="769" spans="1:301" x14ac:dyDescent="0.25">
      <c r="A769" s="7">
        <v>2.7212518627418834E-2</v>
      </c>
      <c r="B769"/>
      <c r="C769"/>
      <c r="D769"/>
      <c r="E769"/>
      <c r="F769" s="27" t="s">
        <v>7</v>
      </c>
      <c r="O769" s="27" t="s">
        <v>8</v>
      </c>
      <c r="P769" s="27" t="s">
        <v>7</v>
      </c>
      <c r="Q769" s="27" t="s">
        <v>8</v>
      </c>
      <c r="R769" s="27" t="s">
        <v>7</v>
      </c>
      <c r="S769" s="27" t="s">
        <v>8</v>
      </c>
      <c r="T769" s="27" t="s">
        <v>7</v>
      </c>
      <c r="AA769" s="27" t="s">
        <v>8</v>
      </c>
      <c r="DC769" s="27" t="s">
        <v>8</v>
      </c>
      <c r="DD769" s="27" t="s">
        <v>7</v>
      </c>
      <c r="DE769" s="27" t="s">
        <v>8</v>
      </c>
      <c r="DH769" s="27" t="s">
        <v>7</v>
      </c>
      <c r="EU769" s="27" t="s">
        <v>8</v>
      </c>
      <c r="EV769" s="27" t="s">
        <v>7</v>
      </c>
      <c r="EW769" s="27" t="s">
        <v>8</v>
      </c>
      <c r="EX769" s="27" t="s">
        <v>7</v>
      </c>
      <c r="HU769" s="27" t="s">
        <v>8</v>
      </c>
      <c r="HV769" s="27" t="s">
        <v>7</v>
      </c>
      <c r="HW769" s="27" t="s">
        <v>8</v>
      </c>
      <c r="HX769" s="27" t="s">
        <v>7</v>
      </c>
      <c r="HY769" s="27" t="s">
        <v>8</v>
      </c>
      <c r="HZ769" s="27" t="s">
        <v>7</v>
      </c>
      <c r="IA769" s="27" t="s">
        <v>8</v>
      </c>
      <c r="IB769" s="27" t="s">
        <v>7</v>
      </c>
      <c r="IC769" s="27" t="s">
        <v>8</v>
      </c>
      <c r="IE769" s="27" t="s">
        <v>8</v>
      </c>
      <c r="IF769" s="27" t="s">
        <v>7</v>
      </c>
      <c r="KG769" s="27" t="s">
        <v>8</v>
      </c>
      <c r="KJ769" s="27" t="s">
        <v>7</v>
      </c>
      <c r="KK769" s="27" t="s">
        <v>8</v>
      </c>
      <c r="KN769" s="27" t="s">
        <v>7</v>
      </c>
      <c r="KO769" s="27" t="s">
        <v>8</v>
      </c>
    </row>
    <row r="770" spans="1:301" x14ac:dyDescent="0.25">
      <c r="A770" s="7">
        <v>2.6678939830802779E-2</v>
      </c>
      <c r="B770"/>
      <c r="C770"/>
      <c r="D770"/>
      <c r="E770"/>
      <c r="F770" s="27" t="s">
        <v>7</v>
      </c>
      <c r="O770" s="27" t="s">
        <v>8</v>
      </c>
      <c r="P770" s="27" t="s">
        <v>7</v>
      </c>
      <c r="Q770" s="27" t="s">
        <v>8</v>
      </c>
      <c r="R770" s="27" t="s">
        <v>7</v>
      </c>
      <c r="S770" s="27" t="s">
        <v>8</v>
      </c>
      <c r="T770" s="27" t="s">
        <v>7</v>
      </c>
      <c r="AA770" s="27" t="s">
        <v>8</v>
      </c>
      <c r="AB770" s="27" t="s">
        <v>7</v>
      </c>
      <c r="AM770" s="27" t="s">
        <v>8</v>
      </c>
      <c r="DC770" s="27" t="s">
        <v>8</v>
      </c>
      <c r="DD770" s="27" t="s">
        <v>7</v>
      </c>
      <c r="DE770" s="27" t="s">
        <v>8</v>
      </c>
      <c r="DH770" s="27" t="s">
        <v>7</v>
      </c>
      <c r="EU770" s="27" t="s">
        <v>8</v>
      </c>
      <c r="EV770" s="27" t="s">
        <v>7</v>
      </c>
      <c r="EW770" s="27" t="s">
        <v>8</v>
      </c>
      <c r="EX770" s="27" t="s">
        <v>7</v>
      </c>
      <c r="GO770" s="27" t="s">
        <v>8</v>
      </c>
      <c r="GQ770" s="27" t="s">
        <v>8</v>
      </c>
      <c r="HU770" s="27" t="s">
        <v>8</v>
      </c>
      <c r="HV770" s="27" t="s">
        <v>7</v>
      </c>
      <c r="HX770" s="27" t="s">
        <v>7</v>
      </c>
      <c r="HY770" s="27" t="s">
        <v>8</v>
      </c>
      <c r="HZ770" s="27" t="s">
        <v>7</v>
      </c>
      <c r="IA770" s="27" t="s">
        <v>8</v>
      </c>
      <c r="IB770" s="27" t="s">
        <v>7</v>
      </c>
      <c r="IC770" s="27" t="s">
        <v>8</v>
      </c>
      <c r="ID770" s="27" t="s">
        <v>7</v>
      </c>
      <c r="IE770" s="27" t="s">
        <v>8</v>
      </c>
      <c r="IF770" s="27" t="s">
        <v>7</v>
      </c>
      <c r="KG770" s="27" t="s">
        <v>8</v>
      </c>
      <c r="KJ770" s="27" t="s">
        <v>7</v>
      </c>
      <c r="KK770" s="27" t="s">
        <v>8</v>
      </c>
      <c r="KN770" s="27" t="s">
        <v>7</v>
      </c>
    </row>
    <row r="771" spans="1:301" x14ac:dyDescent="0.25">
      <c r="A771" s="7">
        <v>2.615582336353214E-2</v>
      </c>
      <c r="B771"/>
      <c r="C771"/>
      <c r="D771"/>
      <c r="E771"/>
      <c r="F771" s="27" t="s">
        <v>7</v>
      </c>
      <c r="O771" s="27" t="s">
        <v>8</v>
      </c>
      <c r="P771" s="27" t="s">
        <v>7</v>
      </c>
      <c r="Q771" s="27" t="s">
        <v>8</v>
      </c>
      <c r="R771" s="27" t="s">
        <v>7</v>
      </c>
      <c r="S771" s="27" t="s">
        <v>8</v>
      </c>
      <c r="T771" s="27" t="s">
        <v>7</v>
      </c>
      <c r="AA771" s="27" t="s">
        <v>8</v>
      </c>
      <c r="AB771" s="27" t="s">
        <v>7</v>
      </c>
      <c r="AM771" s="27" t="s">
        <v>8</v>
      </c>
      <c r="AN771" s="27" t="s">
        <v>7</v>
      </c>
      <c r="DC771" s="27" t="s">
        <v>8</v>
      </c>
      <c r="DD771" s="27" t="s">
        <v>7</v>
      </c>
      <c r="DE771" s="27" t="s">
        <v>8</v>
      </c>
      <c r="DH771" s="27" t="s">
        <v>7</v>
      </c>
      <c r="EU771" s="27" t="s">
        <v>8</v>
      </c>
      <c r="EV771" s="27" t="s">
        <v>7</v>
      </c>
      <c r="EW771" s="27" t="s">
        <v>8</v>
      </c>
      <c r="EX771" s="27" t="s">
        <v>7</v>
      </c>
      <c r="GO771" s="27" t="s">
        <v>8</v>
      </c>
      <c r="GP771" s="27" t="s">
        <v>7</v>
      </c>
      <c r="GQ771" s="27" t="s">
        <v>8</v>
      </c>
      <c r="GR771" s="27" t="s">
        <v>7</v>
      </c>
      <c r="HS771" s="27" t="s">
        <v>8</v>
      </c>
      <c r="HU771" s="27" t="s">
        <v>8</v>
      </c>
      <c r="HX771" s="27" t="s">
        <v>7</v>
      </c>
      <c r="HY771" s="27" t="s">
        <v>8</v>
      </c>
      <c r="HZ771" s="27" t="s">
        <v>7</v>
      </c>
      <c r="IA771" s="27" t="s">
        <v>8</v>
      </c>
      <c r="IB771" s="27" t="s">
        <v>7</v>
      </c>
      <c r="IC771" s="27" t="s">
        <v>8</v>
      </c>
      <c r="ID771" s="27" t="s">
        <v>7</v>
      </c>
      <c r="IE771" s="27" t="s">
        <v>8</v>
      </c>
      <c r="IF771" s="27" t="s">
        <v>7</v>
      </c>
      <c r="KG771" s="27" t="s">
        <v>8</v>
      </c>
      <c r="KJ771" s="27" t="s">
        <v>7</v>
      </c>
      <c r="KK771" s="27" t="s">
        <v>8</v>
      </c>
    </row>
    <row r="772" spans="1:301" x14ac:dyDescent="0.25">
      <c r="A772" s="7">
        <v>2.5642964081894253E-2</v>
      </c>
      <c r="B772"/>
      <c r="C772"/>
      <c r="D772"/>
      <c r="E772"/>
      <c r="F772" s="27" t="s">
        <v>7</v>
      </c>
      <c r="O772" s="27" t="s">
        <v>8</v>
      </c>
      <c r="P772" s="27" t="s">
        <v>7</v>
      </c>
      <c r="Q772" s="27" t="s">
        <v>8</v>
      </c>
      <c r="R772" s="27" t="s">
        <v>7</v>
      </c>
      <c r="S772" s="27" t="s">
        <v>8</v>
      </c>
      <c r="T772" s="27" t="s">
        <v>7</v>
      </c>
      <c r="AA772" s="27" t="s">
        <v>8</v>
      </c>
      <c r="AB772" s="27" t="s">
        <v>7</v>
      </c>
      <c r="AM772" s="27" t="s">
        <v>8</v>
      </c>
      <c r="AN772" s="27" t="s">
        <v>7</v>
      </c>
      <c r="DA772" s="27" t="s">
        <v>8</v>
      </c>
      <c r="DC772" s="27" t="s">
        <v>8</v>
      </c>
      <c r="DD772" s="27" t="s">
        <v>7</v>
      </c>
      <c r="DE772" s="27" t="s">
        <v>8</v>
      </c>
      <c r="DH772" s="27" t="s">
        <v>7</v>
      </c>
      <c r="EU772" s="27" t="s">
        <v>8</v>
      </c>
      <c r="EV772" s="27" t="s">
        <v>7</v>
      </c>
      <c r="EW772" s="27" t="s">
        <v>8</v>
      </c>
      <c r="EX772" s="27" t="s">
        <v>7</v>
      </c>
      <c r="GO772" s="27" t="s">
        <v>8</v>
      </c>
      <c r="GP772" s="27" t="s">
        <v>7</v>
      </c>
      <c r="GQ772" s="27" t="s">
        <v>8</v>
      </c>
      <c r="GR772" s="27" t="s">
        <v>7</v>
      </c>
      <c r="HS772" s="27" t="s">
        <v>8</v>
      </c>
      <c r="HT772" s="27" t="s">
        <v>7</v>
      </c>
      <c r="HU772" s="27" t="s">
        <v>8</v>
      </c>
      <c r="HX772" s="27" t="s">
        <v>7</v>
      </c>
      <c r="HY772" s="27" t="s">
        <v>8</v>
      </c>
      <c r="HZ772" s="27" t="s">
        <v>7</v>
      </c>
      <c r="IA772" s="27" t="s">
        <v>8</v>
      </c>
      <c r="IB772" s="27" t="s">
        <v>7</v>
      </c>
      <c r="IC772" s="27" t="s">
        <v>8</v>
      </c>
      <c r="ID772" s="27" t="s">
        <v>7</v>
      </c>
      <c r="IE772" s="27" t="s">
        <v>8</v>
      </c>
      <c r="IF772" s="27" t="s">
        <v>7</v>
      </c>
      <c r="KG772" s="27" t="s">
        <v>8</v>
      </c>
      <c r="KJ772" s="27" t="s">
        <v>7</v>
      </c>
      <c r="KK772" s="27" t="s">
        <v>8</v>
      </c>
    </row>
    <row r="773" spans="1:301" x14ac:dyDescent="0.25">
      <c r="A773" s="7">
        <v>2.5140160864602207E-2</v>
      </c>
      <c r="B773"/>
      <c r="C773"/>
      <c r="D773"/>
      <c r="E773"/>
      <c r="F773" s="27" t="s">
        <v>7</v>
      </c>
      <c r="O773" s="27" t="s">
        <v>8</v>
      </c>
      <c r="P773" s="27" t="s">
        <v>7</v>
      </c>
      <c r="Q773" s="27" t="s">
        <v>8</v>
      </c>
      <c r="R773" s="27" t="s">
        <v>7</v>
      </c>
      <c r="S773" s="27" t="s">
        <v>8</v>
      </c>
      <c r="T773" s="27" t="s">
        <v>7</v>
      </c>
      <c r="U773" s="27" t="s">
        <v>8</v>
      </c>
      <c r="AA773" s="27" t="s">
        <v>8</v>
      </c>
      <c r="AB773" s="27" t="s">
        <v>7</v>
      </c>
      <c r="AM773" s="27" t="s">
        <v>8</v>
      </c>
      <c r="AN773" s="27" t="s">
        <v>7</v>
      </c>
      <c r="DA773" s="27" t="s">
        <v>8</v>
      </c>
      <c r="DB773" s="27" t="s">
        <v>7</v>
      </c>
      <c r="DC773" s="27" t="s">
        <v>8</v>
      </c>
      <c r="DD773" s="27" t="s">
        <v>7</v>
      </c>
      <c r="DH773" s="27" t="s">
        <v>7</v>
      </c>
      <c r="EE773" s="27" t="s">
        <v>8</v>
      </c>
      <c r="EU773" s="27" t="s">
        <v>8</v>
      </c>
      <c r="EV773" s="27" t="s">
        <v>7</v>
      </c>
      <c r="EW773" s="27" t="s">
        <v>8</v>
      </c>
      <c r="EX773" s="27" t="s">
        <v>7</v>
      </c>
      <c r="GO773" s="27" t="s">
        <v>8</v>
      </c>
      <c r="GP773" s="27" t="s">
        <v>7</v>
      </c>
      <c r="GQ773" s="27" t="s">
        <v>8</v>
      </c>
      <c r="GR773" s="27" t="s">
        <v>7</v>
      </c>
      <c r="HS773" s="27" t="s">
        <v>8</v>
      </c>
      <c r="HT773" s="27" t="s">
        <v>7</v>
      </c>
      <c r="HU773" s="27" t="s">
        <v>8</v>
      </c>
      <c r="HX773" s="27" t="s">
        <v>7</v>
      </c>
      <c r="HY773" s="27" t="s">
        <v>8</v>
      </c>
      <c r="HZ773" s="27" t="s">
        <v>7</v>
      </c>
      <c r="IA773" s="27" t="s">
        <v>8</v>
      </c>
      <c r="IB773" s="27" t="s">
        <v>7</v>
      </c>
      <c r="ID773" s="27" t="s">
        <v>7</v>
      </c>
      <c r="IF773" s="27" t="s">
        <v>7</v>
      </c>
      <c r="KG773" s="27" t="s">
        <v>8</v>
      </c>
      <c r="KJ773" s="27" t="s">
        <v>7</v>
      </c>
      <c r="KK773" s="27" t="s">
        <v>8</v>
      </c>
    </row>
    <row r="774" spans="1:301" x14ac:dyDescent="0.25">
      <c r="A774" s="7">
        <v>2.4647216533923735E-2</v>
      </c>
      <c r="B774"/>
      <c r="C774"/>
      <c r="D774"/>
      <c r="E774"/>
      <c r="F774" s="27" t="s">
        <v>7</v>
      </c>
      <c r="O774" s="27" t="s">
        <v>8</v>
      </c>
      <c r="P774" s="27" t="s">
        <v>7</v>
      </c>
      <c r="Q774" s="27" t="s">
        <v>8</v>
      </c>
      <c r="R774" s="27" t="s">
        <v>7</v>
      </c>
      <c r="S774" s="27" t="s">
        <v>8</v>
      </c>
      <c r="T774" s="27" t="s">
        <v>7</v>
      </c>
      <c r="U774" s="27" t="s">
        <v>8</v>
      </c>
      <c r="V774" s="27" t="s">
        <v>7</v>
      </c>
      <c r="Y774" s="27" t="s">
        <v>8</v>
      </c>
      <c r="AA774" s="27" t="s">
        <v>8</v>
      </c>
      <c r="AB774" s="27" t="s">
        <v>7</v>
      </c>
      <c r="AM774" s="27" t="s">
        <v>8</v>
      </c>
      <c r="AN774" s="27" t="s">
        <v>7</v>
      </c>
      <c r="DA774" s="27" t="s">
        <v>8</v>
      </c>
      <c r="DB774" s="27" t="s">
        <v>7</v>
      </c>
      <c r="DC774" s="27" t="s">
        <v>8</v>
      </c>
      <c r="DH774" s="27" t="s">
        <v>7</v>
      </c>
      <c r="EE774" s="27" t="s">
        <v>8</v>
      </c>
      <c r="EF774" s="27" t="s">
        <v>7</v>
      </c>
      <c r="EU774" s="27" t="s">
        <v>8</v>
      </c>
      <c r="EV774" s="27" t="s">
        <v>7</v>
      </c>
      <c r="EX774" s="27" t="s">
        <v>7</v>
      </c>
      <c r="GO774" s="27" t="s">
        <v>8</v>
      </c>
      <c r="GP774" s="27" t="s">
        <v>7</v>
      </c>
      <c r="GQ774" s="27" t="s">
        <v>8</v>
      </c>
      <c r="GR774" s="27" t="s">
        <v>7</v>
      </c>
      <c r="HS774" s="27" t="s">
        <v>8</v>
      </c>
      <c r="HT774" s="27" t="s">
        <v>7</v>
      </c>
      <c r="HU774" s="27" t="s">
        <v>8</v>
      </c>
      <c r="HX774" s="27" t="s">
        <v>7</v>
      </c>
      <c r="HY774" s="27" t="s">
        <v>8</v>
      </c>
      <c r="HZ774" s="27" t="s">
        <v>7</v>
      </c>
      <c r="IA774" s="27" t="s">
        <v>8</v>
      </c>
      <c r="IF774" s="27" t="s">
        <v>7</v>
      </c>
      <c r="KG774" s="27" t="s">
        <v>8</v>
      </c>
      <c r="KJ774" s="27" t="s">
        <v>7</v>
      </c>
      <c r="KK774" s="27" t="s">
        <v>8</v>
      </c>
    </row>
    <row r="775" spans="1:301" x14ac:dyDescent="0.25">
      <c r="A775" s="7">
        <v>2.4163937778356601E-2</v>
      </c>
      <c r="B775"/>
      <c r="C775"/>
      <c r="D775"/>
      <c r="E775"/>
      <c r="F775" s="27" t="s">
        <v>7</v>
      </c>
      <c r="O775" s="27" t="s">
        <v>8</v>
      </c>
      <c r="P775" s="27" t="s">
        <v>7</v>
      </c>
      <c r="Q775" s="27" t="s">
        <v>8</v>
      </c>
      <c r="R775" s="27" t="s">
        <v>7</v>
      </c>
      <c r="S775" s="27" t="s">
        <v>8</v>
      </c>
      <c r="T775" s="27" t="s">
        <v>7</v>
      </c>
      <c r="U775" s="27" t="s">
        <v>8</v>
      </c>
      <c r="V775" s="27" t="s">
        <v>7</v>
      </c>
      <c r="Y775" s="27" t="s">
        <v>8</v>
      </c>
      <c r="Z775" s="27" t="s">
        <v>7</v>
      </c>
      <c r="AA775" s="27" t="s">
        <v>8</v>
      </c>
      <c r="AB775" s="27" t="s">
        <v>7</v>
      </c>
      <c r="AG775" s="27" t="s">
        <v>8</v>
      </c>
      <c r="AM775" s="27" t="s">
        <v>8</v>
      </c>
      <c r="AN775" s="27" t="s">
        <v>7</v>
      </c>
      <c r="DA775" s="27" t="s">
        <v>8</v>
      </c>
      <c r="DB775" s="27" t="s">
        <v>7</v>
      </c>
      <c r="DC775" s="27" t="s">
        <v>8</v>
      </c>
      <c r="DH775" s="27" t="s">
        <v>7</v>
      </c>
      <c r="EE775" s="27" t="s">
        <v>8</v>
      </c>
      <c r="EF775" s="27" t="s">
        <v>7</v>
      </c>
      <c r="EI775" s="27" t="s">
        <v>8</v>
      </c>
      <c r="EU775" s="27" t="s">
        <v>8</v>
      </c>
      <c r="EX775" s="27" t="s">
        <v>7</v>
      </c>
      <c r="GO775" s="27" t="s">
        <v>8</v>
      </c>
      <c r="GP775" s="27" t="s">
        <v>7</v>
      </c>
      <c r="GQ775" s="27" t="s">
        <v>8</v>
      </c>
      <c r="GR775" s="27" t="s">
        <v>7</v>
      </c>
      <c r="HS775" s="27" t="s">
        <v>8</v>
      </c>
      <c r="HT775" s="27" t="s">
        <v>7</v>
      </c>
      <c r="HU775" s="27" t="s">
        <v>8</v>
      </c>
      <c r="HX775" s="27" t="s">
        <v>7</v>
      </c>
      <c r="HZ775" s="27" t="s">
        <v>7</v>
      </c>
      <c r="IA775" s="27" t="s">
        <v>8</v>
      </c>
      <c r="IF775" s="27" t="s">
        <v>7</v>
      </c>
      <c r="KG775" s="27" t="s">
        <v>8</v>
      </c>
      <c r="KJ775" s="27" t="s">
        <v>7</v>
      </c>
      <c r="KK775" s="27" t="s">
        <v>8</v>
      </c>
    </row>
    <row r="776" spans="1:301" x14ac:dyDescent="0.25">
      <c r="A776" s="7">
        <v>2.3690135076820197E-2</v>
      </c>
      <c r="B776"/>
      <c r="C776"/>
      <c r="D776"/>
      <c r="E776"/>
      <c r="F776" s="27" t="s">
        <v>7</v>
      </c>
      <c r="O776" s="27" t="s">
        <v>8</v>
      </c>
      <c r="P776" s="27" t="s">
        <v>7</v>
      </c>
      <c r="Q776" s="27" t="s">
        <v>8</v>
      </c>
      <c r="R776" s="27" t="s">
        <v>7</v>
      </c>
      <c r="S776" s="27" t="s">
        <v>8</v>
      </c>
      <c r="T776" s="27" t="s">
        <v>7</v>
      </c>
      <c r="U776" s="27" t="s">
        <v>8</v>
      </c>
      <c r="V776" s="27" t="s">
        <v>7</v>
      </c>
      <c r="Y776" s="27" t="s">
        <v>8</v>
      </c>
      <c r="Z776" s="27" t="s">
        <v>7</v>
      </c>
      <c r="AA776" s="27" t="s">
        <v>8</v>
      </c>
      <c r="AB776" s="27" t="s">
        <v>7</v>
      </c>
      <c r="AE776" s="27" t="s">
        <v>8</v>
      </c>
      <c r="AG776" s="27" t="s">
        <v>8</v>
      </c>
      <c r="AH776" s="27" t="s">
        <v>7</v>
      </c>
      <c r="AM776" s="27" t="s">
        <v>8</v>
      </c>
      <c r="AN776" s="27" t="s">
        <v>7</v>
      </c>
      <c r="DA776" s="27" t="s">
        <v>8</v>
      </c>
      <c r="DB776" s="27" t="s">
        <v>7</v>
      </c>
      <c r="DC776" s="27" t="s">
        <v>8</v>
      </c>
      <c r="DH776" s="27" t="s">
        <v>7</v>
      </c>
      <c r="EE776" s="27" t="s">
        <v>8</v>
      </c>
      <c r="EF776" s="27" t="s">
        <v>7</v>
      </c>
      <c r="EI776" s="27" t="s">
        <v>8</v>
      </c>
      <c r="EJ776" s="27" t="s">
        <v>7</v>
      </c>
      <c r="EK776" s="27" t="s">
        <v>8</v>
      </c>
      <c r="EU776" s="27" t="s">
        <v>8</v>
      </c>
      <c r="EX776" s="27" t="s">
        <v>7</v>
      </c>
      <c r="GO776" s="27" t="s">
        <v>8</v>
      </c>
      <c r="GP776" s="27" t="s">
        <v>7</v>
      </c>
      <c r="GR776" s="27" t="s">
        <v>7</v>
      </c>
      <c r="HI776" s="27" t="s">
        <v>8</v>
      </c>
      <c r="HK776" s="27" t="s">
        <v>8</v>
      </c>
      <c r="HS776" s="27" t="s">
        <v>8</v>
      </c>
      <c r="HT776" s="27" t="s">
        <v>7</v>
      </c>
      <c r="HU776" s="27" t="s">
        <v>8</v>
      </c>
      <c r="HZ776" s="27" t="s">
        <v>7</v>
      </c>
      <c r="IF776" s="27" t="s">
        <v>7</v>
      </c>
      <c r="JQ776" s="27" t="s">
        <v>8</v>
      </c>
      <c r="KG776" s="27" t="s">
        <v>8</v>
      </c>
      <c r="KJ776" s="27" t="s">
        <v>7</v>
      </c>
      <c r="KK776" s="27" t="s">
        <v>8</v>
      </c>
    </row>
    <row r="777" spans="1:301" x14ac:dyDescent="0.25">
      <c r="A777" s="7">
        <v>2.3225622624333527E-2</v>
      </c>
      <c r="B777"/>
      <c r="C777"/>
      <c r="D777"/>
      <c r="E777"/>
      <c r="F777" s="27" t="s">
        <v>7</v>
      </c>
      <c r="O777" s="27" t="s">
        <v>8</v>
      </c>
      <c r="P777" s="27" t="s">
        <v>7</v>
      </c>
      <c r="Q777" s="27" t="s">
        <v>8</v>
      </c>
      <c r="R777" s="27" t="s">
        <v>7</v>
      </c>
      <c r="S777" s="27" t="s">
        <v>8</v>
      </c>
      <c r="T777" s="27" t="s">
        <v>7</v>
      </c>
      <c r="U777" s="27" t="s">
        <v>8</v>
      </c>
      <c r="V777" s="27" t="s">
        <v>7</v>
      </c>
      <c r="Y777" s="27" t="s">
        <v>8</v>
      </c>
      <c r="Z777" s="27" t="s">
        <v>7</v>
      </c>
      <c r="AA777" s="27" t="s">
        <v>8</v>
      </c>
      <c r="AB777" s="27" t="s">
        <v>7</v>
      </c>
      <c r="AE777" s="27" t="s">
        <v>8</v>
      </c>
      <c r="AF777" s="27" t="s">
        <v>7</v>
      </c>
      <c r="AG777" s="27" t="s">
        <v>8</v>
      </c>
      <c r="AH777" s="27" t="s">
        <v>7</v>
      </c>
      <c r="AM777" s="27" t="s">
        <v>8</v>
      </c>
      <c r="AN777" s="27" t="s">
        <v>7</v>
      </c>
      <c r="DA777" s="27" t="s">
        <v>8</v>
      </c>
      <c r="DB777" s="27" t="s">
        <v>7</v>
      </c>
      <c r="DC777" s="27" t="s">
        <v>8</v>
      </c>
      <c r="DH777" s="27" t="s">
        <v>7</v>
      </c>
      <c r="EE777" s="27" t="s">
        <v>8</v>
      </c>
      <c r="EF777" s="27" t="s">
        <v>7</v>
      </c>
      <c r="EI777" s="27" t="s">
        <v>8</v>
      </c>
      <c r="EJ777" s="27" t="s">
        <v>7</v>
      </c>
      <c r="EK777" s="27" t="s">
        <v>8</v>
      </c>
      <c r="EL777" s="27" t="s">
        <v>7</v>
      </c>
      <c r="EU777" s="27" t="s">
        <v>8</v>
      </c>
      <c r="EX777" s="27" t="s">
        <v>7</v>
      </c>
      <c r="GO777" s="27" t="s">
        <v>8</v>
      </c>
      <c r="GR777" s="27" t="s">
        <v>7</v>
      </c>
      <c r="HI777" s="27" t="s">
        <v>8</v>
      </c>
      <c r="HJ777" s="27" t="s">
        <v>7</v>
      </c>
      <c r="HK777" s="27" t="s">
        <v>8</v>
      </c>
      <c r="HL777" s="27" t="s">
        <v>7</v>
      </c>
      <c r="HS777" s="27" t="s">
        <v>8</v>
      </c>
      <c r="HT777" s="27" t="s">
        <v>7</v>
      </c>
      <c r="HU777" s="27" t="s">
        <v>8</v>
      </c>
      <c r="IF777" s="27" t="s">
        <v>7</v>
      </c>
      <c r="IO777" s="27" t="s">
        <v>8</v>
      </c>
      <c r="JQ777" s="27" t="s">
        <v>8</v>
      </c>
      <c r="JR777" s="27" t="s">
        <v>7</v>
      </c>
      <c r="KG777" s="27" t="s">
        <v>8</v>
      </c>
      <c r="KJ777" s="27" t="s">
        <v>7</v>
      </c>
    </row>
    <row r="778" spans="1:301" x14ac:dyDescent="0.25">
      <c r="A778" s="7">
        <v>2.2770218259150519E-2</v>
      </c>
      <c r="B778"/>
      <c r="C778"/>
      <c r="D778"/>
      <c r="E778"/>
      <c r="F778" s="27" t="s">
        <v>7</v>
      </c>
      <c r="O778" s="27" t="s">
        <v>8</v>
      </c>
      <c r="P778" s="27" t="s">
        <v>7</v>
      </c>
      <c r="Q778" s="27" t="s">
        <v>8</v>
      </c>
      <c r="R778" s="27" t="s">
        <v>7</v>
      </c>
      <c r="T778" s="27" t="s">
        <v>7</v>
      </c>
      <c r="U778" s="27" t="s">
        <v>8</v>
      </c>
      <c r="V778" s="27" t="s">
        <v>7</v>
      </c>
      <c r="W778" s="27" t="s">
        <v>8</v>
      </c>
      <c r="Y778" s="27" t="s">
        <v>8</v>
      </c>
      <c r="Z778" s="27" t="s">
        <v>7</v>
      </c>
      <c r="AA778" s="27" t="s">
        <v>8</v>
      </c>
      <c r="AB778" s="27" t="s">
        <v>7</v>
      </c>
      <c r="AC778" s="27" t="s">
        <v>8</v>
      </c>
      <c r="AE778" s="27" t="s">
        <v>8</v>
      </c>
      <c r="AF778" s="27" t="s">
        <v>7</v>
      </c>
      <c r="AG778" s="27" t="s">
        <v>8</v>
      </c>
      <c r="AH778" s="27" t="s">
        <v>7</v>
      </c>
      <c r="AM778" s="27" t="s">
        <v>8</v>
      </c>
      <c r="AN778" s="27" t="s">
        <v>7</v>
      </c>
      <c r="DA778" s="27" t="s">
        <v>8</v>
      </c>
      <c r="DB778" s="27" t="s">
        <v>7</v>
      </c>
      <c r="DH778" s="27" t="s">
        <v>7</v>
      </c>
      <c r="EE778" s="27" t="s">
        <v>8</v>
      </c>
      <c r="EF778" s="27" t="s">
        <v>7</v>
      </c>
      <c r="EI778" s="27" t="s">
        <v>8</v>
      </c>
      <c r="EJ778" s="27" t="s">
        <v>7</v>
      </c>
      <c r="EK778" s="27" t="s">
        <v>8</v>
      </c>
      <c r="EL778" s="27" t="s">
        <v>7</v>
      </c>
      <c r="EQ778" s="27" t="s">
        <v>8</v>
      </c>
      <c r="EU778" s="27" t="s">
        <v>8</v>
      </c>
      <c r="EX778" s="27" t="s">
        <v>7</v>
      </c>
      <c r="GK778" s="27" t="s">
        <v>8</v>
      </c>
      <c r="GO778" s="27" t="s">
        <v>8</v>
      </c>
      <c r="GR778" s="27" t="s">
        <v>7</v>
      </c>
      <c r="HA778" s="27" t="s">
        <v>8</v>
      </c>
      <c r="HC778" s="27" t="s">
        <v>8</v>
      </c>
      <c r="HI778" s="27" t="s">
        <v>8</v>
      </c>
      <c r="HJ778" s="27" t="s">
        <v>7</v>
      </c>
      <c r="HK778" s="27" t="s">
        <v>8</v>
      </c>
      <c r="HL778" s="27" t="s">
        <v>7</v>
      </c>
      <c r="HM778" s="27" t="s">
        <v>8</v>
      </c>
      <c r="HS778" s="27" t="s">
        <v>8</v>
      </c>
      <c r="HT778" s="27" t="s">
        <v>7</v>
      </c>
      <c r="IF778" s="27" t="s">
        <v>7</v>
      </c>
      <c r="IO778" s="27" t="s">
        <v>8</v>
      </c>
      <c r="IP778" s="27" t="s">
        <v>7</v>
      </c>
      <c r="JQ778" s="27" t="s">
        <v>8</v>
      </c>
      <c r="JR778" s="27" t="s">
        <v>7</v>
      </c>
      <c r="KG778" s="27" t="s">
        <v>8</v>
      </c>
    </row>
    <row r="779" spans="1:301" x14ac:dyDescent="0.25">
      <c r="A779" s="7">
        <v>2.2323743391324039E-2</v>
      </c>
      <c r="B779"/>
      <c r="C779"/>
      <c r="D779"/>
      <c r="E779"/>
      <c r="F779" s="27" t="s">
        <v>7</v>
      </c>
      <c r="O779" s="27" t="s">
        <v>8</v>
      </c>
      <c r="P779" s="27" t="s">
        <v>7</v>
      </c>
      <c r="Q779" s="27" t="s">
        <v>8</v>
      </c>
      <c r="T779" s="27" t="s">
        <v>7</v>
      </c>
      <c r="U779" s="27" t="s">
        <v>8</v>
      </c>
      <c r="V779" s="27" t="s">
        <v>7</v>
      </c>
      <c r="W779" s="27" t="s">
        <v>8</v>
      </c>
      <c r="X779" s="27" t="s">
        <v>7</v>
      </c>
      <c r="Y779" s="27" t="s">
        <v>8</v>
      </c>
      <c r="Z779" s="27" t="s">
        <v>7</v>
      </c>
      <c r="AB779" s="27" t="s">
        <v>7</v>
      </c>
      <c r="AC779" s="27" t="s">
        <v>8</v>
      </c>
      <c r="AD779" s="27" t="s">
        <v>7</v>
      </c>
      <c r="AE779" s="27" t="s">
        <v>8</v>
      </c>
      <c r="AF779" s="27" t="s">
        <v>7</v>
      </c>
      <c r="AG779" s="27" t="s">
        <v>8</v>
      </c>
      <c r="AH779" s="27" t="s">
        <v>7</v>
      </c>
      <c r="AI779" s="27" t="s">
        <v>8</v>
      </c>
      <c r="AM779" s="27" t="s">
        <v>8</v>
      </c>
      <c r="AN779" s="27" t="s">
        <v>7</v>
      </c>
      <c r="DA779" s="27" t="s">
        <v>8</v>
      </c>
      <c r="DH779" s="27" t="s">
        <v>7</v>
      </c>
      <c r="EC779" s="27" t="s">
        <v>8</v>
      </c>
      <c r="EE779" s="27" t="s">
        <v>8</v>
      </c>
      <c r="EF779" s="27" t="s">
        <v>7</v>
      </c>
      <c r="EI779" s="27" t="s">
        <v>8</v>
      </c>
      <c r="EJ779" s="27" t="s">
        <v>7</v>
      </c>
      <c r="EK779" s="27" t="s">
        <v>8</v>
      </c>
      <c r="EL779" s="27" t="s">
        <v>7</v>
      </c>
      <c r="EQ779" s="27" t="s">
        <v>8</v>
      </c>
      <c r="ER779" s="27" t="s">
        <v>7</v>
      </c>
      <c r="EU779" s="27" t="s">
        <v>8</v>
      </c>
      <c r="EX779" s="27" t="s">
        <v>7</v>
      </c>
      <c r="EY779" s="27" t="s">
        <v>8</v>
      </c>
      <c r="GK779" s="27" t="s">
        <v>8</v>
      </c>
      <c r="GL779" s="27" t="s">
        <v>7</v>
      </c>
      <c r="GO779" s="27" t="s">
        <v>8</v>
      </c>
      <c r="GR779" s="27" t="s">
        <v>7</v>
      </c>
      <c r="GS779" s="27" t="s">
        <v>8</v>
      </c>
      <c r="HA779" s="27" t="s">
        <v>8</v>
      </c>
      <c r="HB779" s="27" t="s">
        <v>7</v>
      </c>
      <c r="HC779" s="27" t="s">
        <v>8</v>
      </c>
      <c r="HD779" s="27" t="s">
        <v>7</v>
      </c>
      <c r="HI779" s="27" t="s">
        <v>8</v>
      </c>
      <c r="HJ779" s="27" t="s">
        <v>7</v>
      </c>
      <c r="HK779" s="27" t="s">
        <v>8</v>
      </c>
      <c r="HL779" s="27" t="s">
        <v>7</v>
      </c>
      <c r="HM779" s="27" t="s">
        <v>8</v>
      </c>
      <c r="HN779" s="27" t="s">
        <v>7</v>
      </c>
      <c r="HS779" s="27" t="s">
        <v>8</v>
      </c>
      <c r="IF779" s="27" t="s">
        <v>7</v>
      </c>
      <c r="IO779" s="27" t="s">
        <v>8</v>
      </c>
      <c r="IP779" s="27" t="s">
        <v>7</v>
      </c>
      <c r="JQ779" s="27" t="s">
        <v>8</v>
      </c>
      <c r="JR779" s="27" t="s">
        <v>7</v>
      </c>
      <c r="KG779" s="27" t="s">
        <v>8</v>
      </c>
    </row>
    <row r="780" spans="1:301" x14ac:dyDescent="0.25">
      <c r="A780" s="7">
        <v>2.188602293267063E-2</v>
      </c>
      <c r="B780"/>
      <c r="C780"/>
      <c r="D780"/>
      <c r="E780"/>
      <c r="F780" s="27" t="s">
        <v>7</v>
      </c>
      <c r="O780" s="27" t="s">
        <v>8</v>
      </c>
      <c r="P780" s="27" t="s">
        <v>7</v>
      </c>
      <c r="Q780" s="27" t="s">
        <v>8</v>
      </c>
      <c r="T780" s="27" t="s">
        <v>7</v>
      </c>
      <c r="U780" s="27" t="s">
        <v>8</v>
      </c>
      <c r="V780" s="27" t="s">
        <v>7</v>
      </c>
      <c r="W780" s="27" t="s">
        <v>8</v>
      </c>
      <c r="X780" s="27" t="s">
        <v>7</v>
      </c>
      <c r="Y780" s="27" t="s">
        <v>8</v>
      </c>
      <c r="AB780" s="27" t="s">
        <v>7</v>
      </c>
      <c r="AC780" s="27" t="s">
        <v>8</v>
      </c>
      <c r="AD780" s="27" t="s">
        <v>7</v>
      </c>
      <c r="AE780" s="27" t="s">
        <v>8</v>
      </c>
      <c r="AF780" s="27" t="s">
        <v>7</v>
      </c>
      <c r="AG780" s="27" t="s">
        <v>8</v>
      </c>
      <c r="AH780" s="27" t="s">
        <v>7</v>
      </c>
      <c r="AI780" s="27" t="s">
        <v>8</v>
      </c>
      <c r="AJ780" s="27" t="s">
        <v>7</v>
      </c>
      <c r="AM780" s="27" t="s">
        <v>8</v>
      </c>
      <c r="AN780" s="27" t="s">
        <v>7</v>
      </c>
      <c r="DA780" s="27" t="s">
        <v>8</v>
      </c>
      <c r="DH780" s="27" t="s">
        <v>7</v>
      </c>
      <c r="EC780" s="27" t="s">
        <v>8</v>
      </c>
      <c r="ED780" s="27" t="s">
        <v>7</v>
      </c>
      <c r="EE780" s="27" t="s">
        <v>8</v>
      </c>
      <c r="EF780" s="27" t="s">
        <v>7</v>
      </c>
      <c r="EG780" s="27" t="s">
        <v>8</v>
      </c>
      <c r="EI780" s="27" t="s">
        <v>8</v>
      </c>
      <c r="EJ780" s="27" t="s">
        <v>7</v>
      </c>
      <c r="EL780" s="27" t="s">
        <v>7</v>
      </c>
      <c r="EM780" s="27" t="s">
        <v>8</v>
      </c>
      <c r="EO780" s="27" t="s">
        <v>8</v>
      </c>
      <c r="EQ780" s="27" t="s">
        <v>8</v>
      </c>
      <c r="ER780" s="27" t="s">
        <v>7</v>
      </c>
      <c r="EU780" s="27" t="s">
        <v>8</v>
      </c>
      <c r="EX780" s="27" t="s">
        <v>7</v>
      </c>
      <c r="EY780" s="27" t="s">
        <v>8</v>
      </c>
      <c r="EZ780" s="27" t="s">
        <v>7</v>
      </c>
      <c r="GK780" s="27" t="s">
        <v>8</v>
      </c>
      <c r="GL780" s="27" t="s">
        <v>7</v>
      </c>
      <c r="GO780" s="27" t="s">
        <v>8</v>
      </c>
      <c r="GR780" s="27" t="s">
        <v>7</v>
      </c>
      <c r="GS780" s="27" t="s">
        <v>8</v>
      </c>
      <c r="GT780" s="27" t="s">
        <v>7</v>
      </c>
      <c r="GU780" s="27" t="s">
        <v>8</v>
      </c>
      <c r="GW780" s="27" t="s">
        <v>8</v>
      </c>
      <c r="HA780" s="27" t="s">
        <v>8</v>
      </c>
      <c r="HB780" s="27" t="s">
        <v>7</v>
      </c>
      <c r="HC780" s="27" t="s">
        <v>8</v>
      </c>
      <c r="HD780" s="27" t="s">
        <v>7</v>
      </c>
      <c r="HI780" s="27" t="s">
        <v>8</v>
      </c>
      <c r="HJ780" s="27" t="s">
        <v>7</v>
      </c>
      <c r="HK780" s="27" t="s">
        <v>8</v>
      </c>
      <c r="HL780" s="27" t="s">
        <v>7</v>
      </c>
      <c r="HM780" s="27" t="s">
        <v>8</v>
      </c>
      <c r="HN780" s="27" t="s">
        <v>7</v>
      </c>
      <c r="HS780" s="27" t="s">
        <v>8</v>
      </c>
      <c r="IF780" s="27" t="s">
        <v>7</v>
      </c>
      <c r="IO780" s="27" t="s">
        <v>8</v>
      </c>
      <c r="IP780" s="27" t="s">
        <v>7</v>
      </c>
      <c r="JQ780" s="27" t="s">
        <v>8</v>
      </c>
      <c r="JR780" s="27" t="s">
        <v>7</v>
      </c>
      <c r="KG780" s="27" t="s">
        <v>8</v>
      </c>
    </row>
    <row r="781" spans="1:301" x14ac:dyDescent="0.25">
      <c r="A781" s="7">
        <v>2.1456885228108461E-2</v>
      </c>
      <c r="B781"/>
      <c r="C781"/>
      <c r="D781"/>
      <c r="E781"/>
      <c r="F781" s="27" t="s">
        <v>7</v>
      </c>
      <c r="O781" s="27" t="s">
        <v>8</v>
      </c>
      <c r="P781" s="27" t="s">
        <v>7</v>
      </c>
      <c r="Q781" s="27" t="s">
        <v>8</v>
      </c>
      <c r="T781" s="27" t="s">
        <v>7</v>
      </c>
      <c r="U781" s="27" t="s">
        <v>8</v>
      </c>
      <c r="V781" s="27" t="s">
        <v>7</v>
      </c>
      <c r="W781" s="27" t="s">
        <v>8</v>
      </c>
      <c r="X781" s="27" t="s">
        <v>7</v>
      </c>
      <c r="Y781" s="27" t="s">
        <v>8</v>
      </c>
      <c r="AB781" s="27" t="s">
        <v>7</v>
      </c>
      <c r="AC781" s="27" t="s">
        <v>8</v>
      </c>
      <c r="AD781" s="27" t="s">
        <v>7</v>
      </c>
      <c r="AE781" s="27" t="s">
        <v>8</v>
      </c>
      <c r="AF781" s="27" t="s">
        <v>7</v>
      </c>
      <c r="AH781" s="27" t="s">
        <v>7</v>
      </c>
      <c r="AI781" s="27" t="s">
        <v>8</v>
      </c>
      <c r="AJ781" s="27" t="s">
        <v>7</v>
      </c>
      <c r="AK781" s="27" t="s">
        <v>8</v>
      </c>
      <c r="AM781" s="27" t="s">
        <v>8</v>
      </c>
      <c r="AN781" s="27" t="s">
        <v>7</v>
      </c>
      <c r="DA781" s="27" t="s">
        <v>8</v>
      </c>
      <c r="DH781" s="27" t="s">
        <v>7</v>
      </c>
      <c r="EC781" s="27" t="s">
        <v>8</v>
      </c>
      <c r="ED781" s="27" t="s">
        <v>7</v>
      </c>
      <c r="EE781" s="27" t="s">
        <v>8</v>
      </c>
      <c r="EF781" s="27" t="s">
        <v>7</v>
      </c>
      <c r="EG781" s="27" t="s">
        <v>8</v>
      </c>
      <c r="EH781" s="27" t="s">
        <v>7</v>
      </c>
      <c r="EI781" s="27" t="s">
        <v>8</v>
      </c>
      <c r="EL781" s="27" t="s">
        <v>7</v>
      </c>
      <c r="EM781" s="27" t="s">
        <v>8</v>
      </c>
      <c r="EN781" s="27" t="s">
        <v>7</v>
      </c>
      <c r="EO781" s="27" t="s">
        <v>8</v>
      </c>
      <c r="EP781" s="27" t="s">
        <v>7</v>
      </c>
      <c r="EQ781" s="27" t="s">
        <v>8</v>
      </c>
      <c r="ER781" s="27" t="s">
        <v>7</v>
      </c>
      <c r="EU781" s="27" t="s">
        <v>8</v>
      </c>
      <c r="EX781" s="27" t="s">
        <v>7</v>
      </c>
      <c r="EY781" s="27" t="s">
        <v>8</v>
      </c>
      <c r="EZ781" s="27" t="s">
        <v>7</v>
      </c>
      <c r="GI781" s="27" t="s">
        <v>8</v>
      </c>
      <c r="GK781" s="27" t="s">
        <v>8</v>
      </c>
      <c r="GL781" s="27" t="s">
        <v>7</v>
      </c>
      <c r="GO781" s="27" t="s">
        <v>8</v>
      </c>
      <c r="GR781" s="27" t="s">
        <v>7</v>
      </c>
      <c r="GS781" s="27" t="s">
        <v>8</v>
      </c>
      <c r="GT781" s="27" t="s">
        <v>7</v>
      </c>
      <c r="GU781" s="27" t="s">
        <v>8</v>
      </c>
      <c r="GV781" s="27" t="s">
        <v>7</v>
      </c>
      <c r="GW781" s="27" t="s">
        <v>8</v>
      </c>
      <c r="GX781" s="27" t="s">
        <v>7</v>
      </c>
      <c r="HA781" s="27" t="s">
        <v>8</v>
      </c>
      <c r="HB781" s="27" t="s">
        <v>7</v>
      </c>
      <c r="HD781" s="27" t="s">
        <v>7</v>
      </c>
      <c r="HG781" s="27" t="s">
        <v>8</v>
      </c>
      <c r="HI781" s="27" t="s">
        <v>8</v>
      </c>
      <c r="HJ781" s="27" t="s">
        <v>7</v>
      </c>
      <c r="HK781" s="27" t="s">
        <v>8</v>
      </c>
      <c r="HL781" s="27" t="s">
        <v>7</v>
      </c>
      <c r="HM781" s="27" t="s">
        <v>8</v>
      </c>
      <c r="HN781" s="27" t="s">
        <v>7</v>
      </c>
      <c r="HS781" s="27" t="s">
        <v>8</v>
      </c>
      <c r="IF781" s="27" t="s">
        <v>7</v>
      </c>
      <c r="II781" s="27" t="s">
        <v>8</v>
      </c>
      <c r="IM781" s="27" t="s">
        <v>8</v>
      </c>
      <c r="IO781" s="27" t="s">
        <v>8</v>
      </c>
      <c r="IP781" s="27" t="s">
        <v>7</v>
      </c>
      <c r="JQ781" s="27" t="s">
        <v>8</v>
      </c>
      <c r="JR781" s="27" t="s">
        <v>7</v>
      </c>
      <c r="JU781" s="27" t="s">
        <v>8</v>
      </c>
      <c r="KG781" s="27" t="s">
        <v>8</v>
      </c>
    </row>
    <row r="782" spans="1:301" x14ac:dyDescent="0.25">
      <c r="A782" s="7">
        <v>2.1036161988341632E-2</v>
      </c>
      <c r="B782"/>
      <c r="C782"/>
      <c r="D782"/>
      <c r="E782"/>
      <c r="F782" s="27" t="s">
        <v>7</v>
      </c>
      <c r="O782" s="27" t="s">
        <v>8</v>
      </c>
      <c r="P782" s="27" t="s">
        <v>7</v>
      </c>
      <c r="Q782" s="27" t="s">
        <v>8</v>
      </c>
      <c r="T782" s="27" t="s">
        <v>7</v>
      </c>
      <c r="V782" s="27" t="s">
        <v>7</v>
      </c>
      <c r="W782" s="27" t="s">
        <v>8</v>
      </c>
      <c r="X782" s="27" t="s">
        <v>7</v>
      </c>
      <c r="Y782" s="27" t="s">
        <v>8</v>
      </c>
      <c r="AB782" s="27" t="s">
        <v>7</v>
      </c>
      <c r="AC782" s="27" t="s">
        <v>8</v>
      </c>
      <c r="AD782" s="27" t="s">
        <v>7</v>
      </c>
      <c r="AH782" s="27" t="s">
        <v>7</v>
      </c>
      <c r="AI782" s="27" t="s">
        <v>8</v>
      </c>
      <c r="AJ782" s="27" t="s">
        <v>7</v>
      </c>
      <c r="AK782" s="27" t="s">
        <v>8</v>
      </c>
      <c r="AL782" s="27" t="s">
        <v>7</v>
      </c>
      <c r="AM782" s="27" t="s">
        <v>8</v>
      </c>
      <c r="AN782" s="27" t="s">
        <v>7</v>
      </c>
      <c r="DA782" s="27" t="s">
        <v>8</v>
      </c>
      <c r="DH782" s="27" t="s">
        <v>7</v>
      </c>
      <c r="EC782" s="27" t="s">
        <v>8</v>
      </c>
      <c r="ED782" s="27" t="s">
        <v>7</v>
      </c>
      <c r="EE782" s="27" t="s">
        <v>8</v>
      </c>
      <c r="EF782" s="27" t="s">
        <v>7</v>
      </c>
      <c r="EG782" s="27" t="s">
        <v>8</v>
      </c>
      <c r="EH782" s="27" t="s">
        <v>7</v>
      </c>
      <c r="EI782" s="27" t="s">
        <v>8</v>
      </c>
      <c r="EL782" s="27" t="s">
        <v>7</v>
      </c>
      <c r="EM782" s="27" t="s">
        <v>8</v>
      </c>
      <c r="EN782" s="27" t="s">
        <v>7</v>
      </c>
      <c r="EO782" s="27" t="s">
        <v>8</v>
      </c>
      <c r="EP782" s="27" t="s">
        <v>7</v>
      </c>
      <c r="EQ782" s="27" t="s">
        <v>8</v>
      </c>
      <c r="ER782" s="27" t="s">
        <v>7</v>
      </c>
      <c r="ES782" s="27" t="s">
        <v>8</v>
      </c>
      <c r="EU782" s="27" t="s">
        <v>8</v>
      </c>
      <c r="EX782" s="27" t="s">
        <v>7</v>
      </c>
      <c r="EY782" s="27" t="s">
        <v>8</v>
      </c>
      <c r="EZ782" s="27" t="s">
        <v>7</v>
      </c>
      <c r="GI782" s="27" t="s">
        <v>8</v>
      </c>
      <c r="GJ782" s="27" t="s">
        <v>7</v>
      </c>
      <c r="GK782" s="27" t="s">
        <v>8</v>
      </c>
      <c r="GL782" s="27" t="s">
        <v>7</v>
      </c>
      <c r="GM782" s="27" t="s">
        <v>8</v>
      </c>
      <c r="GO782" s="27" t="s">
        <v>8</v>
      </c>
      <c r="GR782" s="27" t="s">
        <v>7</v>
      </c>
      <c r="GS782" s="27" t="s">
        <v>8</v>
      </c>
      <c r="GT782" s="27" t="s">
        <v>7</v>
      </c>
      <c r="GU782" s="27" t="s">
        <v>8</v>
      </c>
      <c r="GV782" s="27" t="s">
        <v>7</v>
      </c>
      <c r="GW782" s="27" t="s">
        <v>8</v>
      </c>
      <c r="GX782" s="27" t="s">
        <v>7</v>
      </c>
      <c r="GY782" s="27" t="s">
        <v>8</v>
      </c>
      <c r="HA782" s="27" t="s">
        <v>8</v>
      </c>
      <c r="HD782" s="27" t="s">
        <v>7</v>
      </c>
      <c r="HG782" s="27" t="s">
        <v>8</v>
      </c>
      <c r="HH782" s="27" t="s">
        <v>7</v>
      </c>
      <c r="HI782" s="27" t="s">
        <v>8</v>
      </c>
      <c r="HJ782" s="27" t="s">
        <v>7</v>
      </c>
      <c r="HL782" s="27" t="s">
        <v>7</v>
      </c>
      <c r="HM782" s="27" t="s">
        <v>8</v>
      </c>
      <c r="HN782" s="27" t="s">
        <v>7</v>
      </c>
      <c r="HO782" s="27" t="s">
        <v>8</v>
      </c>
      <c r="HQ782" s="27" t="s">
        <v>8</v>
      </c>
      <c r="HS782" s="27" t="s">
        <v>8</v>
      </c>
      <c r="IF782" s="27" t="s">
        <v>7</v>
      </c>
      <c r="II782" s="27" t="s">
        <v>8</v>
      </c>
      <c r="IJ782" s="27" t="s">
        <v>7</v>
      </c>
      <c r="IK782" s="27" t="s">
        <v>8</v>
      </c>
      <c r="IM782" s="27" t="s">
        <v>8</v>
      </c>
      <c r="IN782" s="27" t="s">
        <v>7</v>
      </c>
      <c r="IO782" s="27" t="s">
        <v>8</v>
      </c>
      <c r="IP782" s="27" t="s">
        <v>7</v>
      </c>
      <c r="JQ782" s="27" t="s">
        <v>8</v>
      </c>
      <c r="JR782" s="27" t="s">
        <v>7</v>
      </c>
      <c r="JU782" s="27" t="s">
        <v>8</v>
      </c>
      <c r="JV782" s="27" t="s">
        <v>7</v>
      </c>
      <c r="KG782" s="27" t="s">
        <v>8</v>
      </c>
    </row>
    <row r="783" spans="1:301" x14ac:dyDescent="0.25">
      <c r="A783" s="7">
        <v>2.0623688223864345E-2</v>
      </c>
      <c r="B783"/>
      <c r="C783"/>
      <c r="D783"/>
      <c r="E783"/>
      <c r="F783" s="27" t="s">
        <v>7</v>
      </c>
      <c r="O783" s="27" t="s">
        <v>8</v>
      </c>
      <c r="P783" s="27" t="s">
        <v>7</v>
      </c>
      <c r="V783" s="27" t="s">
        <v>7</v>
      </c>
      <c r="W783" s="27" t="s">
        <v>8</v>
      </c>
      <c r="X783" s="27" t="s">
        <v>7</v>
      </c>
      <c r="Y783" s="27" t="s">
        <v>8</v>
      </c>
      <c r="AB783" s="27" t="s">
        <v>7</v>
      </c>
      <c r="AC783" s="27" t="s">
        <v>8</v>
      </c>
      <c r="AH783" s="27" t="s">
        <v>7</v>
      </c>
      <c r="AJ783" s="27" t="s">
        <v>7</v>
      </c>
      <c r="AK783" s="27" t="s">
        <v>8</v>
      </c>
      <c r="AL783" s="27" t="s">
        <v>7</v>
      </c>
      <c r="AM783" s="27" t="s">
        <v>8</v>
      </c>
      <c r="AN783" s="27" t="s">
        <v>7</v>
      </c>
      <c r="BA783" s="27" t="s">
        <v>8</v>
      </c>
      <c r="DA783" s="27" t="s">
        <v>8</v>
      </c>
      <c r="DH783" s="27" t="s">
        <v>7</v>
      </c>
      <c r="EC783" s="27" t="s">
        <v>8</v>
      </c>
      <c r="ED783" s="27" t="s">
        <v>7</v>
      </c>
      <c r="EE783" s="27" t="s">
        <v>8</v>
      </c>
      <c r="EF783" s="27" t="s">
        <v>7</v>
      </c>
      <c r="EG783" s="27" t="s">
        <v>8</v>
      </c>
      <c r="EH783" s="27" t="s">
        <v>7</v>
      </c>
      <c r="EL783" s="27" t="s">
        <v>7</v>
      </c>
      <c r="EM783" s="27" t="s">
        <v>8</v>
      </c>
      <c r="EN783" s="27" t="s">
        <v>7</v>
      </c>
      <c r="EO783" s="27" t="s">
        <v>8</v>
      </c>
      <c r="EP783" s="27" t="s">
        <v>7</v>
      </c>
      <c r="ER783" s="27" t="s">
        <v>7</v>
      </c>
      <c r="ES783" s="27" t="s">
        <v>8</v>
      </c>
      <c r="ET783" s="27" t="s">
        <v>7</v>
      </c>
      <c r="EU783" s="27" t="s">
        <v>8</v>
      </c>
      <c r="EX783" s="27" t="s">
        <v>7</v>
      </c>
      <c r="EY783" s="27" t="s">
        <v>8</v>
      </c>
      <c r="EZ783" s="27" t="s">
        <v>7</v>
      </c>
      <c r="GI783" s="27" t="s">
        <v>8</v>
      </c>
      <c r="GJ783" s="27" t="s">
        <v>7</v>
      </c>
      <c r="GK783" s="27" t="s">
        <v>8</v>
      </c>
      <c r="GL783" s="27" t="s">
        <v>7</v>
      </c>
      <c r="GM783" s="27" t="s">
        <v>8</v>
      </c>
      <c r="GN783" s="27" t="s">
        <v>7</v>
      </c>
      <c r="GO783" s="27" t="s">
        <v>8</v>
      </c>
      <c r="GR783" s="27" t="s">
        <v>7</v>
      </c>
      <c r="GS783" s="27" t="s">
        <v>8</v>
      </c>
      <c r="GT783" s="27" t="s">
        <v>7</v>
      </c>
      <c r="GU783" s="27" t="s">
        <v>8</v>
      </c>
      <c r="GV783" s="27" t="s">
        <v>7</v>
      </c>
      <c r="GW783" s="27" t="s">
        <v>8</v>
      </c>
      <c r="GX783" s="27" t="s">
        <v>7</v>
      </c>
      <c r="GY783" s="27" t="s">
        <v>8</v>
      </c>
      <c r="GZ783" s="27" t="s">
        <v>7</v>
      </c>
      <c r="HA783" s="27" t="s">
        <v>8</v>
      </c>
      <c r="HD783" s="27" t="s">
        <v>7</v>
      </c>
      <c r="HG783" s="27" t="s">
        <v>8</v>
      </c>
      <c r="HH783" s="27" t="s">
        <v>7</v>
      </c>
      <c r="HI783" s="27" t="s">
        <v>8</v>
      </c>
      <c r="HL783" s="27" t="s">
        <v>7</v>
      </c>
      <c r="HM783" s="27" t="s">
        <v>8</v>
      </c>
      <c r="HN783" s="27" t="s">
        <v>7</v>
      </c>
      <c r="HO783" s="27" t="s">
        <v>8</v>
      </c>
      <c r="HP783" s="27" t="s">
        <v>7</v>
      </c>
      <c r="HQ783" s="27" t="s">
        <v>8</v>
      </c>
      <c r="HR783" s="27" t="s">
        <v>7</v>
      </c>
      <c r="HS783" s="27" t="s">
        <v>8</v>
      </c>
      <c r="IF783" s="27" t="s">
        <v>7</v>
      </c>
      <c r="II783" s="27" t="s">
        <v>8</v>
      </c>
      <c r="IJ783" s="27" t="s">
        <v>7</v>
      </c>
      <c r="IK783" s="27" t="s">
        <v>8</v>
      </c>
      <c r="IL783" s="27" t="s">
        <v>7</v>
      </c>
      <c r="IM783" s="27" t="s">
        <v>8</v>
      </c>
      <c r="IN783" s="27" t="s">
        <v>7</v>
      </c>
      <c r="IO783" s="27" t="s">
        <v>8</v>
      </c>
      <c r="IP783" s="27" t="s">
        <v>7</v>
      </c>
      <c r="JQ783" s="27" t="s">
        <v>8</v>
      </c>
      <c r="JR783" s="27" t="s">
        <v>7</v>
      </c>
      <c r="JU783" s="27" t="s">
        <v>8</v>
      </c>
      <c r="JV783" s="27" t="s">
        <v>7</v>
      </c>
      <c r="KC783" s="27" t="s">
        <v>8</v>
      </c>
      <c r="KE783" s="27" t="s">
        <v>8</v>
      </c>
      <c r="KG783" s="27" t="s">
        <v>8</v>
      </c>
    </row>
    <row r="784" spans="1:301" x14ac:dyDescent="0.25">
      <c r="A784" s="7">
        <v>2.021930218025916E-2</v>
      </c>
      <c r="B784"/>
      <c r="C784"/>
      <c r="D784"/>
      <c r="E784"/>
      <c r="F784" s="27" t="s">
        <v>7</v>
      </c>
      <c r="O784" s="27" t="s">
        <v>8</v>
      </c>
      <c r="V784" s="27" t="s">
        <v>7</v>
      </c>
      <c r="W784" s="27" t="s">
        <v>8</v>
      </c>
      <c r="X784" s="27" t="s">
        <v>7</v>
      </c>
      <c r="Y784" s="27" t="s">
        <v>8</v>
      </c>
      <c r="AB784" s="27" t="s">
        <v>7</v>
      </c>
      <c r="AC784" s="27" t="s">
        <v>8</v>
      </c>
      <c r="AJ784" s="27" t="s">
        <v>7</v>
      </c>
      <c r="AK784" s="27" t="s">
        <v>8</v>
      </c>
      <c r="AL784" s="27" t="s">
        <v>7</v>
      </c>
      <c r="AM784" s="27" t="s">
        <v>8</v>
      </c>
      <c r="AN784" s="27" t="s">
        <v>7</v>
      </c>
      <c r="BA784" s="27" t="s">
        <v>8</v>
      </c>
      <c r="BB784" s="27" t="s">
        <v>7</v>
      </c>
      <c r="DA784" s="27" t="s">
        <v>8</v>
      </c>
      <c r="DH784" s="27" t="s">
        <v>7</v>
      </c>
      <c r="EC784" s="27" t="s">
        <v>8</v>
      </c>
      <c r="ED784" s="27" t="s">
        <v>7</v>
      </c>
      <c r="EF784" s="27" t="s">
        <v>7</v>
      </c>
      <c r="EG784" s="27" t="s">
        <v>8</v>
      </c>
      <c r="EL784" s="27" t="s">
        <v>7</v>
      </c>
      <c r="EM784" s="27" t="s">
        <v>8</v>
      </c>
      <c r="EN784" s="27" t="s">
        <v>7</v>
      </c>
      <c r="EO784" s="27" t="s">
        <v>8</v>
      </c>
      <c r="ER784" s="27" t="s">
        <v>7</v>
      </c>
      <c r="ES784" s="27" t="s">
        <v>8</v>
      </c>
      <c r="ET784" s="27" t="s">
        <v>7</v>
      </c>
      <c r="EU784" s="27" t="s">
        <v>8</v>
      </c>
      <c r="EX784" s="27" t="s">
        <v>7</v>
      </c>
      <c r="EY784" s="27" t="s">
        <v>8</v>
      </c>
      <c r="EZ784" s="27" t="s">
        <v>7</v>
      </c>
      <c r="GI784" s="27" t="s">
        <v>8</v>
      </c>
      <c r="GJ784" s="27" t="s">
        <v>7</v>
      </c>
      <c r="GK784" s="27" t="s">
        <v>8</v>
      </c>
      <c r="GL784" s="27" t="s">
        <v>7</v>
      </c>
      <c r="GM784" s="27" t="s">
        <v>8</v>
      </c>
      <c r="GN784" s="27" t="s">
        <v>7</v>
      </c>
      <c r="GO784" s="27" t="s">
        <v>8</v>
      </c>
      <c r="GR784" s="27" t="s">
        <v>7</v>
      </c>
      <c r="GS784" s="27" t="s">
        <v>8</v>
      </c>
      <c r="GT784" s="27" t="s">
        <v>7</v>
      </c>
      <c r="GU784" s="27" t="s">
        <v>8</v>
      </c>
      <c r="GV784" s="27" t="s">
        <v>7</v>
      </c>
      <c r="GW784" s="27" t="s">
        <v>8</v>
      </c>
      <c r="GX784" s="27" t="s">
        <v>7</v>
      </c>
      <c r="GY784" s="27" t="s">
        <v>8</v>
      </c>
      <c r="GZ784" s="27" t="s">
        <v>7</v>
      </c>
      <c r="HA784" s="27" t="s">
        <v>8</v>
      </c>
      <c r="HD784" s="27" t="s">
        <v>7</v>
      </c>
      <c r="HE784" s="27" t="s">
        <v>8</v>
      </c>
      <c r="HG784" s="27" t="s">
        <v>8</v>
      </c>
      <c r="HH784" s="27" t="s">
        <v>7</v>
      </c>
      <c r="HI784" s="27" t="s">
        <v>8</v>
      </c>
      <c r="HL784" s="27" t="s">
        <v>7</v>
      </c>
      <c r="HN784" s="27" t="s">
        <v>7</v>
      </c>
      <c r="HO784" s="27" t="s">
        <v>8</v>
      </c>
      <c r="HP784" s="27" t="s">
        <v>7</v>
      </c>
      <c r="HQ784" s="27" t="s">
        <v>8</v>
      </c>
      <c r="HR784" s="27" t="s">
        <v>7</v>
      </c>
      <c r="HS784" s="27" t="s">
        <v>8</v>
      </c>
      <c r="IF784" s="27" t="s">
        <v>7</v>
      </c>
      <c r="II784" s="27" t="s">
        <v>8</v>
      </c>
      <c r="IJ784" s="27" t="s">
        <v>7</v>
      </c>
      <c r="IK784" s="27" t="s">
        <v>8</v>
      </c>
      <c r="IL784" s="27" t="s">
        <v>7</v>
      </c>
      <c r="IM784" s="27" t="s">
        <v>8</v>
      </c>
      <c r="IN784" s="27" t="s">
        <v>7</v>
      </c>
      <c r="IO784" s="27" t="s">
        <v>8</v>
      </c>
      <c r="IP784" s="27" t="s">
        <v>7</v>
      </c>
      <c r="IS784" s="27" t="s">
        <v>8</v>
      </c>
      <c r="IU784" s="27" t="s">
        <v>8</v>
      </c>
      <c r="JQ784" s="27" t="s">
        <v>8</v>
      </c>
      <c r="JR784" s="27" t="s">
        <v>7</v>
      </c>
      <c r="JU784" s="27" t="s">
        <v>8</v>
      </c>
      <c r="JV784" s="27" t="s">
        <v>7</v>
      </c>
      <c r="KC784" s="27" t="s">
        <v>8</v>
      </c>
      <c r="KD784" s="27" t="s">
        <v>7</v>
      </c>
      <c r="KE784" s="27" t="s">
        <v>8</v>
      </c>
      <c r="KF784" s="27" t="s">
        <v>7</v>
      </c>
      <c r="KG784" s="27" t="s">
        <v>8</v>
      </c>
    </row>
    <row r="785" spans="1:293" x14ac:dyDescent="0.25">
      <c r="A785" s="7">
        <v>1.9822845274763884E-2</v>
      </c>
      <c r="B785"/>
      <c r="C785"/>
      <c r="D785"/>
      <c r="E785"/>
      <c r="F785" s="27" t="s">
        <v>7</v>
      </c>
      <c r="O785" s="27" t="s">
        <v>8</v>
      </c>
      <c r="V785" s="27" t="s">
        <v>7</v>
      </c>
      <c r="W785" s="27" t="s">
        <v>8</v>
      </c>
      <c r="X785" s="27" t="s">
        <v>7</v>
      </c>
      <c r="Y785" s="27" t="s">
        <v>8</v>
      </c>
      <c r="AB785" s="27" t="s">
        <v>7</v>
      </c>
      <c r="AC785" s="27" t="s">
        <v>8</v>
      </c>
      <c r="AJ785" s="27" t="s">
        <v>7</v>
      </c>
      <c r="AK785" s="27" t="s">
        <v>8</v>
      </c>
      <c r="AL785" s="27" t="s">
        <v>7</v>
      </c>
      <c r="AM785" s="27" t="s">
        <v>8</v>
      </c>
      <c r="AN785" s="27" t="s">
        <v>7</v>
      </c>
      <c r="BA785" s="27" t="s">
        <v>8</v>
      </c>
      <c r="BB785" s="27" t="s">
        <v>7</v>
      </c>
      <c r="DA785" s="27" t="s">
        <v>8</v>
      </c>
      <c r="DH785" s="27" t="s">
        <v>7</v>
      </c>
      <c r="DO785" s="27" t="s">
        <v>8</v>
      </c>
      <c r="EC785" s="27" t="s">
        <v>8</v>
      </c>
      <c r="EF785" s="27" t="s">
        <v>7</v>
      </c>
      <c r="EL785" s="27" t="s">
        <v>7</v>
      </c>
      <c r="EM785" s="27" t="s">
        <v>8</v>
      </c>
      <c r="EN785" s="27" t="s">
        <v>7</v>
      </c>
      <c r="EO785" s="27" t="s">
        <v>8</v>
      </c>
      <c r="ER785" s="27" t="s">
        <v>7</v>
      </c>
      <c r="ES785" s="27" t="s">
        <v>8</v>
      </c>
      <c r="ET785" s="27" t="s">
        <v>7</v>
      </c>
      <c r="EU785" s="27" t="s">
        <v>8</v>
      </c>
      <c r="EX785" s="27" t="s">
        <v>7</v>
      </c>
      <c r="EY785" s="27" t="s">
        <v>8</v>
      </c>
      <c r="EZ785" s="27" t="s">
        <v>7</v>
      </c>
      <c r="GI785" s="27" t="s">
        <v>8</v>
      </c>
      <c r="GJ785" s="27" t="s">
        <v>7</v>
      </c>
      <c r="GK785" s="27" t="s">
        <v>8</v>
      </c>
      <c r="GL785" s="27" t="s">
        <v>7</v>
      </c>
      <c r="GM785" s="27" t="s">
        <v>8</v>
      </c>
      <c r="GN785" s="27" t="s">
        <v>7</v>
      </c>
      <c r="GO785" s="27" t="s">
        <v>8</v>
      </c>
      <c r="GR785" s="27" t="s">
        <v>7</v>
      </c>
      <c r="GT785" s="27" t="s">
        <v>7</v>
      </c>
      <c r="GV785" s="27" t="s">
        <v>7</v>
      </c>
      <c r="GX785" s="27" t="s">
        <v>7</v>
      </c>
      <c r="GY785" s="27" t="s">
        <v>8</v>
      </c>
      <c r="GZ785" s="27" t="s">
        <v>7</v>
      </c>
      <c r="HA785" s="27" t="s">
        <v>8</v>
      </c>
      <c r="HD785" s="27" t="s">
        <v>7</v>
      </c>
      <c r="HE785" s="27" t="s">
        <v>8</v>
      </c>
      <c r="HF785" s="27" t="s">
        <v>7</v>
      </c>
      <c r="HG785" s="27" t="s">
        <v>8</v>
      </c>
      <c r="HH785" s="27" t="s">
        <v>7</v>
      </c>
      <c r="HN785" s="27" t="s">
        <v>7</v>
      </c>
      <c r="HP785" s="27" t="s">
        <v>7</v>
      </c>
      <c r="HQ785" s="27" t="s">
        <v>8</v>
      </c>
      <c r="HR785" s="27" t="s">
        <v>7</v>
      </c>
      <c r="IF785" s="27" t="s">
        <v>7</v>
      </c>
      <c r="II785" s="27" t="s">
        <v>8</v>
      </c>
      <c r="IJ785" s="27" t="s">
        <v>7</v>
      </c>
      <c r="IL785" s="27" t="s">
        <v>7</v>
      </c>
      <c r="IM785" s="27" t="s">
        <v>8</v>
      </c>
      <c r="IN785" s="27" t="s">
        <v>7</v>
      </c>
      <c r="IO785" s="27" t="s">
        <v>8</v>
      </c>
      <c r="IP785" s="27" t="s">
        <v>7</v>
      </c>
      <c r="IS785" s="27" t="s">
        <v>8</v>
      </c>
      <c r="IT785" s="27" t="s">
        <v>7</v>
      </c>
      <c r="IU785" s="27" t="s">
        <v>8</v>
      </c>
      <c r="IV785" s="27" t="s">
        <v>7</v>
      </c>
      <c r="JO785" s="27" t="s">
        <v>8</v>
      </c>
      <c r="JQ785" s="27" t="s">
        <v>8</v>
      </c>
      <c r="JR785" s="27" t="s">
        <v>7</v>
      </c>
      <c r="JS785" s="27" t="s">
        <v>8</v>
      </c>
      <c r="JU785" s="27" t="s">
        <v>8</v>
      </c>
      <c r="JV785" s="27" t="s">
        <v>7</v>
      </c>
      <c r="JW785" s="27" t="s">
        <v>8</v>
      </c>
      <c r="KA785" s="27" t="s">
        <v>8</v>
      </c>
      <c r="KC785" s="27" t="s">
        <v>8</v>
      </c>
      <c r="KD785" s="27" t="s">
        <v>7</v>
      </c>
      <c r="KE785" s="27" t="s">
        <v>8</v>
      </c>
      <c r="KF785" s="27" t="s">
        <v>7</v>
      </c>
      <c r="KG785" s="27" t="s">
        <v>8</v>
      </c>
    </row>
    <row r="786" spans="1:293" x14ac:dyDescent="0.25">
      <c r="A786" s="7">
        <v>1.9434162034082238E-2</v>
      </c>
      <c r="B786"/>
      <c r="C786"/>
      <c r="D786"/>
      <c r="E786"/>
      <c r="F786" s="27" t="s">
        <v>7</v>
      </c>
      <c r="O786" s="27" t="s">
        <v>8</v>
      </c>
      <c r="V786" s="27" t="s">
        <v>7</v>
      </c>
      <c r="W786" s="27" t="s">
        <v>8</v>
      </c>
      <c r="X786" s="27" t="s">
        <v>7</v>
      </c>
      <c r="Y786" s="27" t="s">
        <v>8</v>
      </c>
      <c r="AB786" s="27" t="s">
        <v>7</v>
      </c>
      <c r="AC786" s="27" t="s">
        <v>8</v>
      </c>
      <c r="AJ786" s="27" t="s">
        <v>7</v>
      </c>
      <c r="AK786" s="27" t="s">
        <v>8</v>
      </c>
      <c r="AL786" s="27" t="s">
        <v>7</v>
      </c>
      <c r="AM786" s="27" t="s">
        <v>8</v>
      </c>
      <c r="AN786" s="27" t="s">
        <v>7</v>
      </c>
      <c r="AO786" s="27" t="s">
        <v>8</v>
      </c>
      <c r="BA786" s="27" t="s">
        <v>8</v>
      </c>
      <c r="BB786" s="27" t="s">
        <v>7</v>
      </c>
      <c r="DA786" s="27" t="s">
        <v>8</v>
      </c>
      <c r="DH786" s="27" t="s">
        <v>7</v>
      </c>
      <c r="DI786" s="27" t="s">
        <v>8</v>
      </c>
      <c r="DO786" s="27" t="s">
        <v>8</v>
      </c>
      <c r="DP786" s="27" t="s">
        <v>7</v>
      </c>
      <c r="EC786" s="27" t="s">
        <v>8</v>
      </c>
      <c r="EL786" s="27" t="s">
        <v>7</v>
      </c>
      <c r="EM786" s="27" t="s">
        <v>8</v>
      </c>
      <c r="EN786" s="27" t="s">
        <v>7</v>
      </c>
      <c r="EO786" s="27" t="s">
        <v>8</v>
      </c>
      <c r="ER786" s="27" t="s">
        <v>7</v>
      </c>
      <c r="ES786" s="27" t="s">
        <v>8</v>
      </c>
      <c r="ET786" s="27" t="s">
        <v>7</v>
      </c>
      <c r="EU786" s="27" t="s">
        <v>8</v>
      </c>
      <c r="EX786" s="27" t="s">
        <v>7</v>
      </c>
      <c r="EY786" s="27" t="s">
        <v>8</v>
      </c>
      <c r="EZ786" s="27" t="s">
        <v>7</v>
      </c>
      <c r="GI786" s="27" t="s">
        <v>8</v>
      </c>
      <c r="GJ786" s="27" t="s">
        <v>7</v>
      </c>
      <c r="GK786" s="27" t="s">
        <v>8</v>
      </c>
      <c r="GL786" s="27" t="s">
        <v>7</v>
      </c>
      <c r="GM786" s="27" t="s">
        <v>8</v>
      </c>
      <c r="GN786" s="27" t="s">
        <v>7</v>
      </c>
      <c r="GO786" s="27" t="s">
        <v>8</v>
      </c>
      <c r="GX786" s="27" t="s">
        <v>7</v>
      </c>
      <c r="GZ786" s="27" t="s">
        <v>7</v>
      </c>
      <c r="HA786" s="27" t="s">
        <v>8</v>
      </c>
      <c r="HD786" s="27" t="s">
        <v>7</v>
      </c>
      <c r="HE786" s="27" t="s">
        <v>8</v>
      </c>
      <c r="HF786" s="27" t="s">
        <v>7</v>
      </c>
      <c r="HG786" s="27" t="s">
        <v>8</v>
      </c>
      <c r="HP786" s="27" t="s">
        <v>7</v>
      </c>
      <c r="HQ786" s="27" t="s">
        <v>8</v>
      </c>
      <c r="IF786" s="27" t="s">
        <v>7</v>
      </c>
      <c r="II786" s="27" t="s">
        <v>8</v>
      </c>
      <c r="IL786" s="27" t="s">
        <v>7</v>
      </c>
      <c r="IM786" s="27" t="s">
        <v>8</v>
      </c>
      <c r="IN786" s="27" t="s">
        <v>7</v>
      </c>
      <c r="IO786" s="27" t="s">
        <v>8</v>
      </c>
      <c r="IP786" s="27" t="s">
        <v>7</v>
      </c>
      <c r="IQ786" s="27" t="s">
        <v>8</v>
      </c>
      <c r="IS786" s="27" t="s">
        <v>8</v>
      </c>
      <c r="IT786" s="27" t="s">
        <v>7</v>
      </c>
      <c r="IU786" s="27" t="s">
        <v>8</v>
      </c>
      <c r="IV786" s="27" t="s">
        <v>7</v>
      </c>
      <c r="JO786" s="27" t="s">
        <v>8</v>
      </c>
      <c r="JP786" s="27" t="s">
        <v>7</v>
      </c>
      <c r="JQ786" s="27" t="s">
        <v>8</v>
      </c>
      <c r="JR786" s="27" t="s">
        <v>7</v>
      </c>
      <c r="JS786" s="27" t="s">
        <v>8</v>
      </c>
      <c r="JT786" s="27" t="s">
        <v>7</v>
      </c>
      <c r="JU786" s="27" t="s">
        <v>8</v>
      </c>
      <c r="JV786" s="27" t="s">
        <v>7</v>
      </c>
      <c r="JW786" s="27" t="s">
        <v>8</v>
      </c>
      <c r="JX786" s="27" t="s">
        <v>7</v>
      </c>
      <c r="KA786" s="27" t="s">
        <v>8</v>
      </c>
      <c r="KB786" s="27" t="s">
        <v>7</v>
      </c>
      <c r="KC786" s="27" t="s">
        <v>8</v>
      </c>
      <c r="KD786" s="27" t="s">
        <v>7</v>
      </c>
      <c r="KE786" s="27" t="s">
        <v>8</v>
      </c>
      <c r="KF786" s="27" t="s">
        <v>7</v>
      </c>
      <c r="KG786" s="27" t="s">
        <v>8</v>
      </c>
    </row>
    <row r="787" spans="1:293" x14ac:dyDescent="0.25">
      <c r="A787" s="7">
        <v>1.9053100033413959E-2</v>
      </c>
      <c r="B787"/>
      <c r="C787"/>
      <c r="D787"/>
      <c r="E787"/>
      <c r="F787" s="27" t="s">
        <v>7</v>
      </c>
      <c r="O787" s="27" t="s">
        <v>8</v>
      </c>
      <c r="V787" s="27" t="s">
        <v>7</v>
      </c>
      <c r="W787" s="27" t="s">
        <v>8</v>
      </c>
      <c r="X787" s="27" t="s">
        <v>7</v>
      </c>
      <c r="Y787" s="27" t="s">
        <v>8</v>
      </c>
      <c r="AB787" s="27" t="s">
        <v>7</v>
      </c>
      <c r="AJ787" s="27" t="s">
        <v>7</v>
      </c>
      <c r="AK787" s="27" t="s">
        <v>8</v>
      </c>
      <c r="AL787" s="27" t="s">
        <v>7</v>
      </c>
      <c r="AN787" s="27" t="s">
        <v>7</v>
      </c>
      <c r="AO787" s="27" t="s">
        <v>8</v>
      </c>
      <c r="AP787" s="27" t="s">
        <v>7</v>
      </c>
      <c r="BA787" s="27" t="s">
        <v>8</v>
      </c>
      <c r="BB787" s="27" t="s">
        <v>7</v>
      </c>
      <c r="DA787" s="27" t="s">
        <v>8</v>
      </c>
      <c r="DH787" s="27" t="s">
        <v>7</v>
      </c>
      <c r="DI787" s="27" t="s">
        <v>8</v>
      </c>
      <c r="DJ787" s="27" t="s">
        <v>7</v>
      </c>
      <c r="DO787" s="27" t="s">
        <v>8</v>
      </c>
      <c r="DP787" s="27" t="s">
        <v>7</v>
      </c>
      <c r="DY787" s="27" t="s">
        <v>8</v>
      </c>
      <c r="EC787" s="27" t="s">
        <v>8</v>
      </c>
      <c r="EL787" s="27" t="s">
        <v>7</v>
      </c>
      <c r="EM787" s="27" t="s">
        <v>8</v>
      </c>
      <c r="EN787" s="27" t="s">
        <v>7</v>
      </c>
      <c r="ER787" s="27" t="s">
        <v>7</v>
      </c>
      <c r="ES787" s="27" t="s">
        <v>8</v>
      </c>
      <c r="ET787" s="27" t="s">
        <v>7</v>
      </c>
      <c r="EX787" s="27" t="s">
        <v>7</v>
      </c>
      <c r="EY787" s="27" t="s">
        <v>8</v>
      </c>
      <c r="EZ787" s="27" t="s">
        <v>7</v>
      </c>
      <c r="GI787" s="27" t="s">
        <v>8</v>
      </c>
      <c r="GJ787" s="27" t="s">
        <v>7</v>
      </c>
      <c r="GK787" s="27" t="s">
        <v>8</v>
      </c>
      <c r="GL787" s="27" t="s">
        <v>7</v>
      </c>
      <c r="GM787" s="27" t="s">
        <v>8</v>
      </c>
      <c r="GN787" s="27" t="s">
        <v>7</v>
      </c>
      <c r="GZ787" s="27" t="s">
        <v>7</v>
      </c>
      <c r="HD787" s="27" t="s">
        <v>7</v>
      </c>
      <c r="HE787" s="27" t="s">
        <v>8</v>
      </c>
      <c r="HF787" s="27" t="s">
        <v>7</v>
      </c>
      <c r="HG787" s="27" t="s">
        <v>8</v>
      </c>
      <c r="HP787" s="27" t="s">
        <v>7</v>
      </c>
      <c r="HQ787" s="27" t="s">
        <v>8</v>
      </c>
      <c r="IF787" s="27" t="s">
        <v>7</v>
      </c>
      <c r="IG787" s="27" t="s">
        <v>8</v>
      </c>
      <c r="II787" s="27" t="s">
        <v>8</v>
      </c>
      <c r="IL787" s="27" t="s">
        <v>7</v>
      </c>
      <c r="IN787" s="27" t="s">
        <v>7</v>
      </c>
      <c r="IP787" s="27" t="s">
        <v>7</v>
      </c>
      <c r="IQ787" s="27" t="s">
        <v>8</v>
      </c>
      <c r="IR787" s="27" t="s">
        <v>7</v>
      </c>
      <c r="IS787" s="27" t="s">
        <v>8</v>
      </c>
      <c r="IT787" s="27" t="s">
        <v>7</v>
      </c>
      <c r="IU787" s="27" t="s">
        <v>8</v>
      </c>
      <c r="IV787" s="27" t="s">
        <v>7</v>
      </c>
      <c r="JO787" s="27" t="s">
        <v>8</v>
      </c>
      <c r="JP787" s="27" t="s">
        <v>7</v>
      </c>
      <c r="JQ787" s="27" t="s">
        <v>8</v>
      </c>
      <c r="JR787" s="27" t="s">
        <v>7</v>
      </c>
      <c r="JS787" s="27" t="s">
        <v>8</v>
      </c>
      <c r="JT787" s="27" t="s">
        <v>7</v>
      </c>
      <c r="JU787" s="27" t="s">
        <v>8</v>
      </c>
      <c r="JV787" s="27" t="s">
        <v>7</v>
      </c>
      <c r="JW787" s="27" t="s">
        <v>8</v>
      </c>
      <c r="JX787" s="27" t="s">
        <v>7</v>
      </c>
      <c r="KA787" s="27" t="s">
        <v>8</v>
      </c>
      <c r="KB787" s="27" t="s">
        <v>7</v>
      </c>
      <c r="KC787" s="27" t="s">
        <v>8</v>
      </c>
      <c r="KD787" s="27" t="s">
        <v>7</v>
      </c>
      <c r="KE787" s="27" t="s">
        <v>8</v>
      </c>
      <c r="KF787" s="27" t="s">
        <v>7</v>
      </c>
      <c r="KG787" s="27" t="s">
        <v>8</v>
      </c>
    </row>
    <row r="788" spans="1:293" x14ac:dyDescent="0.25">
      <c r="A788" s="7">
        <v>1.867950983668035E-2</v>
      </c>
      <c r="B788"/>
      <c r="C788"/>
      <c r="D788"/>
      <c r="E788"/>
      <c r="F788" s="27" t="s">
        <v>7</v>
      </c>
      <c r="O788" s="27" t="s">
        <v>8</v>
      </c>
      <c r="V788" s="27" t="s">
        <v>7</v>
      </c>
      <c r="W788" s="27" t="s">
        <v>8</v>
      </c>
      <c r="X788" s="27" t="s">
        <v>7</v>
      </c>
      <c r="Y788" s="27" t="s">
        <v>8</v>
      </c>
      <c r="AJ788" s="27" t="s">
        <v>7</v>
      </c>
      <c r="AK788" s="27" t="s">
        <v>8</v>
      </c>
      <c r="AN788" s="27" t="s">
        <v>7</v>
      </c>
      <c r="AO788" s="27" t="s">
        <v>8</v>
      </c>
      <c r="AP788" s="27" t="s">
        <v>7</v>
      </c>
      <c r="BA788" s="27" t="s">
        <v>8</v>
      </c>
      <c r="BB788" s="27" t="s">
        <v>7</v>
      </c>
      <c r="BC788" s="27" t="s">
        <v>8</v>
      </c>
      <c r="DA788" s="27" t="s">
        <v>8</v>
      </c>
      <c r="DH788" s="27" t="s">
        <v>7</v>
      </c>
      <c r="DI788" s="27" t="s">
        <v>8</v>
      </c>
      <c r="DJ788" s="27" t="s">
        <v>7</v>
      </c>
      <c r="DO788" s="27" t="s">
        <v>8</v>
      </c>
      <c r="DP788" s="27" t="s">
        <v>7</v>
      </c>
      <c r="DY788" s="27" t="s">
        <v>8</v>
      </c>
      <c r="DZ788" s="27" t="s">
        <v>7</v>
      </c>
      <c r="EC788" s="27" t="s">
        <v>8</v>
      </c>
      <c r="EL788" s="27" t="s">
        <v>7</v>
      </c>
      <c r="ER788" s="27" t="s">
        <v>7</v>
      </c>
      <c r="ES788" s="27" t="s">
        <v>8</v>
      </c>
      <c r="EX788" s="27" t="s">
        <v>7</v>
      </c>
      <c r="EZ788" s="27" t="s">
        <v>7</v>
      </c>
      <c r="GI788" s="27" t="s">
        <v>8</v>
      </c>
      <c r="GJ788" s="27" t="s">
        <v>7</v>
      </c>
      <c r="GL788" s="27" t="s">
        <v>7</v>
      </c>
      <c r="GM788" s="27" t="s">
        <v>8</v>
      </c>
      <c r="HD788" s="27" t="s">
        <v>7</v>
      </c>
      <c r="HE788" s="27" t="s">
        <v>8</v>
      </c>
      <c r="HF788" s="27" t="s">
        <v>7</v>
      </c>
      <c r="HG788" s="27" t="s">
        <v>8</v>
      </c>
      <c r="HP788" s="27" t="s">
        <v>7</v>
      </c>
      <c r="HQ788" s="27" t="s">
        <v>8</v>
      </c>
      <c r="IF788" s="27" t="s">
        <v>7</v>
      </c>
      <c r="IG788" s="27" t="s">
        <v>8</v>
      </c>
      <c r="IH788" s="27" t="s">
        <v>7</v>
      </c>
      <c r="II788" s="27" t="s">
        <v>8</v>
      </c>
      <c r="IP788" s="27" t="s">
        <v>7</v>
      </c>
      <c r="IQ788" s="27" t="s">
        <v>8</v>
      </c>
      <c r="IR788" s="27" t="s">
        <v>7</v>
      </c>
      <c r="IS788" s="27" t="s">
        <v>8</v>
      </c>
      <c r="IT788" s="27" t="s">
        <v>7</v>
      </c>
      <c r="IV788" s="27" t="s">
        <v>7</v>
      </c>
      <c r="IW788" s="27" t="s">
        <v>8</v>
      </c>
      <c r="IY788" s="27" t="s">
        <v>8</v>
      </c>
      <c r="JM788" s="27" t="s">
        <v>8</v>
      </c>
      <c r="JO788" s="27" t="s">
        <v>8</v>
      </c>
      <c r="JP788" s="27" t="s">
        <v>7</v>
      </c>
      <c r="JQ788" s="27" t="s">
        <v>8</v>
      </c>
      <c r="JR788" s="27" t="s">
        <v>7</v>
      </c>
      <c r="JS788" s="27" t="s">
        <v>8</v>
      </c>
      <c r="JT788" s="27" t="s">
        <v>7</v>
      </c>
      <c r="JU788" s="27" t="s">
        <v>8</v>
      </c>
      <c r="JV788" s="27" t="s">
        <v>7</v>
      </c>
      <c r="JW788" s="27" t="s">
        <v>8</v>
      </c>
      <c r="JX788" s="27" t="s">
        <v>7</v>
      </c>
      <c r="KA788" s="27" t="s">
        <v>8</v>
      </c>
      <c r="KB788" s="27" t="s">
        <v>7</v>
      </c>
      <c r="KC788" s="27" t="s">
        <v>8</v>
      </c>
      <c r="KD788" s="27" t="s">
        <v>7</v>
      </c>
      <c r="KE788" s="27" t="s">
        <v>8</v>
      </c>
      <c r="KF788" s="27" t="s">
        <v>7</v>
      </c>
      <c r="KG788" s="27" t="s">
        <v>8</v>
      </c>
    </row>
    <row r="789" spans="1:293" x14ac:dyDescent="0.25">
      <c r="A789" s="7">
        <v>1.8313244937921913E-2</v>
      </c>
      <c r="B789"/>
      <c r="C789"/>
      <c r="D789"/>
      <c r="E789"/>
      <c r="F789" s="27" t="s">
        <v>7</v>
      </c>
      <c r="O789" s="27" t="s">
        <v>8</v>
      </c>
      <c r="V789" s="27" t="s">
        <v>7</v>
      </c>
      <c r="X789" s="27" t="s">
        <v>7</v>
      </c>
      <c r="Y789" s="27" t="s">
        <v>8</v>
      </c>
      <c r="AJ789" s="27" t="s">
        <v>7</v>
      </c>
      <c r="AK789" s="27" t="s">
        <v>8</v>
      </c>
      <c r="AN789" s="27" t="s">
        <v>7</v>
      </c>
      <c r="AO789" s="27" t="s">
        <v>8</v>
      </c>
      <c r="AP789" s="27" t="s">
        <v>7</v>
      </c>
      <c r="BA789" s="27" t="s">
        <v>8</v>
      </c>
      <c r="BB789" s="27" t="s">
        <v>7</v>
      </c>
      <c r="BC789" s="27" t="s">
        <v>8</v>
      </c>
      <c r="BD789" s="27" t="s">
        <v>7</v>
      </c>
      <c r="DA789" s="27" t="s">
        <v>8</v>
      </c>
      <c r="DH789" s="27" t="s">
        <v>7</v>
      </c>
      <c r="DI789" s="27" t="s">
        <v>8</v>
      </c>
      <c r="DJ789" s="27" t="s">
        <v>7</v>
      </c>
      <c r="DO789" s="27" t="s">
        <v>8</v>
      </c>
      <c r="DP789" s="27" t="s">
        <v>7</v>
      </c>
      <c r="DY789" s="27" t="s">
        <v>8</v>
      </c>
      <c r="DZ789" s="27" t="s">
        <v>7</v>
      </c>
      <c r="EC789" s="27" t="s">
        <v>8</v>
      </c>
      <c r="ER789" s="27" t="s">
        <v>7</v>
      </c>
      <c r="ES789" s="27" t="s">
        <v>8</v>
      </c>
      <c r="EZ789" s="27" t="s">
        <v>7</v>
      </c>
      <c r="GG789" s="27" t="s">
        <v>8</v>
      </c>
      <c r="GI789" s="27" t="s">
        <v>8</v>
      </c>
      <c r="GL789" s="27" t="s">
        <v>7</v>
      </c>
      <c r="HD789" s="27" t="s">
        <v>7</v>
      </c>
      <c r="HE789" s="27" t="s">
        <v>8</v>
      </c>
      <c r="HF789" s="27" t="s">
        <v>7</v>
      </c>
      <c r="HP789" s="27" t="s">
        <v>7</v>
      </c>
      <c r="HQ789" s="27" t="s">
        <v>8</v>
      </c>
      <c r="IF789" s="27" t="s">
        <v>7</v>
      </c>
      <c r="IG789" s="27" t="s">
        <v>8</v>
      </c>
      <c r="IH789" s="27" t="s">
        <v>7</v>
      </c>
      <c r="II789" s="27" t="s">
        <v>8</v>
      </c>
      <c r="IP789" s="27" t="s">
        <v>7</v>
      </c>
      <c r="IQ789" s="27" t="s">
        <v>8</v>
      </c>
      <c r="IR789" s="27" t="s">
        <v>7</v>
      </c>
      <c r="IV789" s="27" t="s">
        <v>7</v>
      </c>
      <c r="IW789" s="27" t="s">
        <v>8</v>
      </c>
      <c r="IX789" s="27" t="s">
        <v>7</v>
      </c>
      <c r="IY789" s="27" t="s">
        <v>8</v>
      </c>
      <c r="IZ789" s="27" t="s">
        <v>7</v>
      </c>
      <c r="JM789" s="27" t="s">
        <v>8</v>
      </c>
      <c r="JN789" s="27" t="s">
        <v>7</v>
      </c>
      <c r="JO789" s="27" t="s">
        <v>8</v>
      </c>
      <c r="JP789" s="27" t="s">
        <v>7</v>
      </c>
      <c r="JQ789" s="27" t="s">
        <v>8</v>
      </c>
      <c r="JR789" s="27" t="s">
        <v>7</v>
      </c>
      <c r="JS789" s="27" t="s">
        <v>8</v>
      </c>
      <c r="JT789" s="27" t="s">
        <v>7</v>
      </c>
      <c r="JV789" s="27" t="s">
        <v>7</v>
      </c>
      <c r="JX789" s="27" t="s">
        <v>7</v>
      </c>
      <c r="JY789" s="27" t="s">
        <v>8</v>
      </c>
      <c r="KA789" s="27" t="s">
        <v>8</v>
      </c>
      <c r="KB789" s="27" t="s">
        <v>7</v>
      </c>
      <c r="KD789" s="27" t="s">
        <v>7</v>
      </c>
      <c r="KE789" s="27" t="s">
        <v>8</v>
      </c>
      <c r="KF789" s="27" t="s">
        <v>7</v>
      </c>
      <c r="KG789" s="27" t="s">
        <v>8</v>
      </c>
    </row>
    <row r="790" spans="1:293" x14ac:dyDescent="0.25">
      <c r="A790" s="7">
        <v>1.7954161703845013E-2</v>
      </c>
      <c r="B790"/>
      <c r="C790"/>
      <c r="D790"/>
      <c r="E790"/>
      <c r="F790" s="27" t="s">
        <v>7</v>
      </c>
      <c r="O790" s="27" t="s">
        <v>8</v>
      </c>
      <c r="X790" s="27" t="s">
        <v>7</v>
      </c>
      <c r="AJ790" s="27" t="s">
        <v>7</v>
      </c>
      <c r="AK790" s="27" t="s">
        <v>8</v>
      </c>
      <c r="AN790" s="27" t="s">
        <v>7</v>
      </c>
      <c r="AO790" s="27" t="s">
        <v>8</v>
      </c>
      <c r="AP790" s="27" t="s">
        <v>7</v>
      </c>
      <c r="BA790" s="27" t="s">
        <v>8</v>
      </c>
      <c r="BB790" s="27" t="s">
        <v>7</v>
      </c>
      <c r="BC790" s="27" t="s">
        <v>8</v>
      </c>
      <c r="BD790" s="27" t="s">
        <v>7</v>
      </c>
      <c r="DA790" s="27" t="s">
        <v>8</v>
      </c>
      <c r="DH790" s="27" t="s">
        <v>7</v>
      </c>
      <c r="DI790" s="27" t="s">
        <v>8</v>
      </c>
      <c r="DJ790" s="27" t="s">
        <v>7</v>
      </c>
      <c r="DO790" s="27" t="s">
        <v>8</v>
      </c>
      <c r="DP790" s="27" t="s">
        <v>7</v>
      </c>
      <c r="DY790" s="27" t="s">
        <v>8</v>
      </c>
      <c r="DZ790" s="27" t="s">
        <v>7</v>
      </c>
      <c r="EC790" s="27" t="s">
        <v>8</v>
      </c>
      <c r="ER790" s="27" t="s">
        <v>7</v>
      </c>
      <c r="ES790" s="27" t="s">
        <v>8</v>
      </c>
      <c r="EZ790" s="27" t="s">
        <v>7</v>
      </c>
      <c r="GC790" s="27" t="s">
        <v>8</v>
      </c>
      <c r="GE790" s="27" t="s">
        <v>8</v>
      </c>
      <c r="GG790" s="27" t="s">
        <v>8</v>
      </c>
      <c r="GH790" s="27" t="s">
        <v>7</v>
      </c>
      <c r="GI790" s="27" t="s">
        <v>8</v>
      </c>
      <c r="HD790" s="27" t="s">
        <v>7</v>
      </c>
      <c r="HP790" s="27" t="s">
        <v>7</v>
      </c>
      <c r="IF790" s="27" t="s">
        <v>7</v>
      </c>
      <c r="IG790" s="27" t="s">
        <v>8</v>
      </c>
      <c r="IH790" s="27" t="s">
        <v>7</v>
      </c>
      <c r="II790" s="27" t="s">
        <v>8</v>
      </c>
      <c r="IP790" s="27" t="s">
        <v>7</v>
      </c>
      <c r="IQ790" s="27" t="s">
        <v>8</v>
      </c>
      <c r="IV790" s="27" t="s">
        <v>7</v>
      </c>
      <c r="IW790" s="27" t="s">
        <v>8</v>
      </c>
      <c r="IX790" s="27" t="s">
        <v>7</v>
      </c>
      <c r="IY790" s="27" t="s">
        <v>8</v>
      </c>
      <c r="IZ790" s="27" t="s">
        <v>7</v>
      </c>
      <c r="JM790" s="27" t="s">
        <v>8</v>
      </c>
      <c r="JN790" s="27" t="s">
        <v>7</v>
      </c>
      <c r="JO790" s="27" t="s">
        <v>8</v>
      </c>
      <c r="JP790" s="27" t="s">
        <v>7</v>
      </c>
      <c r="JR790" s="27" t="s">
        <v>7</v>
      </c>
      <c r="JS790" s="27" t="s">
        <v>8</v>
      </c>
      <c r="JX790" s="27" t="s">
        <v>7</v>
      </c>
      <c r="JY790" s="27" t="s">
        <v>8</v>
      </c>
      <c r="JZ790" s="27" t="s">
        <v>7</v>
      </c>
      <c r="KA790" s="27" t="s">
        <v>8</v>
      </c>
      <c r="KD790" s="27" t="s">
        <v>7</v>
      </c>
      <c r="KE790" s="27" t="s">
        <v>8</v>
      </c>
      <c r="KF790" s="27" t="s">
        <v>7</v>
      </c>
      <c r="KG790" s="27" t="s">
        <v>8</v>
      </c>
    </row>
    <row r="791" spans="1:293" x14ac:dyDescent="0.25">
      <c r="A791" s="7">
        <v>1.7602119317495109E-2</v>
      </c>
      <c r="B791"/>
      <c r="C791"/>
      <c r="D791"/>
      <c r="E791"/>
      <c r="F791" s="27" t="s">
        <v>7</v>
      </c>
      <c r="O791" s="27" t="s">
        <v>8</v>
      </c>
      <c r="AJ791" s="27" t="s">
        <v>7</v>
      </c>
      <c r="AK791" s="27" t="s">
        <v>8</v>
      </c>
      <c r="AN791" s="27" t="s">
        <v>7</v>
      </c>
      <c r="AO791" s="27" t="s">
        <v>8</v>
      </c>
      <c r="AP791" s="27" t="s">
        <v>7</v>
      </c>
      <c r="AQ791" s="27" t="s">
        <v>8</v>
      </c>
      <c r="BA791" s="27" t="s">
        <v>8</v>
      </c>
      <c r="BB791" s="27" t="s">
        <v>7</v>
      </c>
      <c r="BC791" s="27" t="s">
        <v>8</v>
      </c>
      <c r="BD791" s="27" t="s">
        <v>7</v>
      </c>
      <c r="CG791" s="27" t="s">
        <v>8</v>
      </c>
      <c r="DA791" s="27" t="s">
        <v>8</v>
      </c>
      <c r="DH791" s="27" t="s">
        <v>7</v>
      </c>
      <c r="DI791" s="27" t="s">
        <v>8</v>
      </c>
      <c r="DJ791" s="27" t="s">
        <v>7</v>
      </c>
      <c r="DO791" s="27" t="s">
        <v>8</v>
      </c>
      <c r="DP791" s="27" t="s">
        <v>7</v>
      </c>
      <c r="DY791" s="27" t="s">
        <v>8</v>
      </c>
      <c r="DZ791" s="27" t="s">
        <v>7</v>
      </c>
      <c r="EC791" s="27" t="s">
        <v>8</v>
      </c>
      <c r="ER791" s="27" t="s">
        <v>7</v>
      </c>
      <c r="ES791" s="27" t="s">
        <v>8</v>
      </c>
      <c r="EZ791" s="27" t="s">
        <v>7</v>
      </c>
      <c r="GC791" s="27" t="s">
        <v>8</v>
      </c>
      <c r="GD791" s="27" t="s">
        <v>7</v>
      </c>
      <c r="GE791" s="27" t="s">
        <v>8</v>
      </c>
      <c r="GF791" s="27" t="s">
        <v>7</v>
      </c>
      <c r="GG791" s="27" t="s">
        <v>8</v>
      </c>
      <c r="GH791" s="27" t="s">
        <v>7</v>
      </c>
      <c r="GI791" s="27" t="s">
        <v>8</v>
      </c>
      <c r="IF791" s="27" t="s">
        <v>7</v>
      </c>
      <c r="IG791" s="27" t="s">
        <v>8</v>
      </c>
      <c r="IH791" s="27" t="s">
        <v>7</v>
      </c>
      <c r="II791" s="27" t="s">
        <v>8</v>
      </c>
      <c r="IP791" s="27" t="s">
        <v>7</v>
      </c>
      <c r="IQ791" s="27" t="s">
        <v>8</v>
      </c>
      <c r="IV791" s="27" t="s">
        <v>7</v>
      </c>
      <c r="IX791" s="27" t="s">
        <v>7</v>
      </c>
      <c r="IY791" s="27" t="s">
        <v>8</v>
      </c>
      <c r="IZ791" s="27" t="s">
        <v>7</v>
      </c>
      <c r="JA791" s="27" t="s">
        <v>8</v>
      </c>
      <c r="JC791" s="27" t="s">
        <v>8</v>
      </c>
      <c r="JI791" s="27" t="s">
        <v>8</v>
      </c>
      <c r="JM791" s="27" t="s">
        <v>8</v>
      </c>
      <c r="JN791" s="27" t="s">
        <v>7</v>
      </c>
      <c r="JO791" s="27" t="s">
        <v>8</v>
      </c>
      <c r="JR791" s="27" t="s">
        <v>7</v>
      </c>
      <c r="JS791" s="27" t="s">
        <v>8</v>
      </c>
      <c r="JX791" s="27" t="s">
        <v>7</v>
      </c>
      <c r="JY791" s="27" t="s">
        <v>8</v>
      </c>
      <c r="JZ791" s="27" t="s">
        <v>7</v>
      </c>
      <c r="KA791" s="27" t="s">
        <v>8</v>
      </c>
      <c r="KD791" s="27" t="s">
        <v>7</v>
      </c>
      <c r="KE791" s="27" t="s">
        <v>8</v>
      </c>
      <c r="KF791" s="27" t="s">
        <v>7</v>
      </c>
      <c r="KG791" s="27" t="s">
        <v>8</v>
      </c>
    </row>
    <row r="792" spans="1:293" x14ac:dyDescent="0.25">
      <c r="A792" s="7">
        <v>1.7256979723034419E-2</v>
      </c>
      <c r="B792"/>
      <c r="C792"/>
      <c r="D792"/>
      <c r="E792"/>
      <c r="F792" s="27" t="s">
        <v>7</v>
      </c>
      <c r="O792" s="27" t="s">
        <v>8</v>
      </c>
      <c r="AJ792" s="27" t="s">
        <v>7</v>
      </c>
      <c r="AK792" s="27" t="s">
        <v>8</v>
      </c>
      <c r="AN792" s="27" t="s">
        <v>7</v>
      </c>
      <c r="AP792" s="27" t="s">
        <v>7</v>
      </c>
      <c r="AQ792" s="27" t="s">
        <v>8</v>
      </c>
      <c r="AR792" s="27" t="s">
        <v>7</v>
      </c>
      <c r="BA792" s="27" t="s">
        <v>8</v>
      </c>
      <c r="BB792" s="27" t="s">
        <v>7</v>
      </c>
      <c r="BC792" s="27" t="s">
        <v>8</v>
      </c>
      <c r="BD792" s="27" t="s">
        <v>7</v>
      </c>
      <c r="BI792" s="27" t="s">
        <v>8</v>
      </c>
      <c r="CG792" s="27" t="s">
        <v>8</v>
      </c>
      <c r="CH792" s="27" t="s">
        <v>7</v>
      </c>
      <c r="DA792" s="27" t="s">
        <v>8</v>
      </c>
      <c r="DH792" s="27" t="s">
        <v>7</v>
      </c>
      <c r="DI792" s="27" t="s">
        <v>8</v>
      </c>
      <c r="DJ792" s="27" t="s">
        <v>7</v>
      </c>
      <c r="DO792" s="27" t="s">
        <v>8</v>
      </c>
      <c r="DP792" s="27" t="s">
        <v>7</v>
      </c>
      <c r="DY792" s="27" t="s">
        <v>8</v>
      </c>
      <c r="DZ792" s="27" t="s">
        <v>7</v>
      </c>
      <c r="EA792" s="27" t="s">
        <v>8</v>
      </c>
      <c r="EC792" s="27" t="s">
        <v>8</v>
      </c>
      <c r="ER792" s="27" t="s">
        <v>7</v>
      </c>
      <c r="ES792" s="27" t="s">
        <v>8</v>
      </c>
      <c r="EZ792" s="27" t="s">
        <v>7</v>
      </c>
      <c r="GC792" s="27" t="s">
        <v>8</v>
      </c>
      <c r="GD792" s="27" t="s">
        <v>7</v>
      </c>
      <c r="GE792" s="27" t="s">
        <v>8</v>
      </c>
      <c r="GF792" s="27" t="s">
        <v>7</v>
      </c>
      <c r="GG792" s="27" t="s">
        <v>8</v>
      </c>
      <c r="GH792" s="27" t="s">
        <v>7</v>
      </c>
      <c r="GI792" s="27" t="s">
        <v>8</v>
      </c>
      <c r="IF792" s="27" t="s">
        <v>7</v>
      </c>
      <c r="IH792" s="27" t="s">
        <v>7</v>
      </c>
      <c r="IP792" s="27" t="s">
        <v>7</v>
      </c>
      <c r="IX792" s="27" t="s">
        <v>7</v>
      </c>
      <c r="IY792" s="27" t="s">
        <v>8</v>
      </c>
      <c r="IZ792" s="27" t="s">
        <v>7</v>
      </c>
      <c r="JA792" s="27" t="s">
        <v>8</v>
      </c>
      <c r="JB792" s="27" t="s">
        <v>7</v>
      </c>
      <c r="JC792" s="27" t="s">
        <v>8</v>
      </c>
      <c r="JD792" s="27" t="s">
        <v>7</v>
      </c>
      <c r="JI792" s="27" t="s">
        <v>8</v>
      </c>
      <c r="JJ792" s="27" t="s">
        <v>7</v>
      </c>
      <c r="JM792" s="27" t="s">
        <v>8</v>
      </c>
      <c r="JN792" s="27" t="s">
        <v>7</v>
      </c>
      <c r="JO792" s="27" t="s">
        <v>8</v>
      </c>
      <c r="JR792" s="27" t="s">
        <v>7</v>
      </c>
      <c r="JS792" s="27" t="s">
        <v>8</v>
      </c>
      <c r="JX792" s="27" t="s">
        <v>7</v>
      </c>
      <c r="JY792" s="27" t="s">
        <v>8</v>
      </c>
      <c r="JZ792" s="27" t="s">
        <v>7</v>
      </c>
      <c r="KD792" s="27" t="s">
        <v>7</v>
      </c>
      <c r="KE792" s="27" t="s">
        <v>8</v>
      </c>
      <c r="KF792" s="27" t="s">
        <v>7</v>
      </c>
      <c r="KG792" s="27" t="s">
        <v>8</v>
      </c>
    </row>
    <row r="793" spans="1:293" x14ac:dyDescent="0.25">
      <c r="A793" s="7">
        <v>1.6918607571602372E-2</v>
      </c>
      <c r="B793"/>
      <c r="C793"/>
      <c r="D793"/>
      <c r="E793"/>
      <c r="F793" s="27" t="s">
        <v>7</v>
      </c>
      <c r="O793" s="27" t="s">
        <v>8</v>
      </c>
      <c r="AJ793" s="27" t="s">
        <v>7</v>
      </c>
      <c r="AK793" s="27" t="s">
        <v>8</v>
      </c>
      <c r="AP793" s="27" t="s">
        <v>7</v>
      </c>
      <c r="AQ793" s="27" t="s">
        <v>8</v>
      </c>
      <c r="AR793" s="27" t="s">
        <v>7</v>
      </c>
      <c r="BA793" s="27" t="s">
        <v>8</v>
      </c>
      <c r="BB793" s="27" t="s">
        <v>7</v>
      </c>
      <c r="BC793" s="27" t="s">
        <v>8</v>
      </c>
      <c r="BD793" s="27" t="s">
        <v>7</v>
      </c>
      <c r="BI793" s="27" t="s">
        <v>8</v>
      </c>
      <c r="BJ793" s="27" t="s">
        <v>7</v>
      </c>
      <c r="CG793" s="27" t="s">
        <v>8</v>
      </c>
      <c r="CH793" s="27" t="s">
        <v>7</v>
      </c>
      <c r="DA793" s="27" t="s">
        <v>8</v>
      </c>
      <c r="DH793" s="27" t="s">
        <v>7</v>
      </c>
      <c r="DI793" s="27" t="s">
        <v>8</v>
      </c>
      <c r="DJ793" s="27" t="s">
        <v>7</v>
      </c>
      <c r="DO793" s="27" t="s">
        <v>8</v>
      </c>
      <c r="DP793" s="27" t="s">
        <v>7</v>
      </c>
      <c r="DQ793" s="27" t="s">
        <v>8</v>
      </c>
      <c r="DW793" s="27" t="s">
        <v>8</v>
      </c>
      <c r="DY793" s="27" t="s">
        <v>8</v>
      </c>
      <c r="DZ793" s="27" t="s">
        <v>7</v>
      </c>
      <c r="EA793" s="27" t="s">
        <v>8</v>
      </c>
      <c r="EB793" s="27" t="s">
        <v>7</v>
      </c>
      <c r="EC793" s="27" t="s">
        <v>8</v>
      </c>
      <c r="ER793" s="27" t="s">
        <v>7</v>
      </c>
      <c r="EZ793" s="27" t="s">
        <v>7</v>
      </c>
      <c r="GC793" s="27" t="s">
        <v>8</v>
      </c>
      <c r="GD793" s="27" t="s">
        <v>7</v>
      </c>
      <c r="GE793" s="27" t="s">
        <v>8</v>
      </c>
      <c r="GF793" s="27" t="s">
        <v>7</v>
      </c>
      <c r="GH793" s="27" t="s">
        <v>7</v>
      </c>
      <c r="GI793" s="27" t="s">
        <v>8</v>
      </c>
      <c r="IX793" s="27" t="s">
        <v>7</v>
      </c>
      <c r="IY793" s="27" t="s">
        <v>8</v>
      </c>
      <c r="IZ793" s="27" t="s">
        <v>7</v>
      </c>
      <c r="JA793" s="27" t="s">
        <v>8</v>
      </c>
      <c r="JB793" s="27" t="s">
        <v>7</v>
      </c>
      <c r="JC793" s="27" t="s">
        <v>8</v>
      </c>
      <c r="JD793" s="27" t="s">
        <v>7</v>
      </c>
      <c r="JG793" s="27" t="s">
        <v>8</v>
      </c>
      <c r="JI793" s="27" t="s">
        <v>8</v>
      </c>
      <c r="JJ793" s="27" t="s">
        <v>7</v>
      </c>
      <c r="JK793" s="27" t="s">
        <v>8</v>
      </c>
      <c r="JM793" s="27" t="s">
        <v>8</v>
      </c>
      <c r="JN793" s="27" t="s">
        <v>7</v>
      </c>
      <c r="JR793" s="27" t="s">
        <v>7</v>
      </c>
      <c r="JS793" s="27" t="s">
        <v>8</v>
      </c>
      <c r="JX793" s="27" t="s">
        <v>7</v>
      </c>
      <c r="JY793" s="27" t="s">
        <v>8</v>
      </c>
      <c r="KD793" s="27" t="s">
        <v>7</v>
      </c>
      <c r="KE793" s="27" t="s">
        <v>8</v>
      </c>
      <c r="KF793" s="27" t="s">
        <v>7</v>
      </c>
    </row>
    <row r="794" spans="1:293" x14ac:dyDescent="0.25">
      <c r="A794" s="7">
        <v>1.6586870168237622E-2</v>
      </c>
      <c r="B794"/>
      <c r="C794"/>
      <c r="D794"/>
      <c r="E794"/>
      <c r="F794" s="27" t="s">
        <v>7</v>
      </c>
      <c r="O794" s="27" t="s">
        <v>8</v>
      </c>
      <c r="AJ794" s="27" t="s">
        <v>7</v>
      </c>
      <c r="AP794" s="27" t="s">
        <v>7</v>
      </c>
      <c r="AQ794" s="27" t="s">
        <v>8</v>
      </c>
      <c r="AR794" s="27" t="s">
        <v>7</v>
      </c>
      <c r="BA794" s="27" t="s">
        <v>8</v>
      </c>
      <c r="BB794" s="27" t="s">
        <v>7</v>
      </c>
      <c r="BC794" s="27" t="s">
        <v>8</v>
      </c>
      <c r="BD794" s="27" t="s">
        <v>7</v>
      </c>
      <c r="BI794" s="27" t="s">
        <v>8</v>
      </c>
      <c r="BJ794" s="27" t="s">
        <v>7</v>
      </c>
      <c r="CG794" s="27" t="s">
        <v>8</v>
      </c>
      <c r="CH794" s="27" t="s">
        <v>7</v>
      </c>
      <c r="CI794" s="27" t="s">
        <v>8</v>
      </c>
      <c r="DA794" s="27" t="s">
        <v>8</v>
      </c>
      <c r="DH794" s="27" t="s">
        <v>7</v>
      </c>
      <c r="DI794" s="27" t="s">
        <v>8</v>
      </c>
      <c r="DJ794" s="27" t="s">
        <v>7</v>
      </c>
      <c r="DK794" s="27" t="s">
        <v>8</v>
      </c>
      <c r="DO794" s="27" t="s">
        <v>8</v>
      </c>
      <c r="DP794" s="27" t="s">
        <v>7</v>
      </c>
      <c r="DQ794" s="27" t="s">
        <v>8</v>
      </c>
      <c r="DR794" s="27" t="s">
        <v>7</v>
      </c>
      <c r="DW794" s="27" t="s">
        <v>8</v>
      </c>
      <c r="DX794" s="27" t="s">
        <v>7</v>
      </c>
      <c r="DY794" s="27" t="s">
        <v>8</v>
      </c>
      <c r="DZ794" s="27" t="s">
        <v>7</v>
      </c>
      <c r="EA794" s="27" t="s">
        <v>8</v>
      </c>
      <c r="EB794" s="27" t="s">
        <v>7</v>
      </c>
      <c r="EC794" s="27" t="s">
        <v>8</v>
      </c>
      <c r="EZ794" s="27" t="s">
        <v>7</v>
      </c>
      <c r="GA794" s="27" t="s">
        <v>8</v>
      </c>
      <c r="GC794" s="27" t="s">
        <v>8</v>
      </c>
      <c r="GD794" s="27" t="s">
        <v>7</v>
      </c>
      <c r="GE794" s="27" t="s">
        <v>8</v>
      </c>
      <c r="GH794" s="27" t="s">
        <v>7</v>
      </c>
      <c r="GI794" s="27" t="s">
        <v>8</v>
      </c>
      <c r="IX794" s="27" t="s">
        <v>7</v>
      </c>
      <c r="IY794" s="27" t="s">
        <v>8</v>
      </c>
      <c r="IZ794" s="27" t="s">
        <v>7</v>
      </c>
      <c r="JA794" s="27" t="s">
        <v>8</v>
      </c>
      <c r="JB794" s="27" t="s">
        <v>7</v>
      </c>
      <c r="JD794" s="27" t="s">
        <v>7</v>
      </c>
      <c r="JG794" s="27" t="s">
        <v>8</v>
      </c>
      <c r="JH794" s="27" t="s">
        <v>7</v>
      </c>
      <c r="JI794" s="27" t="s">
        <v>8</v>
      </c>
      <c r="JJ794" s="27" t="s">
        <v>7</v>
      </c>
      <c r="JK794" s="27" t="s">
        <v>8</v>
      </c>
      <c r="JL794" s="27" t="s">
        <v>7</v>
      </c>
      <c r="JM794" s="27" t="s">
        <v>8</v>
      </c>
      <c r="JR794" s="27" t="s">
        <v>7</v>
      </c>
      <c r="JS794" s="27" t="s">
        <v>8</v>
      </c>
      <c r="JX794" s="27" t="s">
        <v>7</v>
      </c>
      <c r="KD794" s="27" t="s">
        <v>7</v>
      </c>
      <c r="KE794" s="27" t="s">
        <v>8</v>
      </c>
    </row>
    <row r="795" spans="1:293" x14ac:dyDescent="0.25">
      <c r="A795" s="7">
        <v>1.6261637419840807E-2</v>
      </c>
      <c r="B795"/>
      <c r="C795"/>
      <c r="D795"/>
      <c r="E795"/>
      <c r="F795" s="27" t="s">
        <v>7</v>
      </c>
      <c r="O795" s="27" t="s">
        <v>8</v>
      </c>
      <c r="AP795" s="27" t="s">
        <v>7</v>
      </c>
      <c r="AQ795" s="27" t="s">
        <v>8</v>
      </c>
      <c r="AR795" s="27" t="s">
        <v>7</v>
      </c>
      <c r="BA795" s="27" t="s">
        <v>8</v>
      </c>
      <c r="BB795" s="27" t="s">
        <v>7</v>
      </c>
      <c r="BC795" s="27" t="s">
        <v>8</v>
      </c>
      <c r="BD795" s="27" t="s">
        <v>7</v>
      </c>
      <c r="BI795" s="27" t="s">
        <v>8</v>
      </c>
      <c r="BJ795" s="27" t="s">
        <v>7</v>
      </c>
      <c r="CG795" s="27" t="s">
        <v>8</v>
      </c>
      <c r="CH795" s="27" t="s">
        <v>7</v>
      </c>
      <c r="CI795" s="27" t="s">
        <v>8</v>
      </c>
      <c r="CJ795" s="27" t="s">
        <v>7</v>
      </c>
      <c r="DA795" s="27" t="s">
        <v>8</v>
      </c>
      <c r="DH795" s="27" t="s">
        <v>7</v>
      </c>
      <c r="DI795" s="27" t="s">
        <v>8</v>
      </c>
      <c r="DJ795" s="27" t="s">
        <v>7</v>
      </c>
      <c r="DK795" s="27" t="s">
        <v>8</v>
      </c>
      <c r="DL795" s="27" t="s">
        <v>7</v>
      </c>
      <c r="DO795" s="27" t="s">
        <v>8</v>
      </c>
      <c r="DP795" s="27" t="s">
        <v>7</v>
      </c>
      <c r="DQ795" s="27" t="s">
        <v>8</v>
      </c>
      <c r="DR795" s="27" t="s">
        <v>7</v>
      </c>
      <c r="DW795" s="27" t="s">
        <v>8</v>
      </c>
      <c r="DX795" s="27" t="s">
        <v>7</v>
      </c>
      <c r="DY795" s="27" t="s">
        <v>8</v>
      </c>
      <c r="DZ795" s="27" t="s">
        <v>7</v>
      </c>
      <c r="EA795" s="27" t="s">
        <v>8</v>
      </c>
      <c r="EB795" s="27" t="s">
        <v>7</v>
      </c>
      <c r="EC795" s="27" t="s">
        <v>8</v>
      </c>
      <c r="EZ795" s="27" t="s">
        <v>7</v>
      </c>
      <c r="GA795" s="27" t="s">
        <v>8</v>
      </c>
      <c r="GB795" s="27" t="s">
        <v>7</v>
      </c>
      <c r="GC795" s="27" t="s">
        <v>8</v>
      </c>
      <c r="GD795" s="27" t="s">
        <v>7</v>
      </c>
      <c r="GE795" s="27" t="s">
        <v>8</v>
      </c>
      <c r="GH795" s="27" t="s">
        <v>7</v>
      </c>
      <c r="GI795" s="27" t="s">
        <v>8</v>
      </c>
      <c r="IX795" s="27" t="s">
        <v>7</v>
      </c>
      <c r="IY795" s="27" t="s">
        <v>8</v>
      </c>
      <c r="IZ795" s="27" t="s">
        <v>7</v>
      </c>
      <c r="JA795" s="27" t="s">
        <v>8</v>
      </c>
      <c r="JD795" s="27" t="s">
        <v>7</v>
      </c>
      <c r="JG795" s="27" t="s">
        <v>8</v>
      </c>
      <c r="JH795" s="27" t="s">
        <v>7</v>
      </c>
      <c r="JI795" s="27" t="s">
        <v>8</v>
      </c>
      <c r="JJ795" s="27" t="s">
        <v>7</v>
      </c>
      <c r="JK795" s="27" t="s">
        <v>8</v>
      </c>
      <c r="JL795" s="27" t="s">
        <v>7</v>
      </c>
      <c r="JM795" s="27" t="s">
        <v>8</v>
      </c>
      <c r="JR795" s="27" t="s">
        <v>7</v>
      </c>
      <c r="JS795" s="27" t="s">
        <v>8</v>
      </c>
      <c r="KD795" s="27" t="s">
        <v>7</v>
      </c>
      <c r="KE795" s="27" t="s">
        <v>8</v>
      </c>
    </row>
    <row r="796" spans="1:293" x14ac:dyDescent="0.25">
      <c r="A796" s="7">
        <v>1.5942781784157655E-2</v>
      </c>
      <c r="B796"/>
      <c r="C796"/>
      <c r="D796"/>
      <c r="E796"/>
      <c r="F796" s="27" t="s">
        <v>7</v>
      </c>
      <c r="O796" s="27" t="s">
        <v>8</v>
      </c>
      <c r="AP796" s="27" t="s">
        <v>7</v>
      </c>
      <c r="AQ796" s="27" t="s">
        <v>8</v>
      </c>
      <c r="AR796" s="27" t="s">
        <v>7</v>
      </c>
      <c r="BA796" s="27" t="s">
        <v>8</v>
      </c>
      <c r="BB796" s="27" t="s">
        <v>7</v>
      </c>
      <c r="BC796" s="27" t="s">
        <v>8</v>
      </c>
      <c r="BD796" s="27" t="s">
        <v>7</v>
      </c>
      <c r="BG796" s="27" t="s">
        <v>8</v>
      </c>
      <c r="BI796" s="27" t="s">
        <v>8</v>
      </c>
      <c r="BJ796" s="27" t="s">
        <v>7</v>
      </c>
      <c r="CG796" s="27" t="s">
        <v>8</v>
      </c>
      <c r="CH796" s="27" t="s">
        <v>7</v>
      </c>
      <c r="CI796" s="27" t="s">
        <v>8</v>
      </c>
      <c r="CJ796" s="27" t="s">
        <v>7</v>
      </c>
      <c r="CU796" s="27" t="s">
        <v>8</v>
      </c>
      <c r="DA796" s="27" t="s">
        <v>8</v>
      </c>
      <c r="DH796" s="27" t="s">
        <v>7</v>
      </c>
      <c r="DI796" s="27" t="s">
        <v>8</v>
      </c>
      <c r="DJ796" s="27" t="s">
        <v>7</v>
      </c>
      <c r="DK796" s="27" t="s">
        <v>8</v>
      </c>
      <c r="DL796" s="27" t="s">
        <v>7</v>
      </c>
      <c r="DO796" s="27" t="s">
        <v>8</v>
      </c>
      <c r="DP796" s="27" t="s">
        <v>7</v>
      </c>
      <c r="DQ796" s="27" t="s">
        <v>8</v>
      </c>
      <c r="DR796" s="27" t="s">
        <v>7</v>
      </c>
      <c r="DU796" s="27" t="s">
        <v>8</v>
      </c>
      <c r="DW796" s="27" t="s">
        <v>8</v>
      </c>
      <c r="DX796" s="27" t="s">
        <v>7</v>
      </c>
      <c r="DY796" s="27" t="s">
        <v>8</v>
      </c>
      <c r="DZ796" s="27" t="s">
        <v>7</v>
      </c>
      <c r="EB796" s="27" t="s">
        <v>7</v>
      </c>
      <c r="EC796" s="27" t="s">
        <v>8</v>
      </c>
      <c r="EZ796" s="27" t="s">
        <v>7</v>
      </c>
      <c r="FY796" s="27" t="s">
        <v>8</v>
      </c>
      <c r="GA796" s="27" t="s">
        <v>8</v>
      </c>
      <c r="GB796" s="27" t="s">
        <v>7</v>
      </c>
      <c r="GC796" s="27" t="s">
        <v>8</v>
      </c>
      <c r="GD796" s="27" t="s">
        <v>7</v>
      </c>
      <c r="GE796" s="27" t="s">
        <v>8</v>
      </c>
      <c r="GH796" s="27" t="s">
        <v>7</v>
      </c>
      <c r="GI796" s="27" t="s">
        <v>8</v>
      </c>
      <c r="IX796" s="27" t="s">
        <v>7</v>
      </c>
      <c r="IY796" s="27" t="s">
        <v>8</v>
      </c>
      <c r="IZ796" s="27" t="s">
        <v>7</v>
      </c>
      <c r="JA796" s="27" t="s">
        <v>8</v>
      </c>
      <c r="JD796" s="27" t="s">
        <v>7</v>
      </c>
      <c r="JG796" s="27" t="s">
        <v>8</v>
      </c>
      <c r="JH796" s="27" t="s">
        <v>7</v>
      </c>
      <c r="JI796" s="27" t="s">
        <v>8</v>
      </c>
      <c r="JJ796" s="27" t="s">
        <v>7</v>
      </c>
      <c r="JK796" s="27" t="s">
        <v>8</v>
      </c>
      <c r="JL796" s="27" t="s">
        <v>7</v>
      </c>
      <c r="JR796" s="27" t="s">
        <v>7</v>
      </c>
      <c r="JS796" s="27" t="s">
        <v>8</v>
      </c>
      <c r="KD796" s="27" t="s">
        <v>7</v>
      </c>
      <c r="KE796" s="27" t="s">
        <v>8</v>
      </c>
    </row>
    <row r="797" spans="1:293" x14ac:dyDescent="0.25">
      <c r="A797" s="7">
        <v>1.5630178219762408E-2</v>
      </c>
      <c r="B797"/>
      <c r="C797"/>
      <c r="D797"/>
      <c r="E797"/>
      <c r="F797" s="27" t="s">
        <v>7</v>
      </c>
      <c r="O797" s="27" t="s">
        <v>8</v>
      </c>
      <c r="AP797" s="27" t="s">
        <v>7</v>
      </c>
      <c r="AQ797" s="27" t="s">
        <v>8</v>
      </c>
      <c r="AR797" s="27" t="s">
        <v>7</v>
      </c>
      <c r="BA797" s="27" t="s">
        <v>8</v>
      </c>
      <c r="BB797" s="27" t="s">
        <v>7</v>
      </c>
      <c r="BC797" s="27" t="s">
        <v>8</v>
      </c>
      <c r="BD797" s="27" t="s">
        <v>7</v>
      </c>
      <c r="BG797" s="27" t="s">
        <v>8</v>
      </c>
      <c r="BH797" s="27" t="s">
        <v>7</v>
      </c>
      <c r="BI797" s="27" t="s">
        <v>8</v>
      </c>
      <c r="BJ797" s="27" t="s">
        <v>7</v>
      </c>
      <c r="CG797" s="27" t="s">
        <v>8</v>
      </c>
      <c r="CH797" s="27" t="s">
        <v>7</v>
      </c>
      <c r="CI797" s="27" t="s">
        <v>8</v>
      </c>
      <c r="CJ797" s="27" t="s">
        <v>7</v>
      </c>
      <c r="CU797" s="27" t="s">
        <v>8</v>
      </c>
      <c r="CV797" s="27" t="s">
        <v>7</v>
      </c>
      <c r="DA797" s="27" t="s">
        <v>8</v>
      </c>
      <c r="DH797" s="27" t="s">
        <v>7</v>
      </c>
      <c r="DI797" s="27" t="s">
        <v>8</v>
      </c>
      <c r="DJ797" s="27" t="s">
        <v>7</v>
      </c>
      <c r="DK797" s="27" t="s">
        <v>8</v>
      </c>
      <c r="DL797" s="27" t="s">
        <v>7</v>
      </c>
      <c r="DO797" s="27" t="s">
        <v>8</v>
      </c>
      <c r="DP797" s="27" t="s">
        <v>7</v>
      </c>
      <c r="DQ797" s="27" t="s">
        <v>8</v>
      </c>
      <c r="DR797" s="27" t="s">
        <v>7</v>
      </c>
      <c r="DS797" s="27" t="s">
        <v>8</v>
      </c>
      <c r="DU797" s="27" t="s">
        <v>8</v>
      </c>
      <c r="DV797" s="27" t="s">
        <v>7</v>
      </c>
      <c r="DW797" s="27" t="s">
        <v>8</v>
      </c>
      <c r="DX797" s="27" t="s">
        <v>7</v>
      </c>
      <c r="EB797" s="27" t="s">
        <v>7</v>
      </c>
      <c r="EC797" s="27" t="s">
        <v>8</v>
      </c>
      <c r="EZ797" s="27" t="s">
        <v>7</v>
      </c>
      <c r="FW797" s="27" t="s">
        <v>8</v>
      </c>
      <c r="FY797" s="27" t="s">
        <v>8</v>
      </c>
      <c r="FZ797" s="27" t="s">
        <v>7</v>
      </c>
      <c r="GA797" s="27" t="s">
        <v>8</v>
      </c>
      <c r="GB797" s="27" t="s">
        <v>7</v>
      </c>
      <c r="GC797" s="27" t="s">
        <v>8</v>
      </c>
      <c r="GD797" s="27" t="s">
        <v>7</v>
      </c>
      <c r="GH797" s="27" t="s">
        <v>7</v>
      </c>
      <c r="GI797" s="27" t="s">
        <v>8</v>
      </c>
      <c r="IX797" s="27" t="s">
        <v>7</v>
      </c>
      <c r="IZ797" s="27" t="s">
        <v>7</v>
      </c>
      <c r="JA797" s="27" t="s">
        <v>8</v>
      </c>
      <c r="JD797" s="27" t="s">
        <v>7</v>
      </c>
      <c r="JG797" s="27" t="s">
        <v>8</v>
      </c>
      <c r="JH797" s="27" t="s">
        <v>7</v>
      </c>
      <c r="JI797" s="27" t="s">
        <v>8</v>
      </c>
      <c r="JJ797" s="27" t="s">
        <v>7</v>
      </c>
      <c r="JR797" s="27" t="s">
        <v>7</v>
      </c>
      <c r="KD797" s="27" t="s">
        <v>7</v>
      </c>
      <c r="KE797" s="27" t="s">
        <v>8</v>
      </c>
    </row>
    <row r="798" spans="1:293" x14ac:dyDescent="0.25">
      <c r="A798" s="7">
        <v>1.5323704137021967E-2</v>
      </c>
      <c r="B798"/>
      <c r="C798"/>
      <c r="D798"/>
      <c r="E798"/>
      <c r="F798" s="27" t="s">
        <v>7</v>
      </c>
      <c r="O798" s="27" t="s">
        <v>8</v>
      </c>
      <c r="AP798" s="27" t="s">
        <v>7</v>
      </c>
      <c r="AQ798" s="27" t="s">
        <v>8</v>
      </c>
      <c r="AR798" s="27" t="s">
        <v>7</v>
      </c>
      <c r="BA798" s="27" t="s">
        <v>8</v>
      </c>
      <c r="BB798" s="27" t="s">
        <v>7</v>
      </c>
      <c r="BC798" s="27" t="s">
        <v>8</v>
      </c>
      <c r="BD798" s="27" t="s">
        <v>7</v>
      </c>
      <c r="BG798" s="27" t="s">
        <v>8</v>
      </c>
      <c r="BH798" s="27" t="s">
        <v>7</v>
      </c>
      <c r="BI798" s="27" t="s">
        <v>8</v>
      </c>
      <c r="BJ798" s="27" t="s">
        <v>7</v>
      </c>
      <c r="CG798" s="27" t="s">
        <v>8</v>
      </c>
      <c r="CH798" s="27" t="s">
        <v>7</v>
      </c>
      <c r="CI798" s="27" t="s">
        <v>8</v>
      </c>
      <c r="CJ798" s="27" t="s">
        <v>7</v>
      </c>
      <c r="CM798" s="27" t="s">
        <v>8</v>
      </c>
      <c r="CS798" s="27" t="s">
        <v>8</v>
      </c>
      <c r="CU798" s="27" t="s">
        <v>8</v>
      </c>
      <c r="CV798" s="27" t="s">
        <v>7</v>
      </c>
      <c r="DA798" s="27" t="s">
        <v>8</v>
      </c>
      <c r="DH798" s="27" t="s">
        <v>7</v>
      </c>
      <c r="DI798" s="27" t="s">
        <v>8</v>
      </c>
      <c r="DJ798" s="27" t="s">
        <v>7</v>
      </c>
      <c r="DL798" s="27" t="s">
        <v>7</v>
      </c>
      <c r="DO798" s="27" t="s">
        <v>8</v>
      </c>
      <c r="DP798" s="27" t="s">
        <v>7</v>
      </c>
      <c r="DQ798" s="27" t="s">
        <v>8</v>
      </c>
      <c r="DR798" s="27" t="s">
        <v>7</v>
      </c>
      <c r="DS798" s="27" t="s">
        <v>8</v>
      </c>
      <c r="DT798" s="27" t="s">
        <v>7</v>
      </c>
      <c r="DU798" s="27" t="s">
        <v>8</v>
      </c>
      <c r="DV798" s="27" t="s">
        <v>7</v>
      </c>
      <c r="DW798" s="27" t="s">
        <v>8</v>
      </c>
      <c r="EB798" s="27" t="s">
        <v>7</v>
      </c>
      <c r="EZ798" s="27" t="s">
        <v>7</v>
      </c>
      <c r="FW798" s="27" t="s">
        <v>8</v>
      </c>
      <c r="FX798" s="27" t="s">
        <v>7</v>
      </c>
      <c r="FY798" s="27" t="s">
        <v>8</v>
      </c>
      <c r="FZ798" s="27" t="s">
        <v>7</v>
      </c>
      <c r="GA798" s="27" t="s">
        <v>8</v>
      </c>
      <c r="GB798" s="27" t="s">
        <v>7</v>
      </c>
      <c r="GH798" s="27" t="s">
        <v>7</v>
      </c>
      <c r="GI798" s="27" t="s">
        <v>8</v>
      </c>
      <c r="IZ798" s="27" t="s">
        <v>7</v>
      </c>
      <c r="JD798" s="27" t="s">
        <v>7</v>
      </c>
      <c r="JG798" s="27" t="s">
        <v>8</v>
      </c>
      <c r="JH798" s="27" t="s">
        <v>7</v>
      </c>
      <c r="JI798" s="27" t="s">
        <v>8</v>
      </c>
      <c r="KD798" s="27" t="s">
        <v>7</v>
      </c>
      <c r="KE798" s="27" t="s">
        <v>8</v>
      </c>
    </row>
    <row r="799" spans="1:293" x14ac:dyDescent="0.25">
      <c r="A799" s="7">
        <v>1.5023239350021535E-2</v>
      </c>
      <c r="B799"/>
      <c r="C799"/>
      <c r="D799"/>
      <c r="E799"/>
      <c r="F799" s="27" t="s">
        <v>7</v>
      </c>
      <c r="M799" s="27" t="s">
        <v>8</v>
      </c>
      <c r="O799" s="27" t="s">
        <v>8</v>
      </c>
      <c r="AP799" s="27" t="s">
        <v>7</v>
      </c>
      <c r="AQ799" s="27" t="s">
        <v>8</v>
      </c>
      <c r="AR799" s="27" t="s">
        <v>7</v>
      </c>
      <c r="BA799" s="27" t="s">
        <v>8</v>
      </c>
      <c r="BB799" s="27" t="s">
        <v>7</v>
      </c>
      <c r="BC799" s="27" t="s">
        <v>8</v>
      </c>
      <c r="BD799" s="27" t="s">
        <v>7</v>
      </c>
      <c r="BG799" s="27" t="s">
        <v>8</v>
      </c>
      <c r="BH799" s="27" t="s">
        <v>7</v>
      </c>
      <c r="BI799" s="27" t="s">
        <v>8</v>
      </c>
      <c r="BJ799" s="27" t="s">
        <v>7</v>
      </c>
      <c r="BQ799" s="27" t="s">
        <v>8</v>
      </c>
      <c r="CG799" s="27" t="s">
        <v>8</v>
      </c>
      <c r="CH799" s="27" t="s">
        <v>7</v>
      </c>
      <c r="CI799" s="27" t="s">
        <v>8</v>
      </c>
      <c r="CJ799" s="27" t="s">
        <v>7</v>
      </c>
      <c r="CM799" s="27" t="s">
        <v>8</v>
      </c>
      <c r="CN799" s="27" t="s">
        <v>7</v>
      </c>
      <c r="CQ799" s="27" t="s">
        <v>8</v>
      </c>
      <c r="CS799" s="27" t="s">
        <v>8</v>
      </c>
      <c r="CT799" s="27" t="s">
        <v>7</v>
      </c>
      <c r="CU799" s="27" t="s">
        <v>8</v>
      </c>
      <c r="CV799" s="27" t="s">
        <v>7</v>
      </c>
      <c r="DA799" s="27" t="s">
        <v>8</v>
      </c>
      <c r="DH799" s="27" t="s">
        <v>7</v>
      </c>
      <c r="DI799" s="27" t="s">
        <v>8</v>
      </c>
      <c r="DL799" s="27" t="s">
        <v>7</v>
      </c>
      <c r="DO799" s="27" t="s">
        <v>8</v>
      </c>
      <c r="DP799" s="27" t="s">
        <v>7</v>
      </c>
      <c r="DQ799" s="27" t="s">
        <v>8</v>
      </c>
      <c r="DR799" s="27" t="s">
        <v>7</v>
      </c>
      <c r="DS799" s="27" t="s">
        <v>8</v>
      </c>
      <c r="DT799" s="27" t="s">
        <v>7</v>
      </c>
      <c r="DU799" s="27" t="s">
        <v>8</v>
      </c>
      <c r="DV799" s="27" t="s">
        <v>7</v>
      </c>
      <c r="DW799" s="27" t="s">
        <v>8</v>
      </c>
      <c r="EZ799" s="27" t="s">
        <v>7</v>
      </c>
      <c r="FW799" s="27" t="s">
        <v>8</v>
      </c>
      <c r="FX799" s="27" t="s">
        <v>7</v>
      </c>
      <c r="FY799" s="27" t="s">
        <v>8</v>
      </c>
      <c r="FZ799" s="27" t="s">
        <v>7</v>
      </c>
      <c r="GH799" s="27" t="s">
        <v>7</v>
      </c>
      <c r="GI799" s="27" t="s">
        <v>8</v>
      </c>
      <c r="JD799" s="27" t="s">
        <v>7</v>
      </c>
      <c r="JG799" s="27" t="s">
        <v>8</v>
      </c>
      <c r="JH799" s="27" t="s">
        <v>7</v>
      </c>
      <c r="JI799" s="27" t="s">
        <v>8</v>
      </c>
      <c r="KD799" s="27" t="s">
        <v>7</v>
      </c>
      <c r="KE799" s="27" t="s">
        <v>8</v>
      </c>
    </row>
    <row r="800" spans="1:293" x14ac:dyDescent="0.25">
      <c r="A800" s="7">
        <v>1.4728666029432878E-2</v>
      </c>
      <c r="B800"/>
      <c r="C800"/>
      <c r="D800"/>
      <c r="E800"/>
      <c r="F800" s="27" t="s">
        <v>7</v>
      </c>
      <c r="M800" s="27" t="s">
        <v>8</v>
      </c>
      <c r="N800" s="27" t="s">
        <v>7</v>
      </c>
      <c r="O800" s="27" t="s">
        <v>8</v>
      </c>
      <c r="AP800" s="27" t="s">
        <v>7</v>
      </c>
      <c r="AQ800" s="27" t="s">
        <v>8</v>
      </c>
      <c r="AR800" s="27" t="s">
        <v>7</v>
      </c>
      <c r="BA800" s="27" t="s">
        <v>8</v>
      </c>
      <c r="BB800" s="27" t="s">
        <v>7</v>
      </c>
      <c r="BC800" s="27" t="s">
        <v>8</v>
      </c>
      <c r="BD800" s="27" t="s">
        <v>7</v>
      </c>
      <c r="BE800" s="27" t="s">
        <v>8</v>
      </c>
      <c r="BG800" s="27" t="s">
        <v>8</v>
      </c>
      <c r="BH800" s="27" t="s">
        <v>7</v>
      </c>
      <c r="BI800" s="27" t="s">
        <v>8</v>
      </c>
      <c r="BJ800" s="27" t="s">
        <v>7</v>
      </c>
      <c r="BK800" s="27" t="s">
        <v>8</v>
      </c>
      <c r="BO800" s="27" t="s">
        <v>8</v>
      </c>
      <c r="BQ800" s="27" t="s">
        <v>8</v>
      </c>
      <c r="BR800" s="27" t="s">
        <v>7</v>
      </c>
      <c r="BW800" s="27" t="s">
        <v>8</v>
      </c>
      <c r="CG800" s="27" t="s">
        <v>8</v>
      </c>
      <c r="CH800" s="27" t="s">
        <v>7</v>
      </c>
      <c r="CI800" s="27" t="s">
        <v>8</v>
      </c>
      <c r="CJ800" s="27" t="s">
        <v>7</v>
      </c>
      <c r="CM800" s="27" t="s">
        <v>8</v>
      </c>
      <c r="CN800" s="27" t="s">
        <v>7</v>
      </c>
      <c r="CO800" s="27" t="s">
        <v>8</v>
      </c>
      <c r="CQ800" s="27" t="s">
        <v>8</v>
      </c>
      <c r="CR800" s="27" t="s">
        <v>7</v>
      </c>
      <c r="CS800" s="27" t="s">
        <v>8</v>
      </c>
      <c r="CT800" s="27" t="s">
        <v>7</v>
      </c>
      <c r="CU800" s="27" t="s">
        <v>8</v>
      </c>
      <c r="CV800" s="27" t="s">
        <v>7</v>
      </c>
      <c r="CW800" s="27" t="s">
        <v>8</v>
      </c>
      <c r="CY800" s="27" t="s">
        <v>8</v>
      </c>
      <c r="DA800" s="27" t="s">
        <v>8</v>
      </c>
      <c r="DH800" s="27" t="s">
        <v>7</v>
      </c>
      <c r="DI800" s="27" t="s">
        <v>8</v>
      </c>
      <c r="DL800" s="27" t="s">
        <v>7</v>
      </c>
      <c r="DO800" s="27" t="s">
        <v>8</v>
      </c>
      <c r="DP800" s="27" t="s">
        <v>7</v>
      </c>
      <c r="DR800" s="27" t="s">
        <v>7</v>
      </c>
      <c r="DS800" s="27" t="s">
        <v>8</v>
      </c>
      <c r="DT800" s="27" t="s">
        <v>7</v>
      </c>
      <c r="DU800" s="27" t="s">
        <v>8</v>
      </c>
      <c r="DV800" s="27" t="s">
        <v>7</v>
      </c>
      <c r="DW800" s="27" t="s">
        <v>8</v>
      </c>
      <c r="EZ800" s="27" t="s">
        <v>7</v>
      </c>
      <c r="FW800" s="27" t="s">
        <v>8</v>
      </c>
      <c r="FX800" s="27" t="s">
        <v>7</v>
      </c>
      <c r="FY800" s="27" t="s">
        <v>8</v>
      </c>
      <c r="GH800" s="27" t="s">
        <v>7</v>
      </c>
      <c r="GI800" s="27" t="s">
        <v>8</v>
      </c>
      <c r="JD800" s="27" t="s">
        <v>7</v>
      </c>
      <c r="JG800" s="27" t="s">
        <v>8</v>
      </c>
      <c r="JH800" s="27" t="s">
        <v>7</v>
      </c>
      <c r="JI800" s="27" t="s">
        <v>8</v>
      </c>
      <c r="KD800" s="27" t="s">
        <v>7</v>
      </c>
      <c r="KE800" s="27" t="s">
        <v>8</v>
      </c>
    </row>
    <row r="801" spans="1:290" x14ac:dyDescent="0.25">
      <c r="A801" s="7">
        <v>1.4439868656306743E-2</v>
      </c>
      <c r="B801"/>
      <c r="C801"/>
      <c r="D801"/>
      <c r="E801"/>
      <c r="F801" s="27" t="s">
        <v>7</v>
      </c>
      <c r="M801" s="27" t="s">
        <v>8</v>
      </c>
      <c r="N801" s="27" t="s">
        <v>7</v>
      </c>
      <c r="O801" s="27" t="s">
        <v>8</v>
      </c>
      <c r="AP801" s="27" t="s">
        <v>7</v>
      </c>
      <c r="AQ801" s="27" t="s">
        <v>8</v>
      </c>
      <c r="AR801" s="27" t="s">
        <v>7</v>
      </c>
      <c r="AU801" s="27" t="s">
        <v>8</v>
      </c>
      <c r="BA801" s="27" t="s">
        <v>8</v>
      </c>
      <c r="BB801" s="27" t="s">
        <v>7</v>
      </c>
      <c r="BC801" s="27" t="s">
        <v>8</v>
      </c>
      <c r="BD801" s="27" t="s">
        <v>7</v>
      </c>
      <c r="BE801" s="27" t="s">
        <v>8</v>
      </c>
      <c r="BF801" s="27" t="s">
        <v>7</v>
      </c>
      <c r="BG801" s="27" t="s">
        <v>8</v>
      </c>
      <c r="BH801" s="27" t="s">
        <v>7</v>
      </c>
      <c r="BJ801" s="27" t="s">
        <v>7</v>
      </c>
      <c r="BK801" s="27" t="s">
        <v>8</v>
      </c>
      <c r="BL801" s="27" t="s">
        <v>7</v>
      </c>
      <c r="BO801" s="27" t="s">
        <v>8</v>
      </c>
      <c r="BP801" s="27" t="s">
        <v>7</v>
      </c>
      <c r="BQ801" s="27" t="s">
        <v>8</v>
      </c>
      <c r="BR801" s="27" t="s">
        <v>7</v>
      </c>
      <c r="BW801" s="27" t="s">
        <v>8</v>
      </c>
      <c r="BX801" s="27" t="s">
        <v>7</v>
      </c>
      <c r="CG801" s="27" t="s">
        <v>8</v>
      </c>
      <c r="CH801" s="27" t="s">
        <v>7</v>
      </c>
      <c r="CI801" s="27" t="s">
        <v>8</v>
      </c>
      <c r="CJ801" s="27" t="s">
        <v>7</v>
      </c>
      <c r="CK801" s="27" t="s">
        <v>8</v>
      </c>
      <c r="CM801" s="27" t="s">
        <v>8</v>
      </c>
      <c r="CN801" s="27" t="s">
        <v>7</v>
      </c>
      <c r="CO801" s="27" t="s">
        <v>8</v>
      </c>
      <c r="CP801" s="27" t="s">
        <v>7</v>
      </c>
      <c r="CQ801" s="27" t="s">
        <v>8</v>
      </c>
      <c r="CR801" s="27" t="s">
        <v>7</v>
      </c>
      <c r="CS801" s="27" t="s">
        <v>8</v>
      </c>
      <c r="CT801" s="27" t="s">
        <v>7</v>
      </c>
      <c r="CU801" s="27" t="s">
        <v>8</v>
      </c>
      <c r="CV801" s="27" t="s">
        <v>7</v>
      </c>
      <c r="CW801" s="27" t="s">
        <v>8</v>
      </c>
      <c r="CX801" s="27" t="s">
        <v>7</v>
      </c>
      <c r="CY801" s="27" t="s">
        <v>8</v>
      </c>
      <c r="CZ801" s="27" t="s">
        <v>7</v>
      </c>
      <c r="DA801" s="27" t="s">
        <v>8</v>
      </c>
      <c r="DH801" s="27" t="s">
        <v>7</v>
      </c>
      <c r="DI801" s="27" t="s">
        <v>8</v>
      </c>
      <c r="DL801" s="27" t="s">
        <v>7</v>
      </c>
      <c r="DM801" s="27" t="s">
        <v>8</v>
      </c>
      <c r="DO801" s="27" t="s">
        <v>8</v>
      </c>
      <c r="DR801" s="27" t="s">
        <v>7</v>
      </c>
      <c r="DS801" s="27" t="s">
        <v>8</v>
      </c>
      <c r="DT801" s="27" t="s">
        <v>7</v>
      </c>
      <c r="DV801" s="27" t="s">
        <v>7</v>
      </c>
      <c r="EZ801" s="27" t="s">
        <v>7</v>
      </c>
      <c r="FW801" s="27" t="s">
        <v>8</v>
      </c>
      <c r="FX801" s="27" t="s">
        <v>7</v>
      </c>
      <c r="GH801" s="27" t="s">
        <v>7</v>
      </c>
      <c r="GI801" s="27" t="s">
        <v>8</v>
      </c>
      <c r="JD801" s="27" t="s">
        <v>7</v>
      </c>
      <c r="JE801" s="27" t="s">
        <v>8</v>
      </c>
      <c r="JG801" s="27" t="s">
        <v>8</v>
      </c>
      <c r="JH801" s="27" t="s">
        <v>7</v>
      </c>
      <c r="JI801" s="27" t="s">
        <v>8</v>
      </c>
      <c r="KD801" s="27" t="s">
        <v>7</v>
      </c>
    </row>
    <row r="802" spans="1:290" x14ac:dyDescent="0.25">
      <c r="A802" s="7">
        <v>1.4156733976771318E-2</v>
      </c>
      <c r="B802"/>
      <c r="C802"/>
      <c r="D802"/>
      <c r="E802"/>
      <c r="F802" s="27" t="s">
        <v>7</v>
      </c>
      <c r="M802" s="27" t="s">
        <v>8</v>
      </c>
      <c r="N802" s="27" t="s">
        <v>7</v>
      </c>
      <c r="O802" s="27" t="s">
        <v>8</v>
      </c>
      <c r="AP802" s="27" t="s">
        <v>7</v>
      </c>
      <c r="AR802" s="27" t="s">
        <v>7</v>
      </c>
      <c r="AS802" s="27" t="s">
        <v>8</v>
      </c>
      <c r="AU802" s="27" t="s">
        <v>8</v>
      </c>
      <c r="AV802" s="27" t="s">
        <v>7</v>
      </c>
      <c r="BA802" s="27" t="s">
        <v>8</v>
      </c>
      <c r="BB802" s="27" t="s">
        <v>7</v>
      </c>
      <c r="BC802" s="27" t="s">
        <v>8</v>
      </c>
      <c r="BD802" s="27" t="s">
        <v>7</v>
      </c>
      <c r="BE802" s="27" t="s">
        <v>8</v>
      </c>
      <c r="BF802" s="27" t="s">
        <v>7</v>
      </c>
      <c r="BG802" s="27" t="s">
        <v>8</v>
      </c>
      <c r="BJ802" s="27" t="s">
        <v>7</v>
      </c>
      <c r="BK802" s="27" t="s">
        <v>8</v>
      </c>
      <c r="BL802" s="27" t="s">
        <v>7</v>
      </c>
      <c r="BO802" s="27" t="s">
        <v>8</v>
      </c>
      <c r="BP802" s="27" t="s">
        <v>7</v>
      </c>
      <c r="BQ802" s="27" t="s">
        <v>8</v>
      </c>
      <c r="BR802" s="27" t="s">
        <v>7</v>
      </c>
      <c r="BS802" s="27" t="s">
        <v>8</v>
      </c>
      <c r="BW802" s="27" t="s">
        <v>8</v>
      </c>
      <c r="BX802" s="27" t="s">
        <v>7</v>
      </c>
      <c r="CG802" s="27" t="s">
        <v>8</v>
      </c>
      <c r="CH802" s="27" t="s">
        <v>7</v>
      </c>
      <c r="CJ802" s="27" t="s">
        <v>7</v>
      </c>
      <c r="CK802" s="27" t="s">
        <v>8</v>
      </c>
      <c r="CL802" s="27" t="s">
        <v>7</v>
      </c>
      <c r="CM802" s="27" t="s">
        <v>8</v>
      </c>
      <c r="CN802" s="27" t="s">
        <v>7</v>
      </c>
      <c r="CO802" s="27" t="s">
        <v>8</v>
      </c>
      <c r="CP802" s="27" t="s">
        <v>7</v>
      </c>
      <c r="CQ802" s="27" t="s">
        <v>8</v>
      </c>
      <c r="CR802" s="27" t="s">
        <v>7</v>
      </c>
      <c r="CS802" s="27" t="s">
        <v>8</v>
      </c>
      <c r="CT802" s="27" t="s">
        <v>7</v>
      </c>
      <c r="CU802" s="27" t="s">
        <v>8</v>
      </c>
      <c r="CV802" s="27" t="s">
        <v>7</v>
      </c>
      <c r="CW802" s="27" t="s">
        <v>8</v>
      </c>
      <c r="CX802" s="27" t="s">
        <v>7</v>
      </c>
      <c r="CY802" s="27" t="s">
        <v>8</v>
      </c>
      <c r="CZ802" s="27" t="s">
        <v>7</v>
      </c>
      <c r="DA802" s="27" t="s">
        <v>8</v>
      </c>
      <c r="DH802" s="27" t="s">
        <v>7</v>
      </c>
      <c r="DI802" s="27" t="s">
        <v>8</v>
      </c>
      <c r="DL802" s="27" t="s">
        <v>7</v>
      </c>
      <c r="DM802" s="27" t="s">
        <v>8</v>
      </c>
      <c r="DN802" s="27" t="s">
        <v>7</v>
      </c>
      <c r="DO802" s="27" t="s">
        <v>8</v>
      </c>
      <c r="DR802" s="27" t="s">
        <v>7</v>
      </c>
      <c r="DS802" s="27" t="s">
        <v>8</v>
      </c>
      <c r="EZ802" s="27" t="s">
        <v>7</v>
      </c>
      <c r="FW802" s="27" t="s">
        <v>8</v>
      </c>
      <c r="GH802" s="27" t="s">
        <v>7</v>
      </c>
      <c r="GI802" s="27" t="s">
        <v>8</v>
      </c>
      <c r="JD802" s="27" t="s">
        <v>7</v>
      </c>
      <c r="JE802" s="27" t="s">
        <v>8</v>
      </c>
      <c r="JF802" s="27" t="s">
        <v>7</v>
      </c>
      <c r="JG802" s="27" t="s">
        <v>8</v>
      </c>
      <c r="JH802" s="27" t="s">
        <v>7</v>
      </c>
    </row>
    <row r="803" spans="1:290" x14ac:dyDescent="0.25">
      <c r="A803" s="7">
        <v>1.3879150957618939E-2</v>
      </c>
      <c r="B803"/>
      <c r="C803"/>
      <c r="D803"/>
      <c r="E803"/>
      <c r="F803" s="27" t="s">
        <v>7</v>
      </c>
      <c r="M803" s="27" t="s">
        <v>8</v>
      </c>
      <c r="N803" s="27" t="s">
        <v>7</v>
      </c>
      <c r="O803" s="27" t="s">
        <v>8</v>
      </c>
      <c r="AR803" s="27" t="s">
        <v>7</v>
      </c>
      <c r="AS803" s="27" t="s">
        <v>8</v>
      </c>
      <c r="AT803" s="27" t="s">
        <v>7</v>
      </c>
      <c r="AU803" s="27" t="s">
        <v>8</v>
      </c>
      <c r="AV803" s="27" t="s">
        <v>7</v>
      </c>
      <c r="BA803" s="27" t="s">
        <v>8</v>
      </c>
      <c r="BB803" s="27" t="s">
        <v>7</v>
      </c>
      <c r="BC803" s="27" t="s">
        <v>8</v>
      </c>
      <c r="BD803" s="27" t="s">
        <v>7</v>
      </c>
      <c r="BE803" s="27" t="s">
        <v>8</v>
      </c>
      <c r="BF803" s="27" t="s">
        <v>7</v>
      </c>
      <c r="BG803" s="27" t="s">
        <v>8</v>
      </c>
      <c r="BJ803" s="27" t="s">
        <v>7</v>
      </c>
      <c r="BK803" s="27" t="s">
        <v>8</v>
      </c>
      <c r="BL803" s="27" t="s">
        <v>7</v>
      </c>
      <c r="BO803" s="27" t="s">
        <v>8</v>
      </c>
      <c r="BP803" s="27" t="s">
        <v>7</v>
      </c>
      <c r="BR803" s="27" t="s">
        <v>7</v>
      </c>
      <c r="BS803" s="27" t="s">
        <v>8</v>
      </c>
      <c r="BT803" s="27" t="s">
        <v>7</v>
      </c>
      <c r="BW803" s="27" t="s">
        <v>8</v>
      </c>
      <c r="BX803" s="27" t="s">
        <v>7</v>
      </c>
      <c r="BY803" s="27" t="s">
        <v>8</v>
      </c>
      <c r="CG803" s="27" t="s">
        <v>8</v>
      </c>
      <c r="CJ803" s="27" t="s">
        <v>7</v>
      </c>
      <c r="CK803" s="27" t="s">
        <v>8</v>
      </c>
      <c r="CL803" s="27" t="s">
        <v>7</v>
      </c>
      <c r="CM803" s="27" t="s">
        <v>8</v>
      </c>
      <c r="CN803" s="27" t="s">
        <v>7</v>
      </c>
      <c r="CO803" s="27" t="s">
        <v>8</v>
      </c>
      <c r="CP803" s="27" t="s">
        <v>7</v>
      </c>
      <c r="CQ803" s="27" t="s">
        <v>8</v>
      </c>
      <c r="CR803" s="27" t="s">
        <v>7</v>
      </c>
      <c r="CS803" s="27" t="s">
        <v>8</v>
      </c>
      <c r="CT803" s="27" t="s">
        <v>7</v>
      </c>
      <c r="CV803" s="27" t="s">
        <v>7</v>
      </c>
      <c r="CW803" s="27" t="s">
        <v>8</v>
      </c>
      <c r="CX803" s="27" t="s">
        <v>7</v>
      </c>
      <c r="CY803" s="27" t="s">
        <v>8</v>
      </c>
      <c r="CZ803" s="27" t="s">
        <v>7</v>
      </c>
      <c r="DA803" s="27" t="s">
        <v>8</v>
      </c>
      <c r="DH803" s="27" t="s">
        <v>7</v>
      </c>
      <c r="DI803" s="27" t="s">
        <v>8</v>
      </c>
      <c r="DL803" s="27" t="s">
        <v>7</v>
      </c>
      <c r="DM803" s="27" t="s">
        <v>8</v>
      </c>
      <c r="DN803" s="27" t="s">
        <v>7</v>
      </c>
      <c r="DO803" s="27" t="s">
        <v>8</v>
      </c>
      <c r="DR803" s="27" t="s">
        <v>7</v>
      </c>
      <c r="EZ803" s="27" t="s">
        <v>7</v>
      </c>
      <c r="FM803" s="27" t="s">
        <v>8</v>
      </c>
      <c r="FO803" s="27" t="s">
        <v>8</v>
      </c>
      <c r="FW803" s="27" t="s">
        <v>8</v>
      </c>
      <c r="GH803" s="27" t="s">
        <v>7</v>
      </c>
      <c r="GI803" s="27" t="s">
        <v>8</v>
      </c>
      <c r="JD803" s="27" t="s">
        <v>7</v>
      </c>
      <c r="JE803" s="27" t="s">
        <v>8</v>
      </c>
      <c r="JF803" s="27" t="s">
        <v>7</v>
      </c>
      <c r="JG803" s="27" t="s">
        <v>8</v>
      </c>
    </row>
    <row r="804" spans="1:290" x14ac:dyDescent="0.25">
      <c r="A804" s="7">
        <v>1.3607010742763666E-2</v>
      </c>
      <c r="B804"/>
      <c r="C804"/>
      <c r="D804"/>
      <c r="E804"/>
      <c r="F804" s="27" t="s">
        <v>7</v>
      </c>
      <c r="M804" s="27" t="s">
        <v>8</v>
      </c>
      <c r="N804" s="27" t="s">
        <v>7</v>
      </c>
      <c r="O804" s="27" t="s">
        <v>8</v>
      </c>
      <c r="AR804" s="27" t="s">
        <v>7</v>
      </c>
      <c r="AS804" s="27" t="s">
        <v>8</v>
      </c>
      <c r="AT804" s="27" t="s">
        <v>7</v>
      </c>
      <c r="AU804" s="27" t="s">
        <v>8</v>
      </c>
      <c r="AV804" s="27" t="s">
        <v>7</v>
      </c>
      <c r="BA804" s="27" t="s">
        <v>8</v>
      </c>
      <c r="BB804" s="27" t="s">
        <v>7</v>
      </c>
      <c r="BC804" s="27" t="s">
        <v>8</v>
      </c>
      <c r="BD804" s="27" t="s">
        <v>7</v>
      </c>
      <c r="BE804" s="27" t="s">
        <v>8</v>
      </c>
      <c r="BF804" s="27" t="s">
        <v>7</v>
      </c>
      <c r="BJ804" s="27" t="s">
        <v>7</v>
      </c>
      <c r="BL804" s="27" t="s">
        <v>7</v>
      </c>
      <c r="BO804" s="27" t="s">
        <v>8</v>
      </c>
      <c r="BR804" s="27" t="s">
        <v>7</v>
      </c>
      <c r="BS804" s="27" t="s">
        <v>8</v>
      </c>
      <c r="BT804" s="27" t="s">
        <v>7</v>
      </c>
      <c r="BW804" s="27" t="s">
        <v>8</v>
      </c>
      <c r="BX804" s="27" t="s">
        <v>7</v>
      </c>
      <c r="BY804" s="27" t="s">
        <v>8</v>
      </c>
      <c r="BZ804" s="27" t="s">
        <v>7</v>
      </c>
      <c r="CG804" s="27" t="s">
        <v>8</v>
      </c>
      <c r="CJ804" s="27" t="s">
        <v>7</v>
      </c>
      <c r="CK804" s="27" t="s">
        <v>8</v>
      </c>
      <c r="CL804" s="27" t="s">
        <v>7</v>
      </c>
      <c r="CM804" s="27" t="s">
        <v>8</v>
      </c>
      <c r="CN804" s="27" t="s">
        <v>7</v>
      </c>
      <c r="CO804" s="27" t="s">
        <v>8</v>
      </c>
      <c r="CP804" s="27" t="s">
        <v>7</v>
      </c>
      <c r="CQ804" s="27" t="s">
        <v>8</v>
      </c>
      <c r="CR804" s="27" t="s">
        <v>7</v>
      </c>
      <c r="CS804" s="27" t="s">
        <v>8</v>
      </c>
      <c r="CV804" s="27" t="s">
        <v>7</v>
      </c>
      <c r="CX804" s="27" t="s">
        <v>7</v>
      </c>
      <c r="CZ804" s="27" t="s">
        <v>7</v>
      </c>
      <c r="DA804" s="27" t="s">
        <v>8</v>
      </c>
      <c r="DH804" s="27" t="s">
        <v>7</v>
      </c>
      <c r="DI804" s="27" t="s">
        <v>8</v>
      </c>
      <c r="DL804" s="27" t="s">
        <v>7</v>
      </c>
      <c r="DM804" s="27" t="s">
        <v>8</v>
      </c>
      <c r="DN804" s="27" t="s">
        <v>7</v>
      </c>
      <c r="DO804" s="27" t="s">
        <v>8</v>
      </c>
      <c r="EZ804" s="27" t="s">
        <v>7</v>
      </c>
      <c r="FM804" s="27" t="s">
        <v>8</v>
      </c>
      <c r="FN804" s="27" t="s">
        <v>7</v>
      </c>
      <c r="FO804" s="27" t="s">
        <v>8</v>
      </c>
      <c r="FP804" s="27" t="s">
        <v>7</v>
      </c>
      <c r="FU804" s="27" t="s">
        <v>8</v>
      </c>
      <c r="FW804" s="27" t="s">
        <v>8</v>
      </c>
      <c r="GH804" s="27" t="s">
        <v>7</v>
      </c>
      <c r="JD804" s="27" t="s">
        <v>7</v>
      </c>
      <c r="JE804" s="27" t="s">
        <v>8</v>
      </c>
      <c r="JF804" s="27" t="s">
        <v>7</v>
      </c>
      <c r="JG804" s="27" t="s">
        <v>8</v>
      </c>
    </row>
    <row r="805" spans="1:290" x14ac:dyDescent="0.25">
      <c r="A805" s="7">
        <v>1.3340206610552614E-2</v>
      </c>
      <c r="B805"/>
      <c r="C805"/>
      <c r="D805"/>
      <c r="E805"/>
      <c r="F805" s="27" t="s">
        <v>7</v>
      </c>
      <c r="M805" s="27" t="s">
        <v>8</v>
      </c>
      <c r="N805" s="27" t="s">
        <v>7</v>
      </c>
      <c r="O805" s="27" t="s">
        <v>8</v>
      </c>
      <c r="AR805" s="27" t="s">
        <v>7</v>
      </c>
      <c r="AS805" s="27" t="s">
        <v>8</v>
      </c>
      <c r="AT805" s="27" t="s">
        <v>7</v>
      </c>
      <c r="AV805" s="27" t="s">
        <v>7</v>
      </c>
      <c r="BA805" s="27" t="s">
        <v>8</v>
      </c>
      <c r="BB805" s="27" t="s">
        <v>7</v>
      </c>
      <c r="BC805" s="27" t="s">
        <v>8</v>
      </c>
      <c r="BD805" s="27" t="s">
        <v>7</v>
      </c>
      <c r="BL805" s="27" t="s">
        <v>7</v>
      </c>
      <c r="BO805" s="27" t="s">
        <v>8</v>
      </c>
      <c r="BR805" s="27" t="s">
        <v>7</v>
      </c>
      <c r="BS805" s="27" t="s">
        <v>8</v>
      </c>
      <c r="BT805" s="27" t="s">
        <v>7</v>
      </c>
      <c r="BU805" s="27" t="s">
        <v>8</v>
      </c>
      <c r="BW805" s="27" t="s">
        <v>8</v>
      </c>
      <c r="BX805" s="27" t="s">
        <v>7</v>
      </c>
      <c r="BY805" s="27" t="s">
        <v>8</v>
      </c>
      <c r="BZ805" s="27" t="s">
        <v>7</v>
      </c>
      <c r="CG805" s="27" t="s">
        <v>8</v>
      </c>
      <c r="CJ805" s="27" t="s">
        <v>7</v>
      </c>
      <c r="CK805" s="27" t="s">
        <v>8</v>
      </c>
      <c r="CL805" s="27" t="s">
        <v>7</v>
      </c>
      <c r="CM805" s="27" t="s">
        <v>8</v>
      </c>
      <c r="CN805" s="27" t="s">
        <v>7</v>
      </c>
      <c r="CO805" s="27" t="s">
        <v>8</v>
      </c>
      <c r="CP805" s="27" t="s">
        <v>7</v>
      </c>
      <c r="CR805" s="27" t="s">
        <v>7</v>
      </c>
      <c r="CZ805" s="27" t="s">
        <v>7</v>
      </c>
      <c r="DA805" s="27" t="s">
        <v>8</v>
      </c>
      <c r="DH805" s="27" t="s">
        <v>7</v>
      </c>
      <c r="DI805" s="27" t="s">
        <v>8</v>
      </c>
      <c r="DL805" s="27" t="s">
        <v>7</v>
      </c>
      <c r="DN805" s="27" t="s">
        <v>7</v>
      </c>
      <c r="DO805" s="27" t="s">
        <v>8</v>
      </c>
      <c r="EZ805" s="27" t="s">
        <v>7</v>
      </c>
      <c r="FM805" s="27" t="s">
        <v>8</v>
      </c>
      <c r="FN805" s="27" t="s">
        <v>7</v>
      </c>
      <c r="FO805" s="27" t="s">
        <v>8</v>
      </c>
      <c r="FP805" s="27" t="s">
        <v>7</v>
      </c>
      <c r="FU805" s="27" t="s">
        <v>8</v>
      </c>
      <c r="FV805" s="27" t="s">
        <v>7</v>
      </c>
      <c r="FW805" s="27" t="s">
        <v>8</v>
      </c>
      <c r="JD805" s="27" t="s">
        <v>7</v>
      </c>
      <c r="JE805" s="27" t="s">
        <v>8</v>
      </c>
      <c r="JF805" s="27" t="s">
        <v>7</v>
      </c>
      <c r="JG805" s="27" t="s">
        <v>8</v>
      </c>
    </row>
    <row r="806" spans="1:290" x14ac:dyDescent="0.25">
      <c r="A806" s="7">
        <v>1.3078633931914328E-2</v>
      </c>
      <c r="B806"/>
      <c r="C806"/>
      <c r="D806"/>
      <c r="E806"/>
      <c r="F806" s="27" t="s">
        <v>7</v>
      </c>
      <c r="M806" s="27" t="s">
        <v>8</v>
      </c>
      <c r="N806" s="27" t="s">
        <v>7</v>
      </c>
      <c r="O806" s="27" t="s">
        <v>8</v>
      </c>
      <c r="AR806" s="27" t="s">
        <v>7</v>
      </c>
      <c r="AS806" s="27" t="s">
        <v>8</v>
      </c>
      <c r="AV806" s="27" t="s">
        <v>7</v>
      </c>
      <c r="AW806" s="27" t="s">
        <v>8</v>
      </c>
      <c r="BA806" s="27" t="s">
        <v>8</v>
      </c>
      <c r="BB806" s="27" t="s">
        <v>7</v>
      </c>
      <c r="BC806" s="27" t="s">
        <v>8</v>
      </c>
      <c r="BL806" s="27" t="s">
        <v>7</v>
      </c>
      <c r="BO806" s="27" t="s">
        <v>8</v>
      </c>
      <c r="BR806" s="27" t="s">
        <v>7</v>
      </c>
      <c r="BT806" s="27" t="s">
        <v>7</v>
      </c>
      <c r="BU806" s="27" t="s">
        <v>8</v>
      </c>
      <c r="BV806" s="27" t="s">
        <v>7</v>
      </c>
      <c r="BW806" s="27" t="s">
        <v>8</v>
      </c>
      <c r="BX806" s="27" t="s">
        <v>7</v>
      </c>
      <c r="BZ806" s="27" t="s">
        <v>7</v>
      </c>
      <c r="CG806" s="27" t="s">
        <v>8</v>
      </c>
      <c r="CJ806" s="27" t="s">
        <v>7</v>
      </c>
      <c r="CL806" s="27" t="s">
        <v>7</v>
      </c>
      <c r="CN806" s="27" t="s">
        <v>7</v>
      </c>
      <c r="CO806" s="27" t="s">
        <v>8</v>
      </c>
      <c r="CZ806" s="27" t="s">
        <v>7</v>
      </c>
      <c r="DA806" s="27" t="s">
        <v>8</v>
      </c>
      <c r="DH806" s="27" t="s">
        <v>7</v>
      </c>
      <c r="DI806" s="27" t="s">
        <v>8</v>
      </c>
      <c r="DN806" s="27" t="s">
        <v>7</v>
      </c>
      <c r="DO806" s="27" t="s">
        <v>8</v>
      </c>
      <c r="EZ806" s="27" t="s">
        <v>7</v>
      </c>
      <c r="FM806" s="27" t="s">
        <v>8</v>
      </c>
      <c r="FN806" s="27" t="s">
        <v>7</v>
      </c>
      <c r="FO806" s="27" t="s">
        <v>8</v>
      </c>
      <c r="FP806" s="27" t="s">
        <v>7</v>
      </c>
      <c r="FU806" s="27" t="s">
        <v>8</v>
      </c>
      <c r="FV806" s="27" t="s">
        <v>7</v>
      </c>
      <c r="FW806" s="27" t="s">
        <v>8</v>
      </c>
      <c r="JD806" s="27" t="s">
        <v>7</v>
      </c>
      <c r="JF806" s="27" t="s">
        <v>7</v>
      </c>
      <c r="JG806" s="27" t="s">
        <v>8</v>
      </c>
    </row>
    <row r="807" spans="1:290" x14ac:dyDescent="0.25">
      <c r="A807" s="7">
        <v>1.2822190129327771E-2</v>
      </c>
      <c r="B807"/>
      <c r="C807"/>
      <c r="D807"/>
      <c r="E807"/>
      <c r="F807" s="27" t="s">
        <v>7</v>
      </c>
      <c r="M807" s="27" t="s">
        <v>8</v>
      </c>
      <c r="N807" s="27" t="s">
        <v>7</v>
      </c>
      <c r="O807" s="27" t="s">
        <v>8</v>
      </c>
      <c r="AR807" s="27" t="s">
        <v>7</v>
      </c>
      <c r="AS807" s="27" t="s">
        <v>8</v>
      </c>
      <c r="AV807" s="27" t="s">
        <v>7</v>
      </c>
      <c r="AW807" s="27" t="s">
        <v>8</v>
      </c>
      <c r="AX807" s="27" t="s">
        <v>7</v>
      </c>
      <c r="BA807" s="27" t="s">
        <v>8</v>
      </c>
      <c r="BB807" s="27" t="s">
        <v>7</v>
      </c>
      <c r="BC807" s="27" t="s">
        <v>8</v>
      </c>
      <c r="BL807" s="27" t="s">
        <v>7</v>
      </c>
      <c r="BO807" s="27" t="s">
        <v>8</v>
      </c>
      <c r="BT807" s="27" t="s">
        <v>7</v>
      </c>
      <c r="BU807" s="27" t="s">
        <v>8</v>
      </c>
      <c r="BV807" s="27" t="s">
        <v>7</v>
      </c>
      <c r="BW807" s="27" t="s">
        <v>8</v>
      </c>
      <c r="BZ807" s="27" t="s">
        <v>7</v>
      </c>
      <c r="CG807" s="27" t="s">
        <v>8</v>
      </c>
      <c r="CN807" s="27" t="s">
        <v>7</v>
      </c>
      <c r="CZ807" s="27" t="s">
        <v>7</v>
      </c>
      <c r="DA807" s="27" t="s">
        <v>8</v>
      </c>
      <c r="DH807" s="27" t="s">
        <v>7</v>
      </c>
      <c r="DI807" s="27" t="s">
        <v>8</v>
      </c>
      <c r="DN807" s="27" t="s">
        <v>7</v>
      </c>
      <c r="DO807" s="27" t="s">
        <v>8</v>
      </c>
      <c r="EZ807" s="27" t="s">
        <v>7</v>
      </c>
      <c r="FE807" s="27" t="s">
        <v>8</v>
      </c>
      <c r="FM807" s="27" t="s">
        <v>8</v>
      </c>
      <c r="FN807" s="27" t="s">
        <v>7</v>
      </c>
      <c r="FP807" s="27" t="s">
        <v>7</v>
      </c>
      <c r="FQ807" s="27" t="s">
        <v>8</v>
      </c>
      <c r="FU807" s="27" t="s">
        <v>8</v>
      </c>
      <c r="FV807" s="27" t="s">
        <v>7</v>
      </c>
      <c r="FW807" s="27" t="s">
        <v>8</v>
      </c>
      <c r="JF807" s="27" t="s">
        <v>7</v>
      </c>
      <c r="JG807" s="27" t="s">
        <v>8</v>
      </c>
    </row>
    <row r="808" spans="1:290" x14ac:dyDescent="0.25">
      <c r="A808" s="7">
        <v>1.2570774636595854E-2</v>
      </c>
      <c r="B808"/>
      <c r="C808"/>
      <c r="D808"/>
      <c r="E808"/>
      <c r="F808" s="27" t="s">
        <v>7</v>
      </c>
      <c r="M808" s="27" t="s">
        <v>8</v>
      </c>
      <c r="N808" s="27" t="s">
        <v>7</v>
      </c>
      <c r="O808" s="27" t="s">
        <v>8</v>
      </c>
      <c r="AR808" s="27" t="s">
        <v>7</v>
      </c>
      <c r="AS808" s="27" t="s">
        <v>8</v>
      </c>
      <c r="AV808" s="27" t="s">
        <v>7</v>
      </c>
      <c r="AW808" s="27" t="s">
        <v>8</v>
      </c>
      <c r="AX808" s="27" t="s">
        <v>7</v>
      </c>
      <c r="BA808" s="27" t="s">
        <v>8</v>
      </c>
      <c r="BB808" s="27" t="s">
        <v>7</v>
      </c>
      <c r="BC808" s="27" t="s">
        <v>8</v>
      </c>
      <c r="BL808" s="27" t="s">
        <v>7</v>
      </c>
      <c r="BO808" s="27" t="s">
        <v>8</v>
      </c>
      <c r="BT808" s="27" t="s">
        <v>7</v>
      </c>
      <c r="BV808" s="27" t="s">
        <v>7</v>
      </c>
      <c r="BZ808" s="27" t="s">
        <v>7</v>
      </c>
      <c r="CG808" s="27" t="s">
        <v>8</v>
      </c>
      <c r="CZ808" s="27" t="s">
        <v>7</v>
      </c>
      <c r="DA808" s="27" t="s">
        <v>8</v>
      </c>
      <c r="DH808" s="27" t="s">
        <v>7</v>
      </c>
      <c r="DI808" s="27" t="s">
        <v>8</v>
      </c>
      <c r="DN808" s="27" t="s">
        <v>7</v>
      </c>
      <c r="DO808" s="27" t="s">
        <v>8</v>
      </c>
      <c r="EZ808" s="27" t="s">
        <v>7</v>
      </c>
      <c r="FE808" s="27" t="s">
        <v>8</v>
      </c>
      <c r="FF808" s="27" t="s">
        <v>7</v>
      </c>
      <c r="FM808" s="27" t="s">
        <v>8</v>
      </c>
      <c r="FP808" s="27" t="s">
        <v>7</v>
      </c>
      <c r="FQ808" s="27" t="s">
        <v>8</v>
      </c>
      <c r="FR808" s="27" t="s">
        <v>7</v>
      </c>
      <c r="FU808" s="27" t="s">
        <v>8</v>
      </c>
      <c r="FV808" s="27" t="s">
        <v>7</v>
      </c>
      <c r="FW808" s="27" t="s">
        <v>8</v>
      </c>
      <c r="JF808" s="27" t="s">
        <v>7</v>
      </c>
      <c r="JG808" s="27" t="s">
        <v>8</v>
      </c>
    </row>
    <row r="809" spans="1:290" x14ac:dyDescent="0.25">
      <c r="A809" s="7">
        <v>1.23242888594077E-2</v>
      </c>
      <c r="B809"/>
      <c r="C809"/>
      <c r="D809"/>
      <c r="E809"/>
      <c r="F809" s="27" t="s">
        <v>7</v>
      </c>
      <c r="M809" s="27" t="s">
        <v>8</v>
      </c>
      <c r="N809" s="27" t="s">
        <v>7</v>
      </c>
      <c r="O809" s="27" t="s">
        <v>8</v>
      </c>
      <c r="AR809" s="27" t="s">
        <v>7</v>
      </c>
      <c r="AS809" s="27" t="s">
        <v>8</v>
      </c>
      <c r="AV809" s="27" t="s">
        <v>7</v>
      </c>
      <c r="AW809" s="27" t="s">
        <v>8</v>
      </c>
      <c r="AX809" s="27" t="s">
        <v>7</v>
      </c>
      <c r="BA809" s="27" t="s">
        <v>8</v>
      </c>
      <c r="BB809" s="27" t="s">
        <v>7</v>
      </c>
      <c r="BL809" s="27" t="s">
        <v>7</v>
      </c>
      <c r="BM809" s="27" t="s">
        <v>8</v>
      </c>
      <c r="BO809" s="27" t="s">
        <v>8</v>
      </c>
      <c r="BZ809" s="27" t="s">
        <v>7</v>
      </c>
      <c r="CG809" s="27" t="s">
        <v>8</v>
      </c>
      <c r="CZ809" s="27" t="s">
        <v>7</v>
      </c>
      <c r="DH809" s="27" t="s">
        <v>7</v>
      </c>
      <c r="DI809" s="27" t="s">
        <v>8</v>
      </c>
      <c r="DN809" s="27" t="s">
        <v>7</v>
      </c>
      <c r="DO809" s="27" t="s">
        <v>8</v>
      </c>
      <c r="EZ809" s="27" t="s">
        <v>7</v>
      </c>
      <c r="FE809" s="27" t="s">
        <v>8</v>
      </c>
      <c r="FF809" s="27" t="s">
        <v>7</v>
      </c>
      <c r="FM809" s="27" t="s">
        <v>8</v>
      </c>
      <c r="FP809" s="27" t="s">
        <v>7</v>
      </c>
      <c r="FQ809" s="27" t="s">
        <v>8</v>
      </c>
      <c r="FR809" s="27" t="s">
        <v>7</v>
      </c>
      <c r="FS809" s="27" t="s">
        <v>8</v>
      </c>
      <c r="FU809" s="27" t="s">
        <v>8</v>
      </c>
      <c r="FV809" s="27" t="s">
        <v>7</v>
      </c>
      <c r="FW809" s="27" t="s">
        <v>8</v>
      </c>
      <c r="JF809" s="27" t="s">
        <v>7</v>
      </c>
      <c r="JG809" s="27" t="s">
        <v>8</v>
      </c>
    </row>
    <row r="810" spans="1:290" x14ac:dyDescent="0.25">
      <c r="A810" s="7">
        <v>1.2082636136674216E-2</v>
      </c>
      <c r="B810"/>
      <c r="C810"/>
      <c r="D810"/>
      <c r="E810"/>
      <c r="F810" s="27" t="s">
        <v>7</v>
      </c>
      <c r="M810" s="27" t="s">
        <v>8</v>
      </c>
      <c r="N810" s="27" t="s">
        <v>7</v>
      </c>
      <c r="AR810" s="27" t="s">
        <v>7</v>
      </c>
      <c r="AS810" s="27" t="s">
        <v>8</v>
      </c>
      <c r="AV810" s="27" t="s">
        <v>7</v>
      </c>
      <c r="AW810" s="27" t="s">
        <v>8</v>
      </c>
      <c r="AX810" s="27" t="s">
        <v>7</v>
      </c>
      <c r="BA810" s="27" t="s">
        <v>8</v>
      </c>
      <c r="BL810" s="27" t="s">
        <v>7</v>
      </c>
      <c r="BM810" s="27" t="s">
        <v>8</v>
      </c>
      <c r="BN810" s="27" t="s">
        <v>7</v>
      </c>
      <c r="BO810" s="27" t="s">
        <v>8</v>
      </c>
      <c r="BZ810" s="27" t="s">
        <v>7</v>
      </c>
      <c r="CG810" s="27" t="s">
        <v>8</v>
      </c>
      <c r="DH810" s="27" t="s">
        <v>7</v>
      </c>
      <c r="DI810" s="27" t="s">
        <v>8</v>
      </c>
      <c r="DN810" s="27" t="s">
        <v>7</v>
      </c>
      <c r="DO810" s="27" t="s">
        <v>8</v>
      </c>
      <c r="EZ810" s="27" t="s">
        <v>7</v>
      </c>
      <c r="FE810" s="27" t="s">
        <v>8</v>
      </c>
      <c r="FF810" s="27" t="s">
        <v>7</v>
      </c>
      <c r="FI810" s="27" t="s">
        <v>8</v>
      </c>
      <c r="FK810" s="27" t="s">
        <v>8</v>
      </c>
      <c r="FM810" s="27" t="s">
        <v>8</v>
      </c>
      <c r="FP810" s="27" t="s">
        <v>7</v>
      </c>
      <c r="FQ810" s="27" t="s">
        <v>8</v>
      </c>
      <c r="FR810" s="27" t="s">
        <v>7</v>
      </c>
      <c r="FS810" s="27" t="s">
        <v>8</v>
      </c>
      <c r="FT810" s="27" t="s">
        <v>7</v>
      </c>
      <c r="FU810" s="27" t="s">
        <v>8</v>
      </c>
      <c r="FV810" s="27" t="s">
        <v>7</v>
      </c>
      <c r="FW810" s="27" t="s">
        <v>8</v>
      </c>
      <c r="JF810" s="27" t="s">
        <v>7</v>
      </c>
      <c r="JG810" s="27" t="s">
        <v>8</v>
      </c>
    </row>
    <row r="811" spans="1:290" x14ac:dyDescent="0.25">
      <c r="A811" s="7">
        <v>1.184572170262178E-2</v>
      </c>
      <c r="B811"/>
      <c r="C811"/>
      <c r="D811"/>
      <c r="E811"/>
      <c r="F811" s="27" t="s">
        <v>7</v>
      </c>
      <c r="M811" s="27" t="s">
        <v>8</v>
      </c>
      <c r="AR811" s="27" t="s">
        <v>7</v>
      </c>
      <c r="AV811" s="27" t="s">
        <v>7</v>
      </c>
      <c r="AW811" s="27" t="s">
        <v>8</v>
      </c>
      <c r="AX811" s="27" t="s">
        <v>7</v>
      </c>
      <c r="BA811" s="27" t="s">
        <v>8</v>
      </c>
      <c r="BL811" s="27" t="s">
        <v>7</v>
      </c>
      <c r="BM811" s="27" t="s">
        <v>8</v>
      </c>
      <c r="BN811" s="27" t="s">
        <v>7</v>
      </c>
      <c r="BO811" s="27" t="s">
        <v>8</v>
      </c>
      <c r="BZ811" s="27" t="s">
        <v>7</v>
      </c>
      <c r="CG811" s="27" t="s">
        <v>8</v>
      </c>
      <c r="DH811" s="27" t="s">
        <v>7</v>
      </c>
      <c r="DI811" s="27" t="s">
        <v>8</v>
      </c>
      <c r="DN811" s="27" t="s">
        <v>7</v>
      </c>
      <c r="DO811" s="27" t="s">
        <v>8</v>
      </c>
      <c r="EZ811" s="27" t="s">
        <v>7</v>
      </c>
      <c r="FE811" s="27" t="s">
        <v>8</v>
      </c>
      <c r="FF811" s="27" t="s">
        <v>7</v>
      </c>
      <c r="FG811" s="27" t="s">
        <v>8</v>
      </c>
      <c r="FI811" s="27" t="s">
        <v>8</v>
      </c>
      <c r="FJ811" s="27" t="s">
        <v>7</v>
      </c>
      <c r="FK811" s="27" t="s">
        <v>8</v>
      </c>
      <c r="FL811" s="27" t="s">
        <v>7</v>
      </c>
      <c r="FM811" s="27" t="s">
        <v>8</v>
      </c>
      <c r="FP811" s="27" t="s">
        <v>7</v>
      </c>
      <c r="FQ811" s="27" t="s">
        <v>8</v>
      </c>
      <c r="FR811" s="27" t="s">
        <v>7</v>
      </c>
      <c r="FS811" s="27" t="s">
        <v>8</v>
      </c>
      <c r="FT811" s="27" t="s">
        <v>7</v>
      </c>
      <c r="FU811" s="27" t="s">
        <v>8</v>
      </c>
      <c r="FV811" s="27" t="s">
        <v>7</v>
      </c>
      <c r="JF811" s="27" t="s">
        <v>7</v>
      </c>
    </row>
    <row r="812" spans="1:290" x14ac:dyDescent="0.25">
      <c r="A812" s="7">
        <v>1.1613452649629196E-2</v>
      </c>
      <c r="B812"/>
      <c r="C812"/>
      <c r="D812"/>
      <c r="E812"/>
      <c r="F812" s="27" t="s">
        <v>7</v>
      </c>
      <c r="M812" s="27" t="s">
        <v>8</v>
      </c>
      <c r="AV812" s="27" t="s">
        <v>7</v>
      </c>
      <c r="AW812" s="27" t="s">
        <v>8</v>
      </c>
      <c r="AX812" s="27" t="s">
        <v>7</v>
      </c>
      <c r="BA812" s="27" t="s">
        <v>8</v>
      </c>
      <c r="BL812" s="27" t="s">
        <v>7</v>
      </c>
      <c r="BN812" s="27" t="s">
        <v>7</v>
      </c>
      <c r="BO812" s="27" t="s">
        <v>8</v>
      </c>
      <c r="BZ812" s="27" t="s">
        <v>7</v>
      </c>
      <c r="CA812" s="27" t="s">
        <v>8</v>
      </c>
      <c r="CG812" s="27" t="s">
        <v>8</v>
      </c>
      <c r="DH812" s="27" t="s">
        <v>7</v>
      </c>
      <c r="DI812" s="27" t="s">
        <v>8</v>
      </c>
      <c r="DN812" s="27" t="s">
        <v>7</v>
      </c>
      <c r="DO812" s="27" t="s">
        <v>8</v>
      </c>
      <c r="EZ812" s="27" t="s">
        <v>7</v>
      </c>
      <c r="FE812" s="27" t="s">
        <v>8</v>
      </c>
      <c r="FF812" s="27" t="s">
        <v>7</v>
      </c>
      <c r="FG812" s="27" t="s">
        <v>8</v>
      </c>
      <c r="FH812" s="27" t="s">
        <v>7</v>
      </c>
      <c r="FI812" s="27" t="s">
        <v>8</v>
      </c>
      <c r="FJ812" s="27" t="s">
        <v>7</v>
      </c>
      <c r="FK812" s="27" t="s">
        <v>8</v>
      </c>
      <c r="FL812" s="27" t="s">
        <v>7</v>
      </c>
      <c r="FM812" s="27" t="s">
        <v>8</v>
      </c>
      <c r="FP812" s="27" t="s">
        <v>7</v>
      </c>
      <c r="FR812" s="27" t="s">
        <v>7</v>
      </c>
      <c r="FT812" s="27" t="s">
        <v>7</v>
      </c>
      <c r="FU812" s="27" t="s">
        <v>8</v>
      </c>
    </row>
    <row r="813" spans="1:290" x14ac:dyDescent="0.25">
      <c r="A813" s="7">
        <v>1.138573789179333E-2</v>
      </c>
      <c r="B813"/>
      <c r="C813"/>
      <c r="D813"/>
      <c r="E813"/>
      <c r="F813" s="27" t="s">
        <v>7</v>
      </c>
      <c r="M813" s="27" t="s">
        <v>8</v>
      </c>
      <c r="AV813" s="27" t="s">
        <v>7</v>
      </c>
      <c r="AW813" s="27" t="s">
        <v>8</v>
      </c>
      <c r="AX813" s="27" t="s">
        <v>7</v>
      </c>
      <c r="AY813" s="27" t="s">
        <v>8</v>
      </c>
      <c r="BA813" s="27" t="s">
        <v>8</v>
      </c>
      <c r="BN813" s="27" t="s">
        <v>7</v>
      </c>
      <c r="BZ813" s="27" t="s">
        <v>7</v>
      </c>
      <c r="CA813" s="27" t="s">
        <v>8</v>
      </c>
      <c r="CB813" s="27" t="s">
        <v>7</v>
      </c>
      <c r="CG813" s="27" t="s">
        <v>8</v>
      </c>
      <c r="DH813" s="27" t="s">
        <v>7</v>
      </c>
      <c r="DN813" s="27" t="s">
        <v>7</v>
      </c>
      <c r="EZ813" s="27" t="s">
        <v>7</v>
      </c>
      <c r="FA813" s="27" t="s">
        <v>8</v>
      </c>
      <c r="FE813" s="27" t="s">
        <v>8</v>
      </c>
      <c r="FF813" s="27" t="s">
        <v>7</v>
      </c>
      <c r="FG813" s="27" t="s">
        <v>8</v>
      </c>
      <c r="FH813" s="27" t="s">
        <v>7</v>
      </c>
      <c r="FI813" s="27" t="s">
        <v>8</v>
      </c>
      <c r="FJ813" s="27" t="s">
        <v>7</v>
      </c>
      <c r="FK813" s="27" t="s">
        <v>8</v>
      </c>
      <c r="FL813" s="27" t="s">
        <v>7</v>
      </c>
      <c r="FT813" s="27" t="s">
        <v>7</v>
      </c>
    </row>
    <row r="814" spans="1:290" x14ac:dyDescent="0.25">
      <c r="A814" s="7">
        <v>1.1162488129209149E-2</v>
      </c>
      <c r="B814"/>
      <c r="C814"/>
      <c r="D814"/>
      <c r="E814"/>
      <c r="F814" s="27" t="s">
        <v>7</v>
      </c>
      <c r="K814" s="27" t="s">
        <v>8</v>
      </c>
      <c r="M814" s="27" t="s">
        <v>8</v>
      </c>
      <c r="AV814" s="27" t="s">
        <v>7</v>
      </c>
      <c r="AX814" s="27" t="s">
        <v>7</v>
      </c>
      <c r="AY814" s="27" t="s">
        <v>8</v>
      </c>
      <c r="AZ814" s="27" t="s">
        <v>7</v>
      </c>
      <c r="BA814" s="27" t="s">
        <v>8</v>
      </c>
      <c r="BZ814" s="27" t="s">
        <v>7</v>
      </c>
      <c r="CA814" s="27" t="s">
        <v>8</v>
      </c>
      <c r="CB814" s="27" t="s">
        <v>7</v>
      </c>
      <c r="CC814" s="27" t="s">
        <v>8</v>
      </c>
      <c r="CG814" s="27" t="s">
        <v>8</v>
      </c>
      <c r="EZ814" s="27" t="s">
        <v>7</v>
      </c>
      <c r="FA814" s="27" t="s">
        <v>8</v>
      </c>
      <c r="FB814" s="27" t="s">
        <v>7</v>
      </c>
      <c r="FE814" s="27" t="s">
        <v>8</v>
      </c>
      <c r="FF814" s="27" t="s">
        <v>7</v>
      </c>
      <c r="FG814" s="27" t="s">
        <v>8</v>
      </c>
      <c r="FH814" s="27" t="s">
        <v>7</v>
      </c>
      <c r="FI814" s="27" t="s">
        <v>8</v>
      </c>
      <c r="FJ814" s="27" t="s">
        <v>7</v>
      </c>
      <c r="FK814" s="27" t="s">
        <v>8</v>
      </c>
    </row>
    <row r="815" spans="1:290" x14ac:dyDescent="0.25">
      <c r="A815" s="7">
        <v>1.0943615812950145E-2</v>
      </c>
      <c r="B815"/>
      <c r="C815"/>
      <c r="D815"/>
      <c r="E815"/>
      <c r="F815" s="27" t="s">
        <v>7</v>
      </c>
      <c r="K815" s="27" t="s">
        <v>8</v>
      </c>
      <c r="L815" s="27" t="s">
        <v>7</v>
      </c>
      <c r="M815" s="27" t="s">
        <v>8</v>
      </c>
      <c r="AX815" s="27" t="s">
        <v>7</v>
      </c>
      <c r="AY815" s="27" t="s">
        <v>8</v>
      </c>
      <c r="AZ815" s="27" t="s">
        <v>7</v>
      </c>
      <c r="BA815" s="27" t="s">
        <v>8</v>
      </c>
      <c r="BZ815" s="27" t="s">
        <v>7</v>
      </c>
      <c r="CA815" s="27" t="s">
        <v>8</v>
      </c>
      <c r="CB815" s="27" t="s">
        <v>7</v>
      </c>
      <c r="CC815" s="27" t="s">
        <v>8</v>
      </c>
      <c r="CD815" s="27" t="s">
        <v>7</v>
      </c>
      <c r="CE815" s="27" t="s">
        <v>8</v>
      </c>
      <c r="CG815" s="27" t="s">
        <v>8</v>
      </c>
      <c r="EZ815" s="27" t="s">
        <v>7</v>
      </c>
      <c r="FA815" s="27" t="s">
        <v>8</v>
      </c>
      <c r="FB815" s="27" t="s">
        <v>7</v>
      </c>
      <c r="FE815" s="27" t="s">
        <v>8</v>
      </c>
      <c r="FF815" s="27" t="s">
        <v>7</v>
      </c>
      <c r="FG815" s="27" t="s">
        <v>8</v>
      </c>
      <c r="FH815" s="27" t="s">
        <v>7</v>
      </c>
      <c r="FI815" s="27" t="s">
        <v>8</v>
      </c>
      <c r="FJ815" s="27" t="s">
        <v>7</v>
      </c>
      <c r="FK815" s="27" t="s">
        <v>8</v>
      </c>
    </row>
    <row r="816" spans="1:290" x14ac:dyDescent="0.25">
      <c r="A816" s="7">
        <v>1.0729035110735436E-2</v>
      </c>
      <c r="B816"/>
      <c r="C816"/>
      <c r="D816"/>
      <c r="E816"/>
      <c r="F816" s="27" t="s">
        <v>7</v>
      </c>
      <c r="K816" s="27" t="s">
        <v>8</v>
      </c>
      <c r="L816" s="27" t="s">
        <v>7</v>
      </c>
      <c r="M816" s="27" t="s">
        <v>8</v>
      </c>
      <c r="AX816" s="27" t="s">
        <v>7</v>
      </c>
      <c r="AY816" s="27" t="s">
        <v>8</v>
      </c>
      <c r="AZ816" s="27" t="s">
        <v>7</v>
      </c>
      <c r="BA816" s="27" t="s">
        <v>8</v>
      </c>
      <c r="BZ816" s="27" t="s">
        <v>7</v>
      </c>
      <c r="CA816" s="27" t="s">
        <v>8</v>
      </c>
      <c r="CB816" s="27" t="s">
        <v>7</v>
      </c>
      <c r="CC816" s="27" t="s">
        <v>8</v>
      </c>
      <c r="CD816" s="27" t="s">
        <v>7</v>
      </c>
      <c r="CE816" s="27" t="s">
        <v>8</v>
      </c>
      <c r="CF816" s="27" t="s">
        <v>7</v>
      </c>
      <c r="CG816" s="27" t="s">
        <v>8</v>
      </c>
      <c r="EZ816" s="27" t="s">
        <v>7</v>
      </c>
      <c r="FA816" s="27" t="s">
        <v>8</v>
      </c>
      <c r="FB816" s="27" t="s">
        <v>7</v>
      </c>
      <c r="FE816" s="27" t="s">
        <v>8</v>
      </c>
      <c r="FF816" s="27" t="s">
        <v>7</v>
      </c>
      <c r="FG816" s="27" t="s">
        <v>8</v>
      </c>
      <c r="FH816" s="27" t="s">
        <v>7</v>
      </c>
      <c r="FJ816" s="27" t="s">
        <v>7</v>
      </c>
      <c r="FK816" s="27" t="s">
        <v>8</v>
      </c>
    </row>
    <row r="817" spans="1:167" x14ac:dyDescent="0.25">
      <c r="A817" s="7">
        <v>1.0518661873270036E-2</v>
      </c>
      <c r="B817"/>
      <c r="C817"/>
      <c r="D817"/>
      <c r="E817"/>
      <c r="F817" s="27" t="s">
        <v>7</v>
      </c>
      <c r="K817" s="27" t="s">
        <v>8</v>
      </c>
      <c r="L817" s="27" t="s">
        <v>7</v>
      </c>
      <c r="M817" s="27" t="s">
        <v>8</v>
      </c>
      <c r="AX817" s="27" t="s">
        <v>7</v>
      </c>
      <c r="AZ817" s="27" t="s">
        <v>7</v>
      </c>
      <c r="BA817" s="27" t="s">
        <v>8</v>
      </c>
      <c r="BZ817" s="27" t="s">
        <v>7</v>
      </c>
      <c r="CB817" s="27" t="s">
        <v>7</v>
      </c>
      <c r="CC817" s="27" t="s">
        <v>8</v>
      </c>
      <c r="CD817" s="27" t="s">
        <v>7</v>
      </c>
      <c r="CE817" s="27" t="s">
        <v>8</v>
      </c>
      <c r="CF817" s="27" t="s">
        <v>7</v>
      </c>
      <c r="CG817" s="27" t="s">
        <v>8</v>
      </c>
      <c r="EZ817" s="27" t="s">
        <v>7</v>
      </c>
      <c r="FA817" s="27" t="s">
        <v>8</v>
      </c>
      <c r="FB817" s="27" t="s">
        <v>7</v>
      </c>
      <c r="FE817" s="27" t="s">
        <v>8</v>
      </c>
      <c r="FF817" s="27" t="s">
        <v>7</v>
      </c>
      <c r="FG817" s="27" t="s">
        <v>8</v>
      </c>
      <c r="FJ817" s="27" t="s">
        <v>7</v>
      </c>
      <c r="FK817" s="27" t="s">
        <v>8</v>
      </c>
    </row>
    <row r="818" spans="1:167" x14ac:dyDescent="0.25">
      <c r="A818" s="7">
        <v>1.0312413601245135E-2</v>
      </c>
      <c r="B818"/>
      <c r="C818"/>
      <c r="D818"/>
      <c r="E818"/>
      <c r="F818" s="27" t="s">
        <v>7</v>
      </c>
      <c r="K818" s="27" t="s">
        <v>8</v>
      </c>
      <c r="L818" s="27" t="s">
        <v>7</v>
      </c>
      <c r="M818" s="27" t="s">
        <v>8</v>
      </c>
      <c r="AZ818" s="27" t="s">
        <v>7</v>
      </c>
      <c r="BA818" s="27" t="s">
        <v>8</v>
      </c>
      <c r="CB818" s="27" t="s">
        <v>7</v>
      </c>
      <c r="CC818" s="27" t="s">
        <v>8</v>
      </c>
      <c r="CD818" s="27" t="s">
        <v>7</v>
      </c>
      <c r="CE818" s="27" t="s">
        <v>8</v>
      </c>
      <c r="CF818" s="27" t="s">
        <v>7</v>
      </c>
      <c r="CG818" s="27" t="s">
        <v>8</v>
      </c>
      <c r="EZ818" s="27" t="s">
        <v>7</v>
      </c>
      <c r="FA818" s="27" t="s">
        <v>8</v>
      </c>
      <c r="FB818" s="27" t="s">
        <v>7</v>
      </c>
      <c r="FE818" s="27" t="s">
        <v>8</v>
      </c>
      <c r="FF818" s="27" t="s">
        <v>7</v>
      </c>
      <c r="FG818" s="27" t="s">
        <v>8</v>
      </c>
      <c r="FJ818" s="27" t="s">
        <v>7</v>
      </c>
      <c r="FK818" s="27" t="s">
        <v>8</v>
      </c>
    </row>
    <row r="819" spans="1:167" x14ac:dyDescent="0.25">
      <c r="A819" s="7">
        <v>1.0110209412985426E-2</v>
      </c>
      <c r="B819"/>
      <c r="C819"/>
      <c r="D819"/>
      <c r="E819"/>
      <c r="F819" s="27" t="s">
        <v>7</v>
      </c>
      <c r="K819" s="27" t="s">
        <v>8</v>
      </c>
      <c r="L819" s="27" t="s">
        <v>7</v>
      </c>
      <c r="M819" s="27" t="s">
        <v>8</v>
      </c>
      <c r="AZ819" s="27" t="s">
        <v>7</v>
      </c>
      <c r="BA819" s="27" t="s">
        <v>8</v>
      </c>
      <c r="CB819" s="27" t="s">
        <v>7</v>
      </c>
      <c r="CD819" s="27" t="s">
        <v>7</v>
      </c>
      <c r="CF819" s="27" t="s">
        <v>7</v>
      </c>
      <c r="EZ819" s="27" t="s">
        <v>7</v>
      </c>
      <c r="FA819" s="27" t="s">
        <v>8</v>
      </c>
      <c r="FB819" s="27" t="s">
        <v>7</v>
      </c>
      <c r="FE819" s="27" t="s">
        <v>8</v>
      </c>
      <c r="FF819" s="27" t="s">
        <v>7</v>
      </c>
      <c r="FG819" s="27" t="s">
        <v>8</v>
      </c>
      <c r="FJ819" s="27" t="s">
        <v>7</v>
      </c>
    </row>
    <row r="820" spans="1:167" x14ac:dyDescent="0.25">
      <c r="A820" s="7">
        <v>9.9119700127308103E-3</v>
      </c>
      <c r="B820"/>
      <c r="C820"/>
      <c r="D820"/>
      <c r="E820"/>
      <c r="F820" s="27" t="s">
        <v>7</v>
      </c>
      <c r="K820" s="27" t="s">
        <v>8</v>
      </c>
      <c r="L820" s="27" t="s">
        <v>7</v>
      </c>
      <c r="M820" s="27" t="s">
        <v>8</v>
      </c>
      <c r="AZ820" s="27" t="s">
        <v>7</v>
      </c>
      <c r="BA820" s="27" t="s">
        <v>8</v>
      </c>
      <c r="EZ820" s="27" t="s">
        <v>7</v>
      </c>
      <c r="FA820" s="27" t="s">
        <v>8</v>
      </c>
      <c r="FB820" s="27" t="s">
        <v>7</v>
      </c>
      <c r="FE820" s="27" t="s">
        <v>8</v>
      </c>
      <c r="FF820" s="27" t="s">
        <v>7</v>
      </c>
    </row>
    <row r="821" spans="1:167" x14ac:dyDescent="0.25">
      <c r="A821" s="7">
        <v>9.717617659540009E-3</v>
      </c>
      <c r="B821"/>
      <c r="C821"/>
      <c r="D821"/>
      <c r="E821"/>
      <c r="F821" s="27" t="s">
        <v>7</v>
      </c>
      <c r="K821" s="27" t="s">
        <v>8</v>
      </c>
      <c r="L821" s="27" t="s">
        <v>7</v>
      </c>
      <c r="M821" s="27" t="s">
        <v>8</v>
      </c>
      <c r="AZ821" s="27" t="s">
        <v>7</v>
      </c>
      <c r="BA821" s="27" t="s">
        <v>8</v>
      </c>
      <c r="EZ821" s="27" t="s">
        <v>7</v>
      </c>
      <c r="FA821" s="27" t="s">
        <v>8</v>
      </c>
      <c r="FB821" s="27" t="s">
        <v>7</v>
      </c>
      <c r="FC821" s="27" t="s">
        <v>8</v>
      </c>
      <c r="FE821" s="27" t="s">
        <v>8</v>
      </c>
    </row>
    <row r="822" spans="1:167" x14ac:dyDescent="0.25">
      <c r="A822" s="7">
        <v>9.5270761368039299E-3</v>
      </c>
      <c r="B822"/>
      <c r="C822"/>
      <c r="D822"/>
      <c r="E822"/>
      <c r="F822" s="27" t="s">
        <v>7</v>
      </c>
      <c r="K822" s="27" t="s">
        <v>8</v>
      </c>
      <c r="L822" s="27" t="s">
        <v>7</v>
      </c>
      <c r="M822" s="27" t="s">
        <v>8</v>
      </c>
      <c r="AZ822" s="27" t="s">
        <v>7</v>
      </c>
      <c r="EZ822" s="27" t="s">
        <v>7</v>
      </c>
      <c r="FA822" s="27" t="s">
        <v>8</v>
      </c>
      <c r="FB822" s="27" t="s">
        <v>7</v>
      </c>
      <c r="FC822" s="27" t="s">
        <v>8</v>
      </c>
      <c r="FD822" s="27" t="s">
        <v>7</v>
      </c>
      <c r="FE822" s="27" t="s">
        <v>8</v>
      </c>
    </row>
    <row r="823" spans="1:167" x14ac:dyDescent="0.25">
      <c r="A823" s="7">
        <v>9.3402707223567936E-3</v>
      </c>
      <c r="B823"/>
      <c r="C823"/>
      <c r="D823"/>
      <c r="E823"/>
      <c r="F823" s="27" t="s">
        <v>7</v>
      </c>
      <c r="K823" s="27" t="s">
        <v>8</v>
      </c>
      <c r="L823" s="27" t="s">
        <v>7</v>
      </c>
      <c r="M823" s="27" t="s">
        <v>8</v>
      </c>
      <c r="EZ823" s="27" t="s">
        <v>7</v>
      </c>
      <c r="FA823" s="27" t="s">
        <v>8</v>
      </c>
      <c r="FB823" s="27" t="s">
        <v>7</v>
      </c>
      <c r="FC823" s="27" t="s">
        <v>8</v>
      </c>
      <c r="FD823" s="27" t="s">
        <v>7</v>
      </c>
      <c r="FE823" s="27" t="s">
        <v>8</v>
      </c>
    </row>
    <row r="824" spans="1:167" x14ac:dyDescent="0.25">
      <c r="A824" s="7">
        <v>9.1571281591733261E-3</v>
      </c>
      <c r="B824"/>
      <c r="C824"/>
      <c r="D824"/>
      <c r="E824"/>
      <c r="F824" s="27" t="s">
        <v>7</v>
      </c>
      <c r="K824" s="27" t="s">
        <v>8</v>
      </c>
      <c r="L824" s="27" t="s">
        <v>7</v>
      </c>
      <c r="M824" s="27" t="s">
        <v>8</v>
      </c>
      <c r="EZ824" s="27" t="s">
        <v>7</v>
      </c>
      <c r="FA824" s="27" t="s">
        <v>8</v>
      </c>
      <c r="FB824" s="27" t="s">
        <v>7</v>
      </c>
      <c r="FC824" s="27" t="s">
        <v>8</v>
      </c>
      <c r="FD824" s="27" t="s">
        <v>7</v>
      </c>
      <c r="FE824" s="27" t="s">
        <v>8</v>
      </c>
    </row>
    <row r="825" spans="1:167" x14ac:dyDescent="0.25">
      <c r="A825" s="7">
        <v>8.9775766266405148E-3</v>
      </c>
      <c r="B825"/>
      <c r="C825"/>
      <c r="D825"/>
      <c r="E825"/>
      <c r="F825" s="27" t="s">
        <v>7</v>
      </c>
      <c r="K825" s="27" t="s">
        <v>8</v>
      </c>
      <c r="L825" s="27" t="s">
        <v>7</v>
      </c>
      <c r="M825" s="27" t="s">
        <v>8</v>
      </c>
      <c r="EZ825" s="27" t="s">
        <v>7</v>
      </c>
      <c r="FA825" s="27" t="s">
        <v>8</v>
      </c>
      <c r="FB825" s="27" t="s">
        <v>7</v>
      </c>
      <c r="FC825" s="27" t="s">
        <v>8</v>
      </c>
      <c r="FD825" s="27" t="s">
        <v>7</v>
      </c>
      <c r="FE825" s="27" t="s">
        <v>8</v>
      </c>
    </row>
    <row r="826" spans="1:167" x14ac:dyDescent="0.25">
      <c r="A826" s="7">
        <v>8.8015457123926614E-3</v>
      </c>
      <c r="B826"/>
      <c r="C826"/>
      <c r="D826"/>
      <c r="E826"/>
      <c r="F826" s="27" t="s">
        <v>7</v>
      </c>
      <c r="K826" s="27" t="s">
        <v>8</v>
      </c>
      <c r="L826" s="27" t="s">
        <v>7</v>
      </c>
      <c r="M826" s="27" t="s">
        <v>8</v>
      </c>
      <c r="EZ826" s="27" t="s">
        <v>7</v>
      </c>
      <c r="FA826" s="27" t="s">
        <v>8</v>
      </c>
      <c r="FB826" s="27" t="s">
        <v>7</v>
      </c>
      <c r="FC826" s="27" t="s">
        <v>8</v>
      </c>
      <c r="FD826" s="27" t="s">
        <v>7</v>
      </c>
      <c r="FE826" s="27" t="s">
        <v>8</v>
      </c>
    </row>
    <row r="827" spans="1:167" x14ac:dyDescent="0.25">
      <c r="A827" s="7">
        <v>8.6289663846986879E-3</v>
      </c>
      <c r="B827"/>
      <c r="C827"/>
      <c r="D827"/>
      <c r="E827"/>
      <c r="F827" s="27" t="s">
        <v>7</v>
      </c>
      <c r="K827" s="27" t="s">
        <v>8</v>
      </c>
      <c r="L827" s="27" t="s">
        <v>7</v>
      </c>
      <c r="M827" s="27" t="s">
        <v>8</v>
      </c>
      <c r="EZ827" s="27" t="s">
        <v>7</v>
      </c>
      <c r="FA827" s="27" t="s">
        <v>8</v>
      </c>
      <c r="FB827" s="27" t="s">
        <v>7</v>
      </c>
      <c r="FC827" s="27" t="s">
        <v>8</v>
      </c>
      <c r="FD827" s="27" t="s">
        <v>7</v>
      </c>
      <c r="FE827" s="27" t="s">
        <v>8</v>
      </c>
    </row>
    <row r="828" spans="1:167" x14ac:dyDescent="0.25">
      <c r="A828" s="7">
        <v>8.4597709653908715E-3</v>
      </c>
      <c r="B828"/>
      <c r="C828"/>
      <c r="D828"/>
      <c r="E828"/>
      <c r="F828" s="27" t="s">
        <v>7</v>
      </c>
      <c r="K828" s="27" t="s">
        <v>8</v>
      </c>
      <c r="L828" s="27" t="s">
        <v>7</v>
      </c>
      <c r="M828" s="27" t="s">
        <v>8</v>
      </c>
      <c r="EZ828" s="27" t="s">
        <v>7</v>
      </c>
      <c r="FA828" s="27" t="s">
        <v>8</v>
      </c>
      <c r="FB828" s="27" t="s">
        <v>7</v>
      </c>
      <c r="FC828" s="27" t="s">
        <v>8</v>
      </c>
      <c r="FD828" s="27" t="s">
        <v>7</v>
      </c>
      <c r="FE828" s="27" t="s">
        <v>8</v>
      </c>
    </row>
    <row r="829" spans="1:167" x14ac:dyDescent="0.25">
      <c r="A829" s="7">
        <v>8.2938931033243839E-3</v>
      </c>
      <c r="B829"/>
      <c r="C829"/>
      <c r="D829"/>
      <c r="E829"/>
      <c r="F829" s="27" t="s">
        <v>7</v>
      </c>
      <c r="K829" s="27" t="s">
        <v>8</v>
      </c>
      <c r="L829" s="27" t="s">
        <v>7</v>
      </c>
      <c r="M829" s="27" t="s">
        <v>8</v>
      </c>
      <c r="EZ829" s="27" t="s">
        <v>7</v>
      </c>
      <c r="FA829" s="27" t="s">
        <v>8</v>
      </c>
      <c r="FB829" s="27" t="s">
        <v>7</v>
      </c>
      <c r="FC829" s="27" t="s">
        <v>8</v>
      </c>
      <c r="FD829" s="27" t="s">
        <v>7</v>
      </c>
      <c r="FE829" s="27" t="s">
        <v>8</v>
      </c>
    </row>
    <row r="830" spans="1:167" x14ac:dyDescent="0.25">
      <c r="A830" s="7">
        <v>8.1312677483572383E-3</v>
      </c>
      <c r="B830"/>
      <c r="C830"/>
      <c r="D830"/>
      <c r="E830"/>
      <c r="F830" s="27" t="s">
        <v>7</v>
      </c>
      <c r="K830" s="27" t="s">
        <v>8</v>
      </c>
      <c r="L830" s="27" t="s">
        <v>7</v>
      </c>
      <c r="M830" s="27" t="s">
        <v>8</v>
      </c>
      <c r="EZ830" s="27" t="s">
        <v>7</v>
      </c>
      <c r="FA830" s="27" t="s">
        <v>8</v>
      </c>
      <c r="FB830" s="27" t="s">
        <v>7</v>
      </c>
      <c r="FC830" s="27" t="s">
        <v>8</v>
      </c>
      <c r="FD830" s="27" t="s">
        <v>7</v>
      </c>
    </row>
    <row r="831" spans="1:167" x14ac:dyDescent="0.25">
      <c r="A831" s="7">
        <v>7.9718311258404305E-3</v>
      </c>
      <c r="B831"/>
      <c r="C831"/>
      <c r="D831"/>
      <c r="E831"/>
      <c r="F831" s="27" t="s">
        <v>7</v>
      </c>
      <c r="K831" s="27" t="s">
        <v>8</v>
      </c>
      <c r="L831" s="27" t="s">
        <v>7</v>
      </c>
      <c r="M831" s="27" t="s">
        <v>8</v>
      </c>
      <c r="EZ831" s="27" t="s">
        <v>7</v>
      </c>
      <c r="FA831" s="27" t="s">
        <v>8</v>
      </c>
      <c r="FB831" s="27" t="s">
        <v>7</v>
      </c>
      <c r="FC831" s="27" t="s">
        <v>8</v>
      </c>
    </row>
    <row r="832" spans="1:167" x14ac:dyDescent="0.25">
      <c r="A832" s="7">
        <v>7.8155207116082648E-3</v>
      </c>
      <c r="B832"/>
      <c r="C832"/>
      <c r="D832"/>
      <c r="E832"/>
      <c r="F832" s="27" t="s">
        <v>7</v>
      </c>
      <c r="K832" s="27" t="s">
        <v>8</v>
      </c>
      <c r="L832" s="27" t="s">
        <v>7</v>
      </c>
      <c r="M832" s="27" t="s">
        <v>8</v>
      </c>
      <c r="EZ832" s="27" t="s">
        <v>7</v>
      </c>
      <c r="FA832" s="27" t="s">
        <v>8</v>
      </c>
      <c r="FB832" s="27" t="s">
        <v>7</v>
      </c>
      <c r="FC832" s="27" t="s">
        <v>8</v>
      </c>
    </row>
    <row r="833" spans="1:159" x14ac:dyDescent="0.25">
      <c r="A833" s="7">
        <v>7.6622752074590825E-3</v>
      </c>
      <c r="B833"/>
      <c r="C833"/>
      <c r="D833"/>
      <c r="E833"/>
      <c r="F833" s="27" t="s">
        <v>7</v>
      </c>
      <c r="K833" s="27" t="s">
        <v>8</v>
      </c>
      <c r="L833" s="27" t="s">
        <v>7</v>
      </c>
      <c r="M833" s="27" t="s">
        <v>8</v>
      </c>
      <c r="EZ833" s="27" t="s">
        <v>7</v>
      </c>
      <c r="FA833" s="27" t="s">
        <v>8</v>
      </c>
      <c r="FB833" s="27" t="s">
        <v>7</v>
      </c>
      <c r="FC833" s="27" t="s">
        <v>8</v>
      </c>
    </row>
    <row r="834" spans="1:159" x14ac:dyDescent="0.25">
      <c r="A834" s="7">
        <v>7.5120345171167469E-3</v>
      </c>
      <c r="B834"/>
      <c r="C834"/>
      <c r="D834"/>
      <c r="E834"/>
      <c r="F834" s="27" t="s">
        <v>7</v>
      </c>
      <c r="K834" s="27" t="s">
        <v>8</v>
      </c>
      <c r="L834" s="27" t="s">
        <v>7</v>
      </c>
      <c r="M834" s="27" t="s">
        <v>8</v>
      </c>
      <c r="EZ834" s="27" t="s">
        <v>7</v>
      </c>
      <c r="FA834" s="27" t="s">
        <v>8</v>
      </c>
      <c r="FB834" s="27" t="s">
        <v>7</v>
      </c>
      <c r="FC834" s="27" t="s">
        <v>8</v>
      </c>
    </row>
    <row r="835" spans="1:159" x14ac:dyDescent="0.25">
      <c r="A835" s="7">
        <v>7.3647397226634772E-3</v>
      </c>
      <c r="B835"/>
      <c r="C835"/>
      <c r="D835"/>
      <c r="E835"/>
      <c r="F835" s="27" t="s">
        <v>7</v>
      </c>
      <c r="K835" s="27" t="s">
        <v>8</v>
      </c>
      <c r="L835" s="27" t="s">
        <v>7</v>
      </c>
      <c r="M835" s="27" t="s">
        <v>8</v>
      </c>
      <c r="EZ835" s="27" t="s">
        <v>7</v>
      </c>
      <c r="FA835" s="27" t="s">
        <v>8</v>
      </c>
      <c r="FB835" s="27" t="s">
        <v>7</v>
      </c>
      <c r="FC835" s="27" t="s">
        <v>8</v>
      </c>
    </row>
    <row r="836" spans="1:159" x14ac:dyDescent="0.25">
      <c r="A836" s="7">
        <v>7.2203330614347815E-3</v>
      </c>
      <c r="B836"/>
      <c r="C836"/>
      <c r="D836"/>
      <c r="E836"/>
      <c r="F836" s="27" t="s">
        <v>7</v>
      </c>
      <c r="K836" s="27" t="s">
        <v>8</v>
      </c>
      <c r="L836" s="27" t="s">
        <v>7</v>
      </c>
      <c r="M836" s="27" t="s">
        <v>8</v>
      </c>
      <c r="EZ836" s="27" t="s">
        <v>7</v>
      </c>
      <c r="FA836" s="27" t="s">
        <v>8</v>
      </c>
      <c r="FB836" s="27" t="s">
        <v>7</v>
      </c>
      <c r="FC836" s="27" t="s">
        <v>8</v>
      </c>
    </row>
    <row r="837" spans="1:159" x14ac:dyDescent="0.25">
      <c r="A837" s="7">
        <v>7.0787579033674327E-3</v>
      </c>
      <c r="B837"/>
      <c r="C837"/>
      <c r="D837"/>
      <c r="E837"/>
      <c r="F837" s="27" t="s">
        <v>7</v>
      </c>
      <c r="K837" s="27" t="s">
        <v>8</v>
      </c>
      <c r="L837" s="27" t="s">
        <v>7</v>
      </c>
      <c r="EZ837" s="27" t="s">
        <v>7</v>
      </c>
      <c r="FA837" s="27" t="s">
        <v>8</v>
      </c>
      <c r="FB837" s="27" t="s">
        <v>7</v>
      </c>
      <c r="FC837" s="27" t="s">
        <v>8</v>
      </c>
    </row>
    <row r="838" spans="1:159" x14ac:dyDescent="0.25">
      <c r="A838" s="7">
        <v>6.9399587287916013E-3</v>
      </c>
      <c r="B838"/>
      <c r="C838"/>
      <c r="D838"/>
      <c r="E838"/>
      <c r="F838" s="27" t="s">
        <v>7</v>
      </c>
      <c r="K838" s="27" t="s">
        <v>8</v>
      </c>
      <c r="EZ838" s="27" t="s">
        <v>7</v>
      </c>
      <c r="FA838" s="27" t="s">
        <v>8</v>
      </c>
      <c r="FB838" s="27" t="s">
        <v>7</v>
      </c>
      <c r="FC838" s="27" t="s">
        <v>8</v>
      </c>
    </row>
    <row r="839" spans="1:159" x14ac:dyDescent="0.25">
      <c r="A839" s="7">
        <v>6.8038811066584333E-3</v>
      </c>
      <c r="B839"/>
      <c r="C839"/>
      <c r="D839"/>
      <c r="E839"/>
      <c r="F839" s="27" t="s">
        <v>7</v>
      </c>
      <c r="K839" s="27" t="s">
        <v>8</v>
      </c>
      <c r="EZ839" s="27" t="s">
        <v>7</v>
      </c>
      <c r="FA839" s="27" t="s">
        <v>8</v>
      </c>
      <c r="FB839" s="27" t="s">
        <v>7</v>
      </c>
    </row>
    <row r="840" spans="1:159" x14ac:dyDescent="0.25">
      <c r="A840" s="7">
        <v>6.6704716731945425E-3</v>
      </c>
      <c r="B840"/>
      <c r="C840"/>
      <c r="D840"/>
      <c r="E840"/>
      <c r="F840" s="27" t="s">
        <v>7</v>
      </c>
      <c r="K840" s="27" t="s">
        <v>8</v>
      </c>
      <c r="EZ840" s="27" t="s">
        <v>7</v>
      </c>
      <c r="FA840" s="27" t="s">
        <v>8</v>
      </c>
    </row>
    <row r="841" spans="1:159" x14ac:dyDescent="0.25">
      <c r="A841" s="7">
        <v>6.5396781109750427E-3</v>
      </c>
      <c r="B841"/>
      <c r="C841"/>
      <c r="D841"/>
      <c r="E841"/>
      <c r="F841" s="27" t="s">
        <v>7</v>
      </c>
      <c r="K841" s="27" t="s">
        <v>8</v>
      </c>
      <c r="EZ841" s="27" t="s">
        <v>7</v>
      </c>
      <c r="FA841" s="27" t="s">
        <v>8</v>
      </c>
    </row>
    <row r="842" spans="1:159" x14ac:dyDescent="0.25">
      <c r="A842" s="7">
        <v>6.4114491284069045E-3</v>
      </c>
      <c r="B842"/>
      <c r="C842"/>
      <c r="D842"/>
      <c r="E842"/>
      <c r="F842" s="27" t="s">
        <v>7</v>
      </c>
      <c r="K842" s="27" t="s">
        <v>8</v>
      </c>
      <c r="EZ842" s="27" t="s">
        <v>7</v>
      </c>
    </row>
    <row r="843" spans="1:159" x14ac:dyDescent="0.25">
      <c r="A843" s="7">
        <v>6.2857344396146115E-3</v>
      </c>
      <c r="B843"/>
      <c r="C843"/>
      <c r="D843"/>
      <c r="E843"/>
      <c r="F843" s="27" t="s">
        <v>7</v>
      </c>
      <c r="K843" s="27" t="s">
        <v>8</v>
      </c>
    </row>
    <row r="844" spans="1:159" x14ac:dyDescent="0.25">
      <c r="A844" s="7">
        <v>6.1624847447202076E-3</v>
      </c>
      <c r="B844"/>
      <c r="C844"/>
      <c r="D844"/>
      <c r="E844"/>
      <c r="F844" s="27" t="s">
        <v>7</v>
      </c>
      <c r="K844" s="27" t="s">
        <v>8</v>
      </c>
    </row>
    <row r="845" spans="1:159" x14ac:dyDescent="0.25">
      <c r="A845" s="7">
        <v>6.0416517105100079E-3</v>
      </c>
      <c r="B845"/>
      <c r="C845"/>
      <c r="D845"/>
      <c r="E845"/>
      <c r="F845" s="27" t="s">
        <v>7</v>
      </c>
      <c r="K845" s="27" t="s">
        <v>8</v>
      </c>
    </row>
    <row r="846" spans="1:159" x14ac:dyDescent="0.25">
      <c r="A846" s="7">
        <v>5.9231879514803996E-3</v>
      </c>
      <c r="B846"/>
      <c r="C846"/>
      <c r="D846"/>
      <c r="E846"/>
      <c r="F846" s="27" t="s">
        <v>7</v>
      </c>
      <c r="K846" s="27" t="s">
        <v>8</v>
      </c>
    </row>
    <row r="847" spans="1:159" x14ac:dyDescent="0.25">
      <c r="A847" s="7">
        <v>5.8070470112552936E-3</v>
      </c>
      <c r="B847"/>
      <c r="C847"/>
      <c r="D847"/>
      <c r="E847"/>
      <c r="F847" s="27" t="s">
        <v>7</v>
      </c>
      <c r="K847" s="27" t="s">
        <v>8</v>
      </c>
    </row>
    <row r="848" spans="1:159" x14ac:dyDescent="0.25">
      <c r="A848" s="7">
        <v>5.6931833443679353E-3</v>
      </c>
      <c r="B848"/>
      <c r="C848"/>
      <c r="D848"/>
      <c r="E848"/>
      <c r="F848" s="27" t="s">
        <v>7</v>
      </c>
      <c r="K848" s="27" t="s">
        <v>8</v>
      </c>
    </row>
    <row r="849" spans="1:11" x14ac:dyDescent="0.25">
      <c r="A849" s="7">
        <v>5.5815522983999367E-3</v>
      </c>
      <c r="B849"/>
      <c r="C849"/>
      <c r="D849"/>
      <c r="E849"/>
      <c r="F849" s="27" t="s">
        <v>7</v>
      </c>
      <c r="K849" s="27" t="s">
        <v>8</v>
      </c>
    </row>
    <row r="850" spans="1:11" x14ac:dyDescent="0.25">
      <c r="A850" s="7">
        <v>5.4721100964705257E-3</v>
      </c>
      <c r="B850"/>
      <c r="C850"/>
      <c r="D850"/>
      <c r="E850"/>
      <c r="F850" s="27" t="s">
        <v>7</v>
      </c>
      <c r="K850" s="27" t="s">
        <v>8</v>
      </c>
    </row>
    <row r="851" spans="1:11" x14ac:dyDescent="0.25">
      <c r="A851" s="7">
        <v>5.3648138200691423E-3</v>
      </c>
      <c r="B851"/>
      <c r="C851"/>
      <c r="D851"/>
      <c r="E851"/>
      <c r="F851" s="27" t="s">
        <v>7</v>
      </c>
      <c r="K851" s="27" t="s">
        <v>8</v>
      </c>
    </row>
    <row r="852" spans="1:11" x14ac:dyDescent="0.25">
      <c r="A852" s="7">
        <v>5.2596213922246494E-3</v>
      </c>
      <c r="B852"/>
      <c r="C852"/>
      <c r="D852"/>
      <c r="E852"/>
      <c r="F852" s="27" t="s">
        <v>7</v>
      </c>
      <c r="K852" s="27" t="s">
        <v>8</v>
      </c>
    </row>
    <row r="853" spans="1:11" x14ac:dyDescent="0.25">
      <c r="A853" s="7">
        <v>5.1564915610045588E-3</v>
      </c>
      <c r="B853"/>
      <c r="C853"/>
      <c r="D853"/>
      <c r="E853"/>
      <c r="F853" s="27" t="s">
        <v>7</v>
      </c>
      <c r="G853" s="27" t="s">
        <v>8</v>
      </c>
      <c r="K853" s="27" t="s">
        <v>8</v>
      </c>
    </row>
    <row r="854" spans="1:11" x14ac:dyDescent="0.25">
      <c r="A854" s="7">
        <v>5.0553838833378023E-3</v>
      </c>
      <c r="B854"/>
      <c r="C854"/>
      <c r="D854"/>
      <c r="E854"/>
      <c r="F854" s="27" t="s">
        <v>7</v>
      </c>
      <c r="G854" s="27" t="s">
        <v>8</v>
      </c>
      <c r="H854" s="27" t="s">
        <v>7</v>
      </c>
      <c r="K854" s="27" t="s">
        <v>8</v>
      </c>
    </row>
    <row r="855" spans="1:11" x14ac:dyDescent="0.25">
      <c r="A855" s="7">
        <v>4.9562587091547079E-3</v>
      </c>
      <c r="B855"/>
      <c r="C855"/>
      <c r="D855"/>
      <c r="E855"/>
      <c r="F855" s="27" t="s">
        <v>7</v>
      </c>
      <c r="G855" s="27" t="s">
        <v>8</v>
      </c>
      <c r="H855" s="27" t="s">
        <v>7</v>
      </c>
      <c r="K855" s="27" t="s">
        <v>8</v>
      </c>
    </row>
    <row r="856" spans="1:11" x14ac:dyDescent="0.25">
      <c r="A856" s="7">
        <v>4.8590771658379491E-3</v>
      </c>
      <c r="B856"/>
      <c r="C856"/>
      <c r="D856"/>
      <c r="E856"/>
      <c r="F856" s="27" t="s">
        <v>7</v>
      </c>
      <c r="G856" s="27" t="s">
        <v>8</v>
      </c>
      <c r="H856" s="27" t="s">
        <v>7</v>
      </c>
      <c r="K856" s="27" t="s">
        <v>8</v>
      </c>
    </row>
    <row r="857" spans="1:11" x14ac:dyDescent="0.25">
      <c r="A857" s="7">
        <v>4.7638011429783815E-3</v>
      </c>
      <c r="B857"/>
      <c r="C857"/>
      <c r="D857"/>
      <c r="E857"/>
      <c r="F857" s="27" t="s">
        <v>7</v>
      </c>
      <c r="G857" s="27" t="s">
        <v>8</v>
      </c>
      <c r="H857" s="27" t="s">
        <v>7</v>
      </c>
      <c r="K857" s="27" t="s">
        <v>8</v>
      </c>
    </row>
    <row r="858" spans="1:11" x14ac:dyDescent="0.25">
      <c r="A858" s="7">
        <v>4.6703932774297859E-3</v>
      </c>
      <c r="B858"/>
      <c r="C858"/>
      <c r="D858"/>
      <c r="E858"/>
      <c r="F858" s="27" t="s">
        <v>7</v>
      </c>
      <c r="G858" s="27" t="s">
        <v>8</v>
      </c>
      <c r="H858" s="27" t="s">
        <v>7</v>
      </c>
      <c r="I858" s="27" t="s">
        <v>8</v>
      </c>
      <c r="K858" s="27" t="s">
        <v>8</v>
      </c>
    </row>
    <row r="859" spans="1:11" x14ac:dyDescent="0.25">
      <c r="A859" s="7">
        <v>4.5788169386566527E-3</v>
      </c>
      <c r="B859"/>
      <c r="C859"/>
      <c r="D859"/>
      <c r="E859"/>
      <c r="F859" s="27" t="s">
        <v>7</v>
      </c>
      <c r="G859" s="27" t="s">
        <v>8</v>
      </c>
      <c r="H859" s="27" t="s">
        <v>7</v>
      </c>
      <c r="I859" s="27" t="s">
        <v>8</v>
      </c>
      <c r="J859" s="27" t="s">
        <v>7</v>
      </c>
      <c r="K859" s="27" t="s">
        <v>8</v>
      </c>
    </row>
    <row r="860" spans="1:11" x14ac:dyDescent="0.25">
      <c r="A860" s="7">
        <v>4.4890362143692672E-3</v>
      </c>
      <c r="B860"/>
      <c r="C860"/>
      <c r="D860"/>
      <c r="E860"/>
      <c r="F860" s="27" t="s">
        <v>7</v>
      </c>
      <c r="G860" s="27" t="s">
        <v>8</v>
      </c>
      <c r="H860" s="27" t="s">
        <v>7</v>
      </c>
      <c r="I860" s="27" t="s">
        <v>8</v>
      </c>
      <c r="J860" s="27" t="s">
        <v>7</v>
      </c>
      <c r="K860" s="27" t="s">
        <v>8</v>
      </c>
    </row>
    <row r="861" spans="1:11" x14ac:dyDescent="0.25">
      <c r="A861" s="7">
        <v>4.4010158964404578E-3</v>
      </c>
      <c r="B861"/>
      <c r="C861"/>
      <c r="D861"/>
      <c r="E861"/>
      <c r="F861" s="27" t="s">
        <v>7</v>
      </c>
      <c r="G861" s="27" t="s">
        <v>8</v>
      </c>
      <c r="H861" s="27" t="s">
        <v>7</v>
      </c>
      <c r="I861" s="27" t="s">
        <v>8</v>
      </c>
      <c r="J861" s="27" t="s">
        <v>7</v>
      </c>
      <c r="K861" s="27" t="s">
        <v>8</v>
      </c>
    </row>
    <row r="862" spans="1:11" x14ac:dyDescent="0.25">
      <c r="A862" s="7">
        <v>4.314721467098488E-3</v>
      </c>
      <c r="B862"/>
      <c r="C862"/>
      <c r="D862"/>
      <c r="E862"/>
      <c r="F862" s="27" t="s">
        <v>7</v>
      </c>
      <c r="G862" s="27" t="s">
        <v>8</v>
      </c>
      <c r="H862" s="27" t="s">
        <v>7</v>
      </c>
      <c r="I862" s="27" t="s">
        <v>8</v>
      </c>
      <c r="J862" s="27" t="s">
        <v>7</v>
      </c>
      <c r="K862" s="27" t="s">
        <v>8</v>
      </c>
    </row>
    <row r="863" spans="1:11" x14ac:dyDescent="0.25">
      <c r="A863" s="7">
        <v>4.2301190853906746E-3</v>
      </c>
      <c r="B863"/>
      <c r="C863"/>
      <c r="D863"/>
      <c r="E863"/>
      <c r="F863" s="27" t="s">
        <v>7</v>
      </c>
      <c r="G863" s="27" t="s">
        <v>8</v>
      </c>
      <c r="H863" s="27" t="s">
        <v>7</v>
      </c>
      <c r="I863" s="27" t="s">
        <v>8</v>
      </c>
      <c r="J863" s="27" t="s">
        <v>7</v>
      </c>
      <c r="K863" s="27" t="s">
        <v>8</v>
      </c>
    </row>
    <row r="864" spans="1:11" x14ac:dyDescent="0.25">
      <c r="A864" s="7">
        <v>4.1471755739124266E-3</v>
      </c>
      <c r="B864"/>
      <c r="C864"/>
      <c r="D864"/>
      <c r="E864"/>
      <c r="F864" s="27" t="s">
        <v>7</v>
      </c>
      <c r="G864" s="27" t="s">
        <v>8</v>
      </c>
      <c r="H864" s="27" t="s">
        <v>7</v>
      </c>
      <c r="I864" s="27" t="s">
        <v>8</v>
      </c>
      <c r="J864" s="27" t="s">
        <v>7</v>
      </c>
      <c r="K864" s="27" t="s">
        <v>8</v>
      </c>
    </row>
    <row r="865" spans="1:11" x14ac:dyDescent="0.25">
      <c r="A865" s="7">
        <v>4.0658584057964966E-3</v>
      </c>
      <c r="B865"/>
      <c r="C865"/>
      <c r="D865"/>
      <c r="E865"/>
      <c r="F865" s="27" t="s">
        <v>7</v>
      </c>
      <c r="G865" s="27" t="s">
        <v>8</v>
      </c>
      <c r="H865" s="27" t="s">
        <v>7</v>
      </c>
      <c r="J865" s="27" t="s">
        <v>7</v>
      </c>
      <c r="K865" s="27" t="s">
        <v>8</v>
      </c>
    </row>
    <row r="866" spans="1:11" x14ac:dyDescent="0.25">
      <c r="A866" s="7">
        <v>3.9861356919573491E-3</v>
      </c>
      <c r="B866"/>
      <c r="C866"/>
      <c r="D866"/>
      <c r="E866"/>
      <c r="F866" s="27" t="s">
        <v>7</v>
      </c>
      <c r="G866" s="27" t="s">
        <v>8</v>
      </c>
      <c r="J866" s="27" t="s">
        <v>7</v>
      </c>
      <c r="K866" s="27" t="s">
        <v>8</v>
      </c>
    </row>
    <row r="867" spans="1:11" x14ac:dyDescent="0.25">
      <c r="A867" s="7">
        <v>3.9079761685856364E-3</v>
      </c>
      <c r="B867"/>
      <c r="C867"/>
      <c r="D867"/>
      <c r="E867"/>
      <c r="F867" s="27" t="s">
        <v>7</v>
      </c>
      <c r="G867" s="27" t="s">
        <v>8</v>
      </c>
      <c r="J867" s="27" t="s">
        <v>7</v>
      </c>
      <c r="K867" s="27" t="s">
        <v>8</v>
      </c>
    </row>
    <row r="868" spans="1:11" x14ac:dyDescent="0.25">
      <c r="A868" s="7">
        <v>3.8313491848878793E-3</v>
      </c>
      <c r="B868"/>
      <c r="C868"/>
      <c r="D868"/>
      <c r="E868"/>
      <c r="F868" s="27" t="s">
        <v>7</v>
      </c>
      <c r="G868" s="27" t="s">
        <v>8</v>
      </c>
      <c r="J868" s="27" t="s">
        <v>7</v>
      </c>
      <c r="K868" s="27" t="s">
        <v>8</v>
      </c>
    </row>
    <row r="869" spans="1:11" x14ac:dyDescent="0.25">
      <c r="A869" s="7">
        <v>3.7562246910665485E-3</v>
      </c>
      <c r="B869"/>
      <c r="C869"/>
      <c r="D869"/>
      <c r="E869"/>
      <c r="F869" s="27" t="s">
        <v>7</v>
      </c>
      <c r="G869" s="27" t="s">
        <v>8</v>
      </c>
      <c r="J869" s="27" t="s">
        <v>7</v>
      </c>
      <c r="K869" s="27" t="s">
        <v>8</v>
      </c>
    </row>
    <row r="870" spans="1:11" x14ac:dyDescent="0.25">
      <c r="A870" s="7">
        <v>3.6825732265358315E-3</v>
      </c>
      <c r="B870"/>
      <c r="C870"/>
      <c r="D870"/>
      <c r="E870"/>
      <c r="F870" s="27" t="s">
        <v>7</v>
      </c>
      <c r="G870" s="27" t="s">
        <v>8</v>
      </c>
      <c r="J870" s="27" t="s">
        <v>7</v>
      </c>
      <c r="K870" s="27" t="s">
        <v>8</v>
      </c>
    </row>
    <row r="871" spans="1:11" x14ac:dyDescent="0.25">
      <c r="A871" s="7">
        <v>3.6103659083684624E-3</v>
      </c>
      <c r="B871"/>
      <c r="C871"/>
      <c r="D871"/>
      <c r="E871"/>
      <c r="F871" s="27" t="s">
        <v>7</v>
      </c>
      <c r="G871" s="27" t="s">
        <v>8</v>
      </c>
      <c r="J871" s="27" t="s">
        <v>7</v>
      </c>
      <c r="K871" s="27" t="s">
        <v>8</v>
      </c>
    </row>
    <row r="872" spans="1:11" x14ac:dyDescent="0.25">
      <c r="A872" s="7">
        <v>3.539574419969081E-3</v>
      </c>
      <c r="B872"/>
      <c r="C872"/>
      <c r="D872"/>
      <c r="E872"/>
      <c r="F872" s="27" t="s">
        <v>7</v>
      </c>
      <c r="G872" s="27" t="s">
        <v>8</v>
      </c>
      <c r="J872" s="27" t="s">
        <v>7</v>
      </c>
      <c r="K872" s="27" t="s">
        <v>8</v>
      </c>
    </row>
    <row r="873" spans="1:11" x14ac:dyDescent="0.25">
      <c r="A873" s="7">
        <v>3.4701709999696872E-3</v>
      </c>
      <c r="B873"/>
      <c r="C873"/>
      <c r="D873"/>
      <c r="E873"/>
      <c r="F873" s="27" t="s">
        <v>7</v>
      </c>
      <c r="J873" s="27" t="s">
        <v>7</v>
      </c>
      <c r="K873" s="27" t="s">
        <v>8</v>
      </c>
    </row>
    <row r="874" spans="1:11" x14ac:dyDescent="0.25">
      <c r="A874" s="7">
        <v>3.4021284313428307E-3</v>
      </c>
      <c r="B874"/>
      <c r="C874"/>
      <c r="D874"/>
      <c r="E874"/>
      <c r="J874" s="27" t="s">
        <v>7</v>
      </c>
      <c r="K874" s="27" t="s">
        <v>8</v>
      </c>
    </row>
    <row r="875" spans="1:11" x14ac:dyDescent="0.25">
      <c r="A875" s="7">
        <v>3.3354200307282654E-3</v>
      </c>
      <c r="B875"/>
      <c r="C875"/>
      <c r="D875"/>
      <c r="E875"/>
      <c r="J875" s="27" t="s">
        <v>7</v>
      </c>
      <c r="K875" s="27" t="s">
        <v>8</v>
      </c>
    </row>
    <row r="876" spans="1:11" x14ac:dyDescent="0.25">
      <c r="A876" s="7">
        <v>3.2700196379688881E-3</v>
      </c>
      <c r="B876"/>
      <c r="C876"/>
      <c r="D876"/>
      <c r="E876"/>
      <c r="J876" s="27" t="s">
        <v>7</v>
      </c>
      <c r="K876" s="27" t="s">
        <v>8</v>
      </c>
    </row>
    <row r="877" spans="1:11" x14ac:dyDescent="0.25">
      <c r="A877" s="7">
        <v>3.205901605851851E-3</v>
      </c>
      <c r="B877"/>
      <c r="C877"/>
      <c r="D877"/>
      <c r="E877"/>
      <c r="J877" s="27" t="s">
        <v>7</v>
      </c>
      <c r="K877" s="27" t="s">
        <v>8</v>
      </c>
    </row>
    <row r="878" spans="1:11" x14ac:dyDescent="0.25">
      <c r="A878" s="7">
        <v>3.1430407900508344E-3</v>
      </c>
      <c r="B878"/>
      <c r="C878"/>
      <c r="D878"/>
      <c r="E878"/>
      <c r="J878" s="27" t="s">
        <v>7</v>
      </c>
      <c r="K878" s="27" t="s">
        <v>8</v>
      </c>
    </row>
    <row r="879" spans="1:11" x14ac:dyDescent="0.25">
      <c r="A879" s="7">
        <v>3.0814125392655241E-3</v>
      </c>
      <c r="B879"/>
      <c r="C879"/>
      <c r="D879"/>
      <c r="E879"/>
      <c r="J879" s="27" t="s">
        <v>7</v>
      </c>
    </row>
    <row r="880" spans="1:11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13" operator="equal">
      <formula>$U$1</formula>
    </cfRule>
    <cfRule type="cellIs" dxfId="89" priority="1414" operator="equal">
      <formula>$S$1</formula>
    </cfRule>
  </conditionalFormatting>
  <conditionalFormatting sqref="D27">
    <cfRule type="cellIs" dxfId="88" priority="1411" operator="equal">
      <formula>$S$1</formula>
    </cfRule>
    <cfRule type="cellIs" dxfId="87" priority="1412" operator="equal">
      <formula>$U$1</formula>
    </cfRule>
  </conditionalFormatting>
  <conditionalFormatting sqref="C164">
    <cfRule type="cellIs" dxfId="86" priority="1409" operator="equal">
      <formula>$U$1</formula>
    </cfRule>
    <cfRule type="cellIs" dxfId="85" priority="1410" operator="equal">
      <formula>$S$1</formula>
    </cfRule>
  </conditionalFormatting>
  <conditionalFormatting sqref="D164">
    <cfRule type="cellIs" dxfId="84" priority="1407" operator="equal">
      <formula>$S$1</formula>
    </cfRule>
    <cfRule type="cellIs" dxfId="83" priority="1408" operator="equal">
      <formula>$U$1</formula>
    </cfRule>
  </conditionalFormatting>
  <conditionalFormatting sqref="C55">
    <cfRule type="cellIs" dxfId="82" priority="1405" operator="equal">
      <formula>$U$1</formula>
    </cfRule>
    <cfRule type="cellIs" dxfId="81" priority="1406" operator="equal">
      <formula>$S$1</formula>
    </cfRule>
  </conditionalFormatting>
  <conditionalFormatting sqref="D55">
    <cfRule type="cellIs" dxfId="80" priority="1403" operator="equal">
      <formula>$S$1</formula>
    </cfRule>
    <cfRule type="cellIs" dxfId="79" priority="1404" operator="equal">
      <formula>$U$1</formula>
    </cfRule>
  </conditionalFormatting>
  <conditionalFormatting sqref="C89">
    <cfRule type="cellIs" dxfId="78" priority="1401" operator="equal">
      <formula>$U$1</formula>
    </cfRule>
    <cfRule type="cellIs" dxfId="77" priority="1402" operator="equal">
      <formula>$S$1</formula>
    </cfRule>
  </conditionalFormatting>
  <conditionalFormatting sqref="D89">
    <cfRule type="cellIs" dxfId="76" priority="1399" operator="equal">
      <formula>$S$1</formula>
    </cfRule>
    <cfRule type="cellIs" dxfId="75" priority="1400" operator="equal">
      <formula>$U$1</formula>
    </cfRule>
  </conditionalFormatting>
  <conditionalFormatting sqref="C136">
    <cfRule type="cellIs" dxfId="74" priority="1397" operator="equal">
      <formula>$U$1</formula>
    </cfRule>
    <cfRule type="cellIs" dxfId="73" priority="1398" operator="equal">
      <formula>$S$1</formula>
    </cfRule>
  </conditionalFormatting>
  <conditionalFormatting sqref="D136">
    <cfRule type="cellIs" dxfId="72" priority="1395" operator="equal">
      <formula>$S$1</formula>
    </cfRule>
    <cfRule type="cellIs" dxfId="71" priority="1396" operator="equal">
      <formula>$U$1</formula>
    </cfRule>
  </conditionalFormatting>
  <conditionalFormatting sqref="C1">
    <cfRule type="cellIs" dxfId="70" priority="139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7" zoomScale="90" zoomScaleNormal="90" workbookViewId="0">
      <pane xSplit="4" topLeftCell="FA1" activePane="topRight" state="frozen"/>
      <selection activeCell="A109" sqref="A109"/>
      <selection pane="topRight" activeCell="HJ231" sqref="HJ23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$A$230</v>
      </c>
      <c r="D111" s="1" t="str">
        <f>ADDRESS(C121-1,D121,1,1)</f>
        <v>$HJ$230</v>
      </c>
      <c r="E111"/>
    </row>
    <row r="112" spans="1:5" x14ac:dyDescent="0.25">
      <c r="A112" s="30">
        <v>515.50191262726139</v>
      </c>
      <c r="C112" s="1" t="str">
        <f>ADDRESS(C121,1,1,1)</f>
        <v>$A$231</v>
      </c>
      <c r="D112" s="1" t="str">
        <f>ADDRESS(C121,D121-1,1,1)</f>
        <v>$HI$231</v>
      </c>
      <c r="E112"/>
    </row>
    <row r="113" spans="1:5" x14ac:dyDescent="0.25">
      <c r="A113" s="30">
        <v>490.95420250215363</v>
      </c>
      <c r="C113" s="1" t="str">
        <f>ADDRESS(C121+1,1,1,1)</f>
        <v>$A$232</v>
      </c>
      <c r="D113" s="1" t="str">
        <f>ADDRESS(C121-1,D121+1,1,1)</f>
        <v>$HK$230</v>
      </c>
    </row>
    <row r="114" spans="1:5" x14ac:dyDescent="0.25">
      <c r="A114" s="30">
        <v>467.57543095443202</v>
      </c>
      <c r="C114" s="1" t="str">
        <f>ADDRESS(C121,D121,1,1)</f>
        <v>$HJ$231</v>
      </c>
      <c r="D114" s="1" t="str">
        <f>ADDRESS(C121+1,D121+1,1,1)</f>
        <v>$HK$232</v>
      </c>
    </row>
    <row r="115" spans="1:5" x14ac:dyDescent="0.25">
      <c r="A115" s="30">
        <v>445.30993424231622</v>
      </c>
      <c r="C115" s="1" t="str">
        <f>ADDRESS(C121+1,D121,1,1)</f>
        <v>$HJ$232</v>
      </c>
    </row>
    <row r="116" spans="1:5" x14ac:dyDescent="0.25">
      <c r="A116" s="30">
        <v>424.10469927839637</v>
      </c>
      <c r="C116" s="1">
        <f>C117-1</f>
        <v>230</v>
      </c>
    </row>
    <row r="117" spans="1:5" x14ac:dyDescent="0.25">
      <c r="A117" s="30">
        <v>403.9092374079965</v>
      </c>
      <c r="C117" s="1">
        <f>C121</f>
        <v>231</v>
      </c>
      <c r="D117" s="1">
        <f>D121</f>
        <v>218</v>
      </c>
    </row>
    <row r="118" spans="1:5" x14ac:dyDescent="0.25">
      <c r="A118" s="30">
        <v>384.6754641980919</v>
      </c>
      <c r="C118" s="1">
        <f>C117+1</f>
        <v>232</v>
      </c>
      <c r="D118" s="1">
        <f>D117+1</f>
        <v>219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231</v>
      </c>
      <c r="D121" s="19">
        <v>218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R231</v>
      </c>
      <c r="D123" s="1" t="str">
        <f>"C"&amp;D121</f>
        <v>C218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1.5513282159785162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 t="s">
        <v>34</v>
      </c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214" x14ac:dyDescent="0.25">
      <c r="A209" s="30">
        <v>4.5380394939082018</v>
      </c>
      <c r="E209"/>
    </row>
    <row r="210" spans="1:214" x14ac:dyDescent="0.25">
      <c r="A210" s="30">
        <v>4.3219423751506678</v>
      </c>
      <c r="C210"/>
      <c r="E210"/>
    </row>
    <row r="211" spans="1:214" x14ac:dyDescent="0.25">
      <c r="A211" s="30">
        <v>4.1161355953815884</v>
      </c>
      <c r="E211"/>
    </row>
    <row r="212" spans="1:214" x14ac:dyDescent="0.25">
      <c r="A212" s="30">
        <v>3.9201291384586554</v>
      </c>
      <c r="E212"/>
    </row>
    <row r="213" spans="1:214" x14ac:dyDescent="0.25">
      <c r="A213" s="30">
        <v>3.7334563223415764</v>
      </c>
      <c r="E213"/>
    </row>
    <row r="214" spans="1:214" x14ac:dyDescent="0.25">
      <c r="A214" s="30">
        <v>3.5556726879443583</v>
      </c>
      <c r="E214"/>
    </row>
    <row r="215" spans="1:214" x14ac:dyDescent="0.25">
      <c r="A215" s="30">
        <v>3.3863549408993889</v>
      </c>
      <c r="E215"/>
    </row>
    <row r="216" spans="1:214" x14ac:dyDescent="0.25">
      <c r="A216" s="30">
        <v>3.2250999437137038</v>
      </c>
      <c r="E216"/>
    </row>
    <row r="217" spans="1:214" x14ac:dyDescent="0.25">
      <c r="A217" s="30">
        <v>3.0715237559178128</v>
      </c>
      <c r="E217"/>
    </row>
    <row r="218" spans="1:214" x14ac:dyDescent="0.25">
      <c r="A218" s="30">
        <v>2.9252607199217264</v>
      </c>
      <c r="E218"/>
    </row>
    <row r="219" spans="1:214" x14ac:dyDescent="0.25">
      <c r="A219" s="30">
        <v>2.7859625904016441</v>
      </c>
      <c r="E219"/>
      <c r="HC219" s="27" t="s">
        <v>8</v>
      </c>
    </row>
    <row r="220" spans="1:214" x14ac:dyDescent="0.25">
      <c r="A220" s="30">
        <v>2.6532977051444226</v>
      </c>
      <c r="E220"/>
      <c r="FI220" s="27" t="s">
        <v>8</v>
      </c>
      <c r="HC220" s="27" t="s">
        <v>8</v>
      </c>
      <c r="HD220" s="27" t="s">
        <v>7</v>
      </c>
    </row>
    <row r="221" spans="1:214" x14ac:dyDescent="0.25">
      <c r="A221" s="30">
        <v>2.5269501953756404</v>
      </c>
      <c r="E221"/>
      <c r="FI221" s="27" t="s">
        <v>8</v>
      </c>
      <c r="FJ221" s="27" t="s">
        <v>7</v>
      </c>
      <c r="HA221" s="27" t="s">
        <v>8</v>
      </c>
      <c r="HC221" s="27" t="s">
        <v>8</v>
      </c>
      <c r="HD221" s="27" t="s">
        <v>7</v>
      </c>
    </row>
    <row r="222" spans="1:214" x14ac:dyDescent="0.25">
      <c r="A222" s="30">
        <v>2.4066192336910861</v>
      </c>
      <c r="E222"/>
      <c r="FI222" s="27" t="s">
        <v>8</v>
      </c>
      <c r="FJ222" s="27" t="s">
        <v>7</v>
      </c>
      <c r="FO222" s="31" t="s">
        <v>8</v>
      </c>
      <c r="HA222" s="27" t="s">
        <v>8</v>
      </c>
      <c r="HB222" s="27" t="s">
        <v>7</v>
      </c>
      <c r="HC222" s="27" t="s">
        <v>8</v>
      </c>
      <c r="HD222" s="27" t="s">
        <v>7</v>
      </c>
      <c r="HE222" s="27" t="s">
        <v>8</v>
      </c>
    </row>
    <row r="223" spans="1:214" x14ac:dyDescent="0.25">
      <c r="A223" s="30">
        <v>2.2920183178010345</v>
      </c>
      <c r="E223"/>
      <c r="FI223" s="27" t="s">
        <v>8</v>
      </c>
      <c r="FJ223" s="27" t="s">
        <v>7</v>
      </c>
      <c r="FO223" s="27" t="s">
        <v>8</v>
      </c>
      <c r="FP223" s="31" t="s">
        <v>7</v>
      </c>
      <c r="GY223" s="27" t="s">
        <v>8</v>
      </c>
      <c r="HA223" s="27" t="s">
        <v>8</v>
      </c>
      <c r="HB223" s="27" t="s">
        <v>7</v>
      </c>
      <c r="HC223" s="27" t="s">
        <v>8</v>
      </c>
      <c r="HD223" s="27" t="s">
        <v>7</v>
      </c>
      <c r="HE223" s="27" t="s">
        <v>8</v>
      </c>
      <c r="HF223" s="27" t="s">
        <v>7</v>
      </c>
    </row>
    <row r="224" spans="1:214" x14ac:dyDescent="0.25">
      <c r="A224" s="30">
        <v>2.1828745883819374</v>
      </c>
      <c r="E224"/>
      <c r="FI224" s="27" t="s">
        <v>8</v>
      </c>
      <c r="FJ224" s="27" t="s">
        <v>7</v>
      </c>
      <c r="FK224" s="27" t="s">
        <v>8</v>
      </c>
      <c r="FO224" s="27" t="s">
        <v>8</v>
      </c>
      <c r="FP224" s="27" t="s">
        <v>7</v>
      </c>
      <c r="FQ224" s="31"/>
      <c r="GS224" s="27" t="s">
        <v>8</v>
      </c>
      <c r="GY224" s="27" t="s">
        <v>8</v>
      </c>
      <c r="GZ224" s="27" t="s">
        <v>7</v>
      </c>
      <c r="HA224" s="27" t="s">
        <v>8</v>
      </c>
      <c r="HB224" s="27" t="s">
        <v>7</v>
      </c>
      <c r="HC224" s="27" t="s">
        <v>8</v>
      </c>
      <c r="HD224" s="27" t="s">
        <v>7</v>
      </c>
      <c r="HE224" s="27" t="s">
        <v>8</v>
      </c>
      <c r="HF224" s="27" t="s">
        <v>7</v>
      </c>
    </row>
    <row r="225" spans="1:218" x14ac:dyDescent="0.25">
      <c r="A225" s="30">
        <v>2.0789281794113688</v>
      </c>
      <c r="E225"/>
      <c r="FI225" s="27" t="s">
        <v>8</v>
      </c>
      <c r="FJ225" s="27" t="s">
        <v>7</v>
      </c>
      <c r="FK225" s="27" t="s">
        <v>8</v>
      </c>
      <c r="FL225" s="27" t="s">
        <v>7</v>
      </c>
      <c r="FO225" s="33" t="s">
        <v>8</v>
      </c>
      <c r="FP225" s="27" t="s">
        <v>7</v>
      </c>
      <c r="FR225" s="31"/>
      <c r="GS225" s="27" t="s">
        <v>8</v>
      </c>
      <c r="GT225" s="27" t="s">
        <v>7</v>
      </c>
      <c r="GU225" s="31" t="s">
        <v>8</v>
      </c>
      <c r="GY225" s="27" t="s">
        <v>8</v>
      </c>
      <c r="GZ225" s="27" t="s">
        <v>7</v>
      </c>
      <c r="HA225" s="27" t="s">
        <v>8</v>
      </c>
      <c r="HB225" s="27" t="s">
        <v>7</v>
      </c>
      <c r="HC225" s="27" t="s">
        <v>8</v>
      </c>
      <c r="HD225" s="27" t="s">
        <v>7</v>
      </c>
      <c r="HE225" s="27" t="s">
        <v>8</v>
      </c>
      <c r="HF225" s="27" t="s">
        <v>7</v>
      </c>
    </row>
    <row r="226" spans="1:218" x14ac:dyDescent="0.25">
      <c r="A226" s="30">
        <v>1.9799315994393987</v>
      </c>
      <c r="E226"/>
      <c r="FI226" s="27" t="s">
        <v>8</v>
      </c>
      <c r="FJ226" s="27" t="s">
        <v>7</v>
      </c>
      <c r="FK226" s="27" t="s">
        <v>8</v>
      </c>
      <c r="FL226" s="27" t="s">
        <v>7</v>
      </c>
      <c r="FM226" s="27" t="s">
        <v>8</v>
      </c>
      <c r="FO226" s="27" t="s">
        <v>8</v>
      </c>
      <c r="FP226" s="27" t="s">
        <v>7</v>
      </c>
      <c r="FQ226" s="27" t="s">
        <v>8</v>
      </c>
      <c r="FS226" s="31"/>
      <c r="GS226" s="27" t="s">
        <v>8</v>
      </c>
      <c r="GT226" s="27" t="s">
        <v>7</v>
      </c>
      <c r="GU226" s="27" t="s">
        <v>8</v>
      </c>
      <c r="GV226" s="31" t="s">
        <v>7</v>
      </c>
      <c r="GY226" s="27" t="s">
        <v>8</v>
      </c>
      <c r="GZ226" s="27" t="s">
        <v>7</v>
      </c>
      <c r="HA226" s="27" t="s">
        <v>8</v>
      </c>
      <c r="HB226" s="27" t="s">
        <v>7</v>
      </c>
      <c r="HC226" s="27" t="s">
        <v>8</v>
      </c>
      <c r="HD226" s="27" t="s">
        <v>7</v>
      </c>
      <c r="HF226" s="27" t="s">
        <v>7</v>
      </c>
    </row>
    <row r="227" spans="1:218" x14ac:dyDescent="0.25">
      <c r="A227" s="30">
        <v>1.8856491423232367</v>
      </c>
      <c r="E227"/>
      <c r="FG227" s="27" t="s">
        <v>8</v>
      </c>
      <c r="FI227" s="27" t="s">
        <v>8</v>
      </c>
      <c r="FJ227" s="27" t="s">
        <v>7</v>
      </c>
      <c r="FK227" s="27" t="s">
        <v>8</v>
      </c>
      <c r="FL227" s="27" t="s">
        <v>7</v>
      </c>
      <c r="FM227" s="27" t="s">
        <v>8</v>
      </c>
      <c r="FN227" s="27" t="s">
        <v>7</v>
      </c>
      <c r="FO227" s="27" t="s">
        <v>8</v>
      </c>
      <c r="FP227" s="27" t="s">
        <v>7</v>
      </c>
      <c r="FQ227" s="27" t="s">
        <v>8</v>
      </c>
      <c r="FR227" s="27" t="s">
        <v>7</v>
      </c>
      <c r="FT227" s="31"/>
      <c r="GS227" s="27" t="s">
        <v>8</v>
      </c>
      <c r="GT227" s="27" t="s">
        <v>7</v>
      </c>
      <c r="GU227" s="27" t="s">
        <v>8</v>
      </c>
      <c r="GV227" s="27" t="s">
        <v>7</v>
      </c>
      <c r="GW227" s="31" t="s">
        <v>8</v>
      </c>
      <c r="GY227" s="27" t="s">
        <v>8</v>
      </c>
      <c r="GZ227" s="27" t="s">
        <v>7</v>
      </c>
      <c r="HA227" s="27" t="s">
        <v>8</v>
      </c>
      <c r="HB227" s="27" t="s">
        <v>7</v>
      </c>
      <c r="HC227" s="27" t="s">
        <v>8</v>
      </c>
      <c r="HE227" s="31"/>
      <c r="HF227" s="27" t="s">
        <v>7</v>
      </c>
    </row>
    <row r="228" spans="1:218" x14ac:dyDescent="0.25">
      <c r="A228" s="30">
        <v>1.7958563260221301</v>
      </c>
      <c r="C228" s="7"/>
      <c r="D228"/>
      <c r="E228"/>
      <c r="FG228" s="27" t="s">
        <v>8</v>
      </c>
      <c r="FH228" s="27" t="s">
        <v>7</v>
      </c>
      <c r="FI228" s="27" t="s">
        <v>8</v>
      </c>
      <c r="FJ228" s="27" t="s">
        <v>7</v>
      </c>
      <c r="FK228" s="27" t="s">
        <v>8</v>
      </c>
      <c r="FL228" s="27" t="s">
        <v>7</v>
      </c>
      <c r="FM228" s="27" t="s">
        <v>8</v>
      </c>
      <c r="FN228" s="27" t="s">
        <v>7</v>
      </c>
      <c r="FO228" s="27" t="s">
        <v>8</v>
      </c>
      <c r="FP228" s="27" t="s">
        <v>7</v>
      </c>
      <c r="FQ228" s="27" t="s">
        <v>8</v>
      </c>
      <c r="FR228" s="27" t="s">
        <v>7</v>
      </c>
      <c r="FU228" s="31"/>
      <c r="GG228" s="27" t="s">
        <v>8</v>
      </c>
      <c r="GS228" s="27" t="s">
        <v>8</v>
      </c>
      <c r="GT228" s="27" t="s">
        <v>7</v>
      </c>
      <c r="GV228" s="27" t="s">
        <v>7</v>
      </c>
      <c r="GW228" s="27" t="s">
        <v>8</v>
      </c>
      <c r="GX228" s="31" t="s">
        <v>7</v>
      </c>
      <c r="GY228" s="27" t="s">
        <v>8</v>
      </c>
      <c r="GZ228" s="27" t="s">
        <v>7</v>
      </c>
      <c r="HA228" s="27" t="s">
        <v>8</v>
      </c>
      <c r="HB228" s="27" t="s">
        <v>7</v>
      </c>
      <c r="HD228" s="31"/>
      <c r="HF228" s="27" t="s">
        <v>7</v>
      </c>
      <c r="HI228" s="27" t="s">
        <v>8</v>
      </c>
    </row>
    <row r="229" spans="1:218" x14ac:dyDescent="0.25">
      <c r="A229" s="30">
        <v>1.7103393581163142</v>
      </c>
      <c r="E229"/>
      <c r="FG229" s="27" t="s">
        <v>8</v>
      </c>
      <c r="FH229" s="27" t="s">
        <v>7</v>
      </c>
      <c r="FI229" s="27" t="s">
        <v>8</v>
      </c>
      <c r="FJ229" s="27" t="s">
        <v>7</v>
      </c>
      <c r="FK229" s="27" t="s">
        <v>8</v>
      </c>
      <c r="FL229" s="27" t="s">
        <v>7</v>
      </c>
      <c r="FM229" s="27" t="s">
        <v>8</v>
      </c>
      <c r="FN229" s="27" t="s">
        <v>7</v>
      </c>
      <c r="FO229" s="27" t="s">
        <v>8</v>
      </c>
      <c r="FP229" s="27" t="s">
        <v>7</v>
      </c>
      <c r="FQ229" s="27" t="s">
        <v>8</v>
      </c>
      <c r="FR229" s="27" t="s">
        <v>7</v>
      </c>
      <c r="FS229" s="27" t="s">
        <v>8</v>
      </c>
      <c r="FV229" s="31"/>
      <c r="GG229" s="27" t="s">
        <v>8</v>
      </c>
      <c r="GH229" s="27" t="s">
        <v>7</v>
      </c>
      <c r="GS229" s="27" t="s">
        <v>8</v>
      </c>
      <c r="GV229" s="27" t="s">
        <v>7</v>
      </c>
      <c r="GW229" s="27" t="s">
        <v>8</v>
      </c>
      <c r="GX229" s="27" t="s">
        <v>7</v>
      </c>
      <c r="GY229" s="31" t="s">
        <v>8</v>
      </c>
      <c r="GZ229" s="27" t="s">
        <v>7</v>
      </c>
      <c r="HA229" s="27" t="s">
        <v>8</v>
      </c>
      <c r="HC229" s="31"/>
      <c r="HF229" s="27" t="s">
        <v>7</v>
      </c>
      <c r="HI229" s="27" t="s">
        <v>8</v>
      </c>
      <c r="HJ229" s="27" t="s">
        <v>7</v>
      </c>
    </row>
    <row r="230" spans="1:218" x14ac:dyDescent="0.25">
      <c r="A230" s="30">
        <v>1.628894626777442</v>
      </c>
      <c r="E230"/>
      <c r="FG230" s="27" t="s">
        <v>8</v>
      </c>
      <c r="FH230" s="27" t="s">
        <v>7</v>
      </c>
      <c r="FI230" s="27" t="s">
        <v>8</v>
      </c>
      <c r="FJ230" s="27" t="s">
        <v>7</v>
      </c>
      <c r="FK230" s="27" t="s">
        <v>8</v>
      </c>
      <c r="FL230" s="27" t="s">
        <v>7</v>
      </c>
      <c r="FM230" s="27" t="s">
        <v>8</v>
      </c>
      <c r="FN230" s="27" t="s">
        <v>7</v>
      </c>
      <c r="FO230" s="27" t="s">
        <v>8</v>
      </c>
      <c r="FP230" s="27" t="s">
        <v>7</v>
      </c>
      <c r="FQ230" s="27" t="s">
        <v>8</v>
      </c>
      <c r="FR230" s="27" t="s">
        <v>7</v>
      </c>
      <c r="FS230" s="27" t="s">
        <v>8</v>
      </c>
      <c r="FT230" s="27" t="s">
        <v>7</v>
      </c>
      <c r="FU230" s="27" t="s">
        <v>8</v>
      </c>
      <c r="FW230" s="31"/>
      <c r="GE230" s="27" t="s">
        <v>8</v>
      </c>
      <c r="GG230" s="27" t="s">
        <v>8</v>
      </c>
      <c r="GH230" s="27" t="s">
        <v>7</v>
      </c>
      <c r="GQ230" s="27" t="s">
        <v>8</v>
      </c>
      <c r="GS230" s="27" t="s">
        <v>8</v>
      </c>
      <c r="GV230" s="27" t="s">
        <v>7</v>
      </c>
      <c r="GW230" s="27" t="s">
        <v>8</v>
      </c>
      <c r="GX230" s="27" t="s">
        <v>7</v>
      </c>
      <c r="GY230" s="27" t="s">
        <v>8</v>
      </c>
      <c r="GZ230" s="27" t="s">
        <v>7</v>
      </c>
      <c r="HA230" s="27" t="s">
        <v>8</v>
      </c>
      <c r="HB230" s="31"/>
      <c r="HF230" s="27" t="s">
        <v>7</v>
      </c>
      <c r="HG230" s="27" t="s">
        <v>8</v>
      </c>
      <c r="HI230" s="27" t="s">
        <v>8</v>
      </c>
      <c r="HJ230" s="27" t="s">
        <v>7</v>
      </c>
    </row>
    <row r="231" spans="1:218" x14ac:dyDescent="0.25">
      <c r="A231" s="30">
        <v>1.5513282159785162</v>
      </c>
      <c r="C231"/>
      <c r="D231"/>
      <c r="E231"/>
      <c r="FG231" s="27" t="s">
        <v>8</v>
      </c>
      <c r="FH231" s="27" t="s">
        <v>7</v>
      </c>
      <c r="FI231" s="27" t="s">
        <v>8</v>
      </c>
      <c r="FJ231" s="27" t="s">
        <v>7</v>
      </c>
      <c r="FK231" s="27" t="s">
        <v>8</v>
      </c>
      <c r="FL231" s="27" t="s">
        <v>7</v>
      </c>
      <c r="FM231" s="27" t="s">
        <v>8</v>
      </c>
      <c r="FN231" s="34" t="s">
        <v>7</v>
      </c>
      <c r="FP231" s="34" t="s">
        <v>7</v>
      </c>
      <c r="FR231" s="27" t="s">
        <v>7</v>
      </c>
      <c r="FS231" s="27" t="s">
        <v>8</v>
      </c>
      <c r="FT231" s="27" t="s">
        <v>7</v>
      </c>
      <c r="FU231" s="27" t="s">
        <v>8</v>
      </c>
      <c r="FV231" s="27" t="s">
        <v>7</v>
      </c>
      <c r="FX231" s="31"/>
      <c r="GC231" s="27" t="s">
        <v>8</v>
      </c>
      <c r="GE231" s="27" t="s">
        <v>8</v>
      </c>
      <c r="GF231" s="27" t="s">
        <v>7</v>
      </c>
      <c r="GG231" s="27" t="s">
        <v>8</v>
      </c>
      <c r="GH231" s="27" t="s">
        <v>7</v>
      </c>
      <c r="GQ231" s="27" t="s">
        <v>8</v>
      </c>
      <c r="GR231" s="27" t="s">
        <v>7</v>
      </c>
      <c r="GS231" s="27" t="s">
        <v>8</v>
      </c>
      <c r="GV231" s="27" t="s">
        <v>7</v>
      </c>
      <c r="GW231" s="27" t="s">
        <v>8</v>
      </c>
      <c r="GX231" s="27" t="s">
        <v>7</v>
      </c>
      <c r="GZ231" s="27" t="s">
        <v>7</v>
      </c>
      <c r="HA231" s="31"/>
      <c r="HF231" s="27" t="s">
        <v>7</v>
      </c>
      <c r="HG231" s="27" t="s">
        <v>8</v>
      </c>
      <c r="HH231" s="27" t="s">
        <v>7</v>
      </c>
      <c r="HI231" s="27" t="s">
        <v>8</v>
      </c>
      <c r="HJ231" s="27" t="s">
        <v>7</v>
      </c>
    </row>
    <row r="232" spans="1:218" x14ac:dyDescent="0.25">
      <c r="A232" s="30">
        <v>1.477455443789063</v>
      </c>
      <c r="E232"/>
      <c r="FG232" s="27" t="s">
        <v>8</v>
      </c>
      <c r="FH232" s="27" t="s">
        <v>7</v>
      </c>
      <c r="FJ232" s="27" t="s">
        <v>7</v>
      </c>
      <c r="FK232" s="27" t="s">
        <v>8</v>
      </c>
      <c r="FL232" s="27" t="s">
        <v>7</v>
      </c>
      <c r="FM232" s="27" t="s">
        <v>8</v>
      </c>
      <c r="FR232" s="32" t="s">
        <v>7</v>
      </c>
      <c r="FT232" s="27" t="s">
        <v>7</v>
      </c>
      <c r="FU232" s="27" t="s">
        <v>8</v>
      </c>
      <c r="FV232" s="27" t="s">
        <v>7</v>
      </c>
      <c r="FY232" s="31"/>
      <c r="GC232" s="27" t="s">
        <v>8</v>
      </c>
      <c r="GD232" s="27" t="s">
        <v>7</v>
      </c>
      <c r="GE232" s="27" t="s">
        <v>8</v>
      </c>
      <c r="GF232" s="27" t="s">
        <v>7</v>
      </c>
      <c r="GG232" s="27" t="s">
        <v>8</v>
      </c>
      <c r="GH232" s="27" t="s">
        <v>7</v>
      </c>
      <c r="GI232" s="27" t="s">
        <v>8</v>
      </c>
      <c r="GK232" s="27" t="s">
        <v>8</v>
      </c>
      <c r="GQ232" s="27" t="s">
        <v>8</v>
      </c>
      <c r="GR232" s="27" t="s">
        <v>7</v>
      </c>
      <c r="GS232" s="27" t="s">
        <v>8</v>
      </c>
      <c r="GV232" s="27" t="s">
        <v>7</v>
      </c>
      <c r="GZ232" s="31"/>
      <c r="HF232" s="27" t="s">
        <v>7</v>
      </c>
      <c r="HG232" s="27" t="s">
        <v>8</v>
      </c>
      <c r="HH232" s="27" t="s">
        <v>7</v>
      </c>
      <c r="HI232" s="27" t="s">
        <v>8</v>
      </c>
    </row>
    <row r="233" spans="1:218" x14ac:dyDescent="0.25">
      <c r="A233" s="30">
        <v>1.4071004226562505</v>
      </c>
      <c r="E233"/>
      <c r="FG233" s="27" t="s">
        <v>8</v>
      </c>
      <c r="FJ233" s="32" t="s">
        <v>7</v>
      </c>
      <c r="FK233" s="27" t="s">
        <v>8</v>
      </c>
      <c r="FL233" s="27" t="s">
        <v>7</v>
      </c>
      <c r="FM233" s="27" t="s">
        <v>8</v>
      </c>
      <c r="FT233" s="27" t="s">
        <v>7</v>
      </c>
      <c r="FU233" s="27" t="s">
        <v>8</v>
      </c>
      <c r="FV233" s="27" t="s">
        <v>7</v>
      </c>
      <c r="FZ233" s="31"/>
      <c r="GC233" s="27" t="s">
        <v>8</v>
      </c>
      <c r="GD233" s="27" t="s">
        <v>7</v>
      </c>
      <c r="GE233" s="27" t="s">
        <v>8</v>
      </c>
      <c r="GF233" s="27" t="s">
        <v>7</v>
      </c>
      <c r="GG233" s="27" t="s">
        <v>8</v>
      </c>
      <c r="GH233" s="27" t="s">
        <v>7</v>
      </c>
      <c r="GI233" s="27" t="s">
        <v>8</v>
      </c>
      <c r="GJ233" s="27" t="s">
        <v>7</v>
      </c>
      <c r="GK233" s="27" t="s">
        <v>8</v>
      </c>
      <c r="GL233" s="27" t="s">
        <v>7</v>
      </c>
      <c r="GO233" s="27" t="s">
        <v>8</v>
      </c>
      <c r="GQ233" s="27" t="s">
        <v>8</v>
      </c>
      <c r="GR233" s="27" t="s">
        <v>7</v>
      </c>
      <c r="GY233" s="31"/>
      <c r="HF233" s="27" t="s">
        <v>7</v>
      </c>
      <c r="HH233" s="27" t="s">
        <v>7</v>
      </c>
      <c r="HI233" s="27" t="s">
        <v>8</v>
      </c>
    </row>
    <row r="234" spans="1:218" x14ac:dyDescent="0.25">
      <c r="A234" s="30">
        <v>1.3400956406250004</v>
      </c>
      <c r="E234"/>
      <c r="FG234" s="27" t="s">
        <v>8</v>
      </c>
      <c r="FJ234" s="27" t="s">
        <v>7</v>
      </c>
      <c r="FK234" s="27" t="s">
        <v>8</v>
      </c>
      <c r="FL234" s="27" t="s">
        <v>7</v>
      </c>
      <c r="FM234" s="27" t="s">
        <v>8</v>
      </c>
      <c r="FT234" s="27" t="s">
        <v>7</v>
      </c>
      <c r="FU234" s="27" t="s">
        <v>8</v>
      </c>
      <c r="FV234" s="27" t="s">
        <v>7</v>
      </c>
      <c r="GA234" s="31"/>
      <c r="GC234" s="27" t="s">
        <v>8</v>
      </c>
      <c r="GD234" s="27" t="s">
        <v>7</v>
      </c>
      <c r="GE234" s="27" t="s">
        <v>8</v>
      </c>
      <c r="GF234" s="27" t="s">
        <v>7</v>
      </c>
      <c r="GH234" s="27" t="s">
        <v>7</v>
      </c>
      <c r="GI234" s="27" t="s">
        <v>8</v>
      </c>
      <c r="GJ234" s="27" t="s">
        <v>7</v>
      </c>
      <c r="GK234" s="27" t="s">
        <v>8</v>
      </c>
      <c r="GL234" s="27" t="s">
        <v>7</v>
      </c>
      <c r="GO234" s="27" t="s">
        <v>8</v>
      </c>
      <c r="GP234" s="27" t="s">
        <v>7</v>
      </c>
      <c r="GQ234" s="27" t="s">
        <v>8</v>
      </c>
      <c r="GX234" s="31"/>
      <c r="HH234" s="27" t="s">
        <v>7</v>
      </c>
    </row>
    <row r="235" spans="1:218" x14ac:dyDescent="0.25">
      <c r="A235" s="30">
        <v>1.2762815625000004</v>
      </c>
      <c r="C235"/>
      <c r="E235"/>
      <c r="FG235" s="27" t="s">
        <v>8</v>
      </c>
      <c r="FJ235" s="27" t="s">
        <v>7</v>
      </c>
      <c r="FK235" s="27" t="s">
        <v>8</v>
      </c>
      <c r="FL235" s="27" t="s">
        <v>7</v>
      </c>
      <c r="FM235" s="27" t="s">
        <v>8</v>
      </c>
      <c r="FT235" s="27" t="s">
        <v>7</v>
      </c>
      <c r="FU235" s="27" t="s">
        <v>8</v>
      </c>
      <c r="FV235" s="27" t="s">
        <v>7</v>
      </c>
      <c r="GB235" s="31"/>
      <c r="GC235" s="27" t="s">
        <v>8</v>
      </c>
      <c r="GD235" s="27" t="s">
        <v>7</v>
      </c>
      <c r="GH235" s="27" t="s">
        <v>7</v>
      </c>
      <c r="GI235" s="27" t="s">
        <v>8</v>
      </c>
      <c r="GJ235" s="27" t="s">
        <v>7</v>
      </c>
      <c r="GK235" s="27" t="s">
        <v>8</v>
      </c>
      <c r="GL235" s="27" t="s">
        <v>7</v>
      </c>
      <c r="GO235" s="27" t="s">
        <v>8</v>
      </c>
      <c r="GP235" s="27" t="s">
        <v>7</v>
      </c>
      <c r="GQ235" s="27" t="s">
        <v>8</v>
      </c>
      <c r="GW235" s="31"/>
    </row>
    <row r="236" spans="1:218" x14ac:dyDescent="0.25">
      <c r="A236" s="30">
        <v>1.2155062500000002</v>
      </c>
      <c r="E236"/>
      <c r="FE236" s="27" t="s">
        <v>8</v>
      </c>
      <c r="FG236" s="27" t="s">
        <v>8</v>
      </c>
      <c r="FJ236" s="27" t="s">
        <v>7</v>
      </c>
      <c r="FK236" s="27" t="s">
        <v>8</v>
      </c>
      <c r="FL236" s="27" t="s">
        <v>7</v>
      </c>
      <c r="FM236" s="27" t="s">
        <v>8</v>
      </c>
      <c r="FT236" s="27" t="s">
        <v>7</v>
      </c>
      <c r="FV236" s="27" t="s">
        <v>7</v>
      </c>
      <c r="FW236" s="34" t="s">
        <v>8</v>
      </c>
      <c r="FY236" s="34" t="s">
        <v>8</v>
      </c>
      <c r="GC236" s="31" t="s">
        <v>8</v>
      </c>
      <c r="GH236" s="27" t="s">
        <v>7</v>
      </c>
      <c r="GI236" s="27" t="s">
        <v>8</v>
      </c>
      <c r="GJ236" s="27" t="s">
        <v>7</v>
      </c>
      <c r="GL236" s="27" t="s">
        <v>7</v>
      </c>
      <c r="GM236" s="27" t="s">
        <v>8</v>
      </c>
      <c r="GO236" s="27" t="s">
        <v>8</v>
      </c>
      <c r="GP236" s="27" t="s">
        <v>7</v>
      </c>
      <c r="GQ236" s="27" t="s">
        <v>8</v>
      </c>
      <c r="GV236" s="31"/>
    </row>
    <row r="237" spans="1:21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FE237" s="27" t="s">
        <v>8</v>
      </c>
      <c r="FF237" s="27" t="s">
        <v>7</v>
      </c>
      <c r="FG237" s="27" t="s">
        <v>8</v>
      </c>
      <c r="FJ237" s="27" t="s">
        <v>7</v>
      </c>
      <c r="FK237" s="27" t="s">
        <v>8</v>
      </c>
      <c r="FL237" s="27" t="s">
        <v>7</v>
      </c>
      <c r="FM237" s="27" t="s">
        <v>8</v>
      </c>
      <c r="FV237" s="27" t="s">
        <v>7</v>
      </c>
      <c r="FW237" s="27" t="s">
        <v>8</v>
      </c>
      <c r="FX237" s="27" t="s">
        <v>7</v>
      </c>
      <c r="FY237" s="27" t="s">
        <v>8</v>
      </c>
      <c r="FZ237" s="27" t="s">
        <v>7</v>
      </c>
      <c r="GC237" s="33" t="s">
        <v>8</v>
      </c>
      <c r="GD237" s="31"/>
      <c r="GH237" s="27" t="s">
        <v>7</v>
      </c>
      <c r="GL237" s="27" t="s">
        <v>7</v>
      </c>
      <c r="GM237" s="27" t="s">
        <v>8</v>
      </c>
      <c r="GN237" s="27" t="s">
        <v>7</v>
      </c>
      <c r="GO237" s="27" t="s">
        <v>8</v>
      </c>
      <c r="GP237" s="27" t="s">
        <v>7</v>
      </c>
      <c r="GU237" s="31"/>
    </row>
    <row r="238" spans="1:218" x14ac:dyDescent="0.25">
      <c r="A238" s="30">
        <v>1.1025</v>
      </c>
      <c r="E238"/>
      <c r="FE238" s="27" t="s">
        <v>8</v>
      </c>
      <c r="FF238" s="27" t="s">
        <v>7</v>
      </c>
      <c r="FG238" s="27" t="s">
        <v>8</v>
      </c>
      <c r="FJ238" s="27" t="s">
        <v>7</v>
      </c>
      <c r="FK238" s="27" t="s">
        <v>8</v>
      </c>
      <c r="FL238" s="27" t="s">
        <v>7</v>
      </c>
      <c r="FM238" s="27" t="s">
        <v>8</v>
      </c>
      <c r="FV238" s="27" t="s">
        <v>7</v>
      </c>
      <c r="FW238" s="27" t="s">
        <v>8</v>
      </c>
      <c r="FX238" s="27" t="s">
        <v>7</v>
      </c>
      <c r="FY238" s="27" t="s">
        <v>8</v>
      </c>
      <c r="FZ238" s="27" t="s">
        <v>7</v>
      </c>
      <c r="GA238" s="27" t="s">
        <v>8</v>
      </c>
      <c r="GC238" s="27" t="s">
        <v>8</v>
      </c>
      <c r="GE238" s="31"/>
      <c r="GL238" s="27" t="s">
        <v>7</v>
      </c>
      <c r="GM238" s="27" t="s">
        <v>8</v>
      </c>
      <c r="GN238" s="27" t="s">
        <v>7</v>
      </c>
      <c r="GO238" s="27" t="s">
        <v>8</v>
      </c>
      <c r="GT238" s="31"/>
    </row>
    <row r="239" spans="1:218" x14ac:dyDescent="0.25">
      <c r="A239" s="30">
        <v>1.05</v>
      </c>
      <c r="E239"/>
      <c r="FC239" s="27" t="s">
        <v>8</v>
      </c>
      <c r="FE239" s="27" t="s">
        <v>8</v>
      </c>
      <c r="FF239" s="27" t="s">
        <v>7</v>
      </c>
      <c r="FG239" s="27" t="s">
        <v>8</v>
      </c>
      <c r="FJ239" s="27" t="s">
        <v>7</v>
      </c>
      <c r="FL239" s="27" t="s">
        <v>7</v>
      </c>
      <c r="FM239" s="27" t="s">
        <v>8</v>
      </c>
      <c r="FV239" s="27" t="s">
        <v>7</v>
      </c>
      <c r="FW239" s="27" t="s">
        <v>8</v>
      </c>
      <c r="FX239" s="27" t="s">
        <v>7</v>
      </c>
      <c r="FZ239" s="27" t="s">
        <v>7</v>
      </c>
      <c r="GA239" s="27" t="s">
        <v>8</v>
      </c>
      <c r="GB239" s="27" t="s">
        <v>7</v>
      </c>
      <c r="GC239" s="27" t="s">
        <v>8</v>
      </c>
      <c r="GF239" s="31"/>
      <c r="GL239" s="27" t="s">
        <v>7</v>
      </c>
      <c r="GN239" s="27" t="s">
        <v>7</v>
      </c>
      <c r="GS239" s="31"/>
    </row>
    <row r="240" spans="1:218" x14ac:dyDescent="0.25">
      <c r="A240" s="30">
        <v>1</v>
      </c>
      <c r="E240" s="29" t="s">
        <v>8</v>
      </c>
      <c r="FC240" s="27" t="s">
        <v>8</v>
      </c>
      <c r="FD240" s="27" t="s">
        <v>7</v>
      </c>
      <c r="FE240" s="27" t="s">
        <v>8</v>
      </c>
      <c r="FF240" s="27" t="s">
        <v>7</v>
      </c>
      <c r="FG240" s="27" t="s">
        <v>8</v>
      </c>
      <c r="FL240" s="27" t="s">
        <v>7</v>
      </c>
      <c r="FM240" s="27" t="s">
        <v>8</v>
      </c>
      <c r="FV240" s="27" t="s">
        <v>7</v>
      </c>
      <c r="FW240" s="27" t="s">
        <v>8</v>
      </c>
      <c r="FZ240" s="27" t="s">
        <v>7</v>
      </c>
      <c r="GA240" s="27" t="s">
        <v>8</v>
      </c>
      <c r="GB240" s="27" t="s">
        <v>7</v>
      </c>
      <c r="GC240" s="27" t="s">
        <v>8</v>
      </c>
      <c r="GR240" s="31"/>
    </row>
    <row r="241" spans="1:199" x14ac:dyDescent="0.25">
      <c r="A241" s="30">
        <v>0.952380952380952</v>
      </c>
      <c r="B241"/>
      <c r="C241"/>
      <c r="D241"/>
      <c r="E241"/>
      <c r="F241" s="27" t="s">
        <v>7</v>
      </c>
      <c r="FC241" s="27" t="s">
        <v>8</v>
      </c>
      <c r="FD241" s="27" t="s">
        <v>7</v>
      </c>
      <c r="FE241" s="27" t="s">
        <v>8</v>
      </c>
      <c r="FF241" s="27" t="s">
        <v>7</v>
      </c>
      <c r="FL241" s="27" t="s">
        <v>7</v>
      </c>
      <c r="FM241" s="27" t="s">
        <v>8</v>
      </c>
      <c r="FV241" s="27" t="s">
        <v>7</v>
      </c>
      <c r="FZ241" s="27" t="s">
        <v>7</v>
      </c>
      <c r="GA241" s="27" t="s">
        <v>8</v>
      </c>
      <c r="GB241" s="27" t="s">
        <v>7</v>
      </c>
      <c r="GQ241" s="31"/>
    </row>
    <row r="242" spans="1:199" x14ac:dyDescent="0.25">
      <c r="A242" s="30">
        <v>0.90702947845804915</v>
      </c>
      <c r="B242"/>
      <c r="C242"/>
      <c r="D242"/>
      <c r="E242"/>
      <c r="F242" s="27" t="s">
        <v>7</v>
      </c>
      <c r="EY242" s="27" t="s">
        <v>8</v>
      </c>
      <c r="FC242" s="27" t="s">
        <v>8</v>
      </c>
      <c r="FD242" s="27" t="s">
        <v>7</v>
      </c>
      <c r="FE242" s="27" t="s">
        <v>8</v>
      </c>
      <c r="FL242" s="27" t="s">
        <v>7</v>
      </c>
      <c r="FM242" s="27" t="s">
        <v>8</v>
      </c>
      <c r="FZ242" s="27" t="s">
        <v>7</v>
      </c>
      <c r="GA242" s="27" t="s">
        <v>8</v>
      </c>
      <c r="GP242" s="31"/>
    </row>
    <row r="243" spans="1:199" x14ac:dyDescent="0.25">
      <c r="A243" s="30">
        <v>0.86383759853147501</v>
      </c>
      <c r="B243"/>
      <c r="C243"/>
      <c r="D243"/>
      <c r="E243"/>
      <c r="F243" s="27" t="s">
        <v>7</v>
      </c>
      <c r="EY243" s="27" t="s">
        <v>8</v>
      </c>
      <c r="EZ243" s="27" t="s">
        <v>7</v>
      </c>
      <c r="FA243" s="27" t="s">
        <v>8</v>
      </c>
      <c r="FC243" s="27" t="s">
        <v>8</v>
      </c>
      <c r="FD243" s="27" t="s">
        <v>7</v>
      </c>
      <c r="FE243" s="27" t="s">
        <v>8</v>
      </c>
      <c r="FL243" s="27" t="s">
        <v>7</v>
      </c>
      <c r="FM243" s="27" t="s">
        <v>8</v>
      </c>
      <c r="FZ243" s="27" t="s">
        <v>7</v>
      </c>
      <c r="GA243" s="27" t="s">
        <v>8</v>
      </c>
      <c r="GO243" s="31"/>
    </row>
    <row r="244" spans="1:199" x14ac:dyDescent="0.25">
      <c r="A244" s="30">
        <v>0.82270247479188063</v>
      </c>
      <c r="B244"/>
      <c r="C244"/>
      <c r="D244"/>
      <c r="E244"/>
      <c r="F244" s="27" t="s">
        <v>7</v>
      </c>
      <c r="EY244" s="27" t="s">
        <v>8</v>
      </c>
      <c r="EZ244" s="27" t="s">
        <v>7</v>
      </c>
      <c r="FA244" s="27" t="s">
        <v>8</v>
      </c>
      <c r="FB244" s="27" t="s">
        <v>7</v>
      </c>
      <c r="FC244" s="27" t="s">
        <v>8</v>
      </c>
      <c r="FD244" s="27" t="s">
        <v>7</v>
      </c>
      <c r="FE244" s="27" t="s">
        <v>8</v>
      </c>
      <c r="FL244" s="27" t="s">
        <v>7</v>
      </c>
      <c r="FM244" s="27" t="s">
        <v>8</v>
      </c>
      <c r="FZ244" s="27" t="s">
        <v>7</v>
      </c>
      <c r="GA244" s="27" t="s">
        <v>8</v>
      </c>
      <c r="GN244" s="31"/>
    </row>
    <row r="245" spans="1:199" x14ac:dyDescent="0.25">
      <c r="A245" s="30">
        <v>0.78352616646845741</v>
      </c>
      <c r="B245"/>
      <c r="C245"/>
      <c r="D245"/>
      <c r="E245"/>
      <c r="F245" s="27" t="s">
        <v>7</v>
      </c>
      <c r="EY245" s="27" t="s">
        <v>8</v>
      </c>
      <c r="EZ245" s="27" t="s">
        <v>7</v>
      </c>
      <c r="FA245" s="27" t="s">
        <v>8</v>
      </c>
      <c r="FB245" s="27" t="s">
        <v>7</v>
      </c>
      <c r="FC245" s="27" t="s">
        <v>8</v>
      </c>
      <c r="FD245" s="27" t="s">
        <v>7</v>
      </c>
      <c r="FL245" s="27" t="s">
        <v>7</v>
      </c>
      <c r="FM245" s="27" t="s">
        <v>8</v>
      </c>
      <c r="FZ245" s="27" t="s">
        <v>7</v>
      </c>
      <c r="GA245" s="27" t="s">
        <v>8</v>
      </c>
      <c r="GM245" s="31"/>
    </row>
    <row r="246" spans="1:199" x14ac:dyDescent="0.25">
      <c r="A246" s="30">
        <v>0.74621539663662584</v>
      </c>
      <c r="B246"/>
      <c r="C246"/>
      <c r="D246"/>
      <c r="E246"/>
      <c r="F246" s="27" t="s">
        <v>7</v>
      </c>
      <c r="EY246" s="27" t="s">
        <v>8</v>
      </c>
      <c r="EZ246" s="27" t="s">
        <v>7</v>
      </c>
      <c r="FB246" s="27" t="s">
        <v>7</v>
      </c>
      <c r="FC246" s="27" t="s">
        <v>8</v>
      </c>
      <c r="FL246" s="27" t="s">
        <v>7</v>
      </c>
      <c r="FZ246" s="18" t="s">
        <v>7</v>
      </c>
      <c r="GA246" s="27" t="s">
        <v>8</v>
      </c>
      <c r="GL246" s="31"/>
    </row>
    <row r="247" spans="1:199" x14ac:dyDescent="0.25">
      <c r="A247" s="30">
        <v>0.71068133013011958</v>
      </c>
      <c r="B247"/>
      <c r="C247"/>
      <c r="D247"/>
      <c r="E247"/>
      <c r="F247" s="27" t="s">
        <v>7</v>
      </c>
      <c r="EY247" s="27" t="s">
        <v>8</v>
      </c>
      <c r="FB247" s="27" t="s">
        <v>7</v>
      </c>
      <c r="FZ247" s="27" t="s">
        <v>7</v>
      </c>
      <c r="GA247" s="27" t="s">
        <v>8</v>
      </c>
      <c r="GK247" s="31"/>
    </row>
    <row r="248" spans="1:199" x14ac:dyDescent="0.25">
      <c r="A248" s="30">
        <v>0.676839362028685</v>
      </c>
      <c r="B248"/>
      <c r="C248"/>
      <c r="D248"/>
      <c r="E248"/>
      <c r="F248" s="27" t="s">
        <v>7</v>
      </c>
      <c r="EY248" s="27" t="s">
        <v>8</v>
      </c>
      <c r="FZ248" s="27" t="s">
        <v>7</v>
      </c>
      <c r="GA248" s="27" t="s">
        <v>8</v>
      </c>
      <c r="GJ248" s="31"/>
    </row>
    <row r="249" spans="1:199" x14ac:dyDescent="0.25">
      <c r="A249" s="30">
        <v>0.64460891621779492</v>
      </c>
      <c r="B249"/>
      <c r="C249"/>
      <c r="D249"/>
      <c r="E249"/>
      <c r="F249" s="27" t="s">
        <v>7</v>
      </c>
      <c r="EY249" s="27" t="s">
        <v>8</v>
      </c>
      <c r="FZ249" s="27" t="s">
        <v>7</v>
      </c>
      <c r="GI249" s="31"/>
    </row>
    <row r="250" spans="1:199" x14ac:dyDescent="0.25">
      <c r="A250" s="30">
        <v>0.61391325354075688</v>
      </c>
      <c r="B250"/>
      <c r="C250"/>
      <c r="D250"/>
      <c r="E250"/>
      <c r="F250" s="27" t="s">
        <v>7</v>
      </c>
      <c r="EY250" s="27" t="s">
        <v>8</v>
      </c>
      <c r="GH250" s="31"/>
    </row>
    <row r="251" spans="1:199" x14ac:dyDescent="0.25">
      <c r="A251" s="30">
        <v>0.58467928908643485</v>
      </c>
      <c r="B251"/>
      <c r="C251"/>
      <c r="D251"/>
      <c r="E251"/>
      <c r="F251" s="27" t="s">
        <v>7</v>
      </c>
      <c r="EY251" s="27" t="s">
        <v>8</v>
      </c>
      <c r="GG251" s="31"/>
    </row>
    <row r="252" spans="1:199" x14ac:dyDescent="0.25">
      <c r="A252" s="30">
        <v>0.55683741817755672</v>
      </c>
      <c r="B252"/>
      <c r="C252"/>
      <c r="D252"/>
      <c r="E252"/>
      <c r="F252" s="27" t="s">
        <v>7</v>
      </c>
      <c r="EY252" s="27" t="s">
        <v>8</v>
      </c>
      <c r="GF252" s="31"/>
    </row>
    <row r="253" spans="1:199" x14ac:dyDescent="0.25">
      <c r="A253" s="30">
        <v>0.53032135064529184</v>
      </c>
      <c r="B253"/>
      <c r="C253"/>
      <c r="D253"/>
      <c r="E253"/>
      <c r="F253" s="27" t="s">
        <v>7</v>
      </c>
      <c r="EK253" s="27" t="s">
        <v>8</v>
      </c>
      <c r="EY253" s="27" t="s">
        <v>8</v>
      </c>
      <c r="GE253" s="31"/>
    </row>
    <row r="254" spans="1:199" x14ac:dyDescent="0.25">
      <c r="A254" s="30">
        <v>0.50506795299551588</v>
      </c>
      <c r="B254"/>
      <c r="C254"/>
      <c r="D254"/>
      <c r="E254"/>
      <c r="F254" s="27" t="s">
        <v>7</v>
      </c>
      <c r="EK254" s="27" t="s">
        <v>8</v>
      </c>
      <c r="EL254" s="27" t="s">
        <v>7</v>
      </c>
      <c r="EY254" s="27" t="s">
        <v>8</v>
      </c>
      <c r="GD254" s="31"/>
    </row>
    <row r="255" spans="1:199" x14ac:dyDescent="0.25">
      <c r="A255" s="30">
        <v>0.48101709809096732</v>
      </c>
      <c r="E255"/>
      <c r="F255" s="27" t="s">
        <v>7</v>
      </c>
      <c r="EK255" s="27" t="s">
        <v>8</v>
      </c>
      <c r="EL255" s="27" t="s">
        <v>7</v>
      </c>
      <c r="EY255" s="27" t="s">
        <v>8</v>
      </c>
      <c r="GC255" s="31"/>
    </row>
    <row r="256" spans="1:199" x14ac:dyDescent="0.25">
      <c r="A256" s="30">
        <v>0.45811152199139726</v>
      </c>
      <c r="E256"/>
      <c r="F256" s="27" t="s">
        <v>7</v>
      </c>
      <c r="EK256" s="27" t="s">
        <v>8</v>
      </c>
      <c r="EL256" s="27" t="s">
        <v>7</v>
      </c>
      <c r="ES256" s="27" t="s">
        <v>8</v>
      </c>
      <c r="EY256" s="27" t="s">
        <v>8</v>
      </c>
      <c r="GB256" s="31"/>
    </row>
    <row r="257" spans="1:183" x14ac:dyDescent="0.25">
      <c r="A257" s="30">
        <v>0.43629668761085438</v>
      </c>
      <c r="B257"/>
      <c r="C257"/>
      <c r="D257"/>
      <c r="E257"/>
      <c r="F257" s="27" t="s">
        <v>7</v>
      </c>
      <c r="EK257" s="27" t="s">
        <v>8</v>
      </c>
      <c r="EL257" s="27" t="s">
        <v>7</v>
      </c>
      <c r="EM257" s="27" t="s">
        <v>8</v>
      </c>
      <c r="ES257" s="27" t="s">
        <v>8</v>
      </c>
      <c r="ET257" s="27" t="s">
        <v>7</v>
      </c>
      <c r="EY257" s="27" t="s">
        <v>8</v>
      </c>
      <c r="GA257" s="31"/>
    </row>
    <row r="258" spans="1:183" x14ac:dyDescent="0.25">
      <c r="A258" s="30">
        <v>0.41552065486748019</v>
      </c>
      <c r="B258"/>
      <c r="C258"/>
      <c r="D258"/>
      <c r="E258"/>
      <c r="F258" s="27" t="s">
        <v>7</v>
      </c>
      <c r="EK258" s="27" t="s">
        <v>8</v>
      </c>
      <c r="EL258" s="27" t="s">
        <v>7</v>
      </c>
      <c r="EM258" s="27" t="s">
        <v>8</v>
      </c>
      <c r="EN258" s="27" t="s">
        <v>7</v>
      </c>
      <c r="EO258" s="27" t="s">
        <v>8</v>
      </c>
      <c r="ES258" s="27" t="s">
        <v>8</v>
      </c>
      <c r="ET258" s="27" t="s">
        <v>7</v>
      </c>
      <c r="EW258" s="27" t="s">
        <v>8</v>
      </c>
      <c r="EY258" s="27" t="s">
        <v>8</v>
      </c>
      <c r="FZ258" s="31"/>
    </row>
    <row r="259" spans="1:183" x14ac:dyDescent="0.25">
      <c r="A259" s="30">
        <v>0.39573395701664765</v>
      </c>
      <c r="B259"/>
      <c r="C259"/>
      <c r="D259"/>
      <c r="E259"/>
      <c r="F259" s="27" t="s">
        <v>7</v>
      </c>
      <c r="EK259" s="27" t="s">
        <v>8</v>
      </c>
      <c r="EL259" s="27" t="s">
        <v>7</v>
      </c>
      <c r="EM259" s="27" t="s">
        <v>8</v>
      </c>
      <c r="EN259" s="27" t="s">
        <v>7</v>
      </c>
      <c r="EO259" s="27" t="s">
        <v>8</v>
      </c>
      <c r="EP259" s="27" t="s">
        <v>7</v>
      </c>
      <c r="EQ259" s="27" t="s">
        <v>8</v>
      </c>
      <c r="ES259" s="27" t="s">
        <v>8</v>
      </c>
      <c r="ET259" s="27" t="s">
        <v>7</v>
      </c>
      <c r="EW259" s="27" t="s">
        <v>8</v>
      </c>
      <c r="EX259" s="27" t="s">
        <v>7</v>
      </c>
      <c r="EY259" s="27" t="s">
        <v>8</v>
      </c>
      <c r="FY259" s="31"/>
    </row>
    <row r="260" spans="1:183" x14ac:dyDescent="0.25">
      <c r="A260" s="30">
        <v>0.37688948287299762</v>
      </c>
      <c r="B260"/>
      <c r="C260"/>
      <c r="D260"/>
      <c r="E260"/>
      <c r="F260" s="27" t="s">
        <v>7</v>
      </c>
      <c r="EK260" s="27" t="s">
        <v>8</v>
      </c>
      <c r="EL260" s="27" t="s">
        <v>7</v>
      </c>
      <c r="EM260" s="27" t="s">
        <v>8</v>
      </c>
      <c r="EN260" s="27" t="s">
        <v>7</v>
      </c>
      <c r="EO260" s="27" t="s">
        <v>8</v>
      </c>
      <c r="EP260" s="27" t="s">
        <v>7</v>
      </c>
      <c r="EQ260" s="27" t="s">
        <v>8</v>
      </c>
      <c r="ER260" s="27" t="s">
        <v>7</v>
      </c>
      <c r="ES260" s="27" t="s">
        <v>8</v>
      </c>
      <c r="ET260" s="27" t="s">
        <v>7</v>
      </c>
      <c r="EU260" s="27" t="s">
        <v>8</v>
      </c>
      <c r="EW260" s="27" t="s">
        <v>8</v>
      </c>
      <c r="EX260" s="27" t="s">
        <v>7</v>
      </c>
      <c r="EY260" s="27" t="s">
        <v>8</v>
      </c>
      <c r="FX260" s="31"/>
    </row>
    <row r="261" spans="1:183" x14ac:dyDescent="0.25">
      <c r="A261" s="30">
        <v>0.35894236464094997</v>
      </c>
      <c r="B261"/>
      <c r="C261"/>
      <c r="D261"/>
      <c r="E261"/>
      <c r="F261" s="27" t="s">
        <v>7</v>
      </c>
      <c r="EK261" s="27" t="s">
        <v>8</v>
      </c>
      <c r="EL261" s="27" t="s">
        <v>7</v>
      </c>
      <c r="EN261" s="27" t="s">
        <v>7</v>
      </c>
      <c r="EO261" s="27" t="s">
        <v>8</v>
      </c>
      <c r="EP261" s="27" t="s">
        <v>7</v>
      </c>
      <c r="EQ261" s="27" t="s">
        <v>8</v>
      </c>
      <c r="ER261" s="27" t="s">
        <v>7</v>
      </c>
      <c r="ES261" s="27" t="s">
        <v>8</v>
      </c>
      <c r="ET261" s="27" t="s">
        <v>7</v>
      </c>
      <c r="EU261" s="27" t="s">
        <v>8</v>
      </c>
      <c r="EV261" s="27" t="s">
        <v>7</v>
      </c>
      <c r="EW261" s="27" t="s">
        <v>8</v>
      </c>
      <c r="EX261" s="27" t="s">
        <v>7</v>
      </c>
      <c r="EY261" s="27" t="s">
        <v>8</v>
      </c>
      <c r="FW261" s="31"/>
    </row>
    <row r="262" spans="1:183" x14ac:dyDescent="0.25">
      <c r="A262" s="30">
        <v>0.34184987108661891</v>
      </c>
      <c r="B262"/>
      <c r="C262"/>
      <c r="D262"/>
      <c r="E262"/>
      <c r="F262" s="27" t="s">
        <v>7</v>
      </c>
      <c r="EK262" s="27" t="s">
        <v>8</v>
      </c>
      <c r="EN262" s="27" t="s">
        <v>7</v>
      </c>
      <c r="EO262" s="27" t="s">
        <v>8</v>
      </c>
      <c r="EP262" s="27" t="s">
        <v>7</v>
      </c>
      <c r="ER262" s="27" t="s">
        <v>7</v>
      </c>
      <c r="ES262" s="27" t="s">
        <v>8</v>
      </c>
      <c r="ET262" s="27" t="s">
        <v>7</v>
      </c>
      <c r="EU262" s="27" t="s">
        <v>8</v>
      </c>
      <c r="EV262" s="27" t="s">
        <v>7</v>
      </c>
      <c r="EW262" s="27" t="s">
        <v>8</v>
      </c>
      <c r="EX262" s="27" t="s">
        <v>7</v>
      </c>
      <c r="EY262" s="27" t="s">
        <v>8</v>
      </c>
      <c r="FV262" s="31"/>
    </row>
    <row r="263" spans="1:183" x14ac:dyDescent="0.25">
      <c r="A263" s="30">
        <v>0.32557130579677979</v>
      </c>
      <c r="B263"/>
      <c r="C263"/>
      <c r="D263"/>
      <c r="E263"/>
      <c r="F263" s="27" t="s">
        <v>7</v>
      </c>
      <c r="EK263" s="27" t="s">
        <v>8</v>
      </c>
      <c r="EN263" s="27" t="s">
        <v>7</v>
      </c>
      <c r="EO263" s="27" t="s">
        <v>8</v>
      </c>
      <c r="ER263" s="27" t="s">
        <v>7</v>
      </c>
      <c r="ES263" s="27" t="s">
        <v>8</v>
      </c>
      <c r="ET263" s="27" t="s">
        <v>7</v>
      </c>
      <c r="EU263" s="27" t="s">
        <v>8</v>
      </c>
      <c r="EV263" s="27" t="s">
        <v>7</v>
      </c>
      <c r="EW263" s="27" t="s">
        <v>8</v>
      </c>
      <c r="EX263" s="27" t="s">
        <v>7</v>
      </c>
      <c r="EY263" s="27" t="s">
        <v>8</v>
      </c>
      <c r="FU263" s="31"/>
    </row>
    <row r="264" spans="1:183" x14ac:dyDescent="0.25">
      <c r="A264" s="30">
        <v>0.3100679102826473</v>
      </c>
      <c r="B264"/>
      <c r="C264"/>
      <c r="D264"/>
      <c r="E264"/>
      <c r="F264" s="27" t="s">
        <v>7</v>
      </c>
      <c r="EK264" s="27" t="s">
        <v>8</v>
      </c>
      <c r="EN264" s="27" t="s">
        <v>7</v>
      </c>
      <c r="ER264" s="27" t="s">
        <v>7</v>
      </c>
      <c r="ET264" s="27" t="s">
        <v>7</v>
      </c>
      <c r="EU264" s="27" t="s">
        <v>8</v>
      </c>
      <c r="EV264" s="27" t="s">
        <v>7</v>
      </c>
      <c r="EX264" s="27" t="s">
        <v>7</v>
      </c>
      <c r="EY264" s="27" t="s">
        <v>8</v>
      </c>
      <c r="FT264" s="31"/>
    </row>
    <row r="265" spans="1:183" x14ac:dyDescent="0.25">
      <c r="A265" s="30">
        <v>0.2953027716977592</v>
      </c>
      <c r="B265"/>
      <c r="C265"/>
      <c r="D265"/>
      <c r="E265"/>
      <c r="F265" s="27" t="s">
        <v>7</v>
      </c>
      <c r="EK265" s="27" t="s">
        <v>8</v>
      </c>
      <c r="ET265" s="27" t="s">
        <v>7</v>
      </c>
      <c r="EU265" s="27" t="s">
        <v>8</v>
      </c>
      <c r="EX265" s="27" t="s">
        <v>7</v>
      </c>
      <c r="FS265" s="31"/>
    </row>
    <row r="266" spans="1:183" x14ac:dyDescent="0.25">
      <c r="A266" s="30">
        <v>0.28124073495024676</v>
      </c>
      <c r="B266"/>
      <c r="C266"/>
      <c r="D266"/>
      <c r="E266"/>
      <c r="F266" s="27" t="s">
        <v>7</v>
      </c>
      <c r="EK266" s="27" t="s">
        <v>8</v>
      </c>
      <c r="ET266" s="27" t="s">
        <v>7</v>
      </c>
      <c r="EU266" s="27" t="s">
        <v>8</v>
      </c>
      <c r="FR266" s="31"/>
    </row>
    <row r="267" spans="1:183" x14ac:dyDescent="0.25">
      <c r="A267" s="30">
        <v>0.26784831900023492</v>
      </c>
      <c r="B267"/>
      <c r="C267"/>
      <c r="D267"/>
      <c r="E267"/>
      <c r="F267" s="27" t="s">
        <v>7</v>
      </c>
      <c r="EK267" s="27" t="s">
        <v>8</v>
      </c>
      <c r="ET267" s="27" t="s">
        <v>7</v>
      </c>
      <c r="FQ267" s="31"/>
    </row>
    <row r="268" spans="1:183" x14ac:dyDescent="0.25">
      <c r="A268" s="30">
        <v>0.25509363714308075</v>
      </c>
      <c r="B268"/>
      <c r="C268"/>
      <c r="D268"/>
      <c r="E268"/>
      <c r="F268" s="27" t="s">
        <v>7</v>
      </c>
      <c r="EK268" s="27" t="s">
        <v>8</v>
      </c>
      <c r="FP268" s="31"/>
    </row>
    <row r="269" spans="1:183" x14ac:dyDescent="0.25">
      <c r="A269" s="30">
        <v>0.24294632108864825</v>
      </c>
      <c r="B269"/>
      <c r="C269"/>
      <c r="D269"/>
      <c r="E269"/>
      <c r="F269" s="27" t="s">
        <v>7</v>
      </c>
      <c r="EI269" s="27" t="s">
        <v>8</v>
      </c>
      <c r="EK269" s="27" t="s">
        <v>8</v>
      </c>
      <c r="FO269" s="31"/>
    </row>
    <row r="270" spans="1:183" x14ac:dyDescent="0.25">
      <c r="A270" s="30">
        <v>0.23137744865585538</v>
      </c>
      <c r="B270"/>
      <c r="C270"/>
      <c r="D270"/>
      <c r="E270"/>
      <c r="F270" s="27" t="s">
        <v>7</v>
      </c>
      <c r="EG270" s="27" t="s">
        <v>8</v>
      </c>
      <c r="EI270" s="27" t="s">
        <v>8</v>
      </c>
      <c r="EJ270" s="27" t="s">
        <v>7</v>
      </c>
      <c r="EK270" s="27" t="s">
        <v>8</v>
      </c>
      <c r="FN270" s="31"/>
    </row>
    <row r="271" spans="1:183" x14ac:dyDescent="0.25">
      <c r="A271" s="30">
        <v>0.22035947491033836</v>
      </c>
      <c r="B271"/>
      <c r="C271"/>
      <c r="D271"/>
      <c r="E271"/>
      <c r="F271" s="27" t="s">
        <v>7</v>
      </c>
      <c r="EE271" s="27" t="s">
        <v>8</v>
      </c>
      <c r="EG271" s="27" t="s">
        <v>8</v>
      </c>
      <c r="EH271" s="27" t="s">
        <v>7</v>
      </c>
      <c r="EI271" s="27" t="s">
        <v>8</v>
      </c>
      <c r="EJ271" s="27" t="s">
        <v>7</v>
      </c>
      <c r="EK271" s="27" t="s">
        <v>8</v>
      </c>
      <c r="FM271" s="31"/>
    </row>
    <row r="272" spans="1:183" x14ac:dyDescent="0.25">
      <c r="A272" s="30">
        <v>0.20986616658127455</v>
      </c>
      <c r="B272"/>
      <c r="C272"/>
      <c r="D272"/>
      <c r="E272"/>
      <c r="F272" s="27" t="s">
        <v>7</v>
      </c>
      <c r="EE272" s="27" t="s">
        <v>8</v>
      </c>
      <c r="EF272" s="27" t="s">
        <v>7</v>
      </c>
      <c r="EG272" s="27" t="s">
        <v>8</v>
      </c>
      <c r="EH272" s="27" t="s">
        <v>7</v>
      </c>
      <c r="EI272" s="27" t="s">
        <v>8</v>
      </c>
      <c r="EJ272" s="27" t="s">
        <v>7</v>
      </c>
      <c r="EK272" s="27" t="s">
        <v>8</v>
      </c>
      <c r="FL272" s="31"/>
    </row>
    <row r="273" spans="1:167" x14ac:dyDescent="0.25">
      <c r="A273" s="30">
        <v>0.19987253960121379</v>
      </c>
      <c r="B273"/>
      <c r="C273"/>
      <c r="D273"/>
      <c r="E273"/>
      <c r="F273" s="27" t="s">
        <v>7</v>
      </c>
      <c r="EC273" s="27" t="s">
        <v>8</v>
      </c>
      <c r="EE273" s="27" t="s">
        <v>8</v>
      </c>
      <c r="EF273" s="27" t="s">
        <v>7</v>
      </c>
      <c r="EG273" s="27" t="s">
        <v>8</v>
      </c>
      <c r="EH273" s="27" t="s">
        <v>7</v>
      </c>
      <c r="EI273" s="27" t="s">
        <v>8</v>
      </c>
      <c r="EJ273" s="27" t="s">
        <v>7</v>
      </c>
      <c r="EK273" s="27" t="s">
        <v>8</v>
      </c>
      <c r="FK273" s="31"/>
    </row>
    <row r="274" spans="1:167" x14ac:dyDescent="0.25">
      <c r="A274" s="30">
        <v>0.19035479962020352</v>
      </c>
      <c r="B274"/>
      <c r="C274"/>
      <c r="D274"/>
      <c r="E274"/>
      <c r="F274" s="27" t="s">
        <v>7</v>
      </c>
      <c r="EC274" s="27" t="s">
        <v>8</v>
      </c>
      <c r="ED274" s="27" t="s">
        <v>7</v>
      </c>
      <c r="EE274" s="27" t="s">
        <v>8</v>
      </c>
      <c r="EF274" s="27" t="s">
        <v>7</v>
      </c>
      <c r="EG274" s="27" t="s">
        <v>8</v>
      </c>
      <c r="EH274" s="27" t="s">
        <v>7</v>
      </c>
      <c r="EI274" s="27" t="s">
        <v>8</v>
      </c>
      <c r="EJ274" s="27" t="s">
        <v>7</v>
      </c>
      <c r="FJ274" s="31"/>
    </row>
    <row r="275" spans="1:167" x14ac:dyDescent="0.25">
      <c r="A275" s="30">
        <v>0.18129028535257471</v>
      </c>
      <c r="B275"/>
      <c r="C275"/>
      <c r="D275"/>
      <c r="E275"/>
      <c r="F275" s="27" t="s">
        <v>7</v>
      </c>
      <c r="EC275" s="27" t="s">
        <v>8</v>
      </c>
      <c r="ED275" s="27" t="s">
        <v>7</v>
      </c>
      <c r="EE275" s="27" t="s">
        <v>8</v>
      </c>
      <c r="EF275" s="27" t="s">
        <v>7</v>
      </c>
      <c r="EG275" s="27" t="s">
        <v>8</v>
      </c>
      <c r="EH275" s="27" t="s">
        <v>7</v>
      </c>
      <c r="EI275" s="27" t="s">
        <v>8</v>
      </c>
      <c r="FI275" s="31"/>
    </row>
    <row r="276" spans="1:167" x14ac:dyDescent="0.25">
      <c r="A276" s="30">
        <v>0.17265741462149967</v>
      </c>
      <c r="B276"/>
      <c r="C276"/>
      <c r="D276"/>
      <c r="E276"/>
      <c r="F276" s="27" t="s">
        <v>7</v>
      </c>
      <c r="EC276" s="27" t="s">
        <v>8</v>
      </c>
      <c r="ED276" s="27" t="s">
        <v>7</v>
      </c>
      <c r="EE276" s="27" t="s">
        <v>8</v>
      </c>
      <c r="EF276" s="27" t="s">
        <v>7</v>
      </c>
      <c r="EG276" s="27" t="s">
        <v>8</v>
      </c>
      <c r="EH276" s="27" t="s">
        <v>7</v>
      </c>
      <c r="FH276" s="31"/>
    </row>
    <row r="277" spans="1:167" x14ac:dyDescent="0.25">
      <c r="A277" s="30">
        <v>0.16443563297285677</v>
      </c>
      <c r="B277"/>
      <c r="C277"/>
      <c r="D277"/>
      <c r="E277"/>
      <c r="F277" s="27" t="s">
        <v>7</v>
      </c>
      <c r="EC277" s="27" t="s">
        <v>8</v>
      </c>
      <c r="ED277" s="27" t="s">
        <v>7</v>
      </c>
      <c r="EE277" s="27" t="s">
        <v>8</v>
      </c>
      <c r="EF277" s="27" t="s">
        <v>7</v>
      </c>
      <c r="FG277" s="31"/>
    </row>
    <row r="278" spans="1:167" x14ac:dyDescent="0.25">
      <c r="A278" s="30">
        <v>0.15660536473605399</v>
      </c>
      <c r="B278"/>
      <c r="C278"/>
      <c r="D278"/>
      <c r="E278"/>
      <c r="F278" s="27" t="s">
        <v>7</v>
      </c>
      <c r="EC278" s="27" t="s">
        <v>8</v>
      </c>
      <c r="ED278" s="27" t="s">
        <v>7</v>
      </c>
      <c r="EE278" s="27" t="s">
        <v>8</v>
      </c>
      <c r="FF278" s="31"/>
    </row>
    <row r="279" spans="1:167" x14ac:dyDescent="0.25">
      <c r="A279" s="30">
        <v>0.14914796641528946</v>
      </c>
      <c r="B279"/>
      <c r="C279"/>
      <c r="D279"/>
      <c r="E279"/>
      <c r="F279" s="27" t="s">
        <v>7</v>
      </c>
      <c r="EC279" s="27" t="s">
        <v>8</v>
      </c>
      <c r="ED279" s="27" t="s">
        <v>7</v>
      </c>
      <c r="EE279" s="27" t="s">
        <v>8</v>
      </c>
      <c r="FE279" s="31"/>
    </row>
    <row r="280" spans="1:167" x14ac:dyDescent="0.25">
      <c r="A280" s="30">
        <v>0.14204568230027562</v>
      </c>
      <c r="B280"/>
      <c r="C280"/>
      <c r="D280"/>
      <c r="E280"/>
      <c r="F280" s="27" t="s">
        <v>7</v>
      </c>
      <c r="EA280" s="27" t="s">
        <v>8</v>
      </c>
      <c r="EC280" s="27" t="s">
        <v>8</v>
      </c>
      <c r="ED280" s="27" t="s">
        <v>7</v>
      </c>
      <c r="EE280" s="27" t="s">
        <v>8</v>
      </c>
      <c r="FD280" s="31"/>
    </row>
    <row r="281" spans="1:167" x14ac:dyDescent="0.25">
      <c r="A281" s="30">
        <v>0.13528160219073862</v>
      </c>
      <c r="B281"/>
      <c r="C281"/>
      <c r="D281"/>
      <c r="E281"/>
      <c r="F281" s="27" t="s">
        <v>7</v>
      </c>
      <c r="EA281" s="27" t="s">
        <v>8</v>
      </c>
      <c r="EB281" s="27" t="s">
        <v>7</v>
      </c>
      <c r="EC281" s="27" t="s">
        <v>8</v>
      </c>
      <c r="ED281" s="27" t="s">
        <v>7</v>
      </c>
      <c r="EE281" s="27" t="s">
        <v>8</v>
      </c>
      <c r="FC281" s="31"/>
    </row>
    <row r="282" spans="1:167" x14ac:dyDescent="0.25">
      <c r="A282" s="30">
        <v>0.12883962113403674</v>
      </c>
      <c r="B282"/>
      <c r="C282"/>
      <c r="D282"/>
      <c r="E282"/>
      <c r="F282" s="27" t="s">
        <v>7</v>
      </c>
      <c r="EA282" s="27" t="s">
        <v>8</v>
      </c>
      <c r="EB282" s="27" t="s">
        <v>7</v>
      </c>
      <c r="EC282" s="27" t="s">
        <v>8</v>
      </c>
      <c r="ED282" s="27" t="s">
        <v>7</v>
      </c>
      <c r="EE282" s="27" t="s">
        <v>8</v>
      </c>
      <c r="FB282" s="31"/>
    </row>
    <row r="283" spans="1:167" x14ac:dyDescent="0.25">
      <c r="A283" s="30">
        <v>0.12270440108003494</v>
      </c>
      <c r="B283"/>
      <c r="C283"/>
      <c r="D283"/>
      <c r="E283"/>
      <c r="F283" s="27" t="s">
        <v>7</v>
      </c>
      <c r="EA283" s="27" t="s">
        <v>8</v>
      </c>
      <c r="EB283" s="27" t="s">
        <v>7</v>
      </c>
      <c r="EC283" s="27" t="s">
        <v>8</v>
      </c>
      <c r="ED283" s="27" t="s">
        <v>7</v>
      </c>
      <c r="EE283" s="27" t="s">
        <v>8</v>
      </c>
      <c r="FA283" s="31"/>
    </row>
    <row r="284" spans="1:167" x14ac:dyDescent="0.25">
      <c r="A284" s="30">
        <v>0.11686133436193799</v>
      </c>
      <c r="B284"/>
      <c r="C284"/>
      <c r="D284"/>
      <c r="E284"/>
      <c r="F284" s="27" t="s">
        <v>7</v>
      </c>
      <c r="EA284" s="27" t="s">
        <v>8</v>
      </c>
      <c r="EB284" s="27" t="s">
        <v>7</v>
      </c>
      <c r="EC284" s="27" t="s">
        <v>8</v>
      </c>
      <c r="ED284" s="27" t="s">
        <v>7</v>
      </c>
      <c r="EE284" s="27" t="s">
        <v>8</v>
      </c>
      <c r="EZ284" s="31"/>
    </row>
    <row r="285" spans="1:167" x14ac:dyDescent="0.25">
      <c r="A285" s="30">
        <v>0.11129650891613138</v>
      </c>
      <c r="B285"/>
      <c r="C285"/>
      <c r="D285"/>
      <c r="E285"/>
      <c r="F285" s="27" t="s">
        <v>7</v>
      </c>
      <c r="EA285" s="27" t="s">
        <v>8</v>
      </c>
      <c r="EB285" s="27" t="s">
        <v>7</v>
      </c>
      <c r="EC285" s="27" t="s">
        <v>8</v>
      </c>
      <c r="ED285" s="27" t="s">
        <v>7</v>
      </c>
      <c r="EE285" s="27" t="s">
        <v>8</v>
      </c>
      <c r="EY285" s="31"/>
    </row>
    <row r="286" spans="1:167" x14ac:dyDescent="0.25">
      <c r="A286" s="30">
        <v>0.10599667515822032</v>
      </c>
      <c r="B286"/>
      <c r="C286"/>
      <c r="D286"/>
      <c r="E286"/>
      <c r="F286" s="27" t="s">
        <v>7</v>
      </c>
      <c r="EA286" s="27" t="s">
        <v>8</v>
      </c>
      <c r="EB286" s="27" t="s">
        <v>7</v>
      </c>
      <c r="EC286" s="27" t="s">
        <v>8</v>
      </c>
      <c r="ED286" s="27" t="s">
        <v>7</v>
      </c>
      <c r="EE286" s="27" t="s">
        <v>8</v>
      </c>
      <c r="EX286" s="31"/>
    </row>
    <row r="287" spans="1:167" x14ac:dyDescent="0.25">
      <c r="A287" s="30">
        <v>0.10094921443640027</v>
      </c>
      <c r="B287"/>
      <c r="C287"/>
      <c r="D287"/>
      <c r="E287"/>
      <c r="F287" s="27" t="s">
        <v>7</v>
      </c>
      <c r="EA287" s="27" t="s">
        <v>8</v>
      </c>
      <c r="EB287" s="27" t="s">
        <v>7</v>
      </c>
      <c r="EC287" s="27" t="s">
        <v>8</v>
      </c>
      <c r="ED287" s="27" t="s">
        <v>7</v>
      </c>
      <c r="EW287" s="31"/>
    </row>
    <row r="288" spans="1:167" x14ac:dyDescent="0.25">
      <c r="A288" s="30">
        <v>9.6142108987047836E-2</v>
      </c>
      <c r="B288"/>
      <c r="C288"/>
      <c r="D288"/>
      <c r="E288"/>
      <c r="F288" s="27" t="s">
        <v>7</v>
      </c>
      <c r="EA288" s="27" t="s">
        <v>8</v>
      </c>
      <c r="EB288" s="27" t="s">
        <v>7</v>
      </c>
      <c r="EC288" s="27" t="s">
        <v>8</v>
      </c>
      <c r="EV288" s="31"/>
    </row>
    <row r="289" spans="1:151" x14ac:dyDescent="0.25">
      <c r="A289" s="30">
        <v>9.1563913320997906E-2</v>
      </c>
      <c r="B289"/>
      <c r="C289"/>
      <c r="D289"/>
      <c r="E289"/>
      <c r="F289" s="27" t="s">
        <v>7</v>
      </c>
      <c r="EA289" s="27" t="s">
        <v>8</v>
      </c>
      <c r="EB289" s="27" t="s">
        <v>7</v>
      </c>
      <c r="EC289" s="27" t="s">
        <v>8</v>
      </c>
      <c r="EU289" s="31"/>
    </row>
    <row r="290" spans="1:151" x14ac:dyDescent="0.25">
      <c r="A290" s="30">
        <v>8.7203726972378923E-2</v>
      </c>
      <c r="B290"/>
      <c r="C290"/>
      <c r="D290"/>
      <c r="E290"/>
      <c r="F290" s="27" t="s">
        <v>7</v>
      </c>
      <c r="EA290" s="27" t="s">
        <v>8</v>
      </c>
      <c r="EB290" s="27" t="s">
        <v>7</v>
      </c>
      <c r="EC290" s="27" t="s">
        <v>8</v>
      </c>
      <c r="ET290" s="31"/>
    </row>
    <row r="291" spans="1:151" x14ac:dyDescent="0.25">
      <c r="A291" s="30">
        <v>8.3051168545122747E-2</v>
      </c>
      <c r="B291"/>
      <c r="C291"/>
      <c r="D291"/>
      <c r="E291"/>
      <c r="F291" s="27" t="s">
        <v>7</v>
      </c>
      <c r="EA291" s="27" t="s">
        <v>8</v>
      </c>
      <c r="EB291" s="27" t="s">
        <v>7</v>
      </c>
      <c r="ES291" s="31"/>
    </row>
    <row r="292" spans="1:151" x14ac:dyDescent="0.25">
      <c r="A292" s="30">
        <v>7.9096350995354961E-2</v>
      </c>
      <c r="B292"/>
      <c r="C292"/>
      <c r="D292"/>
      <c r="E292"/>
      <c r="F292" s="27" t="s">
        <v>7</v>
      </c>
      <c r="EA292" s="27" t="s">
        <v>8</v>
      </c>
      <c r="ER292" s="31"/>
    </row>
    <row r="293" spans="1:151" x14ac:dyDescent="0.25">
      <c r="A293" s="30">
        <v>7.5329858090814217E-2</v>
      </c>
      <c r="B293"/>
      <c r="C293"/>
      <c r="D293"/>
      <c r="E293"/>
      <c r="F293" s="27" t="s">
        <v>7</v>
      </c>
      <c r="EA293" s="27" t="s">
        <v>8</v>
      </c>
      <c r="EQ293" s="31"/>
    </row>
    <row r="294" spans="1:151" x14ac:dyDescent="0.25">
      <c r="A294" s="30">
        <v>7.1742721991251604E-2</v>
      </c>
      <c r="B294"/>
      <c r="C294"/>
      <c r="D294"/>
      <c r="E294"/>
      <c r="F294" s="27" t="s">
        <v>7</v>
      </c>
      <c r="EA294" s="27" t="s">
        <v>8</v>
      </c>
      <c r="EP294" s="31"/>
    </row>
    <row r="295" spans="1:151" x14ac:dyDescent="0.25">
      <c r="A295" s="30">
        <v>6.8326401896430078E-2</v>
      </c>
      <c r="B295"/>
      <c r="C295"/>
      <c r="D295"/>
      <c r="E295"/>
      <c r="F295" s="27" t="s">
        <v>7</v>
      </c>
      <c r="EA295" s="27" t="s">
        <v>8</v>
      </c>
      <c r="EO295" s="31"/>
    </row>
    <row r="296" spans="1:151" x14ac:dyDescent="0.25">
      <c r="A296" s="30">
        <v>6.5072763710885759E-2</v>
      </c>
      <c r="B296"/>
      <c r="C296"/>
      <c r="D296"/>
      <c r="E296"/>
      <c r="F296" s="27" t="s">
        <v>7</v>
      </c>
      <c r="EA296" s="27" t="s">
        <v>8</v>
      </c>
      <c r="EN296" s="31"/>
    </row>
    <row r="297" spans="1:151" x14ac:dyDescent="0.25">
      <c r="A297" s="30">
        <v>6.197406067703403E-2</v>
      </c>
      <c r="B297"/>
      <c r="C297"/>
      <c r="D297"/>
      <c r="E297"/>
      <c r="F297" s="27" t="s">
        <v>7</v>
      </c>
      <c r="EA297" s="27" t="s">
        <v>8</v>
      </c>
      <c r="EM297" s="31"/>
    </row>
    <row r="298" spans="1:151" x14ac:dyDescent="0.25">
      <c r="A298" s="30">
        <v>5.9022914930508576E-2</v>
      </c>
      <c r="B298"/>
      <c r="C298"/>
      <c r="D298"/>
      <c r="E298"/>
      <c r="F298" s="27" t="s">
        <v>7</v>
      </c>
      <c r="EA298" s="27" t="s">
        <v>8</v>
      </c>
      <c r="EL298" s="31"/>
    </row>
    <row r="299" spans="1:151" x14ac:dyDescent="0.25">
      <c r="A299" s="30">
        <v>5.6212299933817669E-2</v>
      </c>
      <c r="B299"/>
      <c r="C299"/>
      <c r="D299"/>
      <c r="E299"/>
      <c r="F299" s="27" t="s">
        <v>7</v>
      </c>
      <c r="DY299" s="27" t="s">
        <v>8</v>
      </c>
      <c r="EA299" s="27" t="s">
        <v>8</v>
      </c>
      <c r="EK299" s="31"/>
    </row>
    <row r="300" spans="1:151" x14ac:dyDescent="0.25">
      <c r="A300" s="30">
        <v>5.3535523746492994E-2</v>
      </c>
      <c r="B300"/>
      <c r="C300"/>
      <c r="D300"/>
      <c r="E300"/>
      <c r="F300" s="27" t="s">
        <v>7</v>
      </c>
      <c r="DY300" s="27" t="s">
        <v>8</v>
      </c>
      <c r="DZ300" s="27" t="s">
        <v>7</v>
      </c>
      <c r="EA300" s="27" t="s">
        <v>8</v>
      </c>
      <c r="EJ300" s="31"/>
    </row>
    <row r="301" spans="1:151" x14ac:dyDescent="0.25">
      <c r="A301" s="30">
        <v>5.0986213091898068E-2</v>
      </c>
      <c r="B301"/>
      <c r="C301"/>
      <c r="D301"/>
      <c r="E301"/>
      <c r="F301" s="27" t="s">
        <v>7</v>
      </c>
      <c r="DY301" s="27" t="s">
        <v>8</v>
      </c>
      <c r="DZ301" s="27" t="s">
        <v>7</v>
      </c>
      <c r="EA301" s="27" t="s">
        <v>8</v>
      </c>
      <c r="EI301" s="31"/>
    </row>
    <row r="302" spans="1:151" x14ac:dyDescent="0.25">
      <c r="A302" s="30">
        <v>4.8558298182760043E-2</v>
      </c>
      <c r="B302"/>
      <c r="C302"/>
      <c r="D302"/>
      <c r="E302"/>
      <c r="F302" s="27" t="s">
        <v>7</v>
      </c>
      <c r="DY302" s="27" t="s">
        <v>8</v>
      </c>
      <c r="DZ302" s="27" t="s">
        <v>7</v>
      </c>
      <c r="EH302" s="31"/>
    </row>
    <row r="303" spans="1:151" x14ac:dyDescent="0.25">
      <c r="A303" s="30">
        <v>4.6245998269295263E-2</v>
      </c>
      <c r="B303"/>
      <c r="C303"/>
      <c r="D303"/>
      <c r="E303"/>
      <c r="F303" s="27" t="s">
        <v>7</v>
      </c>
      <c r="DU303" s="27" t="s">
        <v>8</v>
      </c>
      <c r="DW303" s="27" t="s">
        <v>8</v>
      </c>
      <c r="DY303" s="27" t="s">
        <v>8</v>
      </c>
      <c r="EG303" s="31"/>
    </row>
    <row r="304" spans="1:151" x14ac:dyDescent="0.25">
      <c r="A304" s="30">
        <v>4.4043807875519279E-2</v>
      </c>
      <c r="B304"/>
      <c r="C304"/>
      <c r="D304"/>
      <c r="E304"/>
      <c r="F304" s="27" t="s">
        <v>7</v>
      </c>
      <c r="O304" s="27" t="s">
        <v>8</v>
      </c>
      <c r="DU304" s="27" t="s">
        <v>8</v>
      </c>
      <c r="DV304" s="27" t="s">
        <v>7</v>
      </c>
      <c r="DW304" s="27" t="s">
        <v>8</v>
      </c>
      <c r="DX304" s="27" t="s">
        <v>7</v>
      </c>
      <c r="DY304" s="27" t="s">
        <v>8</v>
      </c>
      <c r="EF304" s="31"/>
    </row>
    <row r="305" spans="1:135" x14ac:dyDescent="0.25">
      <c r="A305" s="30">
        <v>4.1946483690970725E-2</v>
      </c>
      <c r="B305"/>
      <c r="C305"/>
      <c r="D305"/>
      <c r="E305"/>
      <c r="F305" s="27" t="s">
        <v>7</v>
      </c>
      <c r="O305" s="27" t="s">
        <v>8</v>
      </c>
      <c r="P305" s="27" t="s">
        <v>7</v>
      </c>
      <c r="BC305" s="27" t="s">
        <v>8</v>
      </c>
      <c r="DU305" s="27" t="s">
        <v>8</v>
      </c>
      <c r="DV305" s="27" t="s">
        <v>7</v>
      </c>
      <c r="DW305" s="27" t="s">
        <v>8</v>
      </c>
      <c r="DX305" s="27" t="s">
        <v>7</v>
      </c>
      <c r="DY305" s="27" t="s">
        <v>8</v>
      </c>
      <c r="EE305" s="31"/>
    </row>
    <row r="306" spans="1:135" x14ac:dyDescent="0.25">
      <c r="A306" s="30">
        <v>3.9949032086638768E-2</v>
      </c>
      <c r="B306"/>
      <c r="C306"/>
      <c r="D306"/>
      <c r="E306"/>
      <c r="F306" s="27" t="s">
        <v>7</v>
      </c>
      <c r="O306" s="27" t="s">
        <v>8</v>
      </c>
      <c r="P306" s="27" t="s">
        <v>7</v>
      </c>
      <c r="BC306" s="27" t="s">
        <v>8</v>
      </c>
      <c r="BD306" s="27" t="s">
        <v>7</v>
      </c>
      <c r="DM306" s="27" t="s">
        <v>8</v>
      </c>
      <c r="DU306" s="27" t="s">
        <v>8</v>
      </c>
      <c r="DV306" s="27" t="s">
        <v>7</v>
      </c>
      <c r="DW306" s="27" t="s">
        <v>8</v>
      </c>
      <c r="DX306" s="27" t="s">
        <v>7</v>
      </c>
      <c r="DY306" s="27" t="s">
        <v>8</v>
      </c>
      <c r="ED306" s="31"/>
    </row>
    <row r="307" spans="1:135" x14ac:dyDescent="0.25">
      <c r="A307" s="30">
        <v>3.8046697225370241E-2</v>
      </c>
      <c r="B307"/>
      <c r="C307"/>
      <c r="D307"/>
      <c r="E307"/>
      <c r="F307" s="27" t="s">
        <v>7</v>
      </c>
      <c r="O307" s="27" t="s">
        <v>8</v>
      </c>
      <c r="P307" s="27" t="s">
        <v>7</v>
      </c>
      <c r="BC307" s="27" t="s">
        <v>8</v>
      </c>
      <c r="BD307" s="27" t="s">
        <v>7</v>
      </c>
      <c r="DM307" s="27" t="s">
        <v>8</v>
      </c>
      <c r="DN307" s="27" t="s">
        <v>7</v>
      </c>
      <c r="DU307" s="27" t="s">
        <v>8</v>
      </c>
      <c r="DV307" s="27" t="s">
        <v>7</v>
      </c>
      <c r="DX307" s="27" t="s">
        <v>7</v>
      </c>
      <c r="DY307" s="27" t="s">
        <v>8</v>
      </c>
      <c r="EC307" s="31"/>
    </row>
    <row r="308" spans="1:135" x14ac:dyDescent="0.25">
      <c r="A308" s="30">
        <v>3.6234949738447833E-2</v>
      </c>
      <c r="B308"/>
      <c r="C308"/>
      <c r="D308"/>
      <c r="E308"/>
      <c r="F308" s="27" t="s">
        <v>7</v>
      </c>
      <c r="O308" s="27" t="s">
        <v>8</v>
      </c>
      <c r="P308" s="27" t="s">
        <v>7</v>
      </c>
      <c r="BC308" s="27" t="s">
        <v>8</v>
      </c>
      <c r="BD308" s="27" t="s">
        <v>7</v>
      </c>
      <c r="DM308" s="27" t="s">
        <v>8</v>
      </c>
      <c r="DN308" s="27" t="s">
        <v>7</v>
      </c>
      <c r="DQ308" s="27" t="s">
        <v>8</v>
      </c>
      <c r="DS308" s="27" t="s">
        <v>8</v>
      </c>
      <c r="DU308" s="27" t="s">
        <v>8</v>
      </c>
      <c r="DX308" s="27" t="s">
        <v>7</v>
      </c>
      <c r="EB308" s="31"/>
    </row>
    <row r="309" spans="1:135" x14ac:dyDescent="0.25">
      <c r="A309" s="30">
        <v>3.4509475941378875E-2</v>
      </c>
      <c r="B309"/>
      <c r="C309"/>
      <c r="D309"/>
      <c r="E309"/>
      <c r="F309" s="27" t="s">
        <v>7</v>
      </c>
      <c r="O309" s="27" t="s">
        <v>8</v>
      </c>
      <c r="P309" s="27" t="s">
        <v>7</v>
      </c>
      <c r="BC309" s="27" t="s">
        <v>8</v>
      </c>
      <c r="BD309" s="27" t="s">
        <v>7</v>
      </c>
      <c r="DM309" s="27" t="s">
        <v>8</v>
      </c>
      <c r="DN309" s="27" t="s">
        <v>7</v>
      </c>
      <c r="DO309" s="27" t="s">
        <v>8</v>
      </c>
      <c r="DQ309" s="27" t="s">
        <v>8</v>
      </c>
      <c r="DR309" s="27" t="s">
        <v>7</v>
      </c>
      <c r="DS309" s="27" t="s">
        <v>8</v>
      </c>
      <c r="DT309" s="27" t="s">
        <v>7</v>
      </c>
      <c r="DU309" s="27" t="s">
        <v>8</v>
      </c>
      <c r="EA309" s="31"/>
    </row>
    <row r="310" spans="1:135" x14ac:dyDescent="0.25">
      <c r="A310" s="30">
        <v>3.286616756321796E-2</v>
      </c>
      <c r="B310"/>
      <c r="C310"/>
      <c r="D310"/>
      <c r="E310"/>
      <c r="F310" s="27" t="s">
        <v>7</v>
      </c>
      <c r="O310" s="27" t="s">
        <v>8</v>
      </c>
      <c r="P310" s="27" t="s">
        <v>7</v>
      </c>
      <c r="Q310" s="27" t="s">
        <v>8</v>
      </c>
      <c r="BC310" s="27" t="s">
        <v>8</v>
      </c>
      <c r="BD310" s="27" t="s">
        <v>7</v>
      </c>
      <c r="DM310" s="27" t="s">
        <v>8</v>
      </c>
      <c r="DN310" s="27" t="s">
        <v>7</v>
      </c>
      <c r="DO310" s="27" t="s">
        <v>8</v>
      </c>
      <c r="DP310" s="27" t="s">
        <v>7</v>
      </c>
      <c r="DQ310" s="27" t="s">
        <v>8</v>
      </c>
      <c r="DR310" s="27" t="s">
        <v>7</v>
      </c>
      <c r="DS310" s="27" t="s">
        <v>8</v>
      </c>
      <c r="DT310" s="27" t="s">
        <v>7</v>
      </c>
      <c r="DU310" s="27" t="s">
        <v>8</v>
      </c>
      <c r="DZ310" s="31"/>
    </row>
    <row r="311" spans="1:135" x14ac:dyDescent="0.25">
      <c r="A311" s="30">
        <v>3.1301111964969472E-2</v>
      </c>
      <c r="B311"/>
      <c r="C311"/>
      <c r="D311"/>
      <c r="E311"/>
      <c r="F311" s="27" t="s">
        <v>7</v>
      </c>
      <c r="O311" s="27" t="s">
        <v>8</v>
      </c>
      <c r="P311" s="27" t="s">
        <v>7</v>
      </c>
      <c r="Q311" s="27" t="s">
        <v>8</v>
      </c>
      <c r="R311" s="27" t="s">
        <v>7</v>
      </c>
      <c r="BC311" s="27" t="s">
        <v>8</v>
      </c>
      <c r="BD311" s="27" t="s">
        <v>7</v>
      </c>
      <c r="CQ311" s="27" t="s">
        <v>8</v>
      </c>
      <c r="DM311" s="27" t="s">
        <v>8</v>
      </c>
      <c r="DN311" s="27" t="s">
        <v>7</v>
      </c>
      <c r="DO311" s="27" t="s">
        <v>8</v>
      </c>
      <c r="DP311" s="27" t="s">
        <v>7</v>
      </c>
      <c r="DQ311" s="27" t="s">
        <v>8</v>
      </c>
      <c r="DR311" s="27" t="s">
        <v>7</v>
      </c>
      <c r="DT311" s="27" t="s">
        <v>7</v>
      </c>
      <c r="DU311" s="27" t="s">
        <v>8</v>
      </c>
      <c r="DY311" s="31"/>
    </row>
    <row r="312" spans="1:135" x14ac:dyDescent="0.25">
      <c r="A312" s="30">
        <v>2.9810582823780438E-2</v>
      </c>
      <c r="B312"/>
      <c r="C312"/>
      <c r="D312"/>
      <c r="E312"/>
      <c r="F312" s="27" t="s">
        <v>7</v>
      </c>
      <c r="O312" s="27" t="s">
        <v>8</v>
      </c>
      <c r="P312" s="27" t="s">
        <v>7</v>
      </c>
      <c r="Q312" s="27" t="s">
        <v>8</v>
      </c>
      <c r="R312" s="27" t="s">
        <v>7</v>
      </c>
      <c r="BC312" s="27" t="s">
        <v>8</v>
      </c>
      <c r="BD312" s="27" t="s">
        <v>7</v>
      </c>
      <c r="CQ312" s="27" t="s">
        <v>8</v>
      </c>
      <c r="CR312" s="27" t="s">
        <v>7</v>
      </c>
      <c r="DM312" s="27" t="s">
        <v>8</v>
      </c>
      <c r="DN312" s="27" t="s">
        <v>7</v>
      </c>
      <c r="DO312" s="27" t="s">
        <v>8</v>
      </c>
      <c r="DP312" s="27" t="s">
        <v>7</v>
      </c>
      <c r="DQ312" s="27" t="s">
        <v>8</v>
      </c>
      <c r="DT312" s="27" t="s">
        <v>7</v>
      </c>
      <c r="DU312" s="27" t="s">
        <v>8</v>
      </c>
      <c r="DX312" s="31"/>
    </row>
    <row r="313" spans="1:135" x14ac:dyDescent="0.25">
      <c r="A313" s="30">
        <v>2.8391031260743264E-2</v>
      </c>
      <c r="B313"/>
      <c r="C313"/>
      <c r="D313"/>
      <c r="E313"/>
      <c r="F313" s="27" t="s">
        <v>7</v>
      </c>
      <c r="O313" s="27" t="s">
        <v>8</v>
      </c>
      <c r="P313" s="27" t="s">
        <v>7</v>
      </c>
      <c r="Q313" s="27" t="s">
        <v>8</v>
      </c>
      <c r="R313" s="27" t="s">
        <v>7</v>
      </c>
      <c r="BC313" s="27" t="s">
        <v>8</v>
      </c>
      <c r="BD313" s="27" t="s">
        <v>7</v>
      </c>
      <c r="BQ313" s="27" t="s">
        <v>8</v>
      </c>
      <c r="CQ313" s="27" t="s">
        <v>8</v>
      </c>
      <c r="CR313" s="27" t="s">
        <v>7</v>
      </c>
      <c r="CS313" s="27" t="s">
        <v>8</v>
      </c>
      <c r="CU313" s="27" t="s">
        <v>8</v>
      </c>
      <c r="DM313" s="27" t="s">
        <v>8</v>
      </c>
      <c r="DN313" s="27" t="s">
        <v>7</v>
      </c>
      <c r="DP313" s="27" t="s">
        <v>7</v>
      </c>
      <c r="DQ313" s="27" t="s">
        <v>8</v>
      </c>
      <c r="DT313" s="27" t="s">
        <v>7</v>
      </c>
      <c r="DU313" s="27" t="s">
        <v>8</v>
      </c>
      <c r="DW313" s="31"/>
    </row>
    <row r="314" spans="1:135" x14ac:dyDescent="0.25">
      <c r="A314" s="30">
        <v>2.7039077391184052E-2</v>
      </c>
      <c r="B314"/>
      <c r="C314"/>
      <c r="D314"/>
      <c r="E314"/>
      <c r="F314" s="27" t="s">
        <v>7</v>
      </c>
      <c r="O314" s="27" t="s">
        <v>8</v>
      </c>
      <c r="P314" s="27" t="s">
        <v>7</v>
      </c>
      <c r="Q314" s="27" t="s">
        <v>8</v>
      </c>
      <c r="R314" s="27" t="s">
        <v>7</v>
      </c>
      <c r="S314" s="27" t="s">
        <v>8</v>
      </c>
      <c r="Y314" s="27" t="s">
        <v>8</v>
      </c>
      <c r="BC314" s="27" t="s">
        <v>8</v>
      </c>
      <c r="BD314" s="27" t="s">
        <v>7</v>
      </c>
      <c r="BQ314" s="27" t="s">
        <v>8</v>
      </c>
      <c r="BR314" s="27" t="s">
        <v>7</v>
      </c>
      <c r="CQ314" s="27" t="s">
        <v>8</v>
      </c>
      <c r="CR314" s="27" t="s">
        <v>7</v>
      </c>
      <c r="CS314" s="27" t="s">
        <v>8</v>
      </c>
      <c r="CT314" s="27" t="s">
        <v>7</v>
      </c>
      <c r="CU314" s="27" t="s">
        <v>8</v>
      </c>
      <c r="CV314" s="27" t="s">
        <v>7</v>
      </c>
      <c r="DM314" s="27" t="s">
        <v>8</v>
      </c>
      <c r="DP314" s="27" t="s">
        <v>7</v>
      </c>
      <c r="DQ314" s="27" t="s">
        <v>8</v>
      </c>
      <c r="DT314" s="27" t="s">
        <v>7</v>
      </c>
      <c r="DV314" s="31"/>
    </row>
    <row r="315" spans="1:135" x14ac:dyDescent="0.25">
      <c r="A315" s="30">
        <v>2.5751502277318133E-2</v>
      </c>
      <c r="B315"/>
      <c r="C315"/>
      <c r="D315"/>
      <c r="E315"/>
      <c r="F315" s="27" t="s">
        <v>7</v>
      </c>
      <c r="O315" s="27" t="s">
        <v>8</v>
      </c>
      <c r="P315" s="27" t="s">
        <v>7</v>
      </c>
      <c r="Q315" s="27" t="s">
        <v>8</v>
      </c>
      <c r="R315" s="27" t="s">
        <v>7</v>
      </c>
      <c r="S315" s="27" t="s">
        <v>8</v>
      </c>
      <c r="T315" s="27" t="s">
        <v>7</v>
      </c>
      <c r="Y315" s="27" t="s">
        <v>8</v>
      </c>
      <c r="Z315" s="27" t="s">
        <v>7</v>
      </c>
      <c r="AC315" s="27" t="s">
        <v>8</v>
      </c>
      <c r="BC315" s="27" t="s">
        <v>8</v>
      </c>
      <c r="BD315" s="27" t="s">
        <v>7</v>
      </c>
      <c r="BQ315" s="27" t="s">
        <v>8</v>
      </c>
      <c r="BR315" s="27" t="s">
        <v>7</v>
      </c>
      <c r="CK315" s="27" t="s">
        <v>8</v>
      </c>
      <c r="CQ315" s="27" t="s">
        <v>8</v>
      </c>
      <c r="CR315" s="27" t="s">
        <v>7</v>
      </c>
      <c r="CS315" s="27" t="s">
        <v>8</v>
      </c>
      <c r="CT315" s="27" t="s">
        <v>7</v>
      </c>
      <c r="CU315" s="27" t="s">
        <v>8</v>
      </c>
      <c r="CV315" s="27" t="s">
        <v>7</v>
      </c>
      <c r="DM315" s="27" t="s">
        <v>8</v>
      </c>
      <c r="DP315" s="27" t="s">
        <v>7</v>
      </c>
      <c r="DQ315" s="27" t="s">
        <v>8</v>
      </c>
      <c r="DU315" s="31"/>
    </row>
    <row r="316" spans="1:135" x14ac:dyDescent="0.25">
      <c r="A316" s="30">
        <v>2.4525240264112496E-2</v>
      </c>
      <c r="B316"/>
      <c r="C316"/>
      <c r="D316"/>
      <c r="E316"/>
      <c r="F316" s="27" t="s">
        <v>7</v>
      </c>
      <c r="O316" s="27" t="s">
        <v>8</v>
      </c>
      <c r="P316" s="27" t="s">
        <v>7</v>
      </c>
      <c r="Q316" s="27" t="s">
        <v>8</v>
      </c>
      <c r="R316" s="27" t="s">
        <v>7</v>
      </c>
      <c r="S316" s="27" t="s">
        <v>8</v>
      </c>
      <c r="T316" s="27" t="s">
        <v>7</v>
      </c>
      <c r="U316" s="27" t="s">
        <v>8</v>
      </c>
      <c r="Y316" s="27" t="s">
        <v>8</v>
      </c>
      <c r="Z316" s="27" t="s">
        <v>7</v>
      </c>
      <c r="AC316" s="27" t="s">
        <v>8</v>
      </c>
      <c r="AD316" s="27" t="s">
        <v>7</v>
      </c>
      <c r="BC316" s="27" t="s">
        <v>8</v>
      </c>
      <c r="BD316" s="27" t="s">
        <v>7</v>
      </c>
      <c r="BK316" s="27" t="s">
        <v>8</v>
      </c>
      <c r="BM316" s="27" t="s">
        <v>8</v>
      </c>
      <c r="BQ316" s="27" t="s">
        <v>8</v>
      </c>
      <c r="BR316" s="27" t="s">
        <v>7</v>
      </c>
      <c r="CK316" s="27" t="s">
        <v>8</v>
      </c>
      <c r="CL316" s="27" t="s">
        <v>7</v>
      </c>
      <c r="CQ316" s="27" t="s">
        <v>8</v>
      </c>
      <c r="CR316" s="27" t="s">
        <v>7</v>
      </c>
      <c r="CT316" s="27" t="s">
        <v>7</v>
      </c>
      <c r="CU316" s="27" t="s">
        <v>8</v>
      </c>
      <c r="CV316" s="27" t="s">
        <v>7</v>
      </c>
      <c r="DM316" s="27" t="s">
        <v>8</v>
      </c>
      <c r="DP316" s="27" t="s">
        <v>7</v>
      </c>
      <c r="DQ316" s="27" t="s">
        <v>8</v>
      </c>
      <c r="DT316" s="31"/>
    </row>
    <row r="317" spans="1:135" x14ac:dyDescent="0.25">
      <c r="A317" s="30">
        <v>2.3357371680107129E-2</v>
      </c>
      <c r="B317"/>
      <c r="C317"/>
      <c r="D317"/>
      <c r="E317"/>
      <c r="F317" s="27" t="s">
        <v>7</v>
      </c>
      <c r="O317" s="27" t="s">
        <v>8</v>
      </c>
      <c r="P317" s="27" t="s">
        <v>7</v>
      </c>
      <c r="Q317" s="27" t="s">
        <v>8</v>
      </c>
      <c r="R317" s="27" t="s">
        <v>7</v>
      </c>
      <c r="T317" s="27" t="s">
        <v>7</v>
      </c>
      <c r="U317" s="27" t="s">
        <v>8</v>
      </c>
      <c r="V317" s="27" t="s">
        <v>7</v>
      </c>
      <c r="Y317" s="27" t="s">
        <v>8</v>
      </c>
      <c r="Z317" s="27" t="s">
        <v>7</v>
      </c>
      <c r="AA317" s="27" t="s">
        <v>8</v>
      </c>
      <c r="AC317" s="27" t="s">
        <v>8</v>
      </c>
      <c r="AD317" s="27" t="s">
        <v>7</v>
      </c>
      <c r="BC317" s="27" t="s">
        <v>8</v>
      </c>
      <c r="BD317" s="27" t="s">
        <v>7</v>
      </c>
      <c r="BK317" s="27" t="s">
        <v>8</v>
      </c>
      <c r="BL317" s="27" t="s">
        <v>7</v>
      </c>
      <c r="BM317" s="27" t="s">
        <v>8</v>
      </c>
      <c r="BN317" s="27" t="s">
        <v>7</v>
      </c>
      <c r="BQ317" s="27" t="s">
        <v>8</v>
      </c>
      <c r="BR317" s="27" t="s">
        <v>7</v>
      </c>
      <c r="CK317" s="27" t="s">
        <v>8</v>
      </c>
      <c r="CL317" s="27" t="s">
        <v>7</v>
      </c>
      <c r="CO317" s="27" t="s">
        <v>8</v>
      </c>
      <c r="CQ317" s="27" t="s">
        <v>8</v>
      </c>
      <c r="CT317" s="27" t="s">
        <v>7</v>
      </c>
      <c r="CV317" s="27" t="s">
        <v>7</v>
      </c>
      <c r="CW317" s="27" t="s">
        <v>8</v>
      </c>
      <c r="DE317" s="27" t="s">
        <v>8</v>
      </c>
      <c r="DM317" s="27" t="s">
        <v>8</v>
      </c>
      <c r="DP317" s="27" t="s">
        <v>7</v>
      </c>
      <c r="DS317" s="31"/>
    </row>
    <row r="318" spans="1:135" x14ac:dyDescent="0.25">
      <c r="A318" s="30">
        <v>2.2245115885816305E-2</v>
      </c>
      <c r="B318"/>
      <c r="C318"/>
      <c r="D318"/>
      <c r="E318"/>
      <c r="F318" s="27" t="s">
        <v>7</v>
      </c>
      <c r="O318" s="27" t="s">
        <v>8</v>
      </c>
      <c r="P318" s="27" t="s">
        <v>7</v>
      </c>
      <c r="Q318" s="27" t="s">
        <v>8</v>
      </c>
      <c r="T318" s="27" t="s">
        <v>7</v>
      </c>
      <c r="U318" s="27" t="s">
        <v>8</v>
      </c>
      <c r="V318" s="27" t="s">
        <v>7</v>
      </c>
      <c r="W318" s="27" t="s">
        <v>8</v>
      </c>
      <c r="Y318" s="27" t="s">
        <v>8</v>
      </c>
      <c r="Z318" s="27" t="s">
        <v>7</v>
      </c>
      <c r="AA318" s="27" t="s">
        <v>8</v>
      </c>
      <c r="AB318" s="27" t="s">
        <v>7</v>
      </c>
      <c r="AC318" s="27" t="s">
        <v>8</v>
      </c>
      <c r="AD318" s="27" t="s">
        <v>7</v>
      </c>
      <c r="BC318" s="27" t="s">
        <v>8</v>
      </c>
      <c r="BD318" s="27" t="s">
        <v>7</v>
      </c>
      <c r="BK318" s="27" t="s">
        <v>8</v>
      </c>
      <c r="BL318" s="27" t="s">
        <v>7</v>
      </c>
      <c r="BM318" s="27" t="s">
        <v>8</v>
      </c>
      <c r="BN318" s="27" t="s">
        <v>7</v>
      </c>
      <c r="BO318" s="27" t="s">
        <v>8</v>
      </c>
      <c r="BQ318" s="27" t="s">
        <v>8</v>
      </c>
      <c r="BR318" s="27" t="s">
        <v>7</v>
      </c>
      <c r="BS318" s="27" t="s">
        <v>8</v>
      </c>
      <c r="CI318" s="27" t="s">
        <v>8</v>
      </c>
      <c r="CK318" s="27" t="s">
        <v>8</v>
      </c>
      <c r="CL318" s="27" t="s">
        <v>7</v>
      </c>
      <c r="CM318" s="27" t="s">
        <v>8</v>
      </c>
      <c r="CO318" s="27" t="s">
        <v>8</v>
      </c>
      <c r="CP318" s="27" t="s">
        <v>7</v>
      </c>
      <c r="CQ318" s="27" t="s">
        <v>8</v>
      </c>
      <c r="CV318" s="27" t="s">
        <v>7</v>
      </c>
      <c r="CW318" s="27" t="s">
        <v>8</v>
      </c>
      <c r="CX318" s="27" t="s">
        <v>7</v>
      </c>
      <c r="DE318" s="27" t="s">
        <v>8</v>
      </c>
      <c r="DF318" s="27" t="s">
        <v>7</v>
      </c>
      <c r="DM318" s="27" t="s">
        <v>8</v>
      </c>
      <c r="DR318" s="31"/>
    </row>
    <row r="319" spans="1:135" x14ac:dyDescent="0.25">
      <c r="A319" s="30">
        <v>2.1185824653158377E-2</v>
      </c>
      <c r="B319"/>
      <c r="C319"/>
      <c r="D319"/>
      <c r="E319"/>
      <c r="F319" s="27" t="s">
        <v>7</v>
      </c>
      <c r="O319" s="27" t="s">
        <v>8</v>
      </c>
      <c r="P319" s="27" t="s">
        <v>7</v>
      </c>
      <c r="T319" s="27" t="s">
        <v>7</v>
      </c>
      <c r="V319" s="27" t="s">
        <v>7</v>
      </c>
      <c r="W319" s="27" t="s">
        <v>8</v>
      </c>
      <c r="X319" s="27" t="s">
        <v>7</v>
      </c>
      <c r="Y319" s="27" t="s">
        <v>8</v>
      </c>
      <c r="Z319" s="27" t="s">
        <v>7</v>
      </c>
      <c r="AA319" s="27" t="s">
        <v>8</v>
      </c>
      <c r="AB319" s="27" t="s">
        <v>7</v>
      </c>
      <c r="AC319" s="27" t="s">
        <v>8</v>
      </c>
      <c r="AD319" s="27" t="s">
        <v>7</v>
      </c>
      <c r="BC319" s="27" t="s">
        <v>8</v>
      </c>
      <c r="BD319" s="27" t="s">
        <v>7</v>
      </c>
      <c r="BK319" s="27" t="s">
        <v>8</v>
      </c>
      <c r="BL319" s="27" t="s">
        <v>7</v>
      </c>
      <c r="BM319" s="27" t="s">
        <v>8</v>
      </c>
      <c r="BN319" s="27" t="s">
        <v>7</v>
      </c>
      <c r="BO319" s="27" t="s">
        <v>8</v>
      </c>
      <c r="BP319" s="27" t="s">
        <v>7</v>
      </c>
      <c r="BQ319" s="27" t="s">
        <v>8</v>
      </c>
      <c r="BR319" s="27" t="s">
        <v>7</v>
      </c>
      <c r="BS319" s="27" t="s">
        <v>8</v>
      </c>
      <c r="BT319" s="27" t="s">
        <v>7</v>
      </c>
      <c r="CI319" s="27" t="s">
        <v>8</v>
      </c>
      <c r="CJ319" s="27" t="s">
        <v>7</v>
      </c>
      <c r="CK319" s="27" t="s">
        <v>8</v>
      </c>
      <c r="CL319" s="27" t="s">
        <v>7</v>
      </c>
      <c r="CM319" s="27" t="s">
        <v>8</v>
      </c>
      <c r="CN319" s="27" t="s">
        <v>7</v>
      </c>
      <c r="CO319" s="27" t="s">
        <v>8</v>
      </c>
      <c r="CP319" s="27" t="s">
        <v>7</v>
      </c>
      <c r="CQ319" s="27" t="s">
        <v>8</v>
      </c>
      <c r="CV319" s="27" t="s">
        <v>7</v>
      </c>
      <c r="CW319" s="27" t="s">
        <v>8</v>
      </c>
      <c r="CX319" s="27" t="s">
        <v>7</v>
      </c>
      <c r="DE319" s="27" t="s">
        <v>8</v>
      </c>
      <c r="DF319" s="27" t="s">
        <v>7</v>
      </c>
      <c r="DG319" s="27" t="s">
        <v>8</v>
      </c>
      <c r="DM319" s="27" t="s">
        <v>8</v>
      </c>
      <c r="DQ319" s="31"/>
    </row>
    <row r="320" spans="1:135" x14ac:dyDescent="0.25">
      <c r="A320" s="30">
        <v>2.0176975860150829E-2</v>
      </c>
      <c r="B320"/>
      <c r="C320"/>
      <c r="D320"/>
      <c r="E320"/>
      <c r="F320" s="27" t="s">
        <v>7</v>
      </c>
      <c r="O320" s="27" t="s">
        <v>8</v>
      </c>
      <c r="V320" s="27" t="s">
        <v>7</v>
      </c>
      <c r="W320" s="27" t="s">
        <v>8</v>
      </c>
      <c r="X320" s="27" t="s">
        <v>7</v>
      </c>
      <c r="Y320" s="27" t="s">
        <v>8</v>
      </c>
      <c r="Z320" s="27" t="s">
        <v>7</v>
      </c>
      <c r="AA320" s="27" t="s">
        <v>8</v>
      </c>
      <c r="AB320" s="27" t="s">
        <v>7</v>
      </c>
      <c r="AC320" s="27" t="s">
        <v>8</v>
      </c>
      <c r="AD320" s="27" t="s">
        <v>7</v>
      </c>
      <c r="AM320" s="27" t="s">
        <v>8</v>
      </c>
      <c r="BC320" s="27" t="s">
        <v>8</v>
      </c>
      <c r="BD320" s="27" t="s">
        <v>7</v>
      </c>
      <c r="BK320" s="27" t="s">
        <v>8</v>
      </c>
      <c r="BL320" s="27" t="s">
        <v>7</v>
      </c>
      <c r="BN320" s="27" t="s">
        <v>7</v>
      </c>
      <c r="BO320" s="27" t="s">
        <v>8</v>
      </c>
      <c r="BP320" s="27" t="s">
        <v>7</v>
      </c>
      <c r="BQ320" s="27" t="s">
        <v>8</v>
      </c>
      <c r="BR320" s="27" t="s">
        <v>7</v>
      </c>
      <c r="BS320" s="27" t="s">
        <v>8</v>
      </c>
      <c r="BT320" s="27" t="s">
        <v>7</v>
      </c>
      <c r="CI320" s="27" t="s">
        <v>8</v>
      </c>
      <c r="CJ320" s="27" t="s">
        <v>7</v>
      </c>
      <c r="CK320" s="27" t="s">
        <v>8</v>
      </c>
      <c r="CL320" s="27" t="s">
        <v>7</v>
      </c>
      <c r="CM320" s="27" t="s">
        <v>8</v>
      </c>
      <c r="CN320" s="27" t="s">
        <v>7</v>
      </c>
      <c r="CO320" s="27" t="s">
        <v>8</v>
      </c>
      <c r="CP320" s="27" t="s">
        <v>7</v>
      </c>
      <c r="CQ320" s="27" t="s">
        <v>8</v>
      </c>
      <c r="CV320" s="27" t="s">
        <v>7</v>
      </c>
      <c r="CW320" s="27" t="s">
        <v>8</v>
      </c>
      <c r="CX320" s="27" t="s">
        <v>7</v>
      </c>
      <c r="CY320" s="27" t="s">
        <v>8</v>
      </c>
      <c r="DE320" s="27" t="s">
        <v>8</v>
      </c>
      <c r="DF320" s="27" t="s">
        <v>7</v>
      </c>
      <c r="DG320" s="27" t="s">
        <v>8</v>
      </c>
      <c r="DH320" s="27" t="s">
        <v>7</v>
      </c>
      <c r="DI320" s="27" t="s">
        <v>8</v>
      </c>
      <c r="DK320" s="27" t="s">
        <v>8</v>
      </c>
      <c r="DM320" s="27" t="s">
        <v>8</v>
      </c>
      <c r="DP320" s="31"/>
    </row>
    <row r="321" spans="1:119" x14ac:dyDescent="0.25">
      <c r="A321" s="30">
        <v>1.9216167485857926E-2</v>
      </c>
      <c r="B321"/>
      <c r="C321"/>
      <c r="D321"/>
      <c r="E321"/>
      <c r="F321" s="27" t="s">
        <v>7</v>
      </c>
      <c r="O321" s="27" t="s">
        <v>8</v>
      </c>
      <c r="V321" s="27" t="s">
        <v>7</v>
      </c>
      <c r="W321" s="27" t="s">
        <v>8</v>
      </c>
      <c r="X321" s="27" t="s">
        <v>7</v>
      </c>
      <c r="Y321" s="27" t="s">
        <v>8</v>
      </c>
      <c r="Z321" s="27" t="s">
        <v>7</v>
      </c>
      <c r="AB321" s="27" t="s">
        <v>7</v>
      </c>
      <c r="AC321" s="27" t="s">
        <v>8</v>
      </c>
      <c r="AD321" s="27" t="s">
        <v>7</v>
      </c>
      <c r="AM321" s="27" t="s">
        <v>8</v>
      </c>
      <c r="AN321" s="27" t="s">
        <v>7</v>
      </c>
      <c r="BC321" s="27" t="s">
        <v>8</v>
      </c>
      <c r="BD321" s="27" t="s">
        <v>7</v>
      </c>
      <c r="BE321" s="27" t="s">
        <v>8</v>
      </c>
      <c r="BG321" s="27" t="s">
        <v>8</v>
      </c>
      <c r="BI321" s="27" t="s">
        <v>8</v>
      </c>
      <c r="BK321" s="27" t="s">
        <v>8</v>
      </c>
      <c r="BN321" s="27" t="s">
        <v>7</v>
      </c>
      <c r="BP321" s="27" t="s">
        <v>7</v>
      </c>
      <c r="BQ321" s="27" t="s">
        <v>8</v>
      </c>
      <c r="BR321" s="27" t="s">
        <v>7</v>
      </c>
      <c r="BT321" s="27" t="s">
        <v>7</v>
      </c>
      <c r="CI321" s="27" t="s">
        <v>8</v>
      </c>
      <c r="CJ321" s="27" t="s">
        <v>7</v>
      </c>
      <c r="CK321" s="27" t="s">
        <v>8</v>
      </c>
      <c r="CL321" s="27" t="s">
        <v>7</v>
      </c>
      <c r="CN321" s="27" t="s">
        <v>7</v>
      </c>
      <c r="CO321" s="27" t="s">
        <v>8</v>
      </c>
      <c r="CP321" s="27" t="s">
        <v>7</v>
      </c>
      <c r="CQ321" s="27" t="s">
        <v>8</v>
      </c>
      <c r="CV321" s="27" t="s">
        <v>7</v>
      </c>
      <c r="CW321" s="27" t="s">
        <v>8</v>
      </c>
      <c r="CX321" s="27" t="s">
        <v>7</v>
      </c>
      <c r="CY321" s="27" t="s">
        <v>8</v>
      </c>
      <c r="CZ321" s="27" t="s">
        <v>7</v>
      </c>
      <c r="DE321" s="27" t="s">
        <v>8</v>
      </c>
      <c r="DF321" s="27" t="s">
        <v>7</v>
      </c>
      <c r="DG321" s="27" t="s">
        <v>8</v>
      </c>
      <c r="DH321" s="27" t="s">
        <v>7</v>
      </c>
      <c r="DI321" s="27" t="s">
        <v>8</v>
      </c>
      <c r="DJ321" s="27" t="s">
        <v>7</v>
      </c>
      <c r="DK321" s="27" t="s">
        <v>8</v>
      </c>
      <c r="DL321" s="27" t="s">
        <v>7</v>
      </c>
      <c r="DM321" s="27" t="s">
        <v>8</v>
      </c>
      <c r="DO321" s="31"/>
    </row>
    <row r="322" spans="1:119" x14ac:dyDescent="0.25">
      <c r="A322" s="30">
        <v>1.8301111891293256E-2</v>
      </c>
      <c r="B322"/>
      <c r="C322"/>
      <c r="D322"/>
      <c r="E322"/>
      <c r="F322" s="27" t="s">
        <v>7</v>
      </c>
      <c r="O322" s="27" t="s">
        <v>8</v>
      </c>
      <c r="V322" s="27" t="s">
        <v>7</v>
      </c>
      <c r="X322" s="27" t="s">
        <v>7</v>
      </c>
      <c r="AB322" s="27" t="s">
        <v>7</v>
      </c>
      <c r="AC322" s="27" t="s">
        <v>8</v>
      </c>
      <c r="AD322" s="27" t="s">
        <v>7</v>
      </c>
      <c r="AM322" s="27" t="s">
        <v>8</v>
      </c>
      <c r="AN322" s="27" t="s">
        <v>7</v>
      </c>
      <c r="AO322" s="27" t="s">
        <v>8</v>
      </c>
      <c r="BC322" s="27" t="s">
        <v>8</v>
      </c>
      <c r="BD322" s="27" t="s">
        <v>7</v>
      </c>
      <c r="BE322" s="27" t="s">
        <v>8</v>
      </c>
      <c r="BF322" s="27" t="s">
        <v>7</v>
      </c>
      <c r="BG322" s="27" t="s">
        <v>8</v>
      </c>
      <c r="BH322" s="27" t="s">
        <v>7</v>
      </c>
      <c r="BI322" s="27" t="s">
        <v>8</v>
      </c>
      <c r="BJ322" s="27" t="s">
        <v>7</v>
      </c>
      <c r="BK322" s="27" t="s">
        <v>8</v>
      </c>
      <c r="BP322" s="27" t="s">
        <v>7</v>
      </c>
      <c r="BQ322" s="27" t="s">
        <v>8</v>
      </c>
      <c r="BT322" s="27" t="s">
        <v>7</v>
      </c>
      <c r="CG322" s="27" t="s">
        <v>8</v>
      </c>
      <c r="CI322" s="27" t="s">
        <v>8</v>
      </c>
      <c r="CJ322" s="27" t="s">
        <v>7</v>
      </c>
      <c r="CN322" s="27" t="s">
        <v>7</v>
      </c>
      <c r="CP322" s="27" t="s">
        <v>7</v>
      </c>
      <c r="CV322" s="27" t="s">
        <v>7</v>
      </c>
      <c r="CW322" s="27" t="s">
        <v>8</v>
      </c>
      <c r="CX322" s="27" t="s">
        <v>7</v>
      </c>
      <c r="CY322" s="27" t="s">
        <v>8</v>
      </c>
      <c r="CZ322" s="27" t="s">
        <v>7</v>
      </c>
      <c r="DA322" s="27" t="s">
        <v>8</v>
      </c>
      <c r="DE322" s="27" t="s">
        <v>8</v>
      </c>
      <c r="DF322" s="27" t="s">
        <v>7</v>
      </c>
      <c r="DG322" s="27" t="s">
        <v>8</v>
      </c>
      <c r="DH322" s="27" t="s">
        <v>7</v>
      </c>
      <c r="DI322" s="27" t="s">
        <v>8</v>
      </c>
      <c r="DJ322" s="27" t="s">
        <v>7</v>
      </c>
      <c r="DK322" s="27" t="s">
        <v>8</v>
      </c>
      <c r="DL322" s="27" t="s">
        <v>7</v>
      </c>
      <c r="DM322" s="27" t="s">
        <v>8</v>
      </c>
      <c r="DN322" s="31"/>
    </row>
    <row r="323" spans="1:119" x14ac:dyDescent="0.25">
      <c r="A323" s="30">
        <v>1.7429630372660238E-2</v>
      </c>
      <c r="B323"/>
      <c r="C323"/>
      <c r="D323"/>
      <c r="E323"/>
      <c r="F323" s="27" t="s">
        <v>7</v>
      </c>
      <c r="O323" s="27" t="s">
        <v>8</v>
      </c>
      <c r="AB323" s="27" t="s">
        <v>7</v>
      </c>
      <c r="AC323" s="27" t="s">
        <v>8</v>
      </c>
      <c r="AD323" s="27" t="s">
        <v>7</v>
      </c>
      <c r="AE323" s="27" t="s">
        <v>8</v>
      </c>
      <c r="AG323" s="27" t="s">
        <v>8</v>
      </c>
      <c r="AM323" s="27" t="s">
        <v>8</v>
      </c>
      <c r="AN323" s="27" t="s">
        <v>7</v>
      </c>
      <c r="AO323" s="27" t="s">
        <v>8</v>
      </c>
      <c r="AP323" s="27" t="s">
        <v>7</v>
      </c>
      <c r="AU323" s="27" t="s">
        <v>8</v>
      </c>
      <c r="BC323" s="27" t="s">
        <v>8</v>
      </c>
      <c r="BD323" s="27" t="s">
        <v>7</v>
      </c>
      <c r="BE323" s="27" t="s">
        <v>8</v>
      </c>
      <c r="BF323" s="27" t="s">
        <v>7</v>
      </c>
      <c r="BG323" s="27" t="s">
        <v>8</v>
      </c>
      <c r="BH323" s="27" t="s">
        <v>7</v>
      </c>
      <c r="BI323" s="27" t="s">
        <v>8</v>
      </c>
      <c r="BJ323" s="27" t="s">
        <v>7</v>
      </c>
      <c r="BK323" s="27" t="s">
        <v>8</v>
      </c>
      <c r="BP323" s="27" t="s">
        <v>7</v>
      </c>
      <c r="BT323" s="27" t="s">
        <v>7</v>
      </c>
      <c r="CG323" s="27" t="s">
        <v>8</v>
      </c>
      <c r="CH323" s="27" t="s">
        <v>7</v>
      </c>
      <c r="CI323" s="27" t="s">
        <v>8</v>
      </c>
      <c r="CV323" s="27" t="s">
        <v>7</v>
      </c>
      <c r="CX323" s="27" t="s">
        <v>7</v>
      </c>
      <c r="CZ323" s="27" t="s">
        <v>7</v>
      </c>
      <c r="DA323" s="27" t="s">
        <v>8</v>
      </c>
      <c r="DB323" s="27" t="s">
        <v>7</v>
      </c>
      <c r="DE323" s="27" t="s">
        <v>8</v>
      </c>
      <c r="DF323" s="27" t="s">
        <v>7</v>
      </c>
      <c r="DG323" s="27" t="s">
        <v>8</v>
      </c>
      <c r="DH323" s="27" t="s">
        <v>7</v>
      </c>
      <c r="DI323" s="27" t="s">
        <v>8</v>
      </c>
      <c r="DJ323" s="27" t="s">
        <v>7</v>
      </c>
      <c r="DK323" s="27" t="s">
        <v>8</v>
      </c>
      <c r="DL323" s="27" t="s">
        <v>7</v>
      </c>
      <c r="DM323" s="31"/>
    </row>
    <row r="324" spans="1:119" x14ac:dyDescent="0.25">
      <c r="A324" s="30">
        <v>1.6599647973962125E-2</v>
      </c>
      <c r="B324"/>
      <c r="C324"/>
      <c r="D324"/>
      <c r="E324"/>
      <c r="F324" s="27" t="s">
        <v>7</v>
      </c>
      <c r="O324" s="27" t="s">
        <v>8</v>
      </c>
      <c r="AB324" s="27" t="s">
        <v>7</v>
      </c>
      <c r="AD324" s="27" t="s">
        <v>7</v>
      </c>
      <c r="AE324" s="27" t="s">
        <v>8</v>
      </c>
      <c r="AF324" s="27" t="s">
        <v>7</v>
      </c>
      <c r="AG324" s="27" t="s">
        <v>8</v>
      </c>
      <c r="AH324" s="27" t="s">
        <v>7</v>
      </c>
      <c r="AM324" s="27" t="s">
        <v>8</v>
      </c>
      <c r="AN324" s="27" t="s">
        <v>7</v>
      </c>
      <c r="AO324" s="27" t="s">
        <v>8</v>
      </c>
      <c r="AP324" s="27" t="s">
        <v>7</v>
      </c>
      <c r="AQ324" s="27" t="s">
        <v>8</v>
      </c>
      <c r="AU324" s="27" t="s">
        <v>8</v>
      </c>
      <c r="AV324" s="27" t="s">
        <v>7</v>
      </c>
      <c r="AW324" s="27" t="s">
        <v>8</v>
      </c>
      <c r="BC324" s="27" t="s">
        <v>8</v>
      </c>
      <c r="BD324" s="27" t="s">
        <v>7</v>
      </c>
      <c r="BE324" s="27" t="s">
        <v>8</v>
      </c>
      <c r="BF324" s="27" t="s">
        <v>7</v>
      </c>
      <c r="BG324" s="27" t="s">
        <v>8</v>
      </c>
      <c r="BH324" s="27" t="s">
        <v>7</v>
      </c>
      <c r="BI324" s="27" t="s">
        <v>8</v>
      </c>
      <c r="BJ324" s="27" t="s">
        <v>7</v>
      </c>
      <c r="BK324" s="27" t="s">
        <v>8</v>
      </c>
      <c r="BT324" s="27" t="s">
        <v>7</v>
      </c>
      <c r="CG324" s="27" t="s">
        <v>8</v>
      </c>
      <c r="CH324" s="27" t="s">
        <v>7</v>
      </c>
      <c r="CI324" s="27" t="s">
        <v>8</v>
      </c>
      <c r="CZ324" s="27" t="s">
        <v>7</v>
      </c>
      <c r="DA324" s="27" t="s">
        <v>8</v>
      </c>
      <c r="DB324" s="27" t="s">
        <v>7</v>
      </c>
      <c r="DC324" s="27" t="s">
        <v>8</v>
      </c>
      <c r="DE324" s="27" t="s">
        <v>8</v>
      </c>
      <c r="DF324" s="27" t="s">
        <v>7</v>
      </c>
      <c r="DG324" s="27" t="s">
        <v>8</v>
      </c>
      <c r="DH324" s="27" t="s">
        <v>7</v>
      </c>
      <c r="DJ324" s="27" t="s">
        <v>7</v>
      </c>
      <c r="DK324" s="27" t="s">
        <v>8</v>
      </c>
      <c r="DL324" s="31"/>
    </row>
    <row r="325" spans="1:119" x14ac:dyDescent="0.25">
      <c r="A325" s="30">
        <v>1.580918854663059E-2</v>
      </c>
      <c r="B325"/>
      <c r="C325"/>
      <c r="D325"/>
      <c r="E325"/>
      <c r="F325" s="27" t="s">
        <v>7</v>
      </c>
      <c r="O325" s="27" t="s">
        <v>8</v>
      </c>
      <c r="AD325" s="27" t="s">
        <v>7</v>
      </c>
      <c r="AE325" s="27" t="s">
        <v>8</v>
      </c>
      <c r="AF325" s="27" t="s">
        <v>7</v>
      </c>
      <c r="AG325" s="27" t="s">
        <v>8</v>
      </c>
      <c r="AH325" s="27" t="s">
        <v>7</v>
      </c>
      <c r="AM325" s="27" t="s">
        <v>8</v>
      </c>
      <c r="AN325" s="27" t="s">
        <v>7</v>
      </c>
      <c r="AO325" s="27" t="s">
        <v>8</v>
      </c>
      <c r="AP325" s="27" t="s">
        <v>7</v>
      </c>
      <c r="AQ325" s="27" t="s">
        <v>8</v>
      </c>
      <c r="AR325" s="27" t="s">
        <v>7</v>
      </c>
      <c r="AU325" s="27" t="s">
        <v>8</v>
      </c>
      <c r="AV325" s="27" t="s">
        <v>7</v>
      </c>
      <c r="AW325" s="27" t="s">
        <v>8</v>
      </c>
      <c r="AX325" s="27" t="s">
        <v>7</v>
      </c>
      <c r="BA325" s="27" t="s">
        <v>8</v>
      </c>
      <c r="BC325" s="27" t="s">
        <v>8</v>
      </c>
      <c r="BD325" s="27" t="s">
        <v>7</v>
      </c>
      <c r="BE325" s="27" t="s">
        <v>8</v>
      </c>
      <c r="BF325" s="27" t="s">
        <v>7</v>
      </c>
      <c r="BG325" s="27" t="s">
        <v>8</v>
      </c>
      <c r="BH325" s="27" t="s">
        <v>7</v>
      </c>
      <c r="BI325" s="27" t="s">
        <v>8</v>
      </c>
      <c r="BJ325" s="27" t="s">
        <v>7</v>
      </c>
      <c r="BT325" s="27" t="s">
        <v>7</v>
      </c>
      <c r="CG325" s="27" t="s">
        <v>8</v>
      </c>
      <c r="CH325" s="27" t="s">
        <v>7</v>
      </c>
      <c r="CI325" s="27" t="s">
        <v>8</v>
      </c>
      <c r="CZ325" s="27" t="s">
        <v>7</v>
      </c>
      <c r="DB325" s="27" t="s">
        <v>7</v>
      </c>
      <c r="DC325" s="27" t="s">
        <v>8</v>
      </c>
      <c r="DD325" s="27" t="s">
        <v>7</v>
      </c>
      <c r="DE325" s="27" t="s">
        <v>8</v>
      </c>
      <c r="DF325" s="27" t="s">
        <v>7</v>
      </c>
      <c r="DJ325" s="27" t="s">
        <v>7</v>
      </c>
      <c r="DK325" s="31" t="s">
        <v>8</v>
      </c>
    </row>
    <row r="326" spans="1:119" x14ac:dyDescent="0.25">
      <c r="A326" s="30">
        <v>1.5056370044410079E-2</v>
      </c>
      <c r="B326"/>
      <c r="C326"/>
      <c r="D326"/>
      <c r="E326"/>
      <c r="F326" s="27" t="s">
        <v>7</v>
      </c>
      <c r="M326" s="27" t="s">
        <v>8</v>
      </c>
      <c r="O326" s="27" t="s">
        <v>8</v>
      </c>
      <c r="AD326" s="27" t="s">
        <v>7</v>
      </c>
      <c r="AF326" s="27" t="s">
        <v>7</v>
      </c>
      <c r="AG326" s="27" t="s">
        <v>8</v>
      </c>
      <c r="AH326" s="27" t="s">
        <v>7</v>
      </c>
      <c r="AM326" s="27" t="s">
        <v>8</v>
      </c>
      <c r="AN326" s="27" t="s">
        <v>7</v>
      </c>
      <c r="AO326" s="27" t="s">
        <v>8</v>
      </c>
      <c r="AP326" s="27" t="s">
        <v>7</v>
      </c>
      <c r="AQ326" s="27" t="s">
        <v>8</v>
      </c>
      <c r="AR326" s="27" t="s">
        <v>7</v>
      </c>
      <c r="AS326" s="27" t="s">
        <v>8</v>
      </c>
      <c r="AU326" s="27" t="s">
        <v>8</v>
      </c>
      <c r="AV326" s="27" t="s">
        <v>7</v>
      </c>
      <c r="AW326" s="27" t="s">
        <v>8</v>
      </c>
      <c r="AX326" s="27" t="s">
        <v>7</v>
      </c>
      <c r="AY326" s="27" t="s">
        <v>8</v>
      </c>
      <c r="BA326" s="27" t="s">
        <v>8</v>
      </c>
      <c r="BB326" s="27" t="s">
        <v>7</v>
      </c>
      <c r="BC326" s="27" t="s">
        <v>8</v>
      </c>
      <c r="BD326" s="27" t="s">
        <v>7</v>
      </c>
      <c r="BE326" s="27" t="s">
        <v>8</v>
      </c>
      <c r="BF326" s="27" t="s">
        <v>7</v>
      </c>
      <c r="BG326" s="27" t="s">
        <v>8</v>
      </c>
      <c r="BH326" s="27" t="s">
        <v>7</v>
      </c>
      <c r="BI326" s="27" t="s">
        <v>8</v>
      </c>
      <c r="BT326" s="27" t="s">
        <v>7</v>
      </c>
      <c r="CG326" s="27" t="s">
        <v>8</v>
      </c>
      <c r="CH326" s="27" t="s">
        <v>7</v>
      </c>
      <c r="CI326" s="27" t="s">
        <v>8</v>
      </c>
      <c r="DB326" s="27" t="s">
        <v>7</v>
      </c>
      <c r="DC326" s="27" t="s">
        <v>8</v>
      </c>
      <c r="DD326" s="27" t="s">
        <v>7</v>
      </c>
      <c r="DE326" s="27" t="s">
        <v>8</v>
      </c>
      <c r="DJ326" s="31" t="s">
        <v>7</v>
      </c>
    </row>
    <row r="327" spans="1:119" x14ac:dyDescent="0.25">
      <c r="A327" s="30">
        <v>1.4339400042295308E-2</v>
      </c>
      <c r="B327"/>
      <c r="C327"/>
      <c r="D327"/>
      <c r="E327"/>
      <c r="F327" s="27" t="s">
        <v>7</v>
      </c>
      <c r="M327" s="27" t="s">
        <v>8</v>
      </c>
      <c r="N327" s="27" t="s">
        <v>7</v>
      </c>
      <c r="O327" s="27" t="s">
        <v>8</v>
      </c>
      <c r="AF327" s="27" t="s">
        <v>7</v>
      </c>
      <c r="AH327" s="27" t="s">
        <v>7</v>
      </c>
      <c r="AI327" s="27" t="s">
        <v>8</v>
      </c>
      <c r="AM327" s="27" t="s">
        <v>8</v>
      </c>
      <c r="AN327" s="27" t="s">
        <v>7</v>
      </c>
      <c r="AO327" s="27" t="s">
        <v>8</v>
      </c>
      <c r="AP327" s="27" t="s">
        <v>7</v>
      </c>
      <c r="AQ327" s="27" t="s">
        <v>8</v>
      </c>
      <c r="AR327" s="27" t="s">
        <v>7</v>
      </c>
      <c r="AS327" s="27" t="s">
        <v>8</v>
      </c>
      <c r="AT327" s="27" t="s">
        <v>7</v>
      </c>
      <c r="AU327" s="27" t="s">
        <v>8</v>
      </c>
      <c r="AV327" s="27" t="s">
        <v>7</v>
      </c>
      <c r="AX327" s="27" t="s">
        <v>7</v>
      </c>
      <c r="AY327" s="27" t="s">
        <v>8</v>
      </c>
      <c r="AZ327" s="27" t="s">
        <v>7</v>
      </c>
      <c r="BA327" s="27" t="s">
        <v>8</v>
      </c>
      <c r="BB327" s="27" t="s">
        <v>7</v>
      </c>
      <c r="BC327" s="27" t="s">
        <v>8</v>
      </c>
      <c r="BD327" s="27" t="s">
        <v>7</v>
      </c>
      <c r="BE327" s="27" t="s">
        <v>8</v>
      </c>
      <c r="BF327" s="27" t="s">
        <v>7</v>
      </c>
      <c r="BG327" s="27" t="s">
        <v>8</v>
      </c>
      <c r="BH327" s="27" t="s">
        <v>7</v>
      </c>
      <c r="BT327" s="27" t="s">
        <v>7</v>
      </c>
      <c r="CG327" s="27" t="s">
        <v>8</v>
      </c>
      <c r="CH327" s="27" t="s">
        <v>7</v>
      </c>
      <c r="CI327" s="27" t="s">
        <v>8</v>
      </c>
      <c r="DB327" s="27" t="s">
        <v>7</v>
      </c>
      <c r="DC327" s="27" t="s">
        <v>8</v>
      </c>
      <c r="DD327" s="27" t="s">
        <v>7</v>
      </c>
    </row>
    <row r="328" spans="1:119" x14ac:dyDescent="0.25">
      <c r="A328" s="30">
        <v>1.365657146885267E-2</v>
      </c>
      <c r="B328"/>
      <c r="C328"/>
      <c r="D328"/>
      <c r="E328"/>
      <c r="F328" s="27" t="s">
        <v>7</v>
      </c>
      <c r="M328" s="27" t="s">
        <v>8</v>
      </c>
      <c r="N328" s="27" t="s">
        <v>7</v>
      </c>
      <c r="O328" s="27" t="s">
        <v>8</v>
      </c>
      <c r="AH328" s="27" t="s">
        <v>7</v>
      </c>
      <c r="AI328" s="27" t="s">
        <v>8</v>
      </c>
      <c r="AJ328" s="27" t="s">
        <v>7</v>
      </c>
      <c r="AM328" s="27" t="s">
        <v>8</v>
      </c>
      <c r="AN328" s="27" t="s">
        <v>7</v>
      </c>
      <c r="AO328" s="27" t="s">
        <v>8</v>
      </c>
      <c r="AP328" s="27" t="s">
        <v>7</v>
      </c>
      <c r="AR328" s="27" t="s">
        <v>7</v>
      </c>
      <c r="AS328" s="27" t="s">
        <v>8</v>
      </c>
      <c r="AT328" s="27" t="s">
        <v>7</v>
      </c>
      <c r="AU328" s="27" t="s">
        <v>8</v>
      </c>
      <c r="AX328" s="27" t="s">
        <v>7</v>
      </c>
      <c r="AY328" s="27" t="s">
        <v>8</v>
      </c>
      <c r="AZ328" s="27" t="s">
        <v>7</v>
      </c>
      <c r="BA328" s="27" t="s">
        <v>8</v>
      </c>
      <c r="BB328" s="27" t="s">
        <v>7</v>
      </c>
      <c r="BC328" s="27" t="s">
        <v>8</v>
      </c>
      <c r="BD328" s="27" t="s">
        <v>7</v>
      </c>
      <c r="BE328" s="27" t="s">
        <v>8</v>
      </c>
      <c r="BF328" s="27" t="s">
        <v>7</v>
      </c>
      <c r="BG328" s="27" t="s">
        <v>8</v>
      </c>
      <c r="BT328" s="27" t="s">
        <v>7</v>
      </c>
      <c r="CC328" s="27" t="s">
        <v>8</v>
      </c>
      <c r="CE328" s="27" t="s">
        <v>8</v>
      </c>
      <c r="CG328" s="27" t="s">
        <v>8</v>
      </c>
      <c r="CH328" s="27" t="s">
        <v>7</v>
      </c>
      <c r="DB328" s="27" t="s">
        <v>7</v>
      </c>
      <c r="DC328" s="27" t="s">
        <v>8</v>
      </c>
    </row>
    <row r="329" spans="1:119" x14ac:dyDescent="0.25">
      <c r="A329" s="30">
        <v>1.3006258541764442E-2</v>
      </c>
      <c r="B329"/>
      <c r="C329"/>
      <c r="D329"/>
      <c r="E329"/>
      <c r="F329" s="27" t="s">
        <v>7</v>
      </c>
      <c r="M329" s="27" t="s">
        <v>8</v>
      </c>
      <c r="N329" s="27" t="s">
        <v>7</v>
      </c>
      <c r="O329" s="27" t="s">
        <v>8</v>
      </c>
      <c r="AH329" s="27" t="s">
        <v>7</v>
      </c>
      <c r="AI329" s="27" t="s">
        <v>8</v>
      </c>
      <c r="AJ329" s="27" t="s">
        <v>7</v>
      </c>
      <c r="AK329" s="27" t="s">
        <v>8</v>
      </c>
      <c r="AM329" s="27" t="s">
        <v>8</v>
      </c>
      <c r="AN329" s="27" t="s">
        <v>7</v>
      </c>
      <c r="AO329" s="27" t="s">
        <v>8</v>
      </c>
      <c r="AR329" s="27" t="s">
        <v>7</v>
      </c>
      <c r="AS329" s="27" t="s">
        <v>8</v>
      </c>
      <c r="AT329" s="27" t="s">
        <v>7</v>
      </c>
      <c r="AU329" s="27" t="s">
        <v>8</v>
      </c>
      <c r="AX329" s="27" t="s">
        <v>7</v>
      </c>
      <c r="AZ329" s="27" t="s">
        <v>7</v>
      </c>
      <c r="BB329" s="27" t="s">
        <v>7</v>
      </c>
      <c r="BC329" s="27" t="s">
        <v>8</v>
      </c>
      <c r="BD329" s="27" t="s">
        <v>7</v>
      </c>
      <c r="BE329" s="27" t="s">
        <v>8</v>
      </c>
      <c r="BF329" s="27" t="s">
        <v>7</v>
      </c>
      <c r="BG329" s="27" t="s">
        <v>8</v>
      </c>
      <c r="BT329" s="27" t="s">
        <v>7</v>
      </c>
      <c r="CC329" s="27" t="s">
        <v>8</v>
      </c>
      <c r="CD329" s="27" t="s">
        <v>7</v>
      </c>
      <c r="CE329" s="27" t="s">
        <v>8</v>
      </c>
      <c r="CF329" s="27" t="s">
        <v>7</v>
      </c>
      <c r="CG329" s="27" t="s">
        <v>8</v>
      </c>
      <c r="DB329" s="27" t="s">
        <v>7</v>
      </c>
      <c r="DC329" s="27" t="s">
        <v>8</v>
      </c>
    </row>
    <row r="330" spans="1:119" x14ac:dyDescent="0.25">
      <c r="A330" s="30">
        <v>1.2386912896918512E-2</v>
      </c>
      <c r="B330"/>
      <c r="C330"/>
      <c r="D330"/>
      <c r="E330"/>
      <c r="F330" s="27" t="s">
        <v>7</v>
      </c>
      <c r="M330" s="27" t="s">
        <v>8</v>
      </c>
      <c r="N330" s="27" t="s">
        <v>7</v>
      </c>
      <c r="AH330" s="27" t="s">
        <v>7</v>
      </c>
      <c r="AI330" s="27" t="s">
        <v>8</v>
      </c>
      <c r="AJ330" s="27" t="s">
        <v>7</v>
      </c>
      <c r="AK330" s="27" t="s">
        <v>8</v>
      </c>
      <c r="AL330" s="27" t="s">
        <v>7</v>
      </c>
      <c r="AM330" s="27" t="s">
        <v>8</v>
      </c>
      <c r="AN330" s="27" t="s">
        <v>7</v>
      </c>
      <c r="AR330" s="27" t="s">
        <v>7</v>
      </c>
      <c r="AS330" s="27" t="s">
        <v>8</v>
      </c>
      <c r="AT330" s="27" t="s">
        <v>7</v>
      </c>
      <c r="AU330" s="27" t="s">
        <v>8</v>
      </c>
      <c r="BB330" s="27" t="s">
        <v>7</v>
      </c>
      <c r="BD330" s="27" t="s">
        <v>7</v>
      </c>
      <c r="BE330" s="27" t="s">
        <v>8</v>
      </c>
      <c r="BF330" s="27" t="s">
        <v>7</v>
      </c>
      <c r="BG330" s="27" t="s">
        <v>8</v>
      </c>
      <c r="BT330" s="27" t="s">
        <v>7</v>
      </c>
      <c r="BY330" s="27" t="s">
        <v>8</v>
      </c>
      <c r="CC330" s="27" t="s">
        <v>8</v>
      </c>
      <c r="CD330" s="27" t="s">
        <v>7</v>
      </c>
      <c r="CE330" s="27" t="s">
        <v>8</v>
      </c>
      <c r="CF330" s="27" t="s">
        <v>7</v>
      </c>
      <c r="CG330" s="27" t="s">
        <v>8</v>
      </c>
      <c r="DB330" s="27" t="s">
        <v>7</v>
      </c>
      <c r="DC330" s="27" t="s">
        <v>8</v>
      </c>
    </row>
    <row r="331" spans="1:119" x14ac:dyDescent="0.25">
      <c r="A331" s="30">
        <v>1.179705990182715E-2</v>
      </c>
      <c r="B331"/>
      <c r="C331"/>
      <c r="D331"/>
      <c r="E331"/>
      <c r="F331" s="27" t="s">
        <v>7</v>
      </c>
      <c r="M331" s="27" t="s">
        <v>8</v>
      </c>
      <c r="AH331" s="27" t="s">
        <v>7</v>
      </c>
      <c r="AJ331" s="27" t="s">
        <v>7</v>
      </c>
      <c r="AK331" s="27" t="s">
        <v>8</v>
      </c>
      <c r="AL331" s="27" t="s">
        <v>7</v>
      </c>
      <c r="AM331" s="27" t="s">
        <v>8</v>
      </c>
      <c r="AR331" s="27" t="s">
        <v>7</v>
      </c>
      <c r="AT331" s="27" t="s">
        <v>7</v>
      </c>
      <c r="AU331" s="27" t="s">
        <v>8</v>
      </c>
      <c r="BD331" s="27" t="s">
        <v>7</v>
      </c>
      <c r="BF331" s="27" t="s">
        <v>7</v>
      </c>
      <c r="BT331" s="27" t="s">
        <v>7</v>
      </c>
      <c r="BY331" s="27" t="s">
        <v>8</v>
      </c>
      <c r="BZ331" s="27" t="s">
        <v>7</v>
      </c>
      <c r="CA331" s="27" t="s">
        <v>8</v>
      </c>
      <c r="CC331" s="27" t="s">
        <v>8</v>
      </c>
      <c r="CD331" s="27" t="s">
        <v>7</v>
      </c>
      <c r="CF331" s="27" t="s">
        <v>7</v>
      </c>
      <c r="DB331" s="27" t="s">
        <v>7</v>
      </c>
    </row>
    <row r="332" spans="1:119" x14ac:dyDescent="0.25">
      <c r="A332" s="30">
        <v>1.1235295144597281E-2</v>
      </c>
      <c r="B332"/>
      <c r="C332"/>
      <c r="D332"/>
      <c r="E332"/>
      <c r="F332" s="27" t="s">
        <v>7</v>
      </c>
      <c r="M332" s="27" t="s">
        <v>8</v>
      </c>
      <c r="AJ332" s="27" t="s">
        <v>7</v>
      </c>
      <c r="AL332" s="27" t="s">
        <v>7</v>
      </c>
      <c r="AM332" s="27" t="s">
        <v>8</v>
      </c>
      <c r="AT332" s="27" t="s">
        <v>7</v>
      </c>
      <c r="AU332" s="27" t="s">
        <v>8</v>
      </c>
      <c r="BT332" s="27" t="s">
        <v>7</v>
      </c>
      <c r="BU332" s="27" t="s">
        <v>8</v>
      </c>
      <c r="BY332" s="27" t="s">
        <v>8</v>
      </c>
      <c r="BZ332" s="27" t="s">
        <v>7</v>
      </c>
      <c r="CA332" s="27" t="s">
        <v>8</v>
      </c>
      <c r="CB332" s="27" t="s">
        <v>7</v>
      </c>
      <c r="CC332" s="27" t="s">
        <v>8</v>
      </c>
    </row>
    <row r="333" spans="1:119" x14ac:dyDescent="0.25">
      <c r="A333" s="30">
        <v>1.0700281090092644E-2</v>
      </c>
      <c r="B333"/>
      <c r="C333"/>
      <c r="D333"/>
      <c r="E333"/>
      <c r="F333" s="27" t="s">
        <v>7</v>
      </c>
      <c r="K333" s="27" t="s">
        <v>8</v>
      </c>
      <c r="M333" s="27" t="s">
        <v>8</v>
      </c>
      <c r="AL333" s="27" t="s">
        <v>7</v>
      </c>
      <c r="AM333" s="27" t="s">
        <v>8</v>
      </c>
      <c r="AT333" s="27" t="s">
        <v>7</v>
      </c>
      <c r="AU333" s="27" t="s">
        <v>8</v>
      </c>
      <c r="BT333" s="27" t="s">
        <v>7</v>
      </c>
      <c r="BU333" s="27" t="s">
        <v>8</v>
      </c>
      <c r="BV333" s="27" t="s">
        <v>7</v>
      </c>
      <c r="BY333" s="27" t="s">
        <v>8</v>
      </c>
      <c r="BZ333" s="27" t="s">
        <v>7</v>
      </c>
      <c r="CA333" s="27" t="s">
        <v>8</v>
      </c>
      <c r="CB333" s="27" t="s">
        <v>7</v>
      </c>
      <c r="CC333" s="27" t="s">
        <v>8</v>
      </c>
    </row>
    <row r="334" spans="1:119" x14ac:dyDescent="0.25">
      <c r="A334" s="30">
        <v>1.0190743895326324E-2</v>
      </c>
      <c r="B334"/>
      <c r="C334"/>
      <c r="D334"/>
      <c r="E334"/>
      <c r="F334" s="27" t="s">
        <v>7</v>
      </c>
      <c r="K334" s="27" t="s">
        <v>8</v>
      </c>
      <c r="L334" s="27" t="s">
        <v>7</v>
      </c>
      <c r="M334" s="27" t="s">
        <v>8</v>
      </c>
      <c r="AL334" s="27" t="s">
        <v>7</v>
      </c>
      <c r="AM334" s="27" t="s">
        <v>8</v>
      </c>
      <c r="AT334" s="27" t="s">
        <v>7</v>
      </c>
      <c r="BT334" s="27" t="s">
        <v>7</v>
      </c>
      <c r="BU334" s="27" t="s">
        <v>8</v>
      </c>
      <c r="BV334" s="27" t="s">
        <v>7</v>
      </c>
      <c r="BY334" s="27" t="s">
        <v>8</v>
      </c>
      <c r="BZ334" s="27" t="s">
        <v>7</v>
      </c>
      <c r="CB334" s="27" t="s">
        <v>7</v>
      </c>
    </row>
    <row r="335" spans="1:119" x14ac:dyDescent="0.25">
      <c r="A335" s="30">
        <v>9.7054703765012563E-3</v>
      </c>
      <c r="B335"/>
      <c r="C335"/>
      <c r="D335"/>
      <c r="E335"/>
      <c r="F335" s="27" t="s">
        <v>7</v>
      </c>
      <c r="K335" s="27" t="s">
        <v>8</v>
      </c>
      <c r="L335" s="27" t="s">
        <v>7</v>
      </c>
      <c r="M335" s="27" t="s">
        <v>8</v>
      </c>
      <c r="AL335" s="27" t="s">
        <v>7</v>
      </c>
      <c r="BT335" s="27" t="s">
        <v>7</v>
      </c>
      <c r="BU335" s="27" t="s">
        <v>8</v>
      </c>
      <c r="BV335" s="27" t="s">
        <v>7</v>
      </c>
      <c r="BW335" s="27" t="s">
        <v>8</v>
      </c>
      <c r="BY335" s="27" t="s">
        <v>8</v>
      </c>
    </row>
    <row r="336" spans="1:119" x14ac:dyDescent="0.25">
      <c r="A336" s="30">
        <v>9.2433051204773835E-3</v>
      </c>
      <c r="B336"/>
      <c r="C336"/>
      <c r="D336"/>
      <c r="E336"/>
      <c r="F336" s="27" t="s">
        <v>7</v>
      </c>
      <c r="K336" s="27" t="s">
        <v>8</v>
      </c>
      <c r="L336" s="27" t="s">
        <v>7</v>
      </c>
      <c r="M336" s="27" t="s">
        <v>8</v>
      </c>
      <c r="BT336" s="27" t="s">
        <v>7</v>
      </c>
      <c r="BU336" s="27" t="s">
        <v>8</v>
      </c>
      <c r="BV336" s="27" t="s">
        <v>7</v>
      </c>
      <c r="BW336" s="27" t="s">
        <v>8</v>
      </c>
      <c r="BX336" s="27" t="s">
        <v>7</v>
      </c>
      <c r="BY336" s="27" t="s">
        <v>8</v>
      </c>
    </row>
    <row r="337" spans="1:77" x14ac:dyDescent="0.25">
      <c r="A337" s="30">
        <v>8.8031477337879808E-3</v>
      </c>
      <c r="B337"/>
      <c r="C337"/>
      <c r="D337"/>
      <c r="E337"/>
      <c r="F337" s="27" t="s">
        <v>7</v>
      </c>
      <c r="K337" s="27" t="s">
        <v>8</v>
      </c>
      <c r="L337" s="27" t="s">
        <v>7</v>
      </c>
      <c r="M337" s="27" t="s">
        <v>8</v>
      </c>
      <c r="BT337" s="27" t="s">
        <v>7</v>
      </c>
      <c r="BU337" s="27" t="s">
        <v>8</v>
      </c>
      <c r="BV337" s="27" t="s">
        <v>7</v>
      </c>
      <c r="BW337" s="27" t="s">
        <v>8</v>
      </c>
      <c r="BX337" s="27" t="s">
        <v>7</v>
      </c>
      <c r="BY337" s="27" t="s">
        <v>8</v>
      </c>
    </row>
    <row r="338" spans="1:77" x14ac:dyDescent="0.25">
      <c r="A338" s="30">
        <v>8.3839502226552166E-3</v>
      </c>
      <c r="B338"/>
      <c r="C338"/>
      <c r="D338"/>
      <c r="E338"/>
      <c r="F338" s="27" t="s">
        <v>7</v>
      </c>
      <c r="K338" s="27" t="s">
        <v>8</v>
      </c>
      <c r="L338" s="27" t="s">
        <v>7</v>
      </c>
      <c r="M338" s="27" t="s">
        <v>8</v>
      </c>
      <c r="BT338" s="27" t="s">
        <v>7</v>
      </c>
      <c r="BU338" s="27" t="s">
        <v>8</v>
      </c>
      <c r="BV338" s="27" t="s">
        <v>7</v>
      </c>
      <c r="BW338" s="27" t="s">
        <v>8</v>
      </c>
      <c r="BX338" s="27" t="s">
        <v>7</v>
      </c>
    </row>
    <row r="339" spans="1:77" x14ac:dyDescent="0.25">
      <c r="A339" s="30">
        <v>7.9847144977668698E-3</v>
      </c>
      <c r="B339"/>
      <c r="C339"/>
      <c r="D339"/>
      <c r="E339"/>
      <c r="F339" s="27" t="s">
        <v>7</v>
      </c>
      <c r="K339" s="27" t="s">
        <v>8</v>
      </c>
      <c r="L339" s="27" t="s">
        <v>7</v>
      </c>
      <c r="M339" s="27" t="s">
        <v>8</v>
      </c>
      <c r="BT339" s="27" t="s">
        <v>7</v>
      </c>
      <c r="BU339" s="27" t="s">
        <v>8</v>
      </c>
      <c r="BV339" s="27" t="s">
        <v>7</v>
      </c>
      <c r="BW339" s="27" t="s">
        <v>8</v>
      </c>
    </row>
    <row r="340" spans="1:77" x14ac:dyDescent="0.25">
      <c r="A340" s="30">
        <v>7.6044899978732058E-3</v>
      </c>
      <c r="B340"/>
      <c r="C340"/>
      <c r="D340"/>
      <c r="E340"/>
      <c r="F340" s="27" t="s">
        <v>7</v>
      </c>
      <c r="K340" s="27" t="s">
        <v>8</v>
      </c>
      <c r="L340" s="27" t="s">
        <v>7</v>
      </c>
      <c r="M340" s="27" t="s">
        <v>8</v>
      </c>
      <c r="BT340" s="27" t="s">
        <v>7</v>
      </c>
      <c r="BU340" s="27" t="s">
        <v>8</v>
      </c>
      <c r="BV340" s="27" t="s">
        <v>7</v>
      </c>
      <c r="BW340" s="27" t="s">
        <v>8</v>
      </c>
    </row>
    <row r="341" spans="1:77" x14ac:dyDescent="0.25">
      <c r="A341" s="30">
        <v>7.2423714265459072E-3</v>
      </c>
      <c r="B341"/>
      <c r="C341"/>
      <c r="D341"/>
      <c r="E341"/>
      <c r="F341" s="27" t="s">
        <v>7</v>
      </c>
      <c r="K341" s="27" t="s">
        <v>8</v>
      </c>
      <c r="L341" s="27" t="s">
        <v>7</v>
      </c>
      <c r="BT341" s="27" t="s">
        <v>7</v>
      </c>
      <c r="BU341" s="27" t="s">
        <v>8</v>
      </c>
      <c r="BV341" s="27" t="s">
        <v>7</v>
      </c>
      <c r="BW341" s="27" t="s">
        <v>8</v>
      </c>
    </row>
    <row r="342" spans="1:77" x14ac:dyDescent="0.25">
      <c r="A342" s="30">
        <v>6.8974965967103846E-3</v>
      </c>
      <c r="B342"/>
      <c r="C342"/>
      <c r="D342"/>
      <c r="E342"/>
      <c r="F342" s="27" t="s">
        <v>7</v>
      </c>
      <c r="K342" s="27" t="s">
        <v>8</v>
      </c>
      <c r="BT342" s="27" t="s">
        <v>7</v>
      </c>
      <c r="BU342" s="27" t="s">
        <v>8</v>
      </c>
      <c r="BV342" s="27" t="s">
        <v>7</v>
      </c>
    </row>
    <row r="343" spans="1:77" x14ac:dyDescent="0.25">
      <c r="A343" s="30">
        <v>6.5690443778194116E-3</v>
      </c>
      <c r="B343"/>
      <c r="C343"/>
      <c r="D343"/>
      <c r="E343"/>
      <c r="F343" s="27" t="s">
        <v>7</v>
      </c>
      <c r="K343" s="27" t="s">
        <v>8</v>
      </c>
      <c r="BT343" s="27" t="s">
        <v>7</v>
      </c>
    </row>
    <row r="344" spans="1:77" x14ac:dyDescent="0.25">
      <c r="A344" s="30">
        <v>6.2562327407803897E-3</v>
      </c>
      <c r="B344"/>
      <c r="C344"/>
      <c r="D344"/>
      <c r="E344"/>
      <c r="F344" s="27" t="s">
        <v>7</v>
      </c>
      <c r="K344" s="27" t="s">
        <v>8</v>
      </c>
    </row>
    <row r="345" spans="1:77" x14ac:dyDescent="0.25">
      <c r="A345" s="30">
        <v>5.9583168959813212E-3</v>
      </c>
      <c r="B345"/>
      <c r="C345"/>
      <c r="D345"/>
      <c r="E345"/>
      <c r="F345" s="27" t="s">
        <v>7</v>
      </c>
      <c r="K345" s="27" t="s">
        <v>8</v>
      </c>
    </row>
    <row r="346" spans="1:77" x14ac:dyDescent="0.25">
      <c r="A346" s="30">
        <v>5.6745875199822084E-3</v>
      </c>
      <c r="B346"/>
      <c r="C346"/>
      <c r="D346"/>
      <c r="E346"/>
      <c r="F346" s="27" t="s">
        <v>7</v>
      </c>
      <c r="K346" s="27" t="s">
        <v>8</v>
      </c>
    </row>
    <row r="347" spans="1:77" x14ac:dyDescent="0.25">
      <c r="A347" s="30">
        <v>5.4043690666497205E-3</v>
      </c>
      <c r="B347"/>
      <c r="C347"/>
      <c r="D347"/>
      <c r="E347"/>
      <c r="F347" s="27" t="s">
        <v>7</v>
      </c>
      <c r="K347" s="27" t="s">
        <v>8</v>
      </c>
    </row>
    <row r="348" spans="1:77" x14ac:dyDescent="0.25">
      <c r="A348" s="30">
        <v>5.1470181587140174E-3</v>
      </c>
      <c r="B348"/>
      <c r="C348"/>
      <c r="D348"/>
      <c r="E348"/>
      <c r="F348" s="27" t="s">
        <v>7</v>
      </c>
      <c r="G348" s="27" t="s">
        <v>8</v>
      </c>
      <c r="K348" s="27" t="s">
        <v>8</v>
      </c>
    </row>
    <row r="349" spans="1:77" x14ac:dyDescent="0.25">
      <c r="A349" s="30">
        <v>4.9019220559181099E-3</v>
      </c>
      <c r="B349"/>
      <c r="C349"/>
      <c r="D349"/>
      <c r="E349"/>
      <c r="F349" s="27" t="s">
        <v>7</v>
      </c>
      <c r="G349" s="27" t="s">
        <v>8</v>
      </c>
      <c r="H349" s="27" t="s">
        <v>7</v>
      </c>
      <c r="K349" s="27" t="s">
        <v>8</v>
      </c>
    </row>
    <row r="350" spans="1:77" x14ac:dyDescent="0.25">
      <c r="A350" s="30">
        <v>4.6684971961124836E-3</v>
      </c>
      <c r="B350"/>
      <c r="C350"/>
      <c r="D350"/>
      <c r="E350"/>
      <c r="F350" s="27" t="s">
        <v>7</v>
      </c>
      <c r="G350" s="27" t="s">
        <v>8</v>
      </c>
      <c r="H350" s="27" t="s">
        <v>7</v>
      </c>
      <c r="I350" s="27" t="s">
        <v>8</v>
      </c>
      <c r="K350" s="27" t="s">
        <v>8</v>
      </c>
    </row>
    <row r="351" spans="1:77" x14ac:dyDescent="0.25">
      <c r="A351" s="30">
        <v>4.4461878058214112E-3</v>
      </c>
      <c r="B351"/>
      <c r="C351"/>
      <c r="D351"/>
      <c r="E351"/>
      <c r="F351" s="27" t="s">
        <v>7</v>
      </c>
      <c r="G351" s="27" t="s">
        <v>8</v>
      </c>
      <c r="H351" s="27" t="s">
        <v>7</v>
      </c>
      <c r="I351" s="27" t="s">
        <v>8</v>
      </c>
      <c r="J351" s="27" t="s">
        <v>7</v>
      </c>
      <c r="K351" s="27" t="s">
        <v>8</v>
      </c>
    </row>
    <row r="352" spans="1:77" x14ac:dyDescent="0.25">
      <c r="A352" s="30">
        <v>4.2344645769727711E-3</v>
      </c>
      <c r="B352"/>
      <c r="C352"/>
      <c r="D352"/>
      <c r="E352"/>
      <c r="F352" s="27" t="s">
        <v>7</v>
      </c>
      <c r="G352" s="27" t="s">
        <v>8</v>
      </c>
      <c r="H352" s="27" t="s">
        <v>7</v>
      </c>
      <c r="I352" s="27" t="s">
        <v>8</v>
      </c>
      <c r="J352" s="27" t="s">
        <v>7</v>
      </c>
      <c r="K352" s="27" t="s">
        <v>8</v>
      </c>
    </row>
    <row r="353" spans="1:11" x14ac:dyDescent="0.25">
      <c r="A353" s="30">
        <v>4.0328234066407329E-3</v>
      </c>
      <c r="B353"/>
      <c r="C353"/>
      <c r="D353"/>
      <c r="E353"/>
      <c r="F353" s="27" t="s">
        <v>7</v>
      </c>
      <c r="G353" s="27" t="s">
        <v>8</v>
      </c>
      <c r="H353" s="27" t="s">
        <v>7</v>
      </c>
      <c r="J353" s="27" t="s">
        <v>7</v>
      </c>
      <c r="K353" s="27" t="s">
        <v>8</v>
      </c>
    </row>
    <row r="354" spans="1:11" x14ac:dyDescent="0.25">
      <c r="A354" s="30">
        <v>3.8407841968006963E-3</v>
      </c>
      <c r="B354"/>
      <c r="C354"/>
      <c r="D354"/>
      <c r="E354"/>
      <c r="F354" s="27" t="s">
        <v>7</v>
      </c>
      <c r="G354" s="27" t="s">
        <v>8</v>
      </c>
      <c r="J354" s="27" t="s">
        <v>7</v>
      </c>
      <c r="K354" s="27" t="s">
        <v>8</v>
      </c>
    </row>
    <row r="355" spans="1:11" x14ac:dyDescent="0.25">
      <c r="A355" s="30">
        <v>3.6578897112387568E-3</v>
      </c>
      <c r="B355"/>
      <c r="C355"/>
      <c r="D355"/>
      <c r="E355"/>
      <c r="F355" s="27" t="s">
        <v>7</v>
      </c>
      <c r="G355" s="27" t="s">
        <v>8</v>
      </c>
      <c r="J355" s="27" t="s">
        <v>7</v>
      </c>
      <c r="K355" s="27" t="s">
        <v>8</v>
      </c>
    </row>
    <row r="356" spans="1:11" x14ac:dyDescent="0.25">
      <c r="A356" s="30">
        <v>3.4837044868940526E-3</v>
      </c>
      <c r="B356"/>
      <c r="C356"/>
      <c r="D356"/>
      <c r="E356"/>
      <c r="F356" s="27" t="s">
        <v>7</v>
      </c>
      <c r="J356" s="27" t="s">
        <v>7</v>
      </c>
      <c r="K356" s="27" t="s">
        <v>8</v>
      </c>
    </row>
    <row r="357" spans="1:11" x14ac:dyDescent="0.25">
      <c r="A357" s="30">
        <v>3.3178137970419535E-3</v>
      </c>
      <c r="B357"/>
      <c r="C357"/>
      <c r="D357"/>
      <c r="E357"/>
      <c r="J357" s="27" t="s">
        <v>7</v>
      </c>
      <c r="K357" s="27" t="s">
        <v>8</v>
      </c>
    </row>
    <row r="358" spans="1:11" x14ac:dyDescent="0.25">
      <c r="A358" s="30">
        <v>3.1598226638494781E-3</v>
      </c>
      <c r="B358"/>
      <c r="C358"/>
      <c r="D358"/>
      <c r="E358"/>
      <c r="J358" s="27" t="s">
        <v>7</v>
      </c>
    </row>
    <row r="359" spans="1:11" x14ac:dyDescent="0.25">
      <c r="A359" s="30">
        <v>3.0093549179518826E-3</v>
      </c>
      <c r="B359"/>
      <c r="C359"/>
      <c r="D359"/>
      <c r="E359"/>
    </row>
    <row r="360" spans="1:11" x14ac:dyDescent="0.25">
      <c r="A360" s="30">
        <v>2.8660523028113155E-3</v>
      </c>
      <c r="B360"/>
      <c r="C360"/>
      <c r="D360"/>
      <c r="E360"/>
    </row>
    <row r="361" spans="1:11" x14ac:dyDescent="0.25">
      <c r="A361" s="30">
        <v>2.7295736217250611E-3</v>
      </c>
      <c r="B361"/>
      <c r="C361"/>
      <c r="D361"/>
      <c r="E361"/>
    </row>
    <row r="362" spans="1:11" x14ac:dyDescent="0.25">
      <c r="A362" s="30">
        <v>2.5995939254524381E-3</v>
      </c>
      <c r="B362"/>
      <c r="C362"/>
      <c r="D362"/>
      <c r="E362"/>
    </row>
    <row r="363" spans="1:11" x14ac:dyDescent="0.25">
      <c r="A363" s="30">
        <v>2.4758037385261304E-3</v>
      </c>
      <c r="B363"/>
      <c r="C363"/>
      <c r="D363"/>
      <c r="E363"/>
    </row>
    <row r="364" spans="1:11" x14ac:dyDescent="0.25">
      <c r="A364" s="30">
        <v>2.3579083224058374E-3</v>
      </c>
      <c r="B364"/>
      <c r="C364"/>
      <c r="D364"/>
      <c r="E364"/>
    </row>
    <row r="365" spans="1:11" x14ac:dyDescent="0.25">
      <c r="A365" s="30">
        <v>2.245626973719844E-3</v>
      </c>
      <c r="B365"/>
      <c r="C365"/>
      <c r="D365"/>
      <c r="E365"/>
    </row>
    <row r="366" spans="1:11" x14ac:dyDescent="0.25">
      <c r="A366" s="30">
        <v>2.1386923559236601E-3</v>
      </c>
      <c r="B366"/>
      <c r="C366"/>
      <c r="D366"/>
      <c r="E366"/>
    </row>
    <row r="367" spans="1:11" x14ac:dyDescent="0.25">
      <c r="A367" s="30">
        <v>2.0368498627844375E-3</v>
      </c>
      <c r="B367"/>
      <c r="C367"/>
      <c r="D367"/>
      <c r="E367"/>
    </row>
    <row r="368" spans="1:11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28" operator="equal">
      <formula>$U$1</formula>
    </cfRule>
    <cfRule type="cellIs" dxfId="67" priority="1429" operator="equal">
      <formula>$S$1</formula>
    </cfRule>
  </conditionalFormatting>
  <conditionalFormatting sqref="D136">
    <cfRule type="cellIs" dxfId="66" priority="1426" operator="equal">
      <formula>$S$1</formula>
    </cfRule>
    <cfRule type="cellIs" dxfId="65" priority="1427" operator="equal">
      <formula>$U$1</formula>
    </cfRule>
  </conditionalFormatting>
  <conditionalFormatting sqref="C162">
    <cfRule type="cellIs" dxfId="64" priority="1424" operator="equal">
      <formula>$U$1</formula>
    </cfRule>
    <cfRule type="cellIs" dxfId="63" priority="1425" operator="equal">
      <formula>$S$1</formula>
    </cfRule>
  </conditionalFormatting>
  <conditionalFormatting sqref="D162">
    <cfRule type="cellIs" dxfId="62" priority="1422" operator="equal">
      <formula>$S$1</formula>
    </cfRule>
    <cfRule type="cellIs" dxfId="61" priority="1423" operator="equal">
      <formula>$U$1</formula>
    </cfRule>
  </conditionalFormatting>
  <conditionalFormatting sqref="C187">
    <cfRule type="cellIs" dxfId="60" priority="1420" operator="equal">
      <formula>$U$1</formula>
    </cfRule>
    <cfRule type="cellIs" dxfId="59" priority="1421" operator="equal">
      <formula>$S$1</formula>
    </cfRule>
  </conditionalFormatting>
  <conditionalFormatting sqref="D187">
    <cfRule type="cellIs" dxfId="58" priority="1418" operator="equal">
      <formula>$S$1</formula>
    </cfRule>
    <cfRule type="cellIs" dxfId="57" priority="1419" operator="equal">
      <formula>$U$1</formula>
    </cfRule>
  </conditionalFormatting>
  <conditionalFormatting sqref="C212">
    <cfRule type="cellIs" dxfId="56" priority="1416" operator="equal">
      <formula>$U$1</formula>
    </cfRule>
    <cfRule type="cellIs" dxfId="55" priority="1417" operator="equal">
      <formula>$S$1</formula>
    </cfRule>
  </conditionalFormatting>
  <conditionalFormatting sqref="D212">
    <cfRule type="cellIs" dxfId="54" priority="1414" operator="equal">
      <formula>$S$1</formula>
    </cfRule>
    <cfRule type="cellIs" dxfId="53" priority="1415" operator="equal">
      <formula>$U$1</formula>
    </cfRule>
  </conditionalFormatting>
  <conditionalFormatting sqref="C237">
    <cfRule type="cellIs" dxfId="52" priority="1412" operator="equal">
      <formula>$U$1</formula>
    </cfRule>
    <cfRule type="cellIs" dxfId="51" priority="1413" operator="equal">
      <formula>$S$1</formula>
    </cfRule>
  </conditionalFormatting>
  <conditionalFormatting sqref="D237">
    <cfRule type="cellIs" dxfId="50" priority="1410" operator="equal">
      <formula>$S$1</formula>
    </cfRule>
    <cfRule type="cellIs" dxfId="49" priority="1411" operator="equal">
      <formula>$U$1</formula>
    </cfRule>
  </conditionalFormatting>
  <conditionalFormatting sqref="C106">
    <cfRule type="cellIs" dxfId="48" priority="1408" operator="equal">
      <formula>$U$1</formula>
    </cfRule>
    <cfRule type="cellIs" dxfId="47" priority="1409" operator="equal">
      <formula>$S$1</formula>
    </cfRule>
  </conditionalFormatting>
  <conditionalFormatting sqref="D106">
    <cfRule type="cellIs" dxfId="46" priority="1406" operator="equal">
      <formula>$S$1</formula>
    </cfRule>
    <cfRule type="cellIs" dxfId="45" priority="1407" operator="equal">
      <formula>$U$1</formula>
    </cfRule>
  </conditionalFormatting>
  <conditionalFormatting sqref="C81">
    <cfRule type="cellIs" dxfId="44" priority="1404" operator="equal">
      <formula>$U$1</formula>
    </cfRule>
    <cfRule type="cellIs" dxfId="43" priority="1405" operator="equal">
      <formula>$S$1</formula>
    </cfRule>
  </conditionalFormatting>
  <conditionalFormatting sqref="D81">
    <cfRule type="cellIs" dxfId="42" priority="1402" operator="equal">
      <formula>$S$1</formula>
    </cfRule>
    <cfRule type="cellIs" dxfId="41" priority="1403" operator="equal">
      <formula>$U$1</formula>
    </cfRule>
  </conditionalFormatting>
  <conditionalFormatting sqref="C56">
    <cfRule type="cellIs" dxfId="40" priority="1400" operator="equal">
      <formula>$U$1</formula>
    </cfRule>
    <cfRule type="cellIs" dxfId="39" priority="1401" operator="equal">
      <formula>$S$1</formula>
    </cfRule>
  </conditionalFormatting>
  <conditionalFormatting sqref="D56">
    <cfRule type="cellIs" dxfId="38" priority="1398" operator="equal">
      <formula>$S$1</formula>
    </cfRule>
    <cfRule type="cellIs" dxfId="37" priority="1399" operator="equal">
      <formula>$U$1</formula>
    </cfRule>
  </conditionalFormatting>
  <conditionalFormatting sqref="C31">
    <cfRule type="cellIs" dxfId="36" priority="1396" operator="equal">
      <formula>$U$1</formula>
    </cfRule>
    <cfRule type="cellIs" dxfId="35" priority="1397" operator="equal">
      <formula>$S$1</formula>
    </cfRule>
  </conditionalFormatting>
  <conditionalFormatting sqref="D31">
    <cfRule type="cellIs" dxfId="34" priority="1394" operator="equal">
      <formula>$S$1</formula>
    </cfRule>
    <cfRule type="cellIs" dxfId="33" priority="139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8" zoomScale="90" zoomScaleNormal="90" workbookViewId="0">
      <pane xSplit="4" topLeftCell="AB1" activePane="topRight" state="frozen"/>
      <selection activeCell="A109" sqref="A109"/>
      <selection pane="topRight" activeCell="CC115" sqref="CC11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80" x14ac:dyDescent="0.25">
      <c r="A97" s="30">
        <v>9.849732675807628</v>
      </c>
      <c r="E97"/>
    </row>
    <row r="98" spans="1:80" x14ac:dyDescent="0.25">
      <c r="A98" s="30">
        <v>8.9543024325523888</v>
      </c>
      <c r="C98" s="1" t="s">
        <v>13</v>
      </c>
      <c r="E98"/>
    </row>
    <row r="99" spans="1:80" x14ac:dyDescent="0.25">
      <c r="A99" s="30">
        <v>8.140274938683989</v>
      </c>
      <c r="C99" s="1">
        <f>C88</f>
        <v>0</v>
      </c>
      <c r="E99"/>
    </row>
    <row r="100" spans="1:80" x14ac:dyDescent="0.25">
      <c r="A100" s="30">
        <v>7.4002499442581717</v>
      </c>
      <c r="C100"/>
      <c r="D100"/>
      <c r="E100"/>
    </row>
    <row r="101" spans="1:80" x14ac:dyDescent="0.25">
      <c r="A101" s="30">
        <v>6.72749994932561</v>
      </c>
      <c r="C101" s="1" t="s">
        <v>14</v>
      </c>
      <c r="E101"/>
    </row>
    <row r="102" spans="1:8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80" x14ac:dyDescent="0.25">
      <c r="A103" s="30">
        <v>5.5599173134922388</v>
      </c>
      <c r="E103"/>
    </row>
    <row r="104" spans="1:80" x14ac:dyDescent="0.25">
      <c r="A104" s="30">
        <v>5.0544702849929442</v>
      </c>
      <c r="E104"/>
    </row>
    <row r="105" spans="1:80" x14ac:dyDescent="0.25">
      <c r="A105" s="30">
        <v>4.594972986357222</v>
      </c>
      <c r="E105"/>
    </row>
    <row r="106" spans="1:80" x14ac:dyDescent="0.25">
      <c r="A106" s="30">
        <v>4.1772481694156562</v>
      </c>
      <c r="E106"/>
    </row>
    <row r="107" spans="1:80" x14ac:dyDescent="0.25">
      <c r="A107" s="30">
        <v>3.7974983358324148</v>
      </c>
      <c r="E107"/>
    </row>
    <row r="108" spans="1:80" x14ac:dyDescent="0.25">
      <c r="A108" s="30">
        <v>3.4522712143931042</v>
      </c>
      <c r="E108"/>
    </row>
    <row r="109" spans="1:80" x14ac:dyDescent="0.25">
      <c r="A109" s="30">
        <v>3.1384283767210035</v>
      </c>
      <c r="E109"/>
    </row>
    <row r="110" spans="1:80" x14ac:dyDescent="0.25">
      <c r="A110" s="30">
        <v>2.8531167061100029</v>
      </c>
      <c r="E110"/>
      <c r="CA110" s="27" t="s">
        <v>8</v>
      </c>
    </row>
    <row r="111" spans="1:80" x14ac:dyDescent="0.25">
      <c r="A111" s="30">
        <v>2.5937424601000023</v>
      </c>
      <c r="C111" s="1" t="str">
        <f>ADDRESS(C121-1,1,1,1)</f>
        <v>$A$114</v>
      </c>
      <c r="D111" s="1" t="str">
        <f>ADDRESS(C121-1,D121,1,1)</f>
        <v>$CC$114</v>
      </c>
      <c r="E111"/>
      <c r="BI111" s="27" t="s">
        <v>8</v>
      </c>
      <c r="CA111" s="27" t="s">
        <v>8</v>
      </c>
      <c r="CB111" s="27" t="s">
        <v>7</v>
      </c>
    </row>
    <row r="112" spans="1:80" x14ac:dyDescent="0.25">
      <c r="A112" s="30">
        <v>2.3579476910000019</v>
      </c>
      <c r="C112" s="1" t="str">
        <f>ADDRESS(C121,1,1,1)</f>
        <v>$A$115</v>
      </c>
      <c r="D112" s="1" t="str">
        <f>ADDRESS(C121,D121-1,1,1)</f>
        <v>$CB$115</v>
      </c>
      <c r="E112"/>
      <c r="BI112" s="27" t="s">
        <v>8</v>
      </c>
      <c r="BJ112" s="27" t="s">
        <v>7</v>
      </c>
      <c r="BO112" s="31" t="s">
        <v>8</v>
      </c>
      <c r="BW112" s="27" t="s">
        <v>8</v>
      </c>
      <c r="BY112" s="27" t="s">
        <v>8</v>
      </c>
      <c r="CA112" s="27" t="s">
        <v>8</v>
      </c>
      <c r="CB112" s="27" t="s">
        <v>7</v>
      </c>
    </row>
    <row r="113" spans="1:81" x14ac:dyDescent="0.25">
      <c r="A113" s="30">
        <v>2.1435888100000016</v>
      </c>
      <c r="C113" s="1" t="str">
        <f>ADDRESS(C121+1,1,1,1)</f>
        <v>$A$116</v>
      </c>
      <c r="D113" s="1" t="str">
        <f>ADDRESS(C121-1,D121+1,1,1)</f>
        <v>$CD$114</v>
      </c>
      <c r="BI113" s="27" t="s">
        <v>8</v>
      </c>
      <c r="BJ113" s="27" t="s">
        <v>7</v>
      </c>
      <c r="BK113" s="27" t="s">
        <v>8</v>
      </c>
      <c r="BO113" s="27" t="s">
        <v>8</v>
      </c>
      <c r="BP113" s="31" t="s">
        <v>7</v>
      </c>
      <c r="BU113" s="27" t="s">
        <v>8</v>
      </c>
      <c r="BW113" s="27" t="s">
        <v>8</v>
      </c>
      <c r="BX113" s="27" t="s">
        <v>7</v>
      </c>
      <c r="BY113" s="27" t="s">
        <v>8</v>
      </c>
      <c r="BZ113" s="27" t="s">
        <v>7</v>
      </c>
      <c r="CA113" s="27" t="s">
        <v>8</v>
      </c>
      <c r="CB113" s="27" t="s">
        <v>7</v>
      </c>
    </row>
    <row r="114" spans="1:81" x14ac:dyDescent="0.25">
      <c r="A114" s="30">
        <v>1.9487171000000014</v>
      </c>
      <c r="C114" s="1" t="str">
        <f>ADDRESS(C121,D121,1,1)</f>
        <v>$CC$115</v>
      </c>
      <c r="D114" s="1" t="str">
        <f>ADDRESS(C121+1,D121+1,1,1)</f>
        <v>$CD$116</v>
      </c>
      <c r="BI114" s="27" t="s">
        <v>8</v>
      </c>
      <c r="BJ114" s="27" t="s">
        <v>7</v>
      </c>
      <c r="BK114" s="27" t="s">
        <v>8</v>
      </c>
      <c r="BL114" s="27" t="s">
        <v>7</v>
      </c>
      <c r="BO114" s="27" t="s">
        <v>8</v>
      </c>
      <c r="BP114" s="27" t="s">
        <v>7</v>
      </c>
      <c r="BQ114" s="31"/>
      <c r="BU114" s="27" t="s">
        <v>8</v>
      </c>
      <c r="BV114" s="27" t="s">
        <v>7</v>
      </c>
      <c r="BW114" s="27" t="s">
        <v>8</v>
      </c>
      <c r="BX114" s="27" t="s">
        <v>7</v>
      </c>
      <c r="BY114" s="27" t="s">
        <v>8</v>
      </c>
      <c r="BZ114" s="27" t="s">
        <v>7</v>
      </c>
      <c r="CA114" s="27" t="s">
        <v>8</v>
      </c>
      <c r="CB114" s="27" t="s">
        <v>7</v>
      </c>
    </row>
    <row r="115" spans="1:81" x14ac:dyDescent="0.25">
      <c r="A115" s="30">
        <v>1.7715610000000011</v>
      </c>
      <c r="C115" s="1" t="str">
        <f>ADDRESS(C121+1,D121,1,1)</f>
        <v>$CC$116</v>
      </c>
      <c r="BI115" s="27" t="s">
        <v>8</v>
      </c>
      <c r="BJ115" s="27" t="s">
        <v>7</v>
      </c>
      <c r="BK115" s="27" t="s">
        <v>8</v>
      </c>
      <c r="BL115" s="27" t="s">
        <v>7</v>
      </c>
      <c r="BO115" s="33" t="s">
        <v>8</v>
      </c>
      <c r="BP115" s="27" t="s">
        <v>7</v>
      </c>
      <c r="BR115" s="31"/>
      <c r="BS115" s="27" t="s">
        <v>8</v>
      </c>
      <c r="BU115" s="27" t="s">
        <v>8</v>
      </c>
      <c r="BV115" s="27" t="s">
        <v>7</v>
      </c>
      <c r="BW115" s="27" t="s">
        <v>8</v>
      </c>
      <c r="BX115" s="27" t="s">
        <v>7</v>
      </c>
      <c r="BY115" s="27" t="s">
        <v>8</v>
      </c>
      <c r="BZ115" s="27" t="s">
        <v>7</v>
      </c>
      <c r="CB115" s="27" t="s">
        <v>7</v>
      </c>
      <c r="CC115" s="27" t="s">
        <v>8</v>
      </c>
    </row>
    <row r="116" spans="1:81" x14ac:dyDescent="0.25">
      <c r="A116" s="30">
        <v>1.6105100000000008</v>
      </c>
      <c r="C116" s="1">
        <f>C117-1</f>
        <v>114</v>
      </c>
      <c r="BI116" s="27" t="s">
        <v>8</v>
      </c>
      <c r="BJ116" s="27" t="s">
        <v>7</v>
      </c>
      <c r="BK116" s="27" t="s">
        <v>8</v>
      </c>
      <c r="BL116" s="27" t="s">
        <v>7</v>
      </c>
      <c r="BM116" s="27" t="s">
        <v>8</v>
      </c>
      <c r="BO116" s="27" t="s">
        <v>8</v>
      </c>
      <c r="BP116" s="27" t="s">
        <v>7</v>
      </c>
      <c r="BQ116" s="27" t="s">
        <v>8</v>
      </c>
      <c r="BS116" s="31" t="s">
        <v>8</v>
      </c>
      <c r="BT116" s="27" t="s">
        <v>7</v>
      </c>
      <c r="BU116" s="27" t="s">
        <v>8</v>
      </c>
      <c r="BV116" s="27" t="s">
        <v>7</v>
      </c>
      <c r="BW116" s="27" t="s">
        <v>8</v>
      </c>
      <c r="BX116" s="27" t="s">
        <v>7</v>
      </c>
      <c r="CB116" s="27" t="s">
        <v>7</v>
      </c>
      <c r="CC116" s="27" t="s">
        <v>8</v>
      </c>
    </row>
    <row r="117" spans="1:81" x14ac:dyDescent="0.25">
      <c r="A117" s="30">
        <v>1.4641000000000006</v>
      </c>
      <c r="C117" s="1">
        <f>C121</f>
        <v>115</v>
      </c>
      <c r="D117" s="1">
        <f>D121</f>
        <v>81</v>
      </c>
      <c r="BI117" s="27" t="s">
        <v>8</v>
      </c>
      <c r="BJ117" s="27" t="s">
        <v>7</v>
      </c>
      <c r="BK117" s="27" t="s">
        <v>8</v>
      </c>
      <c r="BL117" s="27" t="s">
        <v>7</v>
      </c>
      <c r="BM117" s="27" t="s">
        <v>8</v>
      </c>
      <c r="BN117" s="27" t="s">
        <v>7</v>
      </c>
      <c r="BO117" s="27" t="s">
        <v>8</v>
      </c>
      <c r="BP117" s="27" t="s">
        <v>7</v>
      </c>
      <c r="BQ117" s="27" t="s">
        <v>8</v>
      </c>
      <c r="BR117" s="27" t="s">
        <v>7</v>
      </c>
      <c r="BS117" s="27" t="s">
        <v>8</v>
      </c>
      <c r="BT117" s="31" t="s">
        <v>7</v>
      </c>
      <c r="BU117" s="27" t="s">
        <v>8</v>
      </c>
      <c r="BV117" s="27" t="s">
        <v>7</v>
      </c>
      <c r="CB117" s="27" t="s">
        <v>7</v>
      </c>
      <c r="CC117" s="27" t="s">
        <v>8</v>
      </c>
    </row>
    <row r="118" spans="1:81" x14ac:dyDescent="0.25">
      <c r="A118" s="30">
        <v>1.3310000000000004</v>
      </c>
      <c r="C118" s="1">
        <f>C117+1</f>
        <v>116</v>
      </c>
      <c r="D118" s="1">
        <f>D117+1</f>
        <v>82</v>
      </c>
      <c r="BI118" s="27" t="s">
        <v>8</v>
      </c>
      <c r="BJ118" s="27" t="s">
        <v>7</v>
      </c>
      <c r="BK118" s="27" t="s">
        <v>8</v>
      </c>
      <c r="BL118" s="27" t="s">
        <v>7</v>
      </c>
      <c r="BM118" s="27" t="s">
        <v>8</v>
      </c>
      <c r="BN118" s="27" t="s">
        <v>7</v>
      </c>
      <c r="BO118" s="27" t="s">
        <v>8</v>
      </c>
      <c r="BP118" s="27" t="s">
        <v>7</v>
      </c>
      <c r="BQ118" s="27" t="s">
        <v>8</v>
      </c>
      <c r="BR118" s="27" t="s">
        <v>7</v>
      </c>
      <c r="BS118" s="27" t="s">
        <v>8</v>
      </c>
      <c r="BT118" s="27" t="s">
        <v>7</v>
      </c>
      <c r="BU118" s="31" t="s">
        <v>8</v>
      </c>
      <c r="CB118" s="27" t="s">
        <v>7</v>
      </c>
    </row>
    <row r="119" spans="1:81" x14ac:dyDescent="0.25">
      <c r="A119" s="30">
        <v>1.2100000000000002</v>
      </c>
      <c r="BI119" s="27" t="s">
        <v>8</v>
      </c>
      <c r="BJ119" s="27" t="s">
        <v>7</v>
      </c>
      <c r="BK119" s="27" t="s">
        <v>8</v>
      </c>
      <c r="BL119" s="27" t="s">
        <v>7</v>
      </c>
      <c r="BN119" s="27" t="s">
        <v>7</v>
      </c>
      <c r="BO119" s="27" t="s">
        <v>8</v>
      </c>
      <c r="BP119" s="27" t="s">
        <v>7</v>
      </c>
      <c r="BR119" s="27" t="s">
        <v>7</v>
      </c>
      <c r="BS119" s="27" t="s">
        <v>8</v>
      </c>
      <c r="BT119" s="27" t="s">
        <v>7</v>
      </c>
      <c r="BU119" s="27" t="s">
        <v>8</v>
      </c>
      <c r="BV119" s="19"/>
    </row>
    <row r="120" spans="1:81" x14ac:dyDescent="0.25">
      <c r="A120" s="30">
        <v>1.1000000000000001</v>
      </c>
      <c r="C120" s="1" t="s">
        <v>9</v>
      </c>
      <c r="BI120" s="27" t="s">
        <v>8</v>
      </c>
      <c r="BJ120" s="27" t="s">
        <v>7</v>
      </c>
      <c r="BN120" s="32" t="s">
        <v>7</v>
      </c>
      <c r="BO120" s="27" t="s">
        <v>8</v>
      </c>
      <c r="BR120" s="32" t="s">
        <v>7</v>
      </c>
      <c r="BS120" s="27" t="s">
        <v>8</v>
      </c>
      <c r="BT120" s="27" t="s">
        <v>7</v>
      </c>
      <c r="BW120" s="19"/>
    </row>
    <row r="121" spans="1:81" x14ac:dyDescent="0.25">
      <c r="A121" s="30">
        <v>1</v>
      </c>
      <c r="C121" s="18">
        <v>115</v>
      </c>
      <c r="D121" s="19">
        <v>81</v>
      </c>
      <c r="E121" s="18" t="s">
        <v>8</v>
      </c>
      <c r="BI121" s="27" t="s">
        <v>8</v>
      </c>
      <c r="BN121" s="27" t="s">
        <v>7</v>
      </c>
      <c r="BO121" s="27" t="s">
        <v>8</v>
      </c>
      <c r="BR121" s="27" t="s">
        <v>7</v>
      </c>
      <c r="BS121" s="27" t="s">
        <v>8</v>
      </c>
    </row>
    <row r="122" spans="1:81" x14ac:dyDescent="0.25">
      <c r="A122" s="30">
        <v>0.90909090909090895</v>
      </c>
      <c r="C122" s="1" t="str">
        <f>INDEX(1:1048576,C117,D117)</f>
        <v>X</v>
      </c>
      <c r="F122" s="27" t="s">
        <v>7</v>
      </c>
      <c r="BI122" s="27" t="s">
        <v>8</v>
      </c>
      <c r="BN122" s="27" t="s">
        <v>7</v>
      </c>
      <c r="BO122" s="27" t="s">
        <v>8</v>
      </c>
      <c r="BR122" s="27" t="s">
        <v>7</v>
      </c>
      <c r="BS122" s="27" t="s">
        <v>8</v>
      </c>
    </row>
    <row r="123" spans="1:81" x14ac:dyDescent="0.25">
      <c r="A123" s="30">
        <v>0.82644628099173523</v>
      </c>
      <c r="C123" s="1" t="str">
        <f>"R"&amp;C121</f>
        <v>R115</v>
      </c>
      <c r="D123" s="1" t="str">
        <f>"C"&amp;D121</f>
        <v>C81</v>
      </c>
      <c r="F123" s="27" t="s">
        <v>7</v>
      </c>
      <c r="BI123" s="27" t="s">
        <v>8</v>
      </c>
      <c r="BN123" s="27" t="s">
        <v>7</v>
      </c>
      <c r="BO123" s="27" t="s">
        <v>8</v>
      </c>
      <c r="BR123" s="27" t="s">
        <v>7</v>
      </c>
      <c r="BS123" s="27" t="s">
        <v>8</v>
      </c>
    </row>
    <row r="124" spans="1:81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BI124" s="27" t="s">
        <v>8</v>
      </c>
      <c r="BN124" s="27" t="s">
        <v>7</v>
      </c>
      <c r="BR124" s="18" t="s">
        <v>7</v>
      </c>
      <c r="BS124" s="27" t="s">
        <v>8</v>
      </c>
    </row>
    <row r="125" spans="1:81" x14ac:dyDescent="0.25">
      <c r="A125" s="30">
        <v>0.68301345536507019</v>
      </c>
      <c r="F125" s="27" t="s">
        <v>7</v>
      </c>
      <c r="BI125" s="27" t="s">
        <v>8</v>
      </c>
      <c r="BR125" s="27" t="s">
        <v>7</v>
      </c>
    </row>
    <row r="126" spans="1:81" x14ac:dyDescent="0.25">
      <c r="A126" s="30">
        <v>0.6209213230591546</v>
      </c>
      <c r="C126" s="1" t="s">
        <v>10</v>
      </c>
      <c r="F126" s="27" t="s">
        <v>7</v>
      </c>
      <c r="BI126" s="27" t="s">
        <v>8</v>
      </c>
    </row>
    <row r="127" spans="1:81" x14ac:dyDescent="0.25">
      <c r="A127" s="30">
        <v>0.56447393005377677</v>
      </c>
      <c r="C127" s="30">
        <v>1.7715610000000011</v>
      </c>
      <c r="D127"/>
      <c r="F127" s="27" t="s">
        <v>7</v>
      </c>
      <c r="BI127" s="27" t="s">
        <v>8</v>
      </c>
    </row>
    <row r="128" spans="1:81" x14ac:dyDescent="0.25">
      <c r="A128" s="30">
        <v>0.51315811823070612</v>
      </c>
      <c r="F128" s="27" t="s">
        <v>7</v>
      </c>
      <c r="BE128" s="27" t="s">
        <v>8</v>
      </c>
      <c r="BI128" s="33" t="s">
        <v>8</v>
      </c>
    </row>
    <row r="129" spans="1:81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BE129" s="27" t="s">
        <v>8</v>
      </c>
      <c r="BF129" s="27" t="s">
        <v>7</v>
      </c>
      <c r="BG129" s="27" t="s">
        <v>8</v>
      </c>
      <c r="BI129" s="27" t="s">
        <v>8</v>
      </c>
    </row>
    <row r="130" spans="1:81" x14ac:dyDescent="0.25">
      <c r="A130" s="30">
        <v>0.42409761837248428</v>
      </c>
      <c r="C130" s="6" t="s">
        <v>34</v>
      </c>
      <c r="D130" s="6"/>
      <c r="E130"/>
      <c r="F130" s="27" t="s">
        <v>7</v>
      </c>
      <c r="BE130" s="27" t="s">
        <v>8</v>
      </c>
      <c r="BF130" s="27" t="s">
        <v>7</v>
      </c>
      <c r="BG130" s="27" t="s">
        <v>8</v>
      </c>
      <c r="BH130" s="27" t="s">
        <v>7</v>
      </c>
      <c r="BI130" s="27" t="s">
        <v>8</v>
      </c>
      <c r="CC130" s="31"/>
    </row>
    <row r="131" spans="1:81" x14ac:dyDescent="0.25">
      <c r="A131" s="30">
        <v>0.38554328942953109</v>
      </c>
      <c r="E131"/>
      <c r="F131" s="27" t="s">
        <v>7</v>
      </c>
      <c r="BE131" s="27" t="s">
        <v>8</v>
      </c>
      <c r="BF131" s="27" t="s">
        <v>7</v>
      </c>
      <c r="BG131" s="27" t="s">
        <v>8</v>
      </c>
      <c r="BH131" s="27" t="s">
        <v>7</v>
      </c>
      <c r="BI131" s="27" t="s">
        <v>8</v>
      </c>
      <c r="CB131" s="31"/>
    </row>
    <row r="132" spans="1:81" x14ac:dyDescent="0.25">
      <c r="A132" s="30">
        <v>0.35049389948139187</v>
      </c>
      <c r="C132" s="1" t="s">
        <v>13</v>
      </c>
      <c r="E132"/>
      <c r="F132" s="27" t="s">
        <v>7</v>
      </c>
      <c r="BE132" s="27" t="s">
        <v>8</v>
      </c>
      <c r="BF132" s="27" t="s">
        <v>7</v>
      </c>
      <c r="BG132" s="27" t="s">
        <v>8</v>
      </c>
      <c r="BH132" s="27" t="s">
        <v>7</v>
      </c>
      <c r="BI132" s="27" t="s">
        <v>8</v>
      </c>
      <c r="CA132" s="31"/>
    </row>
    <row r="133" spans="1:81" x14ac:dyDescent="0.25">
      <c r="A133" s="30">
        <v>0.31863081771035617</v>
      </c>
      <c r="C133" s="1" t="str">
        <f>C122</f>
        <v>X</v>
      </c>
      <c r="E133"/>
      <c r="F133" s="27" t="s">
        <v>7</v>
      </c>
      <c r="BE133" s="27" t="s">
        <v>8</v>
      </c>
      <c r="BF133" s="27" t="s">
        <v>7</v>
      </c>
      <c r="BH133" s="27" t="s">
        <v>7</v>
      </c>
      <c r="BI133" s="27" t="s">
        <v>8</v>
      </c>
      <c r="BZ133" s="31"/>
    </row>
    <row r="134" spans="1:81" x14ac:dyDescent="0.25">
      <c r="A134" s="30">
        <v>0.28966437973668741</v>
      </c>
      <c r="C134"/>
      <c r="D134"/>
      <c r="E134"/>
      <c r="F134" s="27" t="s">
        <v>7</v>
      </c>
      <c r="BE134" s="27" t="s">
        <v>8</v>
      </c>
      <c r="BH134" s="32" t="s">
        <v>7</v>
      </c>
      <c r="BI134" s="27" t="s">
        <v>8</v>
      </c>
      <c r="BY134" s="31"/>
    </row>
    <row r="135" spans="1:81" x14ac:dyDescent="0.25">
      <c r="A135" s="30">
        <v>0.2633312543060794</v>
      </c>
      <c r="C135" s="1" t="s">
        <v>14</v>
      </c>
      <c r="E135"/>
      <c r="F135" s="27" t="s">
        <v>7</v>
      </c>
      <c r="BE135" s="27" t="s">
        <v>8</v>
      </c>
      <c r="BH135" s="27" t="s">
        <v>7</v>
      </c>
      <c r="BX135" s="31"/>
    </row>
    <row r="136" spans="1:81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X</v>
      </c>
      <c r="E136"/>
      <c r="F136" s="27" t="s">
        <v>7</v>
      </c>
      <c r="BE136" s="27" t="s">
        <v>8</v>
      </c>
      <c r="BW136" s="31"/>
    </row>
    <row r="137" spans="1:81" x14ac:dyDescent="0.25">
      <c r="A137" s="30">
        <v>0.2176291357901482</v>
      </c>
      <c r="E137"/>
      <c r="F137" s="27" t="s">
        <v>7</v>
      </c>
      <c r="BC137" s="27" t="s">
        <v>8</v>
      </c>
      <c r="BE137" s="27" t="s">
        <v>8</v>
      </c>
      <c r="BV137" s="31"/>
    </row>
    <row r="138" spans="1:81" x14ac:dyDescent="0.25">
      <c r="A138" s="30">
        <v>0.19784466890013469</v>
      </c>
      <c r="C138" s="1">
        <f>IF(AND(C136="",D136=""),0,IF(AND(C133="X",D136="X"),1,IF(AND(C133="O",C136="O"),2,(IF(AND(C133="X",D136="O"),3,4)))))</f>
        <v>1</v>
      </c>
      <c r="E138"/>
      <c r="F138" s="27" t="s">
        <v>7</v>
      </c>
      <c r="BA138" s="27" t="s">
        <v>8</v>
      </c>
      <c r="BC138" s="27" t="s">
        <v>8</v>
      </c>
      <c r="BD138" s="27" t="s">
        <v>7</v>
      </c>
      <c r="BE138" s="27" t="s">
        <v>8</v>
      </c>
      <c r="BU138" s="31"/>
    </row>
    <row r="139" spans="1:81" x14ac:dyDescent="0.25">
      <c r="A139" s="30">
        <v>0.17985878990921333</v>
      </c>
      <c r="E139"/>
      <c r="F139" s="27" t="s">
        <v>7</v>
      </c>
      <c r="BA139" s="27" t="s">
        <v>8</v>
      </c>
      <c r="BB139" s="27" t="s">
        <v>7</v>
      </c>
      <c r="BC139" s="27" t="s">
        <v>8</v>
      </c>
      <c r="BD139" s="27" t="s">
        <v>7</v>
      </c>
      <c r="BE139" s="27" t="s">
        <v>8</v>
      </c>
      <c r="BT139" s="31"/>
    </row>
    <row r="140" spans="1:81" x14ac:dyDescent="0.25">
      <c r="A140" s="30">
        <v>0.16350799082655756</v>
      </c>
      <c r="C140" s="1">
        <v>0</v>
      </c>
      <c r="E140"/>
      <c r="F140" s="27" t="s">
        <v>7</v>
      </c>
      <c r="BA140" s="27" t="s">
        <v>8</v>
      </c>
      <c r="BB140" s="27" t="s">
        <v>7</v>
      </c>
      <c r="BC140" s="27" t="s">
        <v>8</v>
      </c>
      <c r="BD140" s="27" t="s">
        <v>7</v>
      </c>
      <c r="BS140" s="31"/>
    </row>
    <row r="141" spans="1:81" x14ac:dyDescent="0.25">
      <c r="A141" s="30">
        <v>0.14864362802414322</v>
      </c>
      <c r="C141" s="1">
        <v>1</v>
      </c>
      <c r="E141"/>
      <c r="F141" s="27" t="s">
        <v>7</v>
      </c>
      <c r="BA141" s="27" t="s">
        <v>8</v>
      </c>
      <c r="BB141" s="27" t="s">
        <v>7</v>
      </c>
      <c r="BC141" s="27" t="s">
        <v>8</v>
      </c>
      <c r="BR141" s="31"/>
    </row>
    <row r="142" spans="1:81" x14ac:dyDescent="0.25">
      <c r="A142" s="30">
        <v>0.13513057093103928</v>
      </c>
      <c r="C142" s="1">
        <v>2</v>
      </c>
      <c r="E142"/>
      <c r="F142" s="27" t="s">
        <v>7</v>
      </c>
      <c r="AY142" s="27" t="s">
        <v>8</v>
      </c>
      <c r="BA142" s="27" t="s">
        <v>8</v>
      </c>
      <c r="BB142" s="27" t="s">
        <v>7</v>
      </c>
      <c r="BC142" s="27" t="s">
        <v>8</v>
      </c>
      <c r="BQ142" s="31"/>
    </row>
    <row r="143" spans="1:81" x14ac:dyDescent="0.25">
      <c r="A143" s="30">
        <v>0.12284597357367205</v>
      </c>
      <c r="C143" s="1">
        <v>3</v>
      </c>
      <c r="E143"/>
      <c r="F143" s="27" t="s">
        <v>7</v>
      </c>
      <c r="AY143" s="27" t="s">
        <v>8</v>
      </c>
      <c r="AZ143" s="27" t="s">
        <v>7</v>
      </c>
      <c r="BA143" s="27" t="s">
        <v>8</v>
      </c>
      <c r="BB143" s="27" t="s">
        <v>7</v>
      </c>
      <c r="BC143" s="27" t="s">
        <v>8</v>
      </c>
      <c r="BP143" s="31"/>
    </row>
    <row r="144" spans="1:81" x14ac:dyDescent="0.25">
      <c r="A144" s="30">
        <v>0.11167815779424731</v>
      </c>
      <c r="C144" s="1">
        <v>4</v>
      </c>
      <c r="E144"/>
      <c r="F144" s="27" t="s">
        <v>7</v>
      </c>
      <c r="AY144" s="27" t="s">
        <v>8</v>
      </c>
      <c r="AZ144" s="27" t="s">
        <v>7</v>
      </c>
      <c r="BA144" s="27" t="s">
        <v>8</v>
      </c>
      <c r="BB144" s="27" t="s">
        <v>7</v>
      </c>
      <c r="BC144" s="27" t="s">
        <v>8</v>
      </c>
      <c r="BO144" s="31"/>
    </row>
    <row r="145" spans="1:66" x14ac:dyDescent="0.25">
      <c r="A145" s="30">
        <v>0.10152559799477026</v>
      </c>
      <c r="B145"/>
      <c r="C145"/>
      <c r="D145"/>
      <c r="E145"/>
      <c r="F145" s="27" t="s">
        <v>7</v>
      </c>
      <c r="AY145" s="27" t="s">
        <v>8</v>
      </c>
      <c r="AZ145" s="27" t="s">
        <v>7</v>
      </c>
      <c r="BA145" s="27" t="s">
        <v>8</v>
      </c>
      <c r="BB145" s="27" t="s">
        <v>7</v>
      </c>
      <c r="BN145" s="31"/>
    </row>
    <row r="146" spans="1:66" x14ac:dyDescent="0.25">
      <c r="A146" s="30">
        <v>9.2295998177063854E-2</v>
      </c>
      <c r="B146"/>
      <c r="C146"/>
      <c r="D146"/>
      <c r="E146"/>
      <c r="F146" s="27" t="s">
        <v>7</v>
      </c>
      <c r="AY146" s="27" t="s">
        <v>8</v>
      </c>
      <c r="AZ146" s="27" t="s">
        <v>7</v>
      </c>
      <c r="BA146" s="27" t="s">
        <v>8</v>
      </c>
      <c r="BM146" s="31"/>
    </row>
    <row r="147" spans="1:66" x14ac:dyDescent="0.25">
      <c r="A147" s="30">
        <v>8.3905452888239848E-2</v>
      </c>
      <c r="B147"/>
      <c r="C147"/>
      <c r="D147"/>
      <c r="E147"/>
      <c r="F147" s="27" t="s">
        <v>7</v>
      </c>
      <c r="AY147" s="27" t="s">
        <v>8</v>
      </c>
      <c r="AZ147" s="27" t="s">
        <v>7</v>
      </c>
      <c r="BL147" s="31"/>
    </row>
    <row r="148" spans="1:66" x14ac:dyDescent="0.25">
      <c r="A148" s="30">
        <v>7.6277684443854396E-2</v>
      </c>
      <c r="B148"/>
      <c r="C148"/>
      <c r="D148"/>
      <c r="E148"/>
      <c r="F148" s="27" t="s">
        <v>7</v>
      </c>
      <c r="AY148" s="27" t="s">
        <v>8</v>
      </c>
      <c r="BK148" s="31"/>
    </row>
    <row r="149" spans="1:66" x14ac:dyDescent="0.25">
      <c r="A149" s="30">
        <v>6.9343349494413078E-2</v>
      </c>
      <c r="B149"/>
      <c r="C149"/>
      <c r="D149"/>
      <c r="E149"/>
      <c r="F149" s="27" t="s">
        <v>7</v>
      </c>
      <c r="AY149" s="27" t="s">
        <v>8</v>
      </c>
      <c r="BJ149" s="31"/>
    </row>
    <row r="150" spans="1:66" x14ac:dyDescent="0.25">
      <c r="A150" s="30">
        <v>6.3039408631284613E-2</v>
      </c>
      <c r="B150"/>
      <c r="C150"/>
      <c r="D150"/>
      <c r="E150"/>
      <c r="F150" s="27" t="s">
        <v>7</v>
      </c>
      <c r="AY150" s="27" t="s">
        <v>8</v>
      </c>
      <c r="BI150" s="31"/>
    </row>
    <row r="151" spans="1:66" x14ac:dyDescent="0.25">
      <c r="A151" s="30">
        <v>5.7308553301167818E-2</v>
      </c>
      <c r="B151"/>
      <c r="C151"/>
      <c r="D151"/>
      <c r="E151"/>
      <c r="F151" s="27" t="s">
        <v>7</v>
      </c>
      <c r="AY151" s="27" t="s">
        <v>8</v>
      </c>
      <c r="BH151" s="31"/>
    </row>
    <row r="152" spans="1:66" x14ac:dyDescent="0.25">
      <c r="A152" s="30">
        <v>5.2098684819243464E-2</v>
      </c>
      <c r="B152"/>
      <c r="C152"/>
      <c r="D152"/>
      <c r="E152"/>
      <c r="F152" s="27" t="s">
        <v>7</v>
      </c>
      <c r="AY152" s="27" t="s">
        <v>8</v>
      </c>
      <c r="BG152" s="31"/>
    </row>
    <row r="153" spans="1:66" x14ac:dyDescent="0.25">
      <c r="A153" s="30">
        <v>4.7362440744766775E-2</v>
      </c>
      <c r="B153"/>
      <c r="C153"/>
      <c r="D153"/>
      <c r="E153"/>
      <c r="F153" s="27" t="s">
        <v>7</v>
      </c>
      <c r="AY153" s="27" t="s">
        <v>8</v>
      </c>
      <c r="BF153" s="31"/>
    </row>
    <row r="154" spans="1:66" x14ac:dyDescent="0.25">
      <c r="A154" s="30">
        <v>4.3056764313424332E-2</v>
      </c>
      <c r="B154"/>
      <c r="C154"/>
      <c r="D154"/>
      <c r="E154"/>
      <c r="F154" s="27" t="s">
        <v>7</v>
      </c>
      <c r="K154" s="27" t="s">
        <v>8</v>
      </c>
      <c r="AY154" s="27" t="s">
        <v>8</v>
      </c>
      <c r="BE154" s="31"/>
    </row>
    <row r="155" spans="1:66" x14ac:dyDescent="0.25">
      <c r="A155" s="30">
        <v>3.9142513012203929E-2</v>
      </c>
      <c r="B155"/>
      <c r="C155"/>
      <c r="D155"/>
      <c r="E155"/>
      <c r="F155" s="27" t="s">
        <v>7</v>
      </c>
      <c r="K155" s="27" t="s">
        <v>8</v>
      </c>
      <c r="L155" s="27" t="s">
        <v>7</v>
      </c>
      <c r="AA155" s="27" t="s">
        <v>8</v>
      </c>
      <c r="AU155" s="27" t="s">
        <v>8</v>
      </c>
      <c r="AY155" s="27" t="s">
        <v>8</v>
      </c>
      <c r="BD155" s="31"/>
    </row>
    <row r="156" spans="1:66" x14ac:dyDescent="0.25">
      <c r="A156" s="30">
        <v>3.55841027383672E-2</v>
      </c>
      <c r="B156"/>
      <c r="C156"/>
      <c r="D156"/>
      <c r="E156"/>
      <c r="F156" s="27" t="s">
        <v>7</v>
      </c>
      <c r="K156" s="27" t="s">
        <v>8</v>
      </c>
      <c r="L156" s="27" t="s">
        <v>7</v>
      </c>
      <c r="AA156" s="27" t="s">
        <v>8</v>
      </c>
      <c r="AB156" s="27" t="s">
        <v>7</v>
      </c>
      <c r="AU156" s="27" t="s">
        <v>8</v>
      </c>
      <c r="AV156" s="27" t="s">
        <v>7</v>
      </c>
      <c r="AW156" s="27" t="s">
        <v>8</v>
      </c>
      <c r="AY156" s="27" t="s">
        <v>8</v>
      </c>
      <c r="BC156" s="31"/>
    </row>
    <row r="157" spans="1:66" x14ac:dyDescent="0.25">
      <c r="A157" s="30">
        <v>3.2349184307606541E-2</v>
      </c>
      <c r="B157"/>
      <c r="C157"/>
      <c r="D157"/>
      <c r="E157"/>
      <c r="F157" s="27" t="s">
        <v>7</v>
      </c>
      <c r="K157" s="27" t="s">
        <v>8</v>
      </c>
      <c r="L157" s="27" t="s">
        <v>7</v>
      </c>
      <c r="M157" s="27" t="s">
        <v>8</v>
      </c>
      <c r="AA157" s="27" t="s">
        <v>8</v>
      </c>
      <c r="AB157" s="27" t="s">
        <v>7</v>
      </c>
      <c r="AQ157" s="27" t="s">
        <v>8</v>
      </c>
      <c r="AU157" s="27" t="s">
        <v>8</v>
      </c>
      <c r="AV157" s="27" t="s">
        <v>7</v>
      </c>
      <c r="AW157" s="27" t="s">
        <v>8</v>
      </c>
      <c r="AX157" s="27" t="s">
        <v>7</v>
      </c>
      <c r="AY157" s="27" t="s">
        <v>8</v>
      </c>
      <c r="BB157" s="31"/>
    </row>
    <row r="158" spans="1:66" x14ac:dyDescent="0.25">
      <c r="A158" s="30">
        <v>2.9408349370551395E-2</v>
      </c>
      <c r="B158"/>
      <c r="C158"/>
      <c r="D158"/>
      <c r="E158"/>
      <c r="F158" s="27" t="s">
        <v>7</v>
      </c>
      <c r="K158" s="27" t="s">
        <v>8</v>
      </c>
      <c r="L158" s="27" t="s">
        <v>7</v>
      </c>
      <c r="M158" s="27" t="s">
        <v>8</v>
      </c>
      <c r="N158" s="27" t="s">
        <v>7</v>
      </c>
      <c r="AA158" s="27" t="s">
        <v>8</v>
      </c>
      <c r="AB158" s="27" t="s">
        <v>7</v>
      </c>
      <c r="AQ158" s="27" t="s">
        <v>8</v>
      </c>
      <c r="AR158" s="27" t="s">
        <v>7</v>
      </c>
      <c r="AU158" s="27" t="s">
        <v>8</v>
      </c>
      <c r="AV158" s="27" t="s">
        <v>7</v>
      </c>
      <c r="AW158" s="27" t="s">
        <v>8</v>
      </c>
      <c r="AX158" s="27" t="s">
        <v>7</v>
      </c>
      <c r="AY158" s="27" t="s">
        <v>8</v>
      </c>
      <c r="BA158" s="31"/>
    </row>
    <row r="159" spans="1:66" x14ac:dyDescent="0.25">
      <c r="A159" s="30">
        <v>2.6734863064137627E-2</v>
      </c>
      <c r="B159"/>
      <c r="C159"/>
      <c r="D159"/>
      <c r="E159"/>
      <c r="F159" s="27" t="s">
        <v>7</v>
      </c>
      <c r="K159" s="27" t="s">
        <v>8</v>
      </c>
      <c r="L159" s="27" t="s">
        <v>7</v>
      </c>
      <c r="M159" s="27" t="s">
        <v>8</v>
      </c>
      <c r="N159" s="27" t="s">
        <v>7</v>
      </c>
      <c r="O159" s="27" t="s">
        <v>8</v>
      </c>
      <c r="Q159" s="27" t="s">
        <v>8</v>
      </c>
      <c r="AA159" s="27" t="s">
        <v>8</v>
      </c>
      <c r="AB159" s="27" t="s">
        <v>7</v>
      </c>
      <c r="AI159" s="27" t="s">
        <v>8</v>
      </c>
      <c r="AO159" s="27" t="s">
        <v>8</v>
      </c>
      <c r="AQ159" s="27" t="s">
        <v>8</v>
      </c>
      <c r="AR159" s="27" t="s">
        <v>7</v>
      </c>
      <c r="AU159" s="27" t="s">
        <v>8</v>
      </c>
      <c r="AV159" s="27" t="s">
        <v>7</v>
      </c>
      <c r="AW159" s="27" t="s">
        <v>8</v>
      </c>
      <c r="AX159" s="27" t="s">
        <v>7</v>
      </c>
      <c r="AZ159" s="31"/>
    </row>
    <row r="160" spans="1:66" x14ac:dyDescent="0.25">
      <c r="A160" s="30">
        <v>2.4304420967397839E-2</v>
      </c>
      <c r="B160"/>
      <c r="C160"/>
      <c r="D160"/>
      <c r="E160"/>
      <c r="F160" s="27" t="s">
        <v>7</v>
      </c>
      <c r="K160" s="27" t="s">
        <v>8</v>
      </c>
      <c r="L160" s="27" t="s">
        <v>7</v>
      </c>
      <c r="M160" s="27" t="s">
        <v>8</v>
      </c>
      <c r="N160" s="27" t="s">
        <v>7</v>
      </c>
      <c r="O160" s="27" t="s">
        <v>8</v>
      </c>
      <c r="P160" s="27" t="s">
        <v>7</v>
      </c>
      <c r="Q160" s="27" t="s">
        <v>8</v>
      </c>
      <c r="R160" s="27" t="s">
        <v>7</v>
      </c>
      <c r="AA160" s="27" t="s">
        <v>8</v>
      </c>
      <c r="AB160" s="27" t="s">
        <v>7</v>
      </c>
      <c r="AG160" s="27" t="s">
        <v>8</v>
      </c>
      <c r="AI160" s="27" t="s">
        <v>8</v>
      </c>
      <c r="AJ160" s="27" t="s">
        <v>7</v>
      </c>
      <c r="AO160" s="27" t="s">
        <v>8</v>
      </c>
      <c r="AP160" s="27" t="s">
        <v>7</v>
      </c>
      <c r="AQ160" s="27" t="s">
        <v>8</v>
      </c>
      <c r="AR160" s="27" t="s">
        <v>7</v>
      </c>
      <c r="AU160" s="33" t="s">
        <v>8</v>
      </c>
      <c r="AV160" s="27" t="s">
        <v>7</v>
      </c>
      <c r="AY160" s="31"/>
    </row>
    <row r="161" spans="1:50" x14ac:dyDescent="0.25">
      <c r="A161" s="30">
        <v>2.2094928152179852E-2</v>
      </c>
      <c r="B161"/>
      <c r="C161"/>
      <c r="D161"/>
      <c r="E161"/>
      <c r="F161" s="27" t="s">
        <v>7</v>
      </c>
      <c r="K161" s="27" t="s">
        <v>8</v>
      </c>
      <c r="L161" s="27" t="s">
        <v>7</v>
      </c>
      <c r="N161" s="27" t="s">
        <v>7</v>
      </c>
      <c r="O161" s="27" t="s">
        <v>8</v>
      </c>
      <c r="P161" s="27" t="s">
        <v>7</v>
      </c>
      <c r="Q161" s="27" t="s">
        <v>8</v>
      </c>
      <c r="R161" s="27" t="s">
        <v>7</v>
      </c>
      <c r="AA161" s="27" t="s">
        <v>8</v>
      </c>
      <c r="AB161" s="27" t="s">
        <v>7</v>
      </c>
      <c r="AG161" s="27" t="s">
        <v>8</v>
      </c>
      <c r="AH161" s="27" t="s">
        <v>7</v>
      </c>
      <c r="AI161" s="27" t="s">
        <v>8</v>
      </c>
      <c r="AJ161" s="27" t="s">
        <v>7</v>
      </c>
      <c r="AO161" s="27" t="s">
        <v>8</v>
      </c>
      <c r="AP161" s="27" t="s">
        <v>7</v>
      </c>
      <c r="AQ161" s="27" t="s">
        <v>8</v>
      </c>
      <c r="AR161" s="27" t="s">
        <v>7</v>
      </c>
      <c r="AS161" s="27" t="s">
        <v>8</v>
      </c>
      <c r="AU161" s="27" t="s">
        <v>8</v>
      </c>
      <c r="AX161" s="31"/>
    </row>
    <row r="162" spans="1:50" x14ac:dyDescent="0.25">
      <c r="A162" s="30">
        <v>2.0086298320163499E-2</v>
      </c>
      <c r="B162"/>
      <c r="C162"/>
      <c r="D162"/>
      <c r="E162"/>
      <c r="F162" s="27" t="s">
        <v>7</v>
      </c>
      <c r="K162" s="27" t="s">
        <v>8</v>
      </c>
      <c r="N162" s="27" t="s">
        <v>7</v>
      </c>
      <c r="O162" s="27" t="s">
        <v>8</v>
      </c>
      <c r="P162" s="27" t="s">
        <v>7</v>
      </c>
      <c r="Q162" s="27" t="s">
        <v>8</v>
      </c>
      <c r="R162" s="27" t="s">
        <v>7</v>
      </c>
      <c r="S162" s="27" t="s">
        <v>8</v>
      </c>
      <c r="AA162" s="27" t="s">
        <v>8</v>
      </c>
      <c r="AB162" s="27" t="s">
        <v>7</v>
      </c>
      <c r="AG162" s="27" t="s">
        <v>8</v>
      </c>
      <c r="AH162" s="27" t="s">
        <v>7</v>
      </c>
      <c r="AI162" s="27" t="s">
        <v>8</v>
      </c>
      <c r="AJ162" s="27" t="s">
        <v>7</v>
      </c>
      <c r="AO162" s="27" t="s">
        <v>8</v>
      </c>
      <c r="AP162" s="27" t="s">
        <v>7</v>
      </c>
      <c r="AQ162" s="27" t="s">
        <v>8</v>
      </c>
      <c r="AR162" s="27" t="s">
        <v>7</v>
      </c>
      <c r="AS162" s="27" t="s">
        <v>8</v>
      </c>
      <c r="AT162" s="27" t="s">
        <v>7</v>
      </c>
      <c r="AU162" s="27" t="s">
        <v>8</v>
      </c>
      <c r="AW162" s="31"/>
    </row>
    <row r="163" spans="1:50" x14ac:dyDescent="0.25">
      <c r="A163" s="30">
        <v>1.8260271200148632E-2</v>
      </c>
      <c r="B163"/>
      <c r="C163"/>
      <c r="D163"/>
      <c r="E163"/>
      <c r="F163" s="27" t="s">
        <v>7</v>
      </c>
      <c r="K163" s="27" t="s">
        <v>8</v>
      </c>
      <c r="N163" s="27" t="s">
        <v>7</v>
      </c>
      <c r="P163" s="27" t="s">
        <v>7</v>
      </c>
      <c r="Q163" s="27" t="s">
        <v>8</v>
      </c>
      <c r="R163" s="27" t="s">
        <v>7</v>
      </c>
      <c r="S163" s="27" t="s">
        <v>8</v>
      </c>
      <c r="T163" s="27" t="s">
        <v>7</v>
      </c>
      <c r="U163" s="27" t="s">
        <v>8</v>
      </c>
      <c r="AA163" s="27" t="s">
        <v>8</v>
      </c>
      <c r="AB163" s="27" t="s">
        <v>7</v>
      </c>
      <c r="AC163" s="27" t="s">
        <v>8</v>
      </c>
      <c r="AE163" s="27" t="s">
        <v>8</v>
      </c>
      <c r="AG163" s="27" t="s">
        <v>8</v>
      </c>
      <c r="AH163" s="27" t="s">
        <v>7</v>
      </c>
      <c r="AJ163" s="27" t="s">
        <v>7</v>
      </c>
      <c r="AM163" s="27" t="s">
        <v>8</v>
      </c>
      <c r="AO163" s="27" t="s">
        <v>8</v>
      </c>
      <c r="AP163" s="27" t="s">
        <v>7</v>
      </c>
      <c r="AR163" s="27" t="s">
        <v>7</v>
      </c>
      <c r="AS163" s="27" t="s">
        <v>8</v>
      </c>
      <c r="AT163" s="27" t="s">
        <v>7</v>
      </c>
      <c r="AU163" s="27" t="s">
        <v>8</v>
      </c>
      <c r="AV163" s="31"/>
    </row>
    <row r="164" spans="1:50" x14ac:dyDescent="0.25">
      <c r="A164" s="30">
        <v>1.6600246545589663E-2</v>
      </c>
      <c r="B164"/>
      <c r="C164"/>
      <c r="D164"/>
      <c r="E164"/>
      <c r="F164" s="27" t="s">
        <v>7</v>
      </c>
      <c r="K164" s="27" t="s">
        <v>8</v>
      </c>
      <c r="P164" s="27" t="s">
        <v>7</v>
      </c>
      <c r="R164" s="27" t="s">
        <v>7</v>
      </c>
      <c r="S164" s="27" t="s">
        <v>8</v>
      </c>
      <c r="T164" s="27" t="s">
        <v>7</v>
      </c>
      <c r="U164" s="27" t="s">
        <v>8</v>
      </c>
      <c r="V164" s="27" t="s">
        <v>7</v>
      </c>
      <c r="Y164" s="27" t="s">
        <v>8</v>
      </c>
      <c r="AA164" s="27" t="s">
        <v>8</v>
      </c>
      <c r="AB164" s="27" t="s">
        <v>7</v>
      </c>
      <c r="AC164" s="27" t="s">
        <v>8</v>
      </c>
      <c r="AD164" s="27" t="s">
        <v>7</v>
      </c>
      <c r="AE164" s="27" t="s">
        <v>8</v>
      </c>
      <c r="AF164" s="27" t="s">
        <v>7</v>
      </c>
      <c r="AG164" s="27" t="s">
        <v>8</v>
      </c>
      <c r="AJ164" s="27" t="s">
        <v>7</v>
      </c>
      <c r="AM164" s="27" t="s">
        <v>8</v>
      </c>
      <c r="AN164" s="27" t="s">
        <v>7</v>
      </c>
      <c r="AO164" s="27" t="s">
        <v>8</v>
      </c>
      <c r="AR164" s="27" t="s">
        <v>7</v>
      </c>
      <c r="AS164" s="27" t="s">
        <v>8</v>
      </c>
      <c r="AT164" s="27" t="s">
        <v>7</v>
      </c>
      <c r="AU164" s="31" t="s">
        <v>8</v>
      </c>
    </row>
    <row r="165" spans="1:50" x14ac:dyDescent="0.25">
      <c r="A165" s="30">
        <v>1.5091133223263328E-2</v>
      </c>
      <c r="B165"/>
      <c r="C165"/>
      <c r="D165"/>
      <c r="E165"/>
      <c r="F165" s="27" t="s">
        <v>7</v>
      </c>
      <c r="K165" s="27" t="s">
        <v>8</v>
      </c>
      <c r="R165" s="27" t="s">
        <v>7</v>
      </c>
      <c r="S165" s="27" t="s">
        <v>8</v>
      </c>
      <c r="T165" s="27" t="s">
        <v>7</v>
      </c>
      <c r="U165" s="27" t="s">
        <v>8</v>
      </c>
      <c r="V165" s="27" t="s">
        <v>7</v>
      </c>
      <c r="W165" s="27" t="s">
        <v>8</v>
      </c>
      <c r="Y165" s="27" t="s">
        <v>8</v>
      </c>
      <c r="Z165" s="27" t="s">
        <v>7</v>
      </c>
      <c r="AA165" s="27" t="s">
        <v>8</v>
      </c>
      <c r="AB165" s="27" t="s">
        <v>7</v>
      </c>
      <c r="AC165" s="27" t="s">
        <v>8</v>
      </c>
      <c r="AD165" s="27" t="s">
        <v>7</v>
      </c>
      <c r="AE165" s="27" t="s">
        <v>8</v>
      </c>
      <c r="AF165" s="27" t="s">
        <v>7</v>
      </c>
      <c r="AG165" s="27" t="s">
        <v>8</v>
      </c>
      <c r="AJ165" s="27" t="s">
        <v>7</v>
      </c>
      <c r="AM165" s="27" t="s">
        <v>8</v>
      </c>
      <c r="AN165" s="27" t="s">
        <v>7</v>
      </c>
      <c r="AO165" s="27" t="s">
        <v>8</v>
      </c>
      <c r="AR165" s="27" t="s">
        <v>7</v>
      </c>
      <c r="AS165" s="27" t="s">
        <v>8</v>
      </c>
      <c r="AT165" s="31" t="s">
        <v>7</v>
      </c>
    </row>
    <row r="166" spans="1:50" x14ac:dyDescent="0.25">
      <c r="A166" s="30">
        <v>1.3719212021148477E-2</v>
      </c>
      <c r="B166"/>
      <c r="C166"/>
      <c r="D166"/>
      <c r="E166"/>
      <c r="F166" s="27" t="s">
        <v>7</v>
      </c>
      <c r="K166" s="27" t="s">
        <v>8</v>
      </c>
      <c r="R166" s="27" t="s">
        <v>7</v>
      </c>
      <c r="S166" s="27" t="s">
        <v>8</v>
      </c>
      <c r="T166" s="27" t="s">
        <v>7</v>
      </c>
      <c r="U166" s="27" t="s">
        <v>8</v>
      </c>
      <c r="V166" s="27" t="s">
        <v>7</v>
      </c>
      <c r="W166" s="27" t="s">
        <v>8</v>
      </c>
      <c r="X166" s="27" t="s">
        <v>7</v>
      </c>
      <c r="Y166" s="27" t="s">
        <v>8</v>
      </c>
      <c r="Z166" s="27" t="s">
        <v>7</v>
      </c>
      <c r="AA166" s="27" t="s">
        <v>8</v>
      </c>
      <c r="AB166" s="27" t="s">
        <v>7</v>
      </c>
      <c r="AC166" s="27" t="s">
        <v>8</v>
      </c>
      <c r="AD166" s="27" t="s">
        <v>7</v>
      </c>
      <c r="AE166" s="27" t="s">
        <v>8</v>
      </c>
      <c r="AF166" s="27" t="s">
        <v>7</v>
      </c>
      <c r="AJ166" s="27" t="s">
        <v>7</v>
      </c>
      <c r="AM166" s="27" t="s">
        <v>8</v>
      </c>
      <c r="AN166" s="27" t="s">
        <v>7</v>
      </c>
      <c r="AR166" s="27" t="s">
        <v>7</v>
      </c>
      <c r="AS166" s="31" t="s">
        <v>8</v>
      </c>
    </row>
    <row r="167" spans="1:50" x14ac:dyDescent="0.25">
      <c r="A167" s="30">
        <v>1.2472010928316795E-2</v>
      </c>
      <c r="B167"/>
      <c r="C167"/>
      <c r="D167"/>
      <c r="E167"/>
      <c r="F167" s="27" t="s">
        <v>7</v>
      </c>
      <c r="K167" s="27" t="s">
        <v>8</v>
      </c>
      <c r="R167" s="27" t="s">
        <v>7</v>
      </c>
      <c r="S167" s="27" t="s">
        <v>8</v>
      </c>
      <c r="T167" s="27" t="s">
        <v>7</v>
      </c>
      <c r="V167" s="27" t="s">
        <v>7</v>
      </c>
      <c r="W167" s="27" t="s">
        <v>8</v>
      </c>
      <c r="X167" s="27" t="s">
        <v>7</v>
      </c>
      <c r="Y167" s="27" t="s">
        <v>8</v>
      </c>
      <c r="Z167" s="27" t="s">
        <v>7</v>
      </c>
      <c r="AB167" s="27" t="s">
        <v>7</v>
      </c>
      <c r="AC167" s="27" t="s">
        <v>8</v>
      </c>
      <c r="AD167" s="27" t="s">
        <v>7</v>
      </c>
      <c r="AE167" s="27" t="s">
        <v>8</v>
      </c>
      <c r="AJ167" s="27" t="s">
        <v>7</v>
      </c>
      <c r="AM167" s="27" t="s">
        <v>8</v>
      </c>
      <c r="AR167" s="31" t="s">
        <v>7</v>
      </c>
    </row>
    <row r="168" spans="1:50" x14ac:dyDescent="0.25">
      <c r="A168" s="30">
        <v>1.1338191753015267E-2</v>
      </c>
      <c r="B168"/>
      <c r="C168"/>
      <c r="D168"/>
      <c r="E168"/>
      <c r="F168" s="27" t="s">
        <v>7</v>
      </c>
      <c r="K168" s="27" t="s">
        <v>8</v>
      </c>
      <c r="R168" s="27" t="s">
        <v>7</v>
      </c>
      <c r="S168" s="27" t="s">
        <v>8</v>
      </c>
      <c r="V168" s="27" t="s">
        <v>7</v>
      </c>
      <c r="X168" s="27" t="s">
        <v>7</v>
      </c>
      <c r="Y168" s="27" t="s">
        <v>8</v>
      </c>
      <c r="AB168" s="27" t="s">
        <v>7</v>
      </c>
      <c r="AD168" s="27" t="s">
        <v>7</v>
      </c>
      <c r="AJ168" s="27" t="s">
        <v>7</v>
      </c>
      <c r="AK168" s="27" t="s">
        <v>8</v>
      </c>
      <c r="AM168" s="27" t="s">
        <v>8</v>
      </c>
      <c r="AQ168" s="31"/>
    </row>
    <row r="169" spans="1:50" x14ac:dyDescent="0.25">
      <c r="A169" s="30">
        <v>1.0307447048195697E-2</v>
      </c>
      <c r="B169"/>
      <c r="C169"/>
      <c r="D169"/>
      <c r="E169"/>
      <c r="F169" s="27" t="s">
        <v>7</v>
      </c>
      <c r="I169" s="27" t="s">
        <v>8</v>
      </c>
      <c r="K169" s="27" t="s">
        <v>8</v>
      </c>
      <c r="R169" s="27" t="s">
        <v>7</v>
      </c>
      <c r="X169" s="27" t="s">
        <v>7</v>
      </c>
      <c r="AJ169" s="27" t="s">
        <v>7</v>
      </c>
      <c r="AK169" s="27" t="s">
        <v>8</v>
      </c>
      <c r="AL169" s="27" t="s">
        <v>7</v>
      </c>
      <c r="AM169" s="27" t="s">
        <v>8</v>
      </c>
      <c r="AP169" s="31"/>
    </row>
    <row r="170" spans="1:50" x14ac:dyDescent="0.25">
      <c r="A170" s="30">
        <v>9.3704064074506318E-3</v>
      </c>
      <c r="B170"/>
      <c r="C170"/>
      <c r="D170"/>
      <c r="E170"/>
      <c r="F170" s="27" t="s">
        <v>7</v>
      </c>
      <c r="I170" s="27" t="s">
        <v>8</v>
      </c>
      <c r="J170" s="27" t="s">
        <v>7</v>
      </c>
      <c r="K170" s="27" t="s">
        <v>8</v>
      </c>
      <c r="AJ170" s="27" t="s">
        <v>7</v>
      </c>
      <c r="AK170" s="27" t="s">
        <v>8</v>
      </c>
      <c r="AL170" s="27" t="s">
        <v>7</v>
      </c>
      <c r="AM170" s="27" t="s">
        <v>8</v>
      </c>
      <c r="AO170" s="31"/>
    </row>
    <row r="171" spans="1:50" x14ac:dyDescent="0.25">
      <c r="A171" s="30">
        <v>8.5185512795005747E-3</v>
      </c>
      <c r="F171" s="27" t="s">
        <v>7</v>
      </c>
      <c r="I171" s="27" t="s">
        <v>8</v>
      </c>
      <c r="J171" s="27" t="s">
        <v>7</v>
      </c>
      <c r="K171" s="27" t="s">
        <v>8</v>
      </c>
      <c r="AJ171" s="27" t="s">
        <v>7</v>
      </c>
      <c r="AK171" s="27" t="s">
        <v>8</v>
      </c>
      <c r="AL171" s="27" t="s">
        <v>7</v>
      </c>
      <c r="AM171" s="27" t="s">
        <v>8</v>
      </c>
      <c r="AN171" s="31"/>
    </row>
    <row r="172" spans="1:50" x14ac:dyDescent="0.25">
      <c r="A172" s="30">
        <v>7.744137526818704E-3</v>
      </c>
      <c r="F172" s="27" t="s">
        <v>7</v>
      </c>
      <c r="I172" s="27" t="s">
        <v>8</v>
      </c>
      <c r="J172" s="27" t="s">
        <v>7</v>
      </c>
      <c r="AJ172" s="27" t="s">
        <v>7</v>
      </c>
      <c r="AK172" s="27" t="s">
        <v>8</v>
      </c>
      <c r="AL172" s="27" t="s">
        <v>7</v>
      </c>
      <c r="AM172" s="31" t="s">
        <v>8</v>
      </c>
    </row>
    <row r="173" spans="1:50" x14ac:dyDescent="0.25">
      <c r="A173" s="30">
        <v>7.0401250243806394E-3</v>
      </c>
      <c r="F173" s="27" t="s">
        <v>7</v>
      </c>
      <c r="I173" s="27" t="s">
        <v>8</v>
      </c>
      <c r="AJ173" s="27" t="s">
        <v>7</v>
      </c>
      <c r="AK173" s="27" t="s">
        <v>8</v>
      </c>
      <c r="AL173" s="31" t="s">
        <v>7</v>
      </c>
    </row>
    <row r="174" spans="1:50" x14ac:dyDescent="0.25">
      <c r="A174" s="30">
        <v>6.4001136585278536E-3</v>
      </c>
      <c r="F174" s="27" t="s">
        <v>7</v>
      </c>
      <c r="I174" s="27" t="s">
        <v>8</v>
      </c>
      <c r="AJ174" s="27" t="s">
        <v>7</v>
      </c>
    </row>
    <row r="175" spans="1:50" x14ac:dyDescent="0.25">
      <c r="A175" s="30">
        <v>5.8182851441162305E-3</v>
      </c>
      <c r="F175" s="27" t="s">
        <v>7</v>
      </c>
      <c r="I175" s="27" t="s">
        <v>8</v>
      </c>
    </row>
    <row r="176" spans="1:50" x14ac:dyDescent="0.25">
      <c r="A176" s="30">
        <v>5.2893501310147546E-3</v>
      </c>
      <c r="F176" s="27" t="s">
        <v>7</v>
      </c>
      <c r="I176" s="27" t="s">
        <v>8</v>
      </c>
    </row>
    <row r="177" spans="1:9" x14ac:dyDescent="0.25">
      <c r="A177" s="30">
        <v>4.8085001191043222E-3</v>
      </c>
      <c r="F177" s="27" t="s">
        <v>7</v>
      </c>
      <c r="G177" s="27" t="s">
        <v>8</v>
      </c>
      <c r="I177" s="27" t="s">
        <v>8</v>
      </c>
    </row>
    <row r="178" spans="1:9" x14ac:dyDescent="0.25">
      <c r="A178" s="30">
        <v>4.3713637446402926E-3</v>
      </c>
      <c r="F178" s="27" t="s">
        <v>7</v>
      </c>
      <c r="G178" s="27" t="s">
        <v>8</v>
      </c>
      <c r="H178" s="27" t="s">
        <v>7</v>
      </c>
      <c r="I178" s="27" t="s">
        <v>8</v>
      </c>
    </row>
    <row r="179" spans="1:9" x14ac:dyDescent="0.25">
      <c r="A179" s="30">
        <v>3.9739670405820838E-3</v>
      </c>
      <c r="F179" s="27" t="s">
        <v>7</v>
      </c>
      <c r="G179" s="27" t="s">
        <v>8</v>
      </c>
      <c r="H179" s="27" t="s">
        <v>7</v>
      </c>
      <c r="I179" s="27" t="s">
        <v>8</v>
      </c>
    </row>
    <row r="180" spans="1:9" x14ac:dyDescent="0.25">
      <c r="A180" s="30">
        <v>3.6126973096200759E-3</v>
      </c>
      <c r="F180" s="27" t="s">
        <v>7</v>
      </c>
      <c r="H180" s="27" t="s">
        <v>7</v>
      </c>
      <c r="I180" s="27" t="s">
        <v>8</v>
      </c>
    </row>
    <row r="181" spans="1:9" x14ac:dyDescent="0.25">
      <c r="A181" s="30">
        <v>3.2842702814727962E-3</v>
      </c>
      <c r="H181" s="27" t="s">
        <v>7</v>
      </c>
    </row>
    <row r="182" spans="1:9" x14ac:dyDescent="0.25">
      <c r="A182" s="30">
        <v>2.9857002558843601E-3</v>
      </c>
    </row>
    <row r="183" spans="1:9" x14ac:dyDescent="0.25">
      <c r="A183" s="30">
        <v>2.7142729598948726E-3</v>
      </c>
    </row>
    <row r="184" spans="1:9" x14ac:dyDescent="0.25">
      <c r="A184" s="30">
        <v>2.4675208726317021E-3</v>
      </c>
    </row>
    <row r="185" spans="1:9" x14ac:dyDescent="0.25">
      <c r="A185" s="30">
        <v>2.2432007933015472E-3</v>
      </c>
    </row>
    <row r="186" spans="1:9" x14ac:dyDescent="0.25">
      <c r="A186" s="30">
        <v>2.0392734484559519E-3</v>
      </c>
    </row>
    <row r="187" spans="1:9" x14ac:dyDescent="0.25">
      <c r="A187" s="30">
        <v>1.8538849531417744E-3</v>
      </c>
    </row>
    <row r="188" spans="1:9" x14ac:dyDescent="0.25">
      <c r="A188" s="30">
        <v>1.6853499574016129E-3</v>
      </c>
    </row>
    <row r="189" spans="1:9" x14ac:dyDescent="0.25">
      <c r="A189" s="30">
        <v>1.5321363249105571E-3</v>
      </c>
    </row>
    <row r="190" spans="1:9" x14ac:dyDescent="0.25">
      <c r="A190" s="30">
        <v>1.3928512044641427E-3</v>
      </c>
    </row>
    <row r="191" spans="1:9" x14ac:dyDescent="0.25">
      <c r="A191" s="30">
        <v>1.2662283676946752E-3</v>
      </c>
    </row>
    <row r="192" spans="1:9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12" operator="equal">
      <formula>$U$1</formula>
    </cfRule>
    <cfRule type="cellIs" dxfId="30" priority="1413" operator="equal">
      <formula>$S$1</formula>
    </cfRule>
  </conditionalFormatting>
  <conditionalFormatting sqref="D136">
    <cfRule type="cellIs" dxfId="29" priority="1410" operator="equal">
      <formula>$S$1</formula>
    </cfRule>
    <cfRule type="cellIs" dxfId="28" priority="1411" operator="equal">
      <formula>$U$1</formula>
    </cfRule>
  </conditionalFormatting>
  <conditionalFormatting sqref="C102">
    <cfRule type="cellIs" dxfId="27" priority="1408" operator="equal">
      <formula>$U$1</formula>
    </cfRule>
    <cfRule type="cellIs" dxfId="26" priority="1409" operator="equal">
      <formula>$S$1</formula>
    </cfRule>
  </conditionalFormatting>
  <conditionalFormatting sqref="D102">
    <cfRule type="cellIs" dxfId="25" priority="1406" operator="equal">
      <formula>$S$1</formula>
    </cfRule>
    <cfRule type="cellIs" dxfId="24" priority="1407" operator="equal">
      <formula>$U$1</formula>
    </cfRule>
  </conditionalFormatting>
  <conditionalFormatting sqref="C77">
    <cfRule type="cellIs" dxfId="23" priority="1404" operator="equal">
      <formula>$U$1</formula>
    </cfRule>
    <cfRule type="cellIs" dxfId="22" priority="1405" operator="equal">
      <formula>$S$1</formula>
    </cfRule>
  </conditionalFormatting>
  <conditionalFormatting sqref="D77">
    <cfRule type="cellIs" dxfId="21" priority="1402" operator="equal">
      <formula>$S$1</formula>
    </cfRule>
    <cfRule type="cellIs" dxfId="20" priority="1403" operator="equal">
      <formula>$U$1</formula>
    </cfRule>
  </conditionalFormatting>
  <conditionalFormatting sqref="C52">
    <cfRule type="cellIs" dxfId="19" priority="1400" operator="equal">
      <formula>$U$1</formula>
    </cfRule>
    <cfRule type="cellIs" dxfId="18" priority="1401" operator="equal">
      <formula>$S$1</formula>
    </cfRule>
  </conditionalFormatting>
  <conditionalFormatting sqref="D52">
    <cfRule type="cellIs" dxfId="17" priority="1398" operator="equal">
      <formula>$S$1</formula>
    </cfRule>
    <cfRule type="cellIs" dxfId="16" priority="1399" operator="equal">
      <formula>$U$1</formula>
    </cfRule>
  </conditionalFormatting>
  <conditionalFormatting sqref="C26">
    <cfRule type="cellIs" dxfId="15" priority="1396" operator="equal">
      <formula>$U$1</formula>
    </cfRule>
    <cfRule type="cellIs" dxfId="14" priority="1397" operator="equal">
      <formula>$S$1</formula>
    </cfRule>
  </conditionalFormatting>
  <conditionalFormatting sqref="D26">
    <cfRule type="cellIs" dxfId="13" priority="1394" operator="equal">
      <formula>$S$1</formula>
    </cfRule>
    <cfRule type="cellIs" dxfId="12" priority="139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0.64460891621779492</v>
      </c>
      <c r="F3" s="30">
        <v>1</v>
      </c>
      <c r="G3" s="30">
        <v>1.5513282159785162</v>
      </c>
      <c r="H3" s="25">
        <f>IF(G3="","",(3*(G3-F3))+E3)</f>
        <v>2.2985935641533435</v>
      </c>
      <c r="I3" s="7"/>
      <c r="J3" s="7">
        <f>(E3+G3)/2</f>
        <v>1.0979685660981555</v>
      </c>
      <c r="K3" s="7">
        <f>H3/2</f>
        <v>1.1492967820766717</v>
      </c>
      <c r="M3" s="26">
        <f>IF(OR(J3="",H3=""),"",H3/J3)</f>
        <v>2.0934966948296543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2022-01-28T01:18:49Z</dcterms:modified>
</cp:coreProperties>
</file>