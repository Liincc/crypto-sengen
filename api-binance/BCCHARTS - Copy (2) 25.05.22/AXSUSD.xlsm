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8B0CB27-0561-4C75-9488-E6A87C08D295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22" i="3"/>
  <c r="C133" i="3" s="1"/>
  <c r="C136" i="3" s="1"/>
  <c r="C122" i="4"/>
  <c r="C133" i="4" s="1"/>
  <c r="D136" i="4" s="1"/>
  <c r="C118" i="4"/>
  <c r="C116" i="3"/>
  <c r="C118" i="3"/>
  <c r="R765" i="1"/>
  <c r="C136" i="5" l="1"/>
  <c r="C138" i="5" s="1"/>
  <c r="D136" i="3"/>
  <c r="C138" i="3" s="1"/>
  <c r="C136" i="4"/>
  <c r="C138" i="4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<sst xmlns="http://schemas.openxmlformats.org/spreadsheetml/2006/main" count="6215" uniqueCount="34">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</sst>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48.27</c:v>
                </c:pt>
                <c:pt idx="1">
                  <c:v>49.54</c:v>
                </c:pt>
                <c:pt idx="2">
                  <c:v>50.81</c:v>
                </c:pt>
                <c:pt idx="3">
                  <c:v>51.2</c:v>
                </c:pt>
                <c:pt idx="4">
                  <c:v>54.72</c:v>
                </c:pt>
                <c:pt idx="5">
                  <c:v>50.17</c:v>
                </c:pt>
                <c:pt idx="6">
                  <c:v>58.32</c:v>
                </c:pt>
                <c:pt idx="7">
                  <c:v>69.08</c:v>
                </c:pt>
                <c:pt idx="8">
                  <c:v>71.81</c:v>
                </c:pt>
                <c:pt idx="9">
                  <c:v>73.819999999999993</c:v>
                </c:pt>
                <c:pt idx="10">
                  <c:v>76.459999999999994</c:v>
                </c:pt>
                <c:pt idx="11">
                  <c:v>80.260000000000005</c:v>
                </c:pt>
                <c:pt idx="12">
                  <c:v>75.37</c:v>
                </c:pt>
                <c:pt idx="13">
                  <c:v>73.67</c:v>
                </c:pt>
                <c:pt idx="14">
                  <c:v>73.06</c:v>
                </c:pt>
                <c:pt idx="15">
                  <c:v>78.209999999999994</c:v>
                </c:pt>
                <c:pt idx="16">
                  <c:v>72.78</c:v>
                </c:pt>
                <c:pt idx="17">
                  <c:v>68.38</c:v>
                </c:pt>
                <c:pt idx="18">
                  <c:v>71.92</c:v>
                </c:pt>
                <c:pt idx="19">
                  <c:v>70.33</c:v>
                </c:pt>
                <c:pt idx="20">
                  <c:v>73.62</c:v>
                </c:pt>
                <c:pt idx="21">
                  <c:v>79.02</c:v>
                </c:pt>
                <c:pt idx="22">
                  <c:v>80.22</c:v>
                </c:pt>
                <c:pt idx="23">
                  <c:v>92.89</c:v>
                </c:pt>
                <c:pt idx="24">
                  <c:v>94.39</c:v>
                </c:pt>
                <c:pt idx="25">
                  <c:v>96.38</c:v>
                </c:pt>
                <c:pt idx="26">
                  <c:v>94.1</c:v>
                </c:pt>
                <c:pt idx="27">
                  <c:v>93.25</c:v>
                </c:pt>
                <c:pt idx="28">
                  <c:v>95</c:v>
                </c:pt>
                <c:pt idx="29">
                  <c:v>93.74</c:v>
                </c:pt>
                <c:pt idx="30">
                  <c:v>99.79</c:v>
                </c:pt>
                <c:pt idx="31">
                  <c:v>107.15</c:v>
                </c:pt>
                <c:pt idx="32">
                  <c:v>107.45</c:v>
                </c:pt>
                <c:pt idx="33">
                  <c:v>109.16</c:v>
                </c:pt>
                <c:pt idx="34">
                  <c:v>104.66</c:v>
                </c:pt>
                <c:pt idx="35">
                  <c:v>107.41</c:v>
                </c:pt>
                <c:pt idx="36">
                  <c:v>101.56</c:v>
                </c:pt>
                <c:pt idx="37">
                  <c:v>97.27</c:v>
                </c:pt>
                <c:pt idx="38">
                  <c:v>92.77</c:v>
                </c:pt>
                <c:pt idx="39">
                  <c:v>95.26</c:v>
                </c:pt>
                <c:pt idx="40">
                  <c:v>96.14</c:v>
                </c:pt>
                <c:pt idx="41">
                  <c:v>94.48</c:v>
                </c:pt>
                <c:pt idx="42">
                  <c:v>97.9</c:v>
                </c:pt>
                <c:pt idx="43">
                  <c:v>101.42</c:v>
                </c:pt>
                <c:pt idx="44">
                  <c:v>96.13</c:v>
                </c:pt>
                <c:pt idx="45">
                  <c:v>92.89</c:v>
                </c:pt>
                <c:pt idx="46">
                  <c:v>104.14</c:v>
                </c:pt>
                <c:pt idx="47">
                  <c:v>98.68</c:v>
                </c:pt>
                <c:pt idx="48">
                  <c:v>97.5</c:v>
                </c:pt>
                <c:pt idx="49">
                  <c:v>103.68</c:v>
                </c:pt>
                <c:pt idx="50">
                  <c:v>113.33</c:v>
                </c:pt>
                <c:pt idx="51">
                  <c:v>105.67</c:v>
                </c:pt>
                <c:pt idx="52">
                  <c:v>105.78</c:v>
                </c:pt>
                <c:pt idx="53">
                  <c:v>107.45</c:v>
                </c:pt>
                <c:pt idx="54">
                  <c:v>118</c:v>
                </c:pt>
                <c:pt idx="55">
                  <c:v>127.49</c:v>
                </c:pt>
                <c:pt idx="56">
                  <c:v>135.02000000000001</c:v>
                </c:pt>
                <c:pt idx="57">
                  <c:v>135.02000000000001</c:v>
                </c:pt>
                <c:pt idx="58">
                  <c:v>137.01</c:v>
                </c:pt>
                <c:pt idx="59">
                  <c:v>134.52000000000001</c:v>
                </c:pt>
                <c:pt idx="60">
                  <c:v>133.06</c:v>
                </c:pt>
                <c:pt idx="61">
                  <c:v>127.66</c:v>
                </c:pt>
                <c:pt idx="62">
                  <c:v>125.73</c:v>
                </c:pt>
                <c:pt idx="63">
                  <c:v>138.80000000000001</c:v>
                </c:pt>
                <c:pt idx="64">
                  <c:v>134.06</c:v>
                </c:pt>
                <c:pt idx="65">
                  <c:v>136.35</c:v>
                </c:pt>
                <c:pt idx="66">
                  <c:v>128.11000000000001</c:v>
                </c:pt>
                <c:pt idx="67">
                  <c:v>129.94</c:v>
                </c:pt>
                <c:pt idx="68">
                  <c:v>132.5</c:v>
                </c:pt>
                <c:pt idx="69">
                  <c:v>131.65</c:v>
                </c:pt>
                <c:pt idx="70">
                  <c:v>123.69</c:v>
                </c:pt>
                <c:pt idx="71">
                  <c:v>135.31</c:v>
                </c:pt>
                <c:pt idx="72">
                  <c:v>133.43</c:v>
                </c:pt>
                <c:pt idx="73">
                  <c:v>142.54</c:v>
                </c:pt>
                <c:pt idx="74">
                  <c:v>142.38</c:v>
                </c:pt>
                <c:pt idx="75">
                  <c:v>142.78</c:v>
                </c:pt>
                <c:pt idx="76">
                  <c:v>143.38999999999999</c:v>
                </c:pt>
                <c:pt idx="77">
                  <c:v>146.22999999999999</c:v>
                </c:pt>
                <c:pt idx="78">
                  <c:v>142.13</c:v>
                </c:pt>
                <c:pt idx="79">
                  <c:v>150.08000000000001</c:v>
                </c:pt>
                <c:pt idx="80">
                  <c:v>153.38999999999999</c:v>
                </c:pt>
                <c:pt idx="81">
                  <c:v>160.38</c:v>
                </c:pt>
                <c:pt idx="82">
                  <c:v>157.27000000000001</c:v>
                </c:pt>
                <c:pt idx="83">
                  <c:v>151.62</c:v>
                </c:pt>
                <c:pt idx="84">
                  <c:v>144.97999999999999</c:v>
                </c:pt>
                <c:pt idx="85">
                  <c:v>141.44999999999999</c:v>
                </c:pt>
                <c:pt idx="86">
                  <c:v>140.44999999999999</c:v>
                </c:pt>
                <c:pt idx="87">
                  <c:v>136.91999999999999</c:v>
                </c:pt>
                <c:pt idx="88">
                  <c:v>138.22</c:v>
                </c:pt>
                <c:pt idx="89">
                  <c:v>146.91</c:v>
                </c:pt>
                <c:pt idx="90">
                  <c:v>143.09</c:v>
                </c:pt>
                <c:pt idx="91">
                  <c:v>126.56</c:v>
                </c:pt>
                <c:pt idx="92">
                  <c:v>121.59</c:v>
                </c:pt>
                <c:pt idx="93">
                  <c:v>128.9</c:v>
                </c:pt>
                <c:pt idx="94">
                  <c:v>131.72999999999999</c:v>
                </c:pt>
                <c:pt idx="95">
                  <c:v>122.72</c:v>
                </c:pt>
                <c:pt idx="96">
                  <c:v>125.67</c:v>
                </c:pt>
                <c:pt idx="97">
                  <c:v>130.13999999999999</c:v>
                </c:pt>
                <c:pt idx="98">
                  <c:v>119.82</c:v>
                </c:pt>
                <c:pt idx="99">
                  <c:v>127.69</c:v>
                </c:pt>
                <c:pt idx="100">
                  <c:v>122.03</c:v>
                </c:pt>
                <c:pt idx="101">
                  <c:v>122.47</c:v>
                </c:pt>
                <c:pt idx="102">
                  <c:v>124.54</c:v>
                </c:pt>
                <c:pt idx="103">
                  <c:v>125.09</c:v>
                </c:pt>
                <c:pt idx="104">
                  <c:v>125.61</c:v>
                </c:pt>
                <c:pt idx="105">
                  <c:v>136.35</c:v>
                </c:pt>
                <c:pt idx="106">
                  <c:v>121.74</c:v>
                </c:pt>
                <c:pt idx="107">
                  <c:v>122.13</c:v>
                </c:pt>
                <c:pt idx="108">
                  <c:v>116.52</c:v>
                </c:pt>
                <c:pt idx="109">
                  <c:v>116.25</c:v>
                </c:pt>
                <c:pt idx="110">
                  <c:v>126.55</c:v>
                </c:pt>
                <c:pt idx="111">
                  <c:v>126.29</c:v>
                </c:pt>
                <c:pt idx="112">
                  <c:v>124.54</c:v>
                </c:pt>
                <c:pt idx="113">
                  <c:v>126.19</c:v>
                </c:pt>
                <c:pt idx="114">
                  <c:v>128.63</c:v>
                </c:pt>
                <c:pt idx="115">
                  <c:v>135.83000000000001</c:v>
                </c:pt>
                <c:pt idx="116">
                  <c:v>135.03</c:v>
                </c:pt>
                <c:pt idx="117">
                  <c:v>107.84</c:v>
                </c:pt>
                <c:pt idx="118">
                  <c:v>110.28</c:v>
                </c:pt>
                <c:pt idx="119">
                  <c:v>74.64</c:v>
                </c:pt>
                <c:pt idx="120">
                  <c:v>69.319999999999993</c:v>
                </c:pt>
                <c:pt idx="121">
                  <c:v>69.099999999999994</c:v>
                </c:pt>
                <c:pt idx="122">
                  <c:v>63.84</c:v>
                </c:pt>
                <c:pt idx="123">
                  <c:v>63.71</c:v>
                </c:pt>
                <c:pt idx="124">
                  <c:v>65.239999999999995</c:v>
                </c:pt>
                <c:pt idx="125">
                  <c:v>68.239999999999995</c:v>
                </c:pt>
                <c:pt idx="126">
                  <c:v>67.36</c:v>
                </c:pt>
                <c:pt idx="127">
                  <c:v>61.58</c:v>
                </c:pt>
                <c:pt idx="128">
                  <c:v>50.62</c:v>
                </c:pt>
                <c:pt idx="129">
                  <c:v>58.39</c:v>
                </c:pt>
                <c:pt idx="130">
                  <c:v>63.7</c:v>
                </c:pt>
                <c:pt idx="131">
                  <c:v>66.14</c:v>
                </c:pt>
                <c:pt idx="132">
                  <c:v>65.87</c:v>
                </c:pt>
                <c:pt idx="133">
                  <c:v>67.260000000000005</c:v>
                </c:pt>
                <c:pt idx="134">
                  <c:v>68.64</c:v>
                </c:pt>
                <c:pt idx="135">
                  <c:v>66.7</c:v>
                </c:pt>
                <c:pt idx="136">
                  <c:v>64.989999999999995</c:v>
                </c:pt>
                <c:pt idx="137">
                  <c:v>69.81</c:v>
                </c:pt>
                <c:pt idx="138">
                  <c:v>68.92</c:v>
                </c:pt>
                <c:pt idx="139">
                  <c:v>65.459999999999994</c:v>
                </c:pt>
                <c:pt idx="140">
                  <c:v>69.13</c:v>
                </c:pt>
                <c:pt idx="141">
                  <c:v>68.040000000000006</c:v>
                </c:pt>
                <c:pt idx="142">
                  <c:v>64.400000000000006</c:v>
                </c:pt>
                <c:pt idx="143">
                  <c:v>79.08</c:v>
                </c:pt>
                <c:pt idx="144">
                  <c:v>82.21</c:v>
                </c:pt>
                <c:pt idx="145">
                  <c:v>82.41</c:v>
                </c:pt>
                <c:pt idx="146">
                  <c:v>73.98</c:v>
                </c:pt>
                <c:pt idx="147">
                  <c:v>72.7</c:v>
                </c:pt>
                <c:pt idx="148">
                  <c:v>73.89</c:v>
                </c:pt>
                <c:pt idx="149">
                  <c:v>72.14</c:v>
                </c:pt>
                <c:pt idx="150">
                  <c:v>72.819999999999993</c:v>
                </c:pt>
                <c:pt idx="151">
                  <c:v>78.33</c:v>
                </c:pt>
                <c:pt idx="152">
                  <c:v>74.81</c:v>
                </c:pt>
                <c:pt idx="153">
                  <c:v>73.67</c:v>
                </c:pt>
                <c:pt idx="154">
                  <c:v>69.61</c:v>
                </c:pt>
                <c:pt idx="155">
                  <c:v>72.5077</c:v>
                </c:pt>
                <c:pt idx="156">
                  <c:v>69.893699999999995</c:v>
                </c:pt>
                <c:pt idx="157">
                  <c:v>77.340800000000002</c:v>
                </c:pt>
                <c:pt idx="158">
                  <c:v>77.185900000000004</c:v>
                </c:pt>
                <c:pt idx="159">
                  <c:v>76.871200000000002</c:v>
                </c:pt>
                <c:pt idx="160">
                  <c:v>73.700100000000006</c:v>
                </c:pt>
                <c:pt idx="161">
                  <c:v>71.878600000000006</c:v>
                </c:pt>
                <c:pt idx="162">
                  <c:v>69.209900000000005</c:v>
                </c:pt>
                <c:pt idx="163">
                  <c:v>71.879000000000005</c:v>
                </c:pt>
                <c:pt idx="164">
                  <c:v>66.333699999999993</c:v>
                </c:pt>
                <c:pt idx="165">
                  <c:v>67.891999999999996</c:v>
                </c:pt>
                <c:pt idx="166">
                  <c:v>67.693799999999996</c:v>
                </c:pt>
                <c:pt idx="167">
                  <c:v>70.525400000000005</c:v>
                </c:pt>
                <c:pt idx="168">
                  <c:v>66.091200000000001</c:v>
                </c:pt>
                <c:pt idx="169">
                  <c:v>66.312799999999996</c:v>
                </c:pt>
                <c:pt idx="170">
                  <c:v>64.258200000000002</c:v>
                </c:pt>
                <c:pt idx="171">
                  <c:v>43.548999999999999</c:v>
                </c:pt>
                <c:pt idx="172">
                  <c:v>42.2301</c:v>
                </c:pt>
                <c:pt idx="173">
                  <c:v>41.295099999999998</c:v>
                </c:pt>
                <c:pt idx="174">
                  <c:v>42.626800000000003</c:v>
                </c:pt>
                <c:pt idx="175">
                  <c:v>42.6126</c:v>
                </c:pt>
                <c:pt idx="176">
                  <c:v>43.7819</c:v>
                </c:pt>
                <c:pt idx="177">
                  <c:v>38.4</c:v>
                </c:pt>
                <c:pt idx="178">
                  <c:v>40.197000000000003</c:v>
                </c:pt>
                <c:pt idx="179">
                  <c:v>37.738100000000003</c:v>
                </c:pt>
                <c:pt idx="180">
                  <c:v>42.488599999999998</c:v>
                </c:pt>
                <c:pt idx="181">
                  <c:v>43.247599999999998</c:v>
                </c:pt>
                <c:pt idx="182">
                  <c:v>44.2</c:v>
                </c:pt>
                <c:pt idx="183">
                  <c:v>45.617800000000003</c:v>
                </c:pt>
                <c:pt idx="184">
                  <c:v>46.844200000000001</c:v>
                </c:pt>
                <c:pt idx="185">
                  <c:v>40.8703</c:v>
                </c:pt>
                <c:pt idx="186">
                  <c:v>43.934100000000001</c:v>
                </c:pt>
                <c:pt idx="187">
                  <c:v>42.108600000000003</c:v>
                </c:pt>
                <c:pt idx="188">
                  <c:v>42.529400000000003</c:v>
                </c:pt>
                <c:pt idx="189">
                  <c:v>24.7944</c:v>
                </c:pt>
                <c:pt idx="190">
                  <c:v>22.349900000000002</c:v>
                </c:pt>
                <c:pt idx="191">
                  <c:v>15.009</c:v>
                </c:pt>
                <c:pt idx="192">
                  <c:v>17.0624</c:v>
                </c:pt>
                <c:pt idx="193">
                  <c:v>18.626999999999999</c:v>
                </c:pt>
                <c:pt idx="194">
                  <c:v>18.523</c:v>
                </c:pt>
                <c:pt idx="195">
                  <c:v>20.9999</c:v>
                </c:pt>
                <c:pt idx="196">
                  <c:v>24.019300000000001</c:v>
                </c:pt>
                <c:pt idx="197">
                  <c:v>23.3231</c:v>
                </c:pt>
                <c:pt idx="198">
                  <c:v>20.8123</c:v>
                </c:pt>
                <c:pt idx="199">
                  <c:v>17.484300000000001</c:v>
                </c:pt>
                <c:pt idx="200">
                  <c:v>18.940899999999999</c:v>
                </c:pt>
                <c:pt idx="201">
                  <c:v>17.6645</c:v>
                </c:pt>
                <c:pt idx="202">
                  <c:v>16.542300000000001</c:v>
                </c:pt>
                <c:pt idx="203">
                  <c:v>12.077199999999999</c:v>
                </c:pt>
                <c:pt idx="204">
                  <c:v>13.577299999999999</c:v>
                </c:pt>
                <c:pt idx="205">
                  <c:v>10.889699999999999</c:v>
                </c:pt>
                <c:pt idx="206">
                  <c:v>8.0299999999999994</c:v>
                </c:pt>
                <c:pt idx="207">
                  <c:v>8.7658000000000005</c:v>
                </c:pt>
                <c:pt idx="208">
                  <c:v>7.7295999999999996</c:v>
                </c:pt>
                <c:pt idx="209">
                  <c:v>6.0683999999999996</c:v>
                </c:pt>
                <c:pt idx="210">
                  <c:v>5.7438000000000002</c:v>
                </c:pt>
                <c:pt idx="211">
                  <c:v>5.6708999999999996</c:v>
                </c:pt>
                <c:pt idx="212">
                  <c:v>4.6161000000000003</c:v>
                </c:pt>
                <c:pt idx="213">
                  <c:v>3.9710000000000001</c:v>
                </c:pt>
                <c:pt idx="214">
                  <c:v>3.7235999999999998</c:v>
                </c:pt>
                <c:pt idx="215">
                  <c:v>3.5943999999999998</c:v>
                </c:pt>
                <c:pt idx="216">
                  <c:v>3.4264999999999999</c:v>
                </c:pt>
                <c:pt idx="217">
                  <c:v>3.81</c:v>
                </c:pt>
                <c:pt idx="218">
                  <c:v>3.7084000000000001</c:v>
                </c:pt>
                <c:pt idx="219">
                  <c:v>3.1833999999999998</c:v>
                </c:pt>
                <c:pt idx="220">
                  <c:v>3.2</c:v>
                </c:pt>
                <c:pt idx="221">
                  <c:v>4.2039999999999997</c:v>
                </c:pt>
                <c:pt idx="222">
                  <c:v>4.2088999999999999</c:v>
                </c:pt>
                <c:pt idx="223">
                  <c:v>4.3834999999999997</c:v>
                </c:pt>
                <c:pt idx="224">
                  <c:v>4.7112999999999996</c:v>
                </c:pt>
                <c:pt idx="225">
                  <c:v>4.1935000000000002</c:v>
                </c:pt>
                <c:pt idx="226">
                  <c:v>4.4991000000000003</c:v>
                </c:pt>
                <c:pt idx="227">
                  <c:v>4.1801000000000004</c:v>
                </c:pt>
                <c:pt idx="228">
                  <c:v>3.9863</c:v>
                </c:pt>
                <c:pt idx="229">
                  <c:v>3.7885</c:v>
                </c:pt>
                <c:pt idx="230">
                  <c:v>4.3182999999999998</c:v>
                </c:pt>
                <c:pt idx="231">
                  <c:v>3.9489999999999998</c:v>
                </c:pt>
                <c:pt idx="232">
                  <c:v>4.0129000000000001</c:v>
                </c:pt>
                <c:pt idx="233">
                  <c:v>3.8616999999999999</c:v>
                </c:pt>
                <c:pt idx="234">
                  <c:v>4.0354000000000001</c:v>
                </c:pt>
                <c:pt idx="235">
                  <c:v>4.3693999999999997</c:v>
                </c:pt>
                <c:pt idx="236">
                  <c:v>4.1989999999999998</c:v>
                </c:pt>
                <c:pt idx="237">
                  <c:v>4.3521000000000001</c:v>
                </c:pt>
                <c:pt idx="238">
                  <c:v>4.7911000000000001</c:v>
                </c:pt>
                <c:pt idx="239">
                  <c:v>4.7061999999999999</c:v>
                </c:pt>
                <c:pt idx="240">
                  <c:v>4.6935000000000002</c:v>
                </c:pt>
                <c:pt idx="241">
                  <c:v>4.9428999999999998</c:v>
                </c:pt>
                <c:pt idx="242">
                  <c:v>4.5338000000000003</c:v>
                </c:pt>
                <c:pt idx="243">
                  <c:v>4.7465999999999999</c:v>
                </c:pt>
                <c:pt idx="244">
                  <c:v>4.1925999999999997</c:v>
                </c:pt>
                <c:pt idx="245">
                  <c:v>4.8121</c:v>
                </c:pt>
                <c:pt idx="246">
                  <c:v>4.9150999999999998</c:v>
                </c:pt>
                <c:pt idx="247">
                  <c:v>4.1435000000000004</c:v>
                </c:pt>
                <c:pt idx="248">
                  <c:v>4.1867000000000001</c:v>
                </c:pt>
                <c:pt idx="249">
                  <c:v>3.3449</c:v>
                </c:pt>
                <c:pt idx="250">
                  <c:v>3.9245000000000001</c:v>
                </c:pt>
                <c:pt idx="251">
                  <c:v>4.3414000000000001</c:v>
                </c:pt>
                <c:pt idx="252">
                  <c:v>4.7050000000000001</c:v>
                </c:pt>
                <c:pt idx="253">
                  <c:v>3.9603999999999999</c:v>
                </c:pt>
                <c:pt idx="254">
                  <c:v>6.6040000000000001</c:v>
                </c:pt>
                <c:pt idx="255">
                  <c:v>6.5267999999999997</c:v>
                </c:pt>
                <c:pt idx="256">
                  <c:v>6.5008999999999997</c:v>
                </c:pt>
                <c:pt idx="257">
                  <c:v>6.5747</c:v>
                </c:pt>
                <c:pt idx="258">
                  <c:v>7.0720999999999998</c:v>
                </c:pt>
                <c:pt idx="259">
                  <c:v>6.9744999999999999</c:v>
                </c:pt>
                <c:pt idx="260">
                  <c:v>6.7961999999999998</c:v>
                </c:pt>
                <c:pt idx="261">
                  <c:v>8.09</c:v>
                </c:pt>
                <c:pt idx="262">
                  <c:v>7.1795999999999998</c:v>
                </c:pt>
                <c:pt idx="263">
                  <c:v>8.0754000000000001</c:v>
                </c:pt>
                <c:pt idx="264">
                  <c:v>8.2626000000000008</c:v>
                </c:pt>
                <c:pt idx="265">
                  <c:v>8.3895999999999997</c:v>
                </c:pt>
                <c:pt idx="266">
                  <c:v>7.8894000000000002</c:v>
                </c:pt>
                <c:pt idx="267">
                  <c:v>8.6501000000000001</c:v>
                </c:pt>
                <c:pt idx="268">
                  <c:v>8.0691000000000006</c:v>
                </c:pt>
                <c:pt idx="269">
                  <c:v>9.2199000000000009</c:v>
                </c:pt>
                <c:pt idx="270">
                  <c:v>9.3185000000000002</c:v>
                </c:pt>
                <c:pt idx="271">
                  <c:v>9.7482000000000006</c:v>
                </c:pt>
                <c:pt idx="272">
                  <c:v>10.216799999999999</c:v>
                </c:pt>
                <c:pt idx="273">
                  <c:v>10.1357</c:v>
                </c:pt>
                <c:pt idx="274">
                  <c:v>10.744899999999999</c:v>
                </c:pt>
                <c:pt idx="275">
                  <c:v>8.5870999999999995</c:v>
                </c:pt>
                <c:pt idx="276">
                  <c:v>7.5751999999999997</c:v>
                </c:pt>
                <c:pt idx="277">
                  <c:v>6.5739999999999998</c:v>
                </c:pt>
                <c:pt idx="278">
                  <c:v>6.5969600000000002</c:v>
                </c:pt>
                <c:pt idx="279">
                  <c:v>7.4805000000000001</c:v>
                </c:pt>
                <c:pt idx="280">
                  <c:v>8.0933299999999999</c:v>
                </c:pt>
                <c:pt idx="281">
                  <c:v>8.1651399999999992</c:v>
                </c:pt>
                <c:pt idx="282">
                  <c:v>8.6156500000000005</c:v>
                </c:pt>
                <c:pt idx="283">
                  <c:v>8.0437100000000008</c:v>
                </c:pt>
                <c:pt idx="284">
                  <c:v>6.6690899999999997</c:v>
                </c:pt>
                <c:pt idx="285">
                  <c:v>7.7280100000000003</c:v>
                </c:pt>
                <c:pt idx="286">
                  <c:v>7.4191599999999998</c:v>
                </c:pt>
                <c:pt idx="287">
                  <c:v>7.9978699999999998</c:v>
                </c:pt>
                <c:pt idx="288">
                  <c:v>7.71089</c:v>
                </c:pt>
                <c:pt idx="289">
                  <c:v>8.02501</c:v>
                </c:pt>
                <c:pt idx="290">
                  <c:v>7.6133199999999999</c:v>
                </c:pt>
                <c:pt idx="291">
                  <c:v>7.2177800000000003</c:v>
                </c:pt>
                <c:pt idx="292">
                  <c:v>7.5711500000000003</c:v>
                </c:pt>
                <c:pt idx="293">
                  <c:v>7.9572399999999996</c:v>
                </c:pt>
                <c:pt idx="294">
                  <c:v>7.7510899999999996</c:v>
                </c:pt>
                <c:pt idx="295">
                  <c:v>7.3338400000000004</c:v>
                </c:pt>
                <c:pt idx="296">
                  <c:v>7.7253299999999996</c:v>
                </c:pt>
                <c:pt idx="297">
                  <c:v>9.3092299999999994</c:v>
                </c:pt>
                <c:pt idx="298">
                  <c:v>5.8834400000000002</c:v>
                </c:pt>
                <c:pt idx="299">
                  <c:v>5.0761900000000004</c:v>
                </c:pt>
                <c:pt idx="300">
                  <c:v>5.6671500000000004</c:v>
                </c:pt>
                <c:pt idx="301">
                  <c:v>5.5521900000000004</c:v>
                </c:pt>
                <c:pt idx="302">
                  <c:v>5.6890400000000003</c:v>
                </c:pt>
                <c:pt idx="303">
                  <c:v>6.34999</c:v>
                </c:pt>
                <c:pt idx="304">
                  <c:v>5.64344</c:v>
                </c:pt>
                <c:pt idx="305">
                  <c:v>4.9051799999999997</c:v>
                </c:pt>
                <c:pt idx="306">
                  <c:v>4.3617999999999997</c:v>
                </c:pt>
                <c:pt idx="307">
                  <c:v>4.5217200000000002</c:v>
                </c:pt>
                <c:pt idx="308">
                  <c:v>3.55301</c:v>
                </c:pt>
                <c:pt idx="309">
                  <c:v>3.7644099999999998</c:v>
                </c:pt>
                <c:pt idx="310">
                  <c:v>3.8460200000000002</c:v>
                </c:pt>
                <c:pt idx="311">
                  <c:v>3.99004</c:v>
                </c:pt>
                <c:pt idx="312">
                  <c:v>4.6043399999999997</c:v>
                </c:pt>
                <c:pt idx="313">
                  <c:v>4.5289999999999999</c:v>
                </c:pt>
                <c:pt idx="314">
                  <c:v>5.0434400000000004</c:v>
                </c:pt>
                <c:pt idx="315">
                  <c:v>5.0382400000000001</c:v>
                </c:pt>
                <c:pt idx="316">
                  <c:v>4.95052</c:v>
                </c:pt>
                <c:pt idx="317">
                  <c:v>5.4923000000000002</c:v>
                </c:pt>
                <c:pt idx="318">
                  <c:v>5.59518</c:v>
                </c:pt>
                <c:pt idx="319">
                  <c:v>5.8392400000000002</c:v>
                </c:pt>
                <c:pt idx="320">
                  <c:v>5.1591699999999996</c:v>
                </c:pt>
                <c:pt idx="321">
                  <c:v>4.99831</c:v>
                </c:pt>
                <c:pt idx="322">
                  <c:v>4.6423199999999998</c:v>
                </c:pt>
                <c:pt idx="323">
                  <c:v>3.8477399999999999</c:v>
                </c:pt>
                <c:pt idx="324">
                  <c:v>3.42</c:v>
                </c:pt>
                <c:pt idx="325">
                  <c:v>3.67788</c:v>
                </c:pt>
                <c:pt idx="326">
                  <c:v>2.6850700000000001</c:v>
                </c:pt>
                <c:pt idx="327">
                  <c:v>2.5447099999999998</c:v>
                </c:pt>
                <c:pt idx="328">
                  <c:v>2.4061300000000001</c:v>
                </c:pt>
                <c:pt idx="329">
                  <c:v>2.8266399999999998</c:v>
                </c:pt>
                <c:pt idx="330">
                  <c:v>2.1999900000000001</c:v>
                </c:pt>
                <c:pt idx="331">
                  <c:v>1.68292</c:v>
                </c:pt>
                <c:pt idx="332">
                  <c:v>1.6579900000000001</c:v>
                </c:pt>
                <c:pt idx="333">
                  <c:v>1.3999900000000001</c:v>
                </c:pt>
                <c:pt idx="334">
                  <c:v>1.5871999999999999</c:v>
                </c:pt>
                <c:pt idx="335">
                  <c:v>1.49986</c:v>
                </c:pt>
                <c:pt idx="336">
                  <c:v>1.42326</c:v>
                </c:pt>
                <c:pt idx="337">
                  <c:v>1.3602000000000001</c:v>
                </c:pt>
                <c:pt idx="338">
                  <c:v>1.34897</c:v>
                </c:pt>
                <c:pt idx="339">
                  <c:v>1.6575899999999999</c:v>
                </c:pt>
                <c:pt idx="340">
                  <c:v>1.83545</c:v>
                </c:pt>
                <c:pt idx="341">
                  <c:v>1.7825200000000001</c:v>
                </c:pt>
                <c:pt idx="342">
                  <c:v>1.97759</c:v>
                </c:pt>
                <c:pt idx="343">
                  <c:v>2.1287400000000001</c:v>
                </c:pt>
                <c:pt idx="344">
                  <c:v>1.8891199999999999</c:v>
                </c:pt>
                <c:pt idx="345">
                  <c:v>1.96357</c:v>
                </c:pt>
                <c:pt idx="346">
                  <c:v>2.0462600000000002</c:v>
                </c:pt>
                <c:pt idx="347">
                  <c:v>2.1532499999999999</c:v>
                </c:pt>
                <c:pt idx="348">
                  <c:v>1.9678800000000001</c:v>
                </c:pt>
                <c:pt idx="349">
                  <c:v>1.80226</c:v>
                </c:pt>
                <c:pt idx="350">
                  <c:v>1.4992700000000001</c:v>
                </c:pt>
                <c:pt idx="351">
                  <c:v>1.37158</c:v>
                </c:pt>
                <c:pt idx="352">
                  <c:v>1.2829999999999999</c:v>
                </c:pt>
                <c:pt idx="353">
                  <c:v>1.36507</c:v>
                </c:pt>
                <c:pt idx="354">
                  <c:v>1.0010699999999999</c:v>
                </c:pt>
                <c:pt idx="355">
                  <c:v>0.95855000000000001</c:v>
                </c:pt>
                <c:pt idx="356">
                  <c:v>1.07883</c:v>
                </c:pt>
                <c:pt idx="357">
                  <c:v>0.95416000000000001</c:v>
                </c:pt>
                <c:pt idx="358">
                  <c:v>1.01535</c:v>
                </c:pt>
                <c:pt idx="359">
                  <c:v>0.95509999999999995</c:v>
                </c:pt>
                <c:pt idx="360">
                  <c:v>1.0068600000000001</c:v>
                </c:pt>
                <c:pt idx="361">
                  <c:v>0.80530999999999997</c:v>
                </c:pt>
                <c:pt idx="362">
                  <c:v>0.84069000000000005</c:v>
                </c:pt>
                <c:pt idx="363">
                  <c:v>0.81172</c:v>
                </c:pt>
                <c:pt idx="364">
                  <c:v>0.81555</c:v>
                </c:pt>
                <c:pt idx="365">
                  <c:v>0.87322999999999995</c:v>
                </c:pt>
                <c:pt idx="366">
                  <c:v>0.94674000000000003</c:v>
                </c:pt>
                <c:pt idx="367">
                  <c:v>0.83543000000000001</c:v>
                </c:pt>
                <c:pt idx="368">
                  <c:v>0.73509999999999998</c:v>
                </c:pt>
                <c:pt idx="369">
                  <c:v>0.69499999999999995</c:v>
                </c:pt>
                <c:pt idx="370">
                  <c:v>0.63707999999999998</c:v>
                </c:pt>
                <c:pt idx="371">
                  <c:v>0.64437999999999995</c:v>
                </c:pt>
                <c:pt idx="372">
                  <c:v>0.63368999999999998</c:v>
                </c:pt>
                <c:pt idx="373">
                  <c:v>0.629</c:v>
                </c:pt>
                <c:pt idx="374">
                  <c:v>0.68269000000000002</c:v>
                </c:pt>
                <c:pt idx="375">
                  <c:v>0.61395999999999995</c:v>
                </c:pt>
                <c:pt idx="376">
                  <c:v>0.58347000000000004</c:v>
                </c:pt>
                <c:pt idx="377">
                  <c:v>0.54322000000000004</c:v>
                </c:pt>
                <c:pt idx="378">
                  <c:v>0.53430999999999995</c:v>
                </c:pt>
                <c:pt idx="379">
                  <c:v>0.50222999999999995</c:v>
                </c:pt>
                <c:pt idx="380">
                  <c:v>0.44957000000000003</c:v>
                </c:pt>
                <c:pt idx="381">
                  <c:v>0.49958000000000002</c:v>
                </c:pt>
                <c:pt idx="382">
                  <c:v>0.57291999999999998</c:v>
                </c:pt>
                <c:pt idx="383">
                  <c:v>0.60143999999999997</c:v>
                </c:pt>
                <c:pt idx="384">
                  <c:v>0.59362999999999999</c:v>
                </c:pt>
                <c:pt idx="385">
                  <c:v>0.60402999999999996</c:v>
                </c:pt>
                <c:pt idx="386">
                  <c:v>0.60085999999999995</c:v>
                </c:pt>
                <c:pt idx="387">
                  <c:v>0.55605000000000004</c:v>
                </c:pt>
                <c:pt idx="388">
                  <c:v>0.56081999999999999</c:v>
                </c:pt>
                <c:pt idx="389">
                  <c:v>0.56523000000000001</c:v>
                </c:pt>
                <c:pt idx="390">
                  <c:v>0.54274999999999995</c:v>
                </c:pt>
                <c:pt idx="391">
                  <c:v>0.59309999999999996</c:v>
                </c:pt>
                <c:pt idx="392">
                  <c:v>0.53785000000000005</c:v>
                </c:pt>
                <c:pt idx="393">
                  <c:v>0.53596999999999995</c:v>
                </c:pt>
                <c:pt idx="394">
                  <c:v>0.56057000000000001</c:v>
                </c:pt>
                <c:pt idx="395">
                  <c:v>0.59916000000000003</c:v>
                </c:pt>
                <c:pt idx="396">
                  <c:v>0.59955000000000003</c:v>
                </c:pt>
                <c:pt idx="397">
                  <c:v>0.57926999999999995</c:v>
                </c:pt>
                <c:pt idx="398">
                  <c:v>0.59892000000000001</c:v>
                </c:pt>
                <c:pt idx="399">
                  <c:v>0.63998999999999995</c:v>
                </c:pt>
                <c:pt idx="400">
                  <c:v>0.54144999999999999</c:v>
                </c:pt>
                <c:pt idx="401">
                  <c:v>0.65483000000000002</c:v>
                </c:pt>
                <c:pt idx="402">
                  <c:v>0.63978000000000002</c:v>
                </c:pt>
                <c:pt idx="403">
                  <c:v>0.68945000000000001</c:v>
                </c:pt>
                <c:pt idx="404">
                  <c:v>0.75768000000000002</c:v>
                </c:pt>
                <c:pt idx="405">
                  <c:v>0.82440000000000002</c:v>
                </c:pt>
                <c:pt idx="406">
                  <c:v>0.71199999999999997</c:v>
                </c:pt>
                <c:pt idx="407">
                  <c:v>0.74243999999999999</c:v>
                </c:pt>
                <c:pt idx="408">
                  <c:v>0.72974000000000006</c:v>
                </c:pt>
                <c:pt idx="409">
                  <c:v>0.63805000000000001</c:v>
                </c:pt>
                <c:pt idx="410">
                  <c:v>0.6139</c:v>
                </c:pt>
                <c:pt idx="411">
                  <c:v>0.57816000000000001</c:v>
                </c:pt>
                <c:pt idx="412">
                  <c:v>0.55064999999999997</c:v>
                </c:pt>
                <c:pt idx="413">
                  <c:v>0.56381000000000003</c:v>
                </c:pt>
                <c:pt idx="414">
                  <c:v>0.62748999999999999</c:v>
                </c:pt>
                <c:pt idx="415">
                  <c:v>0.57111000000000001</c:v>
                </c:pt>
                <c:pt idx="416">
                  <c:v>0.56057000000000001</c:v>
                </c:pt>
                <c:pt idx="417">
                  <c:v>0.47941</c:v>
                </c:pt>
                <c:pt idx="418">
                  <c:v>0.47599999999999998</c:v>
                </c:pt>
                <c:pt idx="419">
                  <c:v>0.43118000000000001</c:v>
                </c:pt>
                <c:pt idx="420">
                  <c:v>0.51207999999999998</c:v>
                </c:pt>
                <c:pt idx="421">
                  <c:v>0.49817</c:v>
                </c:pt>
                <c:pt idx="422">
                  <c:v>0.41193999999999997</c:v>
                </c:pt>
                <c:pt idx="423">
                  <c:v>0.45669999999999999</c:v>
                </c:pt>
                <c:pt idx="424">
                  <c:v>0.47698000000000002</c:v>
                </c:pt>
                <c:pt idx="425">
                  <c:v>0.42823</c:v>
                </c:pt>
                <c:pt idx="426">
                  <c:v>0.37726999999999999</c:v>
                </c:pt>
                <c:pt idx="427">
                  <c:v>0.37014000000000002</c:v>
                </c:pt>
                <c:pt idx="428">
                  <c:v>0.41597000000000001</c:v>
                </c:pt>
                <c:pt idx="429">
                  <c:v>0.47771999999999998</c:v>
                </c:pt>
                <c:pt idx="430">
                  <c:v>0.51082000000000005</c:v>
                </c:pt>
                <c:pt idx="431">
                  <c:v>0.42719000000000001</c:v>
                </c:pt>
                <c:pt idx="432">
                  <c:v>0.46800000000000003</c:v>
                </c:pt>
                <c:pt idx="433">
                  <c:v>0.49887999999999999</c:v>
                </c:pt>
                <c:pt idx="434">
                  <c:v>0.43820999999999999</c:v>
                </c:pt>
                <c:pt idx="435">
                  <c:v>0.51614000000000004</c:v>
                </c:pt>
                <c:pt idx="436">
                  <c:v>0.50246000000000002</c:v>
                </c:pt>
                <c:pt idx="437">
                  <c:v>0.55918000000000001</c:v>
                </c:pt>
                <c:pt idx="438">
                  <c:v>0.59067999999999998</c:v>
                </c:pt>
                <c:pt idx="439">
                  <c:v>0.56557000000000002</c:v>
                </c:pt>
                <c:pt idx="440">
                  <c:v>0.39400000000000002</c:v>
                </c:pt>
                <c:pt idx="441">
                  <c:v>0.31330999999999998</c:v>
                </c:pt>
                <c:pt idx="442">
                  <c:v>0.35399999999999998</c:v>
                </c:pt>
                <c:pt idx="443">
                  <c:v>0.26967999999999998</c:v>
                </c:pt>
                <c:pt idx="444">
                  <c:v>0.27977999999999997</c:v>
                </c:pt>
                <c:pt idx="445">
                  <c:v>0.19846</c:v>
                </c:pt>
                <c:pt idx="446">
                  <c:v>0.14076</c:v>
                </c:pt>
                <c:pt idx="447">
                  <c:v>0.14399999999999999</c:v>
                </c:pt>
                <c:pt idx="448">
                  <c:v>0.13450000000000001</c:v>
                </c:pt>
                <c:pt idx="449">
                  <c:v>0.14582999999999999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96-4DD5-9BD4-DC1435411C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-3.5089927276610658E-2</c:v>
                </c:pt>
                <c:pt idx="1">
                  <c:v>-3.4324079204644135E-2</c:v>
                </c:pt>
                <c:pt idx="2">
                  <c:v>-2.7181359321928084E-2</c:v>
                </c:pt>
                <c:pt idx="3">
                  <c:v>-2.815073916288751E-2</c:v>
                </c:pt>
                <c:pt idx="4">
                  <c:v>-3.267734568680266E-2</c:v>
                </c:pt>
                <c:pt idx="5">
                  <c:v>-3.9648760200316172E-2</c:v>
                </c:pt>
                <c:pt idx="6">
                  <c:v>-3.0745292467824585E-2</c:v>
                </c:pt>
                <c:pt idx="7">
                  <c:v>-2.2423463071372975E-2</c:v>
                </c:pt>
                <c:pt idx="8">
                  <c:v>-1.7893402091150125E-2</c:v>
                </c:pt>
                <c:pt idx="9">
                  <c:v>-1.6593870761122585E-2</c:v>
                </c:pt>
                <c:pt idx="10">
                  <c:v>-1.4856383658665108E-2</c:v>
                </c:pt>
                <c:pt idx="11">
                  <c:v>-8.2745444693555128E-3</c:v>
                </c:pt>
                <c:pt idx="12">
                  <c:v>-1.3061863204649653E-2</c:v>
                </c:pt>
                <c:pt idx="13">
                  <c:v>-1.4558970205602033E-2</c:v>
                </c:pt>
                <c:pt idx="14">
                  <c:v>-1.5139645814352036E-2</c:v>
                </c:pt>
                <c:pt idx="15">
                  <c:v>-1.038542504881723E-2</c:v>
                </c:pt>
                <c:pt idx="16">
                  <c:v>-1.4513870605175979E-2</c:v>
                </c:pt>
                <c:pt idx="17">
                  <c:v>-1.9295799130679345E-2</c:v>
                </c:pt>
                <c:pt idx="18">
                  <c:v>-1.7990032332937802E-2</c:v>
                </c:pt>
                <c:pt idx="19">
                  <c:v>-1.8764703540630111E-2</c:v>
                </c:pt>
                <c:pt idx="20">
                  <c:v>-1.6134517048724765E-2</c:v>
                </c:pt>
                <c:pt idx="21">
                  <c:v>-1.3475530664715768E-2</c:v>
                </c:pt>
                <c:pt idx="22">
                  <c:v>-1.6172137489715774E-2</c:v>
                </c:pt>
                <c:pt idx="23">
                  <c:v>-9.4616383350140561E-3</c:v>
                </c:pt>
                <c:pt idx="24">
                  <c:v>-5.9808680239029537E-3</c:v>
                </c:pt>
                <c:pt idx="25">
                  <c:v>-4.8838008259935416E-3</c:v>
                </c:pt>
                <c:pt idx="26">
                  <c:v>-7.6964580934092662E-3</c:v>
                </c:pt>
                <c:pt idx="27">
                  <c:v>-9.3433852716701179E-3</c:v>
                </c:pt>
                <c:pt idx="28">
                  <c:v>-7.6569675820049119E-3</c:v>
                </c:pt>
                <c:pt idx="29">
                  <c:v>-8.7597833597145274E-3</c:v>
                </c:pt>
                <c:pt idx="30">
                  <c:v>-5.1210297538321712E-3</c:v>
                </c:pt>
                <c:pt idx="31">
                  <c:v>-2.8205543663957857E-4</c:v>
                </c:pt>
                <c:pt idx="32">
                  <c:v>2.951502419703704E-3</c:v>
                </c:pt>
                <c:pt idx="33">
                  <c:v>2.6989277530370366E-3</c:v>
                </c:pt>
                <c:pt idx="34">
                  <c:v>-4.9919477823985277E-4</c:v>
                </c:pt>
                <c:pt idx="35">
                  <c:v>3.1714596384546353E-3</c:v>
                </c:pt>
                <c:pt idx="36">
                  <c:v>-1.8233143498494536E-3</c:v>
                </c:pt>
                <c:pt idx="37">
                  <c:v>-4.4860545732537133E-3</c:v>
                </c:pt>
                <c:pt idx="38">
                  <c:v>-1.0009223694719656E-2</c:v>
                </c:pt>
                <c:pt idx="39">
                  <c:v>-9.9877568033954547E-3</c:v>
                </c:pt>
                <c:pt idx="40">
                  <c:v>-8.0568596715113929E-3</c:v>
                </c:pt>
                <c:pt idx="41">
                  <c:v>-9.741266858608176E-3</c:v>
                </c:pt>
                <c:pt idx="42">
                  <c:v>-8.5956309816850977E-3</c:v>
                </c:pt>
                <c:pt idx="43">
                  <c:v>-5.4647254368730726E-3</c:v>
                </c:pt>
                <c:pt idx="44">
                  <c:v>-1.00362509080625E-2</c:v>
                </c:pt>
                <c:pt idx="45">
                  <c:v>-1.4256467583988406E-2</c:v>
                </c:pt>
                <c:pt idx="46">
                  <c:v>-9.3128804500852719E-3</c:v>
                </c:pt>
                <c:pt idx="47">
                  <c:v>-1.0428515609825535E-2</c:v>
                </c:pt>
                <c:pt idx="48">
                  <c:v>-1.074408949596415E-2</c:v>
                </c:pt>
                <c:pt idx="49">
                  <c:v>-5.5157234892003705E-3</c:v>
                </c:pt>
                <c:pt idx="50">
                  <c:v>5.367956549060496E-3</c:v>
                </c:pt>
                <c:pt idx="51">
                  <c:v>5.6238085245874326E-3</c:v>
                </c:pt>
                <c:pt idx="52">
                  <c:v>8.7992256826519462E-3</c:v>
                </c:pt>
                <c:pt idx="53">
                  <c:v>1.9367945664083936E-4</c:v>
                </c:pt>
                <c:pt idx="54">
                  <c:v>5.7570355168889125E-3</c:v>
                </c:pt>
                <c:pt idx="55">
                  <c:v>-8.9964255403115762E-4</c:v>
                </c:pt>
                <c:pt idx="56">
                  <c:v>9.6456275842158601E-3</c:v>
                </c:pt>
                <c:pt idx="57">
                  <c:v>7.3177176537810758E-3</c:v>
                </c:pt>
                <c:pt idx="58">
                  <c:v>1.2518527056319138E-2</c:v>
                </c:pt>
                <c:pt idx="59">
                  <c:v>1.0317059732615453E-2</c:v>
                </c:pt>
                <c:pt idx="60">
                  <c:v>1.2078375785247003E-2</c:v>
                </c:pt>
                <c:pt idx="61">
                  <c:v>8.01617938728434E-3</c:v>
                </c:pt>
                <c:pt idx="62">
                  <c:v>7.2907904101576918E-3</c:v>
                </c:pt>
                <c:pt idx="63">
                  <c:v>1.3145635197516608E-2</c:v>
                </c:pt>
                <c:pt idx="64">
                  <c:v>1.7317780641487365E-2</c:v>
                </c:pt>
                <c:pt idx="65">
                  <c:v>1.8304851990986366E-2</c:v>
                </c:pt>
                <c:pt idx="66">
                  <c:v>1.3558687759822835E-2</c:v>
                </c:pt>
                <c:pt idx="67">
                  <c:v>1.5698760745913587E-2</c:v>
                </c:pt>
                <c:pt idx="68">
                  <c:v>2.3236874610981586E-2</c:v>
                </c:pt>
                <c:pt idx="69">
                  <c:v>1.6104741172100638E-2</c:v>
                </c:pt>
                <c:pt idx="70">
                  <c:v>1.0586508798105985E-2</c:v>
                </c:pt>
                <c:pt idx="71">
                  <c:v>1.7159583614432518E-2</c:v>
                </c:pt>
                <c:pt idx="72">
                  <c:v>1.6687888614645728E-2</c:v>
                </c:pt>
                <c:pt idx="73">
                  <c:v>1.5374981800114174E-2</c:v>
                </c:pt>
                <c:pt idx="74">
                  <c:v>1.8144736922766115E-2</c:v>
                </c:pt>
                <c:pt idx="75">
                  <c:v>1.9246899371647912E-2</c:v>
                </c:pt>
                <c:pt idx="76">
                  <c:v>2.2917508278901787E-2</c:v>
                </c:pt>
                <c:pt idx="77">
                  <c:v>2.3143638576701816E-2</c:v>
                </c:pt>
                <c:pt idx="78">
                  <c:v>2.0463470727153193E-2</c:v>
                </c:pt>
                <c:pt idx="79">
                  <c:v>2.2215619394830962E-2</c:v>
                </c:pt>
                <c:pt idx="80">
                  <c:v>2.2525682662528534E-2</c:v>
                </c:pt>
                <c:pt idx="81">
                  <c:v>2.8854379295439977E-2</c:v>
                </c:pt>
                <c:pt idx="82">
                  <c:v>2.6054888540552774E-2</c:v>
                </c:pt>
                <c:pt idx="83">
                  <c:v>2.5472438977790335E-2</c:v>
                </c:pt>
                <c:pt idx="84">
                  <c:v>1.5488310124748212E-2</c:v>
                </c:pt>
                <c:pt idx="85">
                  <c:v>3.5423375248748244E-2</c:v>
                </c:pt>
                <c:pt idx="86">
                  <c:v>3.0109557446779359E-2</c:v>
                </c:pt>
                <c:pt idx="87">
                  <c:v>3.2647967066203834E-2</c:v>
                </c:pt>
                <c:pt idx="88">
                  <c:v>2.8840472113044011E-2</c:v>
                </c:pt>
                <c:pt idx="89">
                  <c:v>3.4891788012270525E-2</c:v>
                </c:pt>
                <c:pt idx="90">
                  <c:v>3.9712561061836238E-2</c:v>
                </c:pt>
                <c:pt idx="91">
                  <c:v>4.6138027661501463E-2</c:v>
                </c:pt>
                <c:pt idx="92">
                  <c:v>4.3382487371646378E-2</c:v>
                </c:pt>
                <c:pt idx="93">
                  <c:v>5.336942572804218E-2</c:v>
                </c:pt>
                <c:pt idx="94">
                  <c:v>6.166339910080048E-2</c:v>
                </c:pt>
                <c:pt idx="95">
                  <c:v>6.190365643724912E-2</c:v>
                </c:pt>
                <c:pt idx="96">
                  <c:v>6.4051101852131628E-2</c:v>
                </c:pt>
                <c:pt idx="97">
                  <c:v>6.9895889404823941E-2</c:v>
                </c:pt>
                <c:pt idx="98">
                  <c:v>5.8877500228338188E-2</c:v>
                </c:pt>
                <c:pt idx="99">
                  <c:v>6.7945565787509807E-2</c:v>
                </c:pt>
                <c:pt idx="100">
                  <c:v>6.3649194371071457E-2</c:v>
                </c:pt>
                <c:pt idx="101">
                  <c:v>6.3272109195998127E-2</c:v>
                </c:pt>
                <c:pt idx="102">
                  <c:v>6.2614972220760026E-2</c:v>
                </c:pt>
                <c:pt idx="103">
                  <c:v>6.4844257587343551E-2</c:v>
                </c:pt>
                <c:pt idx="104">
                  <c:v>6.7024251806319823E-2</c:v>
                </c:pt>
                <c:pt idx="105">
                  <c:v>9.2840911308108051E-2</c:v>
                </c:pt>
                <c:pt idx="106">
                  <c:v>8.2798086512849797E-2</c:v>
                </c:pt>
                <c:pt idx="107">
                  <c:v>8.1178695224828276E-2</c:v>
                </c:pt>
                <c:pt idx="108">
                  <c:v>7.4469429746908178E-2</c:v>
                </c:pt>
                <c:pt idx="109">
                  <c:v>7.5629888765651937E-2</c:v>
                </c:pt>
                <c:pt idx="110">
                  <c:v>8.488765406418769E-2</c:v>
                </c:pt>
                <c:pt idx="111">
                  <c:v>8.9153920359215946E-2</c:v>
                </c:pt>
                <c:pt idx="112">
                  <c:v>9.9895232051059157E-2</c:v>
                </c:pt>
                <c:pt idx="113">
                  <c:v>0.10563607483105909</c:v>
                </c:pt>
                <c:pt idx="114">
                  <c:v>0.12583460233243715</c:v>
                </c:pt>
                <c:pt idx="115">
                  <c:v>0.16258816298473175</c:v>
                </c:pt>
                <c:pt idx="116">
                  <c:v>0.21008278751144924</c:v>
                </c:pt>
                <c:pt idx="117">
                  <c:v>0.16878757975885705</c:v>
                </c:pt>
                <c:pt idx="118">
                  <c:v>0.21572828392643945</c:v>
                </c:pt>
                <c:pt idx="119">
                  <c:v>0.15773742663627927</c:v>
                </c:pt>
                <c:pt idx="120">
                  <c:v>0.15320510278529886</c:v>
                </c:pt>
                <c:pt idx="121">
                  <c:v>0.1696293037598009</c:v>
                </c:pt>
                <c:pt idx="122">
                  <c:v>0.16422197865441171</c:v>
                </c:pt>
                <c:pt idx="123">
                  <c:v>0.16966900865504328</c:v>
                </c:pt>
                <c:pt idx="124">
                  <c:v>0.16345839891875519</c:v>
                </c:pt>
                <c:pt idx="125">
                  <c:v>0.16945417555577652</c:v>
                </c:pt>
                <c:pt idx="126">
                  <c:v>0.16175126912711568</c:v>
                </c:pt>
                <c:pt idx="127">
                  <c:v>0.14876827932711573</c:v>
                </c:pt>
                <c:pt idx="128">
                  <c:v>0.12254340076826797</c:v>
                </c:pt>
                <c:pt idx="129">
                  <c:v>0.13090285681804176</c:v>
                </c:pt>
                <c:pt idx="130">
                  <c:v>0.13553883627922897</c:v>
                </c:pt>
                <c:pt idx="131">
                  <c:v>0.1393380822310703</c:v>
                </c:pt>
                <c:pt idx="132">
                  <c:v>0.13966726995879311</c:v>
                </c:pt>
                <c:pt idx="133">
                  <c:v>0.14117481066089832</c:v>
                </c:pt>
                <c:pt idx="134">
                  <c:v>0.1460448671629391</c:v>
                </c:pt>
                <c:pt idx="135">
                  <c:v>0.14174115538220516</c:v>
                </c:pt>
                <c:pt idx="136">
                  <c:v>0.1362588893335171</c:v>
                </c:pt>
                <c:pt idx="137">
                  <c:v>0.14057402094108257</c:v>
                </c:pt>
                <c:pt idx="138">
                  <c:v>0.13427979986805355</c:v>
                </c:pt>
                <c:pt idx="139">
                  <c:v>0.13237244735408707</c:v>
                </c:pt>
                <c:pt idx="140">
                  <c:v>0.13836718211055901</c:v>
                </c:pt>
                <c:pt idx="141">
                  <c:v>0.14141769326675294</c:v>
                </c:pt>
                <c:pt idx="142">
                  <c:v>0.1221533911498411</c:v>
                </c:pt>
                <c:pt idx="143">
                  <c:v>0.13700121997209994</c:v>
                </c:pt>
                <c:pt idx="144">
                  <c:v>0.13865284665341482</c:v>
                </c:pt>
                <c:pt idx="145">
                  <c:v>0.15722804796426756</c:v>
                </c:pt>
                <c:pt idx="146">
                  <c:v>0.16456558684737632</c:v>
                </c:pt>
                <c:pt idx="147">
                  <c:v>0.16449980753749485</c:v>
                </c:pt>
                <c:pt idx="148">
                  <c:v>0.16768570000588193</c:v>
                </c:pt>
                <c:pt idx="149">
                  <c:v>0.15558606092945604</c:v>
                </c:pt>
                <c:pt idx="150">
                  <c:v>0.16723797799455237</c:v>
                </c:pt>
                <c:pt idx="151">
                  <c:v>0.18370826001113535</c:v>
                </c:pt>
                <c:pt idx="152">
                  <c:v>0.16615623619988051</c:v>
                </c:pt>
                <c:pt idx="153">
                  <c:v>0.17660720841455443</c:v>
                </c:pt>
                <c:pt idx="154">
                  <c:v>0.14994867634137501</c:v>
                </c:pt>
                <c:pt idx="155">
                  <c:v>0.15755855775611136</c:v>
                </c:pt>
                <c:pt idx="156">
                  <c:v>0.15016809445031404</c:v>
                </c:pt>
                <c:pt idx="157">
                  <c:v>0.16654840963181752</c:v>
                </c:pt>
                <c:pt idx="158">
                  <c:v>0.16286243734339456</c:v>
                </c:pt>
                <c:pt idx="159">
                  <c:v>0.1613693696666556</c:v>
                </c:pt>
                <c:pt idx="160">
                  <c:v>0.1805215979746817</c:v>
                </c:pt>
                <c:pt idx="161">
                  <c:v>0.16332500435989067</c:v>
                </c:pt>
                <c:pt idx="162">
                  <c:v>0.14155459556166908</c:v>
                </c:pt>
                <c:pt idx="163">
                  <c:v>0.15683527068582598</c:v>
                </c:pt>
                <c:pt idx="164">
                  <c:v>0.182539559763605</c:v>
                </c:pt>
                <c:pt idx="165">
                  <c:v>0.209412497473003</c:v>
                </c:pt>
                <c:pt idx="166">
                  <c:v>0.1814731720563027</c:v>
                </c:pt>
                <c:pt idx="167">
                  <c:v>0.1852281057497431</c:v>
                </c:pt>
                <c:pt idx="168">
                  <c:v>0.17474114144045366</c:v>
                </c:pt>
                <c:pt idx="169">
                  <c:v>0.23198718168892854</c:v>
                </c:pt>
                <c:pt idx="170">
                  <c:v>0.33545076544151947</c:v>
                </c:pt>
                <c:pt idx="171">
                  <c:v>0.18582784417245382</c:v>
                </c:pt>
                <c:pt idx="172">
                  <c:v>0.17142787451254721</c:v>
                </c:pt>
                <c:pt idx="173">
                  <c:v>0.20435043310872622</c:v>
                </c:pt>
                <c:pt idx="174">
                  <c:v>0.22012021794298367</c:v>
                </c:pt>
                <c:pt idx="175">
                  <c:v>0.22322328696706967</c:v>
                </c:pt>
                <c:pt idx="176">
                  <c:v>0.23674313636045261</c:v>
                </c:pt>
                <c:pt idx="177">
                  <c:v>0.17882148177304472</c:v>
                </c:pt>
                <c:pt idx="178">
                  <c:v>0.19536703966931798</c:v>
                </c:pt>
                <c:pt idx="179">
                  <c:v>0.19875726742065838</c:v>
                </c:pt>
                <c:pt idx="180">
                  <c:v>0.25614192386225137</c:v>
                </c:pt>
                <c:pt idx="181">
                  <c:v>0.30984506020019509</c:v>
                </c:pt>
                <c:pt idx="182">
                  <c:v>0.31000960071012135</c:v>
                </c:pt>
                <c:pt idx="183">
                  <c:v>0.31031653621369726</c:v>
                </c:pt>
                <c:pt idx="184">
                  <c:v>0.40488259654268222</c:v>
                </c:pt>
                <c:pt idx="185">
                  <c:v>0.32017961730577588</c:v>
                </c:pt>
                <c:pt idx="186">
                  <c:v>0.29529401642751801</c:v>
                </c:pt>
                <c:pt idx="187">
                  <c:v>0.12230467747168745</c:v>
                </c:pt>
                <c:pt idx="188">
                  <c:v>0.25696993595870193</c:v>
                </c:pt>
                <c:pt idx="189">
                  <c:v>2.7133277431775668E-2</c:v>
                </c:pt>
                <c:pt idx="190">
                  <c:v>-8.9108339073249693E-2</c:v>
                </c:pt>
                <c:pt idx="191">
                  <c:v>-0.30887385371369946</c:v>
                </c:pt>
                <c:pt idx="192">
                  <c:v>-0.24760624128992101</c:v>
                </c:pt>
                <c:pt idx="193">
                  <c:v>-0.22590756710911034</c:v>
                </c:pt>
                <c:pt idx="194">
                  <c:v>-0.18172704994260239</c:v>
                </c:pt>
                <c:pt idx="195">
                  <c:v>-0.10570742497696463</c:v>
                </c:pt>
                <c:pt idx="196">
                  <c:v>0.10850984024244417</c:v>
                </c:pt>
                <c:pt idx="197">
                  <c:v>0.2730008278314156</c:v>
                </c:pt>
                <c:pt idx="198">
                  <c:v>0.14612421553136623</c:v>
                </c:pt>
                <c:pt idx="199">
                  <c:v>5.8562767037846374E-2</c:v>
                </c:pt>
                <c:pt idx="200">
                  <c:v>0.11442824217220146</c:v>
                </c:pt>
                <c:pt idx="201">
                  <c:v>-3.5770709852007303E-2</c:v>
                </c:pt>
                <c:pt idx="202">
                  <c:v>1.0570456084619054E-2</c:v>
                </c:pt>
                <c:pt idx="203">
                  <c:v>-0.26779886004794839</c:v>
                </c:pt>
                <c:pt idx="204">
                  <c:v>-6.9104101653745004E-2</c:v>
                </c:pt>
                <c:pt idx="205">
                  <c:v>-7.0547978578245671E-2</c:v>
                </c:pt>
                <c:pt idx="206">
                  <c:v>-0.16544312368541997</c:v>
                </c:pt>
                <c:pt idx="207">
                  <c:v>-0.13328337025858816</c:v>
                </c:pt>
                <c:pt idx="208">
                  <c:v>-0.14038602586867019</c:v>
                </c:pt>
                <c:pt idx="209">
                  <c:v>-0.19783259832448083</c:v>
                </c:pt>
                <c:pt idx="210">
                  <c:v>-0.19838145452546416</c:v>
                </c:pt>
                <c:pt idx="211">
                  <c:v>-0.21134450583072928</c:v>
                </c:pt>
                <c:pt idx="212">
                  <c:v>-0.26295016005506106</c:v>
                </c:pt>
                <c:pt idx="213">
                  <c:v>-0.27422183246618365</c:v>
                </c:pt>
                <c:pt idx="214">
                  <c:v>-0.28106725500360785</c:v>
                </c:pt>
                <c:pt idx="215">
                  <c:v>-0.29117579502724616</c:v>
                </c:pt>
                <c:pt idx="216">
                  <c:v>-0.30240324206451291</c:v>
                </c:pt>
                <c:pt idx="217">
                  <c:v>-0.29058739017830421</c:v>
                </c:pt>
                <c:pt idx="218">
                  <c:v>-0.30291782037489506</c:v>
                </c:pt>
                <c:pt idx="219">
                  <c:v>-0.32259054663714154</c:v>
                </c:pt>
                <c:pt idx="220">
                  <c:v>-0.31425652035376411</c:v>
                </c:pt>
                <c:pt idx="221">
                  <c:v>-0.29196861649798794</c:v>
                </c:pt>
                <c:pt idx="222">
                  <c:v>-0.30369202539456552</c:v>
                </c:pt>
                <c:pt idx="223">
                  <c:v>-0.29430692170471129</c:v>
                </c:pt>
                <c:pt idx="224">
                  <c:v>-0.27275833919237147</c:v>
                </c:pt>
                <c:pt idx="225">
                  <c:v>-0.2879537556152042</c:v>
                </c:pt>
                <c:pt idx="226">
                  <c:v>-0.26057123699259971</c:v>
                </c:pt>
                <c:pt idx="227">
                  <c:v>-0.27824891437807697</c:v>
                </c:pt>
                <c:pt idx="228">
                  <c:v>-0.29107910784409174</c:v>
                </c:pt>
                <c:pt idx="229">
                  <c:v>-0.30067511396842145</c:v>
                </c:pt>
                <c:pt idx="230">
                  <c:v>-0.27903146546876439</c:v>
                </c:pt>
                <c:pt idx="231">
                  <c:v>-0.24165060533639188</c:v>
                </c:pt>
                <c:pt idx="232">
                  <c:v>-0.23822954645773756</c:v>
                </c:pt>
                <c:pt idx="233">
                  <c:v>-0.25003014032592591</c:v>
                </c:pt>
                <c:pt idx="234">
                  <c:v>-0.2547474000068321</c:v>
                </c:pt>
                <c:pt idx="235">
                  <c:v>-0.24341695586074813</c:v>
                </c:pt>
                <c:pt idx="236">
                  <c:v>-0.24751813376536105</c:v>
                </c:pt>
                <c:pt idx="237">
                  <c:v>-0.24360600512222333</c:v>
                </c:pt>
                <c:pt idx="238">
                  <c:v>-0.23678707959306411</c:v>
                </c:pt>
                <c:pt idx="239">
                  <c:v>-0.24595071079716871</c:v>
                </c:pt>
                <c:pt idx="240">
                  <c:v>-0.25508208829299323</c:v>
                </c:pt>
                <c:pt idx="241">
                  <c:v>-0.24606894032955398</c:v>
                </c:pt>
                <c:pt idx="242">
                  <c:v>-0.25557319388388311</c:v>
                </c:pt>
                <c:pt idx="243">
                  <c:v>-0.25979992075725589</c:v>
                </c:pt>
                <c:pt idx="244">
                  <c:v>-0.2153264816893686</c:v>
                </c:pt>
                <c:pt idx="245">
                  <c:v>-0.19757816567964734</c:v>
                </c:pt>
                <c:pt idx="246">
                  <c:v>-0.21271303973713124</c:v>
                </c:pt>
                <c:pt idx="247">
                  <c:v>-0.24412785063713122</c:v>
                </c:pt>
                <c:pt idx="248">
                  <c:v>-0.25061665195875127</c:v>
                </c:pt>
                <c:pt idx="249">
                  <c:v>-0.2786505821921475</c:v>
                </c:pt>
                <c:pt idx="250">
                  <c:v>-0.27604606590005942</c:v>
                </c:pt>
                <c:pt idx="251">
                  <c:v>-0.27030061334699512</c:v>
                </c:pt>
                <c:pt idx="252">
                  <c:v>-0.26207178838379686</c:v>
                </c:pt>
                <c:pt idx="253">
                  <c:v>-0.27876694792161005</c:v>
                </c:pt>
                <c:pt idx="254">
                  <c:v>-0.27327541413682177</c:v>
                </c:pt>
                <c:pt idx="255">
                  <c:v>-0.26472534850728979</c:v>
                </c:pt>
                <c:pt idx="256">
                  <c:v>-0.26997145378228077</c:v>
                </c:pt>
                <c:pt idx="257">
                  <c:v>-0.26433427812889271</c:v>
                </c:pt>
                <c:pt idx="258">
                  <c:v>-0.2580289767025018</c:v>
                </c:pt>
                <c:pt idx="259">
                  <c:v>-0.25394979760096331</c:v>
                </c:pt>
                <c:pt idx="260">
                  <c:v>-0.25307469956485906</c:v>
                </c:pt>
                <c:pt idx="261">
                  <c:v>-0.21788962163898806</c:v>
                </c:pt>
                <c:pt idx="262">
                  <c:v>-0.22767310993268317</c:v>
                </c:pt>
                <c:pt idx="263">
                  <c:v>-0.21500787378157801</c:v>
                </c:pt>
                <c:pt idx="264">
                  <c:v>-0.21630446749163598</c:v>
                </c:pt>
                <c:pt idx="265">
                  <c:v>-0.1937131132031413</c:v>
                </c:pt>
                <c:pt idx="266">
                  <c:v>-0.20051607403046362</c:v>
                </c:pt>
                <c:pt idx="267">
                  <c:v>-0.1895617885409592</c:v>
                </c:pt>
                <c:pt idx="268">
                  <c:v>-0.20391202308051229</c:v>
                </c:pt>
                <c:pt idx="269">
                  <c:v>-0.16533505862352915</c:v>
                </c:pt>
                <c:pt idx="270">
                  <c:v>-0.15850346950012267</c:v>
                </c:pt>
                <c:pt idx="271">
                  <c:v>-0.15835062435104724</c:v>
                </c:pt>
                <c:pt idx="272">
                  <c:v>-0.1537397154094414</c:v>
                </c:pt>
                <c:pt idx="273">
                  <c:v>-0.16826290780937153</c:v>
                </c:pt>
                <c:pt idx="274">
                  <c:v>-0.1661826057387458</c:v>
                </c:pt>
                <c:pt idx="275">
                  <c:v>-0.23315341544042992</c:v>
                </c:pt>
                <c:pt idx="276">
                  <c:v>-0.24792271202313138</c:v>
                </c:pt>
                <c:pt idx="277">
                  <c:v>-0.26968560804514424</c:v>
                </c:pt>
                <c:pt idx="278">
                  <c:v>-0.2679595565553497</c:v>
                </c:pt>
                <c:pt idx="279">
                  <c:v>-0.25101799214693821</c:v>
                </c:pt>
                <c:pt idx="280">
                  <c:v>-0.26706412515732153</c:v>
                </c:pt>
                <c:pt idx="281">
                  <c:v>-0.18516718784687525</c:v>
                </c:pt>
                <c:pt idx="282">
                  <c:v>-0.13385340349027899</c:v>
                </c:pt>
                <c:pt idx="283">
                  <c:v>1.0246173857091844E-2</c:v>
                </c:pt>
                <c:pt idx="284">
                  <c:v>-1.0652628798136395E-3</c:v>
                </c:pt>
                <c:pt idx="285">
                  <c:v>2.7435678693687137E-4</c:v>
                </c:pt>
                <c:pt idx="286">
                  <c:v>-1.3689094308847888E-3</c:v>
                </c:pt>
                <c:pt idx="287">
                  <c:v>7.8542075357797558E-3</c:v>
                </c:pt>
                <c:pt idx="288">
                  <c:v>-2.9185415879539214E-3</c:v>
                </c:pt>
                <c:pt idx="289">
                  <c:v>-1.0301159608330899E-2</c:v>
                </c:pt>
                <c:pt idx="290">
                  <c:v>8.4960216839999423E-4</c:v>
                </c:pt>
                <c:pt idx="291">
                  <c:v>3.5050551286045672E-2</c:v>
                </c:pt>
                <c:pt idx="292">
                  <c:v>4.2708255528459305E-2</c:v>
                </c:pt>
                <c:pt idx="293">
                  <c:v>4.8659867916997807E-2</c:v>
                </c:pt>
                <c:pt idx="294">
                  <c:v>7.54311141188376E-2</c:v>
                </c:pt>
                <c:pt idx="295">
                  <c:v>6.3791618461179964E-2</c:v>
                </c:pt>
                <c:pt idx="296">
                  <c:v>6.240974761928459E-2</c:v>
                </c:pt>
                <c:pt idx="297">
                  <c:v>0.11484140805602439</c:v>
                </c:pt>
                <c:pt idx="298">
                  <c:v>1.0504870603817067E-2</c:v>
                </c:pt>
                <c:pt idx="299">
                  <c:v>-1.818356675006917E-3</c:v>
                </c:pt>
                <c:pt idx="300">
                  <c:v>1.6014712596676729E-2</c:v>
                </c:pt>
                <c:pt idx="301">
                  <c:v>1.4100932966300795E-2</c:v>
                </c:pt>
                <c:pt idx="302">
                  <c:v>1.9983005955286529E-2</c:v>
                </c:pt>
                <c:pt idx="303">
                  <c:v>6.3920946850633736E-2</c:v>
                </c:pt>
                <c:pt idx="304">
                  <c:v>0.12308221598662443</c:v>
                </c:pt>
                <c:pt idx="305">
                  <c:v>8.6185100584988891E-2</c:v>
                </c:pt>
                <c:pt idx="306">
                  <c:v>6.7449688814233397E-2</c:v>
                </c:pt>
                <c:pt idx="307">
                  <c:v>9.7101514199747815E-2</c:v>
                </c:pt>
                <c:pt idx="308">
                  <c:v>5.8034009816273227E-2</c:v>
                </c:pt>
                <c:pt idx="309">
                  <c:v>6.2161375705893529E-2</c:v>
                </c:pt>
                <c:pt idx="310">
                  <c:v>8.8611516610678259E-2</c:v>
                </c:pt>
                <c:pt idx="311">
                  <c:v>0.10718679507581193</c:v>
                </c:pt>
                <c:pt idx="312">
                  <c:v>0.12952316380327808</c:v>
                </c:pt>
                <c:pt idx="313">
                  <c:v>0.11792705036634893</c:v>
                </c:pt>
                <c:pt idx="314">
                  <c:v>0.13798346794409638</c:v>
                </c:pt>
                <c:pt idx="315">
                  <c:v>0.14530045858763724</c:v>
                </c:pt>
                <c:pt idx="316">
                  <c:v>0.15236509334975731</c:v>
                </c:pt>
                <c:pt idx="317">
                  <c:v>0.17492640469138601</c:v>
                </c:pt>
                <c:pt idx="318">
                  <c:v>0.18726919336041031</c:v>
                </c:pt>
                <c:pt idx="319">
                  <c:v>0.22643945122271611</c:v>
                </c:pt>
                <c:pt idx="320">
                  <c:v>0.19638904246226613</c:v>
                </c:pt>
                <c:pt idx="321">
                  <c:v>0.17044984992180068</c:v>
                </c:pt>
                <c:pt idx="322">
                  <c:v>0.19078455215285822</c:v>
                </c:pt>
                <c:pt idx="323">
                  <c:v>0.13428935859153843</c:v>
                </c:pt>
                <c:pt idx="324">
                  <c:v>0.12354991370377121</c:v>
                </c:pt>
                <c:pt idx="325">
                  <c:v>0.18426500964749715</c:v>
                </c:pt>
                <c:pt idx="326">
                  <c:v>9.5838396652414781E-2</c:v>
                </c:pt>
                <c:pt idx="327">
                  <c:v>9.0192765862414703E-2</c:v>
                </c:pt>
                <c:pt idx="328">
                  <c:v>7.4288935004903453E-2</c:v>
                </c:pt>
                <c:pt idx="329">
                  <c:v>0.13052582012722311</c:v>
                </c:pt>
                <c:pt idx="330">
                  <c:v>3.3959147288547847E-2</c:v>
                </c:pt>
                <c:pt idx="331">
                  <c:v>-1.5028856638507263E-2</c:v>
                </c:pt>
                <c:pt idx="332">
                  <c:v>-8.6594182304516806E-3</c:v>
                </c:pt>
                <c:pt idx="333">
                  <c:v>-3.999935223045168E-2</c:v>
                </c:pt>
                <c:pt idx="334">
                  <c:v>-3.3045375253134515E-2</c:v>
                </c:pt>
                <c:pt idx="335">
                  <c:v>-2.6152497681004507E-2</c:v>
                </c:pt>
                <c:pt idx="336">
                  <c:v>-3.8105378912390346E-2</c:v>
                </c:pt>
                <c:pt idx="337">
                  <c:v>-2.3750689463283351E-2</c:v>
                </c:pt>
                <c:pt idx="338">
                  <c:v>-7.0220808128686517E-3</c:v>
                </c:pt>
                <c:pt idx="339">
                  <c:v>-5.2707367381506134E-4</c:v>
                </c:pt>
                <c:pt idx="340">
                  <c:v>-2.826004255920497E-2</c:v>
                </c:pt>
                <c:pt idx="341">
                  <c:v>-2.5783490764689183E-2</c:v>
                </c:pt>
                <c:pt idx="342">
                  <c:v>-4.0849341121994721E-3</c:v>
                </c:pt>
                <c:pt idx="343">
                  <c:v>1.4576681325629981E-2</c:v>
                </c:pt>
                <c:pt idx="344">
                  <c:v>-4.9830846186653161E-4</c:v>
                </c:pt>
                <c:pt idx="345">
                  <c:v>1.1154470110088309E-3</c:v>
                </c:pt>
                <c:pt idx="346">
                  <c:v>2.472928438593899E-2</c:v>
                </c:pt>
                <c:pt idx="347">
                  <c:v>2.1188588735409897E-2</c:v>
                </c:pt>
                <c:pt idx="348">
                  <c:v>-8.6865907699052534E-3</c:v>
                </c:pt>
                <c:pt idx="349">
                  <c:v>-4.4586171745972437E-2</c:v>
                </c:pt>
                <c:pt idx="350">
                  <c:v>-9.7791274888612639E-2</c:v>
                </c:pt>
                <c:pt idx="351">
                  <c:v>-0.10817281218605855</c:v>
                </c:pt>
                <c:pt idx="352">
                  <c:v>-0.12080448769607376</c:v>
                </c:pt>
                <c:pt idx="353">
                  <c:v>-0.11515687886428787</c:v>
                </c:pt>
                <c:pt idx="354">
                  <c:v>-0.18085666276251511</c:v>
                </c:pt>
                <c:pt idx="355">
                  <c:v>-0.19816984904823878</c:v>
                </c:pt>
                <c:pt idx="356">
                  <c:v>-0.1727665859515283</c:v>
                </c:pt>
                <c:pt idx="357">
                  <c:v>-0.18864595058621567</c:v>
                </c:pt>
                <c:pt idx="358">
                  <c:v>-0.18958423205477076</c:v>
                </c:pt>
                <c:pt idx="359">
                  <c:v>-0.19689052281513941</c:v>
                </c:pt>
                <c:pt idx="360">
                  <c:v>-0.18772338499574306</c:v>
                </c:pt>
                <c:pt idx="361">
                  <c:v>-0.25695746229036082</c:v>
                </c:pt>
                <c:pt idx="362">
                  <c:v>-0.24992768786757022</c:v>
                </c:pt>
                <c:pt idx="363">
                  <c:v>-0.26795005930753957</c:v>
                </c:pt>
                <c:pt idx="364">
                  <c:v>-0.30677239712174059</c:v>
                </c:pt>
                <c:pt idx="365">
                  <c:v>-0.22394519788802467</c:v>
                </c:pt>
                <c:pt idx="366">
                  <c:v>-0.10841657001355659</c:v>
                </c:pt>
                <c:pt idx="367">
                  <c:v>-0.17064895727458404</c:v>
                </c:pt>
                <c:pt idx="368">
                  <c:v>-0.20244846588039209</c:v>
                </c:pt>
                <c:pt idx="369">
                  <c:v>-0.18241505338201305</c:v>
                </c:pt>
                <c:pt idx="370">
                  <c:v>-0.20568562163522028</c:v>
                </c:pt>
                <c:pt idx="371">
                  <c:v>-0.2389324501596122</c:v>
                </c:pt>
                <c:pt idx="372">
                  <c:v>-0.19726927708414052</c:v>
                </c:pt>
                <c:pt idx="373">
                  <c:v>-0.20876335649958008</c:v>
                </c:pt>
                <c:pt idx="374">
                  <c:v>-0.17162986027662588</c:v>
                </c:pt>
                <c:pt idx="375">
                  <c:v>-0.25384889793093279</c:v>
                </c:pt>
                <c:pt idx="376">
                  <c:v>-0.26556279197220856</c:v>
                </c:pt>
                <c:pt idx="377">
                  <c:v>-0.26157532816804963</c:v>
                </c:pt>
                <c:pt idx="378">
                  <c:v>-0.27398024408264049</c:v>
                </c:pt>
                <c:pt idx="379">
                  <c:v>-0.29351454890776041</c:v>
                </c:pt>
                <c:pt idx="380">
                  <c:v>-0.32149395506028655</c:v>
                </c:pt>
                <c:pt idx="381">
                  <c:v>-0.29994250411450424</c:v>
                </c:pt>
                <c:pt idx="382">
                  <c:v>-0.30550947125767741</c:v>
                </c:pt>
                <c:pt idx="383">
                  <c:v>-0.28877527235610229</c:v>
                </c:pt>
                <c:pt idx="384">
                  <c:v>-0.29349425496322751</c:v>
                </c:pt>
                <c:pt idx="385">
                  <c:v>-0.29937192472532759</c:v>
                </c:pt>
                <c:pt idx="386">
                  <c:v>-0.20430290473390195</c:v>
                </c:pt>
                <c:pt idx="387">
                  <c:v>-0.22927015148071886</c:v>
                </c:pt>
                <c:pt idx="388">
                  <c:v>-0.23277939462414873</c:v>
                </c:pt>
                <c:pt idx="389">
                  <c:v>-0.23032364748880471</c:v>
                </c:pt>
                <c:pt idx="390">
                  <c:v>-0.24794374924349727</c:v>
                </c:pt>
                <c:pt idx="391">
                  <c:v>-0.18686666739853444</c:v>
                </c:pt>
                <c:pt idx="392">
                  <c:v>-0.2171273308255228</c:v>
                </c:pt>
                <c:pt idx="393">
                  <c:v>-0.2392372360699225</c:v>
                </c:pt>
                <c:pt idx="394">
                  <c:v>-0.21938771805697518</c:v>
                </c:pt>
                <c:pt idx="395">
                  <c:v>-0.21292325056898684</c:v>
                </c:pt>
                <c:pt idx="396">
                  <c:v>-0.1904121999451292</c:v>
                </c:pt>
                <c:pt idx="397">
                  <c:v>-0.21279803055955504</c:v>
                </c:pt>
                <c:pt idx="398">
                  <c:v>-0.21437412569098496</c:v>
                </c:pt>
                <c:pt idx="399">
                  <c:v>-0.18772802507087694</c:v>
                </c:pt>
                <c:pt idx="400">
                  <c:v>-0.27115610412446173</c:v>
                </c:pt>
                <c:pt idx="401">
                  <c:v>-0.25738547458977673</c:v>
                </c:pt>
                <c:pt idx="402">
                  <c:v>-0.28734230666440758</c:v>
                </c:pt>
                <c:pt idx="403">
                  <c:v>-0.27217258095873981</c:v>
                </c:pt>
                <c:pt idx="404">
                  <c:v>-0.24285040892219184</c:v>
                </c:pt>
                <c:pt idx="405">
                  <c:v>-0.18754177898357935</c:v>
                </c:pt>
                <c:pt idx="406">
                  <c:v>-0.26849823803148432</c:v>
                </c:pt>
                <c:pt idx="407">
                  <c:v>-0.23041515366917897</c:v>
                </c:pt>
                <c:pt idx="408">
                  <c:v>-0.22272880881853491</c:v>
                </c:pt>
                <c:pt idx="409">
                  <c:v>-0.29398970457761364</c:v>
                </c:pt>
                <c:pt idx="410">
                  <c:v>-0.32156301645723295</c:v>
                </c:pt>
                <c:pt idx="411">
                  <c:v>-0.35802298529935717</c:v>
                </c:pt>
                <c:pt idx="412">
                  <c:v>-0.33889082272337528</c:v>
                </c:pt>
                <c:pt idx="413">
                  <c:v>-0.36522493674559753</c:v>
                </c:pt>
                <c:pt idx="414">
                  <c:v>-0.31367546240655303</c:v>
                </c:pt>
                <c:pt idx="415">
                  <c:v>-0.33469564854853029</c:v>
                </c:pt>
                <c:pt idx="416">
                  <c:v>-0.252602515687956</c:v>
                </c:pt>
                <c:pt idx="417">
                  <c:v>-0.33872488541552098</c:v>
                </c:pt>
                <c:pt idx="418">
                  <c:v>-0.36601899406143007</c:v>
                </c:pt>
                <c:pt idx="419">
                  <c:v>-0.40032729500778302</c:v>
                </c:pt>
                <c:pt idx="420">
                  <c:v>-0.35094816164935561</c:v>
                </c:pt>
                <c:pt idx="421">
                  <c:v>-0.35854960871295194</c:v>
                </c:pt>
                <c:pt idx="422">
                  <c:v>-0.44827917747933421</c:v>
                </c:pt>
                <c:pt idx="423">
                  <c:v>-0.40641277672856496</c:v>
                </c:pt>
                <c:pt idx="424">
                  <c:v>-0.39206669547981993</c:v>
                </c:pt>
                <c:pt idx="425">
                  <c:v>-0.4457336502272598</c:v>
                </c:pt>
                <c:pt idx="426">
                  <c:v>-0.50299347965685981</c:v>
                </c:pt>
                <c:pt idx="427">
                  <c:v>-0.54695025348691051</c:v>
                </c:pt>
                <c:pt idx="428">
                  <c:v>-0.55075631919831991</c:v>
                </c:pt>
                <c:pt idx="429">
                  <c:v>-0.51761187529324082</c:v>
                </c:pt>
                <c:pt idx="430">
                  <c:v>-0.51564856815619775</c:v>
                </c:pt>
                <c:pt idx="431">
                  <c:v>-0.58689398001905635</c:v>
                </c:pt>
                <c:pt idx="432">
                  <c:v>-0.55726437183592514</c:v>
                </c:pt>
                <c:pt idx="433">
                  <c:v>-0.48985122981333623</c:v>
                </c:pt>
                <c:pt idx="434">
                  <c:v>-0.52109221567839648</c:v>
                </c:pt>
                <c:pt idx="435">
                  <c:v>-0.40800652150691358</c:v>
                </c:pt>
                <c:pt idx="436">
                  <c:v>-0.4338384761021814</c:v>
                </c:pt>
                <c:pt idx="437">
                  <c:v>-0.37178524755224768</c:v>
                </c:pt>
                <c:pt idx="438">
                  <c:v>-0.23893832332809978</c:v>
                </c:pt>
                <c:pt idx="439">
                  <c:v>-0.22556999082604248</c:v>
                </c:pt>
                <c:pt idx="440">
                  <c:v>-0.41161302564708452</c:v>
                </c:pt>
                <c:pt idx="441">
                  <c:v>-0.45641140201245234</c:v>
                </c:pt>
                <c:pt idx="442">
                  <c:v>-0.37423432604634665</c:v>
                </c:pt>
                <c:pt idx="443">
                  <c:v>-0.3873916400742437</c:v>
                </c:pt>
                <c:pt idx="444">
                  <c:v>-0.26434064624038683</c:v>
                </c:pt>
                <c:pt idx="445">
                  <c:v>-0.3584229315329398</c:v>
                </c:pt>
                <c:pt idx="446">
                  <c:v>-0.40470981580640442</c:v>
                </c:pt>
                <c:pt idx="447">
                  <c:v>-0.34879760102647733</c:v>
                </c:pt>
                <c:pt idx="448">
                  <c:v>-0.43599762069530607</c:v>
                </c:pt>
                <c:pt idx="449">
                  <c:v>-0.361388024239579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6-4DD5-9BD4-DC143541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5649327"/>
        <c:axId val="855647663"/>
      </c:lineChart>
      <c:dateAx>
        <c:axId val="8556493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647663"/>
        <c:crosses val="autoZero"/>
        <c:auto val="1"/>
        <c:lblOffset val="100"/>
        <c:baseTimeUnit val="days"/>
      </c:dateAx>
      <c:valAx>
        <c:axId val="8556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649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BA911C0-8B26-463E-8FE9-F5E972550C36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026BFD-9D5B-4D3A-B80F-2E911C550B2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166.09</v>
      </c>
      <c r="D2" s="4">
        <f>MIN(D3:D1912)</f>
        <v>0.1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49.54</v>
      </c>
      <c r="C5">
        <v>50.52</v>
      </c>
      <c r="D5">
        <v>48.13</v>
      </c>
      <c r="E5">
        <v>48.27</v>
      </c>
      <c r="F5">
        <v>86747.72</v>
      </c>
      <c r="G5">
        <v>48.27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-0.88284518828451841</v>
      </c>
      <c r="Q5">
        <f t="shared" ref="Q5" si="1">F5*P5</f>
        <v>-76584.807196652691</v>
      </c>
      <c r="R5">
        <f t="shared" ref="R5" si="2">R6+Q5</f>
        <v>-3508992.7276610662</v>
      </c>
      <c r="S5">
        <f t="shared" ref="S5" si="3">R5/100000</f>
        <v>-35.089927276610659</v>
      </c>
      <c r="T5">
        <f t="shared" ref="T5" si="4">S5/1000</f>
        <v>-3.5089927276610658E-2</v>
      </c>
    </row>
    <row r="6" spans="1:20" x14ac:dyDescent="0.25">
      <c r="A6" s="5">
        <v>44587</v>
      </c>
      <c r="B6">
        <v>50.8</v>
      </c>
      <c r="C6">
        <v>55.68</v>
      </c>
      <c r="D6">
        <v>48.39</v>
      </c>
      <c r="E6">
        <v>49.54</v>
      </c>
      <c r="F6">
        <v>1043495.55</v>
      </c>
      <c r="G6">
        <v>49.54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-0.68449931412894416</v>
      </c>
      <c r="Q6">
        <f t="shared" ref="Q6" si="6">F6*P6</f>
        <v>-714271.98827160534</v>
      </c>
      <c r="R6">
        <f t="shared" ref="R6" si="7">R7+Q6</f>
        <v>-3432407.9204644137</v>
      </c>
      <c r="S6">
        <f t="shared" ref="S6" si="8">R6/100000</f>
        <v>-34.324079204644136</v>
      </c>
      <c r="T6">
        <f t="shared" ref="T6" si="9">S6/1000</f>
        <v>-3.4324079204644135E-2</v>
      </c>
    </row>
    <row r="7" spans="1:20" x14ac:dyDescent="0.25">
      <c r="A7" s="5">
        <v>44586</v>
      </c>
      <c r="B7">
        <v>51.21</v>
      </c>
      <c r="C7">
        <v>51.97</v>
      </c>
      <c r="D7">
        <v>49.26</v>
      </c>
      <c r="E7">
        <v>50.81</v>
      </c>
      <c r="F7">
        <v>673594.71</v>
      </c>
      <c r="G7">
        <v>50.81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0.14391143911439394</v>
      </c>
      <c r="Q7">
        <f t="shared" ref="Q7" si="11">F7*P7</f>
        <v>96937.98409594284</v>
      </c>
      <c r="R7">
        <f t="shared" ref="R7" si="12">R8+Q7</f>
        <v>-2718135.9321928085</v>
      </c>
      <c r="S7">
        <f t="shared" ref="S7" si="13">R7/100000</f>
        <v>-27.181359321928085</v>
      </c>
      <c r="T7">
        <f t="shared" ref="T7" si="14">S7/1000</f>
        <v>-2.7181359321928084E-2</v>
      </c>
    </row>
    <row r="8" spans="1:20" x14ac:dyDescent="0.25">
      <c r="A8" s="5">
        <v>44585</v>
      </c>
      <c r="B8">
        <v>54.76</v>
      </c>
      <c r="C8">
        <v>54.79</v>
      </c>
      <c r="D8">
        <v>44.42</v>
      </c>
      <c r="E8">
        <v>51.2</v>
      </c>
      <c r="F8">
        <v>1471501.87</v>
      </c>
      <c r="G8">
        <v>51.2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0.30761812921890119</v>
      </c>
      <c r="Q8">
        <f t="shared" ref="Q8" si="16">F8*P8</f>
        <v>452660.6523915148</v>
      </c>
      <c r="R8">
        <f t="shared" ref="R8" si="17">R9+Q8</f>
        <v>-2815073.9162887512</v>
      </c>
      <c r="S8">
        <f t="shared" ref="S8" si="18">R8/100000</f>
        <v>-28.150739162887511</v>
      </c>
      <c r="T8">
        <f t="shared" ref="T8" si="19">S8/1000</f>
        <v>-2.815073916288751E-2</v>
      </c>
    </row>
    <row r="9" spans="1:20" x14ac:dyDescent="0.25">
      <c r="A9" s="5">
        <v>44584</v>
      </c>
      <c r="B9">
        <v>50.17</v>
      </c>
      <c r="C9">
        <v>54.82</v>
      </c>
      <c r="D9">
        <v>49.64</v>
      </c>
      <c r="E9">
        <v>54.72</v>
      </c>
      <c r="F9">
        <v>725139.1</v>
      </c>
      <c r="G9">
        <v>54.72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0.9613899613899608</v>
      </c>
      <c r="Q9">
        <f t="shared" ref="Q9" si="21">F9*P9</f>
        <v>697141.45135135087</v>
      </c>
      <c r="R9">
        <f t="shared" ref="R9" si="22">R10+Q9</f>
        <v>-3267734.5686802659</v>
      </c>
      <c r="S9">
        <f t="shared" ref="S9" si="23">R9/100000</f>
        <v>-32.67734568680266</v>
      </c>
      <c r="T9">
        <f t="shared" ref="T9" si="24">S9/1000</f>
        <v>-3.267734568680266E-2</v>
      </c>
    </row>
    <row r="10" spans="1:20" x14ac:dyDescent="0.25">
      <c r="A10" s="5">
        <v>44583</v>
      </c>
      <c r="B10">
        <v>58.32</v>
      </c>
      <c r="C10">
        <v>59.4</v>
      </c>
      <c r="D10">
        <v>47.52</v>
      </c>
      <c r="E10">
        <v>50.17</v>
      </c>
      <c r="F10">
        <v>1607495.39</v>
      </c>
      <c r="G10">
        <v>50.17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-0.55387205387205396</v>
      </c>
      <c r="Q10">
        <f t="shared" ref="Q10" si="26">F10*P10</f>
        <v>-890346.77324915829</v>
      </c>
      <c r="R10">
        <f t="shared" ref="R10" si="27">R11+Q10</f>
        <v>-3964876.0200316166</v>
      </c>
      <c r="S10">
        <f t="shared" ref="S10" si="28">R10/100000</f>
        <v>-39.648760200316168</v>
      </c>
      <c r="T10">
        <f t="shared" ref="T10" si="29">S10/1000</f>
        <v>-3.9648760200316172E-2</v>
      </c>
    </row>
    <row r="11" spans="1:20" x14ac:dyDescent="0.25">
      <c r="A11" s="5">
        <v>44582</v>
      </c>
      <c r="B11">
        <v>69.040000000000006</v>
      </c>
      <c r="C11">
        <v>69.31</v>
      </c>
      <c r="D11">
        <v>56.91</v>
      </c>
      <c r="E11">
        <v>58.32</v>
      </c>
      <c r="F11">
        <v>1077147.02</v>
      </c>
      <c r="G11">
        <v>58.32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-0.77258064516128988</v>
      </c>
      <c r="Q11">
        <f t="shared" ref="Q11" si="31">F11*P11</f>
        <v>-832182.9396451608</v>
      </c>
      <c r="R11">
        <f t="shared" ref="R11" si="32">R12+Q11</f>
        <v>-3074529.2467824584</v>
      </c>
      <c r="S11">
        <f t="shared" ref="S11" si="33">R11/100000</f>
        <v>-30.745292467824584</v>
      </c>
      <c r="T11">
        <f t="shared" ref="T11" si="34">S11/1000</f>
        <v>-3.0745292467824585E-2</v>
      </c>
    </row>
    <row r="12" spans="1:20" x14ac:dyDescent="0.25">
      <c r="A12" s="5">
        <v>44581</v>
      </c>
      <c r="B12">
        <v>71.8</v>
      </c>
      <c r="C12">
        <v>75.94</v>
      </c>
      <c r="D12">
        <v>68.760000000000005</v>
      </c>
      <c r="E12">
        <v>69.08</v>
      </c>
      <c r="F12">
        <v>497336.97</v>
      </c>
      <c r="G12">
        <v>69.08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-0.91086350974930541</v>
      </c>
      <c r="Q12">
        <f t="shared" ref="Q12" si="36">F12*P12</f>
        <v>-453006.09802228498</v>
      </c>
      <c r="R12">
        <f t="shared" ref="R12" si="37">R13+Q12</f>
        <v>-2242346.3071372975</v>
      </c>
      <c r="S12">
        <f t="shared" ref="S12" si="38">R12/100000</f>
        <v>-22.423463071372975</v>
      </c>
      <c r="T12">
        <f t="shared" ref="T12" si="39">S12/1000</f>
        <v>-2.2423463071372975E-2</v>
      </c>
    </row>
    <row r="13" spans="1:20" x14ac:dyDescent="0.25">
      <c r="A13" s="5">
        <v>44580</v>
      </c>
      <c r="B13">
        <v>73.81</v>
      </c>
      <c r="C13">
        <v>74.16</v>
      </c>
      <c r="D13">
        <v>70.53</v>
      </c>
      <c r="E13">
        <v>71.81</v>
      </c>
      <c r="F13">
        <v>440869.04</v>
      </c>
      <c r="G13">
        <v>71.81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-0.29476584022038416</v>
      </c>
      <c r="Q13">
        <f t="shared" ref="Q13" si="41">F13*P13</f>
        <v>-129953.13300275414</v>
      </c>
      <c r="R13">
        <f t="shared" ref="R13" si="42">R14+Q13</f>
        <v>-1789340.2091150125</v>
      </c>
      <c r="S13">
        <f t="shared" ref="S13" si="43">R13/100000</f>
        <v>-17.893402091150126</v>
      </c>
      <c r="T13">
        <f t="shared" ref="T13" si="44">S13/1000</f>
        <v>-1.7893402091150125E-2</v>
      </c>
    </row>
    <row r="14" spans="1:20" x14ac:dyDescent="0.25">
      <c r="A14" s="5">
        <v>44579</v>
      </c>
      <c r="B14">
        <v>76.47</v>
      </c>
      <c r="C14">
        <v>77.319999999999993</v>
      </c>
      <c r="D14">
        <v>72.03</v>
      </c>
      <c r="E14">
        <v>73.819999999999993</v>
      </c>
      <c r="F14">
        <v>537503.31999999995</v>
      </c>
      <c r="G14">
        <v>73.819999999999993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-0.32325141776937816</v>
      </c>
      <c r="Q14">
        <f t="shared" ref="Q14" si="46">F14*P14</f>
        <v>-173748.71024574773</v>
      </c>
      <c r="R14">
        <f t="shared" ref="R14" si="47">R15+Q14</f>
        <v>-1659387.0761122585</v>
      </c>
      <c r="S14">
        <f t="shared" ref="S14" si="48">R14/100000</f>
        <v>-16.593870761122584</v>
      </c>
      <c r="T14">
        <f t="shared" ref="T14" si="49">S14/1000</f>
        <v>-1.6593870761122585E-2</v>
      </c>
    </row>
    <row r="15" spans="1:20" x14ac:dyDescent="0.25">
      <c r="A15" s="5">
        <v>44578</v>
      </c>
      <c r="B15">
        <v>80.27</v>
      </c>
      <c r="C15">
        <v>84.01</v>
      </c>
      <c r="D15">
        <v>75.03</v>
      </c>
      <c r="E15">
        <v>76.459999999999994</v>
      </c>
      <c r="F15">
        <v>965766.6</v>
      </c>
      <c r="G15">
        <v>76.459999999999994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-0.6815144766147011</v>
      </c>
      <c r="Q15">
        <f t="shared" ref="Q15" si="51">F15*P15</f>
        <v>-658183.91893095942</v>
      </c>
      <c r="R15">
        <f t="shared" ref="R15" si="52">R16+Q15</f>
        <v>-1485638.3658665107</v>
      </c>
      <c r="S15">
        <f t="shared" ref="S15" si="53">R15/100000</f>
        <v>-14.856383658665107</v>
      </c>
      <c r="T15">
        <f t="shared" ref="T15" si="54">S15/1000</f>
        <v>-1.4856383658665108E-2</v>
      </c>
    </row>
    <row r="16" spans="1:20" x14ac:dyDescent="0.25">
      <c r="A16" s="5">
        <v>44577</v>
      </c>
      <c r="B16">
        <v>75.36</v>
      </c>
      <c r="C16">
        <v>82.66</v>
      </c>
      <c r="D16">
        <v>74.5</v>
      </c>
      <c r="E16">
        <v>80.260000000000005</v>
      </c>
      <c r="F16">
        <v>1162634.55</v>
      </c>
      <c r="G16">
        <v>80.260000000000005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0.41176470588235481</v>
      </c>
      <c r="Q16">
        <f t="shared" ref="Q16" si="56">F16*P16</f>
        <v>478731.87352941395</v>
      </c>
      <c r="R16">
        <f t="shared" ref="R16" si="57">R17+Q16</f>
        <v>-827454.44693555124</v>
      </c>
      <c r="S16">
        <f t="shared" ref="S16" si="58">R16/100000</f>
        <v>-8.2745444693555132</v>
      </c>
      <c r="T16">
        <f t="shared" ref="T16" si="59">S16/1000</f>
        <v>-8.2745444693555128E-3</v>
      </c>
    </row>
    <row r="17" spans="1:20" x14ac:dyDescent="0.25">
      <c r="A17" s="5">
        <v>44576</v>
      </c>
      <c r="B17">
        <v>73.67</v>
      </c>
      <c r="C17">
        <v>76.150000000000006</v>
      </c>
      <c r="D17">
        <v>73</v>
      </c>
      <c r="E17">
        <v>75.37</v>
      </c>
      <c r="F17">
        <v>296596.67</v>
      </c>
      <c r="G17">
        <v>75.37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0.50476190476190497</v>
      </c>
      <c r="Q17">
        <f t="shared" ref="Q17" si="61">F17*P17</f>
        <v>149710.70009523813</v>
      </c>
      <c r="R17">
        <f t="shared" ref="R17" si="62">R18+Q17</f>
        <v>-1306186.3204649652</v>
      </c>
      <c r="S17">
        <f t="shared" ref="S17" si="63">R17/100000</f>
        <v>-13.061863204649653</v>
      </c>
      <c r="T17">
        <f t="shared" ref="T17" si="64">S17/1000</f>
        <v>-1.3061863204649653E-2</v>
      </c>
    </row>
    <row r="18" spans="1:20" x14ac:dyDescent="0.25">
      <c r="A18" s="5">
        <v>44575</v>
      </c>
      <c r="B18">
        <v>73.06</v>
      </c>
      <c r="C18">
        <v>75.760000000000005</v>
      </c>
      <c r="D18">
        <v>70.959999999999994</v>
      </c>
      <c r="E18">
        <v>73.67</v>
      </c>
      <c r="F18">
        <v>449555.31</v>
      </c>
      <c r="G18">
        <v>73.67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0.12916666666666732</v>
      </c>
      <c r="Q18">
        <f t="shared" ref="Q18" si="66">F18*P18</f>
        <v>58067.560875000294</v>
      </c>
      <c r="R18">
        <f t="shared" ref="R18" si="67">R19+Q18</f>
        <v>-1455897.0205602034</v>
      </c>
      <c r="S18">
        <f t="shared" ref="S18" si="68">R18/100000</f>
        <v>-14.558970205602034</v>
      </c>
      <c r="T18">
        <f t="shared" ref="T18" si="69">S18/1000</f>
        <v>-1.4558970205602033E-2</v>
      </c>
    </row>
    <row r="19" spans="1:20" x14ac:dyDescent="0.25">
      <c r="A19" s="5">
        <v>44574</v>
      </c>
      <c r="B19">
        <v>78.209999999999994</v>
      </c>
      <c r="C19">
        <v>78.7</v>
      </c>
      <c r="D19">
        <v>72.81</v>
      </c>
      <c r="E19">
        <v>73.06</v>
      </c>
      <c r="F19">
        <v>519524.31</v>
      </c>
      <c r="G19">
        <v>73.06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-0.91511035653650252</v>
      </c>
      <c r="Q19">
        <f t="shared" ref="Q19" si="71">F19*P19</f>
        <v>-475422.07655348047</v>
      </c>
      <c r="R19">
        <f t="shared" ref="R19" si="72">R20+Q19</f>
        <v>-1513964.5814352036</v>
      </c>
      <c r="S19">
        <f t="shared" ref="S19" si="73">R19/100000</f>
        <v>-15.139645814352036</v>
      </c>
      <c r="T19">
        <f t="shared" ref="T19" si="74">S19/1000</f>
        <v>-1.5139645814352036E-2</v>
      </c>
    </row>
    <row r="20" spans="1:20" x14ac:dyDescent="0.25">
      <c r="A20" s="5">
        <v>44573</v>
      </c>
      <c r="B20">
        <v>72.790000000000006</v>
      </c>
      <c r="C20">
        <v>79.510000000000005</v>
      </c>
      <c r="D20">
        <v>72.040000000000006</v>
      </c>
      <c r="E20">
        <v>78.209999999999994</v>
      </c>
      <c r="F20">
        <v>633254.38</v>
      </c>
      <c r="G20">
        <v>78.209999999999994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0.65194109772422715</v>
      </c>
      <c r="Q20">
        <f t="shared" ref="Q20" si="76">F20*P20</f>
        <v>412844.55563587486</v>
      </c>
      <c r="R20">
        <f t="shared" ref="R20" si="77">R21+Q20</f>
        <v>-1038542.5048817231</v>
      </c>
      <c r="S20">
        <f t="shared" ref="S20" si="78">R20/100000</f>
        <v>-10.385425048817231</v>
      </c>
      <c r="T20">
        <f t="shared" ref="T20" si="79">S20/1000</f>
        <v>-1.038542504881723E-2</v>
      </c>
    </row>
    <row r="21" spans="1:20" x14ac:dyDescent="0.25">
      <c r="A21" s="5">
        <v>44572</v>
      </c>
      <c r="B21">
        <v>68.37</v>
      </c>
      <c r="C21">
        <v>73.489999999999995</v>
      </c>
      <c r="D21">
        <v>67.53</v>
      </c>
      <c r="E21">
        <v>72.78</v>
      </c>
      <c r="F21">
        <v>627759.78</v>
      </c>
      <c r="G21">
        <v>72.78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0.76174496644295486</v>
      </c>
      <c r="Q21">
        <f t="shared" ref="Q21" si="81">F21*P21</f>
        <v>478192.85255033674</v>
      </c>
      <c r="R21">
        <f t="shared" ref="R21" si="82">R22+Q21</f>
        <v>-1451387.0605175979</v>
      </c>
      <c r="S21">
        <f t="shared" ref="S21" si="83">R21/100000</f>
        <v>-14.513870605175979</v>
      </c>
      <c r="T21">
        <f t="shared" ref="T21" si="84">S21/1000</f>
        <v>-1.4513870605175979E-2</v>
      </c>
    </row>
    <row r="22" spans="1:20" x14ac:dyDescent="0.25">
      <c r="A22" s="5">
        <v>44571</v>
      </c>
      <c r="B22">
        <v>71.930000000000007</v>
      </c>
      <c r="C22">
        <v>73.2</v>
      </c>
      <c r="D22">
        <v>65.23</v>
      </c>
      <c r="E22">
        <v>68.38</v>
      </c>
      <c r="F22">
        <v>623171.34</v>
      </c>
      <c r="G22">
        <v>68.38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-0.20953575909661432</v>
      </c>
      <c r="Q22">
        <f t="shared" ref="Q22" si="86">F22*P22</f>
        <v>-130576.67977415433</v>
      </c>
      <c r="R22">
        <f t="shared" ref="R22" si="87">R23+Q22</f>
        <v>-1929579.9130679346</v>
      </c>
      <c r="S22">
        <f t="shared" ref="S22" si="88">R22/100000</f>
        <v>-19.295799130679345</v>
      </c>
      <c r="T22">
        <f t="shared" ref="T22" si="89">S22/1000</f>
        <v>-1.9295799130679345E-2</v>
      </c>
    </row>
    <row r="23" spans="1:20" x14ac:dyDescent="0.25">
      <c r="A23" s="5">
        <v>44570</v>
      </c>
      <c r="B23">
        <v>70.36</v>
      </c>
      <c r="C23">
        <v>74.17</v>
      </c>
      <c r="D23">
        <v>68.97</v>
      </c>
      <c r="E23">
        <v>71.92</v>
      </c>
      <c r="F23">
        <v>575470.04</v>
      </c>
      <c r="G23">
        <v>71.92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0.13461538461538508</v>
      </c>
      <c r="Q23">
        <f t="shared" ref="Q23" si="91">F23*P23</f>
        <v>77467.120769231042</v>
      </c>
      <c r="R23">
        <f t="shared" ref="R23" si="92">R24+Q23</f>
        <v>-1799003.2332937801</v>
      </c>
      <c r="S23">
        <f t="shared" ref="S23" si="93">R23/100000</f>
        <v>-17.990032332937801</v>
      </c>
      <c r="T23">
        <f t="shared" ref="T23" si="94">S23/1000</f>
        <v>-1.7990032332937802E-2</v>
      </c>
    </row>
    <row r="24" spans="1:20" x14ac:dyDescent="0.25">
      <c r="A24" s="5">
        <v>44569</v>
      </c>
      <c r="B24">
        <v>73.61</v>
      </c>
      <c r="C24">
        <v>75.77</v>
      </c>
      <c r="D24">
        <v>67.739999999999995</v>
      </c>
      <c r="E24">
        <v>70.33</v>
      </c>
      <c r="F24">
        <v>741066.58</v>
      </c>
      <c r="G24">
        <v>70.33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-0.35491905354918979</v>
      </c>
      <c r="Q24">
        <f t="shared" ref="Q24" si="96">F24*P24</f>
        <v>-263018.6491905349</v>
      </c>
      <c r="R24">
        <f t="shared" ref="R24" si="97">R25+Q24</f>
        <v>-1876470.3540630112</v>
      </c>
      <c r="S24">
        <f t="shared" ref="S24" si="98">R24/100000</f>
        <v>-18.764703540630112</v>
      </c>
      <c r="T24">
        <f t="shared" ref="T24" si="99">S24/1000</f>
        <v>-1.8764703540630111E-2</v>
      </c>
    </row>
    <row r="25" spans="1:20" x14ac:dyDescent="0.25">
      <c r="A25" s="5">
        <v>44568</v>
      </c>
      <c r="B25">
        <v>79</v>
      </c>
      <c r="C25">
        <v>79.150000000000006</v>
      </c>
      <c r="D25">
        <v>70.27</v>
      </c>
      <c r="E25">
        <v>73.62</v>
      </c>
      <c r="F25">
        <v>1083110.05</v>
      </c>
      <c r="G25">
        <v>73.62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-0.2454954954954944</v>
      </c>
      <c r="Q25">
        <f t="shared" ref="Q25" si="101">F25*P25</f>
        <v>-265898.63840089971</v>
      </c>
      <c r="R25">
        <f t="shared" ref="R25" si="102">R26+Q25</f>
        <v>-1613451.7048724764</v>
      </c>
      <c r="S25">
        <f t="shared" ref="S25" si="103">R25/100000</f>
        <v>-16.134517048724764</v>
      </c>
      <c r="T25">
        <f t="shared" ref="T25" si="104">S25/1000</f>
        <v>-1.6134517048724765E-2</v>
      </c>
    </row>
    <row r="26" spans="1:20" x14ac:dyDescent="0.25">
      <c r="A26" s="5">
        <v>44567</v>
      </c>
      <c r="B26">
        <v>80.209999999999994</v>
      </c>
      <c r="C26">
        <v>81.239999999999995</v>
      </c>
      <c r="D26">
        <v>75.319999999999993</v>
      </c>
      <c r="E26">
        <v>79.02</v>
      </c>
      <c r="F26">
        <v>1078642.73</v>
      </c>
      <c r="G26">
        <v>79.02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0.25000000000000061</v>
      </c>
      <c r="Q26">
        <f t="shared" ref="Q26" si="106">F26*P26</f>
        <v>269660.68250000064</v>
      </c>
      <c r="R26">
        <f t="shared" ref="R26" si="107">R27+Q26</f>
        <v>-1347553.0664715767</v>
      </c>
      <c r="S26">
        <f t="shared" ref="S26" si="108">R26/100000</f>
        <v>-13.475530664715768</v>
      </c>
      <c r="T26">
        <f t="shared" ref="T26" si="109">S26/1000</f>
        <v>-1.3475530664715768E-2</v>
      </c>
    </row>
    <row r="27" spans="1:20" x14ac:dyDescent="0.25">
      <c r="A27" s="5">
        <v>44566</v>
      </c>
      <c r="B27">
        <v>92.88</v>
      </c>
      <c r="C27">
        <v>94.91</v>
      </c>
      <c r="D27">
        <v>75.13</v>
      </c>
      <c r="E27">
        <v>80.22</v>
      </c>
      <c r="F27">
        <v>1382642.43</v>
      </c>
      <c r="G27">
        <v>80.22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-0.48533872598584399</v>
      </c>
      <c r="Q27">
        <f t="shared" ref="Q27" si="111">F27*P27</f>
        <v>-671049.91547017149</v>
      </c>
      <c r="R27">
        <f t="shared" ref="R27" si="112">R28+Q27</f>
        <v>-1617213.7489715773</v>
      </c>
      <c r="S27">
        <f t="shared" ref="S27" si="113">R27/100000</f>
        <v>-16.172137489715773</v>
      </c>
      <c r="T27">
        <f t="shared" ref="T27" si="114">S27/1000</f>
        <v>-1.6172137489715774E-2</v>
      </c>
    </row>
    <row r="28" spans="1:20" x14ac:dyDescent="0.25">
      <c r="A28" s="5">
        <v>44565</v>
      </c>
      <c r="B28">
        <v>94.39</v>
      </c>
      <c r="C28">
        <v>96.8</v>
      </c>
      <c r="D28">
        <v>92.66</v>
      </c>
      <c r="E28">
        <v>92.89</v>
      </c>
      <c r="F28">
        <v>391586.66</v>
      </c>
      <c r="G28">
        <v>92.89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-0.88888888888888695</v>
      </c>
      <c r="Q28">
        <f t="shared" ref="Q28" si="116">F28*P28</f>
        <v>-348077.03111111035</v>
      </c>
      <c r="R28">
        <f t="shared" ref="R28" si="117">R29+Q28</f>
        <v>-946163.83350140566</v>
      </c>
      <c r="S28">
        <f t="shared" ref="S28" si="118">R28/100000</f>
        <v>-9.4616383350140563</v>
      </c>
      <c r="T28">
        <f t="shared" ref="T28" si="119">S28/1000</f>
        <v>-9.4616383350140561E-3</v>
      </c>
    </row>
    <row r="29" spans="1:20" x14ac:dyDescent="0.25">
      <c r="A29" s="5">
        <v>44564</v>
      </c>
      <c r="B29">
        <v>96.37</v>
      </c>
      <c r="C29">
        <v>98</v>
      </c>
      <c r="D29">
        <v>92.26</v>
      </c>
      <c r="E29">
        <v>94.39</v>
      </c>
      <c r="F29">
        <v>425484.17</v>
      </c>
      <c r="G29">
        <v>94.39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-0.25783972125435634</v>
      </c>
      <c r="Q29">
        <f t="shared" ref="Q29" si="121">F29*P29</f>
        <v>-109706.71979094116</v>
      </c>
      <c r="R29">
        <f t="shared" ref="R29" si="122">R30+Q29</f>
        <v>-598086.80239029531</v>
      </c>
      <c r="S29">
        <f t="shared" ref="S29" si="123">R29/100000</f>
        <v>-5.9808680239029535</v>
      </c>
      <c r="T29">
        <f t="shared" ref="T29" si="124">S29/1000</f>
        <v>-5.9808680239029537E-3</v>
      </c>
    </row>
    <row r="30" spans="1:20" x14ac:dyDescent="0.25">
      <c r="A30" s="5">
        <v>44563</v>
      </c>
      <c r="B30">
        <v>94.09</v>
      </c>
      <c r="C30">
        <v>96.72</v>
      </c>
      <c r="D30">
        <v>93.16</v>
      </c>
      <c r="E30">
        <v>96.38</v>
      </c>
      <c r="F30">
        <v>347675.69</v>
      </c>
      <c r="G30">
        <v>96.38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0.80898876404494202</v>
      </c>
      <c r="Q30">
        <f t="shared" ref="Q30" si="126">F30*P30</f>
        <v>281265.72674157243</v>
      </c>
      <c r="R30">
        <f t="shared" ref="R30" si="127">R31+Q30</f>
        <v>-488380.08259935415</v>
      </c>
      <c r="S30">
        <f t="shared" ref="S30" si="128">R30/100000</f>
        <v>-4.8838008259935419</v>
      </c>
      <c r="T30">
        <f t="shared" ref="T30" si="129">S30/1000</f>
        <v>-4.8838008259935416E-3</v>
      </c>
    </row>
    <row r="31" spans="1:20" x14ac:dyDescent="0.25">
      <c r="A31" s="5">
        <v>44562</v>
      </c>
      <c r="B31">
        <v>93.22</v>
      </c>
      <c r="C31">
        <v>95.29</v>
      </c>
      <c r="D31">
        <v>91.38</v>
      </c>
      <c r="E31">
        <v>94.1</v>
      </c>
      <c r="F31">
        <v>420881.39</v>
      </c>
      <c r="G31">
        <v>94.1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0.39130434782608253</v>
      </c>
      <c r="Q31">
        <f t="shared" ref="Q31" si="131">F31*P31</f>
        <v>164692.71782608511</v>
      </c>
      <c r="R31">
        <f t="shared" ref="R31" si="132">R32+Q31</f>
        <v>-769645.80934092659</v>
      </c>
      <c r="S31">
        <f t="shared" ref="S31" si="133">R31/100000</f>
        <v>-7.6964580934092659</v>
      </c>
      <c r="T31">
        <f t="shared" ref="T31" si="134">S31/1000</f>
        <v>-7.6964580934092662E-3</v>
      </c>
    </row>
    <row r="32" spans="1:20" x14ac:dyDescent="0.25">
      <c r="A32" s="5">
        <v>44561</v>
      </c>
      <c r="B32">
        <v>94.98</v>
      </c>
      <c r="C32">
        <v>97.97</v>
      </c>
      <c r="D32">
        <v>91.1</v>
      </c>
      <c r="E32">
        <v>93.25</v>
      </c>
      <c r="F32">
        <v>450805.04</v>
      </c>
      <c r="G32">
        <v>93.25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-0.37409024745269165</v>
      </c>
      <c r="Q32">
        <f t="shared" ref="Q32" si="136">F32*P32</f>
        <v>-168641.76896652055</v>
      </c>
      <c r="R32">
        <f t="shared" ref="R32" si="137">R33+Q32</f>
        <v>-934338.52716701175</v>
      </c>
      <c r="S32">
        <f t="shared" ref="S32" si="138">R32/100000</f>
        <v>-9.3433852716701171</v>
      </c>
      <c r="T32">
        <f t="shared" ref="T32" si="139">S32/1000</f>
        <v>-9.3433852716701179E-3</v>
      </c>
    </row>
    <row r="33" spans="1:20" x14ac:dyDescent="0.25">
      <c r="A33" s="5">
        <v>44560</v>
      </c>
      <c r="B33">
        <v>93.72</v>
      </c>
      <c r="C33">
        <v>96.69</v>
      </c>
      <c r="D33">
        <v>91.8</v>
      </c>
      <c r="E33">
        <v>95</v>
      </c>
      <c r="F33">
        <v>357137.03</v>
      </c>
      <c r="G33">
        <v>95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0.30879345603272085</v>
      </c>
      <c r="Q33">
        <f t="shared" ref="Q33" si="141">F33*P33</f>
        <v>110281.57777096152</v>
      </c>
      <c r="R33">
        <f t="shared" ref="R33" si="142">R34+Q33</f>
        <v>-765696.7582004912</v>
      </c>
      <c r="S33">
        <f t="shared" ref="S33" si="143">R33/100000</f>
        <v>-7.6569675820049117</v>
      </c>
      <c r="T33">
        <f t="shared" ref="T33" si="144">S33/1000</f>
        <v>-7.6569675820049119E-3</v>
      </c>
    </row>
    <row r="34" spans="1:20" x14ac:dyDescent="0.25">
      <c r="A34" s="5">
        <v>44559</v>
      </c>
      <c r="B34">
        <v>99.8</v>
      </c>
      <c r="C34">
        <v>100.79</v>
      </c>
      <c r="D34">
        <v>92.8</v>
      </c>
      <c r="E34">
        <v>93.74</v>
      </c>
      <c r="F34">
        <v>475837.01</v>
      </c>
      <c r="G34">
        <v>93.74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-0.76470588235294201</v>
      </c>
      <c r="Q34">
        <f t="shared" ref="Q34" si="146">F34*P34</f>
        <v>-363875.36058823572</v>
      </c>
      <c r="R34">
        <f t="shared" ref="R34" si="147">R35+Q34</f>
        <v>-875978.33597145276</v>
      </c>
      <c r="S34">
        <f t="shared" ref="S34" si="148">R34/100000</f>
        <v>-8.7597833597145272</v>
      </c>
      <c r="T34">
        <f t="shared" ref="T34" si="149">S34/1000</f>
        <v>-8.7597833597145274E-3</v>
      </c>
    </row>
    <row r="35" spans="1:20" x14ac:dyDescent="0.25">
      <c r="A35" s="5">
        <v>44558</v>
      </c>
      <c r="B35">
        <v>107.15</v>
      </c>
      <c r="C35">
        <v>107.72</v>
      </c>
      <c r="D35">
        <v>98.53</v>
      </c>
      <c r="E35">
        <v>99.79</v>
      </c>
      <c r="F35">
        <v>666719.25</v>
      </c>
      <c r="G35">
        <v>99.79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-0.72578890097932414</v>
      </c>
      <c r="Q35">
        <f t="shared" ref="Q35" si="151">F35*P35</f>
        <v>-483897.43171925924</v>
      </c>
      <c r="R35">
        <f t="shared" ref="R35" si="152">R36+Q35</f>
        <v>-512102.9753832171</v>
      </c>
      <c r="S35">
        <f t="shared" ref="S35" si="153">R35/100000</f>
        <v>-5.121029753832171</v>
      </c>
      <c r="T35">
        <f t="shared" ref="T35" si="154">S35/1000</f>
        <v>-5.1210297538321712E-3</v>
      </c>
    </row>
    <row r="36" spans="1:20" x14ac:dyDescent="0.25">
      <c r="A36" s="5">
        <v>44557</v>
      </c>
      <c r="B36">
        <v>107.46</v>
      </c>
      <c r="C36">
        <v>111.62</v>
      </c>
      <c r="D36">
        <v>106.26</v>
      </c>
      <c r="E36">
        <v>107.15</v>
      </c>
      <c r="F36">
        <v>484130.45</v>
      </c>
      <c r="G36">
        <v>107.15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-0.66791044776119379</v>
      </c>
      <c r="Q36">
        <f t="shared" ref="Q36" si="156">F36*P36</f>
        <v>-323355.78563432826</v>
      </c>
      <c r="R36">
        <f t="shared" ref="R36" si="157">R37+Q36</f>
        <v>-28205.543663957855</v>
      </c>
      <c r="S36">
        <f t="shared" ref="S36" si="158">R36/100000</f>
        <v>-0.28205543663957855</v>
      </c>
      <c r="T36">
        <f t="shared" ref="T36" si="159">S36/1000</f>
        <v>-2.8205543663957857E-4</v>
      </c>
    </row>
    <row r="37" spans="1:20" x14ac:dyDescent="0.25">
      <c r="A37" s="5">
        <v>44556</v>
      </c>
      <c r="B37">
        <v>109.11</v>
      </c>
      <c r="C37">
        <v>109.2</v>
      </c>
      <c r="D37">
        <v>105.42</v>
      </c>
      <c r="E37">
        <v>107.45</v>
      </c>
      <c r="F37">
        <v>340975.8</v>
      </c>
      <c r="G37">
        <v>107.45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7.4074074074074348E-2</v>
      </c>
      <c r="Q37">
        <f t="shared" ref="Q37" si="161">F37*P37</f>
        <v>25257.466666666758</v>
      </c>
      <c r="R37">
        <f t="shared" ref="R37" si="162">R38+Q37</f>
        <v>295150.24197037041</v>
      </c>
      <c r="S37">
        <f t="shared" ref="S37" si="163">R37/100000</f>
        <v>2.9515024197037039</v>
      </c>
      <c r="T37">
        <f t="shared" ref="T37" si="164">S37/1000</f>
        <v>2.951502419703704E-3</v>
      </c>
    </row>
    <row r="38" spans="1:20" x14ac:dyDescent="0.25">
      <c r="A38" s="5">
        <v>44555</v>
      </c>
      <c r="B38">
        <v>104.64</v>
      </c>
      <c r="C38">
        <v>110.48</v>
      </c>
      <c r="D38">
        <v>103.51</v>
      </c>
      <c r="E38">
        <v>109.16</v>
      </c>
      <c r="F38">
        <v>514801.71</v>
      </c>
      <c r="G38">
        <v>109.16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0.62123385939741527</v>
      </c>
      <c r="Q38">
        <f t="shared" ref="Q38" si="166">F38*P38</f>
        <v>319812.25312768895</v>
      </c>
      <c r="R38">
        <f t="shared" ref="R38" si="167">R39+Q38</f>
        <v>269892.77530370367</v>
      </c>
      <c r="S38">
        <f t="shared" ref="S38" si="168">R38/100000</f>
        <v>2.6989277530370366</v>
      </c>
      <c r="T38">
        <f t="shared" ref="T38" si="169">S38/1000</f>
        <v>2.6989277530370366E-3</v>
      </c>
    </row>
    <row r="39" spans="1:20" x14ac:dyDescent="0.25">
      <c r="A39" s="5">
        <v>44554</v>
      </c>
      <c r="B39">
        <v>107.4</v>
      </c>
      <c r="C39">
        <v>109.7</v>
      </c>
      <c r="D39">
        <v>103.71</v>
      </c>
      <c r="E39">
        <v>104.66</v>
      </c>
      <c r="F39">
        <v>537584.84</v>
      </c>
      <c r="G39">
        <v>104.66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-0.68280467445742854</v>
      </c>
      <c r="Q39">
        <f t="shared" ref="Q39" si="171">F39*P39</f>
        <v>-367065.4416694488</v>
      </c>
      <c r="R39">
        <f t="shared" ref="R39" si="172">R40+Q39</f>
        <v>-49919.477823985275</v>
      </c>
      <c r="S39">
        <f t="shared" ref="S39" si="173">R39/100000</f>
        <v>-0.49919477823985275</v>
      </c>
      <c r="T39">
        <f t="shared" ref="T39" si="174">S39/1000</f>
        <v>-4.9919477823985277E-4</v>
      </c>
    </row>
    <row r="40" spans="1:20" x14ac:dyDescent="0.25">
      <c r="A40" s="5">
        <v>44553</v>
      </c>
      <c r="B40">
        <v>101.57</v>
      </c>
      <c r="C40">
        <v>108</v>
      </c>
      <c r="D40">
        <v>99.45</v>
      </c>
      <c r="E40">
        <v>107.41</v>
      </c>
      <c r="F40">
        <v>579448</v>
      </c>
      <c r="G40">
        <v>107.41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0.86198830409356642</v>
      </c>
      <c r="Q40">
        <f t="shared" ref="Q40" si="176">F40*P40</f>
        <v>499477.39883040887</v>
      </c>
      <c r="R40">
        <f t="shared" ref="R40" si="177">R41+Q40</f>
        <v>317145.96384546353</v>
      </c>
      <c r="S40">
        <f t="shared" ref="S40" si="178">R40/100000</f>
        <v>3.1714596384546354</v>
      </c>
      <c r="T40">
        <f t="shared" ref="T40" si="179">S40/1000</f>
        <v>3.1714596384546353E-3</v>
      </c>
    </row>
    <row r="41" spans="1:20" x14ac:dyDescent="0.25">
      <c r="A41" s="5">
        <v>44552</v>
      </c>
      <c r="B41">
        <v>97.25</v>
      </c>
      <c r="C41">
        <v>104.44</v>
      </c>
      <c r="D41">
        <v>95.98</v>
      </c>
      <c r="E41">
        <v>101.56</v>
      </c>
      <c r="F41">
        <v>834325.27</v>
      </c>
      <c r="G41">
        <v>101.56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0.31914893617021334</v>
      </c>
      <c r="Q41">
        <f t="shared" ref="Q41" si="181">F41*P41</f>
        <v>266274.02234042599</v>
      </c>
      <c r="R41">
        <f t="shared" ref="R41" si="182">R42+Q41</f>
        <v>-182331.43498494534</v>
      </c>
      <c r="S41">
        <f t="shared" ref="S41" si="183">R41/100000</f>
        <v>-1.8233143498494535</v>
      </c>
      <c r="T41">
        <f t="shared" ref="T41" si="184">S41/1000</f>
        <v>-1.8233143498494536E-3</v>
      </c>
    </row>
    <row r="42" spans="1:20" x14ac:dyDescent="0.25">
      <c r="A42" s="5">
        <v>44551</v>
      </c>
      <c r="B42">
        <v>92.76</v>
      </c>
      <c r="C42">
        <v>97.93</v>
      </c>
      <c r="D42">
        <v>92.2</v>
      </c>
      <c r="E42">
        <v>97.27</v>
      </c>
      <c r="F42">
        <v>717636.26</v>
      </c>
      <c r="G42">
        <v>97.27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0.76963350785339957</v>
      </c>
      <c r="Q42">
        <f t="shared" ref="Q42" si="186">F42*P42</f>
        <v>552316.91214659426</v>
      </c>
      <c r="R42">
        <f t="shared" ref="R42" si="187">R43+Q42</f>
        <v>-448605.45732537133</v>
      </c>
      <c r="S42">
        <f t="shared" ref="S42" si="188">R42/100000</f>
        <v>-4.4860545732537132</v>
      </c>
      <c r="T42">
        <f t="shared" ref="T42" si="189">S42/1000</f>
        <v>-4.4860545732537133E-3</v>
      </c>
    </row>
    <row r="43" spans="1:20" x14ac:dyDescent="0.25">
      <c r="A43" s="5">
        <v>44550</v>
      </c>
      <c r="B43">
        <v>95.21</v>
      </c>
      <c r="C43">
        <v>96.07</v>
      </c>
      <c r="D43">
        <v>89.5</v>
      </c>
      <c r="E43">
        <v>92.77</v>
      </c>
      <c r="F43">
        <v>470124.92</v>
      </c>
      <c r="G43">
        <v>92.77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-4.566210045662278E-3</v>
      </c>
      <c r="Q43">
        <f t="shared" ref="Q43" si="191">F43*P43</f>
        <v>-2146.6891324201747</v>
      </c>
      <c r="R43">
        <f t="shared" ref="R43" si="192">R44+Q43</f>
        <v>-1000922.3694719656</v>
      </c>
      <c r="S43">
        <f t="shared" ref="S43" si="193">R43/100000</f>
        <v>-10.009223694719656</v>
      </c>
      <c r="T43">
        <f t="shared" ref="T43" si="194">S43/1000</f>
        <v>-1.0009223694719656E-2</v>
      </c>
    </row>
    <row r="44" spans="1:20" x14ac:dyDescent="0.25">
      <c r="A44" s="5">
        <v>44549</v>
      </c>
      <c r="B44">
        <v>96.11</v>
      </c>
      <c r="C44">
        <v>98.54</v>
      </c>
      <c r="D44">
        <v>94.4</v>
      </c>
      <c r="E44">
        <v>95.26</v>
      </c>
      <c r="F44">
        <v>330327.03000000003</v>
      </c>
      <c r="G44">
        <v>95.26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-0.58454106280193274</v>
      </c>
      <c r="Q44">
        <f t="shared" ref="Q44" si="196">F44*P44</f>
        <v>-193089.71318840593</v>
      </c>
      <c r="R44">
        <f t="shared" ref="R44" si="197">R45+Q44</f>
        <v>-998775.68033954536</v>
      </c>
      <c r="S44">
        <f t="shared" ref="S44" si="198">R44/100000</f>
        <v>-9.9877568033954542</v>
      </c>
      <c r="T44">
        <f t="shared" ref="T44" si="199">S44/1000</f>
        <v>-9.9877568033954547E-3</v>
      </c>
    </row>
    <row r="45" spans="1:20" x14ac:dyDescent="0.25">
      <c r="A45" s="5">
        <v>44548</v>
      </c>
      <c r="B45">
        <v>94.48</v>
      </c>
      <c r="C45">
        <v>97.46</v>
      </c>
      <c r="D45">
        <v>92.5</v>
      </c>
      <c r="E45">
        <v>96.14</v>
      </c>
      <c r="F45">
        <v>360114.64</v>
      </c>
      <c r="G45">
        <v>96.14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0.46774193548387305</v>
      </c>
      <c r="Q45">
        <f t="shared" ref="Q45" si="201">F45*P45</f>
        <v>168440.71870967819</v>
      </c>
      <c r="R45">
        <f t="shared" ref="R45" si="202">R46+Q45</f>
        <v>-805685.9671511394</v>
      </c>
      <c r="S45">
        <f t="shared" ref="S45" si="203">R45/100000</f>
        <v>-8.0568596715113934</v>
      </c>
      <c r="T45">
        <f t="shared" ref="T45" si="204">S45/1000</f>
        <v>-8.0568596715113929E-3</v>
      </c>
    </row>
    <row r="46" spans="1:20" x14ac:dyDescent="0.25">
      <c r="A46" s="5">
        <v>44547</v>
      </c>
      <c r="B46">
        <v>97.91</v>
      </c>
      <c r="C46">
        <v>99.2</v>
      </c>
      <c r="D46">
        <v>91.4</v>
      </c>
      <c r="E46">
        <v>94.48</v>
      </c>
      <c r="F46">
        <v>544875.6</v>
      </c>
      <c r="G46">
        <v>94.48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-0.2102564102564104</v>
      </c>
      <c r="Q46">
        <f t="shared" ref="Q46" si="206">F46*P46</f>
        <v>-114563.58769230776</v>
      </c>
      <c r="R46">
        <f t="shared" ref="R46" si="207">R47+Q46</f>
        <v>-974126.68586081755</v>
      </c>
      <c r="S46">
        <f t="shared" ref="S46" si="208">R46/100000</f>
        <v>-9.7412668586081761</v>
      </c>
      <c r="T46">
        <f t="shared" ref="T46" si="209">S46/1000</f>
        <v>-9.741266858608176E-3</v>
      </c>
    </row>
    <row r="47" spans="1:20" x14ac:dyDescent="0.25">
      <c r="A47" s="5">
        <v>44546</v>
      </c>
      <c r="B47">
        <v>101.42</v>
      </c>
      <c r="C47">
        <v>103.93</v>
      </c>
      <c r="D47">
        <v>97.28</v>
      </c>
      <c r="E47">
        <v>97.9</v>
      </c>
      <c r="F47">
        <v>384852.53</v>
      </c>
      <c r="G47">
        <v>97.9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-0.813533834586465</v>
      </c>
      <c r="Q47">
        <f t="shared" ref="Q47" si="211">F47*P47</f>
        <v>-313090.55448120256</v>
      </c>
      <c r="R47">
        <f t="shared" ref="R47" si="212">R48+Q47</f>
        <v>-859563.09816850978</v>
      </c>
      <c r="S47">
        <f t="shared" ref="S47" si="213">R47/100000</f>
        <v>-8.5956309816850975</v>
      </c>
      <c r="T47">
        <f t="shared" ref="T47" si="214">S47/1000</f>
        <v>-8.5956309816850977E-3</v>
      </c>
    </row>
    <row r="48" spans="1:20" x14ac:dyDescent="0.25">
      <c r="A48" s="5">
        <v>44545</v>
      </c>
      <c r="B48">
        <v>96.01</v>
      </c>
      <c r="C48">
        <v>103.14</v>
      </c>
      <c r="D48">
        <v>91.79</v>
      </c>
      <c r="E48">
        <v>101.42</v>
      </c>
      <c r="F48">
        <v>655964.78</v>
      </c>
      <c r="G48">
        <v>101.42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0.69691629955947143</v>
      </c>
      <c r="Q48">
        <f t="shared" ref="Q48" si="216">F48*P48</f>
        <v>457152.54711894278</v>
      </c>
      <c r="R48">
        <f t="shared" ref="R48" si="217">R49+Q48</f>
        <v>-546472.54368730728</v>
      </c>
      <c r="S48">
        <f t="shared" ref="S48" si="218">R48/100000</f>
        <v>-5.4647254368730724</v>
      </c>
      <c r="T48">
        <f t="shared" ref="T48" si="219">S48/1000</f>
        <v>-5.4647254368730726E-3</v>
      </c>
    </row>
    <row r="49" spans="1:20" x14ac:dyDescent="0.25">
      <c r="A49" s="5">
        <v>44544</v>
      </c>
      <c r="B49">
        <v>92.89</v>
      </c>
      <c r="C49">
        <v>97.34</v>
      </c>
      <c r="D49">
        <v>91.94</v>
      </c>
      <c r="E49">
        <v>96.13</v>
      </c>
      <c r="F49">
        <v>764737.25</v>
      </c>
      <c r="G49">
        <v>96.13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0.55185185185184937</v>
      </c>
      <c r="Q49">
        <f t="shared" ref="Q49" si="221">F49*P49</f>
        <v>422021.66759259067</v>
      </c>
      <c r="R49">
        <f t="shared" ref="R49" si="222">R50+Q49</f>
        <v>-1003625.09080625</v>
      </c>
      <c r="S49">
        <f t="shared" ref="S49" si="223">R49/100000</f>
        <v>-10.036250908062501</v>
      </c>
      <c r="T49">
        <f t="shared" ref="T49" si="224">S49/1000</f>
        <v>-1.00362509080625E-2</v>
      </c>
    </row>
    <row r="50" spans="1:20" x14ac:dyDescent="0.25">
      <c r="A50" s="5">
        <v>44543</v>
      </c>
      <c r="B50">
        <v>104.11</v>
      </c>
      <c r="C50">
        <v>104.87</v>
      </c>
      <c r="D50">
        <v>90.83</v>
      </c>
      <c r="E50">
        <v>92.89</v>
      </c>
      <c r="F50">
        <v>699677.05</v>
      </c>
      <c r="G50">
        <v>92.89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-0.70655270655270641</v>
      </c>
      <c r="Q50">
        <f t="shared" ref="Q50" si="226">F50*P50</f>
        <v>-494358.71339031332</v>
      </c>
      <c r="R50">
        <f t="shared" ref="R50" si="227">R51+Q50</f>
        <v>-1425646.7583988407</v>
      </c>
      <c r="S50">
        <f t="shared" ref="S50" si="228">R50/100000</f>
        <v>-14.256467583988407</v>
      </c>
      <c r="T50">
        <f t="shared" ref="T50" si="229">S50/1000</f>
        <v>-1.4256467583988406E-2</v>
      </c>
    </row>
    <row r="51" spans="1:20" x14ac:dyDescent="0.25">
      <c r="A51" s="5">
        <v>44542</v>
      </c>
      <c r="B51">
        <v>103.12</v>
      </c>
      <c r="C51">
        <v>105.82</v>
      </c>
      <c r="D51">
        <v>100.43</v>
      </c>
      <c r="E51">
        <v>104.14</v>
      </c>
      <c r="F51">
        <v>296220.37</v>
      </c>
      <c r="G51">
        <v>104.14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0.3766233766233778</v>
      </c>
      <c r="Q51">
        <f t="shared" ref="Q51" si="231">F51*P51</f>
        <v>111563.51597402632</v>
      </c>
      <c r="R51">
        <f t="shared" ref="R51" si="232">R52+Q51</f>
        <v>-931288.04500852723</v>
      </c>
      <c r="S51">
        <f t="shared" ref="S51" si="233">R51/100000</f>
        <v>-9.312880450085272</v>
      </c>
      <c r="T51">
        <f t="shared" ref="T51" si="234">S51/1000</f>
        <v>-9.3128804500852719E-3</v>
      </c>
    </row>
    <row r="52" spans="1:20" x14ac:dyDescent="0.25">
      <c r="A52" s="5">
        <v>44541</v>
      </c>
      <c r="B52">
        <v>97.45</v>
      </c>
      <c r="C52">
        <v>99.45</v>
      </c>
      <c r="D52">
        <v>95.41</v>
      </c>
      <c r="E52">
        <v>98.68</v>
      </c>
      <c r="F52">
        <v>50996.74</v>
      </c>
      <c r="G52">
        <v>98.68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0.61881188118812136</v>
      </c>
      <c r="Q52">
        <f t="shared" ref="Q52" si="236">F52*P52</f>
        <v>31557.388613861516</v>
      </c>
      <c r="R52">
        <f t="shared" ref="R52" si="237">R53+Q52</f>
        <v>-1042851.5609825535</v>
      </c>
      <c r="S52">
        <f t="shared" ref="S52" si="238">R52/100000</f>
        <v>-10.428515609825535</v>
      </c>
      <c r="T52">
        <f t="shared" ref="T52" si="239">S52/1000</f>
        <v>-1.0428515609825535E-2</v>
      </c>
    </row>
    <row r="53" spans="1:20" x14ac:dyDescent="0.25">
      <c r="A53" s="5">
        <v>44540</v>
      </c>
      <c r="B53">
        <v>103.67</v>
      </c>
      <c r="C53">
        <v>106.71</v>
      </c>
      <c r="D53">
        <v>97.1</v>
      </c>
      <c r="E53">
        <v>97.5</v>
      </c>
      <c r="F53">
        <v>570313.25</v>
      </c>
      <c r="G53">
        <v>97.5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-0.91675338189385935</v>
      </c>
      <c r="Q53">
        <f t="shared" ref="Q53" si="241">F53*P53</f>
        <v>-522836.60067637806</v>
      </c>
      <c r="R53">
        <f t="shared" ref="R53" si="242">R54+Q53</f>
        <v>-1074408.949596415</v>
      </c>
      <c r="S53">
        <f t="shared" ref="S53" si="243">R53/100000</f>
        <v>-10.74408949596415</v>
      </c>
      <c r="T53">
        <f t="shared" ref="T53" si="244">S53/1000</f>
        <v>-1.074408949596415E-2</v>
      </c>
    </row>
    <row r="54" spans="1:20" x14ac:dyDescent="0.25">
      <c r="A54" s="5">
        <v>44539</v>
      </c>
      <c r="B54">
        <v>113.35</v>
      </c>
      <c r="C54">
        <v>115.3</v>
      </c>
      <c r="D54">
        <v>102.65</v>
      </c>
      <c r="E54">
        <v>103.68</v>
      </c>
      <c r="F54">
        <v>1300080.76</v>
      </c>
      <c r="G54">
        <v>103.68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-0.83715415019762818</v>
      </c>
      <c r="Q54">
        <f t="shared" ref="Q54" si="246">F54*P54</f>
        <v>-1088368.0038260866</v>
      </c>
      <c r="R54">
        <f t="shared" ref="R54" si="247">R55+Q54</f>
        <v>-551572.34892003704</v>
      </c>
      <c r="S54">
        <f t="shared" ref="S54" si="248">R54/100000</f>
        <v>-5.5157234892003704</v>
      </c>
      <c r="T54">
        <f t="shared" ref="T54" si="249">S54/1000</f>
        <v>-5.5157234892003705E-3</v>
      </c>
    </row>
    <row r="55" spans="1:20" x14ac:dyDescent="0.25">
      <c r="A55" s="5">
        <v>44538</v>
      </c>
      <c r="B55">
        <v>105.64</v>
      </c>
      <c r="C55">
        <v>122</v>
      </c>
      <c r="D55">
        <v>104.92</v>
      </c>
      <c r="E55">
        <v>113.33</v>
      </c>
      <c r="F55">
        <v>1680750.67</v>
      </c>
      <c r="G55">
        <v>113.33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-1.5222482435597491E-2</v>
      </c>
      <c r="Q55">
        <f t="shared" ref="Q55" si="251">F55*P55</f>
        <v>-25585.197552693713</v>
      </c>
      <c r="R55">
        <f t="shared" ref="R55" si="252">R56+Q55</f>
        <v>536795.6549060496</v>
      </c>
      <c r="S55">
        <f t="shared" ref="S55" si="253">R55/100000</f>
        <v>5.3679565490604961</v>
      </c>
      <c r="T55">
        <f t="shared" ref="T55" si="254">S55/1000</f>
        <v>5.367956549060496E-3</v>
      </c>
    </row>
    <row r="56" spans="1:20" x14ac:dyDescent="0.25">
      <c r="A56" s="5">
        <v>44537</v>
      </c>
      <c r="B56">
        <v>105.72</v>
      </c>
      <c r="C56">
        <v>110.31</v>
      </c>
      <c r="D56">
        <v>104.11</v>
      </c>
      <c r="E56">
        <v>105.67</v>
      </c>
      <c r="F56">
        <v>639207.35</v>
      </c>
      <c r="G56">
        <v>105.67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-0.49677419354838659</v>
      </c>
      <c r="Q56">
        <f t="shared" ref="Q56" si="256">F56*P56</f>
        <v>-317541.71580645128</v>
      </c>
      <c r="R56">
        <f t="shared" ref="R56" si="257">R57+Q56</f>
        <v>562380.85245874326</v>
      </c>
      <c r="S56">
        <f t="shared" ref="S56" si="258">R56/100000</f>
        <v>5.6238085245874325</v>
      </c>
      <c r="T56">
        <f t="shared" ref="T56" si="259">S56/1000</f>
        <v>5.6238085245874326E-3</v>
      </c>
    </row>
    <row r="57" spans="1:20" x14ac:dyDescent="0.25">
      <c r="A57" s="5">
        <v>44536</v>
      </c>
      <c r="B57">
        <v>107.47</v>
      </c>
      <c r="C57">
        <v>107.61</v>
      </c>
      <c r="D57">
        <v>95</v>
      </c>
      <c r="E57">
        <v>105.78</v>
      </c>
      <c r="F57">
        <v>1212468.58</v>
      </c>
      <c r="G57">
        <v>105.78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0.70975416336241104</v>
      </c>
      <c r="Q57">
        <f t="shared" ref="Q57" si="261">F57*P57</f>
        <v>860554.6226011106</v>
      </c>
      <c r="R57">
        <f t="shared" ref="R57" si="262">R58+Q57</f>
        <v>879922.56826519454</v>
      </c>
      <c r="S57">
        <f t="shared" ref="S57" si="263">R57/100000</f>
        <v>8.7992256826519455</v>
      </c>
      <c r="T57">
        <f t="shared" ref="T57" si="264">S57/1000</f>
        <v>8.7992256826519462E-3</v>
      </c>
    </row>
    <row r="58" spans="1:20" x14ac:dyDescent="0.25">
      <c r="A58" s="5">
        <v>44535</v>
      </c>
      <c r="B58">
        <v>117.84</v>
      </c>
      <c r="C58">
        <v>121.28</v>
      </c>
      <c r="D58">
        <v>104.35</v>
      </c>
      <c r="E58">
        <v>107.45</v>
      </c>
      <c r="F58">
        <v>877797</v>
      </c>
      <c r="G58">
        <v>107.45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-0.63378617838157036</v>
      </c>
      <c r="Q58">
        <f t="shared" ref="Q58" si="266">F58*P58</f>
        <v>-556335.60602480732</v>
      </c>
      <c r="R58">
        <f t="shared" ref="R58" si="267">R59+Q58</f>
        <v>19367.945664083934</v>
      </c>
      <c r="S58">
        <f t="shared" ref="S58" si="268">R58/100000</f>
        <v>0.19367945664083935</v>
      </c>
      <c r="T58">
        <f t="shared" ref="T58" si="269">S58/1000</f>
        <v>1.9367945664083936E-4</v>
      </c>
    </row>
    <row r="59" spans="1:20" x14ac:dyDescent="0.25">
      <c r="A59" s="5">
        <v>44534</v>
      </c>
      <c r="B59">
        <v>127.32</v>
      </c>
      <c r="C59">
        <v>128.08000000000001</v>
      </c>
      <c r="D59">
        <v>98.3</v>
      </c>
      <c r="E59">
        <v>118</v>
      </c>
      <c r="F59">
        <v>2060663.96</v>
      </c>
      <c r="G59">
        <v>118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0.32303559435862944</v>
      </c>
      <c r="Q59">
        <f t="shared" ref="Q59" si="271">F59*P59</f>
        <v>665667.80709200702</v>
      </c>
      <c r="R59">
        <f t="shared" ref="R59" si="272">R60+Q59</f>
        <v>575703.55168889125</v>
      </c>
      <c r="S59">
        <f t="shared" ref="S59" si="273">R59/100000</f>
        <v>5.7570355168889122</v>
      </c>
      <c r="T59">
        <f t="shared" ref="T59" si="274">S59/1000</f>
        <v>5.7570355168889125E-3</v>
      </c>
    </row>
    <row r="60" spans="1:20" x14ac:dyDescent="0.25">
      <c r="A60" s="5">
        <v>44533</v>
      </c>
      <c r="B60">
        <v>135.02000000000001</v>
      </c>
      <c r="C60">
        <v>142.57</v>
      </c>
      <c r="D60">
        <v>125</v>
      </c>
      <c r="E60">
        <v>127.49</v>
      </c>
      <c r="F60">
        <v>1471647.31</v>
      </c>
      <c r="G60">
        <v>127.49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-0.71656232214001181</v>
      </c>
      <c r="Q60">
        <f t="shared" ref="Q60" si="276">F60*P60</f>
        <v>-1054527.0138247018</v>
      </c>
      <c r="R60">
        <f t="shared" ref="R60" si="277">R61+Q60</f>
        <v>-89964.255403115763</v>
      </c>
      <c r="S60">
        <f t="shared" ref="S60" si="278">R60/100000</f>
        <v>-0.89964255403115767</v>
      </c>
      <c r="T60">
        <f t="shared" ref="T60" si="279">S60/1000</f>
        <v>-8.9964255403115762E-4</v>
      </c>
    </row>
    <row r="61" spans="1:20" x14ac:dyDescent="0.25">
      <c r="A61" s="5">
        <v>44532</v>
      </c>
      <c r="B61">
        <v>135.05000000000001</v>
      </c>
      <c r="C61">
        <v>135.96</v>
      </c>
      <c r="D61">
        <v>131.36000000000001</v>
      </c>
      <c r="E61">
        <v>135.02000000000001</v>
      </c>
      <c r="F61">
        <v>393690.65</v>
      </c>
      <c r="G61">
        <v>135.02000000000001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0.59130434782608743</v>
      </c>
      <c r="Q61">
        <f t="shared" ref="Q61" si="281">F61*P61</f>
        <v>232790.99304347846</v>
      </c>
      <c r="R61">
        <f t="shared" ref="R61" si="282">R62+Q61</f>
        <v>964562.75842158601</v>
      </c>
      <c r="S61">
        <f t="shared" ref="S61" si="283">R61/100000</f>
        <v>9.6456275842158608</v>
      </c>
      <c r="T61">
        <f t="shared" ref="T61" si="284">S61/1000</f>
        <v>9.6456275842158601E-3</v>
      </c>
    </row>
    <row r="62" spans="1:20" x14ac:dyDescent="0.25">
      <c r="A62" s="5">
        <v>44531</v>
      </c>
      <c r="B62">
        <v>137.08000000000001</v>
      </c>
      <c r="C62">
        <v>143.25</v>
      </c>
      <c r="D62">
        <v>133.4</v>
      </c>
      <c r="E62">
        <v>135.02000000000001</v>
      </c>
      <c r="F62">
        <v>775007.15</v>
      </c>
      <c r="G62">
        <v>135.02000000000001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-0.67106598984771459</v>
      </c>
      <c r="Q62">
        <f t="shared" ref="Q62" si="286">F62*P62</f>
        <v>-520080.94025380624</v>
      </c>
      <c r="R62">
        <f t="shared" ref="R62" si="287">R63+Q62</f>
        <v>731771.76537810755</v>
      </c>
      <c r="S62">
        <f t="shared" ref="S62" si="288">R62/100000</f>
        <v>7.3177176537810755</v>
      </c>
      <c r="T62">
        <f t="shared" ref="T62" si="289">S62/1000</f>
        <v>7.3177176537810758E-3</v>
      </c>
    </row>
    <row r="63" spans="1:20" x14ac:dyDescent="0.25">
      <c r="A63" s="5">
        <v>44530</v>
      </c>
      <c r="B63">
        <v>134.49</v>
      </c>
      <c r="C63">
        <v>139.75</v>
      </c>
      <c r="D63">
        <v>131.65</v>
      </c>
      <c r="E63">
        <v>137.01</v>
      </c>
      <c r="F63">
        <v>680606.31</v>
      </c>
      <c r="G63">
        <v>137.01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0.32345679012345407</v>
      </c>
      <c r="Q63">
        <f t="shared" ref="Q63" si="291">F63*P63</f>
        <v>220146.73237036855</v>
      </c>
      <c r="R63">
        <f t="shared" ref="R63" si="292">R64+Q63</f>
        <v>1251852.7056319139</v>
      </c>
      <c r="S63">
        <f t="shared" ref="S63" si="293">R63/100000</f>
        <v>12.518527056319138</v>
      </c>
      <c r="T63">
        <f t="shared" ref="T63" si="294">S63/1000</f>
        <v>1.2518527056319138E-2</v>
      </c>
    </row>
    <row r="64" spans="1:20" x14ac:dyDescent="0.25">
      <c r="A64" s="5">
        <v>44529</v>
      </c>
      <c r="B64">
        <v>133.03</v>
      </c>
      <c r="C64">
        <v>137.69</v>
      </c>
      <c r="D64">
        <v>132.75</v>
      </c>
      <c r="E64">
        <v>134.52000000000001</v>
      </c>
      <c r="F64">
        <v>621492.94999999995</v>
      </c>
      <c r="G64">
        <v>134.52000000000001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-0.2834008097165947</v>
      </c>
      <c r="Q64">
        <f t="shared" ref="Q64" si="296">F64*P64</f>
        <v>-176131.6052631551</v>
      </c>
      <c r="R64">
        <f t="shared" ref="R64" si="297">R65+Q64</f>
        <v>1031705.9732615453</v>
      </c>
      <c r="S64">
        <f t="shared" ref="S64" si="298">R64/100000</f>
        <v>10.317059732615453</v>
      </c>
      <c r="T64">
        <f t="shared" ref="T64" si="299">S64/1000</f>
        <v>1.0317059732615453E-2</v>
      </c>
    </row>
    <row r="65" spans="1:20" x14ac:dyDescent="0.25">
      <c r="A65" s="5">
        <v>44528</v>
      </c>
      <c r="B65">
        <v>127.66</v>
      </c>
      <c r="C65">
        <v>134.88999999999999</v>
      </c>
      <c r="D65">
        <v>123.11</v>
      </c>
      <c r="E65">
        <v>133.06</v>
      </c>
      <c r="F65">
        <v>589318.64</v>
      </c>
      <c r="G65">
        <v>133.06</v>
      </c>
      <c r="L65" t="s">
        <v>8</v>
      </c>
      <c r="M65" t="s">
        <v>7</v>
      </c>
      <c r="N65" t="s">
        <v>8</v>
      </c>
      <c r="P65">
        <f t="shared" ref="P65" si="300">IF(C65=D65,0,((E65-D65)-(C65-E65))/(C65-D65))</f>
        <v>0.68930390492360172</v>
      </c>
      <c r="Q65">
        <f t="shared" ref="Q65" si="301">F65*P65</f>
        <v>406219.63979626627</v>
      </c>
      <c r="R65">
        <f t="shared" ref="R65" si="302">R66+Q65</f>
        <v>1207837.5785247004</v>
      </c>
      <c r="S65">
        <f t="shared" ref="S65" si="303">R65/100000</f>
        <v>12.078375785247003</v>
      </c>
      <c r="T65">
        <f t="shared" ref="T65" si="304">S65/1000</f>
        <v>1.2078375785247003E-2</v>
      </c>
    </row>
    <row r="66" spans="1:20" x14ac:dyDescent="0.25">
      <c r="A66" s="5">
        <v>44527</v>
      </c>
      <c r="B66">
        <v>125.62</v>
      </c>
      <c r="C66">
        <v>129.84</v>
      </c>
      <c r="D66">
        <v>124.55</v>
      </c>
      <c r="E66">
        <v>127.66</v>
      </c>
      <c r="F66">
        <v>412613.73</v>
      </c>
      <c r="G66">
        <v>127.66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0.17580340264650124</v>
      </c>
      <c r="Q66">
        <f t="shared" ref="Q66" si="306">F66*P66</f>
        <v>72538.897712664751</v>
      </c>
      <c r="R66">
        <f t="shared" ref="R66" si="307">R67+Q66</f>
        <v>801617.93872843403</v>
      </c>
      <c r="S66">
        <f t="shared" ref="S66" si="308">R66/100000</f>
        <v>8.0161793872843408</v>
      </c>
      <c r="T66">
        <f t="shared" ref="T66" si="309">S66/1000</f>
        <v>8.01617938728434E-3</v>
      </c>
    </row>
    <row r="67" spans="1:20" x14ac:dyDescent="0.25">
      <c r="A67" s="5">
        <v>44526</v>
      </c>
      <c r="B67">
        <v>138.82</v>
      </c>
      <c r="C67">
        <v>140.22999999999999</v>
      </c>
      <c r="D67">
        <v>122.51</v>
      </c>
      <c r="E67">
        <v>125.73</v>
      </c>
      <c r="F67">
        <v>919750.44</v>
      </c>
      <c r="G67">
        <v>125.73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-0.63656884875846487</v>
      </c>
      <c r="Q67">
        <f t="shared" ref="Q67" si="311">F67*P67</f>
        <v>-585484.47873589152</v>
      </c>
      <c r="R67">
        <f t="shared" ref="R67" si="312">R68+Q67</f>
        <v>729079.04101576924</v>
      </c>
      <c r="S67">
        <f t="shared" ref="S67" si="313">R67/100000</f>
        <v>7.2907904101576921</v>
      </c>
      <c r="T67">
        <f t="shared" ref="T67" si="314">S67/1000</f>
        <v>7.2907904101576918E-3</v>
      </c>
    </row>
    <row r="68" spans="1:20" x14ac:dyDescent="0.25">
      <c r="A68" s="5">
        <v>44525</v>
      </c>
      <c r="B68">
        <v>140.13</v>
      </c>
      <c r="C68">
        <v>144.83000000000001</v>
      </c>
      <c r="D68">
        <v>136.62</v>
      </c>
      <c r="E68">
        <v>138.80000000000001</v>
      </c>
      <c r="F68">
        <v>889696.47</v>
      </c>
      <c r="G68">
        <v>138.80000000000001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-0.46894031668696595</v>
      </c>
      <c r="Q68">
        <f t="shared" ref="Q68" si="316">F68*P68</f>
        <v>-417214.54439707572</v>
      </c>
      <c r="R68">
        <f t="shared" ref="R68" si="317">R69+Q68</f>
        <v>1314563.5197516608</v>
      </c>
      <c r="S68">
        <f t="shared" ref="S68" si="318">R68/100000</f>
        <v>13.145635197516608</v>
      </c>
      <c r="T68">
        <f t="shared" ref="T68" si="319">S68/1000</f>
        <v>1.3145635197516608E-2</v>
      </c>
    </row>
    <row r="69" spans="1:20" x14ac:dyDescent="0.25">
      <c r="A69" s="5">
        <v>44524</v>
      </c>
      <c r="B69">
        <v>136.43</v>
      </c>
      <c r="C69">
        <v>137.57</v>
      </c>
      <c r="D69">
        <v>132.58000000000001</v>
      </c>
      <c r="E69">
        <v>134.06</v>
      </c>
      <c r="F69">
        <v>242634.78</v>
      </c>
      <c r="G69">
        <v>134.06</v>
      </c>
      <c r="L69" t="s">
        <v>8</v>
      </c>
      <c r="M69" t="s">
        <v>7</v>
      </c>
      <c r="N69" t="s">
        <v>8</v>
      </c>
      <c r="P69">
        <f t="shared" ref="P69" si="320">IF(C69=D69,0,((E69-D69)-(C69-E69))/(C69-D69))</f>
        <v>-0.40681362725451081</v>
      </c>
      <c r="Q69">
        <f t="shared" ref="Q69" si="321">F69*P69</f>
        <v>-98707.134949900239</v>
      </c>
      <c r="R69">
        <f t="shared" ref="R69" si="322">R70+Q69</f>
        <v>1731778.0641487364</v>
      </c>
      <c r="S69">
        <f t="shared" ref="S69" si="323">R69/100000</f>
        <v>17.317780641487364</v>
      </c>
      <c r="T69">
        <f t="shared" ref="T69" si="324">S69/1000</f>
        <v>1.7317780641487365E-2</v>
      </c>
    </row>
    <row r="70" spans="1:20" x14ac:dyDescent="0.25">
      <c r="A70" s="5">
        <v>44523</v>
      </c>
      <c r="B70">
        <v>128.08000000000001</v>
      </c>
      <c r="C70">
        <v>138.96</v>
      </c>
      <c r="D70">
        <v>126.67</v>
      </c>
      <c r="E70">
        <v>136.35</v>
      </c>
      <c r="F70">
        <v>825040.43</v>
      </c>
      <c r="G70">
        <v>136.35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0.57526444263628762</v>
      </c>
      <c r="Q70">
        <f t="shared" ref="Q70" si="326">F70*P70</f>
        <v>474616.42311635311</v>
      </c>
      <c r="R70">
        <f t="shared" ref="R70" si="327">R71+Q70</f>
        <v>1830485.1990986366</v>
      </c>
      <c r="S70">
        <f t="shared" ref="S70" si="328">R70/100000</f>
        <v>18.304851990986368</v>
      </c>
      <c r="T70">
        <f t="shared" ref="T70" si="329">S70/1000</f>
        <v>1.8304851990986366E-2</v>
      </c>
    </row>
    <row r="71" spans="1:20" x14ac:dyDescent="0.25">
      <c r="A71" s="5">
        <v>44522</v>
      </c>
      <c r="B71">
        <v>130.03</v>
      </c>
      <c r="C71">
        <v>132.69999999999999</v>
      </c>
      <c r="D71">
        <v>125.87</v>
      </c>
      <c r="E71">
        <v>128.11000000000001</v>
      </c>
      <c r="F71">
        <v>621987.17000000004</v>
      </c>
      <c r="G71">
        <v>128.11000000000001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-0.34407027818447605</v>
      </c>
      <c r="Q71">
        <f t="shared" ref="Q71" si="331">F71*P71</f>
        <v>-214007.29860907502</v>
      </c>
      <c r="R71">
        <f t="shared" ref="R71" si="332">R72+Q71</f>
        <v>1355868.7759822835</v>
      </c>
      <c r="S71">
        <f t="shared" ref="S71" si="333">R71/100000</f>
        <v>13.558687759822835</v>
      </c>
      <c r="T71">
        <f t="shared" ref="T71" si="334">S71/1000</f>
        <v>1.3558687759822835E-2</v>
      </c>
    </row>
    <row r="72" spans="1:20" x14ac:dyDescent="0.25">
      <c r="A72" s="5">
        <v>44521</v>
      </c>
      <c r="B72">
        <v>132.49</v>
      </c>
      <c r="C72">
        <v>142.13</v>
      </c>
      <c r="D72">
        <v>128.16</v>
      </c>
      <c r="E72">
        <v>129.94</v>
      </c>
      <c r="F72">
        <v>1011598.95</v>
      </c>
      <c r="G72">
        <v>129.94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-0.7451682176091623</v>
      </c>
      <c r="Q72">
        <f t="shared" ref="Q72" si="336">F72*P72</f>
        <v>-753811.38650680007</v>
      </c>
      <c r="R72">
        <f t="shared" ref="R72" si="337">R73+Q72</f>
        <v>1569876.0745913587</v>
      </c>
      <c r="S72">
        <f t="shared" ref="S72" si="338">R72/100000</f>
        <v>15.698760745913587</v>
      </c>
      <c r="T72">
        <f t="shared" ref="T72" si="339">S72/1000</f>
        <v>1.5698760745913587E-2</v>
      </c>
    </row>
    <row r="73" spans="1:20" x14ac:dyDescent="0.25">
      <c r="A73" s="5">
        <v>44520</v>
      </c>
      <c r="B73">
        <v>131.6</v>
      </c>
      <c r="C73">
        <v>133.13999999999999</v>
      </c>
      <c r="D73">
        <v>126.17</v>
      </c>
      <c r="E73">
        <v>132.5</v>
      </c>
      <c r="F73">
        <v>873655.01</v>
      </c>
      <c r="G73">
        <v>132.5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0.81635581061693319</v>
      </c>
      <c r="Q73">
        <f t="shared" ref="Q73" si="341">F73*P73</f>
        <v>713213.34388809488</v>
      </c>
      <c r="R73">
        <f t="shared" ref="R73" si="342">R74+Q73</f>
        <v>2323687.4610981587</v>
      </c>
      <c r="S73">
        <f t="shared" ref="S73" si="343">R73/100000</f>
        <v>23.236874610981587</v>
      </c>
      <c r="T73">
        <f t="shared" ref="T73" si="344">S73/1000</f>
        <v>2.3236874610981586E-2</v>
      </c>
    </row>
    <row r="74" spans="1:20" x14ac:dyDescent="0.25">
      <c r="A74" s="5">
        <v>44519</v>
      </c>
      <c r="B74">
        <v>123.68</v>
      </c>
      <c r="C74">
        <v>133.35</v>
      </c>
      <c r="D74">
        <v>122.16</v>
      </c>
      <c r="E74">
        <v>131.65</v>
      </c>
      <c r="F74">
        <v>792670.35</v>
      </c>
      <c r="G74">
        <v>131.65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0.69615728328865256</v>
      </c>
      <c r="Q74">
        <f t="shared" ref="Q74" si="346">F74*P74</f>
        <v>551823.2373994654</v>
      </c>
      <c r="R74">
        <f t="shared" ref="R74" si="347">R75+Q74</f>
        <v>1610474.1172100639</v>
      </c>
      <c r="S74">
        <f t="shared" ref="S74" si="348">R74/100000</f>
        <v>16.104741172100638</v>
      </c>
      <c r="T74">
        <f t="shared" ref="T74" si="349">S74/1000</f>
        <v>1.6104741172100638E-2</v>
      </c>
    </row>
    <row r="75" spans="1:20" x14ac:dyDescent="0.25">
      <c r="A75" s="5">
        <v>44518</v>
      </c>
      <c r="B75">
        <v>135.26</v>
      </c>
      <c r="C75">
        <v>136.94</v>
      </c>
      <c r="D75">
        <v>120.28</v>
      </c>
      <c r="E75">
        <v>123.69</v>
      </c>
      <c r="F75">
        <v>1112880.3500000001</v>
      </c>
      <c r="G75">
        <v>123.69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-0.59063625450180102</v>
      </c>
      <c r="Q75">
        <f t="shared" ref="Q75" si="351">F75*P75</f>
        <v>-657307.48163265339</v>
      </c>
      <c r="R75">
        <f t="shared" ref="R75" si="352">R76+Q75</f>
        <v>1058650.8798105984</v>
      </c>
      <c r="S75">
        <f t="shared" ref="S75" si="353">R75/100000</f>
        <v>10.586508798105985</v>
      </c>
      <c r="T75">
        <f t="shared" ref="T75" si="354">S75/1000</f>
        <v>1.0586508798105985E-2</v>
      </c>
    </row>
    <row r="76" spans="1:20" x14ac:dyDescent="0.25">
      <c r="A76" s="5">
        <v>44517</v>
      </c>
      <c r="B76">
        <v>133.43</v>
      </c>
      <c r="C76">
        <v>139.77000000000001</v>
      </c>
      <c r="D76">
        <v>130.38999999999999</v>
      </c>
      <c r="E76">
        <v>135.31</v>
      </c>
      <c r="F76">
        <v>961847.63</v>
      </c>
      <c r="G76">
        <v>135.31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4.9040511727079614E-2</v>
      </c>
      <c r="Q76">
        <f t="shared" ref="Q76" si="356">F76*P76</f>
        <v>47169.49997867873</v>
      </c>
      <c r="R76">
        <f t="shared" ref="R76" si="357">R77+Q76</f>
        <v>1715958.3614432518</v>
      </c>
      <c r="S76">
        <f t="shared" ref="S76" si="358">R76/100000</f>
        <v>17.159583614432517</v>
      </c>
      <c r="T76">
        <f t="shared" ref="T76" si="359">S76/1000</f>
        <v>1.7159583614432518E-2</v>
      </c>
    </row>
    <row r="77" spans="1:20" x14ac:dyDescent="0.25">
      <c r="A77" s="5">
        <v>44516</v>
      </c>
      <c r="B77">
        <v>142.44999999999999</v>
      </c>
      <c r="C77">
        <v>142.53</v>
      </c>
      <c r="D77">
        <v>121.61</v>
      </c>
      <c r="E77">
        <v>133.43</v>
      </c>
      <c r="F77">
        <v>1009779.8</v>
      </c>
      <c r="G77">
        <v>133.43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0.13001912045889163</v>
      </c>
      <c r="Q77">
        <f t="shared" ref="Q77" si="361">F77*P77</f>
        <v>131290.6814531555</v>
      </c>
      <c r="R77">
        <f t="shared" ref="R77" si="362">R78+Q77</f>
        <v>1668788.8614645731</v>
      </c>
      <c r="S77">
        <f t="shared" ref="S77" si="363">R77/100000</f>
        <v>16.687888614645729</v>
      </c>
      <c r="T77">
        <f t="shared" ref="T77" si="364">S77/1000</f>
        <v>1.6687888614645728E-2</v>
      </c>
    </row>
    <row r="78" spans="1:20" x14ac:dyDescent="0.25">
      <c r="A78" s="5">
        <v>44515</v>
      </c>
      <c r="B78">
        <v>142.38</v>
      </c>
      <c r="C78">
        <v>146.5</v>
      </c>
      <c r="D78">
        <v>141.07</v>
      </c>
      <c r="E78">
        <v>142.54</v>
      </c>
      <c r="F78">
        <v>604006.84</v>
      </c>
      <c r="G78">
        <v>142.54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-0.45856353591160331</v>
      </c>
      <c r="Q78">
        <f t="shared" ref="Q78" si="366">F78*P78</f>
        <v>-276975.51226519403</v>
      </c>
      <c r="R78">
        <f t="shared" ref="R78" si="367">R79+Q78</f>
        <v>1537498.1800114175</v>
      </c>
      <c r="S78">
        <f t="shared" ref="S78" si="368">R78/100000</f>
        <v>15.374981800114174</v>
      </c>
      <c r="T78">
        <f t="shared" ref="T78" si="369">S78/1000</f>
        <v>1.5374981800114174E-2</v>
      </c>
    </row>
    <row r="79" spans="1:20" x14ac:dyDescent="0.25">
      <c r="A79" s="5">
        <v>44514</v>
      </c>
      <c r="B79">
        <v>142.86000000000001</v>
      </c>
      <c r="C79">
        <v>146.16</v>
      </c>
      <c r="D79">
        <v>139.9</v>
      </c>
      <c r="E79">
        <v>142.38</v>
      </c>
      <c r="F79">
        <v>530733.61</v>
      </c>
      <c r="G79">
        <v>142.38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-0.20766773162939509</v>
      </c>
      <c r="Q79">
        <f t="shared" ref="Q79" si="371">F79*P79</f>
        <v>-110216.24488818004</v>
      </c>
      <c r="R79">
        <f t="shared" ref="R79" si="372">R80+Q79</f>
        <v>1814473.6922766115</v>
      </c>
      <c r="S79">
        <f t="shared" ref="S79" si="373">R79/100000</f>
        <v>18.144736922766114</v>
      </c>
      <c r="T79">
        <f t="shared" ref="T79" si="374">S79/1000</f>
        <v>1.8144736922766115E-2</v>
      </c>
    </row>
    <row r="80" spans="1:20" x14ac:dyDescent="0.25">
      <c r="A80" s="5">
        <v>44513</v>
      </c>
      <c r="B80">
        <v>143.35</v>
      </c>
      <c r="C80">
        <v>147.66999999999999</v>
      </c>
      <c r="D80">
        <v>141.88</v>
      </c>
      <c r="E80">
        <v>142.78</v>
      </c>
      <c r="F80">
        <v>532652.27</v>
      </c>
      <c r="G80">
        <v>142.78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-0.68911917098445352</v>
      </c>
      <c r="Q80">
        <f t="shared" ref="Q80" si="376">F80*P80</f>
        <v>-367060.89072538732</v>
      </c>
      <c r="R80">
        <f t="shared" ref="R80" si="377">R81+Q80</f>
        <v>1924689.9371647914</v>
      </c>
      <c r="S80">
        <f t="shared" ref="S80" si="378">R80/100000</f>
        <v>19.246899371647913</v>
      </c>
      <c r="T80">
        <f t="shared" ref="T80" si="379">S80/1000</f>
        <v>1.9246899371647912E-2</v>
      </c>
    </row>
    <row r="81" spans="1:20" x14ac:dyDescent="0.25">
      <c r="A81" s="5">
        <v>44512</v>
      </c>
      <c r="B81">
        <v>146.21</v>
      </c>
      <c r="C81">
        <v>148.5</v>
      </c>
      <c r="D81">
        <v>138.5</v>
      </c>
      <c r="E81">
        <v>143.38999999999999</v>
      </c>
      <c r="F81">
        <v>1027864.99</v>
      </c>
      <c r="G81">
        <v>143.38999999999999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-2.2000000000002729E-2</v>
      </c>
      <c r="Q81">
        <f t="shared" ref="Q81" si="381">F81*P81</f>
        <v>-22613.029780002806</v>
      </c>
      <c r="R81">
        <f t="shared" ref="R81" si="382">R82+Q81</f>
        <v>2291750.8278901787</v>
      </c>
      <c r="S81">
        <f t="shared" ref="S81" si="383">R81/100000</f>
        <v>22.917508278901785</v>
      </c>
      <c r="T81">
        <f t="shared" ref="T81" si="384">S81/1000</f>
        <v>2.2917508278901787E-2</v>
      </c>
    </row>
    <row r="82" spans="1:20" x14ac:dyDescent="0.25">
      <c r="A82" s="5">
        <v>44511</v>
      </c>
      <c r="B82">
        <v>142.12</v>
      </c>
      <c r="C82">
        <v>149.15</v>
      </c>
      <c r="D82">
        <v>139.18</v>
      </c>
      <c r="E82">
        <v>146.22999999999999</v>
      </c>
      <c r="F82">
        <v>647004.19999999995</v>
      </c>
      <c r="G82">
        <v>146.22999999999999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0.41424272818455038</v>
      </c>
      <c r="Q82">
        <f t="shared" ref="Q82" si="386">F82*P82</f>
        <v>268016.78495486244</v>
      </c>
      <c r="R82">
        <f t="shared" ref="R82" si="387">R83+Q82</f>
        <v>2314363.8576701814</v>
      </c>
      <c r="S82">
        <f t="shared" ref="S82" si="388">R82/100000</f>
        <v>23.143638576701814</v>
      </c>
      <c r="T82">
        <f t="shared" ref="T82" si="389">S82/1000</f>
        <v>2.3143638576701816E-2</v>
      </c>
    </row>
    <row r="83" spans="1:20" x14ac:dyDescent="0.25">
      <c r="A83" s="5">
        <v>44510</v>
      </c>
      <c r="B83">
        <v>150.08000000000001</v>
      </c>
      <c r="C83">
        <v>153.88999999999999</v>
      </c>
      <c r="D83">
        <v>133.78</v>
      </c>
      <c r="E83">
        <v>142.13</v>
      </c>
      <c r="F83">
        <v>1033305.27</v>
      </c>
      <c r="G83">
        <v>142.13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-0.16956737941322719</v>
      </c>
      <c r="Q83">
        <f t="shared" ref="Q83" si="391">F83*P83</f>
        <v>-175214.86676777716</v>
      </c>
      <c r="R83">
        <f t="shared" ref="R83" si="392">R84+Q83</f>
        <v>2046347.0727153192</v>
      </c>
      <c r="S83">
        <f t="shared" ref="S83" si="393">R83/100000</f>
        <v>20.463470727153194</v>
      </c>
      <c r="T83">
        <f t="shared" ref="T83" si="394">S83/1000</f>
        <v>2.0463470727153193E-2</v>
      </c>
    </row>
    <row r="84" spans="1:20" x14ac:dyDescent="0.25">
      <c r="A84" s="5">
        <v>44509</v>
      </c>
      <c r="B84">
        <v>153.34</v>
      </c>
      <c r="C84">
        <v>154.6</v>
      </c>
      <c r="D84">
        <v>145.87</v>
      </c>
      <c r="E84">
        <v>150.08000000000001</v>
      </c>
      <c r="F84">
        <v>873178.17</v>
      </c>
      <c r="G84">
        <v>150.08000000000001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-3.5509736540661425E-2</v>
      </c>
      <c r="Q84">
        <f t="shared" ref="Q84" si="396">F84*P84</f>
        <v>-31006.326769756877</v>
      </c>
      <c r="R84">
        <f t="shared" ref="R84" si="397">R85+Q84</f>
        <v>2221561.9394830964</v>
      </c>
      <c r="S84">
        <f t="shared" ref="S84" si="398">R84/100000</f>
        <v>22.215619394830963</v>
      </c>
      <c r="T84">
        <f t="shared" ref="T84" si="399">S84/1000</f>
        <v>2.2215619394830962E-2</v>
      </c>
    </row>
    <row r="85" spans="1:20" x14ac:dyDescent="0.25">
      <c r="A85" s="5">
        <v>44508</v>
      </c>
      <c r="B85">
        <v>160.36000000000001</v>
      </c>
      <c r="C85">
        <v>160.80000000000001</v>
      </c>
      <c r="D85">
        <v>150.53</v>
      </c>
      <c r="E85">
        <v>153.38999999999999</v>
      </c>
      <c r="F85">
        <v>1428477.24</v>
      </c>
      <c r="G85">
        <v>153.38999999999999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-0.44303797468354772</v>
      </c>
      <c r="Q85">
        <f t="shared" ref="Q85" si="401">F85*P85</f>
        <v>-632869.66329114407</v>
      </c>
      <c r="R85">
        <f t="shared" ref="R85" si="402">R86+Q85</f>
        <v>2252568.2662528534</v>
      </c>
      <c r="S85">
        <f t="shared" ref="S85" si="403">R85/100000</f>
        <v>22.525682662528535</v>
      </c>
      <c r="T85">
        <f t="shared" ref="T85" si="404">S85/1000</f>
        <v>2.2525682662528534E-2</v>
      </c>
    </row>
    <row r="86" spans="1:20" x14ac:dyDescent="0.25">
      <c r="A86" s="5">
        <v>44507</v>
      </c>
      <c r="B86">
        <v>157.32</v>
      </c>
      <c r="C86">
        <v>164.46</v>
      </c>
      <c r="D86">
        <v>153.82</v>
      </c>
      <c r="E86">
        <v>160.38</v>
      </c>
      <c r="F86">
        <v>1201071.8400000001</v>
      </c>
      <c r="G86">
        <v>160.38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0.233082706766916</v>
      </c>
      <c r="Q86">
        <f t="shared" ref="Q86" si="406">F86*P86</f>
        <v>279949.07548872026</v>
      </c>
      <c r="R86">
        <f t="shared" ref="R86" si="407">R87+Q86</f>
        <v>2885437.9295439976</v>
      </c>
      <c r="S86">
        <f t="shared" ref="S86" si="408">R86/100000</f>
        <v>28.854379295439976</v>
      </c>
      <c r="T86">
        <f t="shared" ref="T86" si="409">S86/1000</f>
        <v>2.8854379295439977E-2</v>
      </c>
    </row>
    <row r="87" spans="1:20" x14ac:dyDescent="0.25">
      <c r="A87" s="5">
        <v>44506</v>
      </c>
      <c r="B87">
        <v>151.55000000000001</v>
      </c>
      <c r="C87">
        <v>166.09</v>
      </c>
      <c r="D87">
        <v>147.99</v>
      </c>
      <c r="E87">
        <v>157.27000000000001</v>
      </c>
      <c r="F87">
        <v>2291812.41</v>
      </c>
      <c r="G87">
        <v>157.27000000000001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2.5414364640884427E-2</v>
      </c>
      <c r="Q87">
        <f t="shared" ref="Q87" si="411">F87*P87</f>
        <v>58244.956276244127</v>
      </c>
      <c r="R87">
        <f t="shared" ref="R87" si="412">R88+Q87</f>
        <v>2605488.8540552775</v>
      </c>
      <c r="S87">
        <f t="shared" ref="S87" si="413">R87/100000</f>
        <v>26.054888540552774</v>
      </c>
      <c r="T87">
        <f t="shared" ref="T87" si="414">S87/1000</f>
        <v>2.6054888540552774E-2</v>
      </c>
    </row>
    <row r="88" spans="1:20" x14ac:dyDescent="0.25">
      <c r="A88" s="5">
        <v>44505</v>
      </c>
      <c r="B88">
        <v>144.94</v>
      </c>
      <c r="C88">
        <v>154.49</v>
      </c>
      <c r="D88">
        <v>141.66999999999999</v>
      </c>
      <c r="E88">
        <v>151.62</v>
      </c>
      <c r="F88">
        <v>1807860.62</v>
      </c>
      <c r="G88">
        <v>151.62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0.55226209048361941</v>
      </c>
      <c r="Q88">
        <f t="shared" ref="Q88" si="416">F88*P88</f>
        <v>998412.88530421234</v>
      </c>
      <c r="R88">
        <f t="shared" ref="R88" si="417">R89+Q88</f>
        <v>2547243.8977790335</v>
      </c>
      <c r="S88">
        <f t="shared" ref="S88" si="418">R88/100000</f>
        <v>25.472438977790336</v>
      </c>
      <c r="T88">
        <f t="shared" ref="T88" si="419">S88/1000</f>
        <v>2.5472438977790335E-2</v>
      </c>
    </row>
    <row r="89" spans="1:20" x14ac:dyDescent="0.25">
      <c r="A89" s="5">
        <v>44504</v>
      </c>
      <c r="B89">
        <v>141.44999999999999</v>
      </c>
      <c r="C89">
        <v>164</v>
      </c>
      <c r="D89">
        <v>140</v>
      </c>
      <c r="E89">
        <v>144.97999999999999</v>
      </c>
      <c r="F89">
        <v>3407703.44</v>
      </c>
      <c r="G89">
        <v>144.97999999999999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-0.58500000000000085</v>
      </c>
      <c r="Q89">
        <f t="shared" ref="Q89" si="421">F89*P89</f>
        <v>-1993506.5124000029</v>
      </c>
      <c r="R89">
        <f t="shared" ref="R89" si="422">R90+Q89</f>
        <v>1548831.0124748212</v>
      </c>
      <c r="S89">
        <f t="shared" ref="S89" si="423">R89/100000</f>
        <v>15.488310124748212</v>
      </c>
      <c r="T89">
        <f t="shared" ref="T89" si="424">S89/1000</f>
        <v>1.5488310124748212E-2</v>
      </c>
    </row>
    <row r="90" spans="1:20" x14ac:dyDescent="0.25">
      <c r="A90" s="5">
        <v>44503</v>
      </c>
      <c r="B90">
        <v>140.44999999999999</v>
      </c>
      <c r="C90">
        <v>144.03</v>
      </c>
      <c r="D90">
        <v>134.38</v>
      </c>
      <c r="E90">
        <v>141.44999999999999</v>
      </c>
      <c r="F90">
        <v>1142056.6100000001</v>
      </c>
      <c r="G90">
        <v>141.44999999999999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0.46528497409326197</v>
      </c>
      <c r="Q90">
        <f t="shared" ref="Q90" si="426">F90*P90</f>
        <v>531381.78019688861</v>
      </c>
      <c r="R90">
        <f t="shared" ref="R90" si="427">R91+Q90</f>
        <v>3542337.5248748241</v>
      </c>
      <c r="S90">
        <f t="shared" ref="S90" si="428">R90/100000</f>
        <v>35.423375248748243</v>
      </c>
      <c r="T90">
        <f t="shared" ref="T90" si="429">S90/1000</f>
        <v>3.5423375248748244E-2</v>
      </c>
    </row>
    <row r="91" spans="1:20" x14ac:dyDescent="0.25">
      <c r="A91" s="5">
        <v>44502</v>
      </c>
      <c r="B91">
        <v>136.91</v>
      </c>
      <c r="C91">
        <v>148.01</v>
      </c>
      <c r="D91">
        <v>135.5</v>
      </c>
      <c r="E91">
        <v>140.44999999999999</v>
      </c>
      <c r="F91">
        <v>1216685.99</v>
      </c>
      <c r="G91">
        <v>140.44999999999999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-0.20863309352518108</v>
      </c>
      <c r="Q91">
        <f t="shared" ref="Q91" si="431">F91*P91</f>
        <v>-253840.96194244752</v>
      </c>
      <c r="R91">
        <f t="shared" ref="R91" si="432">R92+Q91</f>
        <v>3010955.7446779357</v>
      </c>
      <c r="S91">
        <f t="shared" ref="S91" si="433">R91/100000</f>
        <v>30.109557446779359</v>
      </c>
      <c r="T91">
        <f t="shared" ref="T91" si="434">S91/1000</f>
        <v>3.0109557446779359E-2</v>
      </c>
    </row>
    <row r="92" spans="1:20" x14ac:dyDescent="0.25">
      <c r="A92" s="5">
        <v>44501</v>
      </c>
      <c r="B92">
        <v>138.26</v>
      </c>
      <c r="C92">
        <v>139.25</v>
      </c>
      <c r="D92">
        <v>131.18</v>
      </c>
      <c r="E92">
        <v>136.91999999999999</v>
      </c>
      <c r="F92">
        <v>901069.92</v>
      </c>
      <c r="G92">
        <v>136.91999999999999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0.42255266418834836</v>
      </c>
      <c r="Q92">
        <f t="shared" ref="Q92" si="436">F92*P92</f>
        <v>380749.49531598191</v>
      </c>
      <c r="R92">
        <f t="shared" ref="R92" si="437">R93+Q92</f>
        <v>3264796.7066203831</v>
      </c>
      <c r="S92">
        <f t="shared" ref="S92" si="438">R92/100000</f>
        <v>32.647967066203833</v>
      </c>
      <c r="T92">
        <f t="shared" ref="T92" si="439">S92/1000</f>
        <v>3.2647967066203834E-2</v>
      </c>
    </row>
    <row r="93" spans="1:20" x14ac:dyDescent="0.25">
      <c r="A93" s="5">
        <v>44500</v>
      </c>
      <c r="B93">
        <v>146.74</v>
      </c>
      <c r="C93">
        <v>150.49</v>
      </c>
      <c r="D93">
        <v>132.38999999999999</v>
      </c>
      <c r="E93">
        <v>138.22</v>
      </c>
      <c r="F93">
        <v>1700758.04</v>
      </c>
      <c r="G93">
        <v>138.22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-0.3558011049723751</v>
      </c>
      <c r="Q93">
        <f t="shared" ref="Q93" si="441">F93*P93</f>
        <v>-605131.58992265095</v>
      </c>
      <c r="R93">
        <f t="shared" ref="R93" si="442">R94+Q93</f>
        <v>2884047.211304401</v>
      </c>
      <c r="S93">
        <f t="shared" ref="S93" si="443">R93/100000</f>
        <v>28.840472113044012</v>
      </c>
      <c r="T93">
        <f t="shared" ref="T93" si="444">S93/1000</f>
        <v>2.8840472113044011E-2</v>
      </c>
    </row>
    <row r="94" spans="1:20" x14ac:dyDescent="0.25">
      <c r="A94" s="5">
        <v>44499</v>
      </c>
      <c r="B94">
        <v>143.11000000000001</v>
      </c>
      <c r="C94">
        <v>156.88999999999999</v>
      </c>
      <c r="D94">
        <v>139.62</v>
      </c>
      <c r="E94">
        <v>146.91</v>
      </c>
      <c r="F94">
        <v>3094972.14</v>
      </c>
      <c r="G94">
        <v>146.91</v>
      </c>
      <c r="L94" t="s">
        <v>7</v>
      </c>
      <c r="M94" t="s">
        <v>8</v>
      </c>
      <c r="N94" t="s">
        <v>8</v>
      </c>
      <c r="P94">
        <f t="shared" ref="P94" si="445">IF(C94=D94,0,((E94-D94)-(C94-E94))/(C94-D94))</f>
        <v>-0.15576143601621312</v>
      </c>
      <c r="Q94">
        <f t="shared" ref="Q94" si="446">F94*P94</f>
        <v>-482077.30495657219</v>
      </c>
      <c r="R94">
        <f t="shared" ref="R94" si="447">R95+Q94</f>
        <v>3489178.8012270522</v>
      </c>
      <c r="S94">
        <f t="shared" ref="S94" si="448">R94/100000</f>
        <v>34.891788012270524</v>
      </c>
      <c r="T94">
        <f t="shared" ref="T94" si="449">S94/1000</f>
        <v>3.4891788012270525E-2</v>
      </c>
    </row>
    <row r="95" spans="1:20" x14ac:dyDescent="0.25">
      <c r="A95" s="5">
        <v>44498</v>
      </c>
      <c r="B95">
        <v>126.59</v>
      </c>
      <c r="C95">
        <v>164.58</v>
      </c>
      <c r="D95">
        <v>125.75</v>
      </c>
      <c r="E95">
        <v>143.09</v>
      </c>
      <c r="F95">
        <v>6012069.1100000003</v>
      </c>
      <c r="G95">
        <v>143.09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-0.10687612670615515</v>
      </c>
      <c r="Q95">
        <f t="shared" ref="Q95" si="451">F95*P95</f>
        <v>-642546.65996652143</v>
      </c>
      <c r="R95">
        <f t="shared" ref="R95" si="452">R96+Q95</f>
        <v>3971256.1061836244</v>
      </c>
      <c r="S95">
        <f t="shared" ref="S95" si="453">R95/100000</f>
        <v>39.71256106183624</v>
      </c>
      <c r="T95">
        <f t="shared" ref="T95" si="454">S95/1000</f>
        <v>3.9712561061836238E-2</v>
      </c>
    </row>
    <row r="96" spans="1:20" x14ac:dyDescent="0.25">
      <c r="A96" s="5">
        <v>44497</v>
      </c>
      <c r="B96">
        <v>121.57</v>
      </c>
      <c r="C96">
        <v>129.5</v>
      </c>
      <c r="D96">
        <v>121.22</v>
      </c>
      <c r="E96">
        <v>126.56</v>
      </c>
      <c r="F96">
        <v>950661.4</v>
      </c>
      <c r="G96">
        <v>126.56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0.28985507246376874</v>
      </c>
      <c r="Q96">
        <f t="shared" ref="Q96" si="456">F96*P96</f>
        <v>275554.02898550784</v>
      </c>
      <c r="R96">
        <f t="shared" ref="R96" si="457">R97+Q96</f>
        <v>4613802.7661501458</v>
      </c>
      <c r="S96">
        <f t="shared" ref="S96" si="458">R96/100000</f>
        <v>46.138027661501461</v>
      </c>
      <c r="T96">
        <f t="shared" ref="T96" si="459">S96/1000</f>
        <v>4.6138027661501463E-2</v>
      </c>
    </row>
    <row r="97" spans="1:20" x14ac:dyDescent="0.25">
      <c r="A97" s="5">
        <v>44496</v>
      </c>
      <c r="B97">
        <v>129.01</v>
      </c>
      <c r="C97">
        <v>132.53</v>
      </c>
      <c r="D97">
        <v>120.1</v>
      </c>
      <c r="E97">
        <v>121.59</v>
      </c>
      <c r="F97">
        <v>1313625.8600000001</v>
      </c>
      <c r="G97">
        <v>121.59</v>
      </c>
      <c r="L97" t="s">
        <v>7</v>
      </c>
      <c r="M97" t="s">
        <v>8</v>
      </c>
      <c r="N97" t="s">
        <v>8</v>
      </c>
      <c r="P97">
        <f t="shared" ref="P97" si="460">IF(C97=D97,0,((E97-D97)-(C97-E97))/(C97-D97))</f>
        <v>-0.76025744167336951</v>
      </c>
      <c r="Q97">
        <f t="shared" ref="Q97" si="461">F97*P97</f>
        <v>-998693.83563957992</v>
      </c>
      <c r="R97">
        <f t="shared" ref="R97" si="462">R98+Q97</f>
        <v>4338248.737164638</v>
      </c>
      <c r="S97">
        <f t="shared" ref="S97" si="463">R97/100000</f>
        <v>43.382487371646377</v>
      </c>
      <c r="T97">
        <f t="shared" ref="T97" si="464">S97/1000</f>
        <v>4.3382487371646378E-2</v>
      </c>
    </row>
    <row r="98" spans="1:20" x14ac:dyDescent="0.25">
      <c r="A98" s="5">
        <v>44495</v>
      </c>
      <c r="B98">
        <v>131.72999999999999</v>
      </c>
      <c r="C98">
        <v>138.22999999999999</v>
      </c>
      <c r="D98">
        <v>126.52</v>
      </c>
      <c r="E98">
        <v>128.9</v>
      </c>
      <c r="F98">
        <v>1397445.01</v>
      </c>
      <c r="G98">
        <v>128.9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-0.59350982066609548</v>
      </c>
      <c r="Q98">
        <f t="shared" ref="Q98" si="466">F98*P98</f>
        <v>-829397.33727582998</v>
      </c>
      <c r="R98">
        <f t="shared" ref="R98" si="467">R99+Q98</f>
        <v>5336942.5728042182</v>
      </c>
      <c r="S98">
        <f t="shared" ref="S98" si="468">R98/100000</f>
        <v>53.369425728042181</v>
      </c>
      <c r="T98">
        <f t="shared" ref="T98" si="469">S98/1000</f>
        <v>5.336942572804218E-2</v>
      </c>
    </row>
    <row r="99" spans="1:20" x14ac:dyDescent="0.25">
      <c r="A99" s="5">
        <v>44494</v>
      </c>
      <c r="B99">
        <v>122.74</v>
      </c>
      <c r="C99">
        <v>141.46</v>
      </c>
      <c r="D99">
        <v>122.2</v>
      </c>
      <c r="E99">
        <v>131.72999999999999</v>
      </c>
      <c r="F99">
        <v>2313678.15</v>
      </c>
      <c r="G99">
        <v>131.72999999999999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-1.0384215991694248E-2</v>
      </c>
      <c r="Q99">
        <f t="shared" ref="Q99" si="471">F99*P99</f>
        <v>-24025.733644863561</v>
      </c>
      <c r="R99">
        <f t="shared" ref="R99" si="472">R100+Q99</f>
        <v>6166339.9100800483</v>
      </c>
      <c r="S99">
        <f t="shared" ref="S99" si="473">R99/100000</f>
        <v>61.663399100800483</v>
      </c>
      <c r="T99">
        <f t="shared" ref="T99" si="474">S99/1000</f>
        <v>6.166339910080048E-2</v>
      </c>
    </row>
    <row r="100" spans="1:20" x14ac:dyDescent="0.25">
      <c r="A100" s="5">
        <v>44493</v>
      </c>
      <c r="B100">
        <v>125.67</v>
      </c>
      <c r="C100">
        <v>127.76</v>
      </c>
      <c r="D100">
        <v>120.1</v>
      </c>
      <c r="E100">
        <v>122.72</v>
      </c>
      <c r="F100">
        <v>679728.59</v>
      </c>
      <c r="G100">
        <v>122.72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-0.31592689295039145</v>
      </c>
      <c r="Q100">
        <f t="shared" ref="Q100" si="476">F100*P100</f>
        <v>-214744.54148825051</v>
      </c>
      <c r="R100">
        <f t="shared" ref="R100" si="477">R101+Q100</f>
        <v>6190365.6437249118</v>
      </c>
      <c r="S100">
        <f t="shared" ref="S100" si="478">R100/100000</f>
        <v>61.903656437249118</v>
      </c>
      <c r="T100">
        <f t="shared" ref="T100" si="479">S100/1000</f>
        <v>6.190365643724912E-2</v>
      </c>
    </row>
    <row r="101" spans="1:20" x14ac:dyDescent="0.25">
      <c r="A101" s="5">
        <v>44492</v>
      </c>
      <c r="B101">
        <v>130.13</v>
      </c>
      <c r="C101">
        <v>133.80000000000001</v>
      </c>
      <c r="D101">
        <v>123.4</v>
      </c>
      <c r="E101">
        <v>125.67</v>
      </c>
      <c r="F101">
        <v>1037300.18</v>
      </c>
      <c r="G101">
        <v>125.67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-0.56346153846153946</v>
      </c>
      <c r="Q101">
        <f t="shared" ref="Q101" si="481">F101*P101</f>
        <v>-584478.75526923186</v>
      </c>
      <c r="R101">
        <f t="shared" ref="R101" si="482">R102+Q101</f>
        <v>6405110.1852131626</v>
      </c>
      <c r="S101">
        <f t="shared" ref="S101" si="483">R101/100000</f>
        <v>64.051101852131623</v>
      </c>
      <c r="T101">
        <f t="shared" ref="T101" si="484">S101/1000</f>
        <v>6.4051101852131628E-2</v>
      </c>
    </row>
    <row r="102" spans="1:20" x14ac:dyDescent="0.25">
      <c r="A102" s="5">
        <v>44491</v>
      </c>
      <c r="B102">
        <v>119.79</v>
      </c>
      <c r="C102">
        <v>133.25</v>
      </c>
      <c r="D102">
        <v>117.77</v>
      </c>
      <c r="E102">
        <v>130.13999999999999</v>
      </c>
      <c r="F102">
        <v>1841951.02</v>
      </c>
      <c r="G102">
        <v>130.13999999999999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0.59819121447028256</v>
      </c>
      <c r="Q102">
        <f t="shared" ref="Q102" si="486">F102*P102</f>
        <v>1101838.9176485757</v>
      </c>
      <c r="R102">
        <f t="shared" ref="R102" si="487">R103+Q102</f>
        <v>6989588.9404823948</v>
      </c>
      <c r="S102">
        <f t="shared" ref="S102" si="488">R102/100000</f>
        <v>69.895889404823947</v>
      </c>
      <c r="T102">
        <f t="shared" ref="T102" si="489">S102/1000</f>
        <v>6.9895889404823941E-2</v>
      </c>
    </row>
    <row r="103" spans="1:20" x14ac:dyDescent="0.25">
      <c r="A103" s="5">
        <v>44490</v>
      </c>
      <c r="B103">
        <v>127.7</v>
      </c>
      <c r="C103">
        <v>134.09</v>
      </c>
      <c r="D103">
        <v>115.5</v>
      </c>
      <c r="E103">
        <v>119.82</v>
      </c>
      <c r="F103">
        <v>1694224.51</v>
      </c>
      <c r="G103">
        <v>119.82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-0.53523399677245909</v>
      </c>
      <c r="Q103">
        <f t="shared" ref="Q103" si="491">F103*P103</f>
        <v>-906806.55591716105</v>
      </c>
      <c r="R103">
        <f t="shared" ref="R103" si="492">R104+Q103</f>
        <v>5887750.0228338186</v>
      </c>
      <c r="S103">
        <f t="shared" ref="S103" si="493">R103/100000</f>
        <v>58.877500228338185</v>
      </c>
      <c r="T103">
        <f t="shared" ref="T103" si="494">S103/1000</f>
        <v>5.8877500228338188E-2</v>
      </c>
    </row>
    <row r="104" spans="1:20" x14ac:dyDescent="0.25">
      <c r="A104" s="5">
        <v>44489</v>
      </c>
      <c r="B104">
        <v>122.04</v>
      </c>
      <c r="C104">
        <v>129.99</v>
      </c>
      <c r="D104">
        <v>120.5</v>
      </c>
      <c r="E104">
        <v>127.69</v>
      </c>
      <c r="F104">
        <v>833794.78</v>
      </c>
      <c r="G104">
        <v>127.69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0.5152792413066366</v>
      </c>
      <c r="Q104">
        <f t="shared" ref="Q104" si="496">F104*P104</f>
        <v>429637.14164383401</v>
      </c>
      <c r="R104">
        <f t="shared" ref="R104" si="497">R105+Q104</f>
        <v>6794556.5787509801</v>
      </c>
      <c r="S104">
        <f t="shared" ref="S104" si="498">R104/100000</f>
        <v>67.945565787509807</v>
      </c>
      <c r="T104">
        <f t="shared" ref="T104" si="499">S104/1000</f>
        <v>6.7945565787509807E-2</v>
      </c>
    </row>
    <row r="105" spans="1:20" x14ac:dyDescent="0.25">
      <c r="A105" s="5">
        <v>44488</v>
      </c>
      <c r="B105">
        <v>122.39</v>
      </c>
      <c r="C105">
        <v>123.6</v>
      </c>
      <c r="D105">
        <v>120.19</v>
      </c>
      <c r="E105">
        <v>122.03</v>
      </c>
      <c r="F105">
        <v>476244.61</v>
      </c>
      <c r="G105">
        <v>122.03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7.9178885630501614E-2</v>
      </c>
      <c r="Q105">
        <f t="shared" ref="Q105" si="501">F105*P105</f>
        <v>37708.517507332843</v>
      </c>
      <c r="R105">
        <f t="shared" ref="R105" si="502">R106+Q105</f>
        <v>6364919.4371071458</v>
      </c>
      <c r="S105">
        <f t="shared" ref="S105" si="503">R105/100000</f>
        <v>63.649194371071459</v>
      </c>
      <c r="T105">
        <f t="shared" ref="T105" si="504">S105/1000</f>
        <v>6.3649194371071457E-2</v>
      </c>
    </row>
    <row r="106" spans="1:20" x14ac:dyDescent="0.25">
      <c r="A106" s="5">
        <v>44487</v>
      </c>
      <c r="B106">
        <v>124.58</v>
      </c>
      <c r="C106">
        <v>125.38</v>
      </c>
      <c r="D106">
        <v>119.08</v>
      </c>
      <c r="E106">
        <v>122.47</v>
      </c>
      <c r="F106">
        <v>862492.28</v>
      </c>
      <c r="G106">
        <v>122.47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7.619047619047685E-2</v>
      </c>
      <c r="Q106">
        <f t="shared" ref="Q106" si="506">F106*P106</f>
        <v>65713.6975238101</v>
      </c>
      <c r="R106">
        <f t="shared" ref="R106" si="507">R107+Q106</f>
        <v>6327210.9195998125</v>
      </c>
      <c r="S106">
        <f t="shared" ref="S106" si="508">R106/100000</f>
        <v>63.272109195998127</v>
      </c>
      <c r="T106">
        <f t="shared" ref="T106" si="509">S106/1000</f>
        <v>6.3272109195998127E-2</v>
      </c>
    </row>
    <row r="107" spans="1:20" x14ac:dyDescent="0.25">
      <c r="A107" s="5">
        <v>44486</v>
      </c>
      <c r="B107">
        <v>125.14</v>
      </c>
      <c r="C107">
        <v>129.63</v>
      </c>
      <c r="D107">
        <v>121.61</v>
      </c>
      <c r="E107">
        <v>124.54</v>
      </c>
      <c r="F107">
        <v>827725.4</v>
      </c>
      <c r="G107">
        <v>124.54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-0.26932668329176851</v>
      </c>
      <c r="Q107">
        <f t="shared" ref="Q107" si="511">F107*P107</f>
        <v>-222928.53665835242</v>
      </c>
      <c r="R107">
        <f t="shared" ref="R107" si="512">R108+Q107</f>
        <v>6261497.2220760025</v>
      </c>
      <c r="S107">
        <f t="shared" ref="S107" si="513">R107/100000</f>
        <v>62.614972220760023</v>
      </c>
      <c r="T107">
        <f t="shared" ref="T107" si="514">S107/1000</f>
        <v>6.2614972220760026E-2</v>
      </c>
    </row>
    <row r="108" spans="1:20" x14ac:dyDescent="0.25">
      <c r="A108" s="5">
        <v>44485</v>
      </c>
      <c r="B108">
        <v>125.65</v>
      </c>
      <c r="C108">
        <v>130.09</v>
      </c>
      <c r="D108">
        <v>122.08</v>
      </c>
      <c r="E108">
        <v>125.09</v>
      </c>
      <c r="F108">
        <v>877475.06</v>
      </c>
      <c r="G108">
        <v>125.09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-0.24843945068664089</v>
      </c>
      <c r="Q108">
        <f t="shared" ref="Q108" si="516">F108*P108</f>
        <v>-217999.42189762727</v>
      </c>
      <c r="R108">
        <f t="shared" ref="R108" si="517">R109+Q108</f>
        <v>6484425.7587343547</v>
      </c>
      <c r="S108">
        <f t="shared" ref="S108" si="518">R108/100000</f>
        <v>64.844257587343549</v>
      </c>
      <c r="T108">
        <f t="shared" ref="T108" si="519">S108/1000</f>
        <v>6.4844257587343551E-2</v>
      </c>
    </row>
    <row r="109" spans="1:20" x14ac:dyDescent="0.25">
      <c r="A109" s="5">
        <v>44484</v>
      </c>
      <c r="B109">
        <v>136.31</v>
      </c>
      <c r="C109">
        <v>145.63</v>
      </c>
      <c r="D109">
        <v>124.38</v>
      </c>
      <c r="E109">
        <v>125.61</v>
      </c>
      <c r="F109">
        <v>2919659.47</v>
      </c>
      <c r="G109">
        <v>125.61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-0.88423529411764668</v>
      </c>
      <c r="Q109">
        <f t="shared" ref="Q109" si="521">F109*P109</f>
        <v>-2581665.9501788225</v>
      </c>
      <c r="R109">
        <f t="shared" ref="R109" si="522">R110+Q109</f>
        <v>6702425.1806319822</v>
      </c>
      <c r="S109">
        <f t="shared" ref="S109" si="523">R109/100000</f>
        <v>67.024251806319825</v>
      </c>
      <c r="T109">
        <f t="shared" ref="T109" si="524">S109/1000</f>
        <v>6.7024251806319823E-2</v>
      </c>
    </row>
    <row r="110" spans="1:20" x14ac:dyDescent="0.25">
      <c r="A110" s="5">
        <v>44483</v>
      </c>
      <c r="B110">
        <v>121.71</v>
      </c>
      <c r="C110">
        <v>144</v>
      </c>
      <c r="D110">
        <v>120.38</v>
      </c>
      <c r="E110">
        <v>136.35</v>
      </c>
      <c r="F110">
        <v>2851100.02</v>
      </c>
      <c r="G110">
        <v>136.35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0.3522438611346313</v>
      </c>
      <c r="Q110">
        <f t="shared" ref="Q110" si="526">F110*P110</f>
        <v>1004282.4795258245</v>
      </c>
      <c r="R110">
        <f t="shared" ref="R110" si="527">R111+Q110</f>
        <v>9284091.1308108047</v>
      </c>
      <c r="S110">
        <f t="shared" ref="S110" si="528">R110/100000</f>
        <v>92.840911308108048</v>
      </c>
      <c r="T110">
        <f t="shared" ref="T110" si="529">S110/1000</f>
        <v>9.2840911308108051E-2</v>
      </c>
    </row>
    <row r="111" spans="1:20" x14ac:dyDescent="0.25">
      <c r="A111" s="5">
        <v>44482</v>
      </c>
      <c r="B111">
        <v>122.09</v>
      </c>
      <c r="C111">
        <v>124.91</v>
      </c>
      <c r="D111">
        <v>117.48</v>
      </c>
      <c r="E111">
        <v>121.74</v>
      </c>
      <c r="F111">
        <v>1103860.3</v>
      </c>
      <c r="G111">
        <v>121.74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0.14670255720053704</v>
      </c>
      <c r="Q111">
        <f t="shared" ref="Q111" si="531">F111*P111</f>
        <v>161939.128802152</v>
      </c>
      <c r="R111">
        <f t="shared" ref="R111" si="532">R112+Q111</f>
        <v>8279808.6512849797</v>
      </c>
      <c r="S111">
        <f t="shared" ref="S111" si="533">R111/100000</f>
        <v>82.798086512849792</v>
      </c>
      <c r="T111">
        <f t="shared" ref="T111" si="534">S111/1000</f>
        <v>8.2798086512849797E-2</v>
      </c>
    </row>
    <row r="112" spans="1:20" x14ac:dyDescent="0.25">
      <c r="A112" s="5">
        <v>44481</v>
      </c>
      <c r="B112">
        <v>116.5</v>
      </c>
      <c r="C112">
        <v>127</v>
      </c>
      <c r="D112">
        <v>113.73</v>
      </c>
      <c r="E112">
        <v>122.13</v>
      </c>
      <c r="F112">
        <v>2522151.64</v>
      </c>
      <c r="G112">
        <v>122.13</v>
      </c>
      <c r="L112" t="s">
        <v>8</v>
      </c>
      <c r="M112" t="s">
        <v>7</v>
      </c>
      <c r="N112" t="s">
        <v>8</v>
      </c>
      <c r="P112">
        <f t="shared" ref="P112" si="535">IF(C112=D112,0,((E112-D112)-(C112-E112))/(C112-D112))</f>
        <v>0.26601356443104657</v>
      </c>
      <c r="Q112">
        <f t="shared" ref="Q112" si="536">F112*P112</f>
        <v>670926.54779200978</v>
      </c>
      <c r="R112">
        <f t="shared" ref="R112" si="537">R113+Q112</f>
        <v>8117869.5224828273</v>
      </c>
      <c r="S112">
        <f t="shared" ref="S112" si="538">R112/100000</f>
        <v>81.178695224828274</v>
      </c>
      <c r="T112">
        <f t="shared" ref="T112" si="539">S112/1000</f>
        <v>8.1178695224828276E-2</v>
      </c>
    </row>
    <row r="113" spans="1:20" x14ac:dyDescent="0.25">
      <c r="A113" s="5">
        <v>44480</v>
      </c>
      <c r="B113">
        <v>116.24</v>
      </c>
      <c r="C113">
        <v>121.99</v>
      </c>
      <c r="D113">
        <v>111.96</v>
      </c>
      <c r="E113">
        <v>116.52</v>
      </c>
      <c r="F113">
        <v>1279055.3799999999</v>
      </c>
      <c r="G113">
        <v>116.52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-9.0727816550348603E-2</v>
      </c>
      <c r="Q113">
        <f t="shared" ref="Q113" si="541">F113*P113</f>
        <v>-116045.90187437642</v>
      </c>
      <c r="R113">
        <f t="shared" ref="R113" si="542">R114+Q113</f>
        <v>7446942.9746908173</v>
      </c>
      <c r="S113">
        <f t="shared" ref="S113" si="543">R113/100000</f>
        <v>74.469429746908176</v>
      </c>
      <c r="T113">
        <f t="shared" ref="T113" si="544">S113/1000</f>
        <v>7.4469429746908178E-2</v>
      </c>
    </row>
    <row r="114" spans="1:20" x14ac:dyDescent="0.25">
      <c r="A114" s="5">
        <v>44479</v>
      </c>
      <c r="B114">
        <v>126.55</v>
      </c>
      <c r="C114">
        <v>126.61</v>
      </c>
      <c r="D114">
        <v>115</v>
      </c>
      <c r="E114">
        <v>116.25</v>
      </c>
      <c r="F114">
        <v>1179831.56</v>
      </c>
      <c r="G114">
        <v>116.25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-0.78466838931955207</v>
      </c>
      <c r="Q114">
        <f t="shared" ref="Q114" si="546">F114*P114</f>
        <v>-925776.52985357447</v>
      </c>
      <c r="R114">
        <f t="shared" ref="R114" si="547">R115+Q114</f>
        <v>7562988.8765651938</v>
      </c>
      <c r="S114">
        <f t="shared" ref="S114" si="548">R114/100000</f>
        <v>75.629888765651941</v>
      </c>
      <c r="T114">
        <f t="shared" ref="T114" si="549">S114/1000</f>
        <v>7.5629888765651937E-2</v>
      </c>
    </row>
    <row r="115" spans="1:20" x14ac:dyDescent="0.25">
      <c r="A115" s="5">
        <v>44478</v>
      </c>
      <c r="B115">
        <v>126.3</v>
      </c>
      <c r="C115">
        <v>132.44</v>
      </c>
      <c r="D115">
        <v>123.59</v>
      </c>
      <c r="E115">
        <v>126.55</v>
      </c>
      <c r="F115">
        <v>1288616.27</v>
      </c>
      <c r="G115">
        <v>126.55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-0.3310734463276846</v>
      </c>
      <c r="Q115">
        <f t="shared" ref="Q115" si="551">F115*P115</f>
        <v>-426626.62950282614</v>
      </c>
      <c r="R115">
        <f t="shared" ref="R115" si="552">R116+Q115</f>
        <v>8488765.4064187687</v>
      </c>
      <c r="S115">
        <f t="shared" ref="S115" si="553">R115/100000</f>
        <v>84.887654064187686</v>
      </c>
      <c r="T115">
        <f t="shared" ref="T115" si="554">S115/1000</f>
        <v>8.488765406418769E-2</v>
      </c>
    </row>
    <row r="116" spans="1:20" x14ac:dyDescent="0.25">
      <c r="A116" s="5">
        <v>44477</v>
      </c>
      <c r="B116">
        <v>124.47</v>
      </c>
      <c r="C116">
        <v>139</v>
      </c>
      <c r="D116">
        <v>120.12</v>
      </c>
      <c r="E116">
        <v>126.29</v>
      </c>
      <c r="F116">
        <v>3100855.73</v>
      </c>
      <c r="G116">
        <v>126.29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-0.34639830508474545</v>
      </c>
      <c r="Q116">
        <f t="shared" ref="Q116" si="556">F116*P116</f>
        <v>-1074131.1691843211</v>
      </c>
      <c r="R116">
        <f t="shared" ref="R116" si="557">R117+Q116</f>
        <v>8915392.0359215941</v>
      </c>
      <c r="S116">
        <f t="shared" ref="S116" si="558">R116/100000</f>
        <v>89.153920359215945</v>
      </c>
      <c r="T116">
        <f t="shared" ref="T116" si="559">S116/1000</f>
        <v>8.9153920359215946E-2</v>
      </c>
    </row>
    <row r="117" spans="1:20" x14ac:dyDescent="0.25">
      <c r="A117" s="5">
        <v>44476</v>
      </c>
      <c r="B117">
        <v>126.17</v>
      </c>
      <c r="C117">
        <v>131.19999999999999</v>
      </c>
      <c r="D117">
        <v>120.1</v>
      </c>
      <c r="E117">
        <v>124.54</v>
      </c>
      <c r="F117">
        <v>2870421.39</v>
      </c>
      <c r="G117">
        <v>124.54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-0.19999999999999743</v>
      </c>
      <c r="Q117">
        <f t="shared" ref="Q117" si="561">F117*P117</f>
        <v>-574084.2779999926</v>
      </c>
      <c r="R117">
        <f t="shared" ref="R117" si="562">R118+Q117</f>
        <v>9989523.2051059157</v>
      </c>
      <c r="S117">
        <f t="shared" ref="S117" si="563">R117/100000</f>
        <v>99.895232051059153</v>
      </c>
      <c r="T117">
        <f t="shared" ref="T117" si="564">S117/1000</f>
        <v>9.9895232051059157E-2</v>
      </c>
    </row>
    <row r="118" spans="1:20" x14ac:dyDescent="0.25">
      <c r="A118" s="5">
        <v>44475</v>
      </c>
      <c r="B118">
        <v>128.63999999999999</v>
      </c>
      <c r="C118">
        <v>140.99</v>
      </c>
      <c r="D118">
        <v>119.22</v>
      </c>
      <c r="E118">
        <v>126.19</v>
      </c>
      <c r="F118">
        <v>5615861.3499999996</v>
      </c>
      <c r="G118">
        <v>126.19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-0.35966926963711571</v>
      </c>
      <c r="Q118">
        <f t="shared" ref="Q118" si="566">F118*P118</f>
        <v>-2019852.7501378064</v>
      </c>
      <c r="R118">
        <f t="shared" ref="R118" si="567">R119+Q118</f>
        <v>10563607.483105909</v>
      </c>
      <c r="S118">
        <f t="shared" ref="S118" si="568">R118/100000</f>
        <v>105.63607483105909</v>
      </c>
      <c r="T118">
        <f t="shared" ref="T118" si="569">S118/1000</f>
        <v>0.10563607483105909</v>
      </c>
    </row>
    <row r="119" spans="1:20" x14ac:dyDescent="0.25">
      <c r="A119" s="5">
        <v>44474</v>
      </c>
      <c r="B119">
        <v>134.58000000000001</v>
      </c>
      <c r="C119">
        <v>145.86000000000001</v>
      </c>
      <c r="D119">
        <v>127.12</v>
      </c>
      <c r="E119">
        <v>128.63</v>
      </c>
      <c r="F119">
        <v>4381435.92</v>
      </c>
      <c r="G119">
        <v>128.63</v>
      </c>
      <c r="L119" t="s">
        <v>7</v>
      </c>
      <c r="M119" t="s">
        <v>7</v>
      </c>
      <c r="N119" t="s">
        <v>8</v>
      </c>
      <c r="P119">
        <f t="shared" ref="P119" si="570">IF(C119=D119,0,((E119-D119)-(C119-E119))/(C119-D119))</f>
        <v>-0.8388473852721462</v>
      </c>
      <c r="Q119">
        <f t="shared" ref="Q119" si="571">F119*P119</f>
        <v>-3675356.0652294601</v>
      </c>
      <c r="R119">
        <f t="shared" ref="R119" si="572">R120+Q119</f>
        <v>12583460.233243715</v>
      </c>
      <c r="S119">
        <f t="shared" ref="S119" si="573">R119/100000</f>
        <v>125.83460233243716</v>
      </c>
      <c r="T119">
        <f t="shared" ref="T119" si="574">S119/1000</f>
        <v>0.12583460233243715</v>
      </c>
    </row>
    <row r="120" spans="1:20" x14ac:dyDescent="0.25">
      <c r="A120" s="5">
        <v>44473</v>
      </c>
      <c r="B120">
        <v>137.41</v>
      </c>
      <c r="C120">
        <v>155.27000000000001</v>
      </c>
      <c r="D120">
        <v>131.69</v>
      </c>
      <c r="E120">
        <v>135.83000000000001</v>
      </c>
      <c r="F120">
        <v>7319759.7800000003</v>
      </c>
      <c r="G120">
        <v>135.83000000000001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-0.64885496183206004</v>
      </c>
      <c r="Q120">
        <f t="shared" ref="Q120" si="576">F120*P120</f>
        <v>-4749462.4526717486</v>
      </c>
      <c r="R120">
        <f t="shared" ref="R120" si="577">R121+Q120</f>
        <v>16258816.298473176</v>
      </c>
      <c r="S120">
        <f t="shared" ref="S120" si="578">R120/100000</f>
        <v>162.58816298473175</v>
      </c>
      <c r="T120">
        <f t="shared" ref="T120" si="579">S120/1000</f>
        <v>0.16258816298473175</v>
      </c>
    </row>
    <row r="121" spans="1:20" x14ac:dyDescent="0.25">
      <c r="A121" s="5">
        <v>44472</v>
      </c>
      <c r="B121">
        <v>107.86</v>
      </c>
      <c r="C121">
        <v>137.94</v>
      </c>
      <c r="D121">
        <v>103.22</v>
      </c>
      <c r="E121">
        <v>135.03</v>
      </c>
      <c r="F121">
        <v>4961140.53</v>
      </c>
      <c r="G121">
        <v>135.03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0.83237327188940113</v>
      </c>
      <c r="Q121">
        <f t="shared" ref="Q121" si="581">F121*P121</f>
        <v>4129520.7752592177</v>
      </c>
      <c r="R121">
        <f t="shared" ref="R121" si="582">R122+Q121</f>
        <v>21008278.751144923</v>
      </c>
      <c r="S121">
        <f t="shared" ref="S121" si="583">R121/100000</f>
        <v>210.08278751144923</v>
      </c>
      <c r="T121">
        <f t="shared" ref="T121" si="584">S121/1000</f>
        <v>0.21008278751144924</v>
      </c>
    </row>
    <row r="122" spans="1:20" x14ac:dyDescent="0.25">
      <c r="A122" s="5">
        <v>44471</v>
      </c>
      <c r="B122">
        <v>110.28</v>
      </c>
      <c r="C122">
        <v>120.57</v>
      </c>
      <c r="D122">
        <v>106.01</v>
      </c>
      <c r="E122">
        <v>107.84</v>
      </c>
      <c r="F122">
        <v>6270244.5199999996</v>
      </c>
      <c r="G122">
        <v>107.84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-0.74862637362637363</v>
      </c>
      <c r="Q122">
        <f t="shared" ref="Q122" si="586">F122*P122</f>
        <v>-4694070.4167582411</v>
      </c>
      <c r="R122">
        <f t="shared" ref="R122" si="587">R123+Q122</f>
        <v>16878757.975885704</v>
      </c>
      <c r="S122">
        <f t="shared" ref="S122" si="588">R122/100000</f>
        <v>168.78757975885705</v>
      </c>
      <c r="T122">
        <f t="shared" ref="T122" si="589">S122/1000</f>
        <v>0.16878757975885705</v>
      </c>
    </row>
    <row r="123" spans="1:20" x14ac:dyDescent="0.25">
      <c r="A123" s="5">
        <v>44470</v>
      </c>
      <c r="B123">
        <v>74.66</v>
      </c>
      <c r="C123">
        <v>117.79</v>
      </c>
      <c r="D123">
        <v>74.09</v>
      </c>
      <c r="E123">
        <v>110.28</v>
      </c>
      <c r="F123">
        <v>8836124.3499999996</v>
      </c>
      <c r="G123">
        <v>110.28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0.65629290617848945</v>
      </c>
      <c r="Q123">
        <f t="shared" ref="Q123" si="591">F123*P123</f>
        <v>5799085.7290160162</v>
      </c>
      <c r="R123">
        <f t="shared" ref="R123" si="592">R124+Q123</f>
        <v>21572828.392643943</v>
      </c>
      <c r="S123">
        <f t="shared" ref="S123" si="593">R123/100000</f>
        <v>215.72828392643945</v>
      </c>
      <c r="T123">
        <f t="shared" ref="T123" si="594">S123/1000</f>
        <v>0.21572828392643945</v>
      </c>
    </row>
    <row r="124" spans="1:20" x14ac:dyDescent="0.25">
      <c r="A124" s="5">
        <v>44469</v>
      </c>
      <c r="B124">
        <v>69.31</v>
      </c>
      <c r="C124">
        <v>79</v>
      </c>
      <c r="D124">
        <v>68.8</v>
      </c>
      <c r="E124">
        <v>74.64</v>
      </c>
      <c r="F124">
        <v>3123628.6</v>
      </c>
      <c r="G124">
        <v>74.64</v>
      </c>
      <c r="L124" t="s">
        <v>8</v>
      </c>
      <c r="M124" t="s">
        <v>8</v>
      </c>
      <c r="N124" t="s">
        <v>8</v>
      </c>
      <c r="P124">
        <f t="shared" ref="P124" si="595">IF(C124=D124,0,((E124-D124)-(C124-E124))/(C124-D124))</f>
        <v>0.14509803921568662</v>
      </c>
      <c r="Q124">
        <f t="shared" ref="Q124" si="596">F124*P124</f>
        <v>453232.38509804028</v>
      </c>
      <c r="R124">
        <f t="shared" ref="R124" si="597">R125+Q124</f>
        <v>15773742.663627926</v>
      </c>
      <c r="S124">
        <f t="shared" ref="S124" si="598">R124/100000</f>
        <v>157.73742663627925</v>
      </c>
      <c r="T124">
        <f t="shared" ref="T124" si="599">S124/1000</f>
        <v>0.15773742663627927</v>
      </c>
    </row>
    <row r="125" spans="1:20" x14ac:dyDescent="0.25">
      <c r="A125" s="5">
        <v>44468</v>
      </c>
      <c r="B125">
        <v>69.069999999999993</v>
      </c>
      <c r="C125">
        <v>75.25</v>
      </c>
      <c r="D125">
        <v>67.72</v>
      </c>
      <c r="E125">
        <v>69.319999999999993</v>
      </c>
      <c r="F125">
        <v>2856217.86</v>
      </c>
      <c r="G125">
        <v>69.319999999999993</v>
      </c>
      <c r="L125" t="s">
        <v>8</v>
      </c>
      <c r="M125" t="s">
        <v>8</v>
      </c>
      <c r="N125" t="s">
        <v>8</v>
      </c>
      <c r="P125">
        <f t="shared" ref="P125" si="600">IF(C125=D125,0,((E125-D125)-(C125-E125))/(C125-D125))</f>
        <v>-0.5750332005312101</v>
      </c>
      <c r="Q125">
        <f t="shared" ref="Q125" si="601">F125*P125</f>
        <v>-1642420.0974502037</v>
      </c>
      <c r="R125">
        <f t="shared" ref="R125" si="602">R126+Q125</f>
        <v>15320510.278529886</v>
      </c>
      <c r="S125">
        <f t="shared" ref="S125" si="603">R125/100000</f>
        <v>153.20510278529886</v>
      </c>
      <c r="T125">
        <f t="shared" ref="T125" si="604">S125/1000</f>
        <v>0.15320510278529886</v>
      </c>
    </row>
    <row r="126" spans="1:20" x14ac:dyDescent="0.25">
      <c r="A126" s="5">
        <v>44467</v>
      </c>
      <c r="B126">
        <v>63.84</v>
      </c>
      <c r="C126">
        <v>72.94</v>
      </c>
      <c r="D126">
        <v>62.92</v>
      </c>
      <c r="E126">
        <v>69.099999999999994</v>
      </c>
      <c r="F126">
        <v>2315444.34</v>
      </c>
      <c r="G126">
        <v>69.099999999999994</v>
      </c>
      <c r="L126" t="s">
        <v>8</v>
      </c>
      <c r="M126" t="s">
        <v>8</v>
      </c>
      <c r="N126" t="s">
        <v>8</v>
      </c>
      <c r="P126">
        <f t="shared" ref="P126" si="605">IF(C126=D126,0,((E126-D126)-(C126-E126))/(C126-D126))</f>
        <v>0.23353293413173554</v>
      </c>
      <c r="Q126">
        <f t="shared" ref="Q126" si="606">F126*P126</f>
        <v>540732.51053891983</v>
      </c>
      <c r="R126">
        <f t="shared" ref="R126" si="607">R127+Q126</f>
        <v>16962930.37598009</v>
      </c>
      <c r="S126">
        <f t="shared" ref="S126" si="608">R126/100000</f>
        <v>169.62930375980091</v>
      </c>
      <c r="T126">
        <f t="shared" ref="T126" si="609">S126/1000</f>
        <v>0.1696293037598009</v>
      </c>
    </row>
    <row r="127" spans="1:20" x14ac:dyDescent="0.25">
      <c r="A127" s="5">
        <v>44466</v>
      </c>
      <c r="B127">
        <v>63.69</v>
      </c>
      <c r="C127">
        <v>67.5</v>
      </c>
      <c r="D127">
        <v>62.75</v>
      </c>
      <c r="E127">
        <v>63.84</v>
      </c>
      <c r="F127">
        <v>1006746.79</v>
      </c>
      <c r="G127">
        <v>63.84</v>
      </c>
      <c r="L127" t="s">
        <v>8</v>
      </c>
      <c r="M127" t="s">
        <v>7</v>
      </c>
      <c r="N127" t="s">
        <v>8</v>
      </c>
      <c r="P127">
        <f t="shared" ref="P127" si="610">IF(C127=D127,0,((E127-D127)-(C127-E127))/(C127-D127))</f>
        <v>-0.5410526315789459</v>
      </c>
      <c r="Q127">
        <f t="shared" ref="Q127" si="611">F127*P127</f>
        <v>-544703.00006315648</v>
      </c>
      <c r="R127">
        <f t="shared" ref="R127" si="612">R128+Q127</f>
        <v>16422197.865441171</v>
      </c>
      <c r="S127">
        <f t="shared" ref="S127" si="613">R127/100000</f>
        <v>164.22197865441171</v>
      </c>
      <c r="T127">
        <f t="shared" ref="T127" si="614">S127/1000</f>
        <v>0.16422197865441171</v>
      </c>
    </row>
    <row r="128" spans="1:20" x14ac:dyDescent="0.25">
      <c r="A128" s="5">
        <v>44465</v>
      </c>
      <c r="B128">
        <v>65.28</v>
      </c>
      <c r="C128">
        <v>65.430000000000007</v>
      </c>
      <c r="D128">
        <v>58.21</v>
      </c>
      <c r="E128">
        <v>63.71</v>
      </c>
      <c r="F128">
        <v>1186259.32</v>
      </c>
      <c r="G128">
        <v>63.71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0.52354570637118991</v>
      </c>
      <c r="Q128">
        <f t="shared" ref="Q128" si="616">F128*P128</f>
        <v>621060.97362880746</v>
      </c>
      <c r="R128">
        <f t="shared" ref="R128" si="617">R129+Q128</f>
        <v>16966900.865504328</v>
      </c>
      <c r="S128">
        <f t="shared" ref="S128" si="618">R128/100000</f>
        <v>169.66900865504329</v>
      </c>
      <c r="T128">
        <f t="shared" ref="T128" si="619">S128/1000</f>
        <v>0.16966900865504328</v>
      </c>
    </row>
    <row r="129" spans="1:20" x14ac:dyDescent="0.25">
      <c r="A129" s="5">
        <v>44464</v>
      </c>
      <c r="B129">
        <v>68.23</v>
      </c>
      <c r="C129">
        <v>69.06</v>
      </c>
      <c r="D129">
        <v>64.36</v>
      </c>
      <c r="E129">
        <v>65.239999999999995</v>
      </c>
      <c r="F129">
        <v>958508.51</v>
      </c>
      <c r="G129">
        <v>65.239999999999995</v>
      </c>
      <c r="L129" t="s">
        <v>7</v>
      </c>
      <c r="M129" t="s">
        <v>8</v>
      </c>
      <c r="N129" t="s">
        <v>8</v>
      </c>
      <c r="P129">
        <f t="shared" ref="P129" si="620">IF(C129=D129,0,((E129-D129)-(C129-E129))/(C129-D129))</f>
        <v>-0.62553191489361915</v>
      </c>
      <c r="Q129">
        <f t="shared" ref="Q129" si="621">F129*P129</f>
        <v>-599577.66370212974</v>
      </c>
      <c r="R129">
        <f t="shared" ref="R129" si="622">R130+Q129</f>
        <v>16345839.89187552</v>
      </c>
      <c r="S129">
        <f t="shared" ref="S129" si="623">R129/100000</f>
        <v>163.45839891875519</v>
      </c>
      <c r="T129">
        <f t="shared" ref="T129" si="624">S129/1000</f>
        <v>0.16345839891875519</v>
      </c>
    </row>
    <row r="130" spans="1:20" x14ac:dyDescent="0.25">
      <c r="A130" s="5">
        <v>44463</v>
      </c>
      <c r="B130">
        <v>67.36</v>
      </c>
      <c r="C130">
        <v>71.319999999999993</v>
      </c>
      <c r="D130">
        <v>63.33</v>
      </c>
      <c r="E130">
        <v>68.239999999999995</v>
      </c>
      <c r="F130">
        <v>3363181.55</v>
      </c>
      <c r="G130">
        <v>68.239999999999995</v>
      </c>
      <c r="L130" t="s">
        <v>8</v>
      </c>
      <c r="M130" t="s">
        <v>8</v>
      </c>
      <c r="N130" t="s">
        <v>8</v>
      </c>
      <c r="P130">
        <f t="shared" ref="P130" si="625">IF(C130=D130,0,((E130-D130)-(C130-E130))/(C130-D130))</f>
        <v>0.22903629536921144</v>
      </c>
      <c r="Q130">
        <f t="shared" ref="Q130" si="626">F130*P130</f>
        <v>770290.64286608226</v>
      </c>
      <c r="R130">
        <f t="shared" ref="R130" si="627">R131+Q130</f>
        <v>16945417.555577651</v>
      </c>
      <c r="S130">
        <f t="shared" ref="S130" si="628">R130/100000</f>
        <v>169.45417555577652</v>
      </c>
      <c r="T130">
        <f t="shared" ref="T130" si="629">S130/1000</f>
        <v>0.16945417555577652</v>
      </c>
    </row>
    <row r="131" spans="1:20" x14ac:dyDescent="0.25">
      <c r="A131" s="5">
        <v>44462</v>
      </c>
      <c r="B131">
        <v>61.58</v>
      </c>
      <c r="C131">
        <v>69.260000000000005</v>
      </c>
      <c r="D131">
        <v>61.06</v>
      </c>
      <c r="E131">
        <v>67.36</v>
      </c>
      <c r="F131">
        <v>2419557.19</v>
      </c>
      <c r="G131">
        <v>67.36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0.53658536585365735</v>
      </c>
      <c r="Q131">
        <f t="shared" ref="Q131" si="631">F131*P131</f>
        <v>1298298.9799999972</v>
      </c>
      <c r="R131">
        <f t="shared" ref="R131" si="632">R132+Q131</f>
        <v>16175126.912711568</v>
      </c>
      <c r="S131">
        <f t="shared" ref="S131" si="633">R131/100000</f>
        <v>161.75126912711568</v>
      </c>
      <c r="T131">
        <f t="shared" ref="T131" si="634">S131/1000</f>
        <v>0.16175126912711568</v>
      </c>
    </row>
    <row r="132" spans="1:20" x14ac:dyDescent="0.25">
      <c r="A132" s="5">
        <v>44461</v>
      </c>
      <c r="B132">
        <v>50.62</v>
      </c>
      <c r="C132">
        <v>63.98</v>
      </c>
      <c r="D132">
        <v>49.4</v>
      </c>
      <c r="E132">
        <v>61.58</v>
      </c>
      <c r="F132">
        <v>3909598.46</v>
      </c>
      <c r="G132">
        <v>61.58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0.67078189300411539</v>
      </c>
      <c r="Q132">
        <f t="shared" ref="Q132" si="636">F132*P132</f>
        <v>2622487.8558847741</v>
      </c>
      <c r="R132">
        <f t="shared" ref="R132" si="637">R133+Q132</f>
        <v>14876827.932711571</v>
      </c>
      <c r="S132">
        <f t="shared" ref="S132" si="638">R132/100000</f>
        <v>148.76827932711572</v>
      </c>
      <c r="T132">
        <f t="shared" ref="T132" si="639">S132/1000</f>
        <v>0.14876827932711573</v>
      </c>
    </row>
    <row r="133" spans="1:20" x14ac:dyDescent="0.25">
      <c r="A133" s="5">
        <v>44460</v>
      </c>
      <c r="B133">
        <v>55.11</v>
      </c>
      <c r="C133">
        <v>56.94</v>
      </c>
      <c r="D133">
        <v>48.1</v>
      </c>
      <c r="E133">
        <v>50.62</v>
      </c>
      <c r="F133">
        <v>1944673.46</v>
      </c>
      <c r="G133">
        <v>50.62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-0.4298642533936658</v>
      </c>
      <c r="Q133">
        <f t="shared" ref="Q133" si="641">F133*P133</f>
        <v>-835945.60497737676</v>
      </c>
      <c r="R133">
        <f t="shared" ref="R133" si="642">R134+Q133</f>
        <v>12254340.076826798</v>
      </c>
      <c r="S133">
        <f t="shared" ref="S133" si="643">R133/100000</f>
        <v>122.54340076826797</v>
      </c>
      <c r="T133">
        <f t="shared" ref="T133" si="644">S133/1000</f>
        <v>0.12254340076826797</v>
      </c>
    </row>
    <row r="134" spans="1:20" x14ac:dyDescent="0.25">
      <c r="A134" s="5">
        <v>44459</v>
      </c>
      <c r="B134">
        <v>63.73</v>
      </c>
      <c r="C134">
        <v>63.85</v>
      </c>
      <c r="D134">
        <v>57.28</v>
      </c>
      <c r="E134">
        <v>58.39</v>
      </c>
      <c r="F134">
        <v>700192.76</v>
      </c>
      <c r="G134">
        <v>58.39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-0.66210045662100481</v>
      </c>
      <c r="Q134">
        <f t="shared" ref="Q134" si="646">F134*P134</f>
        <v>-463597.94611872162</v>
      </c>
      <c r="R134">
        <f t="shared" ref="R134" si="647">R135+Q134</f>
        <v>13090285.681804175</v>
      </c>
      <c r="S134">
        <f t="shared" ref="S134" si="648">R134/100000</f>
        <v>130.90285681804176</v>
      </c>
      <c r="T134">
        <f t="shared" ref="T134" si="649">S134/1000</f>
        <v>0.13090285681804176</v>
      </c>
    </row>
    <row r="135" spans="1:20" x14ac:dyDescent="0.25">
      <c r="A135" s="5">
        <v>44458</v>
      </c>
      <c r="B135">
        <v>66.099999999999994</v>
      </c>
      <c r="C135">
        <v>66.489999999999995</v>
      </c>
      <c r="D135">
        <v>62.96</v>
      </c>
      <c r="E135">
        <v>63.7</v>
      </c>
      <c r="F135">
        <v>654211.62</v>
      </c>
      <c r="G135">
        <v>63.7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-0.58073654390934659</v>
      </c>
      <c r="Q135">
        <f t="shared" ref="Q135" si="651">F135*P135</f>
        <v>-379924.59518413479</v>
      </c>
      <c r="R135">
        <f t="shared" ref="R135" si="652">R136+Q135</f>
        <v>13553883.627922896</v>
      </c>
      <c r="S135">
        <f t="shared" ref="S135" si="653">R135/100000</f>
        <v>135.53883627922897</v>
      </c>
      <c r="T135">
        <f t="shared" ref="T135" si="654">S135/1000</f>
        <v>0.13553883627922897</v>
      </c>
    </row>
    <row r="136" spans="1:20" x14ac:dyDescent="0.25">
      <c r="A136" s="5">
        <v>44457</v>
      </c>
      <c r="B136">
        <v>65.88</v>
      </c>
      <c r="C136">
        <v>67.73</v>
      </c>
      <c r="D136">
        <v>64.7</v>
      </c>
      <c r="E136">
        <v>66.14</v>
      </c>
      <c r="F136">
        <v>664959.21</v>
      </c>
      <c r="G136">
        <v>66.14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-4.950495049505136E-2</v>
      </c>
      <c r="Q136">
        <f t="shared" ref="Q136" si="656">F136*P136</f>
        <v>-32918.772772278462</v>
      </c>
      <c r="R136">
        <f t="shared" ref="R136" si="657">R137+Q136</f>
        <v>13933808.223107031</v>
      </c>
      <c r="S136">
        <f t="shared" ref="S136" si="658">R136/100000</f>
        <v>139.3380822310703</v>
      </c>
      <c r="T136">
        <f t="shared" ref="T136" si="659">S136/1000</f>
        <v>0.1393380822310703</v>
      </c>
    </row>
    <row r="137" spans="1:20" x14ac:dyDescent="0.25">
      <c r="A137" s="5">
        <v>44456</v>
      </c>
      <c r="B137">
        <v>67.22</v>
      </c>
      <c r="C137">
        <v>68.099999999999994</v>
      </c>
      <c r="D137">
        <v>64.3</v>
      </c>
      <c r="E137">
        <v>65.87</v>
      </c>
      <c r="F137">
        <v>867977.98</v>
      </c>
      <c r="G137">
        <v>65.87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-0.17368421052631128</v>
      </c>
      <c r="Q137">
        <f t="shared" ref="Q137" si="661">F137*P137</f>
        <v>-150754.07021052239</v>
      </c>
      <c r="R137">
        <f t="shared" ref="R137" si="662">R138+Q137</f>
        <v>13966726.995879309</v>
      </c>
      <c r="S137">
        <f t="shared" ref="S137" si="663">R137/100000</f>
        <v>139.6672699587931</v>
      </c>
      <c r="T137">
        <f t="shared" ref="T137" si="664">S137/1000</f>
        <v>0.13966726995879311</v>
      </c>
    </row>
    <row r="138" spans="1:20" x14ac:dyDescent="0.25">
      <c r="A138" s="5">
        <v>44455</v>
      </c>
      <c r="B138">
        <v>68.64</v>
      </c>
      <c r="C138">
        <v>71</v>
      </c>
      <c r="D138">
        <v>65.61</v>
      </c>
      <c r="E138">
        <v>67.260000000000005</v>
      </c>
      <c r="F138">
        <v>1255961.94</v>
      </c>
      <c r="G138">
        <v>67.260000000000005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-0.38775510204081426</v>
      </c>
      <c r="Q138">
        <f t="shared" ref="Q138" si="666">F138*P138</f>
        <v>-487005.65020407899</v>
      </c>
      <c r="R138">
        <f t="shared" ref="R138" si="667">R139+Q138</f>
        <v>14117481.066089831</v>
      </c>
      <c r="S138">
        <f t="shared" ref="S138" si="668">R138/100000</f>
        <v>141.17481066089832</v>
      </c>
      <c r="T138">
        <f t="shared" ref="T138" si="669">S138/1000</f>
        <v>0.14117481066089832</v>
      </c>
    </row>
    <row r="139" spans="1:20" x14ac:dyDescent="0.25">
      <c r="A139" s="5">
        <v>44454</v>
      </c>
      <c r="B139">
        <v>66.7</v>
      </c>
      <c r="C139">
        <v>69.8</v>
      </c>
      <c r="D139">
        <v>65.44</v>
      </c>
      <c r="E139">
        <v>68.64</v>
      </c>
      <c r="F139">
        <v>919812.91</v>
      </c>
      <c r="G139">
        <v>68.64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0.4678899082568822</v>
      </c>
      <c r="Q139">
        <f t="shared" ref="Q139" si="671">F139*P139</f>
        <v>430371.17807339586</v>
      </c>
      <c r="R139">
        <f t="shared" ref="R139" si="672">R140+Q139</f>
        <v>14604486.716293911</v>
      </c>
      <c r="S139">
        <f t="shared" ref="S139" si="673">R139/100000</f>
        <v>146.04486716293911</v>
      </c>
      <c r="T139">
        <f t="shared" ref="T139" si="674">S139/1000</f>
        <v>0.1460448671629391</v>
      </c>
    </row>
    <row r="140" spans="1:20" x14ac:dyDescent="0.25">
      <c r="A140" s="5">
        <v>44453</v>
      </c>
      <c r="B140">
        <v>64.95</v>
      </c>
      <c r="C140">
        <v>67.55</v>
      </c>
      <c r="D140">
        <v>64.12</v>
      </c>
      <c r="E140">
        <v>66.7</v>
      </c>
      <c r="F140">
        <v>1086946.3899999999</v>
      </c>
      <c r="G140">
        <v>66.7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0.50437317784256785</v>
      </c>
      <c r="Q140">
        <f t="shared" ref="Q140" si="676">F140*P140</f>
        <v>548226.60486880702</v>
      </c>
      <c r="R140">
        <f t="shared" ref="R140" si="677">R141+Q140</f>
        <v>14174115.538220515</v>
      </c>
      <c r="S140">
        <f t="shared" ref="S140" si="678">R140/100000</f>
        <v>141.74115538220516</v>
      </c>
      <c r="T140">
        <f t="shared" ref="T140" si="679">S140/1000</f>
        <v>0.14174115538220516</v>
      </c>
    </row>
    <row r="141" spans="1:20" x14ac:dyDescent="0.25">
      <c r="A141" s="5">
        <v>44452</v>
      </c>
      <c r="B141">
        <v>69.81</v>
      </c>
      <c r="C141">
        <v>71.540000000000006</v>
      </c>
      <c r="D141">
        <v>61.23</v>
      </c>
      <c r="E141">
        <v>64.989999999999995</v>
      </c>
      <c r="F141">
        <v>1594588.06</v>
      </c>
      <c r="G141">
        <v>64.989999999999995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-0.27061105722599521</v>
      </c>
      <c r="Q141">
        <f t="shared" ref="Q141" si="681">F141*P141</f>
        <v>-431513.16075654869</v>
      </c>
      <c r="R141">
        <f t="shared" ref="R141" si="682">R142+Q141</f>
        <v>13625888.933351709</v>
      </c>
      <c r="S141">
        <f t="shared" ref="S141" si="683">R141/100000</f>
        <v>136.25888933351709</v>
      </c>
      <c r="T141">
        <f t="shared" ref="T141" si="684">S141/1000</f>
        <v>0.1362588893335171</v>
      </c>
    </row>
    <row r="142" spans="1:20" x14ac:dyDescent="0.25">
      <c r="A142" s="5">
        <v>44451</v>
      </c>
      <c r="B142">
        <v>68.91</v>
      </c>
      <c r="C142">
        <v>70.95</v>
      </c>
      <c r="D142">
        <v>66.13</v>
      </c>
      <c r="E142">
        <v>69.81</v>
      </c>
      <c r="F142">
        <v>1194415.18</v>
      </c>
      <c r="G142">
        <v>69.81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0.52697095435684693</v>
      </c>
      <c r="Q142">
        <f t="shared" ref="Q142" si="686">F142*P142</f>
        <v>629422.10730290506</v>
      </c>
      <c r="R142">
        <f t="shared" ref="R142" si="687">R143+Q142</f>
        <v>14057402.094108257</v>
      </c>
      <c r="S142">
        <f t="shared" ref="S142" si="688">R142/100000</f>
        <v>140.57402094108258</v>
      </c>
      <c r="T142">
        <f t="shared" ref="T142" si="689">S142/1000</f>
        <v>0.14057402094108257</v>
      </c>
    </row>
    <row r="143" spans="1:20" x14ac:dyDescent="0.25">
      <c r="A143" s="5">
        <v>44450</v>
      </c>
      <c r="B143">
        <v>65.459999999999994</v>
      </c>
      <c r="C143">
        <v>72</v>
      </c>
      <c r="D143">
        <v>64.84</v>
      </c>
      <c r="E143">
        <v>68.92</v>
      </c>
      <c r="F143">
        <v>1365664.4</v>
      </c>
      <c r="G143">
        <v>68.92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0.13966480446927382</v>
      </c>
      <c r="Q143">
        <f t="shared" ref="Q143" si="691">F143*P143</f>
        <v>190735.25139664812</v>
      </c>
      <c r="R143">
        <f t="shared" ref="R143" si="692">R144+Q143</f>
        <v>13427979.986805353</v>
      </c>
      <c r="S143">
        <f t="shared" ref="S143" si="693">R143/100000</f>
        <v>134.27979986805354</v>
      </c>
      <c r="T143">
        <f t="shared" ref="T143" si="694">S143/1000</f>
        <v>0.13427979986805355</v>
      </c>
    </row>
    <row r="144" spans="1:20" x14ac:dyDescent="0.25">
      <c r="A144" s="5">
        <v>44449</v>
      </c>
      <c r="B144">
        <v>69.12</v>
      </c>
      <c r="C144">
        <v>71.33</v>
      </c>
      <c r="D144">
        <v>62.6</v>
      </c>
      <c r="E144">
        <v>65.459999999999994</v>
      </c>
      <c r="F144">
        <v>1738672.24</v>
      </c>
      <c r="G144">
        <v>65.459999999999994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-0.34478808705612984</v>
      </c>
      <c r="Q144">
        <f t="shared" ref="Q144" si="696">F144*P144</f>
        <v>-599473.47564719629</v>
      </c>
      <c r="R144">
        <f t="shared" ref="R144" si="697">R145+Q144</f>
        <v>13237244.735408705</v>
      </c>
      <c r="S144">
        <f t="shared" ref="S144" si="698">R144/100000</f>
        <v>132.37244735408706</v>
      </c>
      <c r="T144">
        <f t="shared" ref="T144" si="699">S144/1000</f>
        <v>0.13237244735408707</v>
      </c>
    </row>
    <row r="145" spans="1:20" x14ac:dyDescent="0.25">
      <c r="A145" s="5">
        <v>44448</v>
      </c>
      <c r="B145">
        <v>68</v>
      </c>
      <c r="C145">
        <v>72.28</v>
      </c>
      <c r="D145">
        <v>66.709999999999994</v>
      </c>
      <c r="E145">
        <v>69.13</v>
      </c>
      <c r="F145">
        <v>2327581.7999999998</v>
      </c>
      <c r="G145">
        <v>69.13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-0.13105924596050322</v>
      </c>
      <c r="Q145">
        <f t="shared" ref="Q145" si="701">F145*P145</f>
        <v>-305051.1156193908</v>
      </c>
      <c r="R145">
        <f t="shared" ref="R145" si="702">R146+Q145</f>
        <v>13836718.211055901</v>
      </c>
      <c r="S145">
        <f t="shared" ref="S145" si="703">R145/100000</f>
        <v>138.36718211055901</v>
      </c>
      <c r="T145">
        <f t="shared" ref="T145" si="704">S145/1000</f>
        <v>0.13836718211055901</v>
      </c>
    </row>
    <row r="146" spans="1:20" x14ac:dyDescent="0.25">
      <c r="A146" s="5">
        <v>44447</v>
      </c>
      <c r="B146">
        <v>64.41</v>
      </c>
      <c r="C146">
        <v>70.89</v>
      </c>
      <c r="D146">
        <v>60.01</v>
      </c>
      <c r="E146">
        <v>68.040000000000006</v>
      </c>
      <c r="F146">
        <v>4046247.24</v>
      </c>
      <c r="G146">
        <v>68.040000000000006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0.47610294117647178</v>
      </c>
      <c r="Q146">
        <f t="shared" ref="Q146" si="706">F146*P146</f>
        <v>1926430.2116911814</v>
      </c>
      <c r="R146">
        <f t="shared" ref="R146" si="707">R147+Q146</f>
        <v>14141769.326675292</v>
      </c>
      <c r="S146">
        <f t="shared" ref="S146" si="708">R146/100000</f>
        <v>141.41769326675293</v>
      </c>
      <c r="T146">
        <f t="shared" ref="T146" si="709">S146/1000</f>
        <v>0.14141769326675294</v>
      </c>
    </row>
    <row r="147" spans="1:20" x14ac:dyDescent="0.25">
      <c r="A147" s="5">
        <v>44446</v>
      </c>
      <c r="B147">
        <v>79.040000000000006</v>
      </c>
      <c r="C147">
        <v>80.36</v>
      </c>
      <c r="D147">
        <v>56.1</v>
      </c>
      <c r="E147">
        <v>64.400000000000006</v>
      </c>
      <c r="F147">
        <v>4702458.58</v>
      </c>
      <c r="G147">
        <v>64.400000000000006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-0.31574608408903504</v>
      </c>
      <c r="Q147">
        <f t="shared" ref="Q147" si="711">F147*P147</f>
        <v>-1484782.8822258844</v>
      </c>
      <c r="R147">
        <f t="shared" ref="R147" si="712">R148+Q147</f>
        <v>12215339.11498411</v>
      </c>
      <c r="S147">
        <f t="shared" ref="S147" si="713">R147/100000</f>
        <v>122.1533911498411</v>
      </c>
      <c r="T147">
        <f t="shared" ref="T147" si="714">S147/1000</f>
        <v>0.1221533911498411</v>
      </c>
    </row>
    <row r="148" spans="1:20" x14ac:dyDescent="0.25">
      <c r="A148" s="5">
        <v>44445</v>
      </c>
      <c r="B148">
        <v>82.23</v>
      </c>
      <c r="C148">
        <v>85.24</v>
      </c>
      <c r="D148">
        <v>73.680000000000007</v>
      </c>
      <c r="E148">
        <v>79.08</v>
      </c>
      <c r="F148">
        <v>2512211.11</v>
      </c>
      <c r="G148">
        <v>79.08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-6.5743944636678708E-2</v>
      </c>
      <c r="Q148">
        <f t="shared" ref="Q148" si="716">F148*P148</f>
        <v>-165162.66813148916</v>
      </c>
      <c r="R148">
        <f t="shared" ref="R148" si="717">R149+Q148</f>
        <v>13700121.997209994</v>
      </c>
      <c r="S148">
        <f t="shared" ref="S148" si="718">R148/100000</f>
        <v>137.00121997209993</v>
      </c>
      <c r="T148">
        <f t="shared" ref="T148" si="719">S148/1000</f>
        <v>0.13700121997209994</v>
      </c>
    </row>
    <row r="149" spans="1:20" x14ac:dyDescent="0.25">
      <c r="A149" s="5">
        <v>44444</v>
      </c>
      <c r="B149">
        <v>82.41</v>
      </c>
      <c r="C149">
        <v>88.86</v>
      </c>
      <c r="D149">
        <v>79.83</v>
      </c>
      <c r="E149">
        <v>82.21</v>
      </c>
      <c r="F149">
        <v>3928198.31</v>
      </c>
      <c r="G149">
        <v>82.21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-0.47286821705426463</v>
      </c>
      <c r="Q149">
        <f t="shared" ref="Q149" si="721">F149*P149</f>
        <v>-1857520.1310852754</v>
      </c>
      <c r="R149">
        <f t="shared" ref="R149" si="722">R150+Q149</f>
        <v>13865284.665341483</v>
      </c>
      <c r="S149">
        <f t="shared" ref="S149" si="723">R149/100000</f>
        <v>138.65284665341483</v>
      </c>
      <c r="T149">
        <f t="shared" ref="T149" si="724">S149/1000</f>
        <v>0.13865284665341482</v>
      </c>
    </row>
    <row r="150" spans="1:20" x14ac:dyDescent="0.25">
      <c r="A150" s="5">
        <v>44443</v>
      </c>
      <c r="B150">
        <v>73.98</v>
      </c>
      <c r="C150">
        <v>94.67</v>
      </c>
      <c r="D150">
        <v>72.41</v>
      </c>
      <c r="E150">
        <v>82.41</v>
      </c>
      <c r="F150">
        <v>7227151.1299999999</v>
      </c>
      <c r="G150">
        <v>82.41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-0.10152740341419607</v>
      </c>
      <c r="Q150">
        <f t="shared" ref="Q150" si="726">F150*P150</f>
        <v>-733753.88831087295</v>
      </c>
      <c r="R150">
        <f t="shared" ref="R150" si="727">R151+Q150</f>
        <v>15722804.796426758</v>
      </c>
      <c r="S150">
        <f t="shared" ref="S150" si="728">R150/100000</f>
        <v>157.22804796426757</v>
      </c>
      <c r="T150">
        <f t="shared" ref="T150" si="729">S150/1000</f>
        <v>0.15722804796426756</v>
      </c>
    </row>
    <row r="151" spans="1:20" x14ac:dyDescent="0.25">
      <c r="A151" s="5">
        <v>44442</v>
      </c>
      <c r="B151">
        <v>72.709999999999994</v>
      </c>
      <c r="C151">
        <v>76.5</v>
      </c>
      <c r="D151">
        <v>71.44</v>
      </c>
      <c r="E151">
        <v>73.98</v>
      </c>
      <c r="F151">
        <v>1664216.54</v>
      </c>
      <c r="G151">
        <v>73.98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3.952569169962495E-3</v>
      </c>
      <c r="Q151">
        <f t="shared" ref="Q151" si="731">F151*P151</f>
        <v>6577.9309881456556</v>
      </c>
      <c r="R151">
        <f t="shared" ref="R151" si="732">R152+Q151</f>
        <v>16456558.684737632</v>
      </c>
      <c r="S151">
        <f t="shared" ref="S151" si="733">R151/100000</f>
        <v>164.56558684737632</v>
      </c>
      <c r="T151">
        <f t="shared" ref="T151" si="734">S151/1000</f>
        <v>0.16456558684737632</v>
      </c>
    </row>
    <row r="152" spans="1:20" x14ac:dyDescent="0.25">
      <c r="A152" s="5">
        <v>44441</v>
      </c>
      <c r="B152">
        <v>73.88</v>
      </c>
      <c r="C152">
        <v>74.67</v>
      </c>
      <c r="D152">
        <v>71.569999999999993</v>
      </c>
      <c r="E152">
        <v>72.7</v>
      </c>
      <c r="F152">
        <v>1175746.03</v>
      </c>
      <c r="G152">
        <v>72.7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-0.27096774193547962</v>
      </c>
      <c r="Q152">
        <f t="shared" ref="Q152" si="736">F152*P152</f>
        <v>-318589.24683870468</v>
      </c>
      <c r="R152">
        <f t="shared" ref="R152" si="737">R153+Q152</f>
        <v>16449980.753749486</v>
      </c>
      <c r="S152">
        <f t="shared" ref="S152" si="738">R152/100000</f>
        <v>164.49980753749486</v>
      </c>
      <c r="T152">
        <f t="shared" ref="T152" si="739">S152/1000</f>
        <v>0.16449980753749485</v>
      </c>
    </row>
    <row r="153" spans="1:20" x14ac:dyDescent="0.25">
      <c r="A153" s="5">
        <v>44440</v>
      </c>
      <c r="B153">
        <v>72.13</v>
      </c>
      <c r="C153">
        <v>74.63</v>
      </c>
      <c r="D153">
        <v>69.37</v>
      </c>
      <c r="E153">
        <v>73.89</v>
      </c>
      <c r="F153">
        <v>1683706.39</v>
      </c>
      <c r="G153">
        <v>73.89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0.71863117870722582</v>
      </c>
      <c r="Q153">
        <f t="shared" ref="Q153" si="741">F153*P153</f>
        <v>1209963.907642588</v>
      </c>
      <c r="R153">
        <f t="shared" ref="R153" si="742">R154+Q153</f>
        <v>16768570.000588192</v>
      </c>
      <c r="S153">
        <f t="shared" ref="S153" si="743">R153/100000</f>
        <v>167.68570000588193</v>
      </c>
      <c r="T153">
        <f t="shared" ref="T153" si="744">S153/1000</f>
        <v>0.16768570000588193</v>
      </c>
    </row>
    <row r="154" spans="1:20" x14ac:dyDescent="0.25">
      <c r="A154" s="5">
        <v>44439</v>
      </c>
      <c r="B154">
        <v>72.83</v>
      </c>
      <c r="C154">
        <v>75.89</v>
      </c>
      <c r="D154">
        <v>71.22</v>
      </c>
      <c r="E154">
        <v>72.14</v>
      </c>
      <c r="F154">
        <v>1922772.18</v>
      </c>
      <c r="G154">
        <v>72.14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-0.60599571734475322</v>
      </c>
      <c r="Q154">
        <f t="shared" ref="Q154" si="746">F154*P154</f>
        <v>-1165191.7065096349</v>
      </c>
      <c r="R154">
        <f t="shared" ref="R154" si="747">R155+Q154</f>
        <v>15558606.092945604</v>
      </c>
      <c r="S154">
        <f t="shared" ref="S154" si="748">R154/100000</f>
        <v>155.58606092945604</v>
      </c>
      <c r="T154">
        <f t="shared" ref="T154" si="749">S154/1000</f>
        <v>0.15558606092945604</v>
      </c>
    </row>
    <row r="155" spans="1:20" x14ac:dyDescent="0.25">
      <c r="A155" s="5">
        <v>44438</v>
      </c>
      <c r="B155">
        <v>78.319999999999993</v>
      </c>
      <c r="C155">
        <v>78.37</v>
      </c>
      <c r="D155">
        <v>72.400000000000006</v>
      </c>
      <c r="E155">
        <v>72.819999999999993</v>
      </c>
      <c r="F155">
        <v>1916717.03</v>
      </c>
      <c r="G155">
        <v>72.819999999999993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-0.85929648241206447</v>
      </c>
      <c r="Q155">
        <f t="shared" ref="Q155" si="751">F155*P155</f>
        <v>-1647028.2016582994</v>
      </c>
      <c r="R155">
        <f t="shared" ref="R155" si="752">R156+Q155</f>
        <v>16723797.799455239</v>
      </c>
      <c r="S155">
        <f t="shared" ref="S155" si="753">R155/100000</f>
        <v>167.23797799455238</v>
      </c>
      <c r="T155">
        <f t="shared" ref="T155" si="754">S155/1000</f>
        <v>0.16723797799455237</v>
      </c>
    </row>
    <row r="156" spans="1:20" x14ac:dyDescent="0.25">
      <c r="A156" s="5">
        <v>44437</v>
      </c>
      <c r="B156">
        <v>74.81</v>
      </c>
      <c r="C156">
        <v>79</v>
      </c>
      <c r="D156">
        <v>71.27</v>
      </c>
      <c r="E156">
        <v>78.33</v>
      </c>
      <c r="F156">
        <v>2123272.9900000002</v>
      </c>
      <c r="G156">
        <v>78.33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0.82664941785252233</v>
      </c>
      <c r="Q156">
        <f t="shared" ref="Q156" si="756">F156*P156</f>
        <v>1755202.3811254846</v>
      </c>
      <c r="R156">
        <f t="shared" ref="R156" si="757">R157+Q156</f>
        <v>18370826.001113538</v>
      </c>
      <c r="S156">
        <f t="shared" ref="S156" si="758">R156/100000</f>
        <v>183.70826001113537</v>
      </c>
      <c r="T156">
        <f t="shared" ref="T156" si="759">S156/1000</f>
        <v>0.18370826001113535</v>
      </c>
    </row>
    <row r="157" spans="1:20" x14ac:dyDescent="0.25">
      <c r="A157" s="5">
        <v>44436</v>
      </c>
      <c r="B157">
        <v>73.67</v>
      </c>
      <c r="C157">
        <v>79.7</v>
      </c>
      <c r="D157">
        <v>72.34</v>
      </c>
      <c r="E157">
        <v>74.81</v>
      </c>
      <c r="F157">
        <v>3178477.5</v>
      </c>
      <c r="G157">
        <v>74.81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-0.3288043478260872</v>
      </c>
      <c r="Q157">
        <f t="shared" ref="Q157" si="761">F157*P157</f>
        <v>-1045097.2214673921</v>
      </c>
      <c r="R157">
        <f t="shared" ref="R157" si="762">R158+Q157</f>
        <v>16615623.619988052</v>
      </c>
      <c r="S157">
        <f t="shared" ref="S157" si="763">R157/100000</f>
        <v>166.15623619988051</v>
      </c>
      <c r="T157">
        <f t="shared" ref="T157" si="764">S157/1000</f>
        <v>0.16615623619988051</v>
      </c>
    </row>
    <row r="158" spans="1:20" x14ac:dyDescent="0.25">
      <c r="A158" s="5">
        <v>44435</v>
      </c>
      <c r="B158">
        <v>69.599999999999994</v>
      </c>
      <c r="C158">
        <v>73.69</v>
      </c>
      <c r="D158">
        <v>68.06</v>
      </c>
      <c r="E158">
        <v>73.67</v>
      </c>
      <c r="F158">
        <v>2684929.08</v>
      </c>
      <c r="G158">
        <v>73.67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0.99289520426287881</v>
      </c>
      <c r="Q158">
        <f t="shared" ref="Q158" si="766">F158*P158</f>
        <v>2665853.2073179432</v>
      </c>
      <c r="R158">
        <f t="shared" ref="R158" si="767">R159+Q158</f>
        <v>17660720.841455445</v>
      </c>
      <c r="S158">
        <f t="shared" ref="S158" si="768">R158/100000</f>
        <v>176.60720841455444</v>
      </c>
      <c r="T158">
        <f t="shared" ref="T158" si="769">S158/1000</f>
        <v>0.17660720841455443</v>
      </c>
    </row>
    <row r="159" spans="1:20" x14ac:dyDescent="0.25">
      <c r="A159" s="5">
        <v>44434</v>
      </c>
      <c r="B159">
        <v>72.5077</v>
      </c>
      <c r="C159">
        <v>73.947800000000001</v>
      </c>
      <c r="D159">
        <v>67.208699999999993</v>
      </c>
      <c r="E159">
        <v>69.61</v>
      </c>
      <c r="F159">
        <v>2648270.17</v>
      </c>
      <c r="G159">
        <v>69.61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-0.28735291062604695</v>
      </c>
      <c r="Q159">
        <f t="shared" ref="Q159" si="771">F159*P159</f>
        <v>-760988.14147363615</v>
      </c>
      <c r="R159">
        <f t="shared" ref="R159" si="772">R160+Q159</f>
        <v>14994867.6341375</v>
      </c>
      <c r="S159">
        <f t="shared" ref="S159" si="773">R159/100000</f>
        <v>149.94867634137501</v>
      </c>
      <c r="T159">
        <f t="shared" ref="T159" si="774">S159/1000</f>
        <v>0.14994867634137501</v>
      </c>
    </row>
    <row r="160" spans="1:20" x14ac:dyDescent="0.25">
      <c r="A160" s="5">
        <v>44433</v>
      </c>
      <c r="B160">
        <v>69.863900000000001</v>
      </c>
      <c r="C160">
        <v>75.377200000000002</v>
      </c>
      <c r="D160">
        <v>68.432599999999994</v>
      </c>
      <c r="E160">
        <v>72.5077</v>
      </c>
      <c r="F160">
        <v>4257117.74</v>
      </c>
      <c r="G160">
        <v>72.5077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0.17360251130374715</v>
      </c>
      <c r="Q160">
        <f t="shared" ref="Q160" si="776">F160*P160</f>
        <v>739046.33057973254</v>
      </c>
      <c r="R160">
        <f t="shared" ref="R160" si="777">R161+Q160</f>
        <v>15755855.775611136</v>
      </c>
      <c r="S160">
        <f t="shared" ref="S160" si="778">R160/100000</f>
        <v>157.55855775611136</v>
      </c>
      <c r="T160">
        <f t="shared" ref="T160" si="779">S160/1000</f>
        <v>0.15755855775611136</v>
      </c>
    </row>
    <row r="161" spans="1:20" x14ac:dyDescent="0.25">
      <c r="A161" s="5">
        <v>44432</v>
      </c>
      <c r="B161">
        <v>77.330100000000002</v>
      </c>
      <c r="C161">
        <v>77.563299999999998</v>
      </c>
      <c r="D161">
        <v>67.11</v>
      </c>
      <c r="E161">
        <v>69.893699999999995</v>
      </c>
      <c r="F161">
        <v>3504540.59</v>
      </c>
      <c r="G161">
        <v>69.893699999999995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-0.46740263840127111</v>
      </c>
      <c r="Q161">
        <f t="shared" ref="Q161" si="781">F161*P161</f>
        <v>-1638031.5181503473</v>
      </c>
      <c r="R161">
        <f t="shared" ref="R161" si="782">R162+Q161</f>
        <v>15016809.445031404</v>
      </c>
      <c r="S161">
        <f t="shared" ref="S161" si="783">R161/100000</f>
        <v>150.16809445031404</v>
      </c>
      <c r="T161">
        <f t="shared" ref="T161" si="784">S161/1000</f>
        <v>0.15016809445031404</v>
      </c>
    </row>
    <row r="162" spans="1:20" x14ac:dyDescent="0.25">
      <c r="A162" s="5">
        <v>44431</v>
      </c>
      <c r="B162">
        <v>77.123000000000005</v>
      </c>
      <c r="C162">
        <v>78.900000000000006</v>
      </c>
      <c r="D162">
        <v>75.158100000000005</v>
      </c>
      <c r="E162">
        <v>77.340800000000002</v>
      </c>
      <c r="F162">
        <v>2212115.4300000002</v>
      </c>
      <c r="G162">
        <v>77.340800000000002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0.16662658007963671</v>
      </c>
      <c r="Q162">
        <f t="shared" ref="Q162" si="786">F162*P162</f>
        <v>368597.22884229501</v>
      </c>
      <c r="R162">
        <f t="shared" ref="R162" si="787">R163+Q162</f>
        <v>16654840.963181753</v>
      </c>
      <c r="S162">
        <f t="shared" ref="S162" si="788">R162/100000</f>
        <v>166.54840963181752</v>
      </c>
      <c r="T162">
        <f t="shared" ref="T162" si="789">S162/1000</f>
        <v>0.16654840963181752</v>
      </c>
    </row>
    <row r="163" spans="1:20" x14ac:dyDescent="0.25">
      <c r="A163" s="5">
        <v>44430</v>
      </c>
      <c r="B163">
        <v>76.869100000000003</v>
      </c>
      <c r="C163">
        <v>77.970699999999994</v>
      </c>
      <c r="D163">
        <v>75.953599999999994</v>
      </c>
      <c r="E163">
        <v>77.185900000000004</v>
      </c>
      <c r="F163">
        <v>672998.17</v>
      </c>
      <c r="G163">
        <v>77.185900000000004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0.2218531555203111</v>
      </c>
      <c r="Q163">
        <f t="shared" ref="Q163" si="791">F163*P163</f>
        <v>149306.76767389476</v>
      </c>
      <c r="R163">
        <f t="shared" ref="R163" si="792">R164+Q163</f>
        <v>16286243.734339457</v>
      </c>
      <c r="S163">
        <f t="shared" ref="S163" si="793">R163/100000</f>
        <v>162.86243734339456</v>
      </c>
      <c r="T163">
        <f t="shared" ref="T163" si="794">S163/1000</f>
        <v>0.16286243734339456</v>
      </c>
    </row>
    <row r="164" spans="1:20" x14ac:dyDescent="0.25">
      <c r="A164" s="5">
        <v>44429</v>
      </c>
      <c r="B164">
        <v>73.696200000000005</v>
      </c>
      <c r="C164">
        <v>83.492999999999995</v>
      </c>
      <c r="D164">
        <v>73.685000000000002</v>
      </c>
      <c r="E164">
        <v>76.871200000000002</v>
      </c>
      <c r="F164">
        <v>5467605.5199999996</v>
      </c>
      <c r="G164">
        <v>76.871200000000002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-0.35028548123980385</v>
      </c>
      <c r="Q164">
        <f t="shared" ref="Q164" si="796">F164*P164</f>
        <v>-1915222.8308026078</v>
      </c>
      <c r="R164">
        <f t="shared" ref="R164" si="797">R165+Q164</f>
        <v>16136936.966665562</v>
      </c>
      <c r="S164">
        <f t="shared" ref="S164" si="798">R164/100000</f>
        <v>161.36936966665561</v>
      </c>
      <c r="T164">
        <f t="shared" ref="T164" si="799">S164/1000</f>
        <v>0.1613693696666556</v>
      </c>
    </row>
    <row r="165" spans="1:20" x14ac:dyDescent="0.25">
      <c r="A165" s="5">
        <v>44428</v>
      </c>
      <c r="B165">
        <v>71.878699999999995</v>
      </c>
      <c r="C165">
        <v>74.3</v>
      </c>
      <c r="D165">
        <v>71.313699999999997</v>
      </c>
      <c r="E165">
        <v>73.700100000000006</v>
      </c>
      <c r="F165">
        <v>2874569.69</v>
      </c>
      <c r="G165">
        <v>73.700100000000006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0.59823192579446738</v>
      </c>
      <c r="Q165">
        <f t="shared" ref="Q165" si="801">F165*P165</f>
        <v>1719659.361479105</v>
      </c>
      <c r="R165">
        <f t="shared" ref="R165" si="802">R166+Q165</f>
        <v>18052159.797468171</v>
      </c>
      <c r="S165">
        <f t="shared" ref="S165" si="803">R165/100000</f>
        <v>180.5215979746817</v>
      </c>
      <c r="T165">
        <f t="shared" ref="T165" si="804">S165/1000</f>
        <v>0.1805215979746817</v>
      </c>
    </row>
    <row r="166" spans="1:20" x14ac:dyDescent="0.25">
      <c r="A166" s="5">
        <v>44427</v>
      </c>
      <c r="B166">
        <v>69.260099999999994</v>
      </c>
      <c r="C166">
        <v>73.058099999999996</v>
      </c>
      <c r="D166">
        <v>67.25</v>
      </c>
      <c r="E166">
        <v>71.878600000000006</v>
      </c>
      <c r="F166">
        <v>3666020.45</v>
      </c>
      <c r="G166">
        <v>71.878600000000006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0.59384308121416951</v>
      </c>
      <c r="Q166">
        <f t="shared" ref="Q166" si="806">F166*P166</f>
        <v>2177040.8798221564</v>
      </c>
      <c r="R166">
        <f t="shared" ref="R166" si="807">R167+Q166</f>
        <v>16332500.435989067</v>
      </c>
      <c r="S166">
        <f t="shared" ref="S166" si="808">R166/100000</f>
        <v>163.32500435989067</v>
      </c>
      <c r="T166">
        <f t="shared" ref="T166" si="809">S166/1000</f>
        <v>0.16332500435989067</v>
      </c>
    </row>
    <row r="167" spans="1:20" x14ac:dyDescent="0.25">
      <c r="A167" s="5">
        <v>44426</v>
      </c>
      <c r="B167">
        <v>71.835499999999996</v>
      </c>
      <c r="C167">
        <v>74.941400000000002</v>
      </c>
      <c r="D167">
        <v>65.599999999999994</v>
      </c>
      <c r="E167">
        <v>69.209900000000005</v>
      </c>
      <c r="F167">
        <v>6728077.7999999998</v>
      </c>
      <c r="G167">
        <v>69.209900000000005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-0.22711799087930984</v>
      </c>
      <c r="Q167">
        <f t="shared" ref="Q167" si="811">F167*P167</f>
        <v>-1528067.5124156869</v>
      </c>
      <c r="R167">
        <f t="shared" ref="R167" si="812">R168+Q167</f>
        <v>14155459.55616691</v>
      </c>
      <c r="S167">
        <f t="shared" ref="S167" si="813">R167/100000</f>
        <v>141.55459556166909</v>
      </c>
      <c r="T167">
        <f t="shared" ref="T167" si="814">S167/1000</f>
        <v>0.14155459556166908</v>
      </c>
    </row>
    <row r="168" spans="1:20" x14ac:dyDescent="0.25">
      <c r="A168" s="5">
        <v>44425</v>
      </c>
      <c r="B168">
        <v>66.299599999999998</v>
      </c>
      <c r="C168">
        <v>82.22</v>
      </c>
      <c r="D168">
        <v>65.2</v>
      </c>
      <c r="E168">
        <v>71.879000000000005</v>
      </c>
      <c r="F168">
        <v>11946668.49</v>
      </c>
      <c r="G168">
        <v>71.879000000000005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-0.2151586368977669</v>
      </c>
      <c r="Q168">
        <f t="shared" ref="Q168" si="816">F168*P168</f>
        <v>-2570428.9077779031</v>
      </c>
      <c r="R168">
        <f t="shared" ref="R168" si="817">R169+Q168</f>
        <v>15683527.068582596</v>
      </c>
      <c r="S168">
        <f t="shared" ref="S168" si="818">R168/100000</f>
        <v>156.83527068582598</v>
      </c>
      <c r="T168">
        <f t="shared" ref="T168" si="819">S168/1000</f>
        <v>0.15683527068582598</v>
      </c>
    </row>
    <row r="169" spans="1:20" x14ac:dyDescent="0.25">
      <c r="A169" s="5">
        <v>44424</v>
      </c>
      <c r="B169">
        <v>67.875799999999998</v>
      </c>
      <c r="C169">
        <v>70.956999999999994</v>
      </c>
      <c r="D169">
        <v>65.743099999999998</v>
      </c>
      <c r="E169">
        <v>66.333699999999993</v>
      </c>
      <c r="F169">
        <v>3474416.89</v>
      </c>
      <c r="G169">
        <v>66.333699999999993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-0.7734517347858626</v>
      </c>
      <c r="Q169">
        <f t="shared" ref="Q169" si="821">F169*P169</f>
        <v>-2687293.7709398018</v>
      </c>
      <c r="R169">
        <f t="shared" ref="R169" si="822">R170+Q169</f>
        <v>18253955.9763605</v>
      </c>
      <c r="S169">
        <f t="shared" ref="S169" si="823">R169/100000</f>
        <v>182.53955976360501</v>
      </c>
      <c r="T169">
        <f t="shared" ref="T169" si="824">S169/1000</f>
        <v>0.182539559763605</v>
      </c>
    </row>
    <row r="170" spans="1:20" x14ac:dyDescent="0.25">
      <c r="A170" s="5">
        <v>44423</v>
      </c>
      <c r="B170">
        <v>67.693799999999996</v>
      </c>
      <c r="C170">
        <v>67.999899999999997</v>
      </c>
      <c r="D170">
        <v>63</v>
      </c>
      <c r="E170">
        <v>67.891999999999996</v>
      </c>
      <c r="F170">
        <v>2919960.56</v>
      </c>
      <c r="G170">
        <v>67.891999999999996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0.95683913678273536</v>
      </c>
      <c r="Q170">
        <f t="shared" ref="Q170" si="826">F170*P170</f>
        <v>2793932.5416700328</v>
      </c>
      <c r="R170">
        <f t="shared" ref="R170" si="827">R171+Q170</f>
        <v>20941249.747300301</v>
      </c>
      <c r="S170">
        <f t="shared" ref="S170" si="828">R170/100000</f>
        <v>209.41249747300301</v>
      </c>
      <c r="T170">
        <f t="shared" ref="T170" si="829">S170/1000</f>
        <v>0.209412497473003</v>
      </c>
    </row>
    <row r="171" spans="1:20" x14ac:dyDescent="0.25">
      <c r="A171" s="5">
        <v>44422</v>
      </c>
      <c r="B171">
        <v>70.525700000000001</v>
      </c>
      <c r="C171">
        <v>70.900000000000006</v>
      </c>
      <c r="D171">
        <v>65.024699999999996</v>
      </c>
      <c r="E171">
        <v>67.693799999999996</v>
      </c>
      <c r="F171">
        <v>4107496.17</v>
      </c>
      <c r="G171">
        <v>67.693799999999996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-9.1416608513609277E-2</v>
      </c>
      <c r="Q171">
        <f t="shared" ref="Q171" si="831">F171*P171</f>
        <v>-375493.36934403947</v>
      </c>
      <c r="R171">
        <f t="shared" ref="R171" si="832">R172+Q171</f>
        <v>18147317.205630269</v>
      </c>
      <c r="S171">
        <f t="shared" ref="S171" si="833">R171/100000</f>
        <v>181.4731720563027</v>
      </c>
      <c r="T171">
        <f t="shared" ref="T171" si="834">S171/1000</f>
        <v>0.1814731720563027</v>
      </c>
    </row>
    <row r="172" spans="1:20" x14ac:dyDescent="0.25">
      <c r="A172" s="5">
        <v>44421</v>
      </c>
      <c r="B172">
        <v>66.091200000000001</v>
      </c>
      <c r="C172">
        <v>73.786000000000001</v>
      </c>
      <c r="D172">
        <v>65.849999999999994</v>
      </c>
      <c r="E172">
        <v>70.525400000000005</v>
      </c>
      <c r="F172">
        <v>5882424.9900000002</v>
      </c>
      <c r="G172">
        <v>70.525400000000005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0.17827620967742094</v>
      </c>
      <c r="Q172">
        <f t="shared" ref="Q172" si="836">F172*P172</f>
        <v>1048696.4309289409</v>
      </c>
      <c r="R172">
        <f t="shared" ref="R172" si="837">R173+Q172</f>
        <v>18522810.57497431</v>
      </c>
      <c r="S172">
        <f t="shared" ref="S172" si="838">R172/100000</f>
        <v>185.22810574974309</v>
      </c>
      <c r="T172">
        <f t="shared" ref="T172" si="839">S172/1000</f>
        <v>0.1852281057497431</v>
      </c>
    </row>
    <row r="173" spans="1:20" x14ac:dyDescent="0.25">
      <c r="A173" s="5">
        <v>44420</v>
      </c>
      <c r="B173">
        <v>66.228099999999998</v>
      </c>
      <c r="C173">
        <v>73.999899999999997</v>
      </c>
      <c r="D173">
        <v>63.214100000000002</v>
      </c>
      <c r="E173">
        <v>66.091200000000001</v>
      </c>
      <c r="F173">
        <v>12271332</v>
      </c>
      <c r="G173">
        <v>66.091200000000001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-0.46650225296222808</v>
      </c>
      <c r="Q173">
        <f t="shared" ref="Q173" si="841">F173*P173</f>
        <v>-5724604.0248474842</v>
      </c>
      <c r="R173">
        <f t="shared" ref="R173" si="842">R174+Q173</f>
        <v>17474114.144045368</v>
      </c>
      <c r="S173">
        <f t="shared" ref="S173" si="843">R173/100000</f>
        <v>174.74114144045367</v>
      </c>
      <c r="T173">
        <f t="shared" ref="T173" si="844">S173/1000</f>
        <v>0.17474114144045366</v>
      </c>
    </row>
    <row r="174" spans="1:20" x14ac:dyDescent="0.25">
      <c r="A174" s="5">
        <v>44419</v>
      </c>
      <c r="B174">
        <v>64.285600000000002</v>
      </c>
      <c r="C174">
        <v>77.489400000000003</v>
      </c>
      <c r="D174">
        <v>63.195099999999996</v>
      </c>
      <c r="E174">
        <v>66.312799999999996</v>
      </c>
      <c r="F174">
        <v>18351629.940000001</v>
      </c>
      <c r="G174">
        <v>66.312799999999996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-0.56378416571640477</v>
      </c>
      <c r="Q174">
        <f t="shared" ref="Q174" si="846">F174*P174</f>
        <v>-10346358.375259096</v>
      </c>
      <c r="R174">
        <f t="shared" ref="R174" si="847">R175+Q174</f>
        <v>23198718.168892853</v>
      </c>
      <c r="S174">
        <f t="shared" ref="S174" si="848">R174/100000</f>
        <v>231.98718168892853</v>
      </c>
      <c r="T174">
        <f t="shared" ref="T174" si="849">S174/1000</f>
        <v>0.23198718168892854</v>
      </c>
    </row>
    <row r="175" spans="1:20" x14ac:dyDescent="0.25">
      <c r="A175" s="5">
        <v>44418</v>
      </c>
      <c r="B175">
        <v>43.544600000000003</v>
      </c>
      <c r="C175">
        <v>65</v>
      </c>
      <c r="D175">
        <v>43.290799999999997</v>
      </c>
      <c r="E175">
        <v>64.258200000000002</v>
      </c>
      <c r="F175">
        <v>16059814.9</v>
      </c>
      <c r="G175">
        <v>64.258200000000002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0.93166030991469073</v>
      </c>
      <c r="Q175">
        <f t="shared" ref="Q175" si="851">F175*P175</f>
        <v>14962292.126906568</v>
      </c>
      <c r="R175">
        <f t="shared" ref="R175" si="852">R176+Q175</f>
        <v>33545076.544151947</v>
      </c>
      <c r="S175">
        <f t="shared" ref="S175" si="853">R175/100000</f>
        <v>335.45076544151948</v>
      </c>
      <c r="T175">
        <f t="shared" ref="T175" si="854">S175/1000</f>
        <v>0.33545076544151947</v>
      </c>
    </row>
    <row r="176" spans="1:20" x14ac:dyDescent="0.25">
      <c r="A176" s="5">
        <v>44417</v>
      </c>
      <c r="B176">
        <v>42.215899999999998</v>
      </c>
      <c r="C176">
        <v>45.2</v>
      </c>
      <c r="D176">
        <v>40.659599999999998</v>
      </c>
      <c r="E176">
        <v>43.548999999999999</v>
      </c>
      <c r="F176">
        <v>5279523.76</v>
      </c>
      <c r="G176">
        <v>43.548999999999999</v>
      </c>
      <c r="L176" t="s">
        <v>7</v>
      </c>
      <c r="M176" t="s">
        <v>7</v>
      </c>
      <c r="N176" t="s">
        <v>7</v>
      </c>
      <c r="P176">
        <f t="shared" ref="P176" si="855">IF(C176=D176,0,((E176-D176)-(C176-E176))/(C176-D176))</f>
        <v>0.27275129944498222</v>
      </c>
      <c r="Q176">
        <f t="shared" ref="Q176" si="856">F176*P176</f>
        <v>1439996.9659906584</v>
      </c>
      <c r="R176">
        <f t="shared" ref="R176" si="857">R177+Q176</f>
        <v>18582784.417245381</v>
      </c>
      <c r="S176">
        <f t="shared" ref="S176" si="858">R176/100000</f>
        <v>185.82784417245381</v>
      </c>
      <c r="T176">
        <f t="shared" ref="T176" si="859">S176/1000</f>
        <v>0.18582784417245382</v>
      </c>
    </row>
    <row r="177" spans="1:20" x14ac:dyDescent="0.25">
      <c r="A177" s="5">
        <v>44416</v>
      </c>
      <c r="B177">
        <v>41.3</v>
      </c>
      <c r="C177">
        <v>47.49</v>
      </c>
      <c r="D177">
        <v>40.101900000000001</v>
      </c>
      <c r="E177">
        <v>42.2301</v>
      </c>
      <c r="F177">
        <v>7766872.79</v>
      </c>
      <c r="G177">
        <v>42.2301</v>
      </c>
      <c r="L177" t="s">
        <v>8</v>
      </c>
      <c r="M177" t="s">
        <v>8</v>
      </c>
      <c r="N177" t="s">
        <v>7</v>
      </c>
      <c r="P177">
        <f t="shared" ref="P177" si="860">IF(C177=D177,0,((E177-D177)-(C177-E177))/(C177-D177))</f>
        <v>-0.42388435457018742</v>
      </c>
      <c r="Q177">
        <f t="shared" ref="Q177" si="861">F177*P177</f>
        <v>-3292255.859617901</v>
      </c>
      <c r="R177">
        <f t="shared" ref="R177" si="862">R178+Q177</f>
        <v>17142787.451254722</v>
      </c>
      <c r="S177">
        <f t="shared" ref="S177" si="863">R177/100000</f>
        <v>171.42787451254722</v>
      </c>
      <c r="T177">
        <f t="shared" ref="T177" si="864">S177/1000</f>
        <v>0.17142787451254721</v>
      </c>
    </row>
    <row r="178" spans="1:20" x14ac:dyDescent="0.25">
      <c r="A178" s="5">
        <v>44415</v>
      </c>
      <c r="B178">
        <v>42.626199999999997</v>
      </c>
      <c r="C178">
        <v>43.632899999999999</v>
      </c>
      <c r="D178">
        <v>40.159199999999998</v>
      </c>
      <c r="E178">
        <v>41.295099999999998</v>
      </c>
      <c r="F178">
        <v>4557742.04</v>
      </c>
      <c r="G178">
        <v>41.295099999999998</v>
      </c>
      <c r="L178" t="s">
        <v>7</v>
      </c>
      <c r="M178" t="s">
        <v>8</v>
      </c>
      <c r="N178" t="s">
        <v>7</v>
      </c>
      <c r="P178">
        <f t="shared" ref="P178" si="865">IF(C178=D178,0,((E178-D178)-(C178-E178))/(C178-D178))</f>
        <v>-0.3459999424245046</v>
      </c>
      <c r="Q178">
        <f t="shared" ref="Q178" si="866">F178*P178</f>
        <v>-1576978.4834257441</v>
      </c>
      <c r="R178">
        <f t="shared" ref="R178" si="867">R179+Q178</f>
        <v>20435043.310872622</v>
      </c>
      <c r="S178">
        <f t="shared" ref="S178" si="868">R178/100000</f>
        <v>204.35043310872621</v>
      </c>
      <c r="T178">
        <f t="shared" ref="T178" si="869">S178/1000</f>
        <v>0.20435043310872622</v>
      </c>
    </row>
    <row r="179" spans="1:20" x14ac:dyDescent="0.25">
      <c r="A179" s="5">
        <v>44414</v>
      </c>
      <c r="B179">
        <v>42.601300000000002</v>
      </c>
      <c r="C179">
        <v>44</v>
      </c>
      <c r="D179">
        <v>41.445</v>
      </c>
      <c r="E179">
        <v>42.626800000000003</v>
      </c>
      <c r="F179">
        <v>4142289.11</v>
      </c>
      <c r="G179">
        <v>42.626800000000003</v>
      </c>
      <c r="L179" t="s">
        <v>8</v>
      </c>
      <c r="M179" t="s">
        <v>8</v>
      </c>
      <c r="N179" t="s">
        <v>7</v>
      </c>
      <c r="P179">
        <f t="shared" ref="P179" si="870">IF(C179=D179,0,((E179-D179)-(C179-E179))/(C179-D179))</f>
        <v>-7.4911937377688642E-2</v>
      </c>
      <c r="Q179">
        <f t="shared" ref="Q179" si="871">F179*P179</f>
        <v>-310306.9024086016</v>
      </c>
      <c r="R179">
        <f t="shared" ref="R179" si="872">R180+Q179</f>
        <v>22012021.794298366</v>
      </c>
      <c r="S179">
        <f t="shared" ref="S179" si="873">R179/100000</f>
        <v>220.12021794298366</v>
      </c>
      <c r="T179">
        <f t="shared" ref="T179" si="874">S179/1000</f>
        <v>0.22012021794298367</v>
      </c>
    </row>
    <row r="180" spans="1:20" x14ac:dyDescent="0.25">
      <c r="A180" s="5">
        <v>44413</v>
      </c>
      <c r="B180">
        <v>43.769300000000001</v>
      </c>
      <c r="C180">
        <v>45.104500000000002</v>
      </c>
      <c r="D180">
        <v>41.049799999999998</v>
      </c>
      <c r="E180">
        <v>42.6126</v>
      </c>
      <c r="F180">
        <v>5900218.8499999996</v>
      </c>
      <c r="G180">
        <v>42.6126</v>
      </c>
      <c r="L180" t="s">
        <v>7</v>
      </c>
      <c r="M180" t="s">
        <v>8</v>
      </c>
      <c r="N180" t="s">
        <v>7</v>
      </c>
      <c r="P180">
        <f t="shared" ref="P180" si="875">IF(C180=D180,0,((E180-D180)-(C180-E180))/(C180-D180))</f>
        <v>-0.22914149012257315</v>
      </c>
      <c r="Q180">
        <f t="shared" ref="Q180" si="876">F180*P180</f>
        <v>-1351984.9393382948</v>
      </c>
      <c r="R180">
        <f t="shared" ref="R180" si="877">R181+Q180</f>
        <v>22322328.696706966</v>
      </c>
      <c r="S180">
        <f t="shared" ref="S180" si="878">R180/100000</f>
        <v>223.22328696706967</v>
      </c>
      <c r="T180">
        <f t="shared" ref="T180" si="879">S180/1000</f>
        <v>0.22322328696706967</v>
      </c>
    </row>
    <row r="181" spans="1:20" x14ac:dyDescent="0.25">
      <c r="A181" s="5">
        <v>44412</v>
      </c>
      <c r="B181">
        <v>38.405200000000001</v>
      </c>
      <c r="C181">
        <v>46.005099999999999</v>
      </c>
      <c r="D181">
        <v>37.799999999999997</v>
      </c>
      <c r="E181">
        <v>43.7819</v>
      </c>
      <c r="F181">
        <v>12644078.220000001</v>
      </c>
      <c r="G181">
        <v>43.7819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0.45809313719515959</v>
      </c>
      <c r="Q181">
        <f t="shared" ref="Q181" si="881">F181*P181</f>
        <v>5792165.4587407894</v>
      </c>
      <c r="R181">
        <f t="shared" ref="R181" si="882">R182+Q181</f>
        <v>23674313.636045262</v>
      </c>
      <c r="S181">
        <f t="shared" ref="S181" si="883">R181/100000</f>
        <v>236.74313636045261</v>
      </c>
      <c r="T181">
        <f t="shared" ref="T181" si="884">S181/1000</f>
        <v>0.23674313636045261</v>
      </c>
    </row>
    <row r="182" spans="1:20" x14ac:dyDescent="0.25">
      <c r="A182" s="5">
        <v>44411</v>
      </c>
      <c r="B182">
        <v>40.197000000000003</v>
      </c>
      <c r="C182">
        <v>40.286999999999999</v>
      </c>
      <c r="D182">
        <v>37.549999999999997</v>
      </c>
      <c r="E182">
        <v>38.4</v>
      </c>
      <c r="F182">
        <v>4366942.33</v>
      </c>
      <c r="G182">
        <v>38.4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-0.37888198757763913</v>
      </c>
      <c r="Q182">
        <f t="shared" ref="Q182" si="886">F182*P182</f>
        <v>-1654555.7896273264</v>
      </c>
      <c r="R182">
        <f t="shared" ref="R182" si="887">R183+Q182</f>
        <v>17882148.177304473</v>
      </c>
      <c r="S182">
        <f t="shared" ref="S182" si="888">R182/100000</f>
        <v>178.82148177304472</v>
      </c>
      <c r="T182">
        <f t="shared" ref="T182" si="889">S182/1000</f>
        <v>0.17882148177304472</v>
      </c>
    </row>
    <row r="183" spans="1:20" x14ac:dyDescent="0.25">
      <c r="A183" s="5">
        <v>44410</v>
      </c>
      <c r="B183">
        <v>37.713700000000003</v>
      </c>
      <c r="C183">
        <v>42.88</v>
      </c>
      <c r="D183">
        <v>37.713700000000003</v>
      </c>
      <c r="E183">
        <v>40.197000000000003</v>
      </c>
      <c r="F183">
        <v>8770622.75</v>
      </c>
      <c r="G183">
        <v>40.197000000000003</v>
      </c>
      <c r="L183" t="s">
        <v>8</v>
      </c>
      <c r="M183" t="s">
        <v>7</v>
      </c>
      <c r="N183" t="s">
        <v>7</v>
      </c>
      <c r="P183">
        <f t="shared" ref="P183" si="890">IF(C183=D183,0,((E183-D183)-(C183-E183))/(C183-D183))</f>
        <v>-3.8654356115595298E-2</v>
      </c>
      <c r="Q183">
        <f t="shared" ref="Q183" si="891">F183*P183</f>
        <v>-339022.77513404173</v>
      </c>
      <c r="R183">
        <f t="shared" ref="R183" si="892">R184+Q183</f>
        <v>19536703.966931798</v>
      </c>
      <c r="S183">
        <f t="shared" ref="S183" si="893">R183/100000</f>
        <v>195.36703966931799</v>
      </c>
      <c r="T183">
        <f t="shared" ref="T183" si="894">S183/1000</f>
        <v>0.19536703966931798</v>
      </c>
    </row>
    <row r="184" spans="1:20" x14ac:dyDescent="0.25">
      <c r="A184" s="5">
        <v>44409</v>
      </c>
      <c r="B184">
        <v>42.476999999999997</v>
      </c>
      <c r="C184">
        <v>42.895099999999999</v>
      </c>
      <c r="D184">
        <v>37.362200000000001</v>
      </c>
      <c r="E184">
        <v>37.738100000000003</v>
      </c>
      <c r="F184">
        <v>6640805.79</v>
      </c>
      <c r="G184">
        <v>37.738100000000003</v>
      </c>
      <c r="L184" t="s">
        <v>7</v>
      </c>
      <c r="M184" t="s">
        <v>7</v>
      </c>
      <c r="N184" t="s">
        <v>7</v>
      </c>
      <c r="P184">
        <f t="shared" ref="P184" si="895">IF(C184=D184,0,((E184-D184)-(C184-E184))/(C184-D184))</f>
        <v>-0.86412188906360077</v>
      </c>
      <c r="Q184">
        <f t="shared" ref="Q184" si="896">F184*P184</f>
        <v>-5738465.6441592975</v>
      </c>
      <c r="R184">
        <f t="shared" ref="R184" si="897">R185+Q184</f>
        <v>19875726.742065839</v>
      </c>
      <c r="S184">
        <f t="shared" ref="S184" si="898">R184/100000</f>
        <v>198.75726742065839</v>
      </c>
      <c r="T184">
        <f t="shared" ref="T184" si="899">S184/1000</f>
        <v>0.19875726742065838</v>
      </c>
    </row>
    <row r="185" spans="1:20" x14ac:dyDescent="0.25">
      <c r="A185" s="5">
        <v>44408</v>
      </c>
      <c r="B185">
        <v>43.2224</v>
      </c>
      <c r="C185">
        <v>45.718699999999998</v>
      </c>
      <c r="D185">
        <v>41.8</v>
      </c>
      <c r="E185">
        <v>42.488599999999998</v>
      </c>
      <c r="F185">
        <v>8280404.5</v>
      </c>
      <c r="G185">
        <v>42.488599999999998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-0.64855691938653082</v>
      </c>
      <c r="Q185">
        <f t="shared" ref="Q185" si="901">F185*P185</f>
        <v>-5370313.6337943673</v>
      </c>
      <c r="R185">
        <f t="shared" ref="R185" si="902">R186+Q185</f>
        <v>25614192.386225138</v>
      </c>
      <c r="S185">
        <f t="shared" ref="S185" si="903">R185/100000</f>
        <v>256.14192386225136</v>
      </c>
      <c r="T185">
        <f t="shared" ref="T185" si="904">S185/1000</f>
        <v>0.25614192386225137</v>
      </c>
    </row>
    <row r="186" spans="1:20" x14ac:dyDescent="0.25">
      <c r="A186" s="5">
        <v>44407</v>
      </c>
      <c r="B186">
        <v>44.219499999999996</v>
      </c>
      <c r="C186">
        <v>45.323300000000003</v>
      </c>
      <c r="D186">
        <v>41.178699999999999</v>
      </c>
      <c r="E186">
        <v>43.247599999999998</v>
      </c>
      <c r="F186">
        <v>10028744.08</v>
      </c>
      <c r="G186">
        <v>43.247599999999998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-1.6406890894188732E-3</v>
      </c>
      <c r="Q186">
        <f t="shared" ref="Q186" si="906">F186*P186</f>
        <v>-16454.050992630117</v>
      </c>
      <c r="R186">
        <f t="shared" ref="R186" si="907">R187+Q186</f>
        <v>30984506.020019505</v>
      </c>
      <c r="S186">
        <f t="shared" ref="S186" si="908">R186/100000</f>
        <v>309.84506020019506</v>
      </c>
      <c r="T186">
        <f t="shared" ref="T186" si="909">S186/1000</f>
        <v>0.30984506020019509</v>
      </c>
    </row>
    <row r="187" spans="1:20" x14ac:dyDescent="0.25">
      <c r="A187" s="5">
        <v>44406</v>
      </c>
      <c r="B187">
        <v>45.621600000000001</v>
      </c>
      <c r="C187">
        <v>46.88</v>
      </c>
      <c r="D187">
        <v>41.533200000000001</v>
      </c>
      <c r="E187">
        <v>44.2</v>
      </c>
      <c r="F187">
        <v>12432748.109999999</v>
      </c>
      <c r="G187">
        <v>44.2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-2.4687663649281166E-3</v>
      </c>
      <c r="Q187">
        <f t="shared" ref="Q187" si="911">F187*P187</f>
        <v>-30693.550357591612</v>
      </c>
      <c r="R187">
        <f t="shared" ref="R187" si="912">R188+Q187</f>
        <v>31000960.071012136</v>
      </c>
      <c r="S187">
        <f t="shared" ref="S187" si="913">R187/100000</f>
        <v>310.00960071012133</v>
      </c>
      <c r="T187">
        <f t="shared" ref="T187" si="914">S187/1000</f>
        <v>0.31000960071012135</v>
      </c>
    </row>
    <row r="188" spans="1:20" x14ac:dyDescent="0.25">
      <c r="A188" s="5">
        <v>44405</v>
      </c>
      <c r="B188">
        <v>46.844200000000001</v>
      </c>
      <c r="C188">
        <v>50.5</v>
      </c>
      <c r="D188">
        <v>44.41</v>
      </c>
      <c r="E188">
        <v>45.617800000000003</v>
      </c>
      <c r="F188">
        <v>15673506.08</v>
      </c>
      <c r="G188">
        <v>45.617800000000003</v>
      </c>
      <c r="L188" t="s">
        <v>7</v>
      </c>
      <c r="M188" t="s">
        <v>7</v>
      </c>
      <c r="N188" t="s">
        <v>8</v>
      </c>
      <c r="P188">
        <f t="shared" ref="P188" si="915">IF(C188=D188,0,((E188-D188)-(C188-E188))/(C188-D188))</f>
        <v>-0.60334975369457955</v>
      </c>
      <c r="Q188">
        <f t="shared" ref="Q188" si="916">F188*P188</f>
        <v>-9456606.032898495</v>
      </c>
      <c r="R188">
        <f t="shared" ref="R188" si="917">R189+Q188</f>
        <v>31031653.621369727</v>
      </c>
      <c r="S188">
        <f t="shared" ref="S188" si="918">R188/100000</f>
        <v>310.31653621369725</v>
      </c>
      <c r="T188">
        <f t="shared" ref="T188" si="919">S188/1000</f>
        <v>0.31031653621369726</v>
      </c>
    </row>
    <row r="189" spans="1:20" x14ac:dyDescent="0.25">
      <c r="A189" s="5">
        <v>44404</v>
      </c>
      <c r="B189">
        <v>40.886099999999999</v>
      </c>
      <c r="C189">
        <v>53.5</v>
      </c>
      <c r="D189">
        <v>36.200000000000003</v>
      </c>
      <c r="E189">
        <v>46.844200000000001</v>
      </c>
      <c r="F189">
        <v>36740586.219999999</v>
      </c>
      <c r="G189">
        <v>46.844200000000001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0.23054335260115602</v>
      </c>
      <c r="Q189">
        <f t="shared" ref="Q189" si="921">F189*P189</f>
        <v>8470297.9236906338</v>
      </c>
      <c r="R189">
        <f t="shared" ref="R189" si="922">R190+Q189</f>
        <v>40488259.65426822</v>
      </c>
      <c r="S189">
        <f t="shared" ref="S189" si="923">R189/100000</f>
        <v>404.88259654268222</v>
      </c>
      <c r="T189">
        <f t="shared" ref="T189" si="924">S189/1000</f>
        <v>0.40488259654268222</v>
      </c>
    </row>
    <row r="190" spans="1:20" x14ac:dyDescent="0.25">
      <c r="A190" s="5">
        <v>44403</v>
      </c>
      <c r="B190">
        <v>43.9084</v>
      </c>
      <c r="C190">
        <v>45.4861</v>
      </c>
      <c r="D190">
        <v>35</v>
      </c>
      <c r="E190">
        <v>40.8703</v>
      </c>
      <c r="F190">
        <v>20801347.100000001</v>
      </c>
      <c r="G190">
        <v>40.8703</v>
      </c>
      <c r="L190" t="s">
        <v>7</v>
      </c>
      <c r="M190" t="s">
        <v>7</v>
      </c>
      <c r="N190" t="s">
        <v>8</v>
      </c>
      <c r="P190">
        <f t="shared" ref="P190" si="925">IF(C190=D190,0,((E190-D190)-(C190-E190))/(C190-D190))</f>
        <v>0.11963456385119349</v>
      </c>
      <c r="Q190">
        <f t="shared" ref="Q190" si="926">F190*P190</f>
        <v>2488560.0878257887</v>
      </c>
      <c r="R190">
        <f t="shared" ref="R190" si="927">R191+Q190</f>
        <v>32017961.730577588</v>
      </c>
      <c r="S190">
        <f t="shared" ref="S190" si="928">R190/100000</f>
        <v>320.17961730577588</v>
      </c>
      <c r="T190">
        <f t="shared" ref="T190" si="929">S190/1000</f>
        <v>0.32017961730577588</v>
      </c>
    </row>
    <row r="191" spans="1:20" x14ac:dyDescent="0.25">
      <c r="A191" s="5">
        <v>44402</v>
      </c>
      <c r="B191">
        <v>42.163800000000002</v>
      </c>
      <c r="C191">
        <v>44.1</v>
      </c>
      <c r="D191">
        <v>37.5989</v>
      </c>
      <c r="E191">
        <v>43.934100000000001</v>
      </c>
      <c r="F191">
        <v>18229312.75</v>
      </c>
      <c r="G191">
        <v>43.934100000000001</v>
      </c>
      <c r="L191" t="s">
        <v>7</v>
      </c>
      <c r="M191" t="s">
        <v>7</v>
      </c>
      <c r="N191" t="s">
        <v>8</v>
      </c>
      <c r="P191">
        <f t="shared" ref="P191" si="930">IF(C191=D191,0,((E191-D191)-(C191-E191))/(C191-D191))</f>
        <v>0.94896248327206145</v>
      </c>
      <c r="Q191">
        <f t="shared" ref="Q191" si="931">F191*P191</f>
        <v>17298933.895583052</v>
      </c>
      <c r="R191">
        <f t="shared" ref="R191" si="932">R192+Q191</f>
        <v>29529401.642751798</v>
      </c>
      <c r="S191">
        <f t="shared" ref="S191" si="933">R191/100000</f>
        <v>295.29401642751799</v>
      </c>
      <c r="T191">
        <f t="shared" ref="T191:T197" si="934">S191/1000</f>
        <v>0.29529401642751801</v>
      </c>
    </row>
    <row r="192" spans="1:20" x14ac:dyDescent="0.25">
      <c r="A192" s="5">
        <v>44401</v>
      </c>
      <c r="B192">
        <v>42.540900000000001</v>
      </c>
      <c r="C192">
        <v>49.780700000000003</v>
      </c>
      <c r="D192">
        <v>38.344900000000003</v>
      </c>
      <c r="E192">
        <v>42.108600000000003</v>
      </c>
      <c r="F192">
        <v>39402439.950000003</v>
      </c>
      <c r="G192">
        <v>42.108600000000003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-0.341768831214257</v>
      </c>
      <c r="Q192">
        <f t="shared" ref="Q192" si="936">F192*P192</f>
        <v>-13466525.848701447</v>
      </c>
      <c r="R192">
        <f t="shared" ref="R192" si="937">R193+Q192</f>
        <v>12230467.747168746</v>
      </c>
      <c r="S192">
        <f t="shared" ref="S192" si="938">R192/100000</f>
        <v>122.30467747168746</v>
      </c>
      <c r="T192">
        <f t="shared" si="934"/>
        <v>0.12230467747168745</v>
      </c>
    </row>
    <row r="193" spans="1:20" x14ac:dyDescent="0.25">
      <c r="A193" s="5">
        <v>44400</v>
      </c>
      <c r="B193">
        <v>24.8062</v>
      </c>
      <c r="C193">
        <v>48.8</v>
      </c>
      <c r="D193">
        <v>24.266200000000001</v>
      </c>
      <c r="E193">
        <v>42.529400000000003</v>
      </c>
      <c r="F193">
        <v>47018716.649999999</v>
      </c>
      <c r="G193">
        <v>42.529400000000003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0.48881950615069858</v>
      </c>
      <c r="Q193">
        <f t="shared" ref="Q193" si="940">F193*P193</f>
        <v>22983665.852692626</v>
      </c>
      <c r="R193">
        <f t="shared" ref="R193" si="941">R194+Q193</f>
        <v>25696993.595870193</v>
      </c>
      <c r="S193">
        <f t="shared" ref="S193" si="942">R193/100000</f>
        <v>256.96993595870191</v>
      </c>
      <c r="T193">
        <f t="shared" si="934"/>
        <v>0.25696993595870193</v>
      </c>
    </row>
    <row r="194" spans="1:20" x14ac:dyDescent="0.25">
      <c r="A194" s="5">
        <v>44399</v>
      </c>
      <c r="B194">
        <v>22.35</v>
      </c>
      <c r="C194">
        <v>25.977799999999998</v>
      </c>
      <c r="D194">
        <v>21.9024</v>
      </c>
      <c r="E194">
        <v>24.7944</v>
      </c>
      <c r="F194">
        <v>27726272.030000001</v>
      </c>
      <c r="G194">
        <v>24.7944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0.4192471904598325</v>
      </c>
      <c r="Q194">
        <f t="shared" ref="Q194" si="944">F194*P194</f>
        <v>11624161.650502536</v>
      </c>
      <c r="R194">
        <f t="shared" ref="R194" si="945">R195+Q194</f>
        <v>2713327.7431775667</v>
      </c>
      <c r="S194">
        <f t="shared" ref="S194" si="946">R194/100000</f>
        <v>27.133277431775667</v>
      </c>
      <c r="T194">
        <f t="shared" si="934"/>
        <v>2.7133277431775668E-2</v>
      </c>
    </row>
    <row r="195" spans="1:20" x14ac:dyDescent="0.25">
      <c r="A195" s="5">
        <v>44398</v>
      </c>
      <c r="B195">
        <v>15.018599999999999</v>
      </c>
      <c r="C195">
        <v>22.8</v>
      </c>
      <c r="D195">
        <v>14.723800000000001</v>
      </c>
      <c r="E195">
        <v>22.349900000000002</v>
      </c>
      <c r="F195">
        <v>24733420.420000002</v>
      </c>
      <c r="G195">
        <v>22.349900000000002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0.88853668804635866</v>
      </c>
      <c r="Q195">
        <f t="shared" ref="Q195" si="948">F195*P195</f>
        <v>21976551.464044977</v>
      </c>
      <c r="R195">
        <f t="shared" ref="R195" si="949">R196+Q195</f>
        <v>-8910833.9073249698</v>
      </c>
      <c r="S195">
        <f t="shared" ref="S195" si="950">R195/100000</f>
        <v>-89.108339073249695</v>
      </c>
      <c r="T195">
        <f t="shared" si="934"/>
        <v>-8.9108339073249693E-2</v>
      </c>
    </row>
    <row r="196" spans="1:20" x14ac:dyDescent="0.25">
      <c r="A196" s="5">
        <v>44397</v>
      </c>
      <c r="B196">
        <v>17.0562</v>
      </c>
      <c r="C196">
        <v>17.2484</v>
      </c>
      <c r="D196">
        <v>14.1355</v>
      </c>
      <c r="E196">
        <v>15.009</v>
      </c>
      <c r="F196">
        <v>13962951.220000001</v>
      </c>
      <c r="G196">
        <v>15.009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-0.43878698319894632</v>
      </c>
      <c r="Q196">
        <f t="shared" ref="Q196" si="952">F196*P196</f>
        <v>-6126761.2423778474</v>
      </c>
      <c r="R196">
        <f t="shared" ref="R196" si="953">R197+Q196</f>
        <v>-30887385.371369947</v>
      </c>
      <c r="S196">
        <f t="shared" ref="S196" si="954">R196/100000</f>
        <v>-308.87385371369948</v>
      </c>
      <c r="T196">
        <f t="shared" si="934"/>
        <v>-0.30887385371369946</v>
      </c>
    </row>
    <row r="197" spans="1:20" x14ac:dyDescent="0.25">
      <c r="A197" s="5">
        <v>44396</v>
      </c>
      <c r="B197">
        <v>18.627099999999999</v>
      </c>
      <c r="C197">
        <v>19.014099999999999</v>
      </c>
      <c r="D197">
        <v>15.6122</v>
      </c>
      <c r="E197">
        <v>17.0624</v>
      </c>
      <c r="F197">
        <v>14719186.380000001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-0.14741761956553642</v>
      </c>
      <c r="Q197">
        <f t="shared" ref="Q197" si="956">F197*P197</f>
        <v>-2169867.4180810652</v>
      </c>
      <c r="R197">
        <f t="shared" ref="R197" si="957">R198+Q197</f>
        <v>-24760624.128992099</v>
      </c>
      <c r="S197">
        <f t="shared" ref="S197" si="958">R197/100000</f>
        <v>-247.606241289921</v>
      </c>
      <c r="T197">
        <f t="shared" si="934"/>
        <v>-0.24760624128992101</v>
      </c>
    </row>
    <row r="198" spans="1:20" x14ac:dyDescent="0.25">
      <c r="A198" s="5">
        <v>44395</v>
      </c>
      <c r="B198">
        <v>18.532299999999999</v>
      </c>
      <c r="C198">
        <v>20.9</v>
      </c>
      <c r="D198">
        <v>17.369599999999998</v>
      </c>
      <c r="E198">
        <v>18.626999999999999</v>
      </c>
      <c r="F198">
        <v>15357906.439999999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-0.28767278495354609</v>
      </c>
      <c r="Q198">
        <f t="shared" ref="Q198:Q261" si="960">F198*P198</f>
        <v>-4418051.7166508008</v>
      </c>
      <c r="R198">
        <f t="shared" ref="R198:R261" si="961">R199+Q198</f>
        <v>-22590756.710911036</v>
      </c>
      <c r="S198">
        <f t="shared" ref="S198:S261" si="962">R198/100000</f>
        <v>-225.90756710911035</v>
      </c>
      <c r="T198">
        <f t="shared" ref="T198:T261" si="963">S198/1000</f>
        <v>-0.22590756710911034</v>
      </c>
    </row>
    <row r="199" spans="1:20" x14ac:dyDescent="0.25">
      <c r="A199" s="5">
        <v>44394</v>
      </c>
      <c r="B199">
        <v>20.9999</v>
      </c>
      <c r="C199">
        <v>21.209</v>
      </c>
      <c r="D199">
        <v>17.3734</v>
      </c>
      <c r="E199">
        <v>18.523</v>
      </c>
      <c r="F199">
        <v>18978187.550000001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-0.40056314527062276</v>
      </c>
      <c r="Q199">
        <f t="shared" si="960"/>
        <v>-7601962.4965637745</v>
      </c>
      <c r="R199">
        <f t="shared" si="961"/>
        <v>-18172704.994260237</v>
      </c>
      <c r="S199">
        <f t="shared" si="962"/>
        <v>-181.72704994260238</v>
      </c>
      <c r="T199">
        <f t="shared" si="963"/>
        <v>-0.18172704994260239</v>
      </c>
    </row>
    <row r="200" spans="1:20" x14ac:dyDescent="0.25">
      <c r="A200" s="5">
        <v>44393</v>
      </c>
      <c r="B200">
        <v>24.020399999999999</v>
      </c>
      <c r="C200">
        <v>27.39</v>
      </c>
      <c r="D200">
        <v>20.453499999999998</v>
      </c>
      <c r="E200">
        <v>20.9999</v>
      </c>
      <c r="F200">
        <v>25427692.390000001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-0.8424565703164415</v>
      </c>
      <c r="Q200">
        <f t="shared" si="960"/>
        <v>-21421726.52194088</v>
      </c>
      <c r="R200">
        <f t="shared" si="961"/>
        <v>-10570742.497696463</v>
      </c>
      <c r="S200">
        <f t="shared" si="962"/>
        <v>-105.70742497696463</v>
      </c>
      <c r="T200">
        <f t="shared" si="963"/>
        <v>-0.10570742497696463</v>
      </c>
    </row>
    <row r="201" spans="1:20" x14ac:dyDescent="0.25">
      <c r="A201" s="5">
        <v>44392</v>
      </c>
      <c r="B201">
        <v>23.331299999999999</v>
      </c>
      <c r="C201">
        <v>29.2</v>
      </c>
      <c r="D201">
        <v>22.666</v>
      </c>
      <c r="E201">
        <v>24.019300000000001</v>
      </c>
      <c r="F201">
        <v>28081311.41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-0.58576675849403093</v>
      </c>
      <c r="Q201">
        <f t="shared" si="960"/>
        <v>-16449098.758897144</v>
      </c>
      <c r="R201">
        <f t="shared" si="961"/>
        <v>10850984.024244417</v>
      </c>
      <c r="S201">
        <f t="shared" si="962"/>
        <v>108.50984024244417</v>
      </c>
      <c r="T201">
        <f t="shared" si="963"/>
        <v>0.10850984024244417</v>
      </c>
    </row>
    <row r="202" spans="1:20" x14ac:dyDescent="0.25">
      <c r="A202" s="5">
        <v>44391</v>
      </c>
      <c r="B202">
        <v>20.8063</v>
      </c>
      <c r="C202">
        <v>24.35</v>
      </c>
      <c r="D202">
        <v>19.5</v>
      </c>
      <c r="E202">
        <v>23.3231</v>
      </c>
      <c r="F202">
        <v>22006708.02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0.57653608247422639</v>
      </c>
      <c r="Q202">
        <f t="shared" si="960"/>
        <v>12687661.230004938</v>
      </c>
      <c r="R202">
        <f t="shared" si="961"/>
        <v>27300082.783141561</v>
      </c>
      <c r="S202">
        <f t="shared" si="962"/>
        <v>273.00082783141562</v>
      </c>
      <c r="T202">
        <f t="shared" si="963"/>
        <v>0.2730008278314156</v>
      </c>
    </row>
    <row r="203" spans="1:20" x14ac:dyDescent="0.25">
      <c r="A203" s="5">
        <v>44390</v>
      </c>
      <c r="B203">
        <v>17.484100000000002</v>
      </c>
      <c r="C203">
        <v>22.555499999999999</v>
      </c>
      <c r="D203">
        <v>17.3752</v>
      </c>
      <c r="E203">
        <v>20.8123</v>
      </c>
      <c r="F203">
        <v>26778119.82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0.32698878443333457</v>
      </c>
      <c r="Q203">
        <f t="shared" si="960"/>
        <v>8756144.8493519835</v>
      </c>
      <c r="R203">
        <f t="shared" si="961"/>
        <v>14612421.553136621</v>
      </c>
      <c r="S203">
        <f t="shared" si="962"/>
        <v>146.12421553136622</v>
      </c>
      <c r="T203">
        <f t="shared" si="963"/>
        <v>0.14612421553136623</v>
      </c>
    </row>
    <row r="204" spans="1:20" x14ac:dyDescent="0.25">
      <c r="A204" s="5">
        <v>44389</v>
      </c>
      <c r="B204">
        <v>18.952999999999999</v>
      </c>
      <c r="C204">
        <v>19.238</v>
      </c>
      <c r="D204">
        <v>16.850000000000001</v>
      </c>
      <c r="E204">
        <v>17.484300000000001</v>
      </c>
      <c r="F204">
        <v>11917701.859999999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-0.46876046901172519</v>
      </c>
      <c r="Q204">
        <f t="shared" si="960"/>
        <v>-5586547.5134355091</v>
      </c>
      <c r="R204">
        <f t="shared" si="961"/>
        <v>5856276.7037846372</v>
      </c>
      <c r="S204">
        <f t="shared" si="962"/>
        <v>58.56276703784637</v>
      </c>
      <c r="T204">
        <f t="shared" si="963"/>
        <v>5.8562767037846374E-2</v>
      </c>
    </row>
    <row r="205" spans="1:20" x14ac:dyDescent="0.25">
      <c r="A205" s="5">
        <v>44388</v>
      </c>
      <c r="B205">
        <v>17.671700000000001</v>
      </c>
      <c r="C205">
        <v>19.16</v>
      </c>
      <c r="D205">
        <v>16</v>
      </c>
      <c r="E205">
        <v>18.940899999999999</v>
      </c>
      <c r="F205">
        <v>17438044.25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0.86132911392404998</v>
      </c>
      <c r="Q205">
        <f t="shared" si="960"/>
        <v>15019895.202420875</v>
      </c>
      <c r="R205">
        <f t="shared" si="961"/>
        <v>11442824.217220146</v>
      </c>
      <c r="S205">
        <f t="shared" si="962"/>
        <v>114.42824217220146</v>
      </c>
      <c r="T205">
        <f t="shared" si="963"/>
        <v>0.11442824217220146</v>
      </c>
    </row>
    <row r="206" spans="1:20" x14ac:dyDescent="0.25">
      <c r="A206" s="5">
        <v>44387</v>
      </c>
      <c r="B206">
        <v>16.542300000000001</v>
      </c>
      <c r="C206">
        <v>19.600000000000001</v>
      </c>
      <c r="D206">
        <v>16.271799999999999</v>
      </c>
      <c r="E206">
        <v>17.6645</v>
      </c>
      <c r="F206">
        <v>28414272.010000002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-0.16309116038699578</v>
      </c>
      <c r="Q206">
        <f t="shared" si="960"/>
        <v>-4634116.5936626354</v>
      </c>
      <c r="R206">
        <f t="shared" si="961"/>
        <v>-3577070.9852007302</v>
      </c>
      <c r="S206">
        <f t="shared" si="962"/>
        <v>-35.7707098520073</v>
      </c>
      <c r="T206">
        <f t="shared" si="963"/>
        <v>-3.5770709852007303E-2</v>
      </c>
    </row>
    <row r="207" spans="1:20" x14ac:dyDescent="0.25">
      <c r="A207" s="5">
        <v>44386</v>
      </c>
      <c r="B207">
        <v>12.0756</v>
      </c>
      <c r="C207">
        <v>16.75</v>
      </c>
      <c r="D207">
        <v>11.249700000000001</v>
      </c>
      <c r="E207">
        <v>16.542300000000001</v>
      </c>
      <c r="F207">
        <v>30111010.039999999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0.92447684671745212</v>
      </c>
      <c r="Q207">
        <f t="shared" si="960"/>
        <v>27836931.613256741</v>
      </c>
      <c r="R207">
        <f t="shared" si="961"/>
        <v>1057045.6084619053</v>
      </c>
      <c r="S207">
        <f t="shared" si="962"/>
        <v>10.570456084619053</v>
      </c>
      <c r="T207">
        <f t="shared" si="963"/>
        <v>1.0570456084619054E-2</v>
      </c>
    </row>
    <row r="208" spans="1:20" x14ac:dyDescent="0.25">
      <c r="A208" s="5">
        <v>44385</v>
      </c>
      <c r="B208">
        <v>13.559900000000001</v>
      </c>
      <c r="C208">
        <v>15.804</v>
      </c>
      <c r="D208">
        <v>11.5723</v>
      </c>
      <c r="E208">
        <v>12.077199999999999</v>
      </c>
      <c r="F208">
        <v>26096918.25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-0.76137249805042928</v>
      </c>
      <c r="Q208">
        <f t="shared" si="960"/>
        <v>-19869475.839420337</v>
      </c>
      <c r="R208">
        <f t="shared" si="961"/>
        <v>-26779886.004794836</v>
      </c>
      <c r="S208">
        <f t="shared" si="962"/>
        <v>-267.79886004794838</v>
      </c>
      <c r="T208">
        <f t="shared" si="963"/>
        <v>-0.26779886004794839</v>
      </c>
    </row>
    <row r="209" spans="1:20" x14ac:dyDescent="0.25">
      <c r="A209" s="5">
        <v>44384</v>
      </c>
      <c r="B209">
        <v>10.8896</v>
      </c>
      <c r="C209">
        <v>16.7</v>
      </c>
      <c r="D209">
        <v>10.4259</v>
      </c>
      <c r="E209">
        <v>13.577299999999999</v>
      </c>
      <c r="F209">
        <v>31564558.23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4.5743612629698029E-3</v>
      </c>
      <c r="Q209">
        <f t="shared" si="960"/>
        <v>144387.69245006668</v>
      </c>
      <c r="R209">
        <f t="shared" si="961"/>
        <v>-6910410.1653745007</v>
      </c>
      <c r="S209">
        <f t="shared" si="962"/>
        <v>-69.104101653745005</v>
      </c>
      <c r="T209">
        <f t="shared" si="963"/>
        <v>-6.9104101653745004E-2</v>
      </c>
    </row>
    <row r="210" spans="1:20" x14ac:dyDescent="0.25">
      <c r="A210" s="5">
        <v>44383</v>
      </c>
      <c r="B210">
        <v>8.0413999999999994</v>
      </c>
      <c r="C210">
        <v>11.9</v>
      </c>
      <c r="D210">
        <v>8</v>
      </c>
      <c r="E210">
        <v>10.889699999999999</v>
      </c>
      <c r="F210">
        <v>19691979.670000002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0.4818974358974355</v>
      </c>
      <c r="Q210">
        <f t="shared" si="960"/>
        <v>9489514.5107174292</v>
      </c>
      <c r="R210">
        <f t="shared" si="961"/>
        <v>-7054797.8578245677</v>
      </c>
      <c r="S210">
        <f t="shared" si="962"/>
        <v>-70.547978578245676</v>
      </c>
      <c r="T210">
        <f t="shared" si="963"/>
        <v>-7.0547978578245671E-2</v>
      </c>
    </row>
    <row r="211" spans="1:20" x14ac:dyDescent="0.25">
      <c r="A211" s="5">
        <v>44382</v>
      </c>
      <c r="B211">
        <v>8.7660999999999998</v>
      </c>
      <c r="C211">
        <v>8.9306000000000001</v>
      </c>
      <c r="D211">
        <v>7.7350000000000003</v>
      </c>
      <c r="E211">
        <v>8.0299999999999994</v>
      </c>
      <c r="F211">
        <v>6349108.5199999996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-0.50652392104382893</v>
      </c>
      <c r="Q211">
        <f t="shared" si="960"/>
        <v>-3215975.3426831812</v>
      </c>
      <c r="R211">
        <f t="shared" si="961"/>
        <v>-16544312.368541997</v>
      </c>
      <c r="S211">
        <f t="shared" si="962"/>
        <v>-165.44312368541998</v>
      </c>
      <c r="T211">
        <f t="shared" si="963"/>
        <v>-0.16544312368541997</v>
      </c>
    </row>
    <row r="212" spans="1:20" x14ac:dyDescent="0.25">
      <c r="A212" s="5">
        <v>44381</v>
      </c>
      <c r="B212">
        <v>7.7309000000000001</v>
      </c>
      <c r="C212">
        <v>9.8598999999999997</v>
      </c>
      <c r="D212">
        <v>7.5537999999999998</v>
      </c>
      <c r="E212">
        <v>8.7658000000000005</v>
      </c>
      <c r="F212">
        <v>13892649.789999999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5.1125276440744744E-2</v>
      </c>
      <c r="Q212">
        <f t="shared" si="960"/>
        <v>710265.56100820436</v>
      </c>
      <c r="R212">
        <f t="shared" si="961"/>
        <v>-13328337.025858816</v>
      </c>
      <c r="S212">
        <f t="shared" si="962"/>
        <v>-133.28337025858815</v>
      </c>
      <c r="T212">
        <f t="shared" si="963"/>
        <v>-0.13328337025858816</v>
      </c>
    </row>
    <row r="213" spans="1:20" x14ac:dyDescent="0.25">
      <c r="A213" s="5">
        <v>44380</v>
      </c>
      <c r="B213">
        <v>6.0681000000000003</v>
      </c>
      <c r="C213">
        <v>7.9850000000000003</v>
      </c>
      <c r="D213">
        <v>5.7812999999999999</v>
      </c>
      <c r="E213">
        <v>7.7295999999999996</v>
      </c>
      <c r="F213">
        <v>7477997.0300000003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0.76820801379498049</v>
      </c>
      <c r="Q213">
        <f t="shared" si="960"/>
        <v>5744657.2455810634</v>
      </c>
      <c r="R213">
        <f t="shared" si="961"/>
        <v>-14038602.58686702</v>
      </c>
      <c r="S213">
        <f t="shared" si="962"/>
        <v>-140.3860258686702</v>
      </c>
      <c r="T213">
        <f t="shared" si="963"/>
        <v>-0.14038602586867019</v>
      </c>
    </row>
    <row r="214" spans="1:20" x14ac:dyDescent="0.25">
      <c r="A214" s="5">
        <v>44379</v>
      </c>
      <c r="B214">
        <v>5.7401</v>
      </c>
      <c r="C214">
        <v>6.3907999999999996</v>
      </c>
      <c r="D214">
        <v>5.74</v>
      </c>
      <c r="E214">
        <v>6.0683999999999996</v>
      </c>
      <c r="F214">
        <v>5953260.2599999998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9.2194222495380219E-3</v>
      </c>
      <c r="Q214">
        <f t="shared" si="960"/>
        <v>54885.620098334504</v>
      </c>
      <c r="R214">
        <f t="shared" si="961"/>
        <v>-19783259.832448084</v>
      </c>
      <c r="S214">
        <f t="shared" si="962"/>
        <v>-197.83259832448084</v>
      </c>
      <c r="T214">
        <f t="shared" si="963"/>
        <v>-0.19783259832448083</v>
      </c>
    </row>
    <row r="215" spans="1:20" x14ac:dyDescent="0.25">
      <c r="A215" s="5">
        <v>44378</v>
      </c>
      <c r="B215">
        <v>5.6722999999999999</v>
      </c>
      <c r="C215">
        <v>5.99</v>
      </c>
      <c r="D215">
        <v>5.1771000000000003</v>
      </c>
      <c r="E215">
        <v>5.7438000000000002</v>
      </c>
      <c r="F215">
        <v>3287882.81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0.39426743756919674</v>
      </c>
      <c r="Q215">
        <f t="shared" si="960"/>
        <v>1296305.1305265101</v>
      </c>
      <c r="R215">
        <f t="shared" si="961"/>
        <v>-19838145.452546418</v>
      </c>
      <c r="S215">
        <f t="shared" si="962"/>
        <v>-198.38145452546416</v>
      </c>
      <c r="T215">
        <f t="shared" si="963"/>
        <v>-0.19838145452546416</v>
      </c>
    </row>
    <row r="216" spans="1:20" x14ac:dyDescent="0.25">
      <c r="A216" s="5">
        <v>44377</v>
      </c>
      <c r="B216">
        <v>4.6166</v>
      </c>
      <c r="C216">
        <v>5.88</v>
      </c>
      <c r="D216">
        <v>4.4432</v>
      </c>
      <c r="E216">
        <v>5.6708999999999996</v>
      </c>
      <c r="F216">
        <v>7279305.3200000003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0.70893652561247178</v>
      </c>
      <c r="Q216">
        <f t="shared" si="960"/>
        <v>5160565.4224331826</v>
      </c>
      <c r="R216">
        <f t="shared" si="961"/>
        <v>-21134450.583072927</v>
      </c>
      <c r="S216">
        <f t="shared" si="962"/>
        <v>-211.34450583072928</v>
      </c>
      <c r="T216">
        <f t="shared" si="963"/>
        <v>-0.21134450583072928</v>
      </c>
    </row>
    <row r="217" spans="1:20" x14ac:dyDescent="0.25">
      <c r="A217" s="5">
        <v>44376</v>
      </c>
      <c r="B217">
        <v>3.9710000000000001</v>
      </c>
      <c r="C217">
        <v>4.8398000000000003</v>
      </c>
      <c r="D217">
        <v>3.9622999999999999</v>
      </c>
      <c r="E217">
        <v>4.6161000000000003</v>
      </c>
      <c r="F217">
        <v>2299672.7599999998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0.49014245014245034</v>
      </c>
      <c r="Q217">
        <f t="shared" si="960"/>
        <v>1127167.2411122511</v>
      </c>
      <c r="R217">
        <f t="shared" si="961"/>
        <v>-26295016.005506109</v>
      </c>
      <c r="S217">
        <f t="shared" si="962"/>
        <v>-262.95016005506108</v>
      </c>
      <c r="T217">
        <f t="shared" si="963"/>
        <v>-0.26295016005506106</v>
      </c>
    </row>
    <row r="218" spans="1:20" x14ac:dyDescent="0.25">
      <c r="A218" s="5">
        <v>44375</v>
      </c>
      <c r="B218">
        <v>3.7258</v>
      </c>
      <c r="C218">
        <v>4.0571000000000002</v>
      </c>
      <c r="D218">
        <v>3.6610999999999998</v>
      </c>
      <c r="E218">
        <v>3.9710000000000001</v>
      </c>
      <c r="F218">
        <v>1211254.3899999999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0.56515151515151518</v>
      </c>
      <c r="Q218">
        <f t="shared" si="960"/>
        <v>684542.25374242419</v>
      </c>
      <c r="R218">
        <f t="shared" si="961"/>
        <v>-27422183.24661836</v>
      </c>
      <c r="S218">
        <f t="shared" si="962"/>
        <v>-274.22183246618363</v>
      </c>
      <c r="T218">
        <f t="shared" si="963"/>
        <v>-0.27422183246618365</v>
      </c>
    </row>
    <row r="219" spans="1:20" x14ac:dyDescent="0.25">
      <c r="A219" s="5">
        <v>44374</v>
      </c>
      <c r="B219">
        <v>3.5990000000000002</v>
      </c>
      <c r="C219">
        <v>3.74</v>
      </c>
      <c r="D219">
        <v>3.4701</v>
      </c>
      <c r="E219">
        <v>3.7235999999999998</v>
      </c>
      <c r="F219">
        <v>1150693.78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0.87847350870692553</v>
      </c>
      <c r="Q219">
        <f t="shared" si="960"/>
        <v>1010854.0023638351</v>
      </c>
      <c r="R219">
        <f t="shared" si="961"/>
        <v>-28106725.500360783</v>
      </c>
      <c r="S219">
        <f t="shared" si="962"/>
        <v>-281.06725500360784</v>
      </c>
      <c r="T219">
        <f t="shared" si="963"/>
        <v>-0.28106725500360785</v>
      </c>
    </row>
    <row r="220" spans="1:20" x14ac:dyDescent="0.25">
      <c r="A220" s="5">
        <v>44373</v>
      </c>
      <c r="B220">
        <v>3.4239999999999999</v>
      </c>
      <c r="C220">
        <v>3.6168999999999998</v>
      </c>
      <c r="D220">
        <v>3.2524999999999999</v>
      </c>
      <c r="E220">
        <v>3.5943999999999998</v>
      </c>
      <c r="F220">
        <v>1280927.27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0.8765093304061472</v>
      </c>
      <c r="Q220">
        <f t="shared" si="960"/>
        <v>1122744.7037266742</v>
      </c>
      <c r="R220">
        <f t="shared" si="961"/>
        <v>-29117579.502724618</v>
      </c>
      <c r="S220">
        <f t="shared" si="962"/>
        <v>-291.17579502724618</v>
      </c>
      <c r="T220">
        <f t="shared" si="963"/>
        <v>-0.29117579502724616</v>
      </c>
    </row>
    <row r="221" spans="1:20" x14ac:dyDescent="0.25">
      <c r="A221" s="5">
        <v>44372</v>
      </c>
      <c r="B221">
        <v>3.81</v>
      </c>
      <c r="C221">
        <v>3.9388999999999998</v>
      </c>
      <c r="D221">
        <v>3.3841999999999999</v>
      </c>
      <c r="E221">
        <v>3.4264999999999999</v>
      </c>
      <c r="F221">
        <v>1394225.28</v>
      </c>
      <c r="G221">
        <v>0</v>
      </c>
      <c r="L221" t="s">
        <v>8</v>
      </c>
      <c r="M221" t="s">
        <v>8</v>
      </c>
      <c r="N221" t="s">
        <v>7</v>
      </c>
      <c r="P221">
        <f t="shared" si="959"/>
        <v>-0.84748512709572743</v>
      </c>
      <c r="Q221">
        <f t="shared" si="960"/>
        <v>-1181585.1886208763</v>
      </c>
      <c r="R221">
        <f t="shared" si="961"/>
        <v>-30240324.206451293</v>
      </c>
      <c r="S221">
        <f t="shared" si="962"/>
        <v>-302.40324206451294</v>
      </c>
      <c r="T221">
        <f t="shared" si="963"/>
        <v>-0.30240324206451291</v>
      </c>
    </row>
    <row r="222" spans="1:20" x14ac:dyDescent="0.25">
      <c r="A222" s="5">
        <v>44371</v>
      </c>
      <c r="B222">
        <v>3.7204000000000002</v>
      </c>
      <c r="C222">
        <v>3.8540999999999999</v>
      </c>
      <c r="D222">
        <v>3.4845000000000002</v>
      </c>
      <c r="E222">
        <v>3.81</v>
      </c>
      <c r="F222">
        <v>1619519.19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0.76136363636363724</v>
      </c>
      <c r="Q222">
        <f t="shared" si="960"/>
        <v>1233043.0196590922</v>
      </c>
      <c r="R222">
        <f t="shared" si="961"/>
        <v>-29058739.017830417</v>
      </c>
      <c r="S222">
        <f t="shared" si="962"/>
        <v>-290.58739017830419</v>
      </c>
      <c r="T222">
        <f t="shared" si="963"/>
        <v>-0.29058739017830421</v>
      </c>
    </row>
    <row r="223" spans="1:20" x14ac:dyDescent="0.25">
      <c r="A223" s="5">
        <v>44370</v>
      </c>
      <c r="B223">
        <v>3.2014999999999998</v>
      </c>
      <c r="C223">
        <v>3.8</v>
      </c>
      <c r="D223">
        <v>3.0851000000000002</v>
      </c>
      <c r="E223">
        <v>3.7084000000000001</v>
      </c>
      <c r="F223">
        <v>2645106.64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0.74374038327038827</v>
      </c>
      <c r="Q223">
        <f t="shared" si="960"/>
        <v>1967272.6262246491</v>
      </c>
      <c r="R223">
        <f t="shared" si="961"/>
        <v>-30291782.037489507</v>
      </c>
      <c r="S223">
        <f t="shared" si="962"/>
        <v>-302.91782037489509</v>
      </c>
      <c r="T223">
        <f t="shared" si="963"/>
        <v>-0.30291782037489506</v>
      </c>
    </row>
    <row r="224" spans="1:20" x14ac:dyDescent="0.25">
      <c r="A224" s="5">
        <v>44369</v>
      </c>
      <c r="B224">
        <v>3.1928000000000001</v>
      </c>
      <c r="C224">
        <v>3.6890999999999998</v>
      </c>
      <c r="D224">
        <v>2.8576999999999999</v>
      </c>
      <c r="E224">
        <v>3.1833999999999998</v>
      </c>
      <c r="F224">
        <v>3849394.14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-0.21650228530190063</v>
      </c>
      <c r="Q224">
        <f t="shared" si="960"/>
        <v>-833402.62833774451</v>
      </c>
      <c r="R224">
        <f t="shared" si="961"/>
        <v>-32259054.663714156</v>
      </c>
      <c r="S224">
        <f t="shared" si="962"/>
        <v>-322.59054663714153</v>
      </c>
      <c r="T224">
        <f t="shared" si="963"/>
        <v>-0.32259054663714154</v>
      </c>
    </row>
    <row r="225" spans="1:20" x14ac:dyDescent="0.25">
      <c r="A225" s="5">
        <v>44368</v>
      </c>
      <c r="B225">
        <v>4.2057000000000002</v>
      </c>
      <c r="C225">
        <v>4.2226999999999997</v>
      </c>
      <c r="D225">
        <v>3.19</v>
      </c>
      <c r="E225">
        <v>3.2</v>
      </c>
      <c r="F225">
        <v>2272807.1800000002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-0.98063329137213084</v>
      </c>
      <c r="Q225">
        <f t="shared" si="960"/>
        <v>-2228790.3855776112</v>
      </c>
      <c r="R225">
        <f t="shared" si="961"/>
        <v>-31425652.035376411</v>
      </c>
      <c r="S225">
        <f t="shared" si="962"/>
        <v>-314.25652035376413</v>
      </c>
      <c r="T225">
        <f t="shared" si="963"/>
        <v>-0.31425652035376411</v>
      </c>
    </row>
    <row r="226" spans="1:20" x14ac:dyDescent="0.25">
      <c r="A226" s="5">
        <v>44367</v>
      </c>
      <c r="B226">
        <v>4.2100999999999997</v>
      </c>
      <c r="C226">
        <v>4.2781000000000002</v>
      </c>
      <c r="D226">
        <v>3.8106</v>
      </c>
      <c r="E226">
        <v>4.2039999999999997</v>
      </c>
      <c r="F226">
        <v>1716471.55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0.6829946524064151</v>
      </c>
      <c r="Q226">
        <f t="shared" si="960"/>
        <v>1172340.8896577505</v>
      </c>
      <c r="R226">
        <f t="shared" si="961"/>
        <v>-29196861.649798799</v>
      </c>
      <c r="S226">
        <f t="shared" si="962"/>
        <v>-291.96861649798797</v>
      </c>
      <c r="T226">
        <f t="shared" si="963"/>
        <v>-0.29196861649798794</v>
      </c>
    </row>
    <row r="227" spans="1:20" x14ac:dyDescent="0.25">
      <c r="A227" s="5">
        <v>44366</v>
      </c>
      <c r="B227">
        <v>4.3879000000000001</v>
      </c>
      <c r="C227">
        <v>4.5353000000000003</v>
      </c>
      <c r="D227">
        <v>4.1923000000000004</v>
      </c>
      <c r="E227">
        <v>4.2088999999999999</v>
      </c>
      <c r="F227">
        <v>1039086.69</v>
      </c>
      <c r="G227">
        <v>0</v>
      </c>
      <c r="L227" t="s">
        <v>7</v>
      </c>
      <c r="M227" t="s">
        <v>8</v>
      </c>
      <c r="N227" t="s">
        <v>7</v>
      </c>
      <c r="P227">
        <f t="shared" si="959"/>
        <v>-0.90320699708455099</v>
      </c>
      <c r="Q227">
        <f t="shared" si="960"/>
        <v>-938510.36898542568</v>
      </c>
      <c r="R227">
        <f t="shared" si="961"/>
        <v>-30369202.53945655</v>
      </c>
      <c r="S227">
        <f t="shared" si="962"/>
        <v>-303.69202539456552</v>
      </c>
      <c r="T227">
        <f t="shared" si="963"/>
        <v>-0.30369202539456552</v>
      </c>
    </row>
    <row r="228" spans="1:20" x14ac:dyDescent="0.25">
      <c r="A228" s="5">
        <v>44365</v>
      </c>
      <c r="B228">
        <v>4.7107999999999999</v>
      </c>
      <c r="C228">
        <v>5</v>
      </c>
      <c r="D228">
        <v>4.2122999999999999</v>
      </c>
      <c r="E228">
        <v>4.3834999999999997</v>
      </c>
      <c r="F228">
        <v>3811771.49</v>
      </c>
      <c r="G228">
        <v>0</v>
      </c>
      <c r="L228" t="s">
        <v>8</v>
      </c>
      <c r="M228" t="s">
        <v>8</v>
      </c>
      <c r="N228" t="s">
        <v>7</v>
      </c>
      <c r="P228">
        <f t="shared" si="959"/>
        <v>-0.56531674495366313</v>
      </c>
      <c r="Q228">
        <f t="shared" si="960"/>
        <v>-2154858.2512339745</v>
      </c>
      <c r="R228">
        <f t="shared" si="961"/>
        <v>-29430692.170471124</v>
      </c>
      <c r="S228">
        <f t="shared" si="962"/>
        <v>-294.30692170471127</v>
      </c>
      <c r="T228">
        <f t="shared" si="963"/>
        <v>-0.29430692170471129</v>
      </c>
    </row>
    <row r="229" spans="1:20" x14ac:dyDescent="0.25">
      <c r="A229" s="5">
        <v>44364</v>
      </c>
      <c r="B229">
        <v>4.1929999999999996</v>
      </c>
      <c r="C229">
        <v>4.75</v>
      </c>
      <c r="D229">
        <v>4.1639999999999997</v>
      </c>
      <c r="E229">
        <v>4.7112999999999996</v>
      </c>
      <c r="F229">
        <v>1750789.23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0.86791808873720011</v>
      </c>
      <c r="Q229">
        <f t="shared" si="960"/>
        <v>1519541.6422832743</v>
      </c>
      <c r="R229">
        <f t="shared" si="961"/>
        <v>-27275833.919237148</v>
      </c>
      <c r="S229">
        <f t="shared" si="962"/>
        <v>-272.75833919237147</v>
      </c>
      <c r="T229">
        <f t="shared" si="963"/>
        <v>-0.27275833919237147</v>
      </c>
    </row>
    <row r="230" spans="1:20" x14ac:dyDescent="0.25">
      <c r="A230" s="5">
        <v>44363</v>
      </c>
      <c r="B230">
        <v>4.5</v>
      </c>
      <c r="C230">
        <v>4.8807</v>
      </c>
      <c r="D230">
        <v>4.1512000000000002</v>
      </c>
      <c r="E230">
        <v>4.1935000000000002</v>
      </c>
      <c r="F230">
        <v>3097464.31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-0.8840301576422207</v>
      </c>
      <c r="Q230">
        <f t="shared" si="960"/>
        <v>-2738251.8622604525</v>
      </c>
      <c r="R230">
        <f t="shared" si="961"/>
        <v>-28795375.561520424</v>
      </c>
      <c r="S230">
        <f t="shared" si="962"/>
        <v>-287.95375561520422</v>
      </c>
      <c r="T230">
        <f t="shared" si="963"/>
        <v>-0.2879537556152042</v>
      </c>
    </row>
    <row r="231" spans="1:20" x14ac:dyDescent="0.25">
      <c r="A231" s="5">
        <v>44362</v>
      </c>
      <c r="B231">
        <v>4.18</v>
      </c>
      <c r="C231">
        <v>4.5229999999999997</v>
      </c>
      <c r="D231">
        <v>4.0410000000000004</v>
      </c>
      <c r="E231">
        <v>4.4991000000000003</v>
      </c>
      <c r="F231">
        <v>1962376.9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0.90082987551867466</v>
      </c>
      <c r="Q231">
        <f t="shared" si="960"/>
        <v>1767767.7385477226</v>
      </c>
      <c r="R231">
        <f t="shared" si="961"/>
        <v>-26057123.69925997</v>
      </c>
      <c r="S231">
        <f t="shared" si="962"/>
        <v>-260.57123699259972</v>
      </c>
      <c r="T231">
        <f t="shared" si="963"/>
        <v>-0.26057123699259971</v>
      </c>
    </row>
    <row r="232" spans="1:20" x14ac:dyDescent="0.25">
      <c r="A232" s="5">
        <v>44361</v>
      </c>
      <c r="B232">
        <v>3.9872000000000001</v>
      </c>
      <c r="C232">
        <v>4.2694000000000001</v>
      </c>
      <c r="D232">
        <v>3.8500999999999999</v>
      </c>
      <c r="E232">
        <v>4.1801000000000004</v>
      </c>
      <c r="F232">
        <v>2235022.9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0.57405199141426344</v>
      </c>
      <c r="Q232">
        <f t="shared" si="960"/>
        <v>1283019.346601482</v>
      </c>
      <c r="R232">
        <f t="shared" si="961"/>
        <v>-27824891.437807694</v>
      </c>
      <c r="S232">
        <f t="shared" si="962"/>
        <v>-278.24891437807696</v>
      </c>
      <c r="T232">
        <f t="shared" si="963"/>
        <v>-0.27824891437807697</v>
      </c>
    </row>
    <row r="233" spans="1:20" x14ac:dyDescent="0.25">
      <c r="A233" s="5">
        <v>44360</v>
      </c>
      <c r="B233">
        <v>3.7909000000000002</v>
      </c>
      <c r="C233">
        <v>4.0465</v>
      </c>
      <c r="D233">
        <v>3.6436999999999999</v>
      </c>
      <c r="E233">
        <v>3.9863</v>
      </c>
      <c r="F233">
        <v>1368722.12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0.70109235352532262</v>
      </c>
      <c r="Q233">
        <f t="shared" si="960"/>
        <v>959600.61243296915</v>
      </c>
      <c r="R233">
        <f t="shared" si="961"/>
        <v>-29107910.784409177</v>
      </c>
      <c r="S233">
        <f t="shared" si="962"/>
        <v>-291.07910784409177</v>
      </c>
      <c r="T233">
        <f t="shared" si="963"/>
        <v>-0.29107910784409174</v>
      </c>
    </row>
    <row r="234" spans="1:20" x14ac:dyDescent="0.25">
      <c r="A234" s="5">
        <v>44359</v>
      </c>
      <c r="B234">
        <v>4.3068</v>
      </c>
      <c r="C234">
        <v>4.3175999999999997</v>
      </c>
      <c r="D234">
        <v>3.7343999999999999</v>
      </c>
      <c r="E234">
        <v>3.7885</v>
      </c>
      <c r="F234">
        <v>2657384.38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-0.81447187928669385</v>
      </c>
      <c r="Q234">
        <f t="shared" si="960"/>
        <v>-2164364.8499657055</v>
      </c>
      <c r="R234">
        <f t="shared" si="961"/>
        <v>-30067511.396842144</v>
      </c>
      <c r="S234">
        <f t="shared" si="962"/>
        <v>-300.67511396842144</v>
      </c>
      <c r="T234">
        <f t="shared" si="963"/>
        <v>-0.30067511396842145</v>
      </c>
    </row>
    <row r="235" spans="1:20" x14ac:dyDescent="0.25">
      <c r="A235" s="5">
        <v>44358</v>
      </c>
      <c r="B235">
        <v>3.9426999999999999</v>
      </c>
      <c r="C235">
        <v>5.1379000000000001</v>
      </c>
      <c r="D235">
        <v>3.9167999999999998</v>
      </c>
      <c r="E235">
        <v>4.3182999999999998</v>
      </c>
      <c r="F235">
        <v>10917428.439999999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-0.34239620014740829</v>
      </c>
      <c r="Q235">
        <f t="shared" si="960"/>
        <v>-3738086.0132372472</v>
      </c>
      <c r="R235">
        <f t="shared" si="961"/>
        <v>-27903146.546876438</v>
      </c>
      <c r="S235">
        <f t="shared" si="962"/>
        <v>-279.0314654687644</v>
      </c>
      <c r="T235">
        <f t="shared" si="963"/>
        <v>-0.27903146546876439</v>
      </c>
    </row>
    <row r="236" spans="1:20" x14ac:dyDescent="0.25">
      <c r="A236" s="5">
        <v>44357</v>
      </c>
      <c r="B236">
        <v>4.0137999999999998</v>
      </c>
      <c r="C236">
        <v>4.1980000000000004</v>
      </c>
      <c r="D236">
        <v>3.7669999999999999</v>
      </c>
      <c r="E236">
        <v>3.9489999999999998</v>
      </c>
      <c r="F236">
        <v>2200711.0099999998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-0.15545243619489685</v>
      </c>
      <c r="Q236">
        <f t="shared" si="960"/>
        <v>-342105.88786543196</v>
      </c>
      <c r="R236">
        <f t="shared" si="961"/>
        <v>-24165060.533639189</v>
      </c>
      <c r="S236">
        <f t="shared" si="962"/>
        <v>-241.65060533639189</v>
      </c>
      <c r="T236">
        <f t="shared" si="963"/>
        <v>-0.24165060533639188</v>
      </c>
    </row>
    <row r="237" spans="1:20" x14ac:dyDescent="0.25">
      <c r="A237" s="5">
        <v>44356</v>
      </c>
      <c r="B237">
        <v>3.8555999999999999</v>
      </c>
      <c r="C237">
        <v>4.1024000000000003</v>
      </c>
      <c r="D237">
        <v>3.5459999999999998</v>
      </c>
      <c r="E237">
        <v>4.0129000000000001</v>
      </c>
      <c r="F237">
        <v>1739758.99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0.67828900071890708</v>
      </c>
      <c r="Q237">
        <f t="shared" si="960"/>
        <v>1180059.386818835</v>
      </c>
      <c r="R237">
        <f t="shared" si="961"/>
        <v>-23822954.645773757</v>
      </c>
      <c r="S237">
        <f t="shared" si="962"/>
        <v>-238.22954645773757</v>
      </c>
      <c r="T237">
        <f t="shared" si="963"/>
        <v>-0.23822954645773756</v>
      </c>
    </row>
    <row r="238" spans="1:20" x14ac:dyDescent="0.25">
      <c r="A238" s="5">
        <v>44355</v>
      </c>
      <c r="B238">
        <v>4.0199999999999996</v>
      </c>
      <c r="C238">
        <v>4.1337000000000002</v>
      </c>
      <c r="D238">
        <v>3.4119999999999999</v>
      </c>
      <c r="E238">
        <v>3.8616999999999999</v>
      </c>
      <c r="F238">
        <v>1915839.23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0.24622419287792668</v>
      </c>
      <c r="Q238">
        <f t="shared" si="960"/>
        <v>471725.96809061855</v>
      </c>
      <c r="R238">
        <f t="shared" si="961"/>
        <v>-25003014.032592591</v>
      </c>
      <c r="S238">
        <f t="shared" si="962"/>
        <v>-250.03014032592591</v>
      </c>
      <c r="T238">
        <f t="shared" si="963"/>
        <v>-0.25003014032592591</v>
      </c>
    </row>
    <row r="239" spans="1:20" x14ac:dyDescent="0.25">
      <c r="A239" s="5">
        <v>44354</v>
      </c>
      <c r="B239">
        <v>4.3758999999999997</v>
      </c>
      <c r="C239">
        <v>4.5266000000000002</v>
      </c>
      <c r="D239">
        <v>3.9980000000000002</v>
      </c>
      <c r="E239">
        <v>4.0354000000000001</v>
      </c>
      <c r="F239">
        <v>1319804.49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-0.85849413545213815</v>
      </c>
      <c r="Q239">
        <f t="shared" si="960"/>
        <v>-1133044.4146084001</v>
      </c>
      <c r="R239">
        <f t="shared" si="961"/>
        <v>-25474740.000683211</v>
      </c>
      <c r="S239">
        <f t="shared" si="962"/>
        <v>-254.74740000683209</v>
      </c>
      <c r="T239">
        <f t="shared" si="963"/>
        <v>-0.2547474000068321</v>
      </c>
    </row>
    <row r="240" spans="1:20" x14ac:dyDescent="0.25">
      <c r="A240" s="5">
        <v>44353</v>
      </c>
      <c r="B240">
        <v>4.1989999999999998</v>
      </c>
      <c r="C240">
        <v>4.4138000000000002</v>
      </c>
      <c r="D240">
        <v>4.1580000000000004</v>
      </c>
      <c r="E240">
        <v>4.3693999999999997</v>
      </c>
      <c r="F240">
        <v>628192.4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0.65285379202501581</v>
      </c>
      <c r="Q240">
        <f t="shared" si="960"/>
        <v>410117.79046129558</v>
      </c>
      <c r="R240">
        <f t="shared" si="961"/>
        <v>-24341695.58607481</v>
      </c>
      <c r="S240">
        <f t="shared" si="962"/>
        <v>-243.41695586074812</v>
      </c>
      <c r="T240">
        <f t="shared" si="963"/>
        <v>-0.24341695586074813</v>
      </c>
    </row>
    <row r="241" spans="1:20" x14ac:dyDescent="0.25">
      <c r="A241" s="5">
        <v>44352</v>
      </c>
      <c r="B241">
        <v>4.3587999999999996</v>
      </c>
      <c r="C241">
        <v>4.4999000000000002</v>
      </c>
      <c r="D241">
        <v>4.0721999999999996</v>
      </c>
      <c r="E241">
        <v>4.1989999999999998</v>
      </c>
      <c r="F241">
        <v>961066.87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-0.40706102408230038</v>
      </c>
      <c r="Q241">
        <f t="shared" si="960"/>
        <v>-391212.86431377108</v>
      </c>
      <c r="R241">
        <f t="shared" si="961"/>
        <v>-24751813.376536105</v>
      </c>
      <c r="S241">
        <f t="shared" si="962"/>
        <v>-247.51813376536106</v>
      </c>
      <c r="T241">
        <f t="shared" si="963"/>
        <v>-0.24751813376536105</v>
      </c>
    </row>
    <row r="242" spans="1:20" x14ac:dyDescent="0.25">
      <c r="A242" s="5">
        <v>44351</v>
      </c>
      <c r="B242">
        <v>4.7912999999999997</v>
      </c>
      <c r="C242">
        <v>4.8676000000000004</v>
      </c>
      <c r="D242">
        <v>4.1384999999999996</v>
      </c>
      <c r="E242">
        <v>4.3521000000000001</v>
      </c>
      <c r="F242">
        <v>1646796.49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-0.41407214373885548</v>
      </c>
      <c r="Q242">
        <f t="shared" si="960"/>
        <v>-681892.55291592272</v>
      </c>
      <c r="R242">
        <f t="shared" si="961"/>
        <v>-24360600.512222335</v>
      </c>
      <c r="S242">
        <f t="shared" si="962"/>
        <v>-243.60600512222334</v>
      </c>
      <c r="T242">
        <f t="shared" si="963"/>
        <v>-0.24360600512222333</v>
      </c>
    </row>
    <row r="243" spans="1:20" x14ac:dyDescent="0.25">
      <c r="A243" s="5">
        <v>44350</v>
      </c>
      <c r="B243">
        <v>4.7088000000000001</v>
      </c>
      <c r="C243">
        <v>4.8250000000000002</v>
      </c>
      <c r="D243">
        <v>4.5765000000000002</v>
      </c>
      <c r="E243">
        <v>4.7911000000000001</v>
      </c>
      <c r="F243">
        <v>1260189.46</v>
      </c>
      <c r="G243">
        <v>0</v>
      </c>
      <c r="L243" t="s">
        <v>8</v>
      </c>
      <c r="M243" t="s">
        <v>7</v>
      </c>
      <c r="N243" t="s">
        <v>7</v>
      </c>
      <c r="P243">
        <f t="shared" si="959"/>
        <v>0.72716297786720285</v>
      </c>
      <c r="Q243">
        <f t="shared" si="960"/>
        <v>916363.12041046226</v>
      </c>
      <c r="R243">
        <f t="shared" si="961"/>
        <v>-23678707.959306411</v>
      </c>
      <c r="S243">
        <f t="shared" si="962"/>
        <v>-236.78707959306411</v>
      </c>
      <c r="T243">
        <f t="shared" si="963"/>
        <v>-0.23678707959306411</v>
      </c>
    </row>
    <row r="244" spans="1:20" x14ac:dyDescent="0.25">
      <c r="A244" s="5">
        <v>44349</v>
      </c>
      <c r="B244">
        <v>4.6935000000000002</v>
      </c>
      <c r="C244">
        <v>4.7638999999999996</v>
      </c>
      <c r="D244">
        <v>4.4813000000000001</v>
      </c>
      <c r="E244">
        <v>4.7061999999999999</v>
      </c>
      <c r="F244">
        <v>1543377.56</v>
      </c>
      <c r="G244">
        <v>0</v>
      </c>
      <c r="L244" t="s">
        <v>7</v>
      </c>
      <c r="M244" t="s">
        <v>7</v>
      </c>
      <c r="N244" t="s">
        <v>7</v>
      </c>
      <c r="P244">
        <f t="shared" si="959"/>
        <v>0.5916489738145807</v>
      </c>
      <c r="Q244">
        <f t="shared" si="960"/>
        <v>913137.74958245154</v>
      </c>
      <c r="R244">
        <f t="shared" si="961"/>
        <v>-24595071.079716872</v>
      </c>
      <c r="S244">
        <f t="shared" si="962"/>
        <v>-245.95071079716871</v>
      </c>
      <c r="T244">
        <f t="shared" si="963"/>
        <v>-0.24595071079716871</v>
      </c>
    </row>
    <row r="245" spans="1:20" x14ac:dyDescent="0.25">
      <c r="A245" s="5">
        <v>44348</v>
      </c>
      <c r="B245">
        <v>4.9356999999999998</v>
      </c>
      <c r="C245">
        <v>4.9652000000000003</v>
      </c>
      <c r="D245">
        <v>4.55</v>
      </c>
      <c r="E245">
        <v>4.6935000000000002</v>
      </c>
      <c r="F245">
        <v>2919078.81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-0.30876685934489284</v>
      </c>
      <c r="Q245">
        <f t="shared" si="960"/>
        <v>-901314.79634392716</v>
      </c>
      <c r="R245">
        <f t="shared" si="961"/>
        <v>-25508208.829299323</v>
      </c>
      <c r="S245">
        <f t="shared" si="962"/>
        <v>-255.08208829299323</v>
      </c>
      <c r="T245">
        <f t="shared" si="963"/>
        <v>-0.25508208829299323</v>
      </c>
    </row>
    <row r="246" spans="1:20" x14ac:dyDescent="0.25">
      <c r="A246" s="5">
        <v>44347</v>
      </c>
      <c r="B246">
        <v>4.5282999999999998</v>
      </c>
      <c r="C246">
        <v>5.2991000000000001</v>
      </c>
      <c r="D246">
        <v>4.4836999999999998</v>
      </c>
      <c r="E246">
        <v>4.9428999999999998</v>
      </c>
      <c r="F246">
        <v>7524046.9400000004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0.12631837135148358</v>
      </c>
      <c r="Q246">
        <f t="shared" si="960"/>
        <v>950425.35543291376</v>
      </c>
      <c r="R246">
        <f t="shared" si="961"/>
        <v>-24606894.032955397</v>
      </c>
      <c r="S246">
        <f t="shared" si="962"/>
        <v>-246.06894032955398</v>
      </c>
      <c r="T246">
        <f t="shared" si="963"/>
        <v>-0.24606894032955398</v>
      </c>
    </row>
    <row r="247" spans="1:20" x14ac:dyDescent="0.25">
      <c r="A247" s="5">
        <v>44346</v>
      </c>
      <c r="B247">
        <v>4.7484999999999999</v>
      </c>
      <c r="C247">
        <v>4.8905000000000003</v>
      </c>
      <c r="D247">
        <v>4.13</v>
      </c>
      <c r="E247">
        <v>4.5338000000000003</v>
      </c>
      <c r="F247">
        <v>6824683.2000000002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6.1932938856016223E-2</v>
      </c>
      <c r="Q247">
        <f t="shared" si="960"/>
        <v>422672.68733728112</v>
      </c>
      <c r="R247">
        <f t="shared" si="961"/>
        <v>-25557319.38838831</v>
      </c>
      <c r="S247">
        <f t="shared" si="962"/>
        <v>-255.57319388388311</v>
      </c>
      <c r="T247">
        <f t="shared" si="963"/>
        <v>-0.25557319388388311</v>
      </c>
    </row>
    <row r="248" spans="1:20" x14ac:dyDescent="0.25">
      <c r="A248" s="5">
        <v>44345</v>
      </c>
      <c r="B248">
        <v>4.1962999999999999</v>
      </c>
      <c r="C248">
        <v>6.0483000000000002</v>
      </c>
      <c r="D248">
        <v>4.1858000000000004</v>
      </c>
      <c r="E248">
        <v>4.7465999999999999</v>
      </c>
      <c r="F248">
        <v>11179886.66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-0.39779865771812128</v>
      </c>
      <c r="Q248">
        <f t="shared" si="960"/>
        <v>-4447343.9067887301</v>
      </c>
      <c r="R248">
        <f t="shared" si="961"/>
        <v>-25979992.075725589</v>
      </c>
      <c r="S248">
        <f t="shared" si="962"/>
        <v>-259.7999207572559</v>
      </c>
      <c r="T248">
        <f t="shared" si="963"/>
        <v>-0.25979992075725589</v>
      </c>
    </row>
    <row r="249" spans="1:20" x14ac:dyDescent="0.25">
      <c r="A249" s="5">
        <v>44344</v>
      </c>
      <c r="B249">
        <v>4.8141999999999996</v>
      </c>
      <c r="C249">
        <v>5.0301</v>
      </c>
      <c r="D249">
        <v>4.0220000000000002</v>
      </c>
      <c r="E249">
        <v>4.1925999999999997</v>
      </c>
      <c r="F249">
        <v>2682872.6</v>
      </c>
      <c r="G249">
        <v>0</v>
      </c>
      <c r="L249" t="s">
        <v>7</v>
      </c>
      <c r="M249" t="s">
        <v>8</v>
      </c>
      <c r="N249" t="s">
        <v>8</v>
      </c>
      <c r="P249">
        <f t="shared" si="959"/>
        <v>-0.6615415137387175</v>
      </c>
      <c r="Q249">
        <f t="shared" si="960"/>
        <v>-1774831.6009721288</v>
      </c>
      <c r="R249">
        <f t="shared" si="961"/>
        <v>-21532648.16893686</v>
      </c>
      <c r="S249">
        <f t="shared" si="962"/>
        <v>-215.32648168936859</v>
      </c>
      <c r="T249">
        <f t="shared" si="963"/>
        <v>-0.2153264816893686</v>
      </c>
    </row>
    <row r="250" spans="1:20" x14ac:dyDescent="0.25">
      <c r="A250" s="5">
        <v>44343</v>
      </c>
      <c r="B250">
        <v>4.9071999999999996</v>
      </c>
      <c r="C250">
        <v>4.92</v>
      </c>
      <c r="D250">
        <v>4.3</v>
      </c>
      <c r="E250">
        <v>4.8121</v>
      </c>
      <c r="F250">
        <v>2321529.42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0.65193548387096822</v>
      </c>
      <c r="Q250">
        <f t="shared" si="960"/>
        <v>1513487.4057483883</v>
      </c>
      <c r="R250">
        <f t="shared" si="961"/>
        <v>-19757816.567964733</v>
      </c>
      <c r="S250">
        <f t="shared" si="962"/>
        <v>-197.57816567964733</v>
      </c>
      <c r="T250">
        <f t="shared" si="963"/>
        <v>-0.19757816567964734</v>
      </c>
    </row>
    <row r="251" spans="1:20" x14ac:dyDescent="0.25">
      <c r="A251" s="5">
        <v>44342</v>
      </c>
      <c r="B251">
        <v>4.1416000000000004</v>
      </c>
      <c r="C251">
        <v>4.9150999999999998</v>
      </c>
      <c r="D251">
        <v>3.9984999999999999</v>
      </c>
      <c r="E251">
        <v>4.9150999999999998</v>
      </c>
      <c r="F251">
        <v>3141481.09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1</v>
      </c>
      <c r="Q251">
        <f t="shared" si="960"/>
        <v>3141481.09</v>
      </c>
      <c r="R251">
        <f t="shared" si="961"/>
        <v>-21271303.973713122</v>
      </c>
      <c r="S251">
        <f t="shared" si="962"/>
        <v>-212.71303973713123</v>
      </c>
      <c r="T251">
        <f t="shared" si="963"/>
        <v>-0.21271303973713124</v>
      </c>
    </row>
    <row r="252" spans="1:20" x14ac:dyDescent="0.25">
      <c r="A252" s="5">
        <v>44341</v>
      </c>
      <c r="B252">
        <v>4.1802999999999999</v>
      </c>
      <c r="C252">
        <v>4.3788999999999998</v>
      </c>
      <c r="D252">
        <v>3.7073</v>
      </c>
      <c r="E252">
        <v>4.1435000000000004</v>
      </c>
      <c r="F252">
        <v>2170258.4500000002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0.29898749255509388</v>
      </c>
      <c r="Q252">
        <f t="shared" si="960"/>
        <v>648880.13216200459</v>
      </c>
      <c r="R252">
        <f t="shared" si="961"/>
        <v>-24412785.063713122</v>
      </c>
      <c r="S252">
        <f t="shared" si="962"/>
        <v>-244.12785063713122</v>
      </c>
      <c r="T252">
        <f t="shared" si="963"/>
        <v>-0.24412785063713122</v>
      </c>
    </row>
    <row r="253" spans="1:20" x14ac:dyDescent="0.25">
      <c r="A253" s="5">
        <v>44340</v>
      </c>
      <c r="B253">
        <v>3.3454000000000002</v>
      </c>
      <c r="C253">
        <v>4.3</v>
      </c>
      <c r="D253">
        <v>3.3454000000000002</v>
      </c>
      <c r="E253">
        <v>4.1867000000000001</v>
      </c>
      <c r="F253">
        <v>3675987.61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0.76262308820448399</v>
      </c>
      <c r="Q253">
        <f t="shared" si="960"/>
        <v>2803393.0233396203</v>
      </c>
      <c r="R253">
        <f t="shared" si="961"/>
        <v>-25061665.195875127</v>
      </c>
      <c r="S253">
        <f t="shared" si="962"/>
        <v>-250.61665195875128</v>
      </c>
      <c r="T253">
        <f t="shared" si="963"/>
        <v>-0.25061665195875127</v>
      </c>
    </row>
    <row r="254" spans="1:20" x14ac:dyDescent="0.25">
      <c r="A254" s="5">
        <v>44339</v>
      </c>
      <c r="B254">
        <v>3.9245000000000001</v>
      </c>
      <c r="C254">
        <v>4.0609000000000002</v>
      </c>
      <c r="D254">
        <v>2.73</v>
      </c>
      <c r="E254">
        <v>3.3449</v>
      </c>
      <c r="F254">
        <v>3428635.74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-7.5963633631377397E-2</v>
      </c>
      <c r="Q254">
        <f t="shared" si="960"/>
        <v>-260451.62920880655</v>
      </c>
      <c r="R254">
        <f t="shared" si="961"/>
        <v>-27865058.219214749</v>
      </c>
      <c r="S254">
        <f t="shared" si="962"/>
        <v>-278.65058219214751</v>
      </c>
      <c r="T254">
        <f t="shared" si="963"/>
        <v>-0.2786505821921475</v>
      </c>
    </row>
    <row r="255" spans="1:20" x14ac:dyDescent="0.25">
      <c r="A255" s="5">
        <v>44338</v>
      </c>
      <c r="B255">
        <v>4.3517000000000001</v>
      </c>
      <c r="C255">
        <v>4.3689999999999998</v>
      </c>
      <c r="D255">
        <v>3.7</v>
      </c>
      <c r="E255">
        <v>3.9245000000000001</v>
      </c>
      <c r="F255">
        <v>1747139.89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-0.32884902840059771</v>
      </c>
      <c r="Q255">
        <f t="shared" si="960"/>
        <v>-574545.25530642713</v>
      </c>
      <c r="R255">
        <f t="shared" si="961"/>
        <v>-27604606.590005942</v>
      </c>
      <c r="S255">
        <f t="shared" si="962"/>
        <v>-276.04606590005943</v>
      </c>
      <c r="T255">
        <f t="shared" si="963"/>
        <v>-0.27604606590005942</v>
      </c>
    </row>
    <row r="256" spans="1:20" x14ac:dyDescent="0.25">
      <c r="A256" s="5">
        <v>44337</v>
      </c>
      <c r="B256">
        <v>4.7035</v>
      </c>
      <c r="C256">
        <v>5.3547000000000002</v>
      </c>
      <c r="D256">
        <v>3.6613000000000002</v>
      </c>
      <c r="E256">
        <v>4.3414000000000001</v>
      </c>
      <c r="F256">
        <v>4182080.49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-0.19676390693279802</v>
      </c>
      <c r="Q256">
        <f t="shared" si="960"/>
        <v>-822882.49631983042</v>
      </c>
      <c r="R256">
        <f t="shared" si="961"/>
        <v>-27030061.334699515</v>
      </c>
      <c r="S256">
        <f t="shared" si="962"/>
        <v>-270.30061334699514</v>
      </c>
      <c r="T256">
        <f t="shared" si="963"/>
        <v>-0.27030061334699512</v>
      </c>
    </row>
    <row r="257" spans="1:20" x14ac:dyDescent="0.25">
      <c r="A257" s="5">
        <v>44336</v>
      </c>
      <c r="B257">
        <v>3.9603999999999999</v>
      </c>
      <c r="C257">
        <v>4.9425999999999997</v>
      </c>
      <c r="D257">
        <v>3.5377999999999998</v>
      </c>
      <c r="E257">
        <v>4.7050000000000001</v>
      </c>
      <c r="F257">
        <v>2522951.8199999998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0.66173120728929435</v>
      </c>
      <c r="Q257">
        <f t="shared" si="960"/>
        <v>1669515.9537813223</v>
      </c>
      <c r="R257">
        <f t="shared" si="961"/>
        <v>-26207178.838379685</v>
      </c>
      <c r="S257">
        <f t="shared" si="962"/>
        <v>-262.07178838379684</v>
      </c>
      <c r="T257">
        <f t="shared" si="963"/>
        <v>-0.26207178838379686</v>
      </c>
    </row>
    <row r="258" spans="1:20" x14ac:dyDescent="0.25">
      <c r="A258" s="5">
        <v>44335</v>
      </c>
      <c r="B258">
        <v>6.6219000000000001</v>
      </c>
      <c r="C258">
        <v>6.72</v>
      </c>
      <c r="D258">
        <v>1.8080000000000001</v>
      </c>
      <c r="E258">
        <v>3.9603999999999999</v>
      </c>
      <c r="F258">
        <v>4442426.54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-0.12361563517915304</v>
      </c>
      <c r="Q258">
        <f t="shared" si="960"/>
        <v>-549153.37847882707</v>
      </c>
      <c r="R258">
        <f t="shared" si="961"/>
        <v>-27876694.792161006</v>
      </c>
      <c r="S258">
        <f t="shared" si="962"/>
        <v>-278.76694792161004</v>
      </c>
      <c r="T258">
        <f t="shared" si="963"/>
        <v>-0.27876694792161005</v>
      </c>
    </row>
    <row r="259" spans="1:20" x14ac:dyDescent="0.25">
      <c r="A259" s="5">
        <v>44334</v>
      </c>
      <c r="B259">
        <v>6.5305999999999997</v>
      </c>
      <c r="C259">
        <v>7.1436000000000002</v>
      </c>
      <c r="D259">
        <v>6.4</v>
      </c>
      <c r="E259">
        <v>6.6040000000000001</v>
      </c>
      <c r="F259">
        <v>1894466.27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-0.45131791285637496</v>
      </c>
      <c r="Q259">
        <f t="shared" si="960"/>
        <v>-855006.5629532017</v>
      </c>
      <c r="R259">
        <f t="shared" si="961"/>
        <v>-27327541.413682178</v>
      </c>
      <c r="S259">
        <f t="shared" si="962"/>
        <v>-273.27541413682178</v>
      </c>
      <c r="T259">
        <f t="shared" si="963"/>
        <v>-0.27327541413682177</v>
      </c>
    </row>
    <row r="260" spans="1:20" x14ac:dyDescent="0.25">
      <c r="A260" s="5">
        <v>44333</v>
      </c>
      <c r="B260">
        <v>6.5011999999999999</v>
      </c>
      <c r="C260">
        <v>6.98</v>
      </c>
      <c r="D260">
        <v>5.8635999999999999</v>
      </c>
      <c r="E260">
        <v>6.5267999999999997</v>
      </c>
      <c r="F260">
        <v>2788929.49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0.18810462199928249</v>
      </c>
      <c r="Q260">
        <f t="shared" si="960"/>
        <v>524610.52749910171</v>
      </c>
      <c r="R260">
        <f t="shared" si="961"/>
        <v>-26472534.850728977</v>
      </c>
      <c r="S260">
        <f t="shared" si="962"/>
        <v>-264.72534850728977</v>
      </c>
      <c r="T260">
        <f t="shared" si="963"/>
        <v>-0.26472534850728979</v>
      </c>
    </row>
    <row r="261" spans="1:20" x14ac:dyDescent="0.25">
      <c r="A261" s="5">
        <v>44332</v>
      </c>
      <c r="B261">
        <v>6.5570000000000004</v>
      </c>
      <c r="C261">
        <v>7.3315999999999999</v>
      </c>
      <c r="D261">
        <v>6.0654000000000003</v>
      </c>
      <c r="E261">
        <v>6.5008999999999997</v>
      </c>
      <c r="F261">
        <v>1806121.41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-0.31211498973306034</v>
      </c>
      <c r="Q261">
        <f t="shared" si="960"/>
        <v>-563717.56533881044</v>
      </c>
      <c r="R261">
        <f t="shared" si="961"/>
        <v>-26997145.37822808</v>
      </c>
      <c r="S261">
        <f t="shared" si="962"/>
        <v>-269.97145378228078</v>
      </c>
      <c r="T261">
        <f t="shared" si="963"/>
        <v>-0.26997145378228077</v>
      </c>
    </row>
    <row r="262" spans="1:20" x14ac:dyDescent="0.25">
      <c r="A262" s="5">
        <v>44331</v>
      </c>
      <c r="B262">
        <v>7.0610999999999997</v>
      </c>
      <c r="C262">
        <v>7.1802999999999999</v>
      </c>
      <c r="D262">
        <v>6.3678999999999997</v>
      </c>
      <c r="E262">
        <v>6.5747</v>
      </c>
      <c r="F262">
        <v>1284460.1000000001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-0.49089118660758185</v>
      </c>
      <c r="Q262">
        <f t="shared" ref="Q262:Q325" si="965">F262*P262</f>
        <v>-630530.14263909333</v>
      </c>
      <c r="R262">
        <f t="shared" ref="R262:R325" si="966">R263+Q262</f>
        <v>-26433427.81288927</v>
      </c>
      <c r="S262">
        <f t="shared" ref="S262:S325" si="967">R262/100000</f>
        <v>-264.33427812889272</v>
      </c>
      <c r="T262">
        <f t="shared" ref="T262:T325" si="968">S262/1000</f>
        <v>-0.26433427812889271</v>
      </c>
    </row>
    <row r="263" spans="1:20" x14ac:dyDescent="0.25">
      <c r="A263" s="5">
        <v>44330</v>
      </c>
      <c r="B263">
        <v>6.9570999999999996</v>
      </c>
      <c r="C263">
        <v>7.4969999999999999</v>
      </c>
      <c r="D263">
        <v>6.86</v>
      </c>
      <c r="E263">
        <v>7.0720999999999998</v>
      </c>
      <c r="F263">
        <v>1221070.06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-0.33406593406593516</v>
      </c>
      <c r="Q263">
        <f t="shared" si="965"/>
        <v>-407917.91015384748</v>
      </c>
      <c r="R263">
        <f t="shared" si="966"/>
        <v>-25802897.670250177</v>
      </c>
      <c r="S263">
        <f t="shared" si="967"/>
        <v>-258.02897670250178</v>
      </c>
      <c r="T263">
        <f t="shared" si="968"/>
        <v>-0.2580289767025018</v>
      </c>
    </row>
    <row r="264" spans="1:20" x14ac:dyDescent="0.25">
      <c r="A264" s="5">
        <v>44329</v>
      </c>
      <c r="B264">
        <v>6.7567000000000004</v>
      </c>
      <c r="C264">
        <v>7.7798999999999996</v>
      </c>
      <c r="D264">
        <v>6.21</v>
      </c>
      <c r="E264">
        <v>6.9744999999999999</v>
      </c>
      <c r="F264">
        <v>3358964.32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-2.6052614816230158E-2</v>
      </c>
      <c r="Q264">
        <f t="shared" si="965"/>
        <v>-87509.803610420451</v>
      </c>
      <c r="R264">
        <f t="shared" si="966"/>
        <v>-25394979.76009633</v>
      </c>
      <c r="S264">
        <f t="shared" si="967"/>
        <v>-253.94979760096331</v>
      </c>
      <c r="T264">
        <f t="shared" si="968"/>
        <v>-0.25394979760096331</v>
      </c>
    </row>
    <row r="265" spans="1:20" x14ac:dyDescent="0.25">
      <c r="A265" s="5">
        <v>44328</v>
      </c>
      <c r="B265">
        <v>8.09</v>
      </c>
      <c r="C265">
        <v>9.1989999999999998</v>
      </c>
      <c r="D265">
        <v>6.61</v>
      </c>
      <c r="E265">
        <v>6.7961999999999998</v>
      </c>
      <c r="F265">
        <v>4109634.88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-0.85616067979915067</v>
      </c>
      <c r="Q265">
        <f t="shared" si="965"/>
        <v>-3518507.792587101</v>
      </c>
      <c r="R265">
        <f t="shared" si="966"/>
        <v>-25307469.956485908</v>
      </c>
      <c r="S265">
        <f t="shared" si="967"/>
        <v>-253.07469956485909</v>
      </c>
      <c r="T265">
        <f t="shared" si="968"/>
        <v>-0.25307469956485906</v>
      </c>
    </row>
    <row r="266" spans="1:20" x14ac:dyDescent="0.25">
      <c r="A266" s="5">
        <v>44327</v>
      </c>
      <c r="B266">
        <v>7.1753999999999998</v>
      </c>
      <c r="C266">
        <v>8.4446999999999992</v>
      </c>
      <c r="D266">
        <v>6.9886999999999997</v>
      </c>
      <c r="E266">
        <v>8.09</v>
      </c>
      <c r="F266">
        <v>1907950.57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0.51277472527472601</v>
      </c>
      <c r="Q266">
        <f t="shared" si="965"/>
        <v>978348.82936950692</v>
      </c>
      <c r="R266">
        <f t="shared" si="966"/>
        <v>-21788962.163898807</v>
      </c>
      <c r="S266">
        <f t="shared" si="967"/>
        <v>-217.88962163898807</v>
      </c>
      <c r="T266">
        <f t="shared" si="968"/>
        <v>-0.21788962163898806</v>
      </c>
    </row>
    <row r="267" spans="1:20" x14ac:dyDescent="0.25">
      <c r="A267" s="5">
        <v>44326</v>
      </c>
      <c r="B267">
        <v>8.0838999999999999</v>
      </c>
      <c r="C267">
        <v>8.3012999999999995</v>
      </c>
      <c r="D267">
        <v>6.8173000000000004</v>
      </c>
      <c r="E267">
        <v>7.1795999999999998</v>
      </c>
      <c r="F267">
        <v>2475007.96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-0.51172506738544521</v>
      </c>
      <c r="Q267">
        <f t="shared" si="965"/>
        <v>-1266523.6151105133</v>
      </c>
      <c r="R267">
        <f t="shared" si="966"/>
        <v>-22767310.993268315</v>
      </c>
      <c r="S267">
        <f t="shared" si="967"/>
        <v>-227.67310993268316</v>
      </c>
      <c r="T267">
        <f t="shared" si="968"/>
        <v>-0.22767310993268317</v>
      </c>
    </row>
    <row r="268" spans="1:20" x14ac:dyDescent="0.25">
      <c r="A268" s="5">
        <v>44325</v>
      </c>
      <c r="B268">
        <v>8.2621000000000002</v>
      </c>
      <c r="C268">
        <v>8.3867999999999991</v>
      </c>
      <c r="D268">
        <v>7.6788999999999996</v>
      </c>
      <c r="E268">
        <v>8.0754000000000001</v>
      </c>
      <c r="F268">
        <v>1078564.8500000001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0.12021471959316508</v>
      </c>
      <c r="Q268">
        <f t="shared" si="965"/>
        <v>129659.37100579416</v>
      </c>
      <c r="R268">
        <f t="shared" si="966"/>
        <v>-21500787.378157802</v>
      </c>
      <c r="S268">
        <f t="shared" si="967"/>
        <v>-215.00787378157801</v>
      </c>
      <c r="T268">
        <f t="shared" si="968"/>
        <v>-0.21500787378157801</v>
      </c>
    </row>
    <row r="269" spans="1:20" x14ac:dyDescent="0.25">
      <c r="A269" s="5">
        <v>44324</v>
      </c>
      <c r="B269">
        <v>8.3901000000000003</v>
      </c>
      <c r="C269">
        <v>8.9990000000000006</v>
      </c>
      <c r="D269">
        <v>8.1872000000000007</v>
      </c>
      <c r="E269">
        <v>8.2626000000000008</v>
      </c>
      <c r="F269">
        <v>2774532.74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-0.81423996058142367</v>
      </c>
      <c r="Q269">
        <f t="shared" si="965"/>
        <v>-2259135.4288494694</v>
      </c>
      <c r="R269">
        <f t="shared" si="966"/>
        <v>-21630446.749163598</v>
      </c>
      <c r="S269">
        <f t="shared" si="967"/>
        <v>-216.30446749163599</v>
      </c>
      <c r="T269">
        <f t="shared" si="968"/>
        <v>-0.21630446749163598</v>
      </c>
    </row>
    <row r="270" spans="1:20" x14ac:dyDescent="0.25">
      <c r="A270" s="5">
        <v>44323</v>
      </c>
      <c r="B270">
        <v>7.8894000000000002</v>
      </c>
      <c r="C270">
        <v>9.01</v>
      </c>
      <c r="D270">
        <v>7.4157000000000002</v>
      </c>
      <c r="E270">
        <v>8.3895999999999997</v>
      </c>
      <c r="F270">
        <v>3068164.2</v>
      </c>
      <c r="G270">
        <v>0</v>
      </c>
      <c r="L270" t="s">
        <v>7</v>
      </c>
      <c r="M270" t="s">
        <v>8</v>
      </c>
      <c r="N270" t="s">
        <v>7</v>
      </c>
      <c r="P270">
        <f t="shared" si="964"/>
        <v>0.22172740387630907</v>
      </c>
      <c r="Q270">
        <f t="shared" si="965"/>
        <v>680296.08273223275</v>
      </c>
      <c r="R270">
        <f t="shared" si="966"/>
        <v>-19371311.320314128</v>
      </c>
      <c r="S270">
        <f t="shared" si="967"/>
        <v>-193.71311320314129</v>
      </c>
      <c r="T270">
        <f t="shared" si="968"/>
        <v>-0.1937131132031413</v>
      </c>
    </row>
    <row r="271" spans="1:20" x14ac:dyDescent="0.25">
      <c r="A271" s="5">
        <v>44322</v>
      </c>
      <c r="B271">
        <v>8.6501000000000001</v>
      </c>
      <c r="C271">
        <v>8.6659000000000006</v>
      </c>
      <c r="D271">
        <v>7.6730999999999998</v>
      </c>
      <c r="E271">
        <v>7.8894000000000002</v>
      </c>
      <c r="F271">
        <v>1941344.99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-0.56426269137792062</v>
      </c>
      <c r="Q271">
        <f t="shared" si="965"/>
        <v>-1095428.5489504423</v>
      </c>
      <c r="R271">
        <f t="shared" si="966"/>
        <v>-20051607.403046362</v>
      </c>
      <c r="S271">
        <f t="shared" si="967"/>
        <v>-200.51607403046361</v>
      </c>
      <c r="T271">
        <f t="shared" si="968"/>
        <v>-0.20051607403046362</v>
      </c>
    </row>
    <row r="272" spans="1:20" x14ac:dyDescent="0.25">
      <c r="A272" s="5">
        <v>44321</v>
      </c>
      <c r="B272">
        <v>8.0716000000000001</v>
      </c>
      <c r="C272">
        <v>8.7922999999999991</v>
      </c>
      <c r="D272">
        <v>7.96</v>
      </c>
      <c r="E272">
        <v>8.6501000000000001</v>
      </c>
      <c r="F272">
        <v>2179905.13</v>
      </c>
      <c r="G272">
        <v>0</v>
      </c>
      <c r="L272" t="s">
        <v>7</v>
      </c>
      <c r="M272" t="s">
        <v>7</v>
      </c>
      <c r="N272" t="s">
        <v>7</v>
      </c>
      <c r="P272">
        <f t="shared" si="964"/>
        <v>0.65829628739637358</v>
      </c>
      <c r="Q272">
        <f t="shared" si="965"/>
        <v>1435023.453955309</v>
      </c>
      <c r="R272">
        <f t="shared" si="966"/>
        <v>-18956178.854095921</v>
      </c>
      <c r="S272">
        <f t="shared" si="967"/>
        <v>-189.56178854095921</v>
      </c>
      <c r="T272">
        <f t="shared" si="968"/>
        <v>-0.1895617885409592</v>
      </c>
    </row>
    <row r="273" spans="1:20" x14ac:dyDescent="0.25">
      <c r="A273" s="5">
        <v>44320</v>
      </c>
      <c r="B273">
        <v>9.2329000000000008</v>
      </c>
      <c r="C273">
        <v>9.6915999999999993</v>
      </c>
      <c r="D273">
        <v>8.0462000000000007</v>
      </c>
      <c r="E273">
        <v>8.0691000000000006</v>
      </c>
      <c r="F273">
        <v>3968150.62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-0.97216482314330865</v>
      </c>
      <c r="Q273">
        <f t="shared" si="965"/>
        <v>-3857696.4456983106</v>
      </c>
      <c r="R273">
        <f t="shared" si="966"/>
        <v>-20391202.308051229</v>
      </c>
      <c r="S273">
        <f t="shared" si="967"/>
        <v>-203.91202308051228</v>
      </c>
      <c r="T273">
        <f t="shared" si="968"/>
        <v>-0.20391202308051229</v>
      </c>
    </row>
    <row r="274" spans="1:20" x14ac:dyDescent="0.25">
      <c r="A274" s="5">
        <v>44319</v>
      </c>
      <c r="B274">
        <v>9.3254999999999999</v>
      </c>
      <c r="C274">
        <v>9.5925999999999991</v>
      </c>
      <c r="D274">
        <v>9.0419</v>
      </c>
      <c r="E274">
        <v>9.2199000000000009</v>
      </c>
      <c r="F274">
        <v>1932283.58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-0.35355002723805656</v>
      </c>
      <c r="Q274">
        <f t="shared" si="965"/>
        <v>-683158.91234064952</v>
      </c>
      <c r="R274">
        <f t="shared" si="966"/>
        <v>-16533505.862352917</v>
      </c>
      <c r="S274">
        <f t="shared" si="967"/>
        <v>-165.33505862352916</v>
      </c>
      <c r="T274">
        <f t="shared" si="968"/>
        <v>-0.16533505862352915</v>
      </c>
    </row>
    <row r="275" spans="1:20" x14ac:dyDescent="0.25">
      <c r="A275" s="5">
        <v>44318</v>
      </c>
      <c r="B275">
        <v>9.7478999999999996</v>
      </c>
      <c r="C275">
        <v>9.7581000000000007</v>
      </c>
      <c r="D275">
        <v>8.8873999999999995</v>
      </c>
      <c r="E275">
        <v>9.3185000000000002</v>
      </c>
      <c r="F275">
        <v>1565673.78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-9.7622602503729394E-3</v>
      </c>
      <c r="Q275">
        <f t="shared" si="965"/>
        <v>-15284.514907545146</v>
      </c>
      <c r="R275">
        <f t="shared" si="966"/>
        <v>-15850346.950012267</v>
      </c>
      <c r="S275">
        <f t="shared" si="967"/>
        <v>-158.50346950012266</v>
      </c>
      <c r="T275">
        <f t="shared" si="968"/>
        <v>-0.15850346950012267</v>
      </c>
    </row>
    <row r="276" spans="1:20" x14ac:dyDescent="0.25">
      <c r="A276" s="5">
        <v>44317</v>
      </c>
      <c r="B276">
        <v>10.2105</v>
      </c>
      <c r="C276">
        <v>10.3104</v>
      </c>
      <c r="D276">
        <v>9.4610000000000003</v>
      </c>
      <c r="E276">
        <v>9.7482000000000006</v>
      </c>
      <c r="F276">
        <v>1424184.02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-0.32375794678596514</v>
      </c>
      <c r="Q276">
        <f t="shared" si="965"/>
        <v>-461090.89416058193</v>
      </c>
      <c r="R276">
        <f t="shared" si="966"/>
        <v>-15835062.435104722</v>
      </c>
      <c r="S276">
        <f t="shared" si="967"/>
        <v>-158.35062435104723</v>
      </c>
      <c r="T276">
        <f t="shared" si="968"/>
        <v>-0.15835062435104724</v>
      </c>
    </row>
    <row r="277" spans="1:20" x14ac:dyDescent="0.25">
      <c r="A277" s="5">
        <v>44316</v>
      </c>
      <c r="B277">
        <v>10.1357</v>
      </c>
      <c r="C277">
        <v>10.298999999999999</v>
      </c>
      <c r="D277">
        <v>9.44</v>
      </c>
      <c r="E277">
        <v>10.216799999999999</v>
      </c>
      <c r="F277">
        <v>1796058.49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0.80861466821885852</v>
      </c>
      <c r="Q277">
        <f t="shared" si="965"/>
        <v>1452319.2399930139</v>
      </c>
      <c r="R277">
        <f t="shared" si="966"/>
        <v>-15373971.54094414</v>
      </c>
      <c r="S277">
        <f t="shared" si="967"/>
        <v>-153.7397154094414</v>
      </c>
      <c r="T277">
        <f t="shared" si="968"/>
        <v>-0.1537397154094414</v>
      </c>
    </row>
    <row r="278" spans="1:20" x14ac:dyDescent="0.25">
      <c r="A278" s="5">
        <v>44315</v>
      </c>
      <c r="B278">
        <v>10.7445</v>
      </c>
      <c r="C278">
        <v>11</v>
      </c>
      <c r="D278">
        <v>9.3699999999999992</v>
      </c>
      <c r="E278">
        <v>10.1357</v>
      </c>
      <c r="F278">
        <v>3439038.92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-6.0490797546011846E-2</v>
      </c>
      <c r="Q278">
        <f t="shared" si="965"/>
        <v>-208030.20706257521</v>
      </c>
      <c r="R278">
        <f t="shared" si="966"/>
        <v>-16826290.780937154</v>
      </c>
      <c r="S278">
        <f t="shared" si="967"/>
        <v>-168.26290780937154</v>
      </c>
      <c r="T278">
        <f t="shared" si="968"/>
        <v>-0.16826290780937153</v>
      </c>
    </row>
    <row r="279" spans="1:20" x14ac:dyDescent="0.25">
      <c r="A279" s="5">
        <v>44314</v>
      </c>
      <c r="B279">
        <v>8.5875000000000004</v>
      </c>
      <c r="C279">
        <v>10.88</v>
      </c>
      <c r="D279">
        <v>8.2200000000000006</v>
      </c>
      <c r="E279">
        <v>10.744899999999999</v>
      </c>
      <c r="F279">
        <v>7454278.7599999998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0.8984210526315779</v>
      </c>
      <c r="Q279">
        <f t="shared" si="965"/>
        <v>6697080.9701684127</v>
      </c>
      <c r="R279">
        <f t="shared" si="966"/>
        <v>-16618260.573874578</v>
      </c>
      <c r="S279">
        <f t="shared" si="967"/>
        <v>-166.18260573874579</v>
      </c>
      <c r="T279">
        <f t="shared" si="968"/>
        <v>-0.1661826057387458</v>
      </c>
    </row>
    <row r="280" spans="1:20" x14ac:dyDescent="0.25">
      <c r="A280" s="5">
        <v>44313</v>
      </c>
      <c r="B280">
        <v>7.5759999999999996</v>
      </c>
      <c r="C280">
        <v>9.1439000000000004</v>
      </c>
      <c r="D280">
        <v>7.4292999999999996</v>
      </c>
      <c r="E280">
        <v>8.5870999999999995</v>
      </c>
      <c r="F280">
        <v>4213550.07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0.35051907150355699</v>
      </c>
      <c r="Q280">
        <f t="shared" si="965"/>
        <v>1476929.6582701476</v>
      </c>
      <c r="R280">
        <f t="shared" si="966"/>
        <v>-23315341.54404299</v>
      </c>
      <c r="S280">
        <f t="shared" si="967"/>
        <v>-233.15341544042991</v>
      </c>
      <c r="T280">
        <f t="shared" si="968"/>
        <v>-0.23315341544042992</v>
      </c>
    </row>
    <row r="281" spans="1:20" x14ac:dyDescent="0.25">
      <c r="A281" s="5">
        <v>44312</v>
      </c>
      <c r="B281">
        <v>6.5861000000000001</v>
      </c>
      <c r="C281">
        <v>7.66</v>
      </c>
      <c r="D281">
        <v>6.4020999999999999</v>
      </c>
      <c r="E281">
        <v>7.5751999999999997</v>
      </c>
      <c r="F281">
        <v>2515441.23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0.86517211225057566</v>
      </c>
      <c r="Q281">
        <f t="shared" si="965"/>
        <v>2176289.6022012862</v>
      </c>
      <c r="R281">
        <f t="shared" si="966"/>
        <v>-24792271.202313136</v>
      </c>
      <c r="S281">
        <f t="shared" si="967"/>
        <v>-247.92271202313137</v>
      </c>
      <c r="T281">
        <f t="shared" si="968"/>
        <v>-0.24792271202313138</v>
      </c>
    </row>
    <row r="282" spans="1:20" x14ac:dyDescent="0.25">
      <c r="A282" s="5">
        <v>44311</v>
      </c>
      <c r="B282">
        <v>6.5969800000000003</v>
      </c>
      <c r="C282">
        <v>7.2</v>
      </c>
      <c r="D282">
        <v>6.0515999999999996</v>
      </c>
      <c r="E282">
        <v>6.5739999999999998</v>
      </c>
      <c r="F282">
        <v>1913318.08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-9.0212469522814434E-2</v>
      </c>
      <c r="Q282">
        <f t="shared" si="965"/>
        <v>-172605.14897944985</v>
      </c>
      <c r="R282">
        <f t="shared" si="966"/>
        <v>-26968560.804514423</v>
      </c>
      <c r="S282">
        <f t="shared" si="967"/>
        <v>-269.68560804514425</v>
      </c>
      <c r="T282">
        <f t="shared" si="968"/>
        <v>-0.26968560804514424</v>
      </c>
    </row>
    <row r="283" spans="1:20" x14ac:dyDescent="0.25">
      <c r="A283" s="5">
        <v>44310</v>
      </c>
      <c r="B283">
        <v>7.4537899999999997</v>
      </c>
      <c r="C283">
        <v>7.48095</v>
      </c>
      <c r="D283">
        <v>6.4633000000000003</v>
      </c>
      <c r="E283">
        <v>6.5969600000000002</v>
      </c>
      <c r="F283">
        <v>2297733.4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-0.73731636613767026</v>
      </c>
      <c r="Q283">
        <f t="shared" si="965"/>
        <v>-1694156.440841154</v>
      </c>
      <c r="R283">
        <f t="shared" si="966"/>
        <v>-26795955.655534972</v>
      </c>
      <c r="S283">
        <f t="shared" si="967"/>
        <v>-267.95955655534971</v>
      </c>
      <c r="T283">
        <f t="shared" si="968"/>
        <v>-0.2679595565553497</v>
      </c>
    </row>
    <row r="284" spans="1:20" x14ac:dyDescent="0.25">
      <c r="A284" s="5">
        <v>44309</v>
      </c>
      <c r="B284">
        <v>8.1133199999999999</v>
      </c>
      <c r="C284">
        <v>8.3488399999999992</v>
      </c>
      <c r="D284">
        <v>6.0316599999999996</v>
      </c>
      <c r="E284">
        <v>7.4805000000000001</v>
      </c>
      <c r="F284">
        <v>6405129.7999999998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0.25052002865552164</v>
      </c>
      <c r="Q284">
        <f t="shared" si="965"/>
        <v>1604613.3010383355</v>
      </c>
      <c r="R284">
        <f t="shared" si="966"/>
        <v>-25101799.214693818</v>
      </c>
      <c r="S284">
        <f t="shared" si="967"/>
        <v>-251.01799214693818</v>
      </c>
      <c r="T284">
        <f t="shared" si="968"/>
        <v>-0.25101799214693821</v>
      </c>
    </row>
    <row r="285" spans="1:20" x14ac:dyDescent="0.25">
      <c r="A285" s="5">
        <v>44308</v>
      </c>
      <c r="B285">
        <v>8.1521500000000007</v>
      </c>
      <c r="C285">
        <v>10.398540000000001</v>
      </c>
      <c r="D285">
        <v>8.0601000000000003</v>
      </c>
      <c r="E285">
        <v>8.0933299999999999</v>
      </c>
      <c r="F285">
        <v>8429258.8000000007</v>
      </c>
      <c r="G285">
        <v>0</v>
      </c>
      <c r="L285" t="s">
        <v>8</v>
      </c>
      <c r="M285" t="s">
        <v>8</v>
      </c>
      <c r="N285" t="s">
        <v>7</v>
      </c>
      <c r="P285">
        <f t="shared" si="964"/>
        <v>-0.97157934349395358</v>
      </c>
      <c r="Q285">
        <f t="shared" si="965"/>
        <v>-8189693.7310446315</v>
      </c>
      <c r="R285">
        <f t="shared" si="966"/>
        <v>-26706412.515732154</v>
      </c>
      <c r="S285">
        <f t="shared" si="967"/>
        <v>-267.06412515732154</v>
      </c>
      <c r="T285">
        <f t="shared" si="968"/>
        <v>-0.26706412515732153</v>
      </c>
    </row>
    <row r="286" spans="1:20" x14ac:dyDescent="0.25">
      <c r="A286" s="5">
        <v>44307</v>
      </c>
      <c r="B286">
        <v>8.6156500000000005</v>
      </c>
      <c r="C286">
        <v>9.3225999999999996</v>
      </c>
      <c r="D286">
        <v>7.99</v>
      </c>
      <c r="E286">
        <v>8.1651399999999992</v>
      </c>
      <c r="F286">
        <v>6961148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-0.73714542998649402</v>
      </c>
      <c r="Q286">
        <f t="shared" si="965"/>
        <v>-5131378.4356596228</v>
      </c>
      <c r="R286">
        <f t="shared" si="966"/>
        <v>-18516718.784687523</v>
      </c>
      <c r="S286">
        <f t="shared" si="967"/>
        <v>-185.16718784687524</v>
      </c>
      <c r="T286">
        <f t="shared" si="968"/>
        <v>-0.18516718784687525</v>
      </c>
    </row>
    <row r="287" spans="1:20" x14ac:dyDescent="0.25">
      <c r="A287" s="5">
        <v>44306</v>
      </c>
      <c r="B287">
        <v>8.0437100000000008</v>
      </c>
      <c r="C287">
        <v>11.29</v>
      </c>
      <c r="D287">
        <v>7.9235699999999998</v>
      </c>
      <c r="E287">
        <v>8.6156500000000005</v>
      </c>
      <c r="F287">
        <v>24472001.300000001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-0.58883446262063921</v>
      </c>
      <c r="Q287">
        <f t="shared" si="965"/>
        <v>-14409957.734737085</v>
      </c>
      <c r="R287">
        <f t="shared" si="966"/>
        <v>-13385340.3490279</v>
      </c>
      <c r="S287">
        <f t="shared" si="967"/>
        <v>-133.85340349027899</v>
      </c>
      <c r="T287">
        <f t="shared" si="968"/>
        <v>-0.13385340349027899</v>
      </c>
    </row>
    <row r="288" spans="1:20" x14ac:dyDescent="0.25">
      <c r="A288" s="5">
        <v>44305</v>
      </c>
      <c r="B288">
        <v>6.6492199999999997</v>
      </c>
      <c r="C288">
        <v>9.4</v>
      </c>
      <c r="D288">
        <v>6.4419000000000004</v>
      </c>
      <c r="E288">
        <v>8.0437100000000008</v>
      </c>
      <c r="F288">
        <v>13628364.699999999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8.2999222473885553E-2</v>
      </c>
      <c r="Q288">
        <f t="shared" si="965"/>
        <v>1131143.6736905484</v>
      </c>
      <c r="R288">
        <f t="shared" si="966"/>
        <v>1024617.3857091845</v>
      </c>
      <c r="S288">
        <f t="shared" si="967"/>
        <v>10.246173857091845</v>
      </c>
      <c r="T288">
        <f t="shared" si="968"/>
        <v>1.0246173857091844E-2</v>
      </c>
    </row>
    <row r="289" spans="1:20" x14ac:dyDescent="0.25">
      <c r="A289" s="5">
        <v>44304</v>
      </c>
      <c r="B289">
        <v>7.69895</v>
      </c>
      <c r="C289">
        <v>7.7475500000000004</v>
      </c>
      <c r="D289">
        <v>5.68</v>
      </c>
      <c r="E289">
        <v>6.6690899999999997</v>
      </c>
      <c r="F289">
        <v>3099172.7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-4.3225073154216628E-2</v>
      </c>
      <c r="Q289">
        <f t="shared" si="965"/>
        <v>-133961.96667505108</v>
      </c>
      <c r="R289">
        <f t="shared" si="966"/>
        <v>-106526.28798136394</v>
      </c>
      <c r="S289">
        <f t="shared" si="967"/>
        <v>-1.0652628798136394</v>
      </c>
      <c r="T289">
        <f t="shared" si="968"/>
        <v>-1.0652628798136395E-3</v>
      </c>
    </row>
    <row r="290" spans="1:20" x14ac:dyDescent="0.25">
      <c r="A290" s="5">
        <v>44303</v>
      </c>
      <c r="B290">
        <v>7.4191000000000003</v>
      </c>
      <c r="C290">
        <v>8.0612700000000004</v>
      </c>
      <c r="D290">
        <v>7.35</v>
      </c>
      <c r="E290">
        <v>7.7280100000000003</v>
      </c>
      <c r="F290">
        <v>2611856.9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6.2915629788969682E-2</v>
      </c>
      <c r="Q290">
        <f t="shared" si="965"/>
        <v>164326.62178216601</v>
      </c>
      <c r="R290">
        <f t="shared" si="966"/>
        <v>27435.678693687136</v>
      </c>
      <c r="S290">
        <f t="shared" si="967"/>
        <v>0.27435678693687138</v>
      </c>
      <c r="T290">
        <f t="shared" si="968"/>
        <v>2.7435678693687137E-4</v>
      </c>
    </row>
    <row r="291" spans="1:20" x14ac:dyDescent="0.25">
      <c r="A291" s="5">
        <v>44302</v>
      </c>
      <c r="B291">
        <v>7.9981400000000002</v>
      </c>
      <c r="C291">
        <v>8.0317100000000003</v>
      </c>
      <c r="D291">
        <v>7.0939699999999997</v>
      </c>
      <c r="E291">
        <v>7.4191599999999998</v>
      </c>
      <c r="F291">
        <v>3009773.7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-0.30643888497877908</v>
      </c>
      <c r="Q291">
        <f t="shared" si="965"/>
        <v>-922311.69666645443</v>
      </c>
      <c r="R291">
        <f t="shared" si="966"/>
        <v>-136890.94308847887</v>
      </c>
      <c r="S291">
        <f t="shared" si="967"/>
        <v>-1.3689094308847887</v>
      </c>
      <c r="T291">
        <f t="shared" si="968"/>
        <v>-1.3689094308847888E-3</v>
      </c>
    </row>
    <row r="292" spans="1:20" x14ac:dyDescent="0.25">
      <c r="A292" s="5">
        <v>44301</v>
      </c>
      <c r="B292">
        <v>7.7261100000000003</v>
      </c>
      <c r="C292">
        <v>8.1090499999999999</v>
      </c>
      <c r="D292">
        <v>7.5</v>
      </c>
      <c r="E292">
        <v>7.9978699999999998</v>
      </c>
      <c r="F292">
        <v>1696744.9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0.6349068220999915</v>
      </c>
      <c r="Q292">
        <f t="shared" si="965"/>
        <v>1077274.9123733677</v>
      </c>
      <c r="R292">
        <f t="shared" si="966"/>
        <v>785420.75357797556</v>
      </c>
      <c r="S292">
        <f t="shared" si="967"/>
        <v>7.8542075357797554</v>
      </c>
      <c r="T292">
        <f t="shared" si="968"/>
        <v>7.8542075357797558E-3</v>
      </c>
    </row>
    <row r="293" spans="1:20" x14ac:dyDescent="0.25">
      <c r="A293" s="5">
        <v>44300</v>
      </c>
      <c r="B293">
        <v>8.02501</v>
      </c>
      <c r="C293">
        <v>8.0705100000000005</v>
      </c>
      <c r="D293">
        <v>7.01</v>
      </c>
      <c r="E293">
        <v>7.71089</v>
      </c>
      <c r="F293">
        <v>2294177.7000000002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0.321798002847686</v>
      </c>
      <c r="Q293">
        <f t="shared" si="965"/>
        <v>738261.80203769775</v>
      </c>
      <c r="R293">
        <f t="shared" si="966"/>
        <v>-291854.15879539214</v>
      </c>
      <c r="S293">
        <f t="shared" si="967"/>
        <v>-2.9185415879539214</v>
      </c>
      <c r="T293">
        <f t="shared" si="968"/>
        <v>-2.9185415879539214E-3</v>
      </c>
    </row>
    <row r="294" spans="1:20" x14ac:dyDescent="0.25">
      <c r="A294" s="5">
        <v>44299</v>
      </c>
      <c r="B294">
        <v>7.6337299999999999</v>
      </c>
      <c r="C294">
        <v>8.8941700000000008</v>
      </c>
      <c r="D294">
        <v>7.6141899999999998</v>
      </c>
      <c r="E294">
        <v>8.02501</v>
      </c>
      <c r="F294">
        <v>3114009.7</v>
      </c>
      <c r="G294">
        <v>0</v>
      </c>
      <c r="L294" t="s">
        <v>7</v>
      </c>
      <c r="M294" t="s">
        <v>8</v>
      </c>
      <c r="N294" t="s">
        <v>7</v>
      </c>
      <c r="P294">
        <f t="shared" si="964"/>
        <v>-0.35808372005812611</v>
      </c>
      <c r="Q294">
        <f t="shared" si="965"/>
        <v>-1115076.1776730893</v>
      </c>
      <c r="R294">
        <f t="shared" si="966"/>
        <v>-1030115.9608330899</v>
      </c>
      <c r="S294">
        <f t="shared" si="967"/>
        <v>-10.301159608330899</v>
      </c>
      <c r="T294">
        <f t="shared" si="968"/>
        <v>-1.0301159608330899E-2</v>
      </c>
    </row>
    <row r="295" spans="1:20" x14ac:dyDescent="0.25">
      <c r="A295" s="5">
        <v>44298</v>
      </c>
      <c r="B295">
        <v>7.22905</v>
      </c>
      <c r="C295">
        <v>8.8620999999999999</v>
      </c>
      <c r="D295">
        <v>7.1590199999999999</v>
      </c>
      <c r="E295">
        <v>7.6133199999999999</v>
      </c>
      <c r="F295">
        <v>7331456.0999999996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-0.46649599549052312</v>
      </c>
      <c r="Q295">
        <f t="shared" si="965"/>
        <v>-3420094.9117645682</v>
      </c>
      <c r="R295">
        <f t="shared" si="966"/>
        <v>84960.216839999426</v>
      </c>
      <c r="S295">
        <f t="shared" si="967"/>
        <v>0.84960216839999425</v>
      </c>
      <c r="T295">
        <f t="shared" si="968"/>
        <v>8.4960216839999423E-4</v>
      </c>
    </row>
    <row r="296" spans="1:20" x14ac:dyDescent="0.25">
      <c r="A296" s="5">
        <v>44297</v>
      </c>
      <c r="B296">
        <v>7.5920100000000001</v>
      </c>
      <c r="C296">
        <v>7.6565899999999996</v>
      </c>
      <c r="D296">
        <v>7.02684</v>
      </c>
      <c r="E296">
        <v>7.2177800000000003</v>
      </c>
      <c r="F296">
        <v>1945551.8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-0.39360063517268612</v>
      </c>
      <c r="Q296">
        <f t="shared" si="965"/>
        <v>-765770.42424136284</v>
      </c>
      <c r="R296">
        <f t="shared" si="966"/>
        <v>3505055.1286045676</v>
      </c>
      <c r="S296">
        <f t="shared" si="967"/>
        <v>35.050551286045675</v>
      </c>
      <c r="T296">
        <f t="shared" si="968"/>
        <v>3.5050551286045672E-2</v>
      </c>
    </row>
    <row r="297" spans="1:20" x14ac:dyDescent="0.25">
      <c r="A297" s="5">
        <v>44296</v>
      </c>
      <c r="B297">
        <v>7.9572200000000004</v>
      </c>
      <c r="C297">
        <v>8.0419199999999993</v>
      </c>
      <c r="D297">
        <v>7.2729100000000004</v>
      </c>
      <c r="E297">
        <v>7.5711500000000003</v>
      </c>
      <c r="F297">
        <v>2652784.7000000002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-0.22435338942276362</v>
      </c>
      <c r="Q297">
        <f t="shared" si="965"/>
        <v>-595161.23885384924</v>
      </c>
      <c r="R297">
        <f t="shared" si="966"/>
        <v>4270825.5528459307</v>
      </c>
      <c r="S297">
        <f t="shared" si="967"/>
        <v>42.708255528459304</v>
      </c>
      <c r="T297">
        <f t="shared" si="968"/>
        <v>4.2708255528459305E-2</v>
      </c>
    </row>
    <row r="298" spans="1:20" x14ac:dyDescent="0.25">
      <c r="A298" s="5">
        <v>44295</v>
      </c>
      <c r="B298">
        <v>7.75129</v>
      </c>
      <c r="C298">
        <v>8.8879999999999999</v>
      </c>
      <c r="D298">
        <v>7.65306</v>
      </c>
      <c r="E298">
        <v>7.9572399999999996</v>
      </c>
      <c r="F298">
        <v>5276402.5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-0.50737687660939046</v>
      </c>
      <c r="Q298">
        <f t="shared" si="965"/>
        <v>-2677124.6201839792</v>
      </c>
      <c r="R298">
        <f t="shared" si="966"/>
        <v>4865986.7916997802</v>
      </c>
      <c r="S298">
        <f t="shared" si="967"/>
        <v>48.659867916997804</v>
      </c>
      <c r="T298">
        <f t="shared" si="968"/>
        <v>4.8659867916997807E-2</v>
      </c>
    </row>
    <row r="299" spans="1:20" x14ac:dyDescent="0.25">
      <c r="A299" s="5">
        <v>44294</v>
      </c>
      <c r="B299">
        <v>7.3739800000000004</v>
      </c>
      <c r="C299">
        <v>7.9659899999999997</v>
      </c>
      <c r="D299">
        <v>7.29</v>
      </c>
      <c r="E299">
        <v>7.7510899999999996</v>
      </c>
      <c r="F299">
        <v>3195979.8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0.36419177798488084</v>
      </c>
      <c r="Q299">
        <f t="shared" si="965"/>
        <v>1163949.5657657639</v>
      </c>
      <c r="R299">
        <f t="shared" si="966"/>
        <v>7543111.4118837593</v>
      </c>
      <c r="S299">
        <f t="shared" si="967"/>
        <v>75.431114118837598</v>
      </c>
      <c r="T299">
        <f t="shared" si="968"/>
        <v>7.54311141188376E-2</v>
      </c>
    </row>
    <row r="300" spans="1:20" x14ac:dyDescent="0.25">
      <c r="A300" s="5">
        <v>44293</v>
      </c>
      <c r="B300">
        <v>7.7253299999999996</v>
      </c>
      <c r="C300">
        <v>8.0818899999999996</v>
      </c>
      <c r="D300">
        <v>6.5526499999999999</v>
      </c>
      <c r="E300">
        <v>7.3338400000000004</v>
      </c>
      <c r="F300">
        <v>6376620.9000000004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2.1670895346709011E-2</v>
      </c>
      <c r="Q300">
        <f t="shared" si="965"/>
        <v>138187.08418953745</v>
      </c>
      <c r="R300">
        <f t="shared" si="966"/>
        <v>6379161.8461179957</v>
      </c>
      <c r="S300">
        <f t="shared" si="967"/>
        <v>63.791618461179958</v>
      </c>
      <c r="T300">
        <f t="shared" si="968"/>
        <v>6.3791618461179964E-2</v>
      </c>
    </row>
    <row r="301" spans="1:20" x14ac:dyDescent="0.25">
      <c r="A301" s="5">
        <v>44292</v>
      </c>
      <c r="B301">
        <v>9.3339200000000009</v>
      </c>
      <c r="C301">
        <v>9.3340099999999993</v>
      </c>
      <c r="D301">
        <v>7.3748800000000001</v>
      </c>
      <c r="E301">
        <v>7.7253299999999996</v>
      </c>
      <c r="F301">
        <v>8163884.0999999996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-0.64223915717691049</v>
      </c>
      <c r="Q301">
        <f t="shared" si="965"/>
        <v>-5243166.04367398</v>
      </c>
      <c r="R301">
        <f t="shared" si="966"/>
        <v>6240974.7619284587</v>
      </c>
      <c r="S301">
        <f t="shared" si="967"/>
        <v>62.409747619284587</v>
      </c>
      <c r="T301">
        <f t="shared" si="968"/>
        <v>6.240974761928459E-2</v>
      </c>
    </row>
    <row r="302" spans="1:20" x14ac:dyDescent="0.25">
      <c r="A302" s="5">
        <v>44291</v>
      </c>
      <c r="B302">
        <v>5.8834400000000002</v>
      </c>
      <c r="C302">
        <v>11.3</v>
      </c>
      <c r="D302">
        <v>5.6323800000000004</v>
      </c>
      <c r="E302">
        <v>9.3092299999999994</v>
      </c>
      <c r="F302">
        <v>35071873.600000001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0.29749348050857288</v>
      </c>
      <c r="Q302">
        <f t="shared" si="965"/>
        <v>10433653.745220732</v>
      </c>
      <c r="R302">
        <f t="shared" si="966"/>
        <v>11484140.805602439</v>
      </c>
      <c r="S302">
        <f t="shared" si="967"/>
        <v>114.84140805602439</v>
      </c>
      <c r="T302">
        <f t="shared" si="968"/>
        <v>0.11484140805602439</v>
      </c>
    </row>
    <row r="303" spans="1:20" x14ac:dyDescent="0.25">
      <c r="A303" s="5">
        <v>44290</v>
      </c>
      <c r="B303">
        <v>5.0838099999999997</v>
      </c>
      <c r="C303">
        <v>6.4494999999999996</v>
      </c>
      <c r="D303">
        <v>5.0209999999999999</v>
      </c>
      <c r="E303">
        <v>5.8834400000000002</v>
      </c>
      <c r="F303">
        <v>5939581</v>
      </c>
      <c r="G303">
        <v>0</v>
      </c>
      <c r="L303" t="s">
        <v>8</v>
      </c>
      <c r="M303" t="s">
        <v>8</v>
      </c>
      <c r="N303" t="s">
        <v>7</v>
      </c>
      <c r="P303">
        <f t="shared" si="964"/>
        <v>0.20747637381869166</v>
      </c>
      <c r="Q303">
        <f t="shared" si="965"/>
        <v>1232322.7278823985</v>
      </c>
      <c r="R303">
        <f t="shared" si="966"/>
        <v>1050487.0603817068</v>
      </c>
      <c r="S303">
        <f t="shared" si="967"/>
        <v>10.504870603817068</v>
      </c>
      <c r="T303">
        <f t="shared" si="968"/>
        <v>1.0504870603817067E-2</v>
      </c>
    </row>
    <row r="304" spans="1:20" x14ac:dyDescent="0.25">
      <c r="A304" s="5">
        <v>44289</v>
      </c>
      <c r="B304">
        <v>5.6683500000000002</v>
      </c>
      <c r="C304">
        <v>5.78932</v>
      </c>
      <c r="D304">
        <v>5.0209999999999999</v>
      </c>
      <c r="E304">
        <v>5.0761900000000004</v>
      </c>
      <c r="F304">
        <v>2082485.3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-0.85633590170762053</v>
      </c>
      <c r="Q304">
        <f t="shared" si="965"/>
        <v>-1783306.9271683646</v>
      </c>
      <c r="R304">
        <f t="shared" si="966"/>
        <v>-181835.66750069172</v>
      </c>
      <c r="S304">
        <f t="shared" si="967"/>
        <v>-1.8183566750069171</v>
      </c>
      <c r="T304">
        <f t="shared" si="968"/>
        <v>-1.818356675006917E-3</v>
      </c>
    </row>
    <row r="305" spans="1:20" x14ac:dyDescent="0.25">
      <c r="A305" s="5">
        <v>44288</v>
      </c>
      <c r="B305">
        <v>5.5535199999999998</v>
      </c>
      <c r="C305">
        <v>5.98</v>
      </c>
      <c r="D305">
        <v>5.3150000000000004</v>
      </c>
      <c r="E305">
        <v>5.6671500000000004</v>
      </c>
      <c r="F305">
        <v>3238329.4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5.9097744360902087E-2</v>
      </c>
      <c r="Q305">
        <f t="shared" si="965"/>
        <v>191377.96303759344</v>
      </c>
      <c r="R305">
        <f t="shared" si="966"/>
        <v>1601471.2596676729</v>
      </c>
      <c r="S305">
        <f t="shared" si="967"/>
        <v>16.014712596676731</v>
      </c>
      <c r="T305">
        <f t="shared" si="968"/>
        <v>1.6014712596676729E-2</v>
      </c>
    </row>
    <row r="306" spans="1:20" x14ac:dyDescent="0.25">
      <c r="A306" s="5">
        <v>44287</v>
      </c>
      <c r="B306">
        <v>5.6890400000000003</v>
      </c>
      <c r="C306">
        <v>5.9</v>
      </c>
      <c r="D306">
        <v>5.2989600000000001</v>
      </c>
      <c r="E306">
        <v>5.5521900000000004</v>
      </c>
      <c r="F306">
        <v>3737958.5</v>
      </c>
      <c r="G306">
        <v>0</v>
      </c>
      <c r="L306" t="s">
        <v>7</v>
      </c>
      <c r="M306" t="s">
        <v>7</v>
      </c>
      <c r="N306" t="s">
        <v>7</v>
      </c>
      <c r="P306">
        <f t="shared" si="964"/>
        <v>-0.15736057500332695</v>
      </c>
      <c r="Q306">
        <f t="shared" si="965"/>
        <v>-588207.2988985735</v>
      </c>
      <c r="R306">
        <f t="shared" si="966"/>
        <v>1410093.2966300794</v>
      </c>
      <c r="S306">
        <f t="shared" si="967"/>
        <v>14.100932966300794</v>
      </c>
      <c r="T306">
        <f t="shared" si="968"/>
        <v>1.4100932966300795E-2</v>
      </c>
    </row>
    <row r="307" spans="1:20" x14ac:dyDescent="0.25">
      <c r="A307" s="5">
        <v>44286</v>
      </c>
      <c r="B307">
        <v>6.3499800000000004</v>
      </c>
      <c r="C307">
        <v>6.43</v>
      </c>
      <c r="D307">
        <v>5.6712999999999996</v>
      </c>
      <c r="E307">
        <v>5.6890400000000003</v>
      </c>
      <c r="F307">
        <v>4609346.5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-0.95323579807565373</v>
      </c>
      <c r="Q307">
        <f t="shared" si="965"/>
        <v>-4393794.0895347213</v>
      </c>
      <c r="R307">
        <f t="shared" si="966"/>
        <v>1998300.5955286529</v>
      </c>
      <c r="S307">
        <f t="shared" si="967"/>
        <v>19.983005955286529</v>
      </c>
      <c r="T307">
        <f t="shared" si="968"/>
        <v>1.9983005955286529E-2</v>
      </c>
    </row>
    <row r="308" spans="1:20" x14ac:dyDescent="0.25">
      <c r="A308" s="5">
        <v>44285</v>
      </c>
      <c r="B308">
        <v>5.6499899999999998</v>
      </c>
      <c r="C308">
        <v>7.8270299999999997</v>
      </c>
      <c r="D308">
        <v>5.5380500000000001</v>
      </c>
      <c r="E308">
        <v>6.34999</v>
      </c>
      <c r="F308">
        <v>20360691.899999999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-0.29056610367936808</v>
      </c>
      <c r="Q308">
        <f t="shared" si="965"/>
        <v>-5916126.9135990692</v>
      </c>
      <c r="R308">
        <f t="shared" si="966"/>
        <v>6392094.6850633742</v>
      </c>
      <c r="S308">
        <f t="shared" si="967"/>
        <v>63.92094685063374</v>
      </c>
      <c r="T308">
        <f t="shared" si="968"/>
        <v>6.3920946850633736E-2</v>
      </c>
    </row>
    <row r="309" spans="1:20" x14ac:dyDescent="0.25">
      <c r="A309" s="5">
        <v>44284</v>
      </c>
      <c r="B309">
        <v>4.9051799999999997</v>
      </c>
      <c r="C309">
        <v>5.7370200000000002</v>
      </c>
      <c r="D309">
        <v>4.6536</v>
      </c>
      <c r="E309">
        <v>5.64344</v>
      </c>
      <c r="F309">
        <v>4460209.4000000004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0.82725074301748136</v>
      </c>
      <c r="Q309">
        <f t="shared" si="965"/>
        <v>3689711.5401635552</v>
      </c>
      <c r="R309">
        <f t="shared" si="966"/>
        <v>12308221.598662443</v>
      </c>
      <c r="S309">
        <f t="shared" si="967"/>
        <v>123.08221598662443</v>
      </c>
      <c r="T309">
        <f t="shared" si="968"/>
        <v>0.12308221598662443</v>
      </c>
    </row>
    <row r="310" spans="1:20" x14ac:dyDescent="0.25">
      <c r="A310" s="5">
        <v>44283</v>
      </c>
      <c r="B310">
        <v>4.3588300000000002</v>
      </c>
      <c r="C310">
        <v>5.2</v>
      </c>
      <c r="D310">
        <v>4.3</v>
      </c>
      <c r="E310">
        <v>4.9051799999999997</v>
      </c>
      <c r="F310">
        <v>5433003.7999999998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0.34484444444444351</v>
      </c>
      <c r="Q310">
        <f t="shared" si="965"/>
        <v>1873541.1770755504</v>
      </c>
      <c r="R310">
        <f t="shared" si="966"/>
        <v>8618510.0584988892</v>
      </c>
      <c r="S310">
        <f t="shared" si="967"/>
        <v>86.185100584988888</v>
      </c>
      <c r="T310">
        <f t="shared" si="968"/>
        <v>8.6185100584988891E-2</v>
      </c>
    </row>
    <row r="311" spans="1:20" x14ac:dyDescent="0.25">
      <c r="A311" s="5">
        <v>44282</v>
      </c>
      <c r="B311">
        <v>4.5211399999999999</v>
      </c>
      <c r="C311">
        <v>4.9478999999999997</v>
      </c>
      <c r="D311">
        <v>4.2839299999999998</v>
      </c>
      <c r="E311">
        <v>4.3617999999999997</v>
      </c>
      <c r="F311">
        <v>3873821.4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-0.76544120969320939</v>
      </c>
      <c r="Q311">
        <f t="shared" si="965"/>
        <v>-2965182.5385514419</v>
      </c>
      <c r="R311">
        <f t="shared" si="966"/>
        <v>6744968.8814233392</v>
      </c>
      <c r="S311">
        <f t="shared" si="967"/>
        <v>67.449688814233397</v>
      </c>
      <c r="T311">
        <f t="shared" si="968"/>
        <v>6.7449688814233397E-2</v>
      </c>
    </row>
    <row r="312" spans="1:20" x14ac:dyDescent="0.25">
      <c r="A312" s="5">
        <v>44281</v>
      </c>
      <c r="B312">
        <v>3.5511300000000001</v>
      </c>
      <c r="C312">
        <v>4.62</v>
      </c>
      <c r="D312">
        <v>3.54989</v>
      </c>
      <c r="E312">
        <v>4.5217200000000002</v>
      </c>
      <c r="F312">
        <v>4785819.5999999996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0.81631794862210438</v>
      </c>
      <c r="Q312">
        <f t="shared" si="965"/>
        <v>3906750.4383474598</v>
      </c>
      <c r="R312">
        <f t="shared" si="966"/>
        <v>9710151.4199747816</v>
      </c>
      <c r="S312">
        <f t="shared" si="967"/>
        <v>97.101514199747811</v>
      </c>
      <c r="T312">
        <f t="shared" si="968"/>
        <v>9.7101514199747815E-2</v>
      </c>
    </row>
    <row r="313" spans="1:20" x14ac:dyDescent="0.25">
      <c r="A313" s="5">
        <v>44280</v>
      </c>
      <c r="B313">
        <v>3.7642699999999998</v>
      </c>
      <c r="C313">
        <v>3.8094100000000002</v>
      </c>
      <c r="D313">
        <v>3.3567</v>
      </c>
      <c r="E313">
        <v>3.55301</v>
      </c>
      <c r="F313">
        <v>3109502.1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-0.13273397981047508</v>
      </c>
      <c r="Q313">
        <f t="shared" si="965"/>
        <v>-412736.58896202984</v>
      </c>
      <c r="R313">
        <f t="shared" si="966"/>
        <v>5803400.9816273227</v>
      </c>
      <c r="S313">
        <f t="shared" si="967"/>
        <v>58.034009816273226</v>
      </c>
      <c r="T313">
        <f t="shared" si="968"/>
        <v>5.8034009816273227E-2</v>
      </c>
    </row>
    <row r="314" spans="1:20" x14ac:dyDescent="0.25">
      <c r="A314" s="5">
        <v>44279</v>
      </c>
      <c r="B314">
        <v>3.8350399999999998</v>
      </c>
      <c r="C314">
        <v>4.3726700000000003</v>
      </c>
      <c r="D314">
        <v>3.6</v>
      </c>
      <c r="E314">
        <v>3.7644099999999998</v>
      </c>
      <c r="F314">
        <v>4604535.4000000004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-0.57443669354316929</v>
      </c>
      <c r="Q314">
        <f t="shared" si="965"/>
        <v>-2645014.0904784747</v>
      </c>
      <c r="R314">
        <f t="shared" si="966"/>
        <v>6216137.5705893524</v>
      </c>
      <c r="S314">
        <f t="shared" si="967"/>
        <v>62.161375705893526</v>
      </c>
      <c r="T314">
        <f t="shared" si="968"/>
        <v>6.2161375705893529E-2</v>
      </c>
    </row>
    <row r="315" spans="1:20" x14ac:dyDescent="0.25">
      <c r="A315" s="5">
        <v>44278</v>
      </c>
      <c r="B315">
        <v>3.99004</v>
      </c>
      <c r="C315">
        <v>4.2709900000000003</v>
      </c>
      <c r="D315">
        <v>3.75</v>
      </c>
      <c r="E315">
        <v>3.8460200000000002</v>
      </c>
      <c r="F315">
        <v>2941946.9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-0.63139407666173952</v>
      </c>
      <c r="Q315">
        <f t="shared" si="965"/>
        <v>-1857527.8465133668</v>
      </c>
      <c r="R315">
        <f t="shared" si="966"/>
        <v>8861151.6610678267</v>
      </c>
      <c r="S315">
        <f t="shared" si="967"/>
        <v>88.611516610678265</v>
      </c>
      <c r="T315">
        <f t="shared" si="968"/>
        <v>8.8611516610678259E-2</v>
      </c>
    </row>
    <row r="316" spans="1:20" x14ac:dyDescent="0.25">
      <c r="A316" s="5">
        <v>44277</v>
      </c>
      <c r="B316">
        <v>4.6037100000000004</v>
      </c>
      <c r="C316">
        <v>4.6932400000000003</v>
      </c>
      <c r="D316">
        <v>3.96001</v>
      </c>
      <c r="E316">
        <v>3.99004</v>
      </c>
      <c r="F316">
        <v>2432921.2000000002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-0.91808845791907046</v>
      </c>
      <c r="Q316">
        <f t="shared" si="965"/>
        <v>-2233636.8727466147</v>
      </c>
      <c r="R316">
        <f t="shared" si="966"/>
        <v>10718679.507581193</v>
      </c>
      <c r="S316">
        <f t="shared" si="967"/>
        <v>107.18679507581193</v>
      </c>
      <c r="T316">
        <f t="shared" si="968"/>
        <v>0.10718679507581193</v>
      </c>
    </row>
    <row r="317" spans="1:20" x14ac:dyDescent="0.25">
      <c r="A317" s="5">
        <v>44276</v>
      </c>
      <c r="B317">
        <v>4.5289999999999999</v>
      </c>
      <c r="C317">
        <v>4.7153900000000002</v>
      </c>
      <c r="D317">
        <v>4.3354200000000001</v>
      </c>
      <c r="E317">
        <v>4.6043399999999997</v>
      </c>
      <c r="F317">
        <v>2791014.9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0.41548016948706218</v>
      </c>
      <c r="Q317">
        <f t="shared" si="965"/>
        <v>1159611.3436929157</v>
      </c>
      <c r="R317">
        <f t="shared" si="966"/>
        <v>12952316.380327808</v>
      </c>
      <c r="S317">
        <f t="shared" si="967"/>
        <v>129.52316380327807</v>
      </c>
      <c r="T317">
        <f t="shared" si="968"/>
        <v>0.12952316380327808</v>
      </c>
    </row>
    <row r="318" spans="1:20" x14ac:dyDescent="0.25">
      <c r="A318" s="5">
        <v>44275</v>
      </c>
      <c r="B318">
        <v>5.0385600000000004</v>
      </c>
      <c r="C318">
        <v>5.1008800000000001</v>
      </c>
      <c r="D318">
        <v>4.4551999999999996</v>
      </c>
      <c r="E318">
        <v>4.5289999999999999</v>
      </c>
      <c r="F318">
        <v>2599989.5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-0.77140379135175241</v>
      </c>
      <c r="Q318">
        <f t="shared" si="965"/>
        <v>-2005641.757774747</v>
      </c>
      <c r="R318">
        <f t="shared" si="966"/>
        <v>11792705.036634892</v>
      </c>
      <c r="S318">
        <f t="shared" si="967"/>
        <v>117.92705036634892</v>
      </c>
      <c r="T318">
        <f t="shared" si="968"/>
        <v>0.11792705036634893</v>
      </c>
    </row>
    <row r="319" spans="1:20" x14ac:dyDescent="0.25">
      <c r="A319" s="5">
        <v>44274</v>
      </c>
      <c r="B319">
        <v>5.0382400000000001</v>
      </c>
      <c r="C319">
        <v>5.4349999999999996</v>
      </c>
      <c r="D319">
        <v>4.8019400000000001</v>
      </c>
      <c r="E319">
        <v>5.0434400000000004</v>
      </c>
      <c r="F319">
        <v>3086828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-0.23703914320917305</v>
      </c>
      <c r="Q319">
        <f t="shared" si="965"/>
        <v>-731699.06435408525</v>
      </c>
      <c r="R319">
        <f t="shared" si="966"/>
        <v>13798346.79440964</v>
      </c>
      <c r="S319">
        <f t="shared" si="967"/>
        <v>137.98346794409639</v>
      </c>
      <c r="T319">
        <f t="shared" si="968"/>
        <v>0.13798346794409638</v>
      </c>
    </row>
    <row r="320" spans="1:20" x14ac:dyDescent="0.25">
      <c r="A320" s="5">
        <v>44273</v>
      </c>
      <c r="B320">
        <v>4.9556300000000002</v>
      </c>
      <c r="C320">
        <v>5.4134599999999997</v>
      </c>
      <c r="D320">
        <v>4.7500999999999998</v>
      </c>
      <c r="E320">
        <v>5.0382400000000001</v>
      </c>
      <c r="F320">
        <v>5381713.5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-0.13127110467920794</v>
      </c>
      <c r="Q320">
        <f t="shared" si="965"/>
        <v>-706463.47621200653</v>
      </c>
      <c r="R320">
        <f t="shared" si="966"/>
        <v>14530045.858763725</v>
      </c>
      <c r="S320">
        <f t="shared" si="967"/>
        <v>145.30045858763725</v>
      </c>
      <c r="T320">
        <f t="shared" si="968"/>
        <v>0.14530045858763724</v>
      </c>
    </row>
    <row r="321" spans="1:20" x14ac:dyDescent="0.25">
      <c r="A321" s="5">
        <v>44272</v>
      </c>
      <c r="B321">
        <v>5.4887899999999998</v>
      </c>
      <c r="C321">
        <v>5.5200800000000001</v>
      </c>
      <c r="D321">
        <v>4.8</v>
      </c>
      <c r="E321">
        <v>4.95052</v>
      </c>
      <c r="F321">
        <v>3876944.7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-0.58193534051771978</v>
      </c>
      <c r="Q321">
        <f t="shared" si="965"/>
        <v>-2256131.1341628688</v>
      </c>
      <c r="R321">
        <f t="shared" si="966"/>
        <v>15236509.334975731</v>
      </c>
      <c r="S321">
        <f t="shared" si="967"/>
        <v>152.3650933497573</v>
      </c>
      <c r="T321">
        <f t="shared" si="968"/>
        <v>0.15236509334975731</v>
      </c>
    </row>
    <row r="322" spans="1:20" x14ac:dyDescent="0.25">
      <c r="A322" s="5">
        <v>44271</v>
      </c>
      <c r="B322">
        <v>5.5937000000000001</v>
      </c>
      <c r="C322">
        <v>6</v>
      </c>
      <c r="D322">
        <v>5.18</v>
      </c>
      <c r="E322">
        <v>5.4923000000000002</v>
      </c>
      <c r="F322">
        <v>5179675.9000000004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-0.2382926829268284</v>
      </c>
      <c r="Q322">
        <f t="shared" si="965"/>
        <v>-1234278.8669024345</v>
      </c>
      <c r="R322">
        <f t="shared" si="966"/>
        <v>17492640.4691386</v>
      </c>
      <c r="S322">
        <f t="shared" si="967"/>
        <v>174.92640469138601</v>
      </c>
      <c r="T322">
        <f t="shared" si="968"/>
        <v>0.17492640469138601</v>
      </c>
    </row>
    <row r="323" spans="1:20" x14ac:dyDescent="0.25">
      <c r="A323" s="5">
        <v>44270</v>
      </c>
      <c r="B323">
        <v>5.8281799999999997</v>
      </c>
      <c r="C323">
        <v>6.5</v>
      </c>
      <c r="D323">
        <v>5.3467200000000004</v>
      </c>
      <c r="E323">
        <v>5.59518</v>
      </c>
      <c r="F323">
        <v>6882545.4000000004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-0.5691245837957829</v>
      </c>
      <c r="Q323">
        <f t="shared" si="965"/>
        <v>-3917025.7862305804</v>
      </c>
      <c r="R323">
        <f t="shared" si="966"/>
        <v>18726919.336041033</v>
      </c>
      <c r="S323">
        <f t="shared" si="967"/>
        <v>187.26919336041033</v>
      </c>
      <c r="T323">
        <f t="shared" si="968"/>
        <v>0.18726919336041031</v>
      </c>
    </row>
    <row r="324" spans="1:20" x14ac:dyDescent="0.25">
      <c r="A324" s="5">
        <v>44269</v>
      </c>
      <c r="B324">
        <v>5.1570499999999999</v>
      </c>
      <c r="C324">
        <v>6.36</v>
      </c>
      <c r="D324">
        <v>4.76</v>
      </c>
      <c r="E324">
        <v>5.8392400000000002</v>
      </c>
      <c r="F324">
        <v>8609198.9000000004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0.34905000000000008</v>
      </c>
      <c r="Q324">
        <f t="shared" si="965"/>
        <v>3005040.8760450007</v>
      </c>
      <c r="R324">
        <f t="shared" si="966"/>
        <v>22643945.122271612</v>
      </c>
      <c r="S324">
        <f t="shared" si="967"/>
        <v>226.43945122271612</v>
      </c>
      <c r="T324">
        <f t="shared" si="968"/>
        <v>0.22643945122271611</v>
      </c>
    </row>
    <row r="325" spans="1:20" x14ac:dyDescent="0.25">
      <c r="A325" s="5">
        <v>44268</v>
      </c>
      <c r="B325">
        <v>4.99831</v>
      </c>
      <c r="C325">
        <v>5.4</v>
      </c>
      <c r="D325">
        <v>4.6787700000000001</v>
      </c>
      <c r="E325">
        <v>5.1591699999999996</v>
      </c>
      <c r="F325">
        <v>7809042.7999999998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0.33216865632322373</v>
      </c>
      <c r="Q325">
        <f t="shared" si="965"/>
        <v>2593919.2540465449</v>
      </c>
      <c r="R325">
        <f t="shared" si="966"/>
        <v>19638904.246226612</v>
      </c>
      <c r="S325">
        <f t="shared" si="967"/>
        <v>196.38904246226613</v>
      </c>
      <c r="T325">
        <f t="shared" si="968"/>
        <v>0.19638904246226613</v>
      </c>
    </row>
    <row r="326" spans="1:20" x14ac:dyDescent="0.25">
      <c r="A326" s="5">
        <v>44267</v>
      </c>
      <c r="B326">
        <v>4.6423199999999998</v>
      </c>
      <c r="C326">
        <v>5.6886900000000002</v>
      </c>
      <c r="D326">
        <v>4.5118400000000003</v>
      </c>
      <c r="E326">
        <v>4.99831</v>
      </c>
      <c r="F326">
        <v>11736008.199999999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-0.17326762119216593</v>
      </c>
      <c r="Q326">
        <f t="shared" ref="Q326:Q389" si="970">F326*P326</f>
        <v>-2033470.2231057531</v>
      </c>
      <c r="R326">
        <f t="shared" ref="R326:R389" si="971">R327+Q326</f>
        <v>17044984.992180068</v>
      </c>
      <c r="S326">
        <f t="shared" ref="S326:S389" si="972">R326/100000</f>
        <v>170.44984992180068</v>
      </c>
      <c r="T326">
        <f t="shared" ref="T326:T389" si="973">S326/1000</f>
        <v>0.17044984992180068</v>
      </c>
    </row>
    <row r="327" spans="1:20" x14ac:dyDescent="0.25">
      <c r="A327" s="5">
        <v>44266</v>
      </c>
      <c r="B327">
        <v>3.8629799999999999</v>
      </c>
      <c r="C327">
        <v>4.8324999999999996</v>
      </c>
      <c r="D327">
        <v>3.6107900000000002</v>
      </c>
      <c r="E327">
        <v>4.6423199999999998</v>
      </c>
      <c r="F327">
        <v>8203570.7999999998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0.68866588633963888</v>
      </c>
      <c r="Q327">
        <f t="shared" si="970"/>
        <v>5649519.3561319802</v>
      </c>
      <c r="R327">
        <f t="shared" si="971"/>
        <v>19078455.215285823</v>
      </c>
      <c r="S327">
        <f t="shared" si="972"/>
        <v>190.78455215285823</v>
      </c>
      <c r="T327">
        <f t="shared" si="973"/>
        <v>0.19078455215285822</v>
      </c>
    </row>
    <row r="328" spans="1:20" x14ac:dyDescent="0.25">
      <c r="A328" s="5">
        <v>44265</v>
      </c>
      <c r="B328">
        <v>3.42</v>
      </c>
      <c r="C328">
        <v>4.38</v>
      </c>
      <c r="D328">
        <v>3.1675200000000001</v>
      </c>
      <c r="E328">
        <v>3.8477399999999999</v>
      </c>
      <c r="F328">
        <v>8800596.1999999993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0.1220308788598574</v>
      </c>
      <c r="Q328">
        <f t="shared" si="970"/>
        <v>1073944.4887767213</v>
      </c>
      <c r="R328">
        <f t="shared" si="971"/>
        <v>13428935.859153843</v>
      </c>
      <c r="S328">
        <f t="shared" si="972"/>
        <v>134.28935859153842</v>
      </c>
      <c r="T328">
        <f t="shared" si="973"/>
        <v>0.13428935859153843</v>
      </c>
    </row>
    <row r="329" spans="1:20" x14ac:dyDescent="0.25">
      <c r="A329" s="5">
        <v>44264</v>
      </c>
      <c r="B329">
        <v>3.67787</v>
      </c>
      <c r="C329">
        <v>4.0334500000000002</v>
      </c>
      <c r="D329">
        <v>3.3112699999999999</v>
      </c>
      <c r="E329">
        <v>3.42</v>
      </c>
      <c r="F329">
        <v>8687436.1999999993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-0.69888393475310873</v>
      </c>
      <c r="Q329">
        <f t="shared" si="970"/>
        <v>-6071509.5943725947</v>
      </c>
      <c r="R329">
        <f t="shared" si="971"/>
        <v>12354991.370377121</v>
      </c>
      <c r="S329">
        <f t="shared" si="972"/>
        <v>123.54991370377121</v>
      </c>
      <c r="T329">
        <f t="shared" si="973"/>
        <v>0.12354991370377121</v>
      </c>
    </row>
    <row r="330" spans="1:20" x14ac:dyDescent="0.25">
      <c r="A330" s="5">
        <v>44263</v>
      </c>
      <c r="B330">
        <v>2.6865600000000001</v>
      </c>
      <c r="C330">
        <v>3.71</v>
      </c>
      <c r="D330">
        <v>2.68512</v>
      </c>
      <c r="E330">
        <v>3.67788</v>
      </c>
      <c r="F330">
        <v>9433988.5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0.93731949106236845</v>
      </c>
      <c r="Q330">
        <f t="shared" si="970"/>
        <v>8842661.2995082363</v>
      </c>
      <c r="R330">
        <f t="shared" si="971"/>
        <v>18426500.964749716</v>
      </c>
      <c r="S330">
        <f t="shared" si="972"/>
        <v>184.26500964749715</v>
      </c>
      <c r="T330">
        <f t="shared" si="973"/>
        <v>0.18426500964749715</v>
      </c>
    </row>
    <row r="331" spans="1:20" x14ac:dyDescent="0.25">
      <c r="A331" s="5">
        <v>44262</v>
      </c>
      <c r="B331">
        <v>2.5446900000000001</v>
      </c>
      <c r="C331">
        <v>2.8</v>
      </c>
      <c r="D331">
        <v>2.5299999999999998</v>
      </c>
      <c r="E331">
        <v>2.6850700000000001</v>
      </c>
      <c r="F331">
        <v>3797509.5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0.14866666666666853</v>
      </c>
      <c r="Q331">
        <f t="shared" si="970"/>
        <v>564563.07900000713</v>
      </c>
      <c r="R331">
        <f t="shared" si="971"/>
        <v>9583839.665241478</v>
      </c>
      <c r="S331">
        <f t="shared" si="972"/>
        <v>95.838396652414787</v>
      </c>
      <c r="T331">
        <f t="shared" si="973"/>
        <v>9.5838396652414781E-2</v>
      </c>
    </row>
    <row r="332" spans="1:20" x14ac:dyDescent="0.25">
      <c r="A332" s="5">
        <v>44261</v>
      </c>
      <c r="B332">
        <v>2.40435</v>
      </c>
      <c r="C332">
        <v>2.6299899999999998</v>
      </c>
      <c r="D332">
        <v>2.3508100000000001</v>
      </c>
      <c r="E332">
        <v>2.5447099999999998</v>
      </c>
      <c r="F332">
        <v>4087674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0.38906798481266497</v>
      </c>
      <c r="Q332">
        <f t="shared" si="970"/>
        <v>1590383.0857511254</v>
      </c>
      <c r="R332">
        <f t="shared" si="971"/>
        <v>9019276.5862414706</v>
      </c>
      <c r="S332">
        <f t="shared" si="972"/>
        <v>90.192765862414703</v>
      </c>
      <c r="T332">
        <f t="shared" si="973"/>
        <v>9.0192765862414703E-2</v>
      </c>
    </row>
    <row r="333" spans="1:20" x14ac:dyDescent="0.25">
      <c r="A333" s="5">
        <v>44260</v>
      </c>
      <c r="B333">
        <v>2.8266200000000001</v>
      </c>
      <c r="C333">
        <v>2.8266200000000001</v>
      </c>
      <c r="D333">
        <v>2.35</v>
      </c>
      <c r="E333">
        <v>2.4061300000000001</v>
      </c>
      <c r="F333">
        <v>7356357.5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-0.76446645126096258</v>
      </c>
      <c r="Q333">
        <f t="shared" si="970"/>
        <v>-5623688.5122319665</v>
      </c>
      <c r="R333">
        <f t="shared" si="971"/>
        <v>7428893.5004903451</v>
      </c>
      <c r="S333">
        <f t="shared" si="972"/>
        <v>74.28893500490345</v>
      </c>
      <c r="T333">
        <f t="shared" si="973"/>
        <v>7.4288935004903453E-2</v>
      </c>
    </row>
    <row r="334" spans="1:20" x14ac:dyDescent="0.25">
      <c r="A334" s="5">
        <v>44259</v>
      </c>
      <c r="B334">
        <v>2.1980300000000002</v>
      </c>
      <c r="C334">
        <v>3.1</v>
      </c>
      <c r="D334">
        <v>2.1400100000000002</v>
      </c>
      <c r="E334">
        <v>2.8266399999999998</v>
      </c>
      <c r="F334">
        <v>22431592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0.43049406764653736</v>
      </c>
      <c r="Q334">
        <f t="shared" si="970"/>
        <v>9656667.2838675268</v>
      </c>
      <c r="R334">
        <f t="shared" si="971"/>
        <v>13052582.012722312</v>
      </c>
      <c r="S334">
        <f t="shared" si="972"/>
        <v>130.52582012722311</v>
      </c>
      <c r="T334">
        <f t="shared" si="973"/>
        <v>0.13052582012722311</v>
      </c>
    </row>
    <row r="335" spans="1:20" x14ac:dyDescent="0.25">
      <c r="A335" s="5">
        <v>44258</v>
      </c>
      <c r="B335">
        <v>1.6784699999999999</v>
      </c>
      <c r="C335">
        <v>2.2315299999999998</v>
      </c>
      <c r="D335">
        <v>1.6568499999999999</v>
      </c>
      <c r="E335">
        <v>2.1999900000000001</v>
      </c>
      <c r="F335">
        <v>5502819.7999999998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0.89023456532331147</v>
      </c>
      <c r="Q335">
        <f t="shared" si="970"/>
        <v>4898800.3927055113</v>
      </c>
      <c r="R335">
        <f t="shared" si="971"/>
        <v>3395914.7288547847</v>
      </c>
      <c r="S335">
        <f t="shared" si="972"/>
        <v>33.959147288547847</v>
      </c>
      <c r="T335">
        <f t="shared" si="973"/>
        <v>3.3959147288547847E-2</v>
      </c>
    </row>
    <row r="336" spans="1:20" x14ac:dyDescent="0.25">
      <c r="A336" s="5">
        <v>44257</v>
      </c>
      <c r="B336">
        <v>1.6577</v>
      </c>
      <c r="C336">
        <v>1.85</v>
      </c>
      <c r="D336">
        <v>1.5620000000000001</v>
      </c>
      <c r="E336">
        <v>1.68292</v>
      </c>
      <c r="F336">
        <v>3973999.7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-0.16027777777777846</v>
      </c>
      <c r="Q336">
        <f t="shared" si="970"/>
        <v>-636943.84080555825</v>
      </c>
      <c r="R336">
        <f t="shared" si="971"/>
        <v>-1502885.6638507263</v>
      </c>
      <c r="S336">
        <f t="shared" si="972"/>
        <v>-15.028856638507262</v>
      </c>
      <c r="T336">
        <f t="shared" si="973"/>
        <v>-1.5028856638507263E-2</v>
      </c>
    </row>
    <row r="337" spans="1:20" x14ac:dyDescent="0.25">
      <c r="A337" s="5">
        <v>44256</v>
      </c>
      <c r="B337">
        <v>1.3955500000000001</v>
      </c>
      <c r="C337">
        <v>1.6579900000000001</v>
      </c>
      <c r="D337">
        <v>1.3902000000000001</v>
      </c>
      <c r="E337">
        <v>1.6579900000000001</v>
      </c>
      <c r="F337">
        <v>3133993.4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1</v>
      </c>
      <c r="Q337">
        <f t="shared" si="970"/>
        <v>3133993.4</v>
      </c>
      <c r="R337">
        <f t="shared" si="971"/>
        <v>-865941.82304516807</v>
      </c>
      <c r="S337">
        <f t="shared" si="972"/>
        <v>-8.6594182304516814</v>
      </c>
      <c r="T337">
        <f t="shared" si="973"/>
        <v>-8.6594182304516806E-3</v>
      </c>
    </row>
    <row r="338" spans="1:20" x14ac:dyDescent="0.25">
      <c r="A338" s="5">
        <v>44255</v>
      </c>
      <c r="B338">
        <v>1.5851900000000001</v>
      </c>
      <c r="C338">
        <v>1.5851900000000001</v>
      </c>
      <c r="D338">
        <v>1.30392</v>
      </c>
      <c r="E338">
        <v>1.3999900000000001</v>
      </c>
      <c r="F338">
        <v>2194485.7000000002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-0.31688413268389765</v>
      </c>
      <c r="Q338">
        <f t="shared" si="970"/>
        <v>-695397.69773171609</v>
      </c>
      <c r="R338">
        <f t="shared" si="971"/>
        <v>-3999935.223045168</v>
      </c>
      <c r="S338">
        <f t="shared" si="972"/>
        <v>-39.999352230451677</v>
      </c>
      <c r="T338">
        <f t="shared" si="973"/>
        <v>-3.999935223045168E-2</v>
      </c>
    </row>
    <row r="339" spans="1:20" x14ac:dyDescent="0.25">
      <c r="A339" s="5">
        <v>44254</v>
      </c>
      <c r="B339">
        <v>1.5</v>
      </c>
      <c r="C339">
        <v>1.7441899999999999</v>
      </c>
      <c r="D339">
        <v>1.4875700000000001</v>
      </c>
      <c r="E339">
        <v>1.5871999999999999</v>
      </c>
      <c r="F339">
        <v>3083769.6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-0.2235211596913729</v>
      </c>
      <c r="Q339">
        <f t="shared" si="970"/>
        <v>-689287.75721300114</v>
      </c>
      <c r="R339">
        <f t="shared" si="971"/>
        <v>-3304537.5253134519</v>
      </c>
      <c r="S339">
        <f t="shared" si="972"/>
        <v>-33.045375253134516</v>
      </c>
      <c r="T339">
        <f t="shared" si="973"/>
        <v>-3.3045375253134515E-2</v>
      </c>
    </row>
    <row r="340" spans="1:20" x14ac:dyDescent="0.25">
      <c r="A340" s="5">
        <v>44253</v>
      </c>
      <c r="B340">
        <v>1.42194</v>
      </c>
      <c r="C340">
        <v>1.6</v>
      </c>
      <c r="D340">
        <v>1.27565</v>
      </c>
      <c r="E340">
        <v>1.49986</v>
      </c>
      <c r="F340">
        <v>3124782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0.38251888392168909</v>
      </c>
      <c r="Q340">
        <f t="shared" si="970"/>
        <v>1195288.1231385835</v>
      </c>
      <c r="R340">
        <f t="shared" si="971"/>
        <v>-2615249.7681004507</v>
      </c>
      <c r="S340">
        <f t="shared" si="972"/>
        <v>-26.152497681004508</v>
      </c>
      <c r="T340">
        <f t="shared" si="973"/>
        <v>-2.6152497681004507E-2</v>
      </c>
    </row>
    <row r="341" spans="1:20" x14ac:dyDescent="0.25">
      <c r="A341" s="5">
        <v>44252</v>
      </c>
      <c r="B341">
        <v>1.3603400000000001</v>
      </c>
      <c r="C341">
        <v>1.6499900000000001</v>
      </c>
      <c r="D341">
        <v>1.32637</v>
      </c>
      <c r="E341">
        <v>1.42326</v>
      </c>
      <c r="F341">
        <v>3577837.8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-0.40121129720042076</v>
      </c>
      <c r="Q341">
        <f t="shared" si="970"/>
        <v>-1435468.9449106995</v>
      </c>
      <c r="R341">
        <f t="shared" si="971"/>
        <v>-3810537.8912390345</v>
      </c>
      <c r="S341">
        <f t="shared" si="972"/>
        <v>-38.105378912390343</v>
      </c>
      <c r="T341">
        <f t="shared" si="973"/>
        <v>-3.8105378912390346E-2</v>
      </c>
    </row>
    <row r="342" spans="1:20" x14ac:dyDescent="0.25">
      <c r="A342" s="5">
        <v>44251</v>
      </c>
      <c r="B342">
        <v>1.35025</v>
      </c>
      <c r="C342">
        <v>1.5558799999999999</v>
      </c>
      <c r="D342">
        <v>1.2798099999999999</v>
      </c>
      <c r="E342">
        <v>1.3602000000000001</v>
      </c>
      <c r="F342">
        <v>4005782.8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-0.41761147535045334</v>
      </c>
      <c r="Q342">
        <f t="shared" si="970"/>
        <v>-1672860.8650414699</v>
      </c>
      <c r="R342">
        <f t="shared" si="971"/>
        <v>-2375068.946328335</v>
      </c>
      <c r="S342">
        <f t="shared" si="972"/>
        <v>-23.750689463283351</v>
      </c>
      <c r="T342">
        <f t="shared" si="973"/>
        <v>-2.3750689463283351E-2</v>
      </c>
    </row>
    <row r="343" spans="1:20" x14ac:dyDescent="0.25">
      <c r="A343" s="5">
        <v>44250</v>
      </c>
      <c r="B343">
        <v>1.6576</v>
      </c>
      <c r="C343">
        <v>1.6685399999999999</v>
      </c>
      <c r="D343">
        <v>1.0833699999999999</v>
      </c>
      <c r="E343">
        <v>1.34897</v>
      </c>
      <c r="F343">
        <v>7042214.7999999998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-9.2229608489840312E-2</v>
      </c>
      <c r="Q343">
        <f t="shared" si="970"/>
        <v>-649500.71390535904</v>
      </c>
      <c r="R343">
        <f t="shared" si="971"/>
        <v>-702208.08128686517</v>
      </c>
      <c r="S343">
        <f t="shared" si="972"/>
        <v>-7.0220808128686514</v>
      </c>
      <c r="T343">
        <f t="shared" si="973"/>
        <v>-7.0220808128686517E-3</v>
      </c>
    </row>
    <row r="344" spans="1:20" x14ac:dyDescent="0.25">
      <c r="A344" s="5">
        <v>44249</v>
      </c>
      <c r="B344">
        <v>1.83558</v>
      </c>
      <c r="C344">
        <v>1.8933500000000001</v>
      </c>
      <c r="D344">
        <v>1.2810999999999999</v>
      </c>
      <c r="E344">
        <v>1.6575899999999999</v>
      </c>
      <c r="F344">
        <v>12065309.6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0.22985708452429524</v>
      </c>
      <c r="Q344">
        <f t="shared" si="970"/>
        <v>2773296.8885389906</v>
      </c>
      <c r="R344">
        <f t="shared" si="971"/>
        <v>-52707.367381506134</v>
      </c>
      <c r="S344">
        <f t="shared" si="972"/>
        <v>-0.52707367381506132</v>
      </c>
      <c r="T344">
        <f t="shared" si="973"/>
        <v>-5.2707367381506134E-4</v>
      </c>
    </row>
    <row r="345" spans="1:20" x14ac:dyDescent="0.25">
      <c r="A345" s="5">
        <v>44248</v>
      </c>
      <c r="B345">
        <v>1.77711</v>
      </c>
      <c r="C345">
        <v>1.99</v>
      </c>
      <c r="D345">
        <v>1.7019</v>
      </c>
      <c r="E345">
        <v>1.83545</v>
      </c>
      <c r="F345">
        <v>3397593.2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-7.2891357167649801E-2</v>
      </c>
      <c r="Q345">
        <f t="shared" si="970"/>
        <v>-247655.17945157824</v>
      </c>
      <c r="R345">
        <f t="shared" si="971"/>
        <v>-2826004.2559204968</v>
      </c>
      <c r="S345">
        <f t="shared" si="972"/>
        <v>-28.260042559204969</v>
      </c>
      <c r="T345">
        <f t="shared" si="973"/>
        <v>-2.826004255920497E-2</v>
      </c>
    </row>
    <row r="346" spans="1:20" x14ac:dyDescent="0.25">
      <c r="A346" s="5">
        <v>44247</v>
      </c>
      <c r="B346">
        <v>1.97587</v>
      </c>
      <c r="C346">
        <v>2.15</v>
      </c>
      <c r="D346">
        <v>1.6461300000000001</v>
      </c>
      <c r="E346">
        <v>1.7825200000000001</v>
      </c>
      <c r="F346">
        <v>4731166.0999999996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-0.45863020223470313</v>
      </c>
      <c r="Q346">
        <f t="shared" si="970"/>
        <v>-2169855.6652489714</v>
      </c>
      <c r="R346">
        <f t="shared" si="971"/>
        <v>-2578349.0764689185</v>
      </c>
      <c r="S346">
        <f t="shared" si="972"/>
        <v>-25.783490764689184</v>
      </c>
      <c r="T346">
        <f t="shared" si="973"/>
        <v>-2.5783490764689183E-2</v>
      </c>
    </row>
    <row r="347" spans="1:20" x14ac:dyDescent="0.25">
      <c r="A347" s="5">
        <v>44246</v>
      </c>
      <c r="B347">
        <v>2.13245</v>
      </c>
      <c r="C347">
        <v>2.19</v>
      </c>
      <c r="D347">
        <v>1.9319999999999999</v>
      </c>
      <c r="E347">
        <v>1.97759</v>
      </c>
      <c r="F347">
        <v>2886162.8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-0.6465891472868216</v>
      </c>
      <c r="Q347">
        <f t="shared" si="970"/>
        <v>-1866161.5437829453</v>
      </c>
      <c r="R347">
        <f t="shared" si="971"/>
        <v>-408493.41121994727</v>
      </c>
      <c r="S347">
        <f t="shared" si="972"/>
        <v>-4.0849341121994724</v>
      </c>
      <c r="T347">
        <f t="shared" si="973"/>
        <v>-4.0849341121994721E-3</v>
      </c>
    </row>
    <row r="348" spans="1:20" x14ac:dyDescent="0.25">
      <c r="A348" s="5">
        <v>44245</v>
      </c>
      <c r="B348">
        <v>1.8890899999999999</v>
      </c>
      <c r="C348">
        <v>2.21</v>
      </c>
      <c r="D348">
        <v>1.88897</v>
      </c>
      <c r="E348">
        <v>2.1287400000000001</v>
      </c>
      <c r="F348">
        <v>3053134.8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0.49375447777466341</v>
      </c>
      <c r="Q348">
        <f t="shared" si="970"/>
        <v>1507498.9787496512</v>
      </c>
      <c r="R348">
        <f t="shared" si="971"/>
        <v>1457668.132562998</v>
      </c>
      <c r="S348">
        <f t="shared" si="972"/>
        <v>14.576681325629981</v>
      </c>
      <c r="T348">
        <f t="shared" si="973"/>
        <v>1.4576681325629981E-2</v>
      </c>
    </row>
    <row r="349" spans="1:20" x14ac:dyDescent="0.25">
      <c r="A349" s="5">
        <v>44244</v>
      </c>
      <c r="B349">
        <v>1.9670300000000001</v>
      </c>
      <c r="C349">
        <v>2.0083899999999999</v>
      </c>
      <c r="D349">
        <v>1.78</v>
      </c>
      <c r="E349">
        <v>1.8891199999999999</v>
      </c>
      <c r="F349">
        <v>3631188.3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-4.4441525460835019E-2</v>
      </c>
      <c r="Q349">
        <f t="shared" si="970"/>
        <v>-161375.54728753623</v>
      </c>
      <c r="R349">
        <f t="shared" si="971"/>
        <v>-49830.846186653158</v>
      </c>
      <c r="S349">
        <f t="shared" si="972"/>
        <v>-0.4983084618665316</v>
      </c>
      <c r="T349">
        <f t="shared" si="973"/>
        <v>-4.9830846186653161E-4</v>
      </c>
    </row>
    <row r="350" spans="1:20" x14ac:dyDescent="0.25">
      <c r="A350" s="5">
        <v>44243</v>
      </c>
      <c r="B350">
        <v>2.0513599999999999</v>
      </c>
      <c r="C350">
        <v>2.2599999999999998</v>
      </c>
      <c r="D350">
        <v>1.88401</v>
      </c>
      <c r="E350">
        <v>1.96357</v>
      </c>
      <c r="F350">
        <v>4093958</v>
      </c>
      <c r="G350">
        <v>0</v>
      </c>
      <c r="L350" t="s">
        <v>7</v>
      </c>
      <c r="M350" t="s">
        <v>8</v>
      </c>
      <c r="N350" t="s">
        <v>8</v>
      </c>
      <c r="P350">
        <f t="shared" si="969"/>
        <v>-0.57679725524614955</v>
      </c>
      <c r="Q350">
        <f t="shared" si="970"/>
        <v>-2361383.7374930158</v>
      </c>
      <c r="R350">
        <f t="shared" si="971"/>
        <v>111544.70110088307</v>
      </c>
      <c r="S350">
        <f t="shared" si="972"/>
        <v>1.1154470110088308</v>
      </c>
      <c r="T350">
        <f t="shared" si="973"/>
        <v>1.1154470110088309E-3</v>
      </c>
    </row>
    <row r="351" spans="1:20" x14ac:dyDescent="0.25">
      <c r="A351" s="5">
        <v>44242</v>
      </c>
      <c r="B351">
        <v>2.1602199999999998</v>
      </c>
      <c r="C351">
        <v>2.37</v>
      </c>
      <c r="D351">
        <v>1.6933199999999999</v>
      </c>
      <c r="E351">
        <v>2.0462600000000002</v>
      </c>
      <c r="F351">
        <v>8205198.4000000004</v>
      </c>
      <c r="G351">
        <v>0</v>
      </c>
      <c r="L351" t="s">
        <v>8</v>
      </c>
      <c r="M351" t="s">
        <v>7</v>
      </c>
      <c r="N351" t="s">
        <v>8</v>
      </c>
      <c r="P351">
        <f t="shared" si="969"/>
        <v>4.3151859076668929E-2</v>
      </c>
      <c r="Q351">
        <f t="shared" si="970"/>
        <v>354069.56505290937</v>
      </c>
      <c r="R351">
        <f t="shared" si="971"/>
        <v>2472928.4385938989</v>
      </c>
      <c r="S351">
        <f t="shared" si="972"/>
        <v>24.729284385938989</v>
      </c>
      <c r="T351">
        <f t="shared" si="973"/>
        <v>2.472928438593899E-2</v>
      </c>
    </row>
    <row r="352" spans="1:20" x14ac:dyDescent="0.25">
      <c r="A352" s="5">
        <v>44241</v>
      </c>
      <c r="B352">
        <v>1.9678800000000001</v>
      </c>
      <c r="C352">
        <v>2.3373499999999998</v>
      </c>
      <c r="D352">
        <v>1.74</v>
      </c>
      <c r="E352">
        <v>2.1532499999999999</v>
      </c>
      <c r="F352">
        <v>7787885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0.38361094835523568</v>
      </c>
      <c r="Q352">
        <f t="shared" si="970"/>
        <v>2987517.9505315148</v>
      </c>
      <c r="R352">
        <f t="shared" si="971"/>
        <v>2118858.8735409896</v>
      </c>
      <c r="S352">
        <f t="shared" si="972"/>
        <v>21.188588735409898</v>
      </c>
      <c r="T352">
        <f t="shared" si="973"/>
        <v>2.1188588735409897E-2</v>
      </c>
    </row>
    <row r="353" spans="1:20" x14ac:dyDescent="0.25">
      <c r="A353" s="5">
        <v>44240</v>
      </c>
      <c r="B353">
        <v>1.8031600000000001</v>
      </c>
      <c r="C353">
        <v>2.09998</v>
      </c>
      <c r="D353">
        <v>1.571</v>
      </c>
      <c r="E353">
        <v>1.9678800000000001</v>
      </c>
      <c r="F353">
        <v>7172052.4000000004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0.50054822488562944</v>
      </c>
      <c r="Q353">
        <f t="shared" si="970"/>
        <v>3589958.0976067185</v>
      </c>
      <c r="R353">
        <f t="shared" si="971"/>
        <v>-868659.07699052524</v>
      </c>
      <c r="S353">
        <f t="shared" si="972"/>
        <v>-8.6865907699052531</v>
      </c>
      <c r="T353">
        <f t="shared" si="973"/>
        <v>-8.6865907699052534E-3</v>
      </c>
    </row>
    <row r="354" spans="1:20" x14ac:dyDescent="0.25">
      <c r="A354" s="5">
        <v>44239</v>
      </c>
      <c r="B354">
        <v>1.49129</v>
      </c>
      <c r="C354">
        <v>1.8488</v>
      </c>
      <c r="D354">
        <v>1.38785</v>
      </c>
      <c r="E354">
        <v>1.80226</v>
      </c>
      <c r="F354">
        <v>6666728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0.79806920490291777</v>
      </c>
      <c r="Q354">
        <f t="shared" si="970"/>
        <v>5320510.314264019</v>
      </c>
      <c r="R354">
        <f t="shared" si="971"/>
        <v>-4458617.1745972438</v>
      </c>
      <c r="S354">
        <f t="shared" si="972"/>
        <v>-44.586171745972436</v>
      </c>
      <c r="T354">
        <f t="shared" si="973"/>
        <v>-4.4586171745972437E-2</v>
      </c>
    </row>
    <row r="355" spans="1:20" x14ac:dyDescent="0.25">
      <c r="A355" s="5">
        <v>44238</v>
      </c>
      <c r="B355">
        <v>1.3685099999999999</v>
      </c>
      <c r="C355">
        <v>1.5989199999999999</v>
      </c>
      <c r="D355">
        <v>1.33151</v>
      </c>
      <c r="E355">
        <v>1.4992700000000001</v>
      </c>
      <c r="F355">
        <v>4075946.1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0.25470251673460365</v>
      </c>
      <c r="Q355">
        <f t="shared" si="970"/>
        <v>1038153.7297445924</v>
      </c>
      <c r="R355">
        <f t="shared" si="971"/>
        <v>-9779127.4888612628</v>
      </c>
      <c r="S355">
        <f t="shared" si="972"/>
        <v>-97.791274888612634</v>
      </c>
      <c r="T355">
        <f t="shared" si="973"/>
        <v>-9.7791274888612639E-2</v>
      </c>
    </row>
    <row r="356" spans="1:20" x14ac:dyDescent="0.25">
      <c r="A356" s="5">
        <v>44237</v>
      </c>
      <c r="B356">
        <v>1.28298</v>
      </c>
      <c r="C356">
        <v>1.4960500000000001</v>
      </c>
      <c r="D356">
        <v>1.2</v>
      </c>
      <c r="E356">
        <v>1.37158</v>
      </c>
      <c r="F356">
        <v>7938033.4000000004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0.15912852558689397</v>
      </c>
      <c r="Q356">
        <f t="shared" si="970"/>
        <v>1263167.551001519</v>
      </c>
      <c r="R356">
        <f t="shared" si="971"/>
        <v>-10817281.218605855</v>
      </c>
      <c r="S356">
        <f t="shared" si="972"/>
        <v>-108.17281218605855</v>
      </c>
      <c r="T356">
        <f t="shared" si="973"/>
        <v>-0.10817281218605855</v>
      </c>
    </row>
    <row r="357" spans="1:20" x14ac:dyDescent="0.25">
      <c r="A357" s="5">
        <v>44236</v>
      </c>
      <c r="B357">
        <v>1.36507</v>
      </c>
      <c r="C357">
        <v>1.37626</v>
      </c>
      <c r="D357">
        <v>1.2007099999999999</v>
      </c>
      <c r="E357">
        <v>1.2829999999999999</v>
      </c>
      <c r="F357">
        <v>9037718.5999999996</v>
      </c>
      <c r="G357">
        <v>0</v>
      </c>
      <c r="L357" t="s">
        <v>7</v>
      </c>
      <c r="M357" t="s">
        <v>7</v>
      </c>
      <c r="N357" t="s">
        <v>8</v>
      </c>
      <c r="P357">
        <f t="shared" si="969"/>
        <v>-6.2489319282256567E-2</v>
      </c>
      <c r="Q357">
        <f t="shared" si="970"/>
        <v>-564760.88317858882</v>
      </c>
      <c r="R357">
        <f t="shared" si="971"/>
        <v>-12080448.769607374</v>
      </c>
      <c r="S357">
        <f t="shared" si="972"/>
        <v>-120.80448769607375</v>
      </c>
      <c r="T357">
        <f t="shared" si="973"/>
        <v>-0.12080448769607376</v>
      </c>
    </row>
    <row r="358" spans="1:20" x14ac:dyDescent="0.25">
      <c r="A358" s="5">
        <v>44235</v>
      </c>
      <c r="B358">
        <v>1.00413</v>
      </c>
      <c r="C358">
        <v>1.46</v>
      </c>
      <c r="D358">
        <v>0.96811999999999998</v>
      </c>
      <c r="E358">
        <v>1.36507</v>
      </c>
      <c r="F358">
        <v>10700089.300000001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0.61401154753191856</v>
      </c>
      <c r="Q358">
        <f t="shared" si="970"/>
        <v>6569978.3898227233</v>
      </c>
      <c r="R358">
        <f t="shared" si="971"/>
        <v>-11515687.886428786</v>
      </c>
      <c r="S358">
        <f t="shared" si="972"/>
        <v>-115.15687886428786</v>
      </c>
      <c r="T358">
        <f t="shared" si="973"/>
        <v>-0.11515687886428787</v>
      </c>
    </row>
    <row r="359" spans="1:20" x14ac:dyDescent="0.25">
      <c r="A359" s="5">
        <v>44234</v>
      </c>
      <c r="B359">
        <v>0.95855000000000001</v>
      </c>
      <c r="C359">
        <v>1.0519700000000001</v>
      </c>
      <c r="D359">
        <v>0.90115999999999996</v>
      </c>
      <c r="E359">
        <v>1.0010699999999999</v>
      </c>
      <c r="F359">
        <v>5327487.5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0.32497844970492501</v>
      </c>
      <c r="Q359">
        <f t="shared" si="970"/>
        <v>1731318.6285723667</v>
      </c>
      <c r="R359">
        <f t="shared" si="971"/>
        <v>-18085666.27625151</v>
      </c>
      <c r="S359">
        <f t="shared" si="972"/>
        <v>-180.8566627625151</v>
      </c>
      <c r="T359">
        <f t="shared" si="973"/>
        <v>-0.18085666276251511</v>
      </c>
    </row>
    <row r="360" spans="1:20" x14ac:dyDescent="0.25">
      <c r="A360" s="5">
        <v>44233</v>
      </c>
      <c r="B360">
        <v>1.0788199999999999</v>
      </c>
      <c r="C360">
        <v>1.0872299999999999</v>
      </c>
      <c r="D360">
        <v>0.91</v>
      </c>
      <c r="E360">
        <v>0.95855000000000001</v>
      </c>
      <c r="F360">
        <v>5618645.0999999996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-0.45212435817863778</v>
      </c>
      <c r="Q360">
        <f t="shared" si="970"/>
        <v>-2540326.3096710481</v>
      </c>
      <c r="R360">
        <f t="shared" si="971"/>
        <v>-19816984.904823877</v>
      </c>
      <c r="S360">
        <f t="shared" si="972"/>
        <v>-198.16984904823877</v>
      </c>
      <c r="T360">
        <f t="shared" si="973"/>
        <v>-0.19816984904823878</v>
      </c>
    </row>
    <row r="361" spans="1:20" x14ac:dyDescent="0.25">
      <c r="A361" s="5">
        <v>44232</v>
      </c>
      <c r="B361">
        <v>0.95620000000000005</v>
      </c>
      <c r="C361">
        <v>1.159</v>
      </c>
      <c r="D361">
        <v>0.95616000000000001</v>
      </c>
      <c r="E361">
        <v>1.07883</v>
      </c>
      <c r="F361">
        <v>7578753.7000000002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0.20952474857030107</v>
      </c>
      <c r="Q361">
        <f t="shared" si="970"/>
        <v>1587936.4634687391</v>
      </c>
      <c r="R361">
        <f t="shared" si="971"/>
        <v>-17276658.595152829</v>
      </c>
      <c r="S361">
        <f t="shared" si="972"/>
        <v>-172.7665859515283</v>
      </c>
      <c r="T361">
        <f t="shared" si="973"/>
        <v>-0.1727665859515283</v>
      </c>
    </row>
    <row r="362" spans="1:20" x14ac:dyDescent="0.25">
      <c r="A362" s="5">
        <v>44231</v>
      </c>
      <c r="B362">
        <v>1.0160499999999999</v>
      </c>
      <c r="C362">
        <v>1.0192300000000001</v>
      </c>
      <c r="D362">
        <v>0.88614000000000004</v>
      </c>
      <c r="E362">
        <v>0.95416000000000001</v>
      </c>
      <c r="F362">
        <v>4233080.7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2.2165451949807621E-2</v>
      </c>
      <c r="Q362">
        <f t="shared" si="970"/>
        <v>93828.146855508006</v>
      </c>
      <c r="R362">
        <f t="shared" si="971"/>
        <v>-18864595.058621567</v>
      </c>
      <c r="S362">
        <f t="shared" si="972"/>
        <v>-188.64595058621566</v>
      </c>
      <c r="T362">
        <f t="shared" si="973"/>
        <v>-0.18864595058621567</v>
      </c>
    </row>
    <row r="363" spans="1:20" x14ac:dyDescent="0.25">
      <c r="A363" s="5">
        <v>44230</v>
      </c>
      <c r="B363">
        <v>0.96082000000000001</v>
      </c>
      <c r="C363">
        <v>1.05884</v>
      </c>
      <c r="D363">
        <v>0.94816999999999996</v>
      </c>
      <c r="E363">
        <v>1.01535</v>
      </c>
      <c r="F363">
        <v>3413200.5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0.21405981747537706</v>
      </c>
      <c r="Q363">
        <f t="shared" si="970"/>
        <v>730629.07603686571</v>
      </c>
      <c r="R363">
        <f t="shared" si="971"/>
        <v>-18958423.205477074</v>
      </c>
      <c r="S363">
        <f t="shared" si="972"/>
        <v>-189.58423205477075</v>
      </c>
      <c r="T363">
        <f t="shared" si="973"/>
        <v>-0.18958423205477076</v>
      </c>
    </row>
    <row r="364" spans="1:20" x14ac:dyDescent="0.25">
      <c r="A364" s="5">
        <v>44229</v>
      </c>
      <c r="B364">
        <v>1.00536</v>
      </c>
      <c r="C364">
        <v>1.0257700000000001</v>
      </c>
      <c r="D364">
        <v>0.91049000000000002</v>
      </c>
      <c r="E364">
        <v>0.95509999999999995</v>
      </c>
      <c r="F364">
        <v>4055209.7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-0.22605829285218756</v>
      </c>
      <c r="Q364">
        <f t="shared" si="970"/>
        <v>-916713.78193963168</v>
      </c>
      <c r="R364">
        <f t="shared" si="971"/>
        <v>-19689052.281513941</v>
      </c>
      <c r="S364">
        <f t="shared" si="972"/>
        <v>-196.89052281513941</v>
      </c>
      <c r="T364">
        <f t="shared" si="973"/>
        <v>-0.19689052281513941</v>
      </c>
    </row>
    <row r="365" spans="1:20" x14ac:dyDescent="0.25">
      <c r="A365" s="5">
        <v>44228</v>
      </c>
      <c r="B365">
        <v>0.80327000000000004</v>
      </c>
      <c r="C365">
        <v>1.04999</v>
      </c>
      <c r="D365">
        <v>0.77</v>
      </c>
      <c r="E365">
        <v>1.0068600000000001</v>
      </c>
      <c r="F365">
        <v>10006116.4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0.69191756848458952</v>
      </c>
      <c r="Q365">
        <f t="shared" si="970"/>
        <v>6923407.7294617742</v>
      </c>
      <c r="R365">
        <f t="shared" si="971"/>
        <v>-18772338.499574307</v>
      </c>
      <c r="S365">
        <f t="shared" si="972"/>
        <v>-187.72338499574306</v>
      </c>
      <c r="T365">
        <f t="shared" si="973"/>
        <v>-0.18772338499574306</v>
      </c>
    </row>
    <row r="366" spans="1:20" x14ac:dyDescent="0.25">
      <c r="A366" s="5">
        <v>44227</v>
      </c>
      <c r="B366">
        <v>0.84094999999999998</v>
      </c>
      <c r="C366">
        <v>0.87417</v>
      </c>
      <c r="D366">
        <v>0.76</v>
      </c>
      <c r="E366">
        <v>0.80530999999999997</v>
      </c>
      <c r="F366">
        <v>3408022.7</v>
      </c>
      <c r="G366">
        <v>0</v>
      </c>
      <c r="L366" t="s">
        <v>7</v>
      </c>
      <c r="M366" t="s">
        <v>8</v>
      </c>
      <c r="N366" t="s">
        <v>7</v>
      </c>
      <c r="P366">
        <f t="shared" si="969"/>
        <v>-0.20627134974161401</v>
      </c>
      <c r="Q366">
        <f t="shared" si="970"/>
        <v>-702977.44227905967</v>
      </c>
      <c r="R366">
        <f t="shared" si="971"/>
        <v>-25695746.229036082</v>
      </c>
      <c r="S366">
        <f t="shared" si="972"/>
        <v>-256.95746229036081</v>
      </c>
      <c r="T366">
        <f t="shared" si="973"/>
        <v>-0.25695746229036082</v>
      </c>
    </row>
    <row r="367" spans="1:20" x14ac:dyDescent="0.25">
      <c r="A367" s="5">
        <v>44226</v>
      </c>
      <c r="B367">
        <v>0.81418000000000001</v>
      </c>
      <c r="C367">
        <v>0.88</v>
      </c>
      <c r="D367">
        <v>0.76280999999999999</v>
      </c>
      <c r="E367">
        <v>0.84069000000000005</v>
      </c>
      <c r="F367">
        <v>5475866.5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0.3291236453622331</v>
      </c>
      <c r="Q367">
        <f t="shared" si="970"/>
        <v>1802237.1439969325</v>
      </c>
      <c r="R367">
        <f t="shared" si="971"/>
        <v>-24992768.786757022</v>
      </c>
      <c r="S367">
        <f t="shared" si="972"/>
        <v>-249.92768786757023</v>
      </c>
      <c r="T367">
        <f t="shared" si="973"/>
        <v>-0.24992768786757022</v>
      </c>
    </row>
    <row r="368" spans="1:20" x14ac:dyDescent="0.25">
      <c r="A368" s="5">
        <v>44225</v>
      </c>
      <c r="B368">
        <v>0.81730000000000003</v>
      </c>
      <c r="C368">
        <v>0.83799000000000001</v>
      </c>
      <c r="D368">
        <v>0.73841999999999997</v>
      </c>
      <c r="E368">
        <v>0.81172</v>
      </c>
      <c r="F368">
        <v>8219307.2000000002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0.47233102340062261</v>
      </c>
      <c r="Q368">
        <f t="shared" si="970"/>
        <v>3882233.7814201061</v>
      </c>
      <c r="R368">
        <f t="shared" si="971"/>
        <v>-26795005.930753954</v>
      </c>
      <c r="S368">
        <f t="shared" si="972"/>
        <v>-267.95005930753956</v>
      </c>
      <c r="T368">
        <f t="shared" si="973"/>
        <v>-0.26795005930753957</v>
      </c>
    </row>
    <row r="369" spans="1:20" x14ac:dyDescent="0.25">
      <c r="A369" s="5">
        <v>44224</v>
      </c>
      <c r="B369">
        <v>0.86973</v>
      </c>
      <c r="C369">
        <v>0.94435999999999998</v>
      </c>
      <c r="D369">
        <v>0.80757000000000001</v>
      </c>
      <c r="E369">
        <v>0.81555</v>
      </c>
      <c r="F369">
        <v>9376754.5999999996</v>
      </c>
      <c r="G369">
        <v>0</v>
      </c>
      <c r="L369" t="s">
        <v>7</v>
      </c>
      <c r="M369" t="s">
        <v>7</v>
      </c>
      <c r="N369" t="s">
        <v>7</v>
      </c>
      <c r="P369">
        <f t="shared" si="969"/>
        <v>-0.88332480444476946</v>
      </c>
      <c r="Q369">
        <f t="shared" si="970"/>
        <v>-8282719.9233715925</v>
      </c>
      <c r="R369">
        <f t="shared" si="971"/>
        <v>-30677239.712174058</v>
      </c>
      <c r="S369">
        <f t="shared" si="972"/>
        <v>-306.7723971217406</v>
      </c>
      <c r="T369">
        <f t="shared" si="973"/>
        <v>-0.30677239712174059</v>
      </c>
    </row>
    <row r="370" spans="1:20" x14ac:dyDescent="0.25">
      <c r="A370" s="5">
        <v>44223</v>
      </c>
      <c r="B370">
        <v>0.94789000000000001</v>
      </c>
      <c r="C370">
        <v>1.1890000000000001</v>
      </c>
      <c r="D370">
        <v>0.86</v>
      </c>
      <c r="E370">
        <v>0.87322999999999995</v>
      </c>
      <c r="F370">
        <v>12563270.5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-0.91957446808510657</v>
      </c>
      <c r="Q370">
        <f t="shared" si="970"/>
        <v>-11552862.78744681</v>
      </c>
      <c r="R370">
        <f t="shared" si="971"/>
        <v>-22394519.788802467</v>
      </c>
      <c r="S370">
        <f t="shared" si="972"/>
        <v>-223.94519788802467</v>
      </c>
      <c r="T370">
        <f t="shared" si="973"/>
        <v>-0.22394519788802467</v>
      </c>
    </row>
    <row r="371" spans="1:20" x14ac:dyDescent="0.25">
      <c r="A371" s="5">
        <v>44222</v>
      </c>
      <c r="B371">
        <v>0.83577000000000001</v>
      </c>
      <c r="C371">
        <v>0.996</v>
      </c>
      <c r="D371">
        <v>0.81418000000000001</v>
      </c>
      <c r="E371">
        <v>0.94674000000000003</v>
      </c>
      <c r="F371">
        <v>13583544.6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0.45814541854581481</v>
      </c>
      <c r="Q371">
        <f t="shared" si="970"/>
        <v>6223238.7261027424</v>
      </c>
      <c r="R371">
        <f t="shared" si="971"/>
        <v>-10841657.001355659</v>
      </c>
      <c r="S371">
        <f t="shared" si="972"/>
        <v>-108.41657001355659</v>
      </c>
      <c r="T371">
        <f t="shared" si="973"/>
        <v>-0.10841657001355659</v>
      </c>
    </row>
    <row r="372" spans="1:20" x14ac:dyDescent="0.25">
      <c r="A372" s="5">
        <v>44221</v>
      </c>
      <c r="B372">
        <v>0.73509999999999998</v>
      </c>
      <c r="C372">
        <v>0.87841000000000002</v>
      </c>
      <c r="D372">
        <v>0.72001000000000004</v>
      </c>
      <c r="E372">
        <v>0.83543000000000001</v>
      </c>
      <c r="F372">
        <v>6953398.9000000004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0.45732323232323202</v>
      </c>
      <c r="Q372">
        <f t="shared" si="970"/>
        <v>3179950.8605808062</v>
      </c>
      <c r="R372">
        <f t="shared" si="971"/>
        <v>-17064895.727458403</v>
      </c>
      <c r="S372">
        <f t="shared" si="972"/>
        <v>-170.64895727458403</v>
      </c>
      <c r="T372">
        <f t="shared" si="973"/>
        <v>-0.17064895727458404</v>
      </c>
    </row>
    <row r="373" spans="1:20" x14ac:dyDescent="0.25">
      <c r="A373" s="5">
        <v>44220</v>
      </c>
      <c r="B373">
        <v>0.69577999999999995</v>
      </c>
      <c r="C373">
        <v>0.82221999999999995</v>
      </c>
      <c r="D373">
        <v>0.68340999999999996</v>
      </c>
      <c r="E373">
        <v>0.73509999999999998</v>
      </c>
      <c r="F373">
        <v>7848823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-0.25524097687486469</v>
      </c>
      <c r="Q373">
        <f t="shared" si="970"/>
        <v>-2003341.2498379061</v>
      </c>
      <c r="R373">
        <f t="shared" si="971"/>
        <v>-20244846.588039208</v>
      </c>
      <c r="S373">
        <f t="shared" si="972"/>
        <v>-202.44846588039209</v>
      </c>
      <c r="T373">
        <f t="shared" si="973"/>
        <v>-0.20244846588039209</v>
      </c>
    </row>
    <row r="374" spans="1:20" x14ac:dyDescent="0.25">
      <c r="A374" s="5">
        <v>44219</v>
      </c>
      <c r="B374">
        <v>0.63397999999999999</v>
      </c>
      <c r="C374">
        <v>0.74909999999999999</v>
      </c>
      <c r="D374">
        <v>0.60099999999999998</v>
      </c>
      <c r="E374">
        <v>0.69499999999999995</v>
      </c>
      <c r="F374">
        <v>8637521.6999999993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0.26941255908170109</v>
      </c>
      <c r="Q374">
        <f t="shared" si="970"/>
        <v>2327056.8253207249</v>
      </c>
      <c r="R374">
        <f t="shared" si="971"/>
        <v>-18241505.338201303</v>
      </c>
      <c r="S374">
        <f t="shared" si="972"/>
        <v>-182.41505338201304</v>
      </c>
      <c r="T374">
        <f t="shared" si="973"/>
        <v>-0.18241505338201305</v>
      </c>
    </row>
    <row r="375" spans="1:20" x14ac:dyDescent="0.25">
      <c r="A375" s="5">
        <v>44218</v>
      </c>
      <c r="B375">
        <v>0.64517000000000002</v>
      </c>
      <c r="C375">
        <v>0.67889999999999995</v>
      </c>
      <c r="D375">
        <v>0.53500000000000003</v>
      </c>
      <c r="E375">
        <v>0.63707999999999998</v>
      </c>
      <c r="F375">
        <v>7939294.0999999996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0.41876302988186254</v>
      </c>
      <c r="Q375">
        <f t="shared" si="970"/>
        <v>3324682.8524391949</v>
      </c>
      <c r="R375">
        <f t="shared" si="971"/>
        <v>-20568562.163522027</v>
      </c>
      <c r="S375">
        <f t="shared" si="972"/>
        <v>-205.68562163522029</v>
      </c>
      <c r="T375">
        <f t="shared" si="973"/>
        <v>-0.20568562163522028</v>
      </c>
    </row>
    <row r="376" spans="1:20" x14ac:dyDescent="0.25">
      <c r="A376" s="5">
        <v>44217</v>
      </c>
      <c r="B376">
        <v>0.63387000000000004</v>
      </c>
      <c r="C376">
        <v>0.73</v>
      </c>
      <c r="D376">
        <v>0.59802999999999995</v>
      </c>
      <c r="E376">
        <v>0.64437999999999995</v>
      </c>
      <c r="F376">
        <v>14001245.1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-0.29756762900659256</v>
      </c>
      <c r="Q376">
        <f t="shared" si="970"/>
        <v>-4166317.3075471721</v>
      </c>
      <c r="R376">
        <f t="shared" si="971"/>
        <v>-23893245.015961222</v>
      </c>
      <c r="S376">
        <f t="shared" si="972"/>
        <v>-238.93245015961222</v>
      </c>
      <c r="T376">
        <f t="shared" si="973"/>
        <v>-0.2389324501596122</v>
      </c>
    </row>
    <row r="377" spans="1:20" x14ac:dyDescent="0.25">
      <c r="A377" s="5">
        <v>44216</v>
      </c>
      <c r="B377">
        <v>0.62956000000000001</v>
      </c>
      <c r="C377">
        <v>0.66496999999999995</v>
      </c>
      <c r="D377">
        <v>0.57533000000000001</v>
      </c>
      <c r="E377">
        <v>0.63368999999999998</v>
      </c>
      <c r="F377">
        <v>3804761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0.30209727800089259</v>
      </c>
      <c r="Q377">
        <f t="shared" si="970"/>
        <v>1149407.9415439542</v>
      </c>
      <c r="R377">
        <f t="shared" si="971"/>
        <v>-19726927.708414052</v>
      </c>
      <c r="S377">
        <f t="shared" si="972"/>
        <v>-197.26927708414053</v>
      </c>
      <c r="T377">
        <f t="shared" si="973"/>
        <v>-0.19726927708414052</v>
      </c>
    </row>
    <row r="378" spans="1:20" x14ac:dyDescent="0.25">
      <c r="A378" s="5">
        <v>44215</v>
      </c>
      <c r="B378">
        <v>0.68293000000000004</v>
      </c>
      <c r="C378">
        <v>0.70989999999999998</v>
      </c>
      <c r="D378">
        <v>0.62033000000000005</v>
      </c>
      <c r="E378">
        <v>0.629</v>
      </c>
      <c r="F378">
        <v>4604800.3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-0.80640839566819333</v>
      </c>
      <c r="Q378">
        <f t="shared" si="970"/>
        <v>-3713349.622295415</v>
      </c>
      <c r="R378">
        <f t="shared" si="971"/>
        <v>-20876335.649958007</v>
      </c>
      <c r="S378">
        <f t="shared" si="972"/>
        <v>-208.76335649958008</v>
      </c>
      <c r="T378">
        <f t="shared" si="973"/>
        <v>-0.20876335649958008</v>
      </c>
    </row>
    <row r="379" spans="1:20" x14ac:dyDescent="0.25">
      <c r="A379" s="5">
        <v>44214</v>
      </c>
      <c r="B379">
        <v>0.61372000000000004</v>
      </c>
      <c r="C379">
        <v>0.68320000000000003</v>
      </c>
      <c r="D379">
        <v>0.57801999999999998</v>
      </c>
      <c r="E379">
        <v>0.68269000000000002</v>
      </c>
      <c r="F379">
        <v>8302417.7999999998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0.99030233884768948</v>
      </c>
      <c r="Q379">
        <f t="shared" si="970"/>
        <v>8221903.7654306889</v>
      </c>
      <c r="R379">
        <f t="shared" si="971"/>
        <v>-17162986.02766259</v>
      </c>
      <c r="S379">
        <f t="shared" si="972"/>
        <v>-171.62986027662589</v>
      </c>
      <c r="T379">
        <f t="shared" si="973"/>
        <v>-0.17162986027662588</v>
      </c>
    </row>
    <row r="380" spans="1:20" x14ac:dyDescent="0.25">
      <c r="A380" s="5">
        <v>44213</v>
      </c>
      <c r="B380">
        <v>0.58257999999999999</v>
      </c>
      <c r="C380">
        <v>0.64698999999999995</v>
      </c>
      <c r="D380">
        <v>0.56171000000000004</v>
      </c>
      <c r="E380">
        <v>0.61395999999999995</v>
      </c>
      <c r="F380">
        <v>5197507.2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0.2253752345215751</v>
      </c>
      <c r="Q380">
        <f t="shared" si="970"/>
        <v>1171389.4041275752</v>
      </c>
      <c r="R380">
        <f t="shared" si="971"/>
        <v>-25384889.793093279</v>
      </c>
      <c r="S380">
        <f t="shared" si="972"/>
        <v>-253.84889793093279</v>
      </c>
      <c r="T380">
        <f t="shared" si="973"/>
        <v>-0.25384889793093279</v>
      </c>
    </row>
    <row r="381" spans="1:20" x14ac:dyDescent="0.25">
      <c r="A381" s="5">
        <v>44212</v>
      </c>
      <c r="B381">
        <v>0.54364999999999997</v>
      </c>
      <c r="C381">
        <v>0.63</v>
      </c>
      <c r="D381">
        <v>0.54247999999999996</v>
      </c>
      <c r="E381">
        <v>0.58347000000000004</v>
      </c>
      <c r="F381">
        <v>6299329.0999999996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-6.3299817184642088E-2</v>
      </c>
      <c r="Q381">
        <f t="shared" si="970"/>
        <v>-398746.38041589595</v>
      </c>
      <c r="R381">
        <f t="shared" si="971"/>
        <v>-26556279.197220854</v>
      </c>
      <c r="S381">
        <f t="shared" si="972"/>
        <v>-265.56279197220857</v>
      </c>
      <c r="T381">
        <f t="shared" si="973"/>
        <v>-0.26556279197220856</v>
      </c>
    </row>
    <row r="382" spans="1:20" x14ac:dyDescent="0.25">
      <c r="A382" s="5">
        <v>44211</v>
      </c>
      <c r="B382">
        <v>0.53435999999999995</v>
      </c>
      <c r="C382">
        <v>0.57399999999999995</v>
      </c>
      <c r="D382">
        <v>0.49531999999999998</v>
      </c>
      <c r="E382">
        <v>0.54322000000000004</v>
      </c>
      <c r="F382">
        <v>5701044.2999999998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0.21759023894255392</v>
      </c>
      <c r="Q382">
        <f t="shared" si="970"/>
        <v>1240491.591459085</v>
      </c>
      <c r="R382">
        <f t="shared" si="971"/>
        <v>-26157532.81680496</v>
      </c>
      <c r="S382">
        <f t="shared" si="972"/>
        <v>-261.57532816804962</v>
      </c>
      <c r="T382">
        <f t="shared" si="973"/>
        <v>-0.26157532816804963</v>
      </c>
    </row>
    <row r="383" spans="1:20" x14ac:dyDescent="0.25">
      <c r="A383" s="5">
        <v>44210</v>
      </c>
      <c r="B383">
        <v>0.50222999999999995</v>
      </c>
      <c r="C383">
        <v>0.54979999999999996</v>
      </c>
      <c r="D383">
        <v>0.48100999999999999</v>
      </c>
      <c r="E383">
        <v>0.53430999999999995</v>
      </c>
      <c r="F383">
        <v>3553993.2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0.54964384358191565</v>
      </c>
      <c r="Q383">
        <f t="shared" si="970"/>
        <v>1953430.4825119919</v>
      </c>
      <c r="R383">
        <f t="shared" si="971"/>
        <v>-27398024.408264045</v>
      </c>
      <c r="S383">
        <f t="shared" si="972"/>
        <v>-273.98024408264047</v>
      </c>
      <c r="T383">
        <f t="shared" si="973"/>
        <v>-0.27398024408264049</v>
      </c>
    </row>
    <row r="384" spans="1:20" x14ac:dyDescent="0.25">
      <c r="A384" s="5">
        <v>44209</v>
      </c>
      <c r="B384">
        <v>0.45019999999999999</v>
      </c>
      <c r="C384">
        <v>0.51</v>
      </c>
      <c r="D384">
        <v>0.43657000000000001</v>
      </c>
      <c r="E384">
        <v>0.50222999999999995</v>
      </c>
      <c r="F384">
        <v>3549020.2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0.78836987607244846</v>
      </c>
      <c r="Q384">
        <f t="shared" si="970"/>
        <v>2797940.6152526163</v>
      </c>
      <c r="R384">
        <f t="shared" si="971"/>
        <v>-29351454.890776038</v>
      </c>
      <c r="S384">
        <f t="shared" si="972"/>
        <v>-293.5145489077604</v>
      </c>
      <c r="T384">
        <f t="shared" si="973"/>
        <v>-0.29351454890776041</v>
      </c>
    </row>
    <row r="385" spans="1:20" x14ac:dyDescent="0.25">
      <c r="A385" s="5">
        <v>44208</v>
      </c>
      <c r="B385">
        <v>0.49931999999999999</v>
      </c>
      <c r="C385">
        <v>0.51487000000000005</v>
      </c>
      <c r="D385">
        <v>0.43887999999999999</v>
      </c>
      <c r="E385">
        <v>0.44957000000000003</v>
      </c>
      <c r="F385">
        <v>2998891.7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-0.71864719041979142</v>
      </c>
      <c r="Q385">
        <f t="shared" si="970"/>
        <v>-2155145.0945782322</v>
      </c>
      <c r="R385">
        <f t="shared" si="971"/>
        <v>-32149395.506028656</v>
      </c>
      <c r="S385">
        <f t="shared" si="972"/>
        <v>-321.49395506028657</v>
      </c>
      <c r="T385">
        <f t="shared" si="973"/>
        <v>-0.32149395506028655</v>
      </c>
    </row>
    <row r="386" spans="1:20" x14ac:dyDescent="0.25">
      <c r="A386" s="5">
        <v>44207</v>
      </c>
      <c r="B386">
        <v>0.57171000000000005</v>
      </c>
      <c r="C386">
        <v>0.57264000000000004</v>
      </c>
      <c r="D386">
        <v>0.40989999999999999</v>
      </c>
      <c r="E386">
        <v>0.49958000000000002</v>
      </c>
      <c r="F386">
        <v>5451072.4000000004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0.10212609069681712</v>
      </c>
      <c r="Q386">
        <f t="shared" si="970"/>
        <v>556696.71431731666</v>
      </c>
      <c r="R386">
        <f t="shared" si="971"/>
        <v>-29994250.411450423</v>
      </c>
      <c r="S386">
        <f t="shared" si="972"/>
        <v>-299.94250411450423</v>
      </c>
      <c r="T386">
        <f t="shared" si="973"/>
        <v>-0.29994250411450424</v>
      </c>
    </row>
    <row r="387" spans="1:20" x14ac:dyDescent="0.25">
      <c r="A387" s="5">
        <v>44206</v>
      </c>
      <c r="B387">
        <v>0.60189999999999999</v>
      </c>
      <c r="C387">
        <v>0.66122999999999998</v>
      </c>
      <c r="D387">
        <v>0.52600000000000002</v>
      </c>
      <c r="E387">
        <v>0.57291999999999998</v>
      </c>
      <c r="F387">
        <v>5467421.4000000004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-0.30607113806108149</v>
      </c>
      <c r="Q387">
        <f t="shared" si="970"/>
        <v>-1673419.8901575117</v>
      </c>
      <c r="R387">
        <f t="shared" si="971"/>
        <v>-30550947.125767741</v>
      </c>
      <c r="S387">
        <f t="shared" si="972"/>
        <v>-305.50947125767743</v>
      </c>
      <c r="T387">
        <f t="shared" si="973"/>
        <v>-0.30550947125767741</v>
      </c>
    </row>
    <row r="388" spans="1:20" x14ac:dyDescent="0.25">
      <c r="A388" s="5">
        <v>44205</v>
      </c>
      <c r="B388">
        <v>0.59260999999999997</v>
      </c>
      <c r="C388">
        <v>0.63819999999999999</v>
      </c>
      <c r="D388">
        <v>0.55735999999999997</v>
      </c>
      <c r="E388">
        <v>0.60143999999999997</v>
      </c>
      <c r="F388">
        <v>5211510.3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9.0549233052943975E-2</v>
      </c>
      <c r="Q388">
        <f t="shared" si="970"/>
        <v>471898.26071251795</v>
      </c>
      <c r="R388">
        <f t="shared" si="971"/>
        <v>-28877527.235610228</v>
      </c>
      <c r="S388">
        <f t="shared" si="972"/>
        <v>-288.77527235610228</v>
      </c>
      <c r="T388">
        <f t="shared" si="973"/>
        <v>-0.28877527235610229</v>
      </c>
    </row>
    <row r="389" spans="1:20" x14ac:dyDescent="0.25">
      <c r="A389" s="5">
        <v>44204</v>
      </c>
      <c r="B389">
        <v>0.60328999999999999</v>
      </c>
      <c r="C389">
        <v>0.64390999999999998</v>
      </c>
      <c r="D389">
        <v>0.53420000000000001</v>
      </c>
      <c r="E389">
        <v>0.59362999999999999</v>
      </c>
      <c r="F389">
        <v>7047422.4000000004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8.3401695378725674E-2</v>
      </c>
      <c r="Q389">
        <f t="shared" si="970"/>
        <v>587766.97621000779</v>
      </c>
      <c r="R389">
        <f t="shared" si="971"/>
        <v>-29349425.496322747</v>
      </c>
      <c r="S389">
        <f t="shared" si="972"/>
        <v>-293.49425496322749</v>
      </c>
      <c r="T389">
        <f t="shared" si="973"/>
        <v>-0.29349425496322751</v>
      </c>
    </row>
    <row r="390" spans="1:20" x14ac:dyDescent="0.25">
      <c r="A390" s="5">
        <v>44203</v>
      </c>
      <c r="B390">
        <v>0.60343000000000002</v>
      </c>
      <c r="C390">
        <v>0.74</v>
      </c>
      <c r="D390">
        <v>0.59072000000000002</v>
      </c>
      <c r="E390">
        <v>0.60402999999999996</v>
      </c>
      <c r="F390">
        <v>11570115.199999999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-0.82167738478027952</v>
      </c>
      <c r="Q390">
        <f t="shared" ref="Q390:Q453" si="975">F390*P390</f>
        <v>-9506901.9991425592</v>
      </c>
      <c r="R390">
        <f t="shared" ref="R390:R453" si="976">R391+Q390</f>
        <v>-29937192.472532757</v>
      </c>
      <c r="S390">
        <f t="shared" ref="S390:S453" si="977">R390/100000</f>
        <v>-299.37192472532757</v>
      </c>
      <c r="T390">
        <f t="shared" ref="T390:T453" si="978">S390/1000</f>
        <v>-0.29937192472532759</v>
      </c>
    </row>
    <row r="391" spans="1:20" x14ac:dyDescent="0.25">
      <c r="A391" s="5">
        <v>44202</v>
      </c>
      <c r="B391">
        <v>0.55759999999999998</v>
      </c>
      <c r="C391">
        <v>0.63</v>
      </c>
      <c r="D391">
        <v>0.53417999999999999</v>
      </c>
      <c r="E391">
        <v>0.60085999999999995</v>
      </c>
      <c r="F391">
        <v>6372833.2000000002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0.39177624713003445</v>
      </c>
      <c r="Q391">
        <f t="shared" si="975"/>
        <v>2496724.6746816882</v>
      </c>
      <c r="R391">
        <f t="shared" si="976"/>
        <v>-20430290.473390196</v>
      </c>
      <c r="S391">
        <f t="shared" si="977"/>
        <v>-204.30290473390195</v>
      </c>
      <c r="T391">
        <f t="shared" si="978"/>
        <v>-0.20430290473390195</v>
      </c>
    </row>
    <row r="392" spans="1:20" x14ac:dyDescent="0.25">
      <c r="A392" s="5">
        <v>44201</v>
      </c>
      <c r="B392">
        <v>0.56311</v>
      </c>
      <c r="C392">
        <v>0.58679000000000003</v>
      </c>
      <c r="D392">
        <v>0.51944000000000001</v>
      </c>
      <c r="E392">
        <v>0.55605000000000004</v>
      </c>
      <c r="F392">
        <v>4026363.3</v>
      </c>
      <c r="G392">
        <v>0</v>
      </c>
      <c r="L392" t="s">
        <v>7</v>
      </c>
      <c r="M392" t="s">
        <v>7</v>
      </c>
      <c r="N392" t="s">
        <v>8</v>
      </c>
      <c r="P392">
        <f t="shared" si="974"/>
        <v>8.715664439495234E-2</v>
      </c>
      <c r="Q392">
        <f t="shared" si="975"/>
        <v>350924.31434298679</v>
      </c>
      <c r="R392">
        <f t="shared" si="976"/>
        <v>-22927015.148071885</v>
      </c>
      <c r="S392">
        <f t="shared" si="977"/>
        <v>-229.27015148071885</v>
      </c>
      <c r="T392">
        <f t="shared" si="978"/>
        <v>-0.22927015148071886</v>
      </c>
    </row>
    <row r="393" spans="1:20" x14ac:dyDescent="0.25">
      <c r="A393" s="5">
        <v>44200</v>
      </c>
      <c r="B393">
        <v>0.56816</v>
      </c>
      <c r="C393">
        <v>0.61619999999999997</v>
      </c>
      <c r="D393">
        <v>0.5101</v>
      </c>
      <c r="E393">
        <v>0.56081999999999999</v>
      </c>
      <c r="F393">
        <v>5591304.0999999996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-4.3920829406220538E-2</v>
      </c>
      <c r="Q393">
        <f t="shared" si="975"/>
        <v>-245574.71353440144</v>
      </c>
      <c r="R393">
        <f t="shared" si="976"/>
        <v>-23277939.462414872</v>
      </c>
      <c r="S393">
        <f t="shared" si="977"/>
        <v>-232.77939462414872</v>
      </c>
      <c r="T393">
        <f t="shared" si="978"/>
        <v>-0.23277939462414873</v>
      </c>
    </row>
    <row r="394" spans="1:20" x14ac:dyDescent="0.25">
      <c r="A394" s="5">
        <v>44199</v>
      </c>
      <c r="B394">
        <v>0.53924000000000005</v>
      </c>
      <c r="C394">
        <v>0.58345999999999998</v>
      </c>
      <c r="D394">
        <v>0.52166000000000001</v>
      </c>
      <c r="E394">
        <v>0.56523000000000001</v>
      </c>
      <c r="F394">
        <v>4297246.5999999996</v>
      </c>
      <c r="G394">
        <v>0</v>
      </c>
      <c r="L394" t="s">
        <v>8</v>
      </c>
      <c r="M394" t="s">
        <v>7</v>
      </c>
      <c r="N394" t="s">
        <v>8</v>
      </c>
      <c r="P394">
        <f t="shared" si="974"/>
        <v>0.41003236245954761</v>
      </c>
      <c r="Q394">
        <f t="shared" si="975"/>
        <v>1762010.1754692583</v>
      </c>
      <c r="R394">
        <f t="shared" si="976"/>
        <v>-23032364.748880472</v>
      </c>
      <c r="S394">
        <f t="shared" si="977"/>
        <v>-230.32364748880471</v>
      </c>
      <c r="T394">
        <f t="shared" si="978"/>
        <v>-0.23032364748880471</v>
      </c>
    </row>
    <row r="395" spans="1:20" x14ac:dyDescent="0.25">
      <c r="A395" s="5">
        <v>44198</v>
      </c>
      <c r="B395">
        <v>0.59309000000000001</v>
      </c>
      <c r="C395">
        <v>0.62812999999999997</v>
      </c>
      <c r="D395">
        <v>0.52866999999999997</v>
      </c>
      <c r="E395">
        <v>0.54274999999999995</v>
      </c>
      <c r="F395">
        <v>8519953.0999999996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-0.71687110396139186</v>
      </c>
      <c r="Q395">
        <f t="shared" si="975"/>
        <v>-6107708.1844962826</v>
      </c>
      <c r="R395">
        <f t="shared" si="976"/>
        <v>-24794374.924349729</v>
      </c>
      <c r="S395">
        <f t="shared" si="977"/>
        <v>-247.94374924349728</v>
      </c>
      <c r="T395">
        <f t="shared" si="978"/>
        <v>-0.24794374924349727</v>
      </c>
    </row>
    <row r="396" spans="1:20" x14ac:dyDescent="0.25">
      <c r="A396" s="5">
        <v>44197</v>
      </c>
      <c r="B396">
        <v>0.53778999999999999</v>
      </c>
      <c r="C396">
        <v>0.62358999999999998</v>
      </c>
      <c r="D396">
        <v>0.51168999999999998</v>
      </c>
      <c r="E396">
        <v>0.59309999999999996</v>
      </c>
      <c r="F396">
        <v>6649976.9000000004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0.45504915102770299</v>
      </c>
      <c r="Q396">
        <f t="shared" si="975"/>
        <v>3026066.3426988362</v>
      </c>
      <c r="R396">
        <f t="shared" si="976"/>
        <v>-18686666.739853445</v>
      </c>
      <c r="S396">
        <f t="shared" si="977"/>
        <v>-186.86666739853445</v>
      </c>
      <c r="T396">
        <f t="shared" si="978"/>
        <v>-0.18686666739853444</v>
      </c>
    </row>
    <row r="397" spans="1:20" x14ac:dyDescent="0.25">
      <c r="A397" s="5">
        <v>44196</v>
      </c>
      <c r="B397">
        <v>0.53449999999999998</v>
      </c>
      <c r="C397">
        <v>0.53973000000000004</v>
      </c>
      <c r="D397">
        <v>0.5</v>
      </c>
      <c r="E397">
        <v>0.53785000000000005</v>
      </c>
      <c r="F397">
        <v>2442108.7999999998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0.90536118801912957</v>
      </c>
      <c r="Q397">
        <f t="shared" si="975"/>
        <v>2210990.5244399705</v>
      </c>
      <c r="R397">
        <f t="shared" si="976"/>
        <v>-21712733.08255228</v>
      </c>
      <c r="S397">
        <f t="shared" si="977"/>
        <v>-217.12733082552279</v>
      </c>
      <c r="T397">
        <f t="shared" si="978"/>
        <v>-0.2171273308255228</v>
      </c>
    </row>
    <row r="398" spans="1:20" x14ac:dyDescent="0.25">
      <c r="A398" s="5">
        <v>44195</v>
      </c>
      <c r="B398">
        <v>0.56457999999999997</v>
      </c>
      <c r="C398">
        <v>0.58650000000000002</v>
      </c>
      <c r="D398">
        <v>0.53088999999999997</v>
      </c>
      <c r="E398">
        <v>0.53596999999999995</v>
      </c>
      <c r="F398">
        <v>2428672.6</v>
      </c>
      <c r="G398">
        <v>0</v>
      </c>
      <c r="L398" t="s">
        <v>8</v>
      </c>
      <c r="M398" t="s">
        <v>7</v>
      </c>
      <c r="N398" t="s">
        <v>8</v>
      </c>
      <c r="P398">
        <f t="shared" si="974"/>
        <v>-0.81729904693400579</v>
      </c>
      <c r="Q398">
        <f t="shared" si="975"/>
        <v>-1984951.801294734</v>
      </c>
      <c r="R398">
        <f t="shared" si="976"/>
        <v>-23923723.606992252</v>
      </c>
      <c r="S398">
        <f t="shared" si="977"/>
        <v>-239.23723606992252</v>
      </c>
      <c r="T398">
        <f t="shared" si="978"/>
        <v>-0.2392372360699225</v>
      </c>
    </row>
    <row r="399" spans="1:20" x14ac:dyDescent="0.25">
      <c r="A399" s="5">
        <v>44194</v>
      </c>
      <c r="B399">
        <v>0.59916000000000003</v>
      </c>
      <c r="C399">
        <v>0.61099000000000003</v>
      </c>
      <c r="D399">
        <v>0.52856999999999998</v>
      </c>
      <c r="E399">
        <v>0.56057000000000001</v>
      </c>
      <c r="F399">
        <v>2892515.8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-0.22348944430963336</v>
      </c>
      <c r="Q399">
        <f t="shared" si="975"/>
        <v>-646446.74879883451</v>
      </c>
      <c r="R399">
        <f t="shared" si="976"/>
        <v>-21938771.805697519</v>
      </c>
      <c r="S399">
        <f t="shared" si="977"/>
        <v>-219.38771805697519</v>
      </c>
      <c r="T399">
        <f t="shared" si="978"/>
        <v>-0.21938771805697518</v>
      </c>
    </row>
    <row r="400" spans="1:20" x14ac:dyDescent="0.25">
      <c r="A400" s="5">
        <v>44193</v>
      </c>
      <c r="B400">
        <v>0.59957000000000005</v>
      </c>
      <c r="C400">
        <v>0.66500000000000004</v>
      </c>
      <c r="D400">
        <v>0.58184000000000002</v>
      </c>
      <c r="E400">
        <v>0.59916000000000003</v>
      </c>
      <c r="F400">
        <v>3858241.9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-0.58345358345358345</v>
      </c>
      <c r="Q400">
        <f t="shared" si="975"/>
        <v>-2251105.0623857621</v>
      </c>
      <c r="R400">
        <f t="shared" si="976"/>
        <v>-21292325.056898683</v>
      </c>
      <c r="S400">
        <f t="shared" si="977"/>
        <v>-212.92325056898684</v>
      </c>
      <c r="T400">
        <f t="shared" si="978"/>
        <v>-0.21292325056898684</v>
      </c>
    </row>
    <row r="401" spans="1:20" x14ac:dyDescent="0.25">
      <c r="A401" s="5">
        <v>44192</v>
      </c>
      <c r="B401">
        <v>0.57992999999999995</v>
      </c>
      <c r="C401">
        <v>0.62775999999999998</v>
      </c>
      <c r="D401">
        <v>0.51865000000000006</v>
      </c>
      <c r="E401">
        <v>0.59955000000000003</v>
      </c>
      <c r="F401">
        <v>4635638.5999999996</v>
      </c>
      <c r="G401">
        <v>0</v>
      </c>
      <c r="L401" t="s">
        <v>7</v>
      </c>
      <c r="M401" t="s">
        <v>7</v>
      </c>
      <c r="N401" t="s">
        <v>8</v>
      </c>
      <c r="P401">
        <f t="shared" si="974"/>
        <v>0.48290715791403216</v>
      </c>
      <c r="Q401">
        <f t="shared" si="975"/>
        <v>2238583.0614425829</v>
      </c>
      <c r="R401">
        <f t="shared" si="976"/>
        <v>-19041219.994512919</v>
      </c>
      <c r="S401">
        <f t="shared" si="977"/>
        <v>-190.4121999451292</v>
      </c>
      <c r="T401">
        <f t="shared" si="978"/>
        <v>-0.1904121999451292</v>
      </c>
    </row>
    <row r="402" spans="1:20" x14ac:dyDescent="0.25">
      <c r="A402" s="5">
        <v>44191</v>
      </c>
      <c r="B402">
        <v>0.59872999999999998</v>
      </c>
      <c r="C402">
        <v>0.61819000000000002</v>
      </c>
      <c r="D402">
        <v>0.53693000000000002</v>
      </c>
      <c r="E402">
        <v>0.57926999999999995</v>
      </c>
      <c r="F402">
        <v>3744838.9</v>
      </c>
      <c r="G402">
        <v>0</v>
      </c>
      <c r="L402" t="s">
        <v>7</v>
      </c>
      <c r="M402" t="s">
        <v>7</v>
      </c>
      <c r="N402" t="s">
        <v>8</v>
      </c>
      <c r="P402">
        <f t="shared" si="974"/>
        <v>4.2087127738122912E-2</v>
      </c>
      <c r="Q402">
        <f t="shared" si="975"/>
        <v>157609.51314299169</v>
      </c>
      <c r="R402">
        <f t="shared" si="976"/>
        <v>-21279803.055955503</v>
      </c>
      <c r="S402">
        <f t="shared" si="977"/>
        <v>-212.79803055955503</v>
      </c>
      <c r="T402">
        <f t="shared" si="978"/>
        <v>-0.21279803055955504</v>
      </c>
    </row>
    <row r="403" spans="1:20" x14ac:dyDescent="0.25">
      <c r="A403" s="5">
        <v>44190</v>
      </c>
      <c r="B403">
        <v>0.63934000000000002</v>
      </c>
      <c r="C403">
        <v>0.66749999999999998</v>
      </c>
      <c r="D403">
        <v>0.57679000000000002</v>
      </c>
      <c r="E403">
        <v>0.59892000000000001</v>
      </c>
      <c r="F403">
        <v>5203590.5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-0.51207143644581643</v>
      </c>
      <c r="Q403">
        <f t="shared" si="975"/>
        <v>-2664610.0620108042</v>
      </c>
      <c r="R403">
        <f t="shared" si="976"/>
        <v>-21437412.569098495</v>
      </c>
      <c r="S403">
        <f t="shared" si="977"/>
        <v>-214.37412569098495</v>
      </c>
      <c r="T403">
        <f t="shared" si="978"/>
        <v>-0.21437412569098496</v>
      </c>
    </row>
    <row r="404" spans="1:20" x14ac:dyDescent="0.25">
      <c r="A404" s="5">
        <v>44189</v>
      </c>
      <c r="B404">
        <v>0.53305999999999998</v>
      </c>
      <c r="C404">
        <v>0.64853000000000005</v>
      </c>
      <c r="D404">
        <v>0.46303</v>
      </c>
      <c r="E404">
        <v>0.63998999999999995</v>
      </c>
      <c r="F404">
        <v>9188878.1999999993</v>
      </c>
      <c r="G404">
        <v>0</v>
      </c>
      <c r="L404" t="s">
        <v>8</v>
      </c>
      <c r="M404" t="s">
        <v>8</v>
      </c>
      <c r="N404" t="s">
        <v>8</v>
      </c>
      <c r="P404">
        <f t="shared" si="974"/>
        <v>0.90792452830188575</v>
      </c>
      <c r="Q404">
        <f t="shared" si="975"/>
        <v>8342807.9053584803</v>
      </c>
      <c r="R404">
        <f t="shared" si="976"/>
        <v>-18772802.507087693</v>
      </c>
      <c r="S404">
        <f t="shared" si="977"/>
        <v>-187.72802507087692</v>
      </c>
      <c r="T404">
        <f t="shared" si="978"/>
        <v>-0.18772802507087694</v>
      </c>
    </row>
    <row r="405" spans="1:20" x14ac:dyDescent="0.25">
      <c r="A405" s="5">
        <v>44188</v>
      </c>
      <c r="B405">
        <v>0.65480000000000005</v>
      </c>
      <c r="C405">
        <v>0.66</v>
      </c>
      <c r="D405">
        <v>0.45876</v>
      </c>
      <c r="E405">
        <v>0.54144999999999999</v>
      </c>
      <c r="F405">
        <v>7727834.5999999996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-0.17819518982309707</v>
      </c>
      <c r="Q405">
        <f t="shared" si="975"/>
        <v>-1377062.9534684974</v>
      </c>
      <c r="R405">
        <f t="shared" si="976"/>
        <v>-27115610.412446171</v>
      </c>
      <c r="S405">
        <f t="shared" si="977"/>
        <v>-271.15610412446171</v>
      </c>
      <c r="T405">
        <f t="shared" si="978"/>
        <v>-0.27115610412446173</v>
      </c>
    </row>
    <row r="406" spans="1:20" x14ac:dyDescent="0.25">
      <c r="A406" s="5">
        <v>44187</v>
      </c>
      <c r="B406">
        <v>0.63973000000000002</v>
      </c>
      <c r="C406">
        <v>0.6613</v>
      </c>
      <c r="D406">
        <v>0.58679999999999999</v>
      </c>
      <c r="E406">
        <v>0.65483000000000002</v>
      </c>
      <c r="F406">
        <v>3625380.1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0.8263087248322154</v>
      </c>
      <c r="Q406">
        <f t="shared" si="975"/>
        <v>2995683.2074630898</v>
      </c>
      <c r="R406">
        <f t="shared" si="976"/>
        <v>-25738547.458977673</v>
      </c>
      <c r="S406">
        <f t="shared" si="977"/>
        <v>-257.38547458977672</v>
      </c>
      <c r="T406">
        <f t="shared" si="978"/>
        <v>-0.25738547458977673</v>
      </c>
    </row>
    <row r="407" spans="1:20" x14ac:dyDescent="0.25">
      <c r="A407" s="5">
        <v>44186</v>
      </c>
      <c r="B407">
        <v>0.68669000000000002</v>
      </c>
      <c r="C407">
        <v>0.71687999999999996</v>
      </c>
      <c r="D407">
        <v>0.59619999999999995</v>
      </c>
      <c r="E407">
        <v>0.63978000000000002</v>
      </c>
      <c r="F407">
        <v>5461463.2999999998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-0.27775936360623038</v>
      </c>
      <c r="Q407">
        <f t="shared" si="975"/>
        <v>-1516972.5705667827</v>
      </c>
      <c r="R407">
        <f t="shared" si="976"/>
        <v>-28734230.666440763</v>
      </c>
      <c r="S407">
        <f t="shared" si="977"/>
        <v>-287.3423066644076</v>
      </c>
      <c r="T407">
        <f t="shared" si="978"/>
        <v>-0.28734230666440758</v>
      </c>
    </row>
    <row r="408" spans="1:20" x14ac:dyDescent="0.25">
      <c r="A408" s="5">
        <v>44185</v>
      </c>
      <c r="B408">
        <v>0.75758000000000003</v>
      </c>
      <c r="C408">
        <v>0.78888000000000003</v>
      </c>
      <c r="D408">
        <v>0.66164999999999996</v>
      </c>
      <c r="E408">
        <v>0.68945000000000001</v>
      </c>
      <c r="F408">
        <v>5208236.7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-0.56299614870706538</v>
      </c>
      <c r="Q408">
        <f t="shared" si="975"/>
        <v>-2932217.2036547954</v>
      </c>
      <c r="R408">
        <f t="shared" si="976"/>
        <v>-27217258.095873978</v>
      </c>
      <c r="S408">
        <f t="shared" si="977"/>
        <v>-272.17258095873979</v>
      </c>
      <c r="T408">
        <f t="shared" si="978"/>
        <v>-0.27217258095873981</v>
      </c>
    </row>
    <row r="409" spans="1:20" x14ac:dyDescent="0.25">
      <c r="A409" s="5">
        <v>44184</v>
      </c>
      <c r="B409">
        <v>0.82440000000000002</v>
      </c>
      <c r="C409">
        <v>0.85640000000000005</v>
      </c>
      <c r="D409">
        <v>0.74628000000000005</v>
      </c>
      <c r="E409">
        <v>0.75768000000000002</v>
      </c>
      <c r="F409">
        <v>6975018.7000000002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-0.79295314202688039</v>
      </c>
      <c r="Q409">
        <f t="shared" si="975"/>
        <v>-5530862.9938612469</v>
      </c>
      <c r="R409">
        <f t="shared" si="976"/>
        <v>-24285040.892219182</v>
      </c>
      <c r="S409">
        <f t="shared" si="977"/>
        <v>-242.85040892219183</v>
      </c>
      <c r="T409">
        <f t="shared" si="978"/>
        <v>-0.24285040892219184</v>
      </c>
    </row>
    <row r="410" spans="1:20" x14ac:dyDescent="0.25">
      <c r="A410" s="5">
        <v>44183</v>
      </c>
      <c r="B410">
        <v>0.71135999999999999</v>
      </c>
      <c r="C410">
        <v>0.84658999999999995</v>
      </c>
      <c r="D410">
        <v>0.68001</v>
      </c>
      <c r="E410">
        <v>0.82440000000000002</v>
      </c>
      <c r="F410">
        <v>11035783.1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0.7335814623604282</v>
      </c>
      <c r="Q410">
        <f t="shared" si="975"/>
        <v>8095645.9047904992</v>
      </c>
      <c r="R410">
        <f t="shared" si="976"/>
        <v>-18754177.898357935</v>
      </c>
      <c r="S410">
        <f t="shared" si="977"/>
        <v>-187.54177898357935</v>
      </c>
      <c r="T410">
        <f t="shared" si="978"/>
        <v>-0.18754177898357935</v>
      </c>
    </row>
    <row r="411" spans="1:20" x14ac:dyDescent="0.25">
      <c r="A411" s="5">
        <v>44182</v>
      </c>
      <c r="B411">
        <v>0.74504999999999999</v>
      </c>
      <c r="C411">
        <v>0.76968000000000003</v>
      </c>
      <c r="D411">
        <v>0.68500000000000005</v>
      </c>
      <c r="E411">
        <v>0.71199999999999997</v>
      </c>
      <c r="F411">
        <v>10511328.5</v>
      </c>
      <c r="G411">
        <v>0</v>
      </c>
      <c r="L411" t="s">
        <v>7</v>
      </c>
      <c r="M411" t="s">
        <v>8</v>
      </c>
      <c r="N411" t="s">
        <v>8</v>
      </c>
      <c r="P411">
        <f t="shared" si="974"/>
        <v>-0.36230514879546716</v>
      </c>
      <c r="Q411">
        <f t="shared" si="975"/>
        <v>-3808308.4362305347</v>
      </c>
      <c r="R411">
        <f t="shared" si="976"/>
        <v>-26849823.803148434</v>
      </c>
      <c r="S411">
        <f t="shared" si="977"/>
        <v>-268.49823803148433</v>
      </c>
      <c r="T411">
        <f t="shared" si="978"/>
        <v>-0.26849823803148432</v>
      </c>
    </row>
    <row r="412" spans="1:20" x14ac:dyDescent="0.25">
      <c r="A412" s="5">
        <v>44181</v>
      </c>
      <c r="B412">
        <v>0.72974000000000006</v>
      </c>
      <c r="C412">
        <v>0.8</v>
      </c>
      <c r="D412">
        <v>0.69052999999999998</v>
      </c>
      <c r="E412">
        <v>0.74243999999999999</v>
      </c>
      <c r="F412">
        <v>14892463.199999999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-5.161231387594812E-2</v>
      </c>
      <c r="Q412">
        <f t="shared" si="975"/>
        <v>-768634.48506440665</v>
      </c>
      <c r="R412">
        <f t="shared" si="976"/>
        <v>-23041515.366917897</v>
      </c>
      <c r="S412">
        <f t="shared" si="977"/>
        <v>-230.41515366917898</v>
      </c>
      <c r="T412">
        <f t="shared" si="978"/>
        <v>-0.23041515366917897</v>
      </c>
    </row>
    <row r="413" spans="1:20" x14ac:dyDescent="0.25">
      <c r="A413" s="5">
        <v>44180</v>
      </c>
      <c r="B413">
        <v>0.63932999999999995</v>
      </c>
      <c r="C413">
        <v>0.74950000000000006</v>
      </c>
      <c r="D413">
        <v>0.60795999999999994</v>
      </c>
      <c r="E413">
        <v>0.72974000000000006</v>
      </c>
      <c r="F413">
        <v>9886558.6999999993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0.72078564363430853</v>
      </c>
      <c r="Q413">
        <f t="shared" si="975"/>
        <v>7126089.5759078721</v>
      </c>
      <c r="R413">
        <f t="shared" si="976"/>
        <v>-22272880.881853491</v>
      </c>
      <c r="S413">
        <f t="shared" si="977"/>
        <v>-222.7288088185349</v>
      </c>
      <c r="T413">
        <f t="shared" si="978"/>
        <v>-0.22272880881853491</v>
      </c>
    </row>
    <row r="414" spans="1:20" x14ac:dyDescent="0.25">
      <c r="A414" s="5">
        <v>44179</v>
      </c>
      <c r="B414">
        <v>0.61377000000000004</v>
      </c>
      <c r="C414">
        <v>0.66900000000000004</v>
      </c>
      <c r="D414">
        <v>0.57862000000000002</v>
      </c>
      <c r="E414">
        <v>0.63805000000000001</v>
      </c>
      <c r="F414">
        <v>8750266.5999999996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0.31511396326620872</v>
      </c>
      <c r="Q414">
        <f t="shared" si="975"/>
        <v>2757331.1879619327</v>
      </c>
      <c r="R414">
        <f t="shared" si="976"/>
        <v>-29398970.457761362</v>
      </c>
      <c r="S414">
        <f t="shared" si="977"/>
        <v>-293.98970457761362</v>
      </c>
      <c r="T414">
        <f t="shared" si="978"/>
        <v>-0.29398970457761364</v>
      </c>
    </row>
    <row r="415" spans="1:20" x14ac:dyDescent="0.25">
      <c r="A415" s="5">
        <v>44178</v>
      </c>
      <c r="B415">
        <v>0.57816999999999996</v>
      </c>
      <c r="C415">
        <v>0.61939999999999995</v>
      </c>
      <c r="D415">
        <v>0.56366000000000005</v>
      </c>
      <c r="E415">
        <v>0.6139</v>
      </c>
      <c r="F415">
        <v>4542419.9000000004</v>
      </c>
      <c r="G415">
        <v>0</v>
      </c>
      <c r="L415" t="s">
        <v>7</v>
      </c>
      <c r="M415" t="s">
        <v>8</v>
      </c>
      <c r="N415" t="s">
        <v>8</v>
      </c>
      <c r="P415">
        <f t="shared" si="974"/>
        <v>0.80265518478651021</v>
      </c>
      <c r="Q415">
        <f t="shared" si="975"/>
        <v>3645996.8842124217</v>
      </c>
      <c r="R415">
        <f t="shared" si="976"/>
        <v>-32156301.645723294</v>
      </c>
      <c r="S415">
        <f t="shared" si="977"/>
        <v>-321.56301645723295</v>
      </c>
      <c r="T415">
        <f t="shared" si="978"/>
        <v>-0.32156301645723295</v>
      </c>
    </row>
    <row r="416" spans="1:20" x14ac:dyDescent="0.25">
      <c r="A416" s="5">
        <v>44177</v>
      </c>
      <c r="B416">
        <v>0.55030999999999997</v>
      </c>
      <c r="C416">
        <v>0.63</v>
      </c>
      <c r="D416">
        <v>0.55030999999999997</v>
      </c>
      <c r="E416">
        <v>0.57816000000000001</v>
      </c>
      <c r="F416">
        <v>6355323.2000000002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-0.3010415359518126</v>
      </c>
      <c r="Q416">
        <f t="shared" si="975"/>
        <v>-1913216.2575981887</v>
      </c>
      <c r="R416">
        <f t="shared" si="976"/>
        <v>-35802298.529935718</v>
      </c>
      <c r="S416">
        <f t="shared" si="977"/>
        <v>-358.02298529935717</v>
      </c>
      <c r="T416">
        <f t="shared" si="978"/>
        <v>-0.35802298529935717</v>
      </c>
    </row>
    <row r="417" spans="1:20" x14ac:dyDescent="0.25">
      <c r="A417" s="5">
        <v>44176</v>
      </c>
      <c r="B417">
        <v>0.56464999999999999</v>
      </c>
      <c r="C417">
        <v>0.57799999999999996</v>
      </c>
      <c r="D417">
        <v>0.497</v>
      </c>
      <c r="E417">
        <v>0.55064999999999997</v>
      </c>
      <c r="F417">
        <v>8110506.5999999996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0.3246913580246914</v>
      </c>
      <c r="Q417">
        <f t="shared" si="975"/>
        <v>2633411.4022222226</v>
      </c>
      <c r="R417">
        <f t="shared" si="976"/>
        <v>-33889082.272337526</v>
      </c>
      <c r="S417">
        <f t="shared" si="977"/>
        <v>-338.89082272337527</v>
      </c>
      <c r="T417">
        <f t="shared" si="978"/>
        <v>-0.33889082272337528</v>
      </c>
    </row>
    <row r="418" spans="1:20" x14ac:dyDescent="0.25">
      <c r="A418" s="5">
        <v>44175</v>
      </c>
      <c r="B418">
        <v>0.62744</v>
      </c>
      <c r="C418">
        <v>0.63900000000000001</v>
      </c>
      <c r="D418">
        <v>0.55086999999999997</v>
      </c>
      <c r="E418">
        <v>0.56381000000000003</v>
      </c>
      <c r="F418">
        <v>7298080.5999999996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-0.70634290253035159</v>
      </c>
      <c r="Q418">
        <f t="shared" si="975"/>
        <v>-5154947.4339044495</v>
      </c>
      <c r="R418">
        <f t="shared" si="976"/>
        <v>-36522493.67455975</v>
      </c>
      <c r="S418">
        <f t="shared" si="977"/>
        <v>-365.22493674559752</v>
      </c>
      <c r="T418">
        <f t="shared" si="978"/>
        <v>-0.36522493674559753</v>
      </c>
    </row>
    <row r="419" spans="1:20" x14ac:dyDescent="0.25">
      <c r="A419" s="5">
        <v>44174</v>
      </c>
      <c r="B419">
        <v>0.57106999999999997</v>
      </c>
      <c r="C419">
        <v>0.68298000000000003</v>
      </c>
      <c r="D419">
        <v>0.55633999999999995</v>
      </c>
      <c r="E419">
        <v>0.62748999999999999</v>
      </c>
      <c r="F419">
        <v>16998699.699999999</v>
      </c>
      <c r="G419">
        <v>0</v>
      </c>
      <c r="L419" t="s">
        <v>8</v>
      </c>
      <c r="M419" t="s">
        <v>8</v>
      </c>
      <c r="N419" t="s">
        <v>8</v>
      </c>
      <c r="P419">
        <f t="shared" si="974"/>
        <v>0.12365761212886921</v>
      </c>
      <c r="Q419">
        <f t="shared" si="975"/>
        <v>2102018.6141977254</v>
      </c>
      <c r="R419">
        <f t="shared" si="976"/>
        <v>-31367546.240655303</v>
      </c>
      <c r="S419">
        <f t="shared" si="977"/>
        <v>-313.67546240655304</v>
      </c>
      <c r="T419">
        <f t="shared" si="978"/>
        <v>-0.31367546240655303</v>
      </c>
    </row>
    <row r="420" spans="1:20" x14ac:dyDescent="0.25">
      <c r="A420" s="5">
        <v>44173</v>
      </c>
      <c r="B420">
        <v>0.56147000000000002</v>
      </c>
      <c r="C420">
        <v>0.67100000000000004</v>
      </c>
      <c r="D420">
        <v>0.52195999999999998</v>
      </c>
      <c r="E420">
        <v>0.57111000000000001</v>
      </c>
      <c r="F420">
        <v>24113442.100000001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-0.34044551798174977</v>
      </c>
      <c r="Q420">
        <f t="shared" si="975"/>
        <v>-8209313.2860574322</v>
      </c>
      <c r="R420">
        <f t="shared" si="976"/>
        <v>-33469564.85485303</v>
      </c>
      <c r="S420">
        <f t="shared" si="977"/>
        <v>-334.6956485485303</v>
      </c>
      <c r="T420">
        <f t="shared" si="978"/>
        <v>-0.33469564854853029</v>
      </c>
    </row>
    <row r="421" spans="1:20" x14ac:dyDescent="0.25">
      <c r="A421" s="5">
        <v>44172</v>
      </c>
      <c r="B421">
        <v>0.48108000000000001</v>
      </c>
      <c r="C421">
        <v>0.57969999999999999</v>
      </c>
      <c r="D421">
        <v>0.46771000000000001</v>
      </c>
      <c r="E421">
        <v>0.56057000000000001</v>
      </c>
      <c r="F421">
        <v>13081302.300000001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0.65836235378158792</v>
      </c>
      <c r="Q421">
        <f t="shared" si="975"/>
        <v>8612236.9727564994</v>
      </c>
      <c r="R421">
        <f t="shared" si="976"/>
        <v>-25260251.568795599</v>
      </c>
      <c r="S421">
        <f t="shared" si="977"/>
        <v>-252.60251568795599</v>
      </c>
      <c r="T421">
        <f t="shared" si="978"/>
        <v>-0.252602515687956</v>
      </c>
    </row>
    <row r="422" spans="1:20" x14ac:dyDescent="0.25">
      <c r="A422" s="5">
        <v>44171</v>
      </c>
      <c r="B422">
        <v>0.47613</v>
      </c>
      <c r="C422">
        <v>0.48599999999999999</v>
      </c>
      <c r="D422">
        <v>0.442</v>
      </c>
      <c r="E422">
        <v>0.47941</v>
      </c>
      <c r="F422">
        <v>3896628.1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0.700454545454546</v>
      </c>
      <c r="Q422">
        <f t="shared" si="975"/>
        <v>2729410.8645909112</v>
      </c>
      <c r="R422">
        <f t="shared" si="976"/>
        <v>-33872488.541552097</v>
      </c>
      <c r="S422">
        <f t="shared" si="977"/>
        <v>-338.72488541552099</v>
      </c>
      <c r="T422">
        <f t="shared" si="978"/>
        <v>-0.33872488541552098</v>
      </c>
    </row>
    <row r="423" spans="1:20" x14ac:dyDescent="0.25">
      <c r="A423" s="5">
        <v>44170</v>
      </c>
      <c r="B423">
        <v>0.42970999999999998</v>
      </c>
      <c r="C423">
        <v>0.48464000000000002</v>
      </c>
      <c r="D423">
        <v>0.42088999999999999</v>
      </c>
      <c r="E423">
        <v>0.47599999999999998</v>
      </c>
      <c r="F423">
        <v>4706593.9000000004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0.7289411764705872</v>
      </c>
      <c r="Q423">
        <f t="shared" si="975"/>
        <v>3430830.0946352896</v>
      </c>
      <c r="R423">
        <f t="shared" si="976"/>
        <v>-36601899.40614301</v>
      </c>
      <c r="S423">
        <f t="shared" si="977"/>
        <v>-366.01899406143008</v>
      </c>
      <c r="T423">
        <f t="shared" si="978"/>
        <v>-0.36601899406143007</v>
      </c>
    </row>
    <row r="424" spans="1:20" x14ac:dyDescent="0.25">
      <c r="A424" s="5">
        <v>44169</v>
      </c>
      <c r="B424">
        <v>0.51188</v>
      </c>
      <c r="C424">
        <v>0.51459999999999995</v>
      </c>
      <c r="D424">
        <v>0.41896</v>
      </c>
      <c r="E424">
        <v>0.43118000000000001</v>
      </c>
      <c r="F424">
        <v>6632893.7000000002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-0.74445838561271405</v>
      </c>
      <c r="Q424">
        <f t="shared" si="975"/>
        <v>-4937913.3358427417</v>
      </c>
      <c r="R424">
        <f t="shared" si="976"/>
        <v>-40032729.500778303</v>
      </c>
      <c r="S424">
        <f t="shared" si="977"/>
        <v>-400.32729500778305</v>
      </c>
      <c r="T424">
        <f t="shared" si="978"/>
        <v>-0.40032729500778302</v>
      </c>
    </row>
    <row r="425" spans="1:20" x14ac:dyDescent="0.25">
      <c r="A425" s="5">
        <v>44168</v>
      </c>
      <c r="B425">
        <v>0.49708999999999998</v>
      </c>
      <c r="C425">
        <v>0.53646000000000005</v>
      </c>
      <c r="D425">
        <v>0.48174</v>
      </c>
      <c r="E425">
        <v>0.51207999999999998</v>
      </c>
      <c r="F425">
        <v>6979046.7000000002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0.10891812865496903</v>
      </c>
      <c r="Q425">
        <f t="shared" si="975"/>
        <v>760144.70635963709</v>
      </c>
      <c r="R425">
        <f t="shared" si="976"/>
        <v>-35094816.164935559</v>
      </c>
      <c r="S425">
        <f t="shared" si="977"/>
        <v>-350.9481616493556</v>
      </c>
      <c r="T425">
        <f t="shared" si="978"/>
        <v>-0.35094816164935561</v>
      </c>
    </row>
    <row r="426" spans="1:20" x14ac:dyDescent="0.25">
      <c r="A426" s="5">
        <v>44167</v>
      </c>
      <c r="B426">
        <v>0.40962999999999999</v>
      </c>
      <c r="C426">
        <v>0.51719999999999999</v>
      </c>
      <c r="D426">
        <v>0.4</v>
      </c>
      <c r="E426">
        <v>0.49817</v>
      </c>
      <c r="F426">
        <v>13288230.300000001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0.67525597269624582</v>
      </c>
      <c r="Q426">
        <f t="shared" si="975"/>
        <v>8972956.8766382262</v>
      </c>
      <c r="R426">
        <f t="shared" si="976"/>
        <v>-35854960.871295199</v>
      </c>
      <c r="S426">
        <f t="shared" si="977"/>
        <v>-358.54960871295197</v>
      </c>
      <c r="T426">
        <f t="shared" si="978"/>
        <v>-0.35854960871295194</v>
      </c>
    </row>
    <row r="427" spans="1:20" x14ac:dyDescent="0.25">
      <c r="A427" s="5">
        <v>44166</v>
      </c>
      <c r="B427">
        <v>0.45644000000000001</v>
      </c>
      <c r="C427">
        <v>0.46500000000000002</v>
      </c>
      <c r="D427">
        <v>0.4</v>
      </c>
      <c r="E427">
        <v>0.41193999999999997</v>
      </c>
      <c r="F427">
        <v>6617986.5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-0.63261538461538613</v>
      </c>
      <c r="Q427">
        <f t="shared" si="975"/>
        <v>-4186640.075076933</v>
      </c>
      <c r="R427">
        <f t="shared" si="976"/>
        <v>-44827917.747933425</v>
      </c>
      <c r="S427">
        <f t="shared" si="977"/>
        <v>-448.27917747933424</v>
      </c>
      <c r="T427">
        <f t="shared" si="978"/>
        <v>-0.44827917747933421</v>
      </c>
    </row>
    <row r="428" spans="1:20" x14ac:dyDescent="0.25">
      <c r="A428" s="5">
        <v>44165</v>
      </c>
      <c r="B428">
        <v>0.47699999999999998</v>
      </c>
      <c r="C428">
        <v>0.48998000000000003</v>
      </c>
      <c r="D428">
        <v>0.43220999999999998</v>
      </c>
      <c r="E428">
        <v>0.45669999999999999</v>
      </c>
      <c r="F428">
        <v>9428590.5999999996</v>
      </c>
      <c r="G428">
        <v>0</v>
      </c>
      <c r="L428" t="s">
        <v>7</v>
      </c>
      <c r="M428" t="s">
        <v>8</v>
      </c>
      <c r="N428" t="s">
        <v>8</v>
      </c>
      <c r="P428">
        <f t="shared" si="974"/>
        <v>-0.15215509780162736</v>
      </c>
      <c r="Q428">
        <f t="shared" si="975"/>
        <v>-1434608.1248745043</v>
      </c>
      <c r="R428">
        <f t="shared" si="976"/>
        <v>-40641277.672856495</v>
      </c>
      <c r="S428">
        <f t="shared" si="977"/>
        <v>-406.41277672856495</v>
      </c>
      <c r="T428">
        <f t="shared" si="978"/>
        <v>-0.40641277672856496</v>
      </c>
    </row>
    <row r="429" spans="1:20" x14ac:dyDescent="0.25">
      <c r="A429" s="5">
        <v>44164</v>
      </c>
      <c r="B429">
        <v>0.42819000000000002</v>
      </c>
      <c r="C429">
        <v>0.49597999999999998</v>
      </c>
      <c r="D429">
        <v>0.40906999999999999</v>
      </c>
      <c r="E429">
        <v>0.47698000000000002</v>
      </c>
      <c r="F429">
        <v>9536281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0.56276607985272198</v>
      </c>
      <c r="Q429">
        <f t="shared" si="975"/>
        <v>5366695.4747439958</v>
      </c>
      <c r="R429">
        <f t="shared" si="976"/>
        <v>-39206669.547981992</v>
      </c>
      <c r="S429">
        <f t="shared" si="977"/>
        <v>-392.06669547981994</v>
      </c>
      <c r="T429">
        <f t="shared" si="978"/>
        <v>-0.39206669547981993</v>
      </c>
    </row>
    <row r="430" spans="1:20" x14ac:dyDescent="0.25">
      <c r="A430" s="5">
        <v>44163</v>
      </c>
      <c r="B430">
        <v>0.37906000000000001</v>
      </c>
      <c r="C430">
        <v>0.44500000000000001</v>
      </c>
      <c r="D430">
        <v>0.37</v>
      </c>
      <c r="E430">
        <v>0.42823</v>
      </c>
      <c r="F430">
        <v>10358145.699999999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0.55279999999999985</v>
      </c>
      <c r="Q430">
        <f t="shared" si="975"/>
        <v>5725982.9429599978</v>
      </c>
      <c r="R430">
        <f t="shared" si="976"/>
        <v>-44573365.022725984</v>
      </c>
      <c r="S430">
        <f t="shared" si="977"/>
        <v>-445.73365022725983</v>
      </c>
      <c r="T430">
        <f t="shared" si="978"/>
        <v>-0.4457336502272598</v>
      </c>
    </row>
    <row r="431" spans="1:20" x14ac:dyDescent="0.25">
      <c r="A431" s="5">
        <v>44162</v>
      </c>
      <c r="B431">
        <v>0.37014999999999998</v>
      </c>
      <c r="C431">
        <v>0.38429000000000002</v>
      </c>
      <c r="D431">
        <v>0.33504</v>
      </c>
      <c r="E431">
        <v>0.37726999999999999</v>
      </c>
      <c r="F431">
        <v>6148455.2999999998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0.71492385786801937</v>
      </c>
      <c r="Q431">
        <f t="shared" si="975"/>
        <v>4395677.3830050705</v>
      </c>
      <c r="R431">
        <f t="shared" si="976"/>
        <v>-50299347.965685979</v>
      </c>
      <c r="S431">
        <f t="shared" si="977"/>
        <v>-502.99347965685979</v>
      </c>
      <c r="T431">
        <f t="shared" si="978"/>
        <v>-0.50299347965685981</v>
      </c>
    </row>
    <row r="432" spans="1:20" x14ac:dyDescent="0.25">
      <c r="A432" s="5">
        <v>44161</v>
      </c>
      <c r="B432">
        <v>0.41693000000000002</v>
      </c>
      <c r="C432">
        <v>0.41992000000000002</v>
      </c>
      <c r="D432">
        <v>0.31562000000000001</v>
      </c>
      <c r="E432">
        <v>0.37014000000000002</v>
      </c>
      <c r="F432">
        <v>8374950.5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4.5445829338447E-2</v>
      </c>
      <c r="Q432">
        <f t="shared" si="975"/>
        <v>380606.57114094135</v>
      </c>
      <c r="R432">
        <f t="shared" si="976"/>
        <v>-54695025.348691046</v>
      </c>
      <c r="S432">
        <f t="shared" si="977"/>
        <v>-546.95025348691047</v>
      </c>
      <c r="T432">
        <f t="shared" si="978"/>
        <v>-0.54695025348691051</v>
      </c>
    </row>
    <row r="433" spans="1:20" x14ac:dyDescent="0.25">
      <c r="A433" s="5">
        <v>44160</v>
      </c>
      <c r="B433">
        <v>0.47921000000000002</v>
      </c>
      <c r="C433">
        <v>0.48725000000000002</v>
      </c>
      <c r="D433">
        <v>0.39117000000000002</v>
      </c>
      <c r="E433">
        <v>0.41597000000000001</v>
      </c>
      <c r="F433">
        <v>6851373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-0.48376353039134079</v>
      </c>
      <c r="Q433">
        <f t="shared" si="975"/>
        <v>-3314444.3905079118</v>
      </c>
      <c r="R433">
        <f t="shared" si="976"/>
        <v>-55075631.919831991</v>
      </c>
      <c r="S433">
        <f t="shared" si="977"/>
        <v>-550.75631919831994</v>
      </c>
      <c r="T433">
        <f t="shared" si="978"/>
        <v>-0.55075631919831991</v>
      </c>
    </row>
    <row r="434" spans="1:20" x14ac:dyDescent="0.25">
      <c r="A434" s="5">
        <v>44159</v>
      </c>
      <c r="B434">
        <v>0.51087000000000005</v>
      </c>
      <c r="C434">
        <v>0.52198</v>
      </c>
      <c r="D434">
        <v>0.435</v>
      </c>
      <c r="E434">
        <v>0.47771999999999998</v>
      </c>
      <c r="F434">
        <v>11088860.699999999</v>
      </c>
      <c r="G434">
        <v>0</v>
      </c>
      <c r="L434" t="s">
        <v>7</v>
      </c>
      <c r="M434" t="s">
        <v>7</v>
      </c>
      <c r="N434" t="s">
        <v>7</v>
      </c>
      <c r="P434">
        <f t="shared" si="974"/>
        <v>-1.7705219590710981E-2</v>
      </c>
      <c r="Q434">
        <f t="shared" si="975"/>
        <v>-196330.71370430506</v>
      </c>
      <c r="R434">
        <f t="shared" si="976"/>
        <v>-51761187.529324077</v>
      </c>
      <c r="S434">
        <f t="shared" si="977"/>
        <v>-517.61187529324081</v>
      </c>
      <c r="T434">
        <f t="shared" si="978"/>
        <v>-0.51761187529324082</v>
      </c>
    </row>
    <row r="435" spans="1:20" x14ac:dyDescent="0.25">
      <c r="A435" s="5">
        <v>44158</v>
      </c>
      <c r="B435">
        <v>0.42932999999999999</v>
      </c>
      <c r="C435">
        <v>0.54696999999999996</v>
      </c>
      <c r="D435">
        <v>0.41199999999999998</v>
      </c>
      <c r="E435">
        <v>0.51082000000000005</v>
      </c>
      <c r="F435">
        <v>15343853.9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0.46432540564570035</v>
      </c>
      <c r="Q435">
        <f t="shared" si="975"/>
        <v>7124541.1862858618</v>
      </c>
      <c r="R435">
        <f t="shared" si="976"/>
        <v>-51564856.815619774</v>
      </c>
      <c r="S435">
        <f t="shared" si="977"/>
        <v>-515.64856815619771</v>
      </c>
      <c r="T435">
        <f t="shared" si="978"/>
        <v>-0.51564856815619775</v>
      </c>
    </row>
    <row r="436" spans="1:20" x14ac:dyDescent="0.25">
      <c r="A436" s="5">
        <v>44157</v>
      </c>
      <c r="B436">
        <v>0.46788999999999997</v>
      </c>
      <c r="C436">
        <v>0.47338999999999998</v>
      </c>
      <c r="D436">
        <v>0.4</v>
      </c>
      <c r="E436">
        <v>0.42719000000000001</v>
      </c>
      <c r="F436">
        <v>11438805.6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-0.25902711541081869</v>
      </c>
      <c r="Q436">
        <f t="shared" si="975"/>
        <v>-2962960.818313119</v>
      </c>
      <c r="R436">
        <f t="shared" si="976"/>
        <v>-58689398.001905635</v>
      </c>
      <c r="S436">
        <f t="shared" si="977"/>
        <v>-586.89398001905636</v>
      </c>
      <c r="T436">
        <f t="shared" si="978"/>
        <v>-0.58689398001905635</v>
      </c>
    </row>
    <row r="437" spans="1:20" x14ac:dyDescent="0.25">
      <c r="A437" s="5">
        <v>44156</v>
      </c>
      <c r="B437">
        <v>0.49825999999999998</v>
      </c>
      <c r="C437">
        <v>0.53659999999999997</v>
      </c>
      <c r="D437">
        <v>0.45602999999999999</v>
      </c>
      <c r="E437">
        <v>0.46800000000000003</v>
      </c>
      <c r="F437">
        <v>9591165.1999999993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-0.70286707211120669</v>
      </c>
      <c r="Q437">
        <f t="shared" si="975"/>
        <v>-6741314.2022588961</v>
      </c>
      <c r="R437">
        <f t="shared" si="976"/>
        <v>-55726437.183592513</v>
      </c>
      <c r="S437">
        <f t="shared" si="977"/>
        <v>-557.26437183592509</v>
      </c>
      <c r="T437">
        <f t="shared" si="978"/>
        <v>-0.55726437183592514</v>
      </c>
    </row>
    <row r="438" spans="1:20" x14ac:dyDescent="0.25">
      <c r="A438" s="5">
        <v>44155</v>
      </c>
      <c r="B438">
        <v>0.44113000000000002</v>
      </c>
      <c r="C438">
        <v>0.54620000000000002</v>
      </c>
      <c r="D438">
        <v>0.43</v>
      </c>
      <c r="E438">
        <v>0.49887999999999999</v>
      </c>
      <c r="F438">
        <v>16837674.199999999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0.18554216867469847</v>
      </c>
      <c r="Q438">
        <f t="shared" si="975"/>
        <v>3124098.5865060184</v>
      </c>
      <c r="R438">
        <f t="shared" si="976"/>
        <v>-48985122.981333621</v>
      </c>
      <c r="S438">
        <f t="shared" si="977"/>
        <v>-489.8512298133362</v>
      </c>
      <c r="T438">
        <f t="shared" si="978"/>
        <v>-0.48985122981333623</v>
      </c>
    </row>
    <row r="439" spans="1:20" x14ac:dyDescent="0.25">
      <c r="A439" s="5">
        <v>44154</v>
      </c>
      <c r="B439">
        <v>0.51649999999999996</v>
      </c>
      <c r="C439">
        <v>0.56000000000000005</v>
      </c>
      <c r="D439">
        <v>0.43334</v>
      </c>
      <c r="E439">
        <v>0.43820999999999999</v>
      </c>
      <c r="F439">
        <v>12250627.800000001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-0.92310121585346627</v>
      </c>
      <c r="Q439">
        <f t="shared" si="975"/>
        <v>-11308569.417148275</v>
      </c>
      <c r="R439">
        <f t="shared" si="976"/>
        <v>-52109221.567839637</v>
      </c>
      <c r="S439">
        <f t="shared" si="977"/>
        <v>-521.09221567839643</v>
      </c>
      <c r="T439">
        <f t="shared" si="978"/>
        <v>-0.52109221567839648</v>
      </c>
    </row>
    <row r="440" spans="1:20" x14ac:dyDescent="0.25">
      <c r="A440" s="5">
        <v>44153</v>
      </c>
      <c r="B440">
        <v>0.50244999999999995</v>
      </c>
      <c r="C440">
        <v>0.57679000000000002</v>
      </c>
      <c r="D440">
        <v>0.43225000000000002</v>
      </c>
      <c r="E440">
        <v>0.51614000000000004</v>
      </c>
      <c r="F440">
        <v>16066053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0.16078594160785967</v>
      </c>
      <c r="Q440">
        <f t="shared" si="975"/>
        <v>2583195.4595267787</v>
      </c>
      <c r="R440">
        <f t="shared" si="976"/>
        <v>-40800652.15069136</v>
      </c>
      <c r="S440">
        <f t="shared" si="977"/>
        <v>-408.0065215069136</v>
      </c>
      <c r="T440">
        <f t="shared" si="978"/>
        <v>-0.40800652150691358</v>
      </c>
    </row>
    <row r="441" spans="1:20" x14ac:dyDescent="0.25">
      <c r="A441" s="5">
        <v>44152</v>
      </c>
      <c r="B441">
        <v>0.56216999999999995</v>
      </c>
      <c r="C441">
        <v>0.60299999999999998</v>
      </c>
      <c r="D441">
        <v>0.45200000000000001</v>
      </c>
      <c r="E441">
        <v>0.50246000000000002</v>
      </c>
      <c r="F441">
        <v>18710138.800000001</v>
      </c>
      <c r="G441">
        <v>0</v>
      </c>
      <c r="L441" t="s">
        <v>7</v>
      </c>
      <c r="M441" t="s">
        <v>7</v>
      </c>
      <c r="N441" t="s">
        <v>7</v>
      </c>
      <c r="P441">
        <f t="shared" si="974"/>
        <v>-0.33165562913907265</v>
      </c>
      <c r="Q441">
        <f t="shared" si="975"/>
        <v>-6205322.8549933741</v>
      </c>
      <c r="R441">
        <f t="shared" si="976"/>
        <v>-43383847.610218138</v>
      </c>
      <c r="S441">
        <f t="shared" si="977"/>
        <v>-433.8384761021814</v>
      </c>
      <c r="T441">
        <f t="shared" si="978"/>
        <v>-0.4338384761021814</v>
      </c>
    </row>
    <row r="442" spans="1:20" x14ac:dyDescent="0.25">
      <c r="A442" s="5">
        <v>44151</v>
      </c>
      <c r="B442">
        <v>0.59067999999999998</v>
      </c>
      <c r="C442">
        <v>0.67500000000000004</v>
      </c>
      <c r="D442">
        <v>0.53652</v>
      </c>
      <c r="E442">
        <v>0.55918000000000001</v>
      </c>
      <c r="F442">
        <v>19747361.600000001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-0.67273252455228183</v>
      </c>
      <c r="Q442">
        <f t="shared" si="975"/>
        <v>-13284692.422414789</v>
      </c>
      <c r="R442">
        <f t="shared" si="976"/>
        <v>-37178524.755224764</v>
      </c>
      <c r="S442">
        <f t="shared" si="977"/>
        <v>-371.78524755224765</v>
      </c>
      <c r="T442">
        <f t="shared" si="978"/>
        <v>-0.37178524755224768</v>
      </c>
    </row>
    <row r="443" spans="1:20" x14ac:dyDescent="0.25">
      <c r="A443" s="5">
        <v>44150</v>
      </c>
      <c r="B443">
        <v>0.56447000000000003</v>
      </c>
      <c r="C443">
        <v>0.68600000000000005</v>
      </c>
      <c r="D443">
        <v>0.50370999999999999</v>
      </c>
      <c r="E443">
        <v>0.59067999999999998</v>
      </c>
      <c r="F443">
        <v>29184590.800000001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-4.5806133084645768E-2</v>
      </c>
      <c r="Q443">
        <f t="shared" si="975"/>
        <v>-1336833.2502057285</v>
      </c>
      <c r="R443">
        <f t="shared" si="976"/>
        <v>-23893832.332809977</v>
      </c>
      <c r="S443">
        <f t="shared" si="977"/>
        <v>-238.93832332809978</v>
      </c>
      <c r="T443">
        <f t="shared" si="978"/>
        <v>-0.23893832332809978</v>
      </c>
    </row>
    <row r="444" spans="1:20" x14ac:dyDescent="0.25">
      <c r="A444" s="5">
        <v>44149</v>
      </c>
      <c r="B444">
        <v>0.39405000000000001</v>
      </c>
      <c r="C444">
        <v>0.6079</v>
      </c>
      <c r="D444">
        <v>0.37141999999999997</v>
      </c>
      <c r="E444">
        <v>0.56557000000000002</v>
      </c>
      <c r="F444">
        <v>28978696.399999999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0.64199932341001376</v>
      </c>
      <c r="Q444">
        <f t="shared" si="975"/>
        <v>18604303.482104201</v>
      </c>
      <c r="R444">
        <f t="shared" si="976"/>
        <v>-22556999.082604248</v>
      </c>
      <c r="S444">
        <f t="shared" si="977"/>
        <v>-225.56999082604247</v>
      </c>
      <c r="T444">
        <f t="shared" si="978"/>
        <v>-0.22556999082604248</v>
      </c>
    </row>
    <row r="445" spans="1:20" x14ac:dyDescent="0.25">
      <c r="A445" s="5">
        <v>44148</v>
      </c>
      <c r="B445">
        <v>0.31553999999999999</v>
      </c>
      <c r="C445">
        <v>0.43</v>
      </c>
      <c r="D445">
        <v>0.31553999999999999</v>
      </c>
      <c r="E445">
        <v>0.39400000000000002</v>
      </c>
      <c r="F445">
        <v>12076359.300000001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0.3709592870871925</v>
      </c>
      <c r="Q445">
        <f t="shared" si="975"/>
        <v>4479837.6365367873</v>
      </c>
      <c r="R445">
        <f t="shared" si="976"/>
        <v>-41161302.564708449</v>
      </c>
      <c r="S445">
        <f t="shared" si="977"/>
        <v>-411.6130256470845</v>
      </c>
      <c r="T445">
        <f t="shared" si="978"/>
        <v>-0.41161302564708452</v>
      </c>
    </row>
    <row r="446" spans="1:20" x14ac:dyDescent="0.25">
      <c r="A446" s="5">
        <v>44147</v>
      </c>
      <c r="B446">
        <v>0.35034999999999999</v>
      </c>
      <c r="C446">
        <v>0.38891999999999999</v>
      </c>
      <c r="D446">
        <v>0.30276999999999998</v>
      </c>
      <c r="E446">
        <v>0.31330999999999998</v>
      </c>
      <c r="F446">
        <v>10879906.4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-0.75531050493325613</v>
      </c>
      <c r="Q446">
        <f t="shared" si="975"/>
        <v>-8217707.5966105657</v>
      </c>
      <c r="R446">
        <f t="shared" si="976"/>
        <v>-45641140.201245233</v>
      </c>
      <c r="S446">
        <f t="shared" si="977"/>
        <v>-456.41140201245236</v>
      </c>
      <c r="T446">
        <f t="shared" si="978"/>
        <v>-0.45641140201245234</v>
      </c>
    </row>
    <row r="447" spans="1:20" x14ac:dyDescent="0.25">
      <c r="A447" s="5">
        <v>44146</v>
      </c>
      <c r="B447">
        <v>0.27062999999999998</v>
      </c>
      <c r="C447">
        <v>0.437</v>
      </c>
      <c r="D447">
        <v>0.26243</v>
      </c>
      <c r="E447">
        <v>0.35399999999999998</v>
      </c>
      <c r="F447">
        <v>26801310.5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4.9092054763132074E-2</v>
      </c>
      <c r="Q447">
        <f t="shared" si="975"/>
        <v>1315731.4027897066</v>
      </c>
      <c r="R447">
        <f t="shared" si="976"/>
        <v>-37423432.604634665</v>
      </c>
      <c r="S447">
        <f t="shared" si="977"/>
        <v>-374.23432604634667</v>
      </c>
      <c r="T447">
        <f t="shared" si="978"/>
        <v>-0.37423432604634665</v>
      </c>
    </row>
    <row r="448" spans="1:20" x14ac:dyDescent="0.25">
      <c r="A448" s="5">
        <v>44145</v>
      </c>
      <c r="B448">
        <v>0.27977999999999997</v>
      </c>
      <c r="C448">
        <v>0.36917</v>
      </c>
      <c r="D448">
        <v>0.245</v>
      </c>
      <c r="E448">
        <v>0.26967999999999998</v>
      </c>
      <c r="F448">
        <v>20424063.5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-0.60248047032294472</v>
      </c>
      <c r="Q448">
        <f t="shared" si="975"/>
        <v>-12305099.383385688</v>
      </c>
      <c r="R448">
        <f t="shared" si="976"/>
        <v>-38739164.007424369</v>
      </c>
      <c r="S448">
        <f t="shared" si="977"/>
        <v>-387.3916400742437</v>
      </c>
      <c r="T448">
        <f t="shared" si="978"/>
        <v>-0.3873916400742437</v>
      </c>
    </row>
    <row r="449" spans="1:20" x14ac:dyDescent="0.25">
      <c r="A449" s="5">
        <v>44144</v>
      </c>
      <c r="B449">
        <v>0.19716</v>
      </c>
      <c r="C449">
        <v>0.32500000000000001</v>
      </c>
      <c r="D449">
        <v>0.19716</v>
      </c>
      <c r="E449">
        <v>0.27977999999999997</v>
      </c>
      <c r="F449">
        <v>32159035.699999999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0.29255319148936115</v>
      </c>
      <c r="Q449">
        <f t="shared" si="975"/>
        <v>9408228.5292553008</v>
      </c>
      <c r="R449">
        <f t="shared" si="976"/>
        <v>-26434064.624038681</v>
      </c>
      <c r="S449">
        <f t="shared" si="977"/>
        <v>-264.34064624038683</v>
      </c>
      <c r="T449">
        <f t="shared" si="978"/>
        <v>-0.26434064624038683</v>
      </c>
    </row>
    <row r="450" spans="1:20" x14ac:dyDescent="0.25">
      <c r="A450" s="5">
        <v>44143</v>
      </c>
      <c r="B450">
        <v>0.14079</v>
      </c>
      <c r="C450">
        <v>0.24199999999999999</v>
      </c>
      <c r="D450">
        <v>0.13844000000000001</v>
      </c>
      <c r="E450">
        <v>0.19846</v>
      </c>
      <c r="F450">
        <v>29086588.199999999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0.15913480108149861</v>
      </c>
      <c r="Q450">
        <f t="shared" si="975"/>
        <v>4628688.4273464642</v>
      </c>
      <c r="R450">
        <f t="shared" si="976"/>
        <v>-35842293.153293982</v>
      </c>
      <c r="S450">
        <f t="shared" si="977"/>
        <v>-358.4229315329398</v>
      </c>
      <c r="T450">
        <f t="shared" si="978"/>
        <v>-0.3584229315329398</v>
      </c>
    </row>
    <row r="451" spans="1:20" x14ac:dyDescent="0.25">
      <c r="A451" s="5">
        <v>44142</v>
      </c>
      <c r="B451">
        <v>0.14312</v>
      </c>
      <c r="C451">
        <v>0.16985</v>
      </c>
      <c r="D451">
        <v>0.13417999999999999</v>
      </c>
      <c r="E451">
        <v>0.14076</v>
      </c>
      <c r="F451">
        <v>8860012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-0.63106251752172693</v>
      </c>
      <c r="Q451">
        <f t="shared" si="975"/>
        <v>-5591221.4779927107</v>
      </c>
      <c r="R451">
        <f t="shared" si="976"/>
        <v>-40470981.580640443</v>
      </c>
      <c r="S451">
        <f t="shared" si="977"/>
        <v>-404.70981580640444</v>
      </c>
      <c r="T451">
        <f t="shared" si="978"/>
        <v>-0.40470981580640442</v>
      </c>
    </row>
    <row r="452" spans="1:20" x14ac:dyDescent="0.25">
      <c r="A452" s="5">
        <v>44141</v>
      </c>
      <c r="B452">
        <v>0.1341</v>
      </c>
      <c r="C452">
        <v>0.15029000000000001</v>
      </c>
      <c r="D452">
        <v>0.121</v>
      </c>
      <c r="E452">
        <v>0.14399999999999999</v>
      </c>
      <c r="F452">
        <v>15284791</v>
      </c>
      <c r="G452">
        <v>0</v>
      </c>
      <c r="L452" t="s">
        <v>7</v>
      </c>
      <c r="M452" t="s">
        <v>7</v>
      </c>
      <c r="N452" t="s">
        <v>7</v>
      </c>
      <c r="P452">
        <f t="shared" si="974"/>
        <v>0.5705018777739832</v>
      </c>
      <c r="Q452">
        <f t="shared" si="975"/>
        <v>8720001.9668828789</v>
      </c>
      <c r="R452">
        <f t="shared" si="976"/>
        <v>-34879760.102647729</v>
      </c>
      <c r="S452">
        <f t="shared" si="977"/>
        <v>-348.79760102647731</v>
      </c>
      <c r="T452">
        <f t="shared" si="978"/>
        <v>-0.34879760102647733</v>
      </c>
    </row>
    <row r="453" spans="1:20" x14ac:dyDescent="0.25">
      <c r="A453" s="5">
        <v>44140</v>
      </c>
      <c r="B453">
        <v>0.14616999999999999</v>
      </c>
      <c r="C453">
        <v>0.15082000000000001</v>
      </c>
      <c r="D453">
        <v>0.12620000000000001</v>
      </c>
      <c r="E453">
        <v>0.13450000000000001</v>
      </c>
      <c r="F453">
        <v>22903843.699999999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-0.32575142160844833</v>
      </c>
      <c r="Q453">
        <f t="shared" si="975"/>
        <v>-7460959.6455727033</v>
      </c>
      <c r="R453">
        <f t="shared" si="976"/>
        <v>-43599762.069530606</v>
      </c>
      <c r="S453">
        <f t="shared" si="977"/>
        <v>-435.99762069530607</v>
      </c>
      <c r="T453">
        <f t="shared" si="978"/>
        <v>-0.43599762069530607</v>
      </c>
    </row>
    <row r="454" spans="1:20" x14ac:dyDescent="0.25">
      <c r="A454" s="5">
        <v>44139</v>
      </c>
      <c r="B454">
        <v>0.1</v>
      </c>
      <c r="C454">
        <v>0.28999999999999998</v>
      </c>
      <c r="D454">
        <v>0.1</v>
      </c>
      <c r="E454">
        <v>0.14582999999999999</v>
      </c>
      <c r="F454">
        <v>69822782.799999997</v>
      </c>
      <c r="G454">
        <v>0</v>
      </c>
      <c r="P454">
        <f t="shared" ref="P454:P517" si="979">IF(C454=D454,0,((E454-D454)-(C454-E454))/(C454-D454))</f>
        <v>-0.51757894736842114</v>
      </c>
      <c r="Q454">
        <f t="shared" ref="Q454:Q517" si="980">F454*P454</f>
        <v>-36138802.423957899</v>
      </c>
      <c r="R454">
        <f t="shared" ref="R454:R517" si="981">R455+Q454</f>
        <v>-36138802.423957899</v>
      </c>
      <c r="S454">
        <f t="shared" ref="S454:S517" si="982">R454/100000</f>
        <v>-361.38802423957901</v>
      </c>
      <c r="T454">
        <f t="shared" ref="T454:T517" si="983">S454/1000</f>
        <v>-0.361388024239579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F391" sqref="IF39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$A$390</v>
      </c>
      <c r="D111" s="1" t="str">
        <f>ADDRESS(C121-1,D121,1,1)</f>
        <v>$IF$390</v>
      </c>
      <c r="E111"/>
    </row>
    <row r="112" spans="1:5" x14ac:dyDescent="0.25">
      <c r="A112" s="7">
        <v>12164.144957890772</v>
      </c>
      <c r="C112" s="1" t="str">
        <f>ADDRESS(C121,1,1,1)</f>
        <v>$A$391</v>
      </c>
      <c r="D112" s="1" t="str">
        <f>ADDRESS(C121,D121-1,1,1)</f>
        <v>$IE$391</v>
      </c>
      <c r="E112"/>
    </row>
    <row r="113" spans="1:5" x14ac:dyDescent="0.25">
      <c r="A113" s="7">
        <v>11925.63231165762</v>
      </c>
      <c r="C113" s="1" t="str">
        <f>ADDRESS(C121+1,1,1,1)</f>
        <v>$A$392</v>
      </c>
      <c r="D113" s="1" t="str">
        <f>ADDRESS(C121-1,D121+1,1,1)</f>
        <v>$IG$390</v>
      </c>
    </row>
    <row r="114" spans="1:5" x14ac:dyDescent="0.25">
      <c r="A114" s="7">
        <v>11691.796383978059</v>
      </c>
      <c r="C114" s="1" t="str">
        <f>ADDRESS(C121,D121,1,1)</f>
        <v>$IF$391</v>
      </c>
      <c r="D114" s="1" t="str">
        <f>ADDRESS(C121+1,D121+1,1,1)</f>
        <v>$IG$392</v>
      </c>
    </row>
    <row r="115" spans="1:5" x14ac:dyDescent="0.25">
      <c r="A115" s="7">
        <v>11462.545474488292</v>
      </c>
      <c r="C115" s="1" t="str">
        <f>ADDRESS(C121+1,D121,1,1)</f>
        <v>$IF$392</v>
      </c>
    </row>
    <row r="116" spans="1:5" x14ac:dyDescent="0.25">
      <c r="A116" s="7">
        <v>11237.789680870874</v>
      </c>
      <c r="C116" s="1">
        <f>C117-1</f>
        <v>390</v>
      </c>
    </row>
    <row r="117" spans="1:5" x14ac:dyDescent="0.25">
      <c r="A117" s="7">
        <v>11017.440863598895</v>
      </c>
      <c r="C117" s="1">
        <f>C121</f>
        <v>391</v>
      </c>
      <c r="D117" s="1">
        <f>D121</f>
        <v>240</v>
      </c>
    </row>
    <row r="118" spans="1:5" x14ac:dyDescent="0.25">
      <c r="A118" s="7">
        <v>10801.412611371465</v>
      </c>
      <c r="C118" s="1">
        <f>C117+1</f>
        <v>392</v>
      </c>
      <c r="D118" s="1">
        <f>D117+1</f>
        <v>241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391</v>
      </c>
      <c r="D121" s="19">
        <v>240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R391</v>
      </c>
      <c r="D123" s="1" t="str">
        <f>"C"&amp;D121</f>
        <v>C240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48.487932378791079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213" x14ac:dyDescent="0.25">
      <c r="A321" s="7">
        <v>193.93030865451311</v>
      </c>
      <c r="B321"/>
      <c r="C321"/>
      <c r="D321"/>
      <c r="E321"/>
    </row>
    <row r="322" spans="1:213" x14ac:dyDescent="0.25">
      <c r="A322" s="7">
        <v>190.127753582856</v>
      </c>
      <c r="B322"/>
      <c r="C322"/>
      <c r="D322"/>
      <c r="E322"/>
    </row>
    <row r="323" spans="1:213" x14ac:dyDescent="0.25">
      <c r="A323" s="7">
        <v>186.3997584145647</v>
      </c>
      <c r="B323"/>
      <c r="C323"/>
      <c r="D323"/>
      <c r="E323"/>
    </row>
    <row r="324" spans="1:213" x14ac:dyDescent="0.25">
      <c r="A324" s="7">
        <v>182.7448611907497</v>
      </c>
      <c r="B324"/>
      <c r="C324"/>
      <c r="D324"/>
      <c r="E324"/>
    </row>
    <row r="325" spans="1:213" x14ac:dyDescent="0.25">
      <c r="A325" s="7">
        <v>179.16162861838205</v>
      </c>
      <c r="B325"/>
      <c r="C325"/>
      <c r="D325"/>
      <c r="E325"/>
    </row>
    <row r="326" spans="1:213" x14ac:dyDescent="0.25">
      <c r="A326" s="7">
        <v>175.6486555082177</v>
      </c>
      <c r="B326"/>
      <c r="C326"/>
      <c r="D326"/>
      <c r="E326"/>
    </row>
    <row r="327" spans="1:213" x14ac:dyDescent="0.25">
      <c r="A327" s="7">
        <v>172.20456422374284</v>
      </c>
      <c r="B327"/>
      <c r="C327"/>
      <c r="D327"/>
      <c r="E327"/>
    </row>
    <row r="328" spans="1:213" x14ac:dyDescent="0.25">
      <c r="A328" s="7">
        <v>168.82800414092435</v>
      </c>
      <c r="B328"/>
      <c r="C328"/>
      <c r="D328"/>
      <c r="E328"/>
    </row>
    <row r="329" spans="1:213" x14ac:dyDescent="0.25">
      <c r="A329" s="7">
        <v>165.51765111855329</v>
      </c>
      <c r="B329"/>
      <c r="C329"/>
      <c r="D329"/>
      <c r="E329"/>
      <c r="GW329" s="27" t="s">
        <v>8</v>
      </c>
    </row>
    <row r="330" spans="1:213" x14ac:dyDescent="0.25">
      <c r="A330" s="7">
        <v>162.2722069789738</v>
      </c>
      <c r="B330"/>
      <c r="C330"/>
      <c r="D330"/>
      <c r="E330"/>
      <c r="GQ330" s="27" t="s">
        <v>8</v>
      </c>
      <c r="GU330" s="27" t="s">
        <v>8</v>
      </c>
      <c r="GW330" s="27" t="s">
        <v>8</v>
      </c>
      <c r="GX330" s="27" t="s">
        <v>7</v>
      </c>
    </row>
    <row r="331" spans="1:213" x14ac:dyDescent="0.25">
      <c r="A331" s="7">
        <v>159.09039899899392</v>
      </c>
      <c r="B331"/>
      <c r="C331"/>
      <c r="D331"/>
      <c r="E331"/>
      <c r="GQ331" s="27" t="s">
        <v>8</v>
      </c>
      <c r="GR331" s="27" t="s">
        <v>7</v>
      </c>
      <c r="GU331" s="27" t="s">
        <v>8</v>
      </c>
      <c r="GV331" s="27" t="s">
        <v>7</v>
      </c>
      <c r="GW331" s="27" t="s">
        <v>8</v>
      </c>
      <c r="GX331" s="27" t="s">
        <v>7</v>
      </c>
    </row>
    <row r="332" spans="1:213" x14ac:dyDescent="0.25">
      <c r="A332" s="7">
        <v>155.97097941077834</v>
      </c>
      <c r="B332"/>
      <c r="C332"/>
      <c r="D332"/>
      <c r="E332"/>
      <c r="GQ332" s="27" t="s">
        <v>8</v>
      </c>
      <c r="GR332" s="27" t="s">
        <v>7</v>
      </c>
      <c r="GU332" s="27" t="s">
        <v>8</v>
      </c>
      <c r="GV332" s="27" t="s">
        <v>7</v>
      </c>
      <c r="GW332" s="27" t="s">
        <v>8</v>
      </c>
      <c r="GX332" s="27" t="s">
        <v>7</v>
      </c>
    </row>
    <row r="333" spans="1:213" x14ac:dyDescent="0.25">
      <c r="A333" s="7">
        <v>152.91272491252778</v>
      </c>
      <c r="B333"/>
      <c r="C333"/>
      <c r="D333"/>
      <c r="E333"/>
      <c r="GC333" s="27" t="s">
        <v>8</v>
      </c>
      <c r="GQ333" s="27" t="s">
        <v>8</v>
      </c>
      <c r="GR333" s="27" t="s">
        <v>7</v>
      </c>
      <c r="GU333" s="27" t="s">
        <v>8</v>
      </c>
      <c r="GV333" s="27" t="s">
        <v>7</v>
      </c>
      <c r="GW333" s="27" t="s">
        <v>8</v>
      </c>
      <c r="GX333" s="27" t="s">
        <v>7</v>
      </c>
    </row>
    <row r="334" spans="1:213" x14ac:dyDescent="0.25">
      <c r="A334" s="7">
        <v>149.91443618875272</v>
      </c>
      <c r="B334"/>
      <c r="C334"/>
      <c r="D334"/>
      <c r="E334"/>
      <c r="GC334" s="27" t="s">
        <v>8</v>
      </c>
      <c r="GD334" s="27" t="s">
        <v>7</v>
      </c>
      <c r="GQ334" s="27" t="s">
        <v>8</v>
      </c>
      <c r="GR334" s="27" t="s">
        <v>7</v>
      </c>
      <c r="GU334" s="27" t="s">
        <v>8</v>
      </c>
      <c r="GV334" s="27" t="s">
        <v>7</v>
      </c>
      <c r="GW334" s="27" t="s">
        <v>8</v>
      </c>
      <c r="GX334" s="27" t="s">
        <v>7</v>
      </c>
    </row>
    <row r="335" spans="1:213" x14ac:dyDescent="0.25">
      <c r="A335" s="7">
        <v>146.97493743995364</v>
      </c>
      <c r="B335"/>
      <c r="C335"/>
      <c r="D335"/>
      <c r="E335"/>
      <c r="GC335" s="27" t="s">
        <v>8</v>
      </c>
      <c r="GD335" s="27" t="s">
        <v>7</v>
      </c>
      <c r="GQ335" s="27" t="s">
        <v>8</v>
      </c>
      <c r="GR335" s="27" t="s">
        <v>7</v>
      </c>
      <c r="GS335" s="27" t="s">
        <v>8</v>
      </c>
      <c r="GU335" s="27" t="s">
        <v>8</v>
      </c>
      <c r="GV335" s="27" t="s">
        <v>7</v>
      </c>
      <c r="GW335" s="27" t="s">
        <v>8</v>
      </c>
      <c r="GX335" s="27" t="s">
        <v>7</v>
      </c>
      <c r="GY335" s="27" t="s">
        <v>8</v>
      </c>
    </row>
    <row r="336" spans="1:213" x14ac:dyDescent="0.25">
      <c r="A336" s="7">
        <v>144.09307592152317</v>
      </c>
      <c r="B336"/>
      <c r="C336"/>
      <c r="D336"/>
      <c r="E336"/>
      <c r="GC336" s="27" t="s">
        <v>8</v>
      </c>
      <c r="GD336" s="27" t="s">
        <v>7</v>
      </c>
      <c r="GI336" s="27" t="s">
        <v>8</v>
      </c>
      <c r="GQ336" s="27" t="s">
        <v>8</v>
      </c>
      <c r="GR336" s="27" t="s">
        <v>7</v>
      </c>
      <c r="GS336" s="27" t="s">
        <v>8</v>
      </c>
      <c r="GT336" s="27" t="s">
        <v>7</v>
      </c>
      <c r="GU336" s="27" t="s">
        <v>8</v>
      </c>
      <c r="GV336" s="27" t="s">
        <v>7</v>
      </c>
      <c r="GX336" s="27" t="s">
        <v>7</v>
      </c>
      <c r="GY336" s="27" t="s">
        <v>8</v>
      </c>
      <c r="GZ336" s="27" t="s">
        <v>7</v>
      </c>
      <c r="HE336" s="27" t="s">
        <v>8</v>
      </c>
    </row>
    <row r="337" spans="1:226" x14ac:dyDescent="0.25">
      <c r="A337" s="7">
        <v>141.26772149168937</v>
      </c>
      <c r="B337"/>
      <c r="C337"/>
      <c r="D337"/>
      <c r="E337"/>
      <c r="GC337" s="27" t="s">
        <v>8</v>
      </c>
      <c r="GD337" s="27" t="s">
        <v>7</v>
      </c>
      <c r="GI337" s="27" t="s">
        <v>8</v>
      </c>
      <c r="GJ337" s="27" t="s">
        <v>7</v>
      </c>
      <c r="GO337" s="27" t="s">
        <v>8</v>
      </c>
      <c r="GQ337" s="27" t="s">
        <v>8</v>
      </c>
      <c r="GR337" s="27" t="s">
        <v>7</v>
      </c>
      <c r="GS337" s="27" t="s">
        <v>8</v>
      </c>
      <c r="GT337" s="27" t="s">
        <v>7</v>
      </c>
      <c r="GU337" s="27" t="s">
        <v>8</v>
      </c>
      <c r="GX337" s="27" t="s">
        <v>7</v>
      </c>
      <c r="GY337" s="27" t="s">
        <v>8</v>
      </c>
      <c r="GZ337" s="27" t="s">
        <v>7</v>
      </c>
      <c r="HC337" s="27" t="s">
        <v>8</v>
      </c>
      <c r="HE337" s="27" t="s">
        <v>8</v>
      </c>
      <c r="HF337" s="27" t="s">
        <v>7</v>
      </c>
      <c r="HG337" s="27" t="s">
        <v>8</v>
      </c>
    </row>
    <row r="338" spans="1:226" x14ac:dyDescent="0.25">
      <c r="A338" s="7">
        <v>138.4977661683229</v>
      </c>
      <c r="B338"/>
      <c r="C338"/>
      <c r="D338"/>
      <c r="E338"/>
      <c r="GC338" s="27" t="s">
        <v>8</v>
      </c>
      <c r="GD338" s="27" t="s">
        <v>7</v>
      </c>
      <c r="GE338" s="27" t="s">
        <v>8</v>
      </c>
      <c r="GI338" s="27" t="s">
        <v>8</v>
      </c>
      <c r="GJ338" s="27" t="s">
        <v>7</v>
      </c>
      <c r="GO338" s="27" t="s">
        <v>8</v>
      </c>
      <c r="GP338" s="27" t="s">
        <v>7</v>
      </c>
      <c r="GQ338" s="27" t="s">
        <v>8</v>
      </c>
      <c r="GR338" s="27" t="s">
        <v>7</v>
      </c>
      <c r="GS338" s="27" t="s">
        <v>8</v>
      </c>
      <c r="GT338" s="27" t="s">
        <v>7</v>
      </c>
      <c r="GU338" s="27" t="s">
        <v>8</v>
      </c>
      <c r="GX338" s="27" t="s">
        <v>7</v>
      </c>
      <c r="GY338" s="27" t="s">
        <v>8</v>
      </c>
      <c r="GZ338" s="27" t="s">
        <v>7</v>
      </c>
      <c r="HA338" s="27" t="s">
        <v>8</v>
      </c>
      <c r="HC338" s="27" t="s">
        <v>8</v>
      </c>
      <c r="HD338" s="27" t="s">
        <v>7</v>
      </c>
      <c r="HE338" s="27" t="s">
        <v>8</v>
      </c>
      <c r="HF338" s="27" t="s">
        <v>7</v>
      </c>
      <c r="HG338" s="27" t="s">
        <v>8</v>
      </c>
      <c r="HH338" s="27" t="s">
        <v>7</v>
      </c>
    </row>
    <row r="339" spans="1:226" x14ac:dyDescent="0.25">
      <c r="A339" s="7">
        <v>135.7821236944342</v>
      </c>
      <c r="B339"/>
      <c r="C339"/>
      <c r="D339"/>
      <c r="E339"/>
      <c r="GC339" s="27" t="s">
        <v>8</v>
      </c>
      <c r="GD339" s="27" t="s">
        <v>7</v>
      </c>
      <c r="GE339" s="27" t="s">
        <v>8</v>
      </c>
      <c r="GF339" s="27" t="s">
        <v>7</v>
      </c>
      <c r="GI339" s="27" t="s">
        <v>8</v>
      </c>
      <c r="GJ339" s="27" t="s">
        <v>7</v>
      </c>
      <c r="GO339" s="27" t="s">
        <v>8</v>
      </c>
      <c r="GP339" s="27" t="s">
        <v>7</v>
      </c>
      <c r="GQ339" s="27" t="s">
        <v>8</v>
      </c>
      <c r="GR339" s="27" t="s">
        <v>7</v>
      </c>
      <c r="GS339" s="27" t="s">
        <v>8</v>
      </c>
      <c r="GT339" s="27" t="s">
        <v>7</v>
      </c>
      <c r="GX339" s="27" t="s">
        <v>7</v>
      </c>
      <c r="GZ339" s="27" t="s">
        <v>7</v>
      </c>
      <c r="HA339" s="27" t="s">
        <v>8</v>
      </c>
      <c r="HB339" s="27" t="s">
        <v>7</v>
      </c>
      <c r="HC339" s="27" t="s">
        <v>8</v>
      </c>
      <c r="HD339" s="27" t="s">
        <v>7</v>
      </c>
      <c r="HE339" s="27" t="s">
        <v>8</v>
      </c>
      <c r="HF339" s="27" t="s">
        <v>7</v>
      </c>
      <c r="HG339" s="27" t="s">
        <v>8</v>
      </c>
      <c r="HH339" s="27" t="s">
        <v>7</v>
      </c>
    </row>
    <row r="340" spans="1:226" x14ac:dyDescent="0.25">
      <c r="A340" s="7">
        <v>133.11972911219038</v>
      </c>
      <c r="B340"/>
      <c r="C340"/>
      <c r="D340"/>
      <c r="E340"/>
      <c r="GC340" s="27" t="s">
        <v>8</v>
      </c>
      <c r="GD340" s="27" t="s">
        <v>7</v>
      </c>
      <c r="GE340" s="27" t="s">
        <v>8</v>
      </c>
      <c r="GF340" s="27" t="s">
        <v>7</v>
      </c>
      <c r="GI340" s="27" t="s">
        <v>8</v>
      </c>
      <c r="GJ340" s="27" t="s">
        <v>7</v>
      </c>
      <c r="GK340" s="27" t="s">
        <v>8</v>
      </c>
      <c r="GM340" s="27" t="s">
        <v>8</v>
      </c>
      <c r="GO340" s="27" t="s">
        <v>8</v>
      </c>
      <c r="GP340" s="27" t="s">
        <v>7</v>
      </c>
      <c r="GQ340" s="27" t="s">
        <v>8</v>
      </c>
      <c r="GR340" s="27" t="s">
        <v>7</v>
      </c>
      <c r="GZ340" s="27" t="s">
        <v>7</v>
      </c>
      <c r="HA340" s="27" t="s">
        <v>8</v>
      </c>
      <c r="HB340" s="27" t="s">
        <v>7</v>
      </c>
      <c r="HC340" s="27" t="s">
        <v>8</v>
      </c>
      <c r="HD340" s="27" t="s">
        <v>7</v>
      </c>
      <c r="HE340" s="27" t="s">
        <v>8</v>
      </c>
      <c r="HF340" s="27" t="s">
        <v>7</v>
      </c>
      <c r="HG340" s="27" t="s">
        <v>8</v>
      </c>
      <c r="HH340" s="27" t="s">
        <v>7</v>
      </c>
    </row>
    <row r="341" spans="1:226" x14ac:dyDescent="0.25">
      <c r="A341" s="7">
        <v>130.50953834528468</v>
      </c>
      <c r="B341"/>
      <c r="C341"/>
      <c r="D341"/>
      <c r="E341"/>
      <c r="GC341" s="27" t="s">
        <v>8</v>
      </c>
      <c r="GD341" s="27" t="s">
        <v>7</v>
      </c>
      <c r="GE341" s="27" t="s">
        <v>8</v>
      </c>
      <c r="GF341" s="27" t="s">
        <v>7</v>
      </c>
      <c r="GI341" s="27" t="s">
        <v>8</v>
      </c>
      <c r="GJ341" s="27" t="s">
        <v>7</v>
      </c>
      <c r="GK341" s="27" t="s">
        <v>8</v>
      </c>
      <c r="GL341" s="27" t="s">
        <v>7</v>
      </c>
      <c r="GM341" s="27" t="s">
        <v>8</v>
      </c>
      <c r="GN341" s="27" t="s">
        <v>7</v>
      </c>
      <c r="GO341" s="27" t="s">
        <v>8</v>
      </c>
      <c r="GP341" s="27" t="s">
        <v>7</v>
      </c>
      <c r="GQ341" s="27" t="s">
        <v>8</v>
      </c>
      <c r="GZ341" s="27" t="s">
        <v>7</v>
      </c>
      <c r="HA341" s="27" t="s">
        <v>8</v>
      </c>
      <c r="HB341" s="27" t="s">
        <v>7</v>
      </c>
      <c r="HC341" s="27" t="s">
        <v>8</v>
      </c>
      <c r="HD341" s="27" t="s">
        <v>7</v>
      </c>
      <c r="HE341" s="27" t="s">
        <v>8</v>
      </c>
      <c r="HF341" s="27" t="s">
        <v>7</v>
      </c>
      <c r="HG341" s="27" t="s">
        <v>8</v>
      </c>
      <c r="HH341" s="27" t="s">
        <v>7</v>
      </c>
    </row>
    <row r="342" spans="1:226" x14ac:dyDescent="0.25">
      <c r="A342" s="7">
        <v>127.95052778949477</v>
      </c>
      <c r="B342"/>
      <c r="C342"/>
      <c r="D342"/>
      <c r="E342"/>
      <c r="GC342" s="27" t="s">
        <v>8</v>
      </c>
      <c r="GD342" s="27" t="s">
        <v>7</v>
      </c>
      <c r="GE342" s="27" t="s">
        <v>8</v>
      </c>
      <c r="GF342" s="27" t="s">
        <v>7</v>
      </c>
      <c r="GI342" s="27" t="s">
        <v>8</v>
      </c>
      <c r="GJ342" s="27" t="s">
        <v>7</v>
      </c>
      <c r="GK342" s="27" t="s">
        <v>8</v>
      </c>
      <c r="GL342" s="27" t="s">
        <v>7</v>
      </c>
      <c r="GM342" s="27" t="s">
        <v>8</v>
      </c>
      <c r="GN342" s="27" t="s">
        <v>7</v>
      </c>
      <c r="GO342" s="27" t="s">
        <v>8</v>
      </c>
      <c r="GP342" s="27" t="s">
        <v>7</v>
      </c>
      <c r="GQ342" s="27" t="s">
        <v>8</v>
      </c>
      <c r="GZ342" s="27" t="s">
        <v>7</v>
      </c>
      <c r="HA342" s="27" t="s">
        <v>8</v>
      </c>
      <c r="HB342" s="27" t="s">
        <v>7</v>
      </c>
      <c r="HC342" s="27" t="s">
        <v>8</v>
      </c>
      <c r="HD342" s="27" t="s">
        <v>7</v>
      </c>
      <c r="HF342" s="27" t="s">
        <v>7</v>
      </c>
      <c r="HG342" s="27" t="s">
        <v>8</v>
      </c>
      <c r="HH342" s="27" t="s">
        <v>7</v>
      </c>
    </row>
    <row r="343" spans="1:226" x14ac:dyDescent="0.25">
      <c r="A343" s="7">
        <v>125.44169391126938</v>
      </c>
      <c r="B343"/>
      <c r="C343"/>
      <c r="D343"/>
      <c r="E343"/>
      <c r="GC343" s="27" t="s">
        <v>8</v>
      </c>
      <c r="GD343" s="27" t="s">
        <v>7</v>
      </c>
      <c r="GE343" s="27" t="s">
        <v>8</v>
      </c>
      <c r="GF343" s="27" t="s">
        <v>7</v>
      </c>
      <c r="GG343" s="27" t="s">
        <v>8</v>
      </c>
      <c r="GI343" s="27" t="s">
        <v>8</v>
      </c>
      <c r="GJ343" s="27" t="s">
        <v>7</v>
      </c>
      <c r="GK343" s="27" t="s">
        <v>8</v>
      </c>
      <c r="GL343" s="27" t="s">
        <v>7</v>
      </c>
      <c r="GM343" s="27" t="s">
        <v>8</v>
      </c>
      <c r="GN343" s="27" t="s">
        <v>7</v>
      </c>
      <c r="GO343" s="27" t="s">
        <v>8</v>
      </c>
      <c r="GP343" s="27" t="s">
        <v>7</v>
      </c>
      <c r="GQ343" s="27" t="s">
        <v>8</v>
      </c>
      <c r="GZ343" s="27" t="s">
        <v>7</v>
      </c>
      <c r="HA343" s="27" t="s">
        <v>8</v>
      </c>
      <c r="HB343" s="27" t="s">
        <v>7</v>
      </c>
      <c r="HC343" s="27" t="s">
        <v>8</v>
      </c>
      <c r="HF343" s="27" t="s">
        <v>7</v>
      </c>
      <c r="HG343" s="27" t="s">
        <v>8</v>
      </c>
      <c r="HH343" s="27" t="s">
        <v>7</v>
      </c>
    </row>
    <row r="344" spans="1:226" x14ac:dyDescent="0.25">
      <c r="A344" s="7">
        <v>122.98205285418567</v>
      </c>
      <c r="B344"/>
      <c r="C344"/>
      <c r="D344"/>
      <c r="E344"/>
      <c r="GC344" s="27" t="s">
        <v>8</v>
      </c>
      <c r="GD344" s="27" t="s">
        <v>7</v>
      </c>
      <c r="GE344" s="27" t="s">
        <v>8</v>
      </c>
      <c r="GF344" s="27" t="s">
        <v>7</v>
      </c>
      <c r="GG344" s="27" t="s">
        <v>8</v>
      </c>
      <c r="GH344" s="27" t="s">
        <v>7</v>
      </c>
      <c r="GI344" s="27" t="s">
        <v>8</v>
      </c>
      <c r="GJ344" s="27" t="s">
        <v>7</v>
      </c>
      <c r="GK344" s="27" t="s">
        <v>8</v>
      </c>
      <c r="GL344" s="27" t="s">
        <v>7</v>
      </c>
      <c r="GM344" s="27" t="s">
        <v>8</v>
      </c>
      <c r="GN344" s="27" t="s">
        <v>7</v>
      </c>
      <c r="GO344" s="27" t="s">
        <v>8</v>
      </c>
      <c r="GP344" s="27" t="s">
        <v>7</v>
      </c>
      <c r="GQ344" s="27" t="s">
        <v>8</v>
      </c>
      <c r="GZ344" s="27" t="s">
        <v>7</v>
      </c>
      <c r="HB344" s="27" t="s">
        <v>7</v>
      </c>
      <c r="HC344" s="27" t="s">
        <v>8</v>
      </c>
      <c r="HF344" s="27" t="s">
        <v>7</v>
      </c>
      <c r="HH344" s="27" t="s">
        <v>7</v>
      </c>
    </row>
    <row r="345" spans="1:226" x14ac:dyDescent="0.25">
      <c r="A345" s="7">
        <v>120.5706400531232</v>
      </c>
      <c r="B345"/>
      <c r="C345"/>
      <c r="D345"/>
      <c r="E345"/>
      <c r="GC345" s="27" t="s">
        <v>8</v>
      </c>
      <c r="GD345" s="27" t="s">
        <v>7</v>
      </c>
      <c r="GF345" s="27" t="s">
        <v>7</v>
      </c>
      <c r="GG345" s="27" t="s">
        <v>8</v>
      </c>
      <c r="GH345" s="27" t="s">
        <v>7</v>
      </c>
      <c r="GI345" s="27" t="s">
        <v>8</v>
      </c>
      <c r="GJ345" s="27" t="s">
        <v>7</v>
      </c>
      <c r="GL345" s="27" t="s">
        <v>7</v>
      </c>
      <c r="GM345" s="27" t="s">
        <v>8</v>
      </c>
      <c r="GN345" s="27" t="s">
        <v>7</v>
      </c>
      <c r="GP345" s="27" t="s">
        <v>7</v>
      </c>
      <c r="HB345" s="27" t="s">
        <v>7</v>
      </c>
      <c r="HH345" s="27" t="s">
        <v>7</v>
      </c>
      <c r="HI345" s="27" t="s">
        <v>8</v>
      </c>
      <c r="HK345" s="27" t="s">
        <v>8</v>
      </c>
    </row>
    <row r="346" spans="1:226" x14ac:dyDescent="0.25">
      <c r="A346" s="7">
        <v>118.20650985600314</v>
      </c>
      <c r="B346"/>
      <c r="C346"/>
      <c r="D346"/>
      <c r="E346"/>
      <c r="GC346" s="27" t="s">
        <v>8</v>
      </c>
      <c r="GF346" s="27" t="s">
        <v>7</v>
      </c>
      <c r="GG346" s="27" t="s">
        <v>8</v>
      </c>
      <c r="GH346" s="27" t="s">
        <v>7</v>
      </c>
      <c r="GL346" s="27" t="s">
        <v>7</v>
      </c>
      <c r="HH346" s="27" t="s">
        <v>7</v>
      </c>
      <c r="HI346" s="27" t="s">
        <v>8</v>
      </c>
      <c r="HJ346" s="27" t="s">
        <v>7</v>
      </c>
      <c r="HK346" s="27" t="s">
        <v>8</v>
      </c>
      <c r="HL346" s="27" t="s">
        <v>7</v>
      </c>
    </row>
    <row r="347" spans="1:226" x14ac:dyDescent="0.25">
      <c r="A347" s="7">
        <v>115.88873515294425</v>
      </c>
      <c r="B347"/>
      <c r="C347"/>
      <c r="D347"/>
      <c r="E347"/>
      <c r="GC347" s="27" t="s">
        <v>8</v>
      </c>
      <c r="GF347" s="27" t="s">
        <v>7</v>
      </c>
      <c r="GG347" s="27" t="s">
        <v>8</v>
      </c>
      <c r="HH347" s="27" t="s">
        <v>7</v>
      </c>
      <c r="HI347" s="27" t="s">
        <v>8</v>
      </c>
      <c r="HJ347" s="27" t="s">
        <v>7</v>
      </c>
      <c r="HK347" s="27" t="s">
        <v>8</v>
      </c>
      <c r="HL347" s="27" t="s">
        <v>7</v>
      </c>
    </row>
    <row r="348" spans="1:226" x14ac:dyDescent="0.25">
      <c r="A348" s="7">
        <v>113.61640701269044</v>
      </c>
      <c r="B348"/>
      <c r="C348"/>
      <c r="D348"/>
      <c r="E348"/>
      <c r="GC348" s="27" t="s">
        <v>8</v>
      </c>
      <c r="GF348" s="27" t="s">
        <v>7</v>
      </c>
      <c r="HH348" s="27" t="s">
        <v>7</v>
      </c>
      <c r="HI348" s="27" t="s">
        <v>8</v>
      </c>
      <c r="HJ348" s="27" t="s">
        <v>7</v>
      </c>
      <c r="HK348" s="27" t="s">
        <v>8</v>
      </c>
      <c r="HL348" s="27" t="s">
        <v>7</v>
      </c>
    </row>
    <row r="349" spans="1:226" x14ac:dyDescent="0.25">
      <c r="A349" s="7">
        <v>111.38863432616711</v>
      </c>
      <c r="B349"/>
      <c r="C349"/>
      <c r="D349"/>
      <c r="E349"/>
      <c r="GC349" s="27" t="s">
        <v>8</v>
      </c>
      <c r="HH349" s="27" t="s">
        <v>7</v>
      </c>
      <c r="HI349" s="27" t="s">
        <v>8</v>
      </c>
      <c r="HJ349" s="27" t="s">
        <v>7</v>
      </c>
      <c r="HK349" s="27" t="s">
        <v>8</v>
      </c>
      <c r="HL349" s="27" t="s">
        <v>7</v>
      </c>
      <c r="HQ349" s="27" t="s">
        <v>8</v>
      </c>
    </row>
    <row r="350" spans="1:226" x14ac:dyDescent="0.25">
      <c r="A350" s="7">
        <v>109.20454345702657</v>
      </c>
      <c r="B350"/>
      <c r="C350"/>
      <c r="D350"/>
      <c r="E350"/>
      <c r="GC350" s="27" t="s">
        <v>8</v>
      </c>
      <c r="HH350" s="27" t="s">
        <v>7</v>
      </c>
      <c r="HI350" s="27" t="s">
        <v>8</v>
      </c>
      <c r="HJ350" s="27" t="s">
        <v>7</v>
      </c>
      <c r="HK350" s="27" t="s">
        <v>8</v>
      </c>
      <c r="HL350" s="27" t="s">
        <v>7</v>
      </c>
      <c r="HQ350" s="27" t="s">
        <v>8</v>
      </c>
      <c r="HR350" s="27" t="s">
        <v>7</v>
      </c>
    </row>
    <row r="351" spans="1:226" x14ac:dyDescent="0.25">
      <c r="A351" s="7">
        <v>107.06327789904566</v>
      </c>
      <c r="B351"/>
      <c r="C351"/>
      <c r="D351"/>
      <c r="E351"/>
      <c r="GC351" s="27" t="s">
        <v>8</v>
      </c>
      <c r="HH351" s="27" t="s">
        <v>7</v>
      </c>
      <c r="HI351" s="27" t="s">
        <v>8</v>
      </c>
      <c r="HJ351" s="27" t="s">
        <v>7</v>
      </c>
      <c r="HK351" s="27" t="s">
        <v>8</v>
      </c>
      <c r="HL351" s="27" t="s">
        <v>7</v>
      </c>
      <c r="HQ351" s="27" t="s">
        <v>8</v>
      </c>
      <c r="HR351" s="27" t="s">
        <v>7</v>
      </c>
    </row>
    <row r="352" spans="1:226" x14ac:dyDescent="0.25">
      <c r="A352" s="7">
        <v>104.96399794024084</v>
      </c>
      <c r="B352"/>
      <c r="C352"/>
      <c r="D352"/>
      <c r="E352"/>
      <c r="GC352" s="27" t="s">
        <v>8</v>
      </c>
      <c r="HH352" s="27" t="s">
        <v>7</v>
      </c>
      <c r="HI352" s="27" t="s">
        <v>8</v>
      </c>
      <c r="HJ352" s="27" t="s">
        <v>7</v>
      </c>
      <c r="HK352" s="27" t="s">
        <v>8</v>
      </c>
      <c r="HL352" s="27" t="s">
        <v>7</v>
      </c>
      <c r="HM352" s="27" t="s">
        <v>8</v>
      </c>
      <c r="HQ352" s="27" t="s">
        <v>8</v>
      </c>
      <c r="HR352" s="27" t="s">
        <v>7</v>
      </c>
    </row>
    <row r="353" spans="1:236" x14ac:dyDescent="0.25">
      <c r="A353" s="7">
        <v>102.90588033356946</v>
      </c>
      <c r="B353"/>
      <c r="C353"/>
      <c r="D353"/>
      <c r="E353"/>
      <c r="GC353" s="27" t="s">
        <v>8</v>
      </c>
      <c r="HH353" s="27" t="s">
        <v>7</v>
      </c>
      <c r="HI353" s="27" t="s">
        <v>8</v>
      </c>
      <c r="HJ353" s="27" t="s">
        <v>7</v>
      </c>
      <c r="HK353" s="27" t="s">
        <v>8</v>
      </c>
      <c r="HL353" s="27" t="s">
        <v>7</v>
      </c>
      <c r="HM353" s="27" t="s">
        <v>8</v>
      </c>
      <c r="HN353" s="27" t="s">
        <v>7</v>
      </c>
      <c r="HO353" s="27" t="s">
        <v>8</v>
      </c>
      <c r="HQ353" s="27" t="s">
        <v>8</v>
      </c>
      <c r="HR353" s="27" t="s">
        <v>7</v>
      </c>
    </row>
    <row r="354" spans="1:236" x14ac:dyDescent="0.25">
      <c r="A354" s="7">
        <v>100.88811797408771</v>
      </c>
      <c r="B354"/>
      <c r="C354"/>
      <c r="D354"/>
      <c r="E354"/>
      <c r="GC354" s="27" t="s">
        <v>8</v>
      </c>
      <c r="HH354" s="27" t="s">
        <v>7</v>
      </c>
      <c r="HI354" s="27" t="s">
        <v>8</v>
      </c>
      <c r="HJ354" s="27" t="s">
        <v>7</v>
      </c>
      <c r="HK354" s="27" t="s">
        <v>8</v>
      </c>
      <c r="HL354" s="27" t="s">
        <v>7</v>
      </c>
      <c r="HM354" s="27" t="s">
        <v>8</v>
      </c>
      <c r="HN354" s="27" t="s">
        <v>7</v>
      </c>
      <c r="HO354" s="27" t="s">
        <v>8</v>
      </c>
      <c r="HP354" s="27" t="s">
        <v>7</v>
      </c>
      <c r="HQ354" s="27" t="s">
        <v>8</v>
      </c>
      <c r="HR354" s="27" t="s">
        <v>7</v>
      </c>
    </row>
    <row r="355" spans="1:236" x14ac:dyDescent="0.25">
      <c r="A355" s="7">
        <v>98.909919582438931</v>
      </c>
      <c r="B355"/>
      <c r="C355"/>
      <c r="D355"/>
      <c r="E355"/>
      <c r="GC355" s="27" t="s">
        <v>8</v>
      </c>
      <c r="HH355" s="27" t="s">
        <v>7</v>
      </c>
      <c r="HJ355" s="27" t="s">
        <v>7</v>
      </c>
      <c r="HK355" s="27" t="s">
        <v>8</v>
      </c>
      <c r="HL355" s="27" t="s">
        <v>7</v>
      </c>
      <c r="HM355" s="27" t="s">
        <v>8</v>
      </c>
      <c r="HN355" s="27" t="s">
        <v>7</v>
      </c>
      <c r="HO355" s="27" t="s">
        <v>8</v>
      </c>
      <c r="HP355" s="27" t="s">
        <v>7</v>
      </c>
      <c r="HQ355" s="27" t="s">
        <v>8</v>
      </c>
      <c r="HR355" s="27" t="s">
        <v>7</v>
      </c>
    </row>
    <row r="356" spans="1:236" x14ac:dyDescent="0.25">
      <c r="A356" s="7">
        <v>96.970509394547975</v>
      </c>
      <c r="B356"/>
      <c r="C356"/>
      <c r="D356"/>
      <c r="E356"/>
      <c r="GC356" s="27" t="s">
        <v>8</v>
      </c>
      <c r="HJ356" s="27" t="s">
        <v>7</v>
      </c>
      <c r="HK356" s="27" t="s">
        <v>8</v>
      </c>
      <c r="HL356" s="27" t="s">
        <v>7</v>
      </c>
      <c r="HN356" s="27" t="s">
        <v>7</v>
      </c>
      <c r="HO356" s="27" t="s">
        <v>8</v>
      </c>
      <c r="HP356" s="27" t="s">
        <v>7</v>
      </c>
      <c r="HQ356" s="27" t="s">
        <v>8</v>
      </c>
      <c r="HR356" s="27" t="s">
        <v>7</v>
      </c>
      <c r="HS356" s="27" t="s">
        <v>8</v>
      </c>
    </row>
    <row r="357" spans="1:236" x14ac:dyDescent="0.25">
      <c r="A357" s="7">
        <v>95.069126857399979</v>
      </c>
      <c r="B357"/>
      <c r="C357"/>
      <c r="D357"/>
      <c r="E357"/>
      <c r="GC357" s="27" t="s">
        <v>8</v>
      </c>
      <c r="HJ357" s="27" t="s">
        <v>7</v>
      </c>
      <c r="HN357" s="27" t="s">
        <v>7</v>
      </c>
      <c r="HO357" s="27" t="s">
        <v>8</v>
      </c>
      <c r="HP357" s="27" t="s">
        <v>7</v>
      </c>
      <c r="HQ357" s="27" t="s">
        <v>8</v>
      </c>
      <c r="HR357" s="27" t="s">
        <v>7</v>
      </c>
      <c r="HS357" s="27" t="s">
        <v>8</v>
      </c>
      <c r="HT357" s="27" t="s">
        <v>7</v>
      </c>
    </row>
    <row r="358" spans="1:236" x14ac:dyDescent="0.25">
      <c r="A358" s="7">
        <v>93.205026330784293</v>
      </c>
      <c r="B358"/>
      <c r="C358"/>
      <c r="D358"/>
      <c r="E358"/>
      <c r="FS358" s="27" t="s">
        <v>8</v>
      </c>
      <c r="GC358" s="27" t="s">
        <v>8</v>
      </c>
      <c r="HN358" s="27" t="s">
        <v>7</v>
      </c>
      <c r="HO358" s="27" t="s">
        <v>8</v>
      </c>
      <c r="HP358" s="27" t="s">
        <v>7</v>
      </c>
      <c r="HQ358" s="27" t="s">
        <v>8</v>
      </c>
      <c r="HR358" s="27" t="s">
        <v>7</v>
      </c>
      <c r="HS358" s="27" t="s">
        <v>8</v>
      </c>
      <c r="HT358" s="27" t="s">
        <v>7</v>
      </c>
    </row>
    <row r="359" spans="1:236" x14ac:dyDescent="0.25">
      <c r="A359" s="7">
        <v>91.377476794886562</v>
      </c>
      <c r="B359"/>
      <c r="C359"/>
      <c r="D359"/>
      <c r="E359"/>
      <c r="FS359" s="27" t="s">
        <v>8</v>
      </c>
      <c r="FT359" s="27" t="s">
        <v>7</v>
      </c>
      <c r="GC359" s="27" t="s">
        <v>8</v>
      </c>
      <c r="HN359" s="27" t="s">
        <v>7</v>
      </c>
      <c r="HP359" s="27" t="s">
        <v>7</v>
      </c>
      <c r="HQ359" s="27" t="s">
        <v>8</v>
      </c>
      <c r="HR359" s="27" t="s">
        <v>7</v>
      </c>
      <c r="HT359" s="27" t="s">
        <v>7</v>
      </c>
    </row>
    <row r="360" spans="1:236" x14ac:dyDescent="0.25">
      <c r="A360" s="7">
        <v>89.58576156361427</v>
      </c>
      <c r="B360"/>
      <c r="C360"/>
      <c r="D360"/>
      <c r="E360"/>
      <c r="FS360" s="27" t="s">
        <v>8</v>
      </c>
      <c r="FT360" s="27" t="s">
        <v>7</v>
      </c>
      <c r="GC360" s="27" t="s">
        <v>8</v>
      </c>
      <c r="HP360" s="27" t="s">
        <v>7</v>
      </c>
      <c r="HT360" s="27" t="s">
        <v>7</v>
      </c>
    </row>
    <row r="361" spans="1:236" x14ac:dyDescent="0.25">
      <c r="A361" s="7">
        <v>87.829178003543404</v>
      </c>
      <c r="B361"/>
      <c r="C361"/>
      <c r="D361"/>
      <c r="E361"/>
      <c r="FS361" s="27" t="s">
        <v>8</v>
      </c>
      <c r="FT361" s="27" t="s">
        <v>7</v>
      </c>
      <c r="GC361" s="27" t="s">
        <v>8</v>
      </c>
      <c r="HT361" s="27" t="s">
        <v>7</v>
      </c>
    </row>
    <row r="362" spans="1:236" x14ac:dyDescent="0.25">
      <c r="A362" s="7">
        <v>86.107037258375883</v>
      </c>
      <c r="B362"/>
      <c r="C362"/>
      <c r="D362"/>
      <c r="E362"/>
      <c r="FS362" s="27" t="s">
        <v>8</v>
      </c>
      <c r="FT362" s="27" t="s">
        <v>7</v>
      </c>
      <c r="GC362" s="27" t="s">
        <v>8</v>
      </c>
      <c r="HT362" s="27" t="s">
        <v>7</v>
      </c>
    </row>
    <row r="363" spans="1:236" x14ac:dyDescent="0.25">
      <c r="A363" s="7">
        <v>84.418663978799884</v>
      </c>
      <c r="B363"/>
      <c r="C363"/>
      <c r="D363"/>
      <c r="E363"/>
      <c r="FS363" s="27" t="s">
        <v>8</v>
      </c>
      <c r="FT363" s="27" t="s">
        <v>7</v>
      </c>
      <c r="GC363" s="27" t="s">
        <v>8</v>
      </c>
      <c r="HT363" s="27" t="s">
        <v>7</v>
      </c>
    </row>
    <row r="364" spans="1:236" x14ac:dyDescent="0.25">
      <c r="A364" s="7">
        <v>82.763396057646943</v>
      </c>
      <c r="B364"/>
      <c r="C364"/>
      <c r="D364"/>
      <c r="E364"/>
      <c r="FK364" s="27" t="s">
        <v>8</v>
      </c>
      <c r="FS364" s="27" t="s">
        <v>8</v>
      </c>
      <c r="FT364" s="27" t="s">
        <v>7</v>
      </c>
      <c r="GC364" s="27" t="s">
        <v>8</v>
      </c>
      <c r="HT364" s="27" t="s">
        <v>7</v>
      </c>
      <c r="IA364" s="27" t="s">
        <v>8</v>
      </c>
    </row>
    <row r="365" spans="1:236" x14ac:dyDescent="0.25">
      <c r="A365" s="7">
        <v>81.140584370242095</v>
      </c>
      <c r="B365"/>
      <c r="C365"/>
      <c r="D365"/>
      <c r="E365"/>
      <c r="FI365" s="27" t="s">
        <v>8</v>
      </c>
      <c r="FK365" s="27" t="s">
        <v>8</v>
      </c>
      <c r="FL365" s="27" t="s">
        <v>7</v>
      </c>
      <c r="FS365" s="27" t="s">
        <v>8</v>
      </c>
      <c r="FT365" s="27" t="s">
        <v>7</v>
      </c>
      <c r="GC365" s="27" t="s">
        <v>8</v>
      </c>
      <c r="HT365" s="27" t="s">
        <v>7</v>
      </c>
      <c r="HU365" s="27" t="s">
        <v>8</v>
      </c>
      <c r="IA365" s="27" t="s">
        <v>8</v>
      </c>
      <c r="IB365" s="27" t="s">
        <v>7</v>
      </c>
    </row>
    <row r="366" spans="1:236" x14ac:dyDescent="0.25">
      <c r="A366" s="7">
        <v>79.549592519845191</v>
      </c>
      <c r="B366"/>
      <c r="C366"/>
      <c r="D366"/>
      <c r="E366"/>
      <c r="FI366" s="27" t="s">
        <v>8</v>
      </c>
      <c r="FJ366" s="27" t="s">
        <v>7</v>
      </c>
      <c r="FK366" s="27" t="s">
        <v>8</v>
      </c>
      <c r="FL366" s="27" t="s">
        <v>7</v>
      </c>
      <c r="FO366" s="27" t="s">
        <v>8</v>
      </c>
      <c r="FS366" s="27" t="s">
        <v>8</v>
      </c>
      <c r="FT366" s="27" t="s">
        <v>7</v>
      </c>
      <c r="GC366" s="27" t="s">
        <v>8</v>
      </c>
      <c r="HT366" s="27" t="s">
        <v>7</v>
      </c>
      <c r="HU366" s="27" t="s">
        <v>8</v>
      </c>
      <c r="HV366" s="27" t="s">
        <v>7</v>
      </c>
      <c r="IA366" s="27" t="s">
        <v>8</v>
      </c>
      <c r="IB366" s="27" t="s">
        <v>7</v>
      </c>
    </row>
    <row r="367" spans="1:236" x14ac:dyDescent="0.25">
      <c r="A367" s="7">
        <v>77.989796588083522</v>
      </c>
      <c r="B367"/>
      <c r="C367"/>
      <c r="D367"/>
      <c r="E367"/>
      <c r="FI367" s="27" t="s">
        <v>8</v>
      </c>
      <c r="FJ367" s="27" t="s">
        <v>7</v>
      </c>
      <c r="FK367" s="27" t="s">
        <v>8</v>
      </c>
      <c r="FL367" s="27" t="s">
        <v>7</v>
      </c>
      <c r="FO367" s="27" t="s">
        <v>8</v>
      </c>
      <c r="FP367" s="27" t="s">
        <v>7</v>
      </c>
      <c r="FQ367" s="27" t="s">
        <v>8</v>
      </c>
      <c r="FS367" s="27" t="s">
        <v>8</v>
      </c>
      <c r="FT367" s="27" t="s">
        <v>7</v>
      </c>
      <c r="GC367" s="27" t="s">
        <v>8</v>
      </c>
      <c r="HT367" s="27" t="s">
        <v>7</v>
      </c>
      <c r="HU367" s="27" t="s">
        <v>8</v>
      </c>
      <c r="HV367" s="27" t="s">
        <v>7</v>
      </c>
      <c r="HY367" s="27" t="s">
        <v>8</v>
      </c>
      <c r="IA367" s="27" t="s">
        <v>8</v>
      </c>
      <c r="IB367" s="27" t="s">
        <v>7</v>
      </c>
    </row>
    <row r="368" spans="1:236" x14ac:dyDescent="0.25">
      <c r="A368" s="7">
        <v>76.460584890277957</v>
      </c>
      <c r="B368"/>
      <c r="C368"/>
      <c r="D368"/>
      <c r="E368"/>
      <c r="FE368" s="27" t="s">
        <v>8</v>
      </c>
      <c r="FI368" s="27" t="s">
        <v>8</v>
      </c>
      <c r="FJ368" s="27" t="s">
        <v>7</v>
      </c>
      <c r="FK368" s="27" t="s">
        <v>8</v>
      </c>
      <c r="FL368" s="27" t="s">
        <v>7</v>
      </c>
      <c r="FO368" s="27" t="s">
        <v>8</v>
      </c>
      <c r="FP368" s="27" t="s">
        <v>7</v>
      </c>
      <c r="FQ368" s="27" t="s">
        <v>8</v>
      </c>
      <c r="FR368" s="27" t="s">
        <v>7</v>
      </c>
      <c r="FS368" s="27" t="s">
        <v>8</v>
      </c>
      <c r="FT368" s="27" t="s">
        <v>7</v>
      </c>
      <c r="GC368" s="27" t="s">
        <v>8</v>
      </c>
      <c r="HT368" s="27" t="s">
        <v>7</v>
      </c>
      <c r="HV368" s="27" t="s">
        <v>7</v>
      </c>
      <c r="HY368" s="27" t="s">
        <v>8</v>
      </c>
      <c r="HZ368" s="27" t="s">
        <v>7</v>
      </c>
      <c r="IA368" s="27" t="s">
        <v>8</v>
      </c>
      <c r="IB368" s="27" t="s">
        <v>7</v>
      </c>
    </row>
    <row r="369" spans="1:236" x14ac:dyDescent="0.25">
      <c r="A369" s="7">
        <v>74.961357735566622</v>
      </c>
      <c r="B369"/>
      <c r="C369"/>
      <c r="D369"/>
      <c r="E369"/>
      <c r="FE369" s="27" t="s">
        <v>8</v>
      </c>
      <c r="FF369" s="27" t="s">
        <v>7</v>
      </c>
      <c r="FI369" s="27" t="s">
        <v>8</v>
      </c>
      <c r="FJ369" s="27" t="s">
        <v>7</v>
      </c>
      <c r="FK369" s="27" t="s">
        <v>8</v>
      </c>
      <c r="FL369" s="27" t="s">
        <v>7</v>
      </c>
      <c r="FM369" s="27" t="s">
        <v>8</v>
      </c>
      <c r="FO369" s="27" t="s">
        <v>8</v>
      </c>
      <c r="FP369" s="27" t="s">
        <v>7</v>
      </c>
      <c r="FQ369" s="27" t="s">
        <v>8</v>
      </c>
      <c r="FR369" s="27" t="s">
        <v>7</v>
      </c>
      <c r="FS369" s="27" t="s">
        <v>8</v>
      </c>
      <c r="FT369" s="27" t="s">
        <v>7</v>
      </c>
      <c r="GC369" s="27" t="s">
        <v>8</v>
      </c>
      <c r="HV369" s="27" t="s">
        <v>7</v>
      </c>
      <c r="HY369" s="27" t="s">
        <v>8</v>
      </c>
      <c r="HZ369" s="27" t="s">
        <v>7</v>
      </c>
      <c r="IA369" s="27" t="s">
        <v>8</v>
      </c>
      <c r="IB369" s="27" t="s">
        <v>7</v>
      </c>
    </row>
    <row r="370" spans="1:236" x14ac:dyDescent="0.25">
      <c r="A370" s="7">
        <v>73.491527191731976</v>
      </c>
      <c r="B370"/>
      <c r="C370"/>
      <c r="D370"/>
      <c r="E370"/>
      <c r="FE370" s="27" t="s">
        <v>8</v>
      </c>
      <c r="FF370" s="27" t="s">
        <v>7</v>
      </c>
      <c r="FG370" s="27" t="s">
        <v>8</v>
      </c>
      <c r="FI370" s="27" t="s">
        <v>8</v>
      </c>
      <c r="FJ370" s="27" t="s">
        <v>7</v>
      </c>
      <c r="FK370" s="27" t="s">
        <v>8</v>
      </c>
      <c r="FL370" s="27" t="s">
        <v>7</v>
      </c>
      <c r="FM370" s="27" t="s">
        <v>8</v>
      </c>
      <c r="FN370" s="27" t="s">
        <v>7</v>
      </c>
      <c r="FO370" s="27" t="s">
        <v>8</v>
      </c>
      <c r="FP370" s="27" t="s">
        <v>7</v>
      </c>
      <c r="FQ370" s="27" t="s">
        <v>8</v>
      </c>
      <c r="FR370" s="27" t="s">
        <v>7</v>
      </c>
      <c r="FS370" s="27" t="s">
        <v>8</v>
      </c>
      <c r="FT370" s="27" t="s">
        <v>7</v>
      </c>
      <c r="GC370" s="27" t="s">
        <v>8</v>
      </c>
      <c r="HV370" s="27" t="s">
        <v>7</v>
      </c>
      <c r="HW370" s="27" t="s">
        <v>8</v>
      </c>
      <c r="HY370" s="27" t="s">
        <v>8</v>
      </c>
      <c r="HZ370" s="27" t="s">
        <v>7</v>
      </c>
      <c r="IA370" s="27" t="s">
        <v>8</v>
      </c>
      <c r="IB370" s="27" t="s">
        <v>7</v>
      </c>
    </row>
    <row r="371" spans="1:236" x14ac:dyDescent="0.25">
      <c r="A371" s="7">
        <v>72.050516854639184</v>
      </c>
      <c r="B371"/>
      <c r="C371"/>
      <c r="D371"/>
      <c r="E371"/>
      <c r="FE371" s="27" t="s">
        <v>8</v>
      </c>
      <c r="FF371" s="27" t="s">
        <v>7</v>
      </c>
      <c r="FG371" s="27" t="s">
        <v>8</v>
      </c>
      <c r="FH371" s="27" t="s">
        <v>7</v>
      </c>
      <c r="FI371" s="27" t="s">
        <v>8</v>
      </c>
      <c r="FJ371" s="27" t="s">
        <v>7</v>
      </c>
      <c r="FK371" s="27" t="s">
        <v>8</v>
      </c>
      <c r="FL371" s="27" t="s">
        <v>7</v>
      </c>
      <c r="FM371" s="27" t="s">
        <v>8</v>
      </c>
      <c r="FN371" s="27" t="s">
        <v>7</v>
      </c>
      <c r="FO371" s="27" t="s">
        <v>8</v>
      </c>
      <c r="FP371" s="27" t="s">
        <v>7</v>
      </c>
      <c r="FR371" s="27" t="s">
        <v>7</v>
      </c>
      <c r="FS371" s="27" t="s">
        <v>8</v>
      </c>
      <c r="FT371" s="27" t="s">
        <v>7</v>
      </c>
      <c r="FU371" s="27" t="s">
        <v>8</v>
      </c>
      <c r="GC371" s="27" t="s">
        <v>8</v>
      </c>
      <c r="HV371" s="27" t="s">
        <v>7</v>
      </c>
      <c r="HW371" s="27" t="s">
        <v>8</v>
      </c>
      <c r="HX371" s="27" t="s">
        <v>7</v>
      </c>
      <c r="HY371" s="27" t="s">
        <v>8</v>
      </c>
      <c r="HZ371" s="27" t="s">
        <v>7</v>
      </c>
      <c r="IB371" s="27" t="s">
        <v>7</v>
      </c>
    </row>
    <row r="372" spans="1:236" x14ac:dyDescent="0.25">
      <c r="A372" s="7">
        <v>70.637761622195271</v>
      </c>
      <c r="B372"/>
      <c r="C372"/>
      <c r="D372"/>
      <c r="E372"/>
      <c r="FE372" s="27" t="s">
        <v>8</v>
      </c>
      <c r="FF372" s="27" t="s">
        <v>7</v>
      </c>
      <c r="FG372" s="27" t="s">
        <v>8</v>
      </c>
      <c r="FH372" s="27" t="s">
        <v>7</v>
      </c>
      <c r="FI372" s="27" t="s">
        <v>8</v>
      </c>
      <c r="FJ372" s="27" t="s">
        <v>7</v>
      </c>
      <c r="FK372" s="27" t="s">
        <v>8</v>
      </c>
      <c r="FL372" s="27" t="s">
        <v>7</v>
      </c>
      <c r="FM372" s="27" t="s">
        <v>8</v>
      </c>
      <c r="FN372" s="27" t="s">
        <v>7</v>
      </c>
      <c r="FO372" s="27" t="s">
        <v>8</v>
      </c>
      <c r="FR372" s="27" t="s">
        <v>7</v>
      </c>
      <c r="FT372" s="27" t="s">
        <v>7</v>
      </c>
      <c r="FU372" s="27" t="s">
        <v>8</v>
      </c>
      <c r="FV372" s="27" t="s">
        <v>7</v>
      </c>
      <c r="FW372" s="27" t="s">
        <v>8</v>
      </c>
      <c r="FY372" s="27" t="s">
        <v>8</v>
      </c>
      <c r="GA372" s="27" t="s">
        <v>8</v>
      </c>
      <c r="GC372" s="27" t="s">
        <v>8</v>
      </c>
      <c r="HV372" s="27" t="s">
        <v>7</v>
      </c>
      <c r="HW372" s="27" t="s">
        <v>8</v>
      </c>
      <c r="HX372" s="27" t="s">
        <v>7</v>
      </c>
      <c r="HY372" s="27" t="s">
        <v>8</v>
      </c>
      <c r="IB372" s="27" t="s">
        <v>7</v>
      </c>
    </row>
    <row r="373" spans="1:236" x14ac:dyDescent="0.25">
      <c r="A373" s="7">
        <v>69.252707472740454</v>
      </c>
      <c r="B373"/>
      <c r="C373"/>
      <c r="D373"/>
      <c r="E373"/>
      <c r="FE373" s="27" t="s">
        <v>8</v>
      </c>
      <c r="FF373" s="27" t="s">
        <v>7</v>
      </c>
      <c r="FG373" s="27" t="s">
        <v>8</v>
      </c>
      <c r="FH373" s="27" t="s">
        <v>7</v>
      </c>
      <c r="FI373" s="27" t="s">
        <v>8</v>
      </c>
      <c r="FJ373" s="27" t="s">
        <v>7</v>
      </c>
      <c r="FK373" s="27" t="s">
        <v>8</v>
      </c>
      <c r="FL373" s="27" t="s">
        <v>7</v>
      </c>
      <c r="FM373" s="27" t="s">
        <v>8</v>
      </c>
      <c r="FN373" s="27" t="s">
        <v>7</v>
      </c>
      <c r="FO373" s="27" t="s">
        <v>8</v>
      </c>
      <c r="FT373" s="27" t="s">
        <v>7</v>
      </c>
      <c r="FU373" s="27" t="s">
        <v>8</v>
      </c>
      <c r="FV373" s="27" t="s">
        <v>7</v>
      </c>
      <c r="FW373" s="27" t="s">
        <v>8</v>
      </c>
      <c r="FX373" s="27" t="s">
        <v>7</v>
      </c>
      <c r="FY373" s="27" t="s">
        <v>8</v>
      </c>
      <c r="FZ373" s="27" t="s">
        <v>7</v>
      </c>
      <c r="GA373" s="27" t="s">
        <v>8</v>
      </c>
      <c r="GB373" s="27" t="s">
        <v>7</v>
      </c>
      <c r="GC373" s="27" t="s">
        <v>8</v>
      </c>
      <c r="HV373" s="27" t="s">
        <v>7</v>
      </c>
      <c r="HW373" s="27" t="s">
        <v>8</v>
      </c>
      <c r="HX373" s="27" t="s">
        <v>7</v>
      </c>
      <c r="HY373" s="27" t="s">
        <v>8</v>
      </c>
      <c r="IB373" s="27" t="s">
        <v>7</v>
      </c>
    </row>
    <row r="374" spans="1:236" x14ac:dyDescent="0.25">
      <c r="A374" s="7">
        <v>67.894811247784759</v>
      </c>
      <c r="B374"/>
      <c r="C374"/>
      <c r="D374"/>
      <c r="E374"/>
      <c r="FE374" s="27" t="s">
        <v>8</v>
      </c>
      <c r="FF374" s="27" t="s">
        <v>7</v>
      </c>
      <c r="FG374" s="27" t="s">
        <v>8</v>
      </c>
      <c r="FH374" s="27" t="s">
        <v>7</v>
      </c>
      <c r="FI374" s="27" t="s">
        <v>8</v>
      </c>
      <c r="FJ374" s="27" t="s">
        <v>7</v>
      </c>
      <c r="FK374" s="27" t="s">
        <v>8</v>
      </c>
      <c r="FL374" s="27" t="s">
        <v>7</v>
      </c>
      <c r="FN374" s="27" t="s">
        <v>7</v>
      </c>
      <c r="FT374" s="27" t="s">
        <v>7</v>
      </c>
      <c r="FU374" s="27" t="s">
        <v>8</v>
      </c>
      <c r="FV374" s="27" t="s">
        <v>7</v>
      </c>
      <c r="FW374" s="27" t="s">
        <v>8</v>
      </c>
      <c r="FX374" s="27" t="s">
        <v>7</v>
      </c>
      <c r="FY374" s="27" t="s">
        <v>8</v>
      </c>
      <c r="FZ374" s="27" t="s">
        <v>7</v>
      </c>
      <c r="GA374" s="27" t="s">
        <v>8</v>
      </c>
      <c r="GB374" s="27" t="s">
        <v>7</v>
      </c>
      <c r="GC374" s="27" t="s">
        <v>8</v>
      </c>
      <c r="HV374" s="27" t="s">
        <v>7</v>
      </c>
      <c r="HX374" s="27" t="s">
        <v>7</v>
      </c>
      <c r="HY374" s="27" t="s">
        <v>8</v>
      </c>
      <c r="IB374" s="27" t="s">
        <v>7</v>
      </c>
    </row>
    <row r="375" spans="1:236" x14ac:dyDescent="0.25">
      <c r="A375" s="7">
        <v>66.563540439004669</v>
      </c>
      <c r="B375"/>
      <c r="C375"/>
      <c r="D375"/>
      <c r="E375"/>
      <c r="FE375" s="27" t="s">
        <v>8</v>
      </c>
      <c r="FF375" s="27" t="s">
        <v>7</v>
      </c>
      <c r="FG375" s="27" t="s">
        <v>8</v>
      </c>
      <c r="FH375" s="27" t="s">
        <v>7</v>
      </c>
      <c r="FI375" s="27" t="s">
        <v>8</v>
      </c>
      <c r="FJ375" s="27" t="s">
        <v>7</v>
      </c>
      <c r="FT375" s="27" t="s">
        <v>7</v>
      </c>
      <c r="FU375" s="27" t="s">
        <v>8</v>
      </c>
      <c r="FV375" s="27" t="s">
        <v>7</v>
      </c>
      <c r="FW375" s="27" t="s">
        <v>8</v>
      </c>
      <c r="FX375" s="27" t="s">
        <v>7</v>
      </c>
      <c r="FY375" s="27" t="s">
        <v>8</v>
      </c>
      <c r="FZ375" s="27" t="s">
        <v>7</v>
      </c>
      <c r="GA375" s="27" t="s">
        <v>8</v>
      </c>
      <c r="GB375" s="27" t="s">
        <v>7</v>
      </c>
      <c r="GC375" s="27" t="s">
        <v>8</v>
      </c>
      <c r="HX375" s="27" t="s">
        <v>7</v>
      </c>
      <c r="HY375" s="27" t="s">
        <v>8</v>
      </c>
      <c r="IB375" s="27" t="s">
        <v>7</v>
      </c>
    </row>
    <row r="376" spans="1:236" x14ac:dyDescent="0.25">
      <c r="A376" s="7">
        <v>65.258372979416336</v>
      </c>
      <c r="B376"/>
      <c r="C376"/>
      <c r="D376"/>
      <c r="E376"/>
      <c r="FE376" s="27" t="s">
        <v>8</v>
      </c>
      <c r="FF376" s="27" t="s">
        <v>7</v>
      </c>
      <c r="FG376" s="27" t="s">
        <v>8</v>
      </c>
      <c r="FH376" s="27" t="s">
        <v>7</v>
      </c>
      <c r="FI376" s="27" t="s">
        <v>8</v>
      </c>
      <c r="FT376" s="27" t="s">
        <v>7</v>
      </c>
      <c r="FU376" s="27" t="s">
        <v>8</v>
      </c>
      <c r="FV376" s="27" t="s">
        <v>7</v>
      </c>
      <c r="FW376" s="27" t="s">
        <v>8</v>
      </c>
      <c r="FX376" s="27" t="s">
        <v>7</v>
      </c>
      <c r="FY376" s="27" t="s">
        <v>8</v>
      </c>
      <c r="FZ376" s="27" t="s">
        <v>7</v>
      </c>
      <c r="GA376" s="27" t="s">
        <v>8</v>
      </c>
      <c r="GB376" s="27" t="s">
        <v>7</v>
      </c>
      <c r="GC376" s="27" t="s">
        <v>8</v>
      </c>
      <c r="HX376" s="27" t="s">
        <v>7</v>
      </c>
      <c r="IB376" s="27" t="s">
        <v>7</v>
      </c>
    </row>
    <row r="377" spans="1:236" x14ac:dyDescent="0.25">
      <c r="A377" s="7">
        <v>63.978797038643471</v>
      </c>
      <c r="B377"/>
      <c r="C377"/>
      <c r="D377"/>
      <c r="E377"/>
      <c r="FE377" s="27" t="s">
        <v>8</v>
      </c>
      <c r="FF377" s="27" t="s">
        <v>7</v>
      </c>
      <c r="FH377" s="27" t="s">
        <v>7</v>
      </c>
      <c r="FT377" s="27" t="s">
        <v>7</v>
      </c>
      <c r="FU377" s="27" t="s">
        <v>8</v>
      </c>
      <c r="FV377" s="27" t="s">
        <v>7</v>
      </c>
      <c r="FW377" s="27" t="s">
        <v>8</v>
      </c>
      <c r="FX377" s="27" t="s">
        <v>7</v>
      </c>
      <c r="FY377" s="27" t="s">
        <v>8</v>
      </c>
      <c r="FZ377" s="27" t="s">
        <v>7</v>
      </c>
      <c r="GA377" s="27" t="s">
        <v>8</v>
      </c>
      <c r="GB377" s="27" t="s">
        <v>7</v>
      </c>
      <c r="GC377" s="27" t="s">
        <v>8</v>
      </c>
      <c r="IB377" s="27" t="s">
        <v>7</v>
      </c>
    </row>
    <row r="378" spans="1:236" x14ac:dyDescent="0.25">
      <c r="A378" s="7">
        <v>62.724310822199477</v>
      </c>
      <c r="B378"/>
      <c r="C378"/>
      <c r="D378"/>
      <c r="E378"/>
      <c r="FE378" s="27" t="s">
        <v>8</v>
      </c>
      <c r="FT378" s="27" t="s">
        <v>7</v>
      </c>
      <c r="FU378" s="27" t="s">
        <v>8</v>
      </c>
      <c r="FV378" s="27" t="s">
        <v>7</v>
      </c>
      <c r="FX378" s="27" t="s">
        <v>7</v>
      </c>
      <c r="FY378" s="27" t="s">
        <v>8</v>
      </c>
      <c r="FZ378" s="27" t="s">
        <v>7</v>
      </c>
      <c r="GA378" s="27" t="s">
        <v>8</v>
      </c>
      <c r="GB378" s="27" t="s">
        <v>7</v>
      </c>
      <c r="GC378" s="27" t="s">
        <v>8</v>
      </c>
      <c r="IB378" s="27" t="s">
        <v>7</v>
      </c>
    </row>
    <row r="379" spans="1:236" x14ac:dyDescent="0.25">
      <c r="A379" s="7">
        <v>61.494422374705366</v>
      </c>
      <c r="B379"/>
      <c r="C379"/>
      <c r="D379"/>
      <c r="E379"/>
      <c r="FE379" s="27" t="s">
        <v>8</v>
      </c>
      <c r="FT379" s="27" t="s">
        <v>7</v>
      </c>
      <c r="FU379" s="27" t="s">
        <v>8</v>
      </c>
      <c r="FX379" s="27" t="s">
        <v>7</v>
      </c>
      <c r="FZ379" s="27" t="s">
        <v>7</v>
      </c>
      <c r="GA379" s="27" t="s">
        <v>8</v>
      </c>
      <c r="GB379" s="27" t="s">
        <v>7</v>
      </c>
      <c r="GC379" s="27" t="s">
        <v>8</v>
      </c>
      <c r="IB379" s="27" t="s">
        <v>7</v>
      </c>
    </row>
    <row r="380" spans="1:236" x14ac:dyDescent="0.25">
      <c r="A380" s="7">
        <v>60.288649386966043</v>
      </c>
      <c r="B380"/>
      <c r="C380"/>
      <c r="D380"/>
      <c r="E380"/>
      <c r="FE380" s="27" t="s">
        <v>8</v>
      </c>
      <c r="FT380" s="27" t="s">
        <v>7</v>
      </c>
      <c r="FU380" s="27" t="s">
        <v>8</v>
      </c>
      <c r="FZ380" s="27" t="s">
        <v>7</v>
      </c>
      <c r="GA380" s="27" t="s">
        <v>8</v>
      </c>
      <c r="GB380" s="27" t="s">
        <v>7</v>
      </c>
      <c r="GC380" s="27" t="s">
        <v>8</v>
      </c>
      <c r="IB380" s="27" t="s">
        <v>7</v>
      </c>
    </row>
    <row r="381" spans="1:236" x14ac:dyDescent="0.25">
      <c r="A381" s="7">
        <v>59.106519006829451</v>
      </c>
      <c r="B381"/>
      <c r="C381"/>
      <c r="D381"/>
      <c r="E381"/>
      <c r="FE381" s="27" t="s">
        <v>8</v>
      </c>
      <c r="FT381" s="27" t="s">
        <v>7</v>
      </c>
      <c r="FU381" s="27" t="s">
        <v>8</v>
      </c>
      <c r="FZ381" s="27" t="s">
        <v>7</v>
      </c>
      <c r="GA381" s="27" t="s">
        <v>8</v>
      </c>
      <c r="GB381" s="27" t="s">
        <v>7</v>
      </c>
      <c r="IB381" s="27" t="s">
        <v>7</v>
      </c>
    </row>
    <row r="382" spans="1:236" x14ac:dyDescent="0.25">
      <c r="A382" s="7">
        <v>57.947567653754362</v>
      </c>
      <c r="B382"/>
      <c r="C382"/>
      <c r="D382"/>
      <c r="E382"/>
      <c r="FE382" s="27" t="s">
        <v>8</v>
      </c>
      <c r="FT382" s="27" t="s">
        <v>7</v>
      </c>
      <c r="FU382" s="27" t="s">
        <v>8</v>
      </c>
      <c r="FZ382" s="27" t="s">
        <v>7</v>
      </c>
      <c r="GA382" s="27" t="s">
        <v>8</v>
      </c>
      <c r="IB382" s="27" t="s">
        <v>7</v>
      </c>
    </row>
    <row r="383" spans="1:236" x14ac:dyDescent="0.25">
      <c r="A383" s="7">
        <v>56.811340837014079</v>
      </c>
      <c r="B383"/>
      <c r="C383"/>
      <c r="D383"/>
      <c r="E383"/>
      <c r="FE383" s="27" t="s">
        <v>8</v>
      </c>
      <c r="FT383" s="27" t="s">
        <v>7</v>
      </c>
      <c r="FZ383" s="27" t="s">
        <v>7</v>
      </c>
      <c r="GA383" s="27" t="s">
        <v>8</v>
      </c>
      <c r="IB383" s="27" t="s">
        <v>7</v>
      </c>
    </row>
    <row r="384" spans="1:236" x14ac:dyDescent="0.25">
      <c r="A384" s="7">
        <v>55.69739297746478</v>
      </c>
      <c r="B384"/>
      <c r="C384"/>
      <c r="D384"/>
      <c r="E384"/>
      <c r="FE384" s="27" t="s">
        <v>8</v>
      </c>
      <c r="FZ384" s="27" t="s">
        <v>7</v>
      </c>
      <c r="GA384" s="27" t="s">
        <v>8</v>
      </c>
      <c r="IB384" s="27" t="s">
        <v>7</v>
      </c>
    </row>
    <row r="385" spans="1:240" x14ac:dyDescent="0.25">
      <c r="A385" s="7">
        <v>54.605287232808607</v>
      </c>
      <c r="B385"/>
      <c r="C385"/>
      <c r="D385"/>
      <c r="E385"/>
      <c r="FE385" s="27" t="s">
        <v>8</v>
      </c>
      <c r="FZ385" s="27" t="s">
        <v>7</v>
      </c>
      <c r="GA385" s="27" t="s">
        <v>8</v>
      </c>
      <c r="IB385" s="27" t="s">
        <v>7</v>
      </c>
      <c r="IC385" s="27" t="s">
        <v>8</v>
      </c>
      <c r="IE385" s="27" t="s">
        <v>8</v>
      </c>
    </row>
    <row r="386" spans="1:240" x14ac:dyDescent="0.25">
      <c r="A386" s="7">
        <v>53.534595326282947</v>
      </c>
      <c r="B386"/>
      <c r="C386"/>
      <c r="D386"/>
      <c r="E386"/>
      <c r="FE386" s="27" t="s">
        <v>8</v>
      </c>
      <c r="FZ386" s="27" t="s">
        <v>7</v>
      </c>
      <c r="GA386" s="27" t="s">
        <v>8</v>
      </c>
      <c r="IB386" s="27" t="s">
        <v>7</v>
      </c>
      <c r="IC386" s="27" t="s">
        <v>8</v>
      </c>
      <c r="ID386" s="27" t="s">
        <v>7</v>
      </c>
      <c r="IE386" s="27" t="s">
        <v>8</v>
      </c>
      <c r="IF386" s="27" t="s">
        <v>7</v>
      </c>
    </row>
    <row r="387" spans="1:240" x14ac:dyDescent="0.25">
      <c r="A387" s="7">
        <v>52.484897378708773</v>
      </c>
      <c r="B387"/>
      <c r="C387"/>
      <c r="D387"/>
      <c r="E387"/>
      <c r="ES387" s="27" t="s">
        <v>8</v>
      </c>
      <c r="FE387" s="27" t="s">
        <v>8</v>
      </c>
      <c r="FZ387" s="27" t="s">
        <v>7</v>
      </c>
      <c r="GA387" s="27" t="s">
        <v>8</v>
      </c>
      <c r="IB387" s="27" t="s">
        <v>7</v>
      </c>
      <c r="IC387" s="27" t="s">
        <v>8</v>
      </c>
      <c r="ID387" s="27" t="s">
        <v>7</v>
      </c>
      <c r="IE387" s="27" t="s">
        <v>8</v>
      </c>
      <c r="IF387" s="27" t="s">
        <v>7</v>
      </c>
    </row>
    <row r="388" spans="1:240" x14ac:dyDescent="0.25">
      <c r="A388" s="7">
        <v>51.455781743832127</v>
      </c>
      <c r="B388"/>
      <c r="C388"/>
      <c r="D388"/>
      <c r="E388"/>
      <c r="ES388" s="27" t="s">
        <v>8</v>
      </c>
      <c r="ET388" s="27" t="s">
        <v>7</v>
      </c>
      <c r="FE388" s="27" t="s">
        <v>8</v>
      </c>
      <c r="FZ388" s="27" t="s">
        <v>7</v>
      </c>
      <c r="GA388" s="27" t="s">
        <v>8</v>
      </c>
      <c r="IB388" s="27" t="s">
        <v>7</v>
      </c>
      <c r="IC388" s="27" t="s">
        <v>8</v>
      </c>
      <c r="ID388" s="27" t="s">
        <v>7</v>
      </c>
      <c r="IE388" s="27" t="s">
        <v>8</v>
      </c>
      <c r="IF388" s="27" t="s">
        <v>7</v>
      </c>
    </row>
    <row r="389" spans="1:240" x14ac:dyDescent="0.25">
      <c r="A389" s="7">
        <v>50.446844846894244</v>
      </c>
      <c r="B389"/>
      <c r="C389"/>
      <c r="D389"/>
      <c r="E389"/>
      <c r="ES389" s="27" t="s">
        <v>8</v>
      </c>
      <c r="ET389" s="27" t="s">
        <v>7</v>
      </c>
      <c r="FE389" s="27" t="s">
        <v>8</v>
      </c>
      <c r="FZ389" s="27" t="s">
        <v>7</v>
      </c>
      <c r="GA389" s="27" t="s">
        <v>8</v>
      </c>
      <c r="IB389" s="27" t="s">
        <v>7</v>
      </c>
      <c r="IC389" s="27" t="s">
        <v>8</v>
      </c>
      <c r="ID389" s="27" t="s">
        <v>7</v>
      </c>
      <c r="IE389" s="27" t="s">
        <v>8</v>
      </c>
      <c r="IF389" s="27" t="s">
        <v>7</v>
      </c>
    </row>
    <row r="390" spans="1:240" x14ac:dyDescent="0.25">
      <c r="A390" s="7">
        <v>49.457691026366902</v>
      </c>
      <c r="B390"/>
      <c r="C390"/>
      <c r="D390"/>
      <c r="E390"/>
      <c r="EQ390" s="27" t="s">
        <v>8</v>
      </c>
      <c r="ES390" s="27" t="s">
        <v>8</v>
      </c>
      <c r="ET390" s="27" t="s">
        <v>7</v>
      </c>
      <c r="FE390" s="27" t="s">
        <v>8</v>
      </c>
      <c r="FZ390" s="27" t="s">
        <v>7</v>
      </c>
      <c r="GA390" s="27" t="s">
        <v>8</v>
      </c>
      <c r="IB390" s="27" t="s">
        <v>7</v>
      </c>
      <c r="IC390" s="27" t="s">
        <v>8</v>
      </c>
      <c r="ID390" s="27" t="s">
        <v>7</v>
      </c>
      <c r="IE390" s="27" t="s">
        <v>8</v>
      </c>
      <c r="IF390" s="27" t="s">
        <v>7</v>
      </c>
    </row>
    <row r="391" spans="1:240" x14ac:dyDescent="0.25">
      <c r="A391" s="7">
        <v>48.487932378791079</v>
      </c>
      <c r="B391"/>
      <c r="C391"/>
      <c r="D391"/>
      <c r="E391"/>
      <c r="EQ391" s="27" t="s">
        <v>8</v>
      </c>
      <c r="ER391" s="27" t="s">
        <v>7</v>
      </c>
      <c r="ES391" s="27" t="s">
        <v>8</v>
      </c>
      <c r="ET391" s="27" t="s">
        <v>7</v>
      </c>
      <c r="FE391" s="27" t="s">
        <v>8</v>
      </c>
      <c r="FZ391" s="27" t="s">
        <v>7</v>
      </c>
      <c r="IB391" s="27" t="s">
        <v>7</v>
      </c>
      <c r="IC391" s="27" t="s">
        <v>8</v>
      </c>
      <c r="ID391" s="27" t="s">
        <v>7</v>
      </c>
      <c r="IE391" s="27" t="s">
        <v>8</v>
      </c>
      <c r="IF391" s="27" t="s">
        <v>7</v>
      </c>
    </row>
    <row r="392" spans="1:240" x14ac:dyDescent="0.25">
      <c r="A392" s="7">
        <v>47.537188606657921</v>
      </c>
      <c r="B392"/>
      <c r="C392"/>
      <c r="D392"/>
      <c r="E392"/>
      <c r="EQ392" s="27" t="s">
        <v>8</v>
      </c>
      <c r="ER392" s="27" t="s">
        <v>7</v>
      </c>
      <c r="ES392" s="27" t="s">
        <v>8</v>
      </c>
      <c r="ET392" s="27" t="s">
        <v>7</v>
      </c>
      <c r="FE392" s="27" t="s">
        <v>8</v>
      </c>
      <c r="IB392" s="27" t="s">
        <v>7</v>
      </c>
      <c r="ID392" s="27" t="s">
        <v>7</v>
      </c>
      <c r="IE392" s="27" t="s">
        <v>8</v>
      </c>
    </row>
    <row r="393" spans="1:240" x14ac:dyDescent="0.25">
      <c r="A393" s="7">
        <v>46.605086869272469</v>
      </c>
      <c r="B393"/>
      <c r="C393"/>
      <c r="D393"/>
      <c r="E393"/>
      <c r="EQ393" s="27" t="s">
        <v>8</v>
      </c>
      <c r="ER393" s="27" t="s">
        <v>7</v>
      </c>
      <c r="ES393" s="27" t="s">
        <v>8</v>
      </c>
      <c r="ET393" s="27" t="s">
        <v>7</v>
      </c>
      <c r="FC393" s="27" t="s">
        <v>8</v>
      </c>
      <c r="FE393" s="27" t="s">
        <v>8</v>
      </c>
      <c r="ID393" s="27" t="s">
        <v>7</v>
      </c>
      <c r="IE393" s="27" t="s">
        <v>8</v>
      </c>
    </row>
    <row r="394" spans="1:240" x14ac:dyDescent="0.25">
      <c r="A394" s="7">
        <v>45.691261636541633</v>
      </c>
      <c r="B394"/>
      <c r="C394"/>
      <c r="D394"/>
      <c r="E394"/>
      <c r="EQ394" s="27" t="s">
        <v>8</v>
      </c>
      <c r="ER394" s="27" t="s">
        <v>7</v>
      </c>
      <c r="ES394" s="27" t="s">
        <v>8</v>
      </c>
      <c r="ET394" s="27" t="s">
        <v>7</v>
      </c>
      <c r="EU394" s="27" t="s">
        <v>8</v>
      </c>
      <c r="EY394" s="27" t="s">
        <v>8</v>
      </c>
      <c r="FC394" s="27" t="s">
        <v>8</v>
      </c>
      <c r="FD394" s="27" t="s">
        <v>7</v>
      </c>
      <c r="FE394" s="27" t="s">
        <v>8</v>
      </c>
      <c r="ID394" s="27" t="s">
        <v>7</v>
      </c>
      <c r="IE394" s="27" t="s">
        <v>8</v>
      </c>
    </row>
    <row r="395" spans="1:240" x14ac:dyDescent="0.25">
      <c r="A395" s="7">
        <v>44.795354545629053</v>
      </c>
      <c r="B395"/>
      <c r="C395"/>
      <c r="D395"/>
      <c r="E395"/>
      <c r="EQ395" s="27" t="s">
        <v>8</v>
      </c>
      <c r="ER395" s="27" t="s">
        <v>7</v>
      </c>
      <c r="ES395" s="27" t="s">
        <v>8</v>
      </c>
      <c r="ET395" s="27" t="s">
        <v>7</v>
      </c>
      <c r="EU395" s="27" t="s">
        <v>8</v>
      </c>
      <c r="EV395" s="27" t="s">
        <v>7</v>
      </c>
      <c r="EY395" s="27" t="s">
        <v>8</v>
      </c>
      <c r="EZ395" s="27" t="s">
        <v>7</v>
      </c>
      <c r="FC395" s="27" t="s">
        <v>8</v>
      </c>
      <c r="FD395" s="27" t="s">
        <v>7</v>
      </c>
      <c r="FE395" s="27" t="s">
        <v>8</v>
      </c>
      <c r="ID395" s="27" t="s">
        <v>7</v>
      </c>
    </row>
    <row r="396" spans="1:240" x14ac:dyDescent="0.25">
      <c r="A396" s="7">
        <v>43.917014260420636</v>
      </c>
      <c r="B396"/>
      <c r="C396"/>
      <c r="D396"/>
      <c r="E396"/>
      <c r="EQ396" s="27" t="s">
        <v>8</v>
      </c>
      <c r="ER396" s="27" t="s">
        <v>7</v>
      </c>
      <c r="ES396" s="27" t="s">
        <v>8</v>
      </c>
      <c r="ET396" s="27" t="s">
        <v>7</v>
      </c>
      <c r="EU396" s="27" t="s">
        <v>8</v>
      </c>
      <c r="EV396" s="27" t="s">
        <v>7</v>
      </c>
      <c r="EY396" s="27" t="s">
        <v>8</v>
      </c>
      <c r="EZ396" s="27" t="s">
        <v>7</v>
      </c>
      <c r="FA396" s="27" t="s">
        <v>8</v>
      </c>
      <c r="FC396" s="27" t="s">
        <v>8</v>
      </c>
      <c r="FD396" s="27" t="s">
        <v>7</v>
      </c>
      <c r="FE396" s="27" t="s">
        <v>8</v>
      </c>
    </row>
    <row r="397" spans="1:240" x14ac:dyDescent="0.25">
      <c r="A397" s="7">
        <v>43.055896333745721</v>
      </c>
      <c r="B397"/>
      <c r="C397"/>
      <c r="D397"/>
      <c r="E397"/>
      <c r="EQ397" s="27" t="s">
        <v>8</v>
      </c>
      <c r="ER397" s="27" t="s">
        <v>7</v>
      </c>
      <c r="ES397" s="27" t="s">
        <v>8</v>
      </c>
      <c r="ET397" s="27" t="s">
        <v>7</v>
      </c>
      <c r="EU397" s="27" t="s">
        <v>8</v>
      </c>
      <c r="EV397" s="27" t="s">
        <v>7</v>
      </c>
      <c r="EY397" s="27" t="s">
        <v>8</v>
      </c>
      <c r="EZ397" s="27" t="s">
        <v>7</v>
      </c>
      <c r="FA397" s="27" t="s">
        <v>8</v>
      </c>
      <c r="FB397" s="27" t="s">
        <v>7</v>
      </c>
      <c r="FC397" s="27" t="s">
        <v>8</v>
      </c>
      <c r="FD397" s="27" t="s">
        <v>7</v>
      </c>
      <c r="FE397" s="27" t="s">
        <v>8</v>
      </c>
    </row>
    <row r="398" spans="1:240" x14ac:dyDescent="0.25">
      <c r="A398" s="7">
        <v>42.211663072299729</v>
      </c>
      <c r="B398"/>
      <c r="C398"/>
      <c r="D398"/>
      <c r="E398"/>
      <c r="EQ398" s="27" t="s">
        <v>8</v>
      </c>
      <c r="ER398" s="27" t="s">
        <v>7</v>
      </c>
      <c r="ES398" s="27" t="s">
        <v>8</v>
      </c>
      <c r="ET398" s="27" t="s">
        <v>7</v>
      </c>
      <c r="EU398" s="27" t="s">
        <v>8</v>
      </c>
      <c r="EV398" s="27" t="s">
        <v>7</v>
      </c>
      <c r="EW398" s="27" t="s">
        <v>8</v>
      </c>
      <c r="EY398" s="27" t="s">
        <v>8</v>
      </c>
      <c r="EZ398" s="27" t="s">
        <v>7</v>
      </c>
      <c r="FA398" s="27" t="s">
        <v>8</v>
      </c>
      <c r="FB398" s="27" t="s">
        <v>7</v>
      </c>
      <c r="FC398" s="27" t="s">
        <v>8</v>
      </c>
      <c r="FD398" s="27" t="s">
        <v>7</v>
      </c>
      <c r="FE398" s="27" t="s">
        <v>8</v>
      </c>
    </row>
    <row r="399" spans="1:240" x14ac:dyDescent="0.25">
      <c r="A399" s="7">
        <v>41.383983404215421</v>
      </c>
      <c r="B399"/>
      <c r="C399"/>
      <c r="D399"/>
      <c r="E399"/>
      <c r="EQ399" s="27" t="s">
        <v>8</v>
      </c>
      <c r="ER399" s="27" t="s">
        <v>7</v>
      </c>
      <c r="ES399" s="27" t="s">
        <v>8</v>
      </c>
      <c r="ET399" s="27" t="s">
        <v>7</v>
      </c>
      <c r="EV399" s="27" t="s">
        <v>7</v>
      </c>
      <c r="EW399" s="27" t="s">
        <v>8</v>
      </c>
      <c r="EX399" s="27" t="s">
        <v>7</v>
      </c>
      <c r="EY399" s="27" t="s">
        <v>8</v>
      </c>
      <c r="EZ399" s="27" t="s">
        <v>7</v>
      </c>
      <c r="FB399" s="27" t="s">
        <v>7</v>
      </c>
      <c r="FC399" s="27" t="s">
        <v>8</v>
      </c>
      <c r="FD399" s="27" t="s">
        <v>7</v>
      </c>
    </row>
    <row r="400" spans="1:240" x14ac:dyDescent="0.25">
      <c r="A400" s="7">
        <v>40.572532749230803</v>
      </c>
      <c r="B400"/>
      <c r="C400"/>
      <c r="D400"/>
      <c r="E400"/>
      <c r="EQ400" s="27" t="s">
        <v>8</v>
      </c>
      <c r="ER400" s="27" t="s">
        <v>7</v>
      </c>
      <c r="ES400" s="27" t="s">
        <v>8</v>
      </c>
      <c r="EV400" s="27" t="s">
        <v>7</v>
      </c>
      <c r="EW400" s="27" t="s">
        <v>8</v>
      </c>
      <c r="EX400" s="27" t="s">
        <v>7</v>
      </c>
      <c r="EY400" s="27" t="s">
        <v>8</v>
      </c>
      <c r="FB400" s="27" t="s">
        <v>7</v>
      </c>
    </row>
    <row r="401" spans="1:155" x14ac:dyDescent="0.25">
      <c r="A401" s="7">
        <v>39.776992891402749</v>
      </c>
      <c r="B401"/>
      <c r="C401"/>
      <c r="D401"/>
      <c r="E401"/>
      <c r="EQ401" s="27" t="s">
        <v>8</v>
      </c>
      <c r="ER401" s="27" t="s">
        <v>7</v>
      </c>
      <c r="ES401" s="27" t="s">
        <v>8</v>
      </c>
      <c r="EV401" s="27" t="s">
        <v>7</v>
      </c>
      <c r="EW401" s="27" t="s">
        <v>8</v>
      </c>
      <c r="EX401" s="27" t="s">
        <v>7</v>
      </c>
      <c r="EY401" s="27" t="s">
        <v>8</v>
      </c>
    </row>
    <row r="402" spans="1:155" x14ac:dyDescent="0.25">
      <c r="A402" s="7">
        <v>38.997051854316418</v>
      </c>
      <c r="B402"/>
      <c r="C402"/>
      <c r="D402"/>
      <c r="E402"/>
      <c r="EQ402" s="27" t="s">
        <v>8</v>
      </c>
      <c r="ER402" s="27" t="s">
        <v>7</v>
      </c>
      <c r="ES402" s="27" t="s">
        <v>8</v>
      </c>
      <c r="EV402" s="27" t="s">
        <v>7</v>
      </c>
      <c r="EW402" s="27" t="s">
        <v>8</v>
      </c>
      <c r="EX402" s="27" t="s">
        <v>7</v>
      </c>
      <c r="EY402" s="27" t="s">
        <v>8</v>
      </c>
    </row>
    <row r="403" spans="1:155" x14ac:dyDescent="0.25">
      <c r="A403" s="7">
        <v>38.232403778741585</v>
      </c>
      <c r="B403"/>
      <c r="C403"/>
      <c r="D403"/>
      <c r="E403"/>
      <c r="EQ403" s="27" t="s">
        <v>8</v>
      </c>
      <c r="ER403" s="27" t="s">
        <v>7</v>
      </c>
      <c r="ES403" s="27" t="s">
        <v>8</v>
      </c>
      <c r="EV403" s="27" t="s">
        <v>7</v>
      </c>
      <c r="EW403" s="27" t="s">
        <v>8</v>
      </c>
      <c r="EX403" s="27" t="s">
        <v>7</v>
      </c>
    </row>
    <row r="404" spans="1:155" x14ac:dyDescent="0.25">
      <c r="A404" s="7">
        <v>37.48274880268783</v>
      </c>
      <c r="B404"/>
      <c r="C404"/>
      <c r="D404"/>
      <c r="E404"/>
      <c r="EQ404" s="27" t="s">
        <v>8</v>
      </c>
      <c r="ER404" s="27" t="s">
        <v>7</v>
      </c>
      <c r="ES404" s="27" t="s">
        <v>8</v>
      </c>
      <c r="EV404" s="27" t="s">
        <v>7</v>
      </c>
    </row>
    <row r="405" spans="1:155" x14ac:dyDescent="0.25">
      <c r="A405" s="7">
        <v>36.747792943811596</v>
      </c>
      <c r="B405"/>
      <c r="C405"/>
      <c r="D405"/>
      <c r="E405"/>
      <c r="EQ405" s="27" t="s">
        <v>8</v>
      </c>
      <c r="ER405" s="27" t="s">
        <v>7</v>
      </c>
      <c r="ES405" s="27" t="s">
        <v>8</v>
      </c>
    </row>
    <row r="406" spans="1:155" x14ac:dyDescent="0.25">
      <c r="A406" s="7">
        <v>36.027247984129012</v>
      </c>
      <c r="B406"/>
      <c r="C406"/>
      <c r="D406"/>
      <c r="E406"/>
      <c r="EQ406" s="27" t="s">
        <v>8</v>
      </c>
      <c r="ER406" s="27" t="s">
        <v>7</v>
      </c>
      <c r="ES406" s="27" t="s">
        <v>8</v>
      </c>
    </row>
    <row r="407" spans="1:155" x14ac:dyDescent="0.25">
      <c r="A407" s="7">
        <v>35.320831356989224</v>
      </c>
      <c r="B407"/>
      <c r="C407"/>
      <c r="D407"/>
      <c r="E407"/>
      <c r="EQ407" s="27" t="s">
        <v>8</v>
      </c>
      <c r="ER407" s="27" t="s">
        <v>7</v>
      </c>
    </row>
    <row r="408" spans="1:155" x14ac:dyDescent="0.25">
      <c r="A408" s="7">
        <v>34.628266036263945</v>
      </c>
      <c r="B408"/>
      <c r="C408"/>
      <c r="D408"/>
      <c r="E408"/>
      <c r="EQ408" s="27" t="s">
        <v>8</v>
      </c>
    </row>
    <row r="409" spans="1:155" x14ac:dyDescent="0.25">
      <c r="A409" s="7">
        <v>33.949280427709752</v>
      </c>
      <c r="B409"/>
      <c r="C409"/>
      <c r="D409"/>
      <c r="E409"/>
      <c r="EQ409" s="27" t="s">
        <v>8</v>
      </c>
    </row>
    <row r="410" spans="1:155" x14ac:dyDescent="0.25">
      <c r="A410" s="7">
        <v>33.28360826246054</v>
      </c>
      <c r="B410"/>
      <c r="C410"/>
      <c r="D410"/>
      <c r="E410"/>
      <c r="EQ410" s="27" t="s">
        <v>8</v>
      </c>
    </row>
    <row r="411" spans="1:155" x14ac:dyDescent="0.25">
      <c r="A411" s="7">
        <v>32.630988492608374</v>
      </c>
      <c r="B411"/>
      <c r="C411"/>
      <c r="D411"/>
      <c r="E411"/>
      <c r="EQ411" s="27" t="s">
        <v>8</v>
      </c>
    </row>
    <row r="412" spans="1:155" x14ac:dyDescent="0.25">
      <c r="A412" s="7">
        <v>31.99116518883174</v>
      </c>
      <c r="B412"/>
      <c r="C412"/>
      <c r="D412"/>
      <c r="E412"/>
      <c r="EQ412" s="27" t="s">
        <v>8</v>
      </c>
    </row>
    <row r="413" spans="1:155" x14ac:dyDescent="0.25">
      <c r="A413" s="7">
        <v>31.363887440031117</v>
      </c>
      <c r="B413"/>
      <c r="C413"/>
      <c r="D413"/>
      <c r="E413"/>
      <c r="EQ413" s="27" t="s">
        <v>8</v>
      </c>
    </row>
    <row r="414" spans="1:155" x14ac:dyDescent="0.25">
      <c r="A414" s="7">
        <v>30.748909254932467</v>
      </c>
      <c r="B414"/>
      <c r="C414"/>
      <c r="D414"/>
      <c r="E414"/>
      <c r="EQ414" s="27" t="s">
        <v>8</v>
      </c>
    </row>
    <row r="415" spans="1:155" x14ac:dyDescent="0.25">
      <c r="A415" s="7">
        <v>30.145989465620065</v>
      </c>
      <c r="B415"/>
      <c r="C415"/>
      <c r="D415"/>
      <c r="E415"/>
      <c r="EQ415" s="27" t="s">
        <v>8</v>
      </c>
    </row>
    <row r="416" spans="1:155" x14ac:dyDescent="0.25">
      <c r="A416" s="7">
        <v>29.55489163296085</v>
      </c>
      <c r="B416"/>
      <c r="C416"/>
      <c r="D416"/>
      <c r="E416"/>
      <c r="EQ416" s="27" t="s">
        <v>8</v>
      </c>
    </row>
    <row r="417" spans="1:147" x14ac:dyDescent="0.25">
      <c r="A417" s="7">
        <v>28.975383953883185</v>
      </c>
      <c r="B417"/>
      <c r="C417"/>
      <c r="D417"/>
      <c r="E417"/>
      <c r="EM417" s="27" t="s">
        <v>8</v>
      </c>
      <c r="EQ417" s="27" t="s">
        <v>8</v>
      </c>
    </row>
    <row r="418" spans="1:147" x14ac:dyDescent="0.25">
      <c r="A418" s="7">
        <v>28.407239170473709</v>
      </c>
      <c r="B418"/>
      <c r="C418"/>
      <c r="D418"/>
      <c r="E418"/>
      <c r="EM418" s="27" t="s">
        <v>8</v>
      </c>
      <c r="EN418" s="27" t="s">
        <v>7</v>
      </c>
      <c r="EQ418" s="27" t="s">
        <v>8</v>
      </c>
    </row>
    <row r="419" spans="1:147" x14ac:dyDescent="0.25">
      <c r="A419" s="7">
        <v>27.850234480856578</v>
      </c>
      <c r="B419"/>
      <c r="C419"/>
      <c r="D419"/>
      <c r="E419"/>
      <c r="EM419" s="27" t="s">
        <v>8</v>
      </c>
      <c r="EN419" s="27" t="s">
        <v>7</v>
      </c>
      <c r="EQ419" s="27" t="s">
        <v>8</v>
      </c>
    </row>
    <row r="420" spans="1:147" x14ac:dyDescent="0.25">
      <c r="A420" s="7">
        <v>27.304151451820175</v>
      </c>
      <c r="B420"/>
      <c r="C420"/>
      <c r="D420"/>
      <c r="E420"/>
      <c r="EM420" s="27" t="s">
        <v>8</v>
      </c>
      <c r="EN420" s="27" t="s">
        <v>7</v>
      </c>
      <c r="EQ420" s="27" t="s">
        <v>8</v>
      </c>
    </row>
    <row r="421" spans="1:147" x14ac:dyDescent="0.25">
      <c r="A421" s="7">
        <v>26.768775933157034</v>
      </c>
      <c r="B421"/>
      <c r="C421"/>
      <c r="D421"/>
      <c r="E421"/>
      <c r="EM421" s="27" t="s">
        <v>8</v>
      </c>
      <c r="EN421" s="27" t="s">
        <v>7</v>
      </c>
      <c r="EQ421" s="27" t="s">
        <v>8</v>
      </c>
    </row>
    <row r="422" spans="1:147" x14ac:dyDescent="0.25">
      <c r="A422" s="7">
        <v>26.243897973683367</v>
      </c>
      <c r="B422"/>
      <c r="C422"/>
      <c r="D422"/>
      <c r="E422"/>
      <c r="EM422" s="27" t="s">
        <v>8</v>
      </c>
      <c r="EN422" s="27" t="s">
        <v>7</v>
      </c>
      <c r="EQ422" s="27" t="s">
        <v>8</v>
      </c>
    </row>
    <row r="423" spans="1:147" x14ac:dyDescent="0.25">
      <c r="A423" s="7">
        <v>25.729311738905263</v>
      </c>
      <c r="B423"/>
      <c r="C423"/>
      <c r="D423"/>
      <c r="E423"/>
      <c r="EM423" s="27" t="s">
        <v>8</v>
      </c>
      <c r="EN423" s="27" t="s">
        <v>7</v>
      </c>
      <c r="EQ423" s="27" t="s">
        <v>8</v>
      </c>
    </row>
    <row r="424" spans="1:147" x14ac:dyDescent="0.25">
      <c r="A424" s="7">
        <v>25.224815430299277</v>
      </c>
      <c r="B424"/>
      <c r="C424"/>
      <c r="D424"/>
      <c r="E424"/>
      <c r="EM424" s="27" t="s">
        <v>8</v>
      </c>
      <c r="EN424" s="27" t="s">
        <v>7</v>
      </c>
      <c r="EQ424" s="27" t="s">
        <v>8</v>
      </c>
    </row>
    <row r="425" spans="1:147" x14ac:dyDescent="0.25">
      <c r="A425" s="7">
        <v>24.73021120617576</v>
      </c>
      <c r="B425"/>
      <c r="C425"/>
      <c r="D425"/>
      <c r="E425"/>
      <c r="EM425" s="27" t="s">
        <v>8</v>
      </c>
      <c r="EN425" s="27" t="s">
        <v>7</v>
      </c>
      <c r="EQ425" s="27" t="s">
        <v>8</v>
      </c>
    </row>
    <row r="426" spans="1:147" x14ac:dyDescent="0.25">
      <c r="A426" s="7">
        <v>24.24530510409388</v>
      </c>
      <c r="B426"/>
      <c r="C426"/>
      <c r="D426"/>
      <c r="E426"/>
      <c r="EM426" s="27" t="s">
        <v>8</v>
      </c>
      <c r="EN426" s="27" t="s">
        <v>7</v>
      </c>
      <c r="EQ426" s="27" t="s">
        <v>8</v>
      </c>
    </row>
    <row r="427" spans="1:147" x14ac:dyDescent="0.25">
      <c r="A427" s="7">
        <v>23.769906964797922</v>
      </c>
      <c r="B427"/>
      <c r="C427"/>
      <c r="D427"/>
      <c r="E427"/>
      <c r="EM427" s="27" t="s">
        <v>8</v>
      </c>
      <c r="EN427" s="27" t="s">
        <v>7</v>
      </c>
      <c r="EQ427" s="27" t="s">
        <v>8</v>
      </c>
    </row>
    <row r="428" spans="1:147" x14ac:dyDescent="0.25">
      <c r="A428" s="7">
        <v>23.303830357645023</v>
      </c>
      <c r="B428"/>
      <c r="C428"/>
      <c r="D428"/>
      <c r="E428"/>
      <c r="EM428" s="27" t="s">
        <v>8</v>
      </c>
      <c r="EN428" s="27" t="s">
        <v>7</v>
      </c>
      <c r="EQ428" s="27" t="s">
        <v>8</v>
      </c>
    </row>
    <row r="429" spans="1:147" x14ac:dyDescent="0.25">
      <c r="A429" s="7">
        <v>22.84689250749512</v>
      </c>
      <c r="B429"/>
      <c r="C429"/>
      <c r="D429"/>
      <c r="E429"/>
      <c r="EM429" s="27" t="s">
        <v>8</v>
      </c>
      <c r="EN429" s="27" t="s">
        <v>7</v>
      </c>
      <c r="EQ429" s="27" t="s">
        <v>8</v>
      </c>
    </row>
    <row r="430" spans="1:147" x14ac:dyDescent="0.25">
      <c r="A430" s="7">
        <v>22.398914223034431</v>
      </c>
      <c r="B430"/>
      <c r="C430"/>
      <c r="D430"/>
      <c r="E430"/>
      <c r="EM430" s="27" t="s">
        <v>8</v>
      </c>
      <c r="EN430" s="27" t="s">
        <v>7</v>
      </c>
      <c r="EQ430" s="27" t="s">
        <v>8</v>
      </c>
    </row>
    <row r="431" spans="1:147" x14ac:dyDescent="0.25">
      <c r="A431" s="7">
        <v>21.959719826504344</v>
      </c>
      <c r="B431"/>
      <c r="C431"/>
      <c r="D431"/>
      <c r="E431"/>
      <c r="EM431" s="27" t="s">
        <v>8</v>
      </c>
      <c r="EN431" s="27" t="s">
        <v>7</v>
      </c>
      <c r="EQ431" s="27" t="s">
        <v>8</v>
      </c>
    </row>
    <row r="432" spans="1:147" x14ac:dyDescent="0.25">
      <c r="A432" s="7">
        <v>21.52913708480818</v>
      </c>
      <c r="B432"/>
      <c r="C432"/>
      <c r="D432"/>
      <c r="E432"/>
      <c r="EM432" s="27" t="s">
        <v>8</v>
      </c>
      <c r="EN432" s="27" t="s">
        <v>7</v>
      </c>
      <c r="EQ432" s="27" t="s">
        <v>8</v>
      </c>
    </row>
    <row r="433" spans="1:147" x14ac:dyDescent="0.25">
      <c r="A433" s="7">
        <v>21.106997141968804</v>
      </c>
      <c r="B433"/>
      <c r="C433"/>
      <c r="D433"/>
      <c r="E433"/>
      <c r="EM433" s="27" t="s">
        <v>8</v>
      </c>
      <c r="EN433" s="27" t="s">
        <v>7</v>
      </c>
      <c r="EQ433" s="27" t="s">
        <v>8</v>
      </c>
    </row>
    <row r="434" spans="1:147" x14ac:dyDescent="0.25">
      <c r="A434" s="7">
        <v>20.693134452910591</v>
      </c>
      <c r="B434"/>
      <c r="C434"/>
      <c r="D434"/>
      <c r="E434"/>
      <c r="EM434" s="27" t="s">
        <v>8</v>
      </c>
      <c r="EN434" s="27" t="s">
        <v>7</v>
      </c>
      <c r="EO434" s="27" t="s">
        <v>8</v>
      </c>
      <c r="EQ434" s="27" t="s">
        <v>8</v>
      </c>
    </row>
    <row r="435" spans="1:147" x14ac:dyDescent="0.25">
      <c r="A435" s="7">
        <v>20.287386718539796</v>
      </c>
      <c r="B435"/>
      <c r="C435"/>
      <c r="D435"/>
      <c r="E435"/>
      <c r="EM435" s="27" t="s">
        <v>8</v>
      </c>
      <c r="EN435" s="27" t="s">
        <v>7</v>
      </c>
      <c r="EO435" s="27" t="s">
        <v>8</v>
      </c>
      <c r="EP435" s="27" t="s">
        <v>7</v>
      </c>
      <c r="EQ435" s="27" t="s">
        <v>8</v>
      </c>
    </row>
    <row r="436" spans="1:147" x14ac:dyDescent="0.25">
      <c r="A436" s="7">
        <v>19.889594822097838</v>
      </c>
      <c r="B436"/>
      <c r="C436"/>
      <c r="D436"/>
      <c r="E436"/>
      <c r="EM436" s="27" t="s">
        <v>8</v>
      </c>
      <c r="EN436" s="27" t="s">
        <v>7</v>
      </c>
      <c r="EO436" s="27" t="s">
        <v>8</v>
      </c>
      <c r="EP436" s="27" t="s">
        <v>7</v>
      </c>
      <c r="EQ436" s="27" t="s">
        <v>8</v>
      </c>
    </row>
    <row r="437" spans="1:147" x14ac:dyDescent="0.25">
      <c r="A437" s="7">
        <v>19.499602766762585</v>
      </c>
      <c r="B437"/>
      <c r="C437"/>
      <c r="D437"/>
      <c r="E437"/>
      <c r="EK437" s="27" t="s">
        <v>8</v>
      </c>
      <c r="EM437" s="27" t="s">
        <v>8</v>
      </c>
      <c r="EN437" s="27" t="s">
        <v>7</v>
      </c>
      <c r="EO437" s="27" t="s">
        <v>8</v>
      </c>
      <c r="EP437" s="27" t="s">
        <v>7</v>
      </c>
      <c r="EQ437" s="27" t="s">
        <v>8</v>
      </c>
    </row>
    <row r="438" spans="1:147" x14ac:dyDescent="0.25">
      <c r="A438" s="7">
        <v>19.117257614473122</v>
      </c>
      <c r="B438"/>
      <c r="C438"/>
      <c r="D438"/>
      <c r="E438"/>
      <c r="EK438" s="27" t="s">
        <v>8</v>
      </c>
      <c r="EL438" s="27" t="s">
        <v>7</v>
      </c>
      <c r="EM438" s="27" t="s">
        <v>8</v>
      </c>
      <c r="EN438" s="27" t="s">
        <v>7</v>
      </c>
      <c r="EO438" s="27" t="s">
        <v>8</v>
      </c>
      <c r="EP438" s="27" t="s">
        <v>7</v>
      </c>
      <c r="EQ438" s="27" t="s">
        <v>8</v>
      </c>
    </row>
    <row r="439" spans="1:147" x14ac:dyDescent="0.25">
      <c r="A439" s="7">
        <v>18.74240942595404</v>
      </c>
      <c r="B439"/>
      <c r="C439"/>
      <c r="D439"/>
      <c r="E439"/>
      <c r="EK439" s="27" t="s">
        <v>8</v>
      </c>
      <c r="EL439" s="27" t="s">
        <v>7</v>
      </c>
      <c r="EM439" s="27" t="s">
        <v>8</v>
      </c>
      <c r="EN439" s="27" t="s">
        <v>7</v>
      </c>
      <c r="EO439" s="27" t="s">
        <v>8</v>
      </c>
      <c r="EP439" s="27" t="s">
        <v>7</v>
      </c>
      <c r="EQ439" s="27" t="s">
        <v>8</v>
      </c>
    </row>
    <row r="440" spans="1:147" x14ac:dyDescent="0.25">
      <c r="A440" s="7">
        <v>18.374911201915726</v>
      </c>
      <c r="B440"/>
      <c r="C440"/>
      <c r="D440"/>
      <c r="E440"/>
      <c r="EK440" s="27" t="s">
        <v>8</v>
      </c>
      <c r="EL440" s="27" t="s">
        <v>7</v>
      </c>
      <c r="EM440" s="27" t="s">
        <v>8</v>
      </c>
      <c r="EN440" s="27" t="s">
        <v>7</v>
      </c>
      <c r="EO440" s="27" t="s">
        <v>8</v>
      </c>
      <c r="EP440" s="27" t="s">
        <v>7</v>
      </c>
      <c r="EQ440" s="27" t="s">
        <v>8</v>
      </c>
    </row>
    <row r="441" spans="1:147" x14ac:dyDescent="0.25">
      <c r="A441" s="7">
        <v>18.014618825407574</v>
      </c>
      <c r="B441"/>
      <c r="C441"/>
      <c r="D441"/>
      <c r="E441"/>
      <c r="EK441" s="27" t="s">
        <v>8</v>
      </c>
      <c r="EL441" s="27" t="s">
        <v>7</v>
      </c>
      <c r="EM441" s="27" t="s">
        <v>8</v>
      </c>
      <c r="EN441" s="27" t="s">
        <v>7</v>
      </c>
      <c r="EO441" s="27" t="s">
        <v>8</v>
      </c>
      <c r="EP441" s="27" t="s">
        <v>7</v>
      </c>
      <c r="EQ441" s="27" t="s">
        <v>8</v>
      </c>
    </row>
    <row r="442" spans="1:147" x14ac:dyDescent="0.25">
      <c r="A442" s="7">
        <v>17.661391005301542</v>
      </c>
      <c r="B442"/>
      <c r="C442"/>
      <c r="D442"/>
      <c r="E442"/>
      <c r="EK442" s="27" t="s">
        <v>8</v>
      </c>
      <c r="EL442" s="27" t="s">
        <v>7</v>
      </c>
      <c r="EM442" s="27" t="s">
        <v>8</v>
      </c>
      <c r="EN442" s="27" t="s">
        <v>7</v>
      </c>
      <c r="EP442" s="27" t="s">
        <v>7</v>
      </c>
      <c r="EQ442" s="27" t="s">
        <v>8</v>
      </c>
    </row>
    <row r="443" spans="1:147" x14ac:dyDescent="0.25">
      <c r="A443" s="7">
        <v>17.315089220883866</v>
      </c>
      <c r="B443"/>
      <c r="C443"/>
      <c r="D443"/>
      <c r="E443"/>
      <c r="EK443" s="27" t="s">
        <v>8</v>
      </c>
      <c r="EL443" s="27" t="s">
        <v>7</v>
      </c>
      <c r="EM443" s="27" t="s">
        <v>8</v>
      </c>
      <c r="EP443" s="27" t="s">
        <v>7</v>
      </c>
      <c r="EQ443" s="27" t="s">
        <v>8</v>
      </c>
    </row>
    <row r="444" spans="1:147" x14ac:dyDescent="0.25">
      <c r="A444" s="7">
        <v>16.975577667533202</v>
      </c>
      <c r="B444"/>
      <c r="C444"/>
      <c r="D444"/>
      <c r="E444"/>
      <c r="EK444" s="27" t="s">
        <v>8</v>
      </c>
      <c r="EL444" s="27" t="s">
        <v>7</v>
      </c>
      <c r="EM444" s="27" t="s">
        <v>8</v>
      </c>
      <c r="EP444" s="27" t="s">
        <v>7</v>
      </c>
      <c r="EQ444" s="27" t="s">
        <v>8</v>
      </c>
    </row>
    <row r="445" spans="1:147" x14ac:dyDescent="0.25">
      <c r="A445" s="7">
        <v>16.642723203463923</v>
      </c>
      <c r="B445"/>
      <c r="C445"/>
      <c r="D445"/>
      <c r="E445"/>
      <c r="EI445" s="27" t="s">
        <v>8</v>
      </c>
      <c r="EK445" s="27" t="s">
        <v>8</v>
      </c>
      <c r="EL445" s="27" t="s">
        <v>7</v>
      </c>
      <c r="EM445" s="27" t="s">
        <v>8</v>
      </c>
      <c r="EP445" s="27" t="s">
        <v>7</v>
      </c>
      <c r="EQ445" s="27" t="s">
        <v>8</v>
      </c>
    </row>
    <row r="446" spans="1:147" x14ac:dyDescent="0.25">
      <c r="A446" s="7">
        <v>16.316395297513651</v>
      </c>
      <c r="B446"/>
      <c r="C446"/>
      <c r="D446"/>
      <c r="E446"/>
      <c r="EI446" s="27" t="s">
        <v>8</v>
      </c>
      <c r="EJ446" s="27" t="s">
        <v>7</v>
      </c>
      <c r="EK446" s="27" t="s">
        <v>8</v>
      </c>
      <c r="EL446" s="27" t="s">
        <v>7</v>
      </c>
      <c r="EP446" s="27" t="s">
        <v>7</v>
      </c>
      <c r="EQ446" s="27" t="s">
        <v>8</v>
      </c>
    </row>
    <row r="447" spans="1:147" x14ac:dyDescent="0.25">
      <c r="A447" s="7">
        <v>15.996465977954561</v>
      </c>
      <c r="B447"/>
      <c r="C447"/>
      <c r="D447"/>
      <c r="E447"/>
      <c r="EI447" s="27" t="s">
        <v>8</v>
      </c>
      <c r="EJ447" s="27" t="s">
        <v>7</v>
      </c>
      <c r="EK447" s="27" t="s">
        <v>8</v>
      </c>
      <c r="EP447" s="27" t="s">
        <v>7</v>
      </c>
      <c r="EQ447" s="27" t="s">
        <v>8</v>
      </c>
    </row>
    <row r="448" spans="1:147" x14ac:dyDescent="0.25">
      <c r="A448" s="7">
        <v>15.682809782308393</v>
      </c>
      <c r="B448"/>
      <c r="C448"/>
      <c r="D448"/>
      <c r="E448"/>
      <c r="EI448" s="27" t="s">
        <v>8</v>
      </c>
      <c r="EJ448" s="27" t="s">
        <v>7</v>
      </c>
      <c r="EK448" s="27" t="s">
        <v>8</v>
      </c>
      <c r="EP448" s="18" t="s">
        <v>7</v>
      </c>
      <c r="EQ448" s="27" t="s">
        <v>8</v>
      </c>
    </row>
    <row r="449" spans="1:147" x14ac:dyDescent="0.25">
      <c r="A449" s="7">
        <v>15.375303708145482</v>
      </c>
      <c r="B449"/>
      <c r="C449"/>
      <c r="D449"/>
      <c r="E449"/>
      <c r="EI449" s="27" t="s">
        <v>8</v>
      </c>
      <c r="EJ449" s="27" t="s">
        <v>7</v>
      </c>
      <c r="EK449" s="27" t="s">
        <v>8</v>
      </c>
      <c r="EP449" s="27" t="s">
        <v>7</v>
      </c>
      <c r="EQ449" s="27" t="s">
        <v>8</v>
      </c>
    </row>
    <row r="450" spans="1:147" x14ac:dyDescent="0.25">
      <c r="A450" s="7">
        <v>15.073827164848511</v>
      </c>
      <c r="B450"/>
      <c r="C450"/>
      <c r="D450"/>
      <c r="E450"/>
      <c r="EI450" s="27" t="s">
        <v>8</v>
      </c>
      <c r="EJ450" s="27" t="s">
        <v>7</v>
      </c>
      <c r="EK450" s="27" t="s">
        <v>8</v>
      </c>
      <c r="EP450" s="27" t="s">
        <v>7</v>
      </c>
      <c r="EQ450" s="27" t="s">
        <v>8</v>
      </c>
    </row>
    <row r="451" spans="1:147" x14ac:dyDescent="0.25">
      <c r="A451" s="7">
        <v>14.77826192632207</v>
      </c>
      <c r="B451"/>
      <c r="C451"/>
      <c r="D451"/>
      <c r="E451"/>
      <c r="EI451" s="27" t="s">
        <v>8</v>
      </c>
      <c r="EJ451" s="27" t="s">
        <v>7</v>
      </c>
      <c r="EK451" s="27" t="s">
        <v>8</v>
      </c>
      <c r="EP451" s="27" t="s">
        <v>7</v>
      </c>
      <c r="EQ451" s="27" t="s">
        <v>8</v>
      </c>
    </row>
    <row r="452" spans="1:147" x14ac:dyDescent="0.25">
      <c r="A452" s="7">
        <v>14.488492084629481</v>
      </c>
      <c r="B452"/>
      <c r="C452"/>
      <c r="D452"/>
      <c r="E452"/>
      <c r="EI452" s="27" t="s">
        <v>8</v>
      </c>
      <c r="EJ452" s="27" t="s">
        <v>7</v>
      </c>
      <c r="EK452" s="27" t="s">
        <v>8</v>
      </c>
      <c r="EP452" s="27" t="s">
        <v>7</v>
      </c>
      <c r="EQ452" s="27" t="s">
        <v>8</v>
      </c>
    </row>
    <row r="453" spans="1:147" x14ac:dyDescent="0.25">
      <c r="A453" s="7">
        <v>14.204404004538707</v>
      </c>
      <c r="B453"/>
      <c r="C453"/>
      <c r="D453"/>
      <c r="E453"/>
      <c r="EI453" s="27" t="s">
        <v>8</v>
      </c>
      <c r="EJ453" s="27" t="s">
        <v>7</v>
      </c>
      <c r="EK453" s="27" t="s">
        <v>8</v>
      </c>
      <c r="EP453" s="27" t="s">
        <v>7</v>
      </c>
    </row>
    <row r="454" spans="1:147" x14ac:dyDescent="0.25">
      <c r="A454" s="7">
        <v>13.925886278959517</v>
      </c>
      <c r="B454"/>
      <c r="C454"/>
      <c r="D454"/>
      <c r="E454"/>
      <c r="EI454" s="27" t="s">
        <v>8</v>
      </c>
      <c r="EJ454" s="27" t="s">
        <v>7</v>
      </c>
      <c r="EK454" s="27" t="s">
        <v>8</v>
      </c>
    </row>
    <row r="455" spans="1:147" x14ac:dyDescent="0.25">
      <c r="A455" s="7">
        <v>13.652829685254428</v>
      </c>
      <c r="B455"/>
      <c r="C455"/>
      <c r="D455"/>
      <c r="E455"/>
      <c r="EI455" s="27" t="s">
        <v>8</v>
      </c>
      <c r="EJ455" s="27" t="s">
        <v>7</v>
      </c>
      <c r="EK455" s="27" t="s">
        <v>8</v>
      </c>
    </row>
    <row r="456" spans="1:147" x14ac:dyDescent="0.25">
      <c r="A456" s="7">
        <v>13.385127142406303</v>
      </c>
      <c r="B456"/>
      <c r="C456"/>
      <c r="D456"/>
      <c r="E456"/>
      <c r="EI456" s="27" t="s">
        <v>8</v>
      </c>
      <c r="EJ456" s="27" t="s">
        <v>7</v>
      </c>
      <c r="EK456" s="27" t="s">
        <v>8</v>
      </c>
    </row>
    <row r="457" spans="1:147" x14ac:dyDescent="0.25">
      <c r="A457" s="7">
        <v>13.122673669025787</v>
      </c>
      <c r="B457"/>
      <c r="C457"/>
      <c r="D457"/>
      <c r="E457"/>
      <c r="EI457" s="27" t="s">
        <v>8</v>
      </c>
      <c r="EJ457" s="27" t="s">
        <v>7</v>
      </c>
      <c r="EK457" s="27" t="s">
        <v>8</v>
      </c>
    </row>
    <row r="458" spans="1:147" x14ac:dyDescent="0.25">
      <c r="A458" s="7">
        <v>12.865366342182144</v>
      </c>
      <c r="B458"/>
      <c r="C458"/>
      <c r="D458"/>
      <c r="E458"/>
      <c r="EI458" s="27" t="s">
        <v>8</v>
      </c>
      <c r="EJ458" s="27" t="s">
        <v>7</v>
      </c>
      <c r="EK458" s="27" t="s">
        <v>8</v>
      </c>
    </row>
    <row r="459" spans="1:147" x14ac:dyDescent="0.25">
      <c r="A459" s="7">
        <v>12.613104257041318</v>
      </c>
      <c r="B459"/>
      <c r="C459"/>
      <c r="D459"/>
      <c r="E459"/>
      <c r="EI459" s="27" t="s">
        <v>8</v>
      </c>
      <c r="EJ459" s="27" t="s">
        <v>7</v>
      </c>
      <c r="EK459" s="27" t="s">
        <v>8</v>
      </c>
    </row>
    <row r="460" spans="1:147" x14ac:dyDescent="0.25">
      <c r="A460" s="7">
        <v>12.36578848729541</v>
      </c>
      <c r="B460"/>
      <c r="C460"/>
      <c r="D460"/>
      <c r="E460"/>
      <c r="EI460" s="27" t="s">
        <v>8</v>
      </c>
      <c r="EJ460" s="27" t="s">
        <v>7</v>
      </c>
      <c r="EK460" s="27" t="s">
        <v>8</v>
      </c>
    </row>
    <row r="461" spans="1:147" x14ac:dyDescent="0.25">
      <c r="A461" s="7">
        <v>12.123322046368049</v>
      </c>
      <c r="B461"/>
      <c r="C461"/>
      <c r="D461"/>
      <c r="E461"/>
      <c r="EI461" s="27" t="s">
        <v>8</v>
      </c>
      <c r="EJ461" s="27" t="s">
        <v>7</v>
      </c>
      <c r="EK461" s="27" t="s">
        <v>8</v>
      </c>
    </row>
    <row r="462" spans="1:147" x14ac:dyDescent="0.25">
      <c r="A462" s="7">
        <v>11.88560984938044</v>
      </c>
      <c r="B462"/>
      <c r="C462"/>
      <c r="D462"/>
      <c r="E462"/>
      <c r="EI462" s="27" t="s">
        <v>8</v>
      </c>
      <c r="EJ462" s="27" t="s">
        <v>7</v>
      </c>
      <c r="EK462" s="27" t="s">
        <v>8</v>
      </c>
    </row>
    <row r="463" spans="1:147" x14ac:dyDescent="0.25">
      <c r="A463" s="7">
        <v>11.652558675863176</v>
      </c>
      <c r="B463"/>
      <c r="C463"/>
      <c r="D463"/>
      <c r="E463"/>
      <c r="EI463" s="27" t="s">
        <v>8</v>
      </c>
      <c r="EJ463" s="27" t="s">
        <v>7</v>
      </c>
      <c r="EK463" s="27" t="s">
        <v>8</v>
      </c>
    </row>
    <row r="464" spans="1:147" x14ac:dyDescent="0.25">
      <c r="A464" s="7">
        <v>11.424077133199193</v>
      </c>
      <c r="B464"/>
      <c r="C464"/>
      <c r="D464"/>
      <c r="E464"/>
      <c r="EI464" s="27" t="s">
        <v>8</v>
      </c>
      <c r="EJ464" s="27" t="s">
        <v>7</v>
      </c>
    </row>
    <row r="465" spans="1:139" x14ac:dyDescent="0.25">
      <c r="A465" s="7">
        <v>11.200075620783522</v>
      </c>
      <c r="B465"/>
      <c r="C465"/>
      <c r="D465"/>
      <c r="E465"/>
      <c r="CI465" s="27" t="s">
        <v>8</v>
      </c>
      <c r="CS465" s="27" t="s">
        <v>8</v>
      </c>
      <c r="EI465" s="27" t="s">
        <v>8</v>
      </c>
    </row>
    <row r="466" spans="1:139" x14ac:dyDescent="0.25">
      <c r="A466" s="7">
        <v>10.980466294885806</v>
      </c>
      <c r="B466"/>
      <c r="C466"/>
      <c r="D466"/>
      <c r="E466"/>
      <c r="CI466" s="27" t="s">
        <v>8</v>
      </c>
      <c r="CJ466" s="27" t="s">
        <v>7</v>
      </c>
      <c r="CS466" s="27" t="s">
        <v>8</v>
      </c>
      <c r="CT466" s="27" t="s">
        <v>7</v>
      </c>
      <c r="CY466" s="27" t="s">
        <v>8</v>
      </c>
      <c r="EI466" s="27" t="s">
        <v>8</v>
      </c>
    </row>
    <row r="467" spans="1:139" x14ac:dyDescent="0.25">
      <c r="A467" s="7">
        <v>10.765163034201771</v>
      </c>
      <c r="B467"/>
      <c r="C467"/>
      <c r="D467"/>
      <c r="E467"/>
      <c r="CI467" s="27" t="s">
        <v>8</v>
      </c>
      <c r="CJ467" s="27" t="s">
        <v>7</v>
      </c>
      <c r="CS467" s="27" t="s">
        <v>8</v>
      </c>
      <c r="CT467" s="27" t="s">
        <v>7</v>
      </c>
      <c r="CY467" s="27" t="s">
        <v>8</v>
      </c>
      <c r="CZ467" s="27" t="s">
        <v>7</v>
      </c>
      <c r="EI467" s="27" t="s">
        <v>8</v>
      </c>
    </row>
    <row r="468" spans="1:139" x14ac:dyDescent="0.25">
      <c r="A468" s="7">
        <v>10.554081406080169</v>
      </c>
      <c r="B468"/>
      <c r="C468"/>
      <c r="D468"/>
      <c r="E468"/>
      <c r="CI468" s="27" t="s">
        <v>8</v>
      </c>
      <c r="CJ468" s="27" t="s">
        <v>7</v>
      </c>
      <c r="CS468" s="27" t="s">
        <v>8</v>
      </c>
      <c r="CT468" s="27" t="s">
        <v>7</v>
      </c>
      <c r="CY468" s="27" t="s">
        <v>8</v>
      </c>
      <c r="CZ468" s="27" t="s">
        <v>7</v>
      </c>
      <c r="EI468" s="27" t="s">
        <v>8</v>
      </c>
    </row>
    <row r="469" spans="1:139" x14ac:dyDescent="0.25">
      <c r="A469" s="7">
        <v>10.34713863341193</v>
      </c>
      <c r="B469"/>
      <c r="C469"/>
      <c r="D469"/>
      <c r="E469"/>
      <c r="CI469" s="27" t="s">
        <v>8</v>
      </c>
      <c r="CJ469" s="27" t="s">
        <v>7</v>
      </c>
      <c r="CS469" s="27" t="s">
        <v>8</v>
      </c>
      <c r="CT469" s="27" t="s">
        <v>7</v>
      </c>
      <c r="CU469" s="27" t="s">
        <v>8</v>
      </c>
      <c r="CY469" s="27" t="s">
        <v>8</v>
      </c>
      <c r="CZ469" s="27" t="s">
        <v>7</v>
      </c>
      <c r="EI469" s="27" t="s">
        <v>8</v>
      </c>
    </row>
    <row r="470" spans="1:139" x14ac:dyDescent="0.25">
      <c r="A470" s="7">
        <v>10.14425356216856</v>
      </c>
      <c r="B470"/>
      <c r="C470"/>
      <c r="D470"/>
      <c r="E470"/>
      <c r="CI470" s="27" t="s">
        <v>8</v>
      </c>
      <c r="CJ470" s="27" t="s">
        <v>7</v>
      </c>
      <c r="CS470" s="27" t="s">
        <v>8</v>
      </c>
      <c r="CT470" s="27" t="s">
        <v>7</v>
      </c>
      <c r="CU470" s="27" t="s">
        <v>8</v>
      </c>
      <c r="CV470" s="27" t="s">
        <v>7</v>
      </c>
      <c r="CY470" s="27" t="s">
        <v>8</v>
      </c>
      <c r="CZ470" s="27" t="s">
        <v>7</v>
      </c>
      <c r="DA470" s="27" t="s">
        <v>8</v>
      </c>
      <c r="EI470" s="27" t="s">
        <v>8</v>
      </c>
    </row>
    <row r="471" spans="1:139" x14ac:dyDescent="0.25">
      <c r="A471" s="7">
        <v>9.9453466295770188</v>
      </c>
      <c r="B471"/>
      <c r="C471"/>
      <c r="D471"/>
      <c r="E471"/>
      <c r="CI471" s="27" t="s">
        <v>8</v>
      </c>
      <c r="CJ471" s="27" t="s">
        <v>7</v>
      </c>
      <c r="CS471" s="27" t="s">
        <v>8</v>
      </c>
      <c r="CT471" s="27" t="s">
        <v>7</v>
      </c>
      <c r="CU471" s="27" t="s">
        <v>8</v>
      </c>
      <c r="CV471" s="27" t="s">
        <v>7</v>
      </c>
      <c r="CY471" s="27" t="s">
        <v>8</v>
      </c>
      <c r="CZ471" s="27" t="s">
        <v>7</v>
      </c>
      <c r="DA471" s="27" t="s">
        <v>8</v>
      </c>
      <c r="DB471" s="27" t="s">
        <v>7</v>
      </c>
      <c r="EI471" s="27" t="s">
        <v>8</v>
      </c>
    </row>
    <row r="472" spans="1:139" x14ac:dyDescent="0.25">
      <c r="A472" s="7">
        <v>9.7503398329186464</v>
      </c>
      <c r="B472"/>
      <c r="C472"/>
      <c r="D472"/>
      <c r="E472"/>
      <c r="CI472" s="27" t="s">
        <v>8</v>
      </c>
      <c r="CJ472" s="27" t="s">
        <v>7</v>
      </c>
      <c r="CS472" s="27" t="s">
        <v>8</v>
      </c>
      <c r="CT472" s="27" t="s">
        <v>7</v>
      </c>
      <c r="CU472" s="27" t="s">
        <v>8</v>
      </c>
      <c r="CV472" s="27" t="s">
        <v>7</v>
      </c>
      <c r="CY472" s="27" t="s">
        <v>8</v>
      </c>
      <c r="CZ472" s="27" t="s">
        <v>7</v>
      </c>
      <c r="DA472" s="27" t="s">
        <v>8</v>
      </c>
      <c r="DB472" s="27" t="s">
        <v>7</v>
      </c>
      <c r="EG472" s="27" t="s">
        <v>8</v>
      </c>
      <c r="EI472" s="27" t="s">
        <v>8</v>
      </c>
    </row>
    <row r="473" spans="1:139" x14ac:dyDescent="0.25">
      <c r="A473" s="7">
        <v>9.5591566989398498</v>
      </c>
      <c r="B473"/>
      <c r="C473"/>
      <c r="D473"/>
      <c r="E473"/>
      <c r="CI473" s="27" t="s">
        <v>8</v>
      </c>
      <c r="CJ473" s="27" t="s">
        <v>7</v>
      </c>
      <c r="CS473" s="27" t="s">
        <v>8</v>
      </c>
      <c r="CT473" s="27" t="s">
        <v>7</v>
      </c>
      <c r="CU473" s="27" t="s">
        <v>8</v>
      </c>
      <c r="CV473" s="27" t="s">
        <v>7</v>
      </c>
      <c r="CY473" s="27" t="s">
        <v>8</v>
      </c>
      <c r="CZ473" s="27" t="s">
        <v>7</v>
      </c>
      <c r="DB473" s="27" t="s">
        <v>7</v>
      </c>
      <c r="DC473" s="27" t="s">
        <v>8</v>
      </c>
      <c r="EG473" s="27" t="s">
        <v>8</v>
      </c>
      <c r="EH473" s="27" t="s">
        <v>7</v>
      </c>
      <c r="EI473" s="27" t="s">
        <v>8</v>
      </c>
    </row>
    <row r="474" spans="1:139" x14ac:dyDescent="0.25">
      <c r="A474" s="7">
        <v>9.3717222538625968</v>
      </c>
      <c r="B474"/>
      <c r="C474"/>
      <c r="D474"/>
      <c r="E474"/>
      <c r="CI474" s="27" t="s">
        <v>8</v>
      </c>
      <c r="CJ474" s="27" t="s">
        <v>7</v>
      </c>
      <c r="CS474" s="27" t="s">
        <v>8</v>
      </c>
      <c r="CT474" s="27" t="s">
        <v>7</v>
      </c>
      <c r="CU474" s="27" t="s">
        <v>8</v>
      </c>
      <c r="CV474" s="27" t="s">
        <v>7</v>
      </c>
      <c r="CY474" s="27" t="s">
        <v>8</v>
      </c>
      <c r="DB474" s="27" t="s">
        <v>7</v>
      </c>
      <c r="DC474" s="27" t="s">
        <v>8</v>
      </c>
      <c r="DD474" s="27" t="s">
        <v>7</v>
      </c>
      <c r="EG474" s="27" t="s">
        <v>8</v>
      </c>
      <c r="EH474" s="27" t="s">
        <v>7</v>
      </c>
      <c r="EI474" s="27" t="s">
        <v>8</v>
      </c>
    </row>
    <row r="475" spans="1:139" x14ac:dyDescent="0.25">
      <c r="A475" s="7">
        <v>9.1879629939829375</v>
      </c>
      <c r="B475"/>
      <c r="C475"/>
      <c r="D475"/>
      <c r="E475"/>
      <c r="CI475" s="27" t="s">
        <v>8</v>
      </c>
      <c r="CJ475" s="27" t="s">
        <v>7</v>
      </c>
      <c r="CS475" s="27" t="s">
        <v>8</v>
      </c>
      <c r="CT475" s="27" t="s">
        <v>7</v>
      </c>
      <c r="CU475" s="27" t="s">
        <v>8</v>
      </c>
      <c r="CV475" s="27" t="s">
        <v>7</v>
      </c>
      <c r="CY475" s="27" t="s">
        <v>8</v>
      </c>
      <c r="DB475" s="27" t="s">
        <v>7</v>
      </c>
      <c r="DC475" s="27" t="s">
        <v>8</v>
      </c>
      <c r="DD475" s="27" t="s">
        <v>7</v>
      </c>
      <c r="DG475" s="27" t="s">
        <v>8</v>
      </c>
      <c r="EG475" s="27" t="s">
        <v>8</v>
      </c>
      <c r="EH475" s="27" t="s">
        <v>7</v>
      </c>
      <c r="EI475" s="27" t="s">
        <v>8</v>
      </c>
    </row>
    <row r="476" spans="1:139" x14ac:dyDescent="0.25">
      <c r="A476" s="7">
        <v>9.0078068568460168</v>
      </c>
      <c r="B476"/>
      <c r="C476"/>
      <c r="D476"/>
      <c r="E476"/>
      <c r="CI476" s="27" t="s">
        <v>8</v>
      </c>
      <c r="CJ476" s="27" t="s">
        <v>7</v>
      </c>
      <c r="CS476" s="27" t="s">
        <v>8</v>
      </c>
      <c r="CT476" s="27" t="s">
        <v>7</v>
      </c>
      <c r="CU476" s="27" t="s">
        <v>8</v>
      </c>
      <c r="CV476" s="27" t="s">
        <v>7</v>
      </c>
      <c r="CY476" s="27" t="s">
        <v>8</v>
      </c>
      <c r="DB476" s="27" t="s">
        <v>7</v>
      </c>
      <c r="DD476" s="27" t="s">
        <v>7</v>
      </c>
      <c r="DG476" s="27" t="s">
        <v>8</v>
      </c>
      <c r="DH476" s="27" t="s">
        <v>7</v>
      </c>
      <c r="EG476" s="27" t="s">
        <v>8</v>
      </c>
      <c r="EH476" s="27" t="s">
        <v>7</v>
      </c>
      <c r="EI476" s="27" t="s">
        <v>8</v>
      </c>
    </row>
    <row r="477" spans="1:139" x14ac:dyDescent="0.25">
      <c r="A477" s="7">
        <v>8.8311831929862912</v>
      </c>
      <c r="B477"/>
      <c r="C477"/>
      <c r="D477"/>
      <c r="E477"/>
      <c r="CI477" s="27" t="s">
        <v>8</v>
      </c>
      <c r="CJ477" s="27" t="s">
        <v>7</v>
      </c>
      <c r="CK477" s="27" t="s">
        <v>8</v>
      </c>
      <c r="CM477" s="27" t="s">
        <v>8</v>
      </c>
      <c r="CS477" s="27" t="s">
        <v>8</v>
      </c>
      <c r="CT477" s="27" t="s">
        <v>7</v>
      </c>
      <c r="CU477" s="27" t="s">
        <v>8</v>
      </c>
      <c r="CV477" s="27" t="s">
        <v>7</v>
      </c>
      <c r="CY477" s="27" t="s">
        <v>8</v>
      </c>
      <c r="DD477" s="27" t="s">
        <v>7</v>
      </c>
      <c r="DE477" s="27" t="s">
        <v>8</v>
      </c>
      <c r="DG477" s="27" t="s">
        <v>8</v>
      </c>
      <c r="DH477" s="27" t="s">
        <v>7</v>
      </c>
      <c r="EG477" s="27" t="s">
        <v>8</v>
      </c>
      <c r="EH477" s="27" t="s">
        <v>7</v>
      </c>
      <c r="EI477" s="27" t="s">
        <v>8</v>
      </c>
    </row>
    <row r="478" spans="1:139" x14ac:dyDescent="0.25">
      <c r="A478" s="7">
        <v>8.6580227382218542</v>
      </c>
      <c r="B478"/>
      <c r="C478"/>
      <c r="D478"/>
      <c r="E478"/>
      <c r="CI478" s="27" t="s">
        <v>8</v>
      </c>
      <c r="CJ478" s="27" t="s">
        <v>7</v>
      </c>
      <c r="CK478" s="27" t="s">
        <v>8</v>
      </c>
      <c r="CL478" s="27" t="s">
        <v>7</v>
      </c>
      <c r="CM478" s="27" t="s">
        <v>8</v>
      </c>
      <c r="CN478" s="27" t="s">
        <v>7</v>
      </c>
      <c r="CS478" s="27" t="s">
        <v>8</v>
      </c>
      <c r="CT478" s="27" t="s">
        <v>7</v>
      </c>
      <c r="CU478" s="27" t="s">
        <v>8</v>
      </c>
      <c r="CV478" s="27" t="s">
        <v>7</v>
      </c>
      <c r="CY478" s="27" t="s">
        <v>8</v>
      </c>
      <c r="DD478" s="27" t="s">
        <v>7</v>
      </c>
      <c r="DE478" s="27" t="s">
        <v>8</v>
      </c>
      <c r="DF478" s="27" t="s">
        <v>7</v>
      </c>
      <c r="DG478" s="27" t="s">
        <v>8</v>
      </c>
      <c r="DH478" s="27" t="s">
        <v>7</v>
      </c>
      <c r="EG478" s="27" t="s">
        <v>8</v>
      </c>
      <c r="EH478" s="27" t="s">
        <v>7</v>
      </c>
      <c r="EI478" s="27" t="s">
        <v>8</v>
      </c>
    </row>
    <row r="479" spans="1:139" x14ac:dyDescent="0.25">
      <c r="A479" s="7">
        <v>8.4882575864920131</v>
      </c>
      <c r="B479"/>
      <c r="C479"/>
      <c r="D479"/>
      <c r="E479"/>
      <c r="CI479" s="27" t="s">
        <v>8</v>
      </c>
      <c r="CJ479" s="27" t="s">
        <v>7</v>
      </c>
      <c r="CK479" s="27" t="s">
        <v>8</v>
      </c>
      <c r="CL479" s="27" t="s">
        <v>7</v>
      </c>
      <c r="CM479" s="27" t="s">
        <v>8</v>
      </c>
      <c r="CN479" s="27" t="s">
        <v>7</v>
      </c>
      <c r="CS479" s="27" t="s">
        <v>8</v>
      </c>
      <c r="CT479" s="27" t="s">
        <v>7</v>
      </c>
      <c r="CU479" s="27" t="s">
        <v>8</v>
      </c>
      <c r="CV479" s="27" t="s">
        <v>7</v>
      </c>
      <c r="CY479" s="27" t="s">
        <v>8</v>
      </c>
      <c r="DD479" s="27" t="s">
        <v>7</v>
      </c>
      <c r="DE479" s="27" t="s">
        <v>8</v>
      </c>
      <c r="DF479" s="27" t="s">
        <v>7</v>
      </c>
      <c r="DG479" s="27" t="s">
        <v>8</v>
      </c>
      <c r="DH479" s="27" t="s">
        <v>7</v>
      </c>
      <c r="EG479" s="27" t="s">
        <v>8</v>
      </c>
      <c r="EH479" s="27" t="s">
        <v>7</v>
      </c>
      <c r="EI479" s="27" t="s">
        <v>8</v>
      </c>
    </row>
    <row r="480" spans="1:139" x14ac:dyDescent="0.25">
      <c r="A480" s="7">
        <v>8.3218211632274635</v>
      </c>
      <c r="B480"/>
      <c r="C480"/>
      <c r="D480"/>
      <c r="E480"/>
      <c r="CI480" s="27" t="s">
        <v>8</v>
      </c>
      <c r="CJ480" s="27" t="s">
        <v>7</v>
      </c>
      <c r="CK480" s="27" t="s">
        <v>8</v>
      </c>
      <c r="CL480" s="27" t="s">
        <v>7</v>
      </c>
      <c r="CM480" s="27" t="s">
        <v>8</v>
      </c>
      <c r="CN480" s="27" t="s">
        <v>7</v>
      </c>
      <c r="CS480" s="27" t="s">
        <v>8</v>
      </c>
      <c r="CT480" s="27" t="s">
        <v>7</v>
      </c>
      <c r="CU480" s="27" t="s">
        <v>8</v>
      </c>
      <c r="CV480" s="27" t="s">
        <v>7</v>
      </c>
      <c r="CY480" s="27" t="s">
        <v>8</v>
      </c>
      <c r="DD480" s="27" t="s">
        <v>7</v>
      </c>
      <c r="DE480" s="27" t="s">
        <v>8</v>
      </c>
      <c r="DF480" s="27" t="s">
        <v>7</v>
      </c>
      <c r="DG480" s="27" t="s">
        <v>8</v>
      </c>
      <c r="DH480" s="27" t="s">
        <v>7</v>
      </c>
      <c r="EG480" s="27" t="s">
        <v>8</v>
      </c>
      <c r="EH480" s="27" t="s">
        <v>7</v>
      </c>
      <c r="EI480" s="27" t="s">
        <v>8</v>
      </c>
    </row>
    <row r="481" spans="1:139" x14ac:dyDescent="0.25">
      <c r="A481" s="7">
        <v>8.1586481992426112</v>
      </c>
      <c r="B481"/>
      <c r="C481"/>
      <c r="D481"/>
      <c r="E481"/>
      <c r="CI481" s="27" t="s">
        <v>8</v>
      </c>
      <c r="CJ481" s="27" t="s">
        <v>7</v>
      </c>
      <c r="CK481" s="27" t="s">
        <v>8</v>
      </c>
      <c r="CL481" s="27" t="s">
        <v>7</v>
      </c>
      <c r="CM481" s="27" t="s">
        <v>8</v>
      </c>
      <c r="CN481" s="27" t="s">
        <v>7</v>
      </c>
      <c r="CS481" s="27" t="s">
        <v>8</v>
      </c>
      <c r="CT481" s="27" t="s">
        <v>7</v>
      </c>
      <c r="CU481" s="27" t="s">
        <v>8</v>
      </c>
      <c r="CV481" s="27" t="s">
        <v>7</v>
      </c>
      <c r="CY481" s="27" t="s">
        <v>8</v>
      </c>
      <c r="DD481" s="27" t="s">
        <v>7</v>
      </c>
      <c r="DE481" s="27" t="s">
        <v>8</v>
      </c>
      <c r="DF481" s="27" t="s">
        <v>7</v>
      </c>
      <c r="DG481" s="27" t="s">
        <v>8</v>
      </c>
      <c r="DH481" s="27" t="s">
        <v>7</v>
      </c>
      <c r="EG481" s="27" t="s">
        <v>8</v>
      </c>
      <c r="EH481" s="27" t="s">
        <v>7</v>
      </c>
      <c r="EI481" s="27" t="s">
        <v>8</v>
      </c>
    </row>
    <row r="482" spans="1:139" x14ac:dyDescent="0.25">
      <c r="A482" s="7">
        <v>7.9986747051398144</v>
      </c>
      <c r="B482"/>
      <c r="C482"/>
      <c r="D482"/>
      <c r="E482"/>
      <c r="CI482" s="27" t="s">
        <v>8</v>
      </c>
      <c r="CJ482" s="27" t="s">
        <v>7</v>
      </c>
      <c r="CK482" s="27" t="s">
        <v>8</v>
      </c>
      <c r="CL482" s="27" t="s">
        <v>7</v>
      </c>
      <c r="CM482" s="27" t="s">
        <v>8</v>
      </c>
      <c r="CN482" s="27" t="s">
        <v>7</v>
      </c>
      <c r="CO482" s="27" t="s">
        <v>8</v>
      </c>
      <c r="CQ482" s="27" t="s">
        <v>8</v>
      </c>
      <c r="CS482" s="27" t="s">
        <v>8</v>
      </c>
      <c r="CT482" s="27" t="s">
        <v>7</v>
      </c>
      <c r="CV482" s="27" t="s">
        <v>7</v>
      </c>
      <c r="CY482" s="27" t="s">
        <v>8</v>
      </c>
      <c r="DD482" s="27" t="s">
        <v>7</v>
      </c>
      <c r="DE482" s="27" t="s">
        <v>8</v>
      </c>
      <c r="DF482" s="27" t="s">
        <v>7</v>
      </c>
      <c r="DG482" s="27" t="s">
        <v>8</v>
      </c>
      <c r="DH482" s="27" t="s">
        <v>7</v>
      </c>
      <c r="EG482" s="27" t="s">
        <v>8</v>
      </c>
      <c r="EH482" s="27" t="s">
        <v>7</v>
      </c>
      <c r="EI482" s="27" t="s">
        <v>8</v>
      </c>
    </row>
    <row r="483" spans="1:139" x14ac:dyDescent="0.25">
      <c r="A483" s="7">
        <v>7.8418379462155041</v>
      </c>
      <c r="B483"/>
      <c r="C483"/>
      <c r="D483"/>
      <c r="E483"/>
      <c r="CI483" s="27" t="s">
        <v>8</v>
      </c>
      <c r="CJ483" s="27" t="s">
        <v>7</v>
      </c>
      <c r="CK483" s="27" t="s">
        <v>8</v>
      </c>
      <c r="CL483" s="27" t="s">
        <v>7</v>
      </c>
      <c r="CM483" s="27" t="s">
        <v>8</v>
      </c>
      <c r="CN483" s="27" t="s">
        <v>7</v>
      </c>
      <c r="CO483" s="27" t="s">
        <v>8</v>
      </c>
      <c r="CP483" s="27" t="s">
        <v>7</v>
      </c>
      <c r="CQ483" s="27" t="s">
        <v>8</v>
      </c>
      <c r="CR483" s="27" t="s">
        <v>7</v>
      </c>
      <c r="CS483" s="27" t="s">
        <v>8</v>
      </c>
      <c r="CV483" s="27" t="s">
        <v>7</v>
      </c>
      <c r="CY483" s="27" t="s">
        <v>8</v>
      </c>
      <c r="DD483" s="27" t="s">
        <v>7</v>
      </c>
      <c r="DE483" s="27" t="s">
        <v>8</v>
      </c>
      <c r="DF483" s="27" t="s">
        <v>7</v>
      </c>
      <c r="DG483" s="27" t="s">
        <v>8</v>
      </c>
      <c r="DH483" s="27" t="s">
        <v>7</v>
      </c>
      <c r="EG483" s="27" t="s">
        <v>8</v>
      </c>
      <c r="EH483" s="27" t="s">
        <v>7</v>
      </c>
    </row>
    <row r="484" spans="1:139" x14ac:dyDescent="0.25">
      <c r="A484" s="7">
        <v>7.688076417858337</v>
      </c>
      <c r="B484"/>
      <c r="C484"/>
      <c r="D484"/>
      <c r="E484"/>
      <c r="CE484" s="27" t="s">
        <v>8</v>
      </c>
      <c r="CI484" s="27" t="s">
        <v>8</v>
      </c>
      <c r="CJ484" s="27" t="s">
        <v>7</v>
      </c>
      <c r="CK484" s="27" t="s">
        <v>8</v>
      </c>
      <c r="CL484" s="27" t="s">
        <v>7</v>
      </c>
      <c r="CM484" s="27" t="s">
        <v>8</v>
      </c>
      <c r="CN484" s="27" t="s">
        <v>7</v>
      </c>
      <c r="CO484" s="27" t="s">
        <v>8</v>
      </c>
      <c r="CP484" s="27" t="s">
        <v>7</v>
      </c>
      <c r="CQ484" s="27" t="s">
        <v>8</v>
      </c>
      <c r="CR484" s="27" t="s">
        <v>7</v>
      </c>
      <c r="CS484" s="27" t="s">
        <v>8</v>
      </c>
      <c r="CV484" s="27" t="s">
        <v>7</v>
      </c>
      <c r="CY484" s="27" t="s">
        <v>8</v>
      </c>
      <c r="DD484" s="27" t="s">
        <v>7</v>
      </c>
      <c r="DE484" s="27" t="s">
        <v>8</v>
      </c>
      <c r="DF484" s="27" t="s">
        <v>7</v>
      </c>
      <c r="DG484" s="27" t="s">
        <v>8</v>
      </c>
      <c r="DH484" s="27" t="s">
        <v>7</v>
      </c>
      <c r="EG484" s="27" t="s">
        <v>8</v>
      </c>
    </row>
    <row r="485" spans="1:139" x14ac:dyDescent="0.25">
      <c r="A485" s="7">
        <v>7.5373298214297417</v>
      </c>
      <c r="B485"/>
      <c r="C485"/>
      <c r="D485"/>
      <c r="E485"/>
      <c r="CE485" s="27" t="s">
        <v>8</v>
      </c>
      <c r="CF485" s="27" t="s">
        <v>7</v>
      </c>
      <c r="CI485" s="27" t="s">
        <v>8</v>
      </c>
      <c r="CJ485" s="27" t="s">
        <v>7</v>
      </c>
      <c r="CK485" s="27" t="s">
        <v>8</v>
      </c>
      <c r="CL485" s="27" t="s">
        <v>7</v>
      </c>
      <c r="CM485" s="27" t="s">
        <v>8</v>
      </c>
      <c r="CN485" s="27" t="s">
        <v>7</v>
      </c>
      <c r="CO485" s="27" t="s">
        <v>8</v>
      </c>
      <c r="CP485" s="27" t="s">
        <v>7</v>
      </c>
      <c r="CQ485" s="27" t="s">
        <v>8</v>
      </c>
      <c r="CR485" s="27" t="s">
        <v>7</v>
      </c>
      <c r="CS485" s="27" t="s">
        <v>8</v>
      </c>
      <c r="CV485" s="27" t="s">
        <v>7</v>
      </c>
      <c r="CY485" s="27" t="s">
        <v>8</v>
      </c>
      <c r="DD485" s="27" t="s">
        <v>7</v>
      </c>
      <c r="DF485" s="27" t="s">
        <v>7</v>
      </c>
      <c r="DG485" s="27" t="s">
        <v>8</v>
      </c>
      <c r="DH485" s="27" t="s">
        <v>7</v>
      </c>
      <c r="EG485" s="27" t="s">
        <v>8</v>
      </c>
    </row>
    <row r="486" spans="1:139" x14ac:dyDescent="0.25">
      <c r="A486" s="7">
        <v>7.389539040617394</v>
      </c>
      <c r="B486"/>
      <c r="C486"/>
      <c r="D486"/>
      <c r="E486"/>
      <c r="CE486" s="27" t="s">
        <v>8</v>
      </c>
      <c r="CF486" s="27" t="s">
        <v>7</v>
      </c>
      <c r="CI486" s="27" t="s">
        <v>8</v>
      </c>
      <c r="CJ486" s="27" t="s">
        <v>7</v>
      </c>
      <c r="CK486" s="27" t="s">
        <v>8</v>
      </c>
      <c r="CL486" s="27" t="s">
        <v>7</v>
      </c>
      <c r="CM486" s="27" t="s">
        <v>8</v>
      </c>
      <c r="CN486" s="27" t="s">
        <v>7</v>
      </c>
      <c r="CO486" s="27" t="s">
        <v>8</v>
      </c>
      <c r="CP486" s="27" t="s">
        <v>7</v>
      </c>
      <c r="CQ486" s="27" t="s">
        <v>8</v>
      </c>
      <c r="CR486" s="27" t="s">
        <v>7</v>
      </c>
      <c r="CS486" s="27" t="s">
        <v>8</v>
      </c>
      <c r="CV486" s="27" t="s">
        <v>7</v>
      </c>
      <c r="CW486" s="27" t="s">
        <v>8</v>
      </c>
      <c r="CY486" s="27" t="s">
        <v>8</v>
      </c>
      <c r="DF486" s="27" t="s">
        <v>7</v>
      </c>
      <c r="DG486" s="27" t="s">
        <v>8</v>
      </c>
      <c r="DH486" s="27" t="s">
        <v>7</v>
      </c>
      <c r="DI486" s="27" t="s">
        <v>8</v>
      </c>
      <c r="EG486" s="27" t="s">
        <v>8</v>
      </c>
    </row>
    <row r="487" spans="1:139" x14ac:dyDescent="0.25">
      <c r="A487" s="7">
        <v>7.2446461182523469</v>
      </c>
      <c r="B487"/>
      <c r="C487"/>
      <c r="D487"/>
      <c r="E487"/>
      <c r="CE487" s="27" t="s">
        <v>8</v>
      </c>
      <c r="CF487" s="27" t="s">
        <v>7</v>
      </c>
      <c r="CI487" s="27" t="s">
        <v>8</v>
      </c>
      <c r="CJ487" s="27" t="s">
        <v>7</v>
      </c>
      <c r="CK487" s="27" t="s">
        <v>8</v>
      </c>
      <c r="CL487" s="27" t="s">
        <v>7</v>
      </c>
      <c r="CM487" s="27" t="s">
        <v>8</v>
      </c>
      <c r="CN487" s="27" t="s">
        <v>7</v>
      </c>
      <c r="CO487" s="27" t="s">
        <v>8</v>
      </c>
      <c r="CP487" s="27" t="s">
        <v>7</v>
      </c>
      <c r="CQ487" s="27" t="s">
        <v>8</v>
      </c>
      <c r="CR487" s="27" t="s">
        <v>7</v>
      </c>
      <c r="CS487" s="27" t="s">
        <v>8</v>
      </c>
      <c r="CV487" s="27" t="s">
        <v>7</v>
      </c>
      <c r="CW487" s="27" t="s">
        <v>8</v>
      </c>
      <c r="CX487" s="27" t="s">
        <v>7</v>
      </c>
      <c r="CY487" s="27" t="s">
        <v>8</v>
      </c>
      <c r="DF487" s="27" t="s">
        <v>7</v>
      </c>
      <c r="DG487" s="27" t="s">
        <v>8</v>
      </c>
      <c r="DH487" s="27" t="s">
        <v>7</v>
      </c>
      <c r="DI487" s="27" t="s">
        <v>8</v>
      </c>
      <c r="DJ487" s="27" t="s">
        <v>7</v>
      </c>
      <c r="EG487" s="27" t="s">
        <v>8</v>
      </c>
    </row>
    <row r="488" spans="1:139" x14ac:dyDescent="0.25">
      <c r="A488" s="7">
        <v>7.1025942335807324</v>
      </c>
      <c r="B488"/>
      <c r="C488"/>
      <c r="D488"/>
      <c r="E488"/>
      <c r="CE488" s="27" t="s">
        <v>8</v>
      </c>
      <c r="CF488" s="27" t="s">
        <v>7</v>
      </c>
      <c r="CI488" s="27" t="s">
        <v>8</v>
      </c>
      <c r="CJ488" s="27" t="s">
        <v>7</v>
      </c>
      <c r="CK488" s="27" t="s">
        <v>8</v>
      </c>
      <c r="CL488" s="27" t="s">
        <v>7</v>
      </c>
      <c r="CN488" s="27" t="s">
        <v>7</v>
      </c>
      <c r="CP488" s="27" t="s">
        <v>7</v>
      </c>
      <c r="CR488" s="27" t="s">
        <v>7</v>
      </c>
      <c r="CS488" s="27" t="s">
        <v>8</v>
      </c>
      <c r="CV488" s="27" t="s">
        <v>7</v>
      </c>
      <c r="CW488" s="27" t="s">
        <v>8</v>
      </c>
      <c r="CX488" s="27" t="s">
        <v>7</v>
      </c>
      <c r="CY488" s="27" t="s">
        <v>8</v>
      </c>
      <c r="DF488" s="27" t="s">
        <v>7</v>
      </c>
      <c r="DG488" s="27" t="s">
        <v>8</v>
      </c>
      <c r="DH488" s="27" t="s">
        <v>7</v>
      </c>
      <c r="DI488" s="27" t="s">
        <v>8</v>
      </c>
      <c r="DJ488" s="27" t="s">
        <v>7</v>
      </c>
      <c r="DK488" s="27" t="s">
        <v>8</v>
      </c>
      <c r="EG488" s="27" t="s">
        <v>8</v>
      </c>
    </row>
    <row r="489" spans="1:139" x14ac:dyDescent="0.25">
      <c r="A489" s="7">
        <v>6.9633276799811101</v>
      </c>
      <c r="B489"/>
      <c r="C489"/>
      <c r="D489"/>
      <c r="E489"/>
      <c r="CE489" s="27" t="s">
        <v>8</v>
      </c>
      <c r="CF489" s="27" t="s">
        <v>7</v>
      </c>
      <c r="CI489" s="27" t="s">
        <v>8</v>
      </c>
      <c r="CJ489" s="27" t="s">
        <v>7</v>
      </c>
      <c r="CK489" s="27" t="s">
        <v>8</v>
      </c>
      <c r="CR489" s="27" t="s">
        <v>7</v>
      </c>
      <c r="CS489" s="27" t="s">
        <v>8</v>
      </c>
      <c r="CV489" s="27" t="s">
        <v>7</v>
      </c>
      <c r="CW489" s="27" t="s">
        <v>8</v>
      </c>
      <c r="CX489" s="27" t="s">
        <v>7</v>
      </c>
      <c r="CY489" s="27" t="s">
        <v>8</v>
      </c>
      <c r="DF489" s="27" t="s">
        <v>7</v>
      </c>
      <c r="DG489" s="27" t="s">
        <v>8</v>
      </c>
      <c r="DH489" s="27" t="s">
        <v>7</v>
      </c>
      <c r="DI489" s="27" t="s">
        <v>8</v>
      </c>
      <c r="DJ489" s="27" t="s">
        <v>7</v>
      </c>
      <c r="DK489" s="27" t="s">
        <v>8</v>
      </c>
      <c r="DL489" s="27" t="s">
        <v>7</v>
      </c>
      <c r="EG489" s="27" t="s">
        <v>8</v>
      </c>
    </row>
    <row r="490" spans="1:139" x14ac:dyDescent="0.25">
      <c r="A490" s="7">
        <v>6.8267918431187349</v>
      </c>
      <c r="B490"/>
      <c r="C490"/>
      <c r="D490"/>
      <c r="E490"/>
      <c r="CE490" s="27" t="s">
        <v>8</v>
      </c>
      <c r="CF490" s="27" t="s">
        <v>7</v>
      </c>
      <c r="CI490" s="27" t="s">
        <v>8</v>
      </c>
      <c r="CJ490" s="27" t="s">
        <v>7</v>
      </c>
      <c r="CK490" s="27" t="s">
        <v>8</v>
      </c>
      <c r="CR490" s="27" t="s">
        <v>7</v>
      </c>
      <c r="CS490" s="27" t="s">
        <v>8</v>
      </c>
      <c r="CV490" s="27" t="s">
        <v>7</v>
      </c>
      <c r="CW490" s="27" t="s">
        <v>8</v>
      </c>
      <c r="CX490" s="27" t="s">
        <v>7</v>
      </c>
      <c r="CY490" s="27" t="s">
        <v>8</v>
      </c>
      <c r="DF490" s="27" t="s">
        <v>7</v>
      </c>
      <c r="DH490" s="27" t="s">
        <v>7</v>
      </c>
      <c r="DI490" s="27" t="s">
        <v>8</v>
      </c>
      <c r="DJ490" s="27" t="s">
        <v>7</v>
      </c>
      <c r="DK490" s="27" t="s">
        <v>8</v>
      </c>
      <c r="DL490" s="27" t="s">
        <v>7</v>
      </c>
      <c r="EG490" s="27" t="s">
        <v>8</v>
      </c>
    </row>
    <row r="491" spans="1:139" x14ac:dyDescent="0.25">
      <c r="A491" s="7">
        <v>6.692933179528171</v>
      </c>
      <c r="B491"/>
      <c r="C491"/>
      <c r="D491"/>
      <c r="E491"/>
      <c r="CE491" s="27" t="s">
        <v>8</v>
      </c>
      <c r="CF491" s="27" t="s">
        <v>7</v>
      </c>
      <c r="CI491" s="27" t="s">
        <v>8</v>
      </c>
      <c r="CJ491" s="27" t="s">
        <v>7</v>
      </c>
      <c r="CK491" s="27" t="s">
        <v>8</v>
      </c>
      <c r="CR491" s="27" t="s">
        <v>7</v>
      </c>
      <c r="CS491" s="27" t="s">
        <v>8</v>
      </c>
      <c r="CV491" s="27" t="s">
        <v>7</v>
      </c>
      <c r="CW491" s="27" t="s">
        <v>8</v>
      </c>
      <c r="CX491" s="27" t="s">
        <v>7</v>
      </c>
      <c r="CY491" s="27" t="s">
        <v>8</v>
      </c>
      <c r="DH491" s="27" t="s">
        <v>7</v>
      </c>
      <c r="DI491" s="27" t="s">
        <v>8</v>
      </c>
      <c r="DJ491" s="27" t="s">
        <v>7</v>
      </c>
      <c r="DK491" s="27" t="s">
        <v>8</v>
      </c>
      <c r="DL491" s="27" t="s">
        <v>7</v>
      </c>
      <c r="EG491" s="27" t="s">
        <v>8</v>
      </c>
    </row>
    <row r="492" spans="1:139" x14ac:dyDescent="0.25">
      <c r="A492" s="7">
        <v>6.5616991956158541</v>
      </c>
      <c r="B492"/>
      <c r="C492"/>
      <c r="D492"/>
      <c r="E492"/>
      <c r="CE492" s="27" t="s">
        <v>8</v>
      </c>
      <c r="CF492" s="27" t="s">
        <v>7</v>
      </c>
      <c r="CI492" s="27" t="s">
        <v>8</v>
      </c>
      <c r="CJ492" s="27" t="s">
        <v>7</v>
      </c>
      <c r="CR492" s="27" t="s">
        <v>7</v>
      </c>
      <c r="CS492" s="27" t="s">
        <v>8</v>
      </c>
      <c r="CV492" s="27" t="s">
        <v>7</v>
      </c>
      <c r="CW492" s="27" t="s">
        <v>8</v>
      </c>
      <c r="CX492" s="27" t="s">
        <v>7</v>
      </c>
      <c r="CY492" s="27" t="s">
        <v>8</v>
      </c>
      <c r="DH492" s="27" t="s">
        <v>7</v>
      </c>
      <c r="DI492" s="27" t="s">
        <v>8</v>
      </c>
      <c r="DJ492" s="27" t="s">
        <v>7</v>
      </c>
      <c r="DK492" s="27" t="s">
        <v>8</v>
      </c>
      <c r="DL492" s="27" t="s">
        <v>7</v>
      </c>
      <c r="EG492" s="27" t="s">
        <v>8</v>
      </c>
    </row>
    <row r="493" spans="1:139" x14ac:dyDescent="0.25">
      <c r="A493" s="7">
        <v>6.4330384270743668</v>
      </c>
      <c r="B493"/>
      <c r="C493"/>
      <c r="D493"/>
      <c r="E493"/>
      <c r="CA493" s="27" t="s">
        <v>8</v>
      </c>
      <c r="CE493" s="27" t="s">
        <v>8</v>
      </c>
      <c r="CF493" s="27" t="s">
        <v>7</v>
      </c>
      <c r="CI493" s="27" t="s">
        <v>8</v>
      </c>
      <c r="CR493" s="27" t="s">
        <v>7</v>
      </c>
      <c r="CS493" s="27" t="s">
        <v>8</v>
      </c>
      <c r="CV493" s="27" t="s">
        <v>7</v>
      </c>
      <c r="CW493" s="27" t="s">
        <v>8</v>
      </c>
      <c r="CX493" s="27" t="s">
        <v>7</v>
      </c>
      <c r="CY493" s="27" t="s">
        <v>8</v>
      </c>
      <c r="DH493" s="27" t="s">
        <v>7</v>
      </c>
      <c r="DI493" s="27" t="s">
        <v>8</v>
      </c>
      <c r="DJ493" s="27" t="s">
        <v>7</v>
      </c>
      <c r="DK493" s="27" t="s">
        <v>8</v>
      </c>
      <c r="DL493" s="27" t="s">
        <v>7</v>
      </c>
      <c r="EG493" s="27" t="s">
        <v>8</v>
      </c>
    </row>
    <row r="494" spans="1:139" x14ac:dyDescent="0.25">
      <c r="A494" s="7">
        <v>6.3069004187003594</v>
      </c>
      <c r="B494"/>
      <c r="C494"/>
      <c r="D494"/>
      <c r="E494"/>
      <c r="CA494" s="27" t="s">
        <v>8</v>
      </c>
      <c r="CB494" s="27" t="s">
        <v>7</v>
      </c>
      <c r="CE494" s="27" t="s">
        <v>8</v>
      </c>
      <c r="CF494" s="27" t="s">
        <v>7</v>
      </c>
      <c r="CI494" s="27" t="s">
        <v>8</v>
      </c>
      <c r="CR494" s="27" t="s">
        <v>7</v>
      </c>
      <c r="CS494" s="27" t="s">
        <v>8</v>
      </c>
      <c r="CV494" s="27" t="s">
        <v>7</v>
      </c>
      <c r="CW494" s="27" t="s">
        <v>8</v>
      </c>
      <c r="CX494" s="27" t="s">
        <v>7</v>
      </c>
      <c r="CY494" s="27" t="s">
        <v>8</v>
      </c>
      <c r="DH494" s="27" t="s">
        <v>7</v>
      </c>
      <c r="DJ494" s="27" t="s">
        <v>7</v>
      </c>
      <c r="DK494" s="27" t="s">
        <v>8</v>
      </c>
      <c r="DL494" s="27" t="s">
        <v>7</v>
      </c>
      <c r="EG494" s="27" t="s">
        <v>8</v>
      </c>
    </row>
    <row r="495" spans="1:139" x14ac:dyDescent="0.25">
      <c r="A495" s="7">
        <v>6.1832357046081956</v>
      </c>
      <c r="B495"/>
      <c r="C495"/>
      <c r="D495"/>
      <c r="E495"/>
      <c r="CA495" s="27" t="s">
        <v>8</v>
      </c>
      <c r="CB495" s="27" t="s">
        <v>7</v>
      </c>
      <c r="CE495" s="27" t="s">
        <v>8</v>
      </c>
      <c r="CF495" s="27" t="s">
        <v>7</v>
      </c>
      <c r="CI495" s="27" t="s">
        <v>8</v>
      </c>
      <c r="CR495" s="27" t="s">
        <v>7</v>
      </c>
      <c r="CS495" s="27" t="s">
        <v>8</v>
      </c>
      <c r="CV495" s="27" t="s">
        <v>7</v>
      </c>
      <c r="CW495" s="27" t="s">
        <v>8</v>
      </c>
      <c r="CX495" s="27" t="s">
        <v>7</v>
      </c>
      <c r="CY495" s="27" t="s">
        <v>8</v>
      </c>
      <c r="DJ495" s="27" t="s">
        <v>7</v>
      </c>
      <c r="DK495" s="27" t="s">
        <v>8</v>
      </c>
      <c r="DL495" s="27" t="s">
        <v>7</v>
      </c>
      <c r="EG495" s="27" t="s">
        <v>8</v>
      </c>
    </row>
    <row r="496" spans="1:139" x14ac:dyDescent="0.25">
      <c r="A496" s="7">
        <v>6.0619957888315641</v>
      </c>
      <c r="B496"/>
      <c r="C496"/>
      <c r="D496"/>
      <c r="E496"/>
      <c r="CA496" s="27" t="s">
        <v>8</v>
      </c>
      <c r="CB496" s="27" t="s">
        <v>7</v>
      </c>
      <c r="CE496" s="27" t="s">
        <v>8</v>
      </c>
      <c r="CF496" s="27" t="s">
        <v>7</v>
      </c>
      <c r="CI496" s="27" t="s">
        <v>8</v>
      </c>
      <c r="CR496" s="27" t="s">
        <v>7</v>
      </c>
      <c r="CS496" s="27" t="s">
        <v>8</v>
      </c>
      <c r="CV496" s="27" t="s">
        <v>7</v>
      </c>
      <c r="CX496" s="27" t="s">
        <v>7</v>
      </c>
      <c r="DJ496" s="27" t="s">
        <v>7</v>
      </c>
      <c r="DK496" s="27" t="s">
        <v>8</v>
      </c>
      <c r="DL496" s="27" t="s">
        <v>7</v>
      </c>
      <c r="EG496" s="27" t="s">
        <v>8</v>
      </c>
    </row>
    <row r="497" spans="1:137" x14ac:dyDescent="0.25">
      <c r="A497" s="7">
        <v>5.9431331263054545</v>
      </c>
      <c r="B497"/>
      <c r="C497"/>
      <c r="D497"/>
      <c r="E497"/>
      <c r="CA497" s="27" t="s">
        <v>8</v>
      </c>
      <c r="CB497" s="27" t="s">
        <v>7</v>
      </c>
      <c r="CE497" s="27" t="s">
        <v>8</v>
      </c>
      <c r="CF497" s="27" t="s">
        <v>7</v>
      </c>
      <c r="CG497" s="27" t="s">
        <v>8</v>
      </c>
      <c r="CI497" s="27" t="s">
        <v>8</v>
      </c>
      <c r="CR497" s="27" t="s">
        <v>7</v>
      </c>
      <c r="CS497" s="27" t="s">
        <v>8</v>
      </c>
      <c r="DJ497" s="27" t="s">
        <v>7</v>
      </c>
      <c r="DL497" s="27" t="s">
        <v>7</v>
      </c>
      <c r="DQ497" s="27" t="s">
        <v>8</v>
      </c>
      <c r="EG497" s="27" t="s">
        <v>8</v>
      </c>
    </row>
    <row r="498" spans="1:137" x14ac:dyDescent="0.25">
      <c r="A498" s="7">
        <v>5.8266011042210337</v>
      </c>
      <c r="B498"/>
      <c r="C498"/>
      <c r="D498"/>
      <c r="E498"/>
      <c r="CA498" s="27" t="s">
        <v>8</v>
      </c>
      <c r="CB498" s="27" t="s">
        <v>7</v>
      </c>
      <c r="CE498" s="27" t="s">
        <v>8</v>
      </c>
      <c r="CF498" s="27" t="s">
        <v>7</v>
      </c>
      <c r="CG498" s="27" t="s">
        <v>8</v>
      </c>
      <c r="CH498" s="27" t="s">
        <v>7</v>
      </c>
      <c r="CI498" s="27" t="s">
        <v>8</v>
      </c>
      <c r="CR498" s="27" t="s">
        <v>7</v>
      </c>
      <c r="CS498" s="27" t="s">
        <v>8</v>
      </c>
      <c r="DL498" s="27" t="s">
        <v>7</v>
      </c>
      <c r="DQ498" s="27" t="s">
        <v>8</v>
      </c>
      <c r="DR498" s="27" t="s">
        <v>7</v>
      </c>
      <c r="EG498" s="27" t="s">
        <v>8</v>
      </c>
    </row>
    <row r="499" spans="1:137" x14ac:dyDescent="0.25">
      <c r="A499" s="7">
        <v>5.7123540237461112</v>
      </c>
      <c r="B499"/>
      <c r="C499"/>
      <c r="D499"/>
      <c r="E499"/>
      <c r="CA499" s="27" t="s">
        <v>8</v>
      </c>
      <c r="CB499" s="27" t="s">
        <v>7</v>
      </c>
      <c r="CE499" s="27" t="s">
        <v>8</v>
      </c>
      <c r="CF499" s="27" t="s">
        <v>7</v>
      </c>
      <c r="CG499" s="27" t="s">
        <v>8</v>
      </c>
      <c r="CH499" s="27" t="s">
        <v>7</v>
      </c>
      <c r="CI499" s="27" t="s">
        <v>8</v>
      </c>
      <c r="CR499" s="27" t="s">
        <v>7</v>
      </c>
      <c r="DL499" s="27" t="s">
        <v>7</v>
      </c>
      <c r="DQ499" s="27" t="s">
        <v>8</v>
      </c>
      <c r="DR499" s="27" t="s">
        <v>7</v>
      </c>
      <c r="EG499" s="27" t="s">
        <v>8</v>
      </c>
    </row>
    <row r="500" spans="1:137" x14ac:dyDescent="0.25">
      <c r="A500" s="7">
        <v>5.6003470821040304</v>
      </c>
      <c r="B500"/>
      <c r="C500"/>
      <c r="D500"/>
      <c r="E500"/>
      <c r="BY500" s="27" t="s">
        <v>8</v>
      </c>
      <c r="CA500" s="27" t="s">
        <v>8</v>
      </c>
      <c r="CB500" s="27" t="s">
        <v>7</v>
      </c>
      <c r="CE500" s="27" t="s">
        <v>8</v>
      </c>
      <c r="CF500" s="27" t="s">
        <v>7</v>
      </c>
      <c r="CG500" s="27" t="s">
        <v>8</v>
      </c>
      <c r="CH500" s="27" t="s">
        <v>7</v>
      </c>
      <c r="CI500" s="27" t="s">
        <v>8</v>
      </c>
      <c r="DL500" s="27" t="s">
        <v>7</v>
      </c>
      <c r="DQ500" s="27" t="s">
        <v>8</v>
      </c>
      <c r="DR500" s="27" t="s">
        <v>7</v>
      </c>
      <c r="EG500" s="27" t="s">
        <v>8</v>
      </c>
    </row>
    <row r="501" spans="1:137" x14ac:dyDescent="0.25">
      <c r="A501" s="7">
        <v>5.4905363550039512</v>
      </c>
      <c r="B501"/>
      <c r="C501"/>
      <c r="D501"/>
      <c r="E501"/>
      <c r="BY501" s="27" t="s">
        <v>8</v>
      </c>
      <c r="BZ501" s="27" t="s">
        <v>7</v>
      </c>
      <c r="CA501" s="27" t="s">
        <v>8</v>
      </c>
      <c r="CB501" s="27" t="s">
        <v>7</v>
      </c>
      <c r="CE501" s="27" t="s">
        <v>8</v>
      </c>
      <c r="CF501" s="27" t="s">
        <v>7</v>
      </c>
      <c r="CG501" s="27" t="s">
        <v>8</v>
      </c>
      <c r="CH501" s="27" t="s">
        <v>7</v>
      </c>
      <c r="CI501" s="27" t="s">
        <v>8</v>
      </c>
      <c r="DL501" s="27" t="s">
        <v>7</v>
      </c>
      <c r="DQ501" s="27" t="s">
        <v>8</v>
      </c>
      <c r="DR501" s="27" t="s">
        <v>7</v>
      </c>
      <c r="EG501" s="27" t="s">
        <v>8</v>
      </c>
    </row>
    <row r="502" spans="1:137" x14ac:dyDescent="0.25">
      <c r="A502" s="7">
        <v>5.3828787794156385</v>
      </c>
      <c r="B502"/>
      <c r="C502"/>
      <c r="D502"/>
      <c r="E502"/>
      <c r="BY502" s="27" t="s">
        <v>8</v>
      </c>
      <c r="BZ502" s="27" t="s">
        <v>7</v>
      </c>
      <c r="CA502" s="27" t="s">
        <v>8</v>
      </c>
      <c r="CB502" s="27" t="s">
        <v>7</v>
      </c>
      <c r="CC502" s="27" t="s">
        <v>8</v>
      </c>
      <c r="CE502" s="27" t="s">
        <v>8</v>
      </c>
      <c r="CF502" s="27" t="s">
        <v>7</v>
      </c>
      <c r="CH502" s="27" t="s">
        <v>7</v>
      </c>
      <c r="CI502" s="27" t="s">
        <v>8</v>
      </c>
      <c r="DL502" s="27" t="s">
        <v>7</v>
      </c>
      <c r="DQ502" s="27" t="s">
        <v>8</v>
      </c>
      <c r="DR502" s="27" t="s">
        <v>7</v>
      </c>
      <c r="EG502" s="27" t="s">
        <v>8</v>
      </c>
    </row>
    <row r="503" spans="1:137" x14ac:dyDescent="0.25">
      <c r="A503" s="7">
        <v>5.2773321366819985</v>
      </c>
      <c r="B503"/>
      <c r="C503"/>
      <c r="D503"/>
      <c r="E503"/>
      <c r="BY503" s="27" t="s">
        <v>8</v>
      </c>
      <c r="BZ503" s="27" t="s">
        <v>7</v>
      </c>
      <c r="CA503" s="27" t="s">
        <v>8</v>
      </c>
      <c r="CB503" s="27" t="s">
        <v>7</v>
      </c>
      <c r="CC503" s="27" t="s">
        <v>8</v>
      </c>
      <c r="CD503" s="27" t="s">
        <v>7</v>
      </c>
      <c r="CE503" s="27" t="s">
        <v>8</v>
      </c>
      <c r="CH503" s="27" t="s">
        <v>7</v>
      </c>
      <c r="CI503" s="27" t="s">
        <v>8</v>
      </c>
      <c r="DL503" s="27" t="s">
        <v>7</v>
      </c>
      <c r="DM503" s="27" t="s">
        <v>8</v>
      </c>
      <c r="DQ503" s="27" t="s">
        <v>8</v>
      </c>
      <c r="DR503" s="27" t="s">
        <v>7</v>
      </c>
      <c r="DS503" s="27" t="s">
        <v>8</v>
      </c>
      <c r="EG503" s="27" t="s">
        <v>8</v>
      </c>
    </row>
    <row r="504" spans="1:137" x14ac:dyDescent="0.25">
      <c r="A504" s="7">
        <v>5.1738550359627435</v>
      </c>
      <c r="B504"/>
      <c r="C504"/>
      <c r="D504"/>
      <c r="E504"/>
      <c r="BY504" s="27" t="s">
        <v>8</v>
      </c>
      <c r="BZ504" s="27" t="s">
        <v>7</v>
      </c>
      <c r="CA504" s="27" t="s">
        <v>8</v>
      </c>
      <c r="CB504" s="27" t="s">
        <v>7</v>
      </c>
      <c r="CC504" s="27" t="s">
        <v>8</v>
      </c>
      <c r="CD504" s="27" t="s">
        <v>7</v>
      </c>
      <c r="CE504" s="27" t="s">
        <v>8</v>
      </c>
      <c r="CH504" s="27" t="s">
        <v>7</v>
      </c>
      <c r="CI504" s="27" t="s">
        <v>8</v>
      </c>
      <c r="DL504" s="27" t="s">
        <v>7</v>
      </c>
      <c r="DM504" s="27" t="s">
        <v>8</v>
      </c>
      <c r="DN504" s="27" t="s">
        <v>7</v>
      </c>
      <c r="DQ504" s="27" t="s">
        <v>8</v>
      </c>
      <c r="DR504" s="27" t="s">
        <v>7</v>
      </c>
      <c r="DS504" s="27" t="s">
        <v>8</v>
      </c>
      <c r="DT504" s="27" t="s">
        <v>7</v>
      </c>
      <c r="EG504" s="27" t="s">
        <v>8</v>
      </c>
    </row>
    <row r="505" spans="1:137" x14ac:dyDescent="0.25">
      <c r="A505" s="7">
        <v>5.07240689800269</v>
      </c>
      <c r="B505"/>
      <c r="C505"/>
      <c r="D505"/>
      <c r="E505"/>
      <c r="BY505" s="27" t="s">
        <v>8</v>
      </c>
      <c r="BZ505" s="27" t="s">
        <v>7</v>
      </c>
      <c r="CA505" s="27" t="s">
        <v>8</v>
      </c>
      <c r="CB505" s="27" t="s">
        <v>7</v>
      </c>
      <c r="CC505" s="27" t="s">
        <v>8</v>
      </c>
      <c r="CD505" s="27" t="s">
        <v>7</v>
      </c>
      <c r="CE505" s="27" t="s">
        <v>8</v>
      </c>
      <c r="CH505" s="27" t="s">
        <v>7</v>
      </c>
      <c r="DL505" s="27" t="s">
        <v>7</v>
      </c>
      <c r="DM505" s="27" t="s">
        <v>8</v>
      </c>
      <c r="DN505" s="27" t="s">
        <v>7</v>
      </c>
      <c r="DQ505" s="27" t="s">
        <v>8</v>
      </c>
      <c r="DR505" s="27" t="s">
        <v>7</v>
      </c>
      <c r="DS505" s="27" t="s">
        <v>8</v>
      </c>
      <c r="DT505" s="27" t="s">
        <v>7</v>
      </c>
      <c r="DY505" s="27" t="s">
        <v>8</v>
      </c>
      <c r="EG505" s="27" t="s">
        <v>8</v>
      </c>
    </row>
    <row r="506" spans="1:137" x14ac:dyDescent="0.25">
      <c r="A506" s="7">
        <v>4.9729479392183231</v>
      </c>
      <c r="B506"/>
      <c r="C506"/>
      <c r="D506"/>
      <c r="E506"/>
      <c r="BY506" s="27" t="s">
        <v>8</v>
      </c>
      <c r="BZ506" s="27" t="s">
        <v>7</v>
      </c>
      <c r="CA506" s="27" t="s">
        <v>8</v>
      </c>
      <c r="CB506" s="27" t="s">
        <v>7</v>
      </c>
      <c r="CC506" s="27" t="s">
        <v>8</v>
      </c>
      <c r="CD506" s="27" t="s">
        <v>7</v>
      </c>
      <c r="CE506" s="27" t="s">
        <v>8</v>
      </c>
      <c r="DL506" s="27" t="s">
        <v>7</v>
      </c>
      <c r="DM506" s="27" t="s">
        <v>8</v>
      </c>
      <c r="DN506" s="27" t="s">
        <v>7</v>
      </c>
      <c r="DQ506" s="27" t="s">
        <v>8</v>
      </c>
      <c r="DR506" s="27" t="s">
        <v>7</v>
      </c>
      <c r="DS506" s="27" t="s">
        <v>8</v>
      </c>
      <c r="DT506" s="27" t="s">
        <v>7</v>
      </c>
      <c r="DY506" s="27" t="s">
        <v>8</v>
      </c>
      <c r="DZ506" s="27" t="s">
        <v>7</v>
      </c>
      <c r="EC506" s="27" t="s">
        <v>8</v>
      </c>
      <c r="EG506" s="27" t="s">
        <v>8</v>
      </c>
    </row>
    <row r="507" spans="1:137" x14ac:dyDescent="0.25">
      <c r="A507" s="7">
        <v>4.8754391560963954</v>
      </c>
      <c r="B507"/>
      <c r="C507"/>
      <c r="D507"/>
      <c r="E507"/>
      <c r="BY507" s="27" t="s">
        <v>8</v>
      </c>
      <c r="BZ507" s="27" t="s">
        <v>7</v>
      </c>
      <c r="CA507" s="27" t="s">
        <v>8</v>
      </c>
      <c r="CB507" s="27" t="s">
        <v>7</v>
      </c>
      <c r="CC507" s="27" t="s">
        <v>8</v>
      </c>
      <c r="CD507" s="27" t="s">
        <v>7</v>
      </c>
      <c r="CE507" s="27" t="s">
        <v>8</v>
      </c>
      <c r="DL507" s="27" t="s">
        <v>7</v>
      </c>
      <c r="DM507" s="27" t="s">
        <v>8</v>
      </c>
      <c r="DN507" s="27" t="s">
        <v>7</v>
      </c>
      <c r="DO507" s="27" t="s">
        <v>8</v>
      </c>
      <c r="DQ507" s="27" t="s">
        <v>8</v>
      </c>
      <c r="DR507" s="27" t="s">
        <v>7</v>
      </c>
      <c r="DS507" s="27" t="s">
        <v>8</v>
      </c>
      <c r="DT507" s="27" t="s">
        <v>7</v>
      </c>
      <c r="DY507" s="27" t="s">
        <v>8</v>
      </c>
      <c r="DZ507" s="27" t="s">
        <v>7</v>
      </c>
      <c r="EA507" s="27" t="s">
        <v>8</v>
      </c>
      <c r="EC507" s="27" t="s">
        <v>8</v>
      </c>
      <c r="ED507" s="27" t="s">
        <v>7</v>
      </c>
      <c r="EG507" s="27" t="s">
        <v>8</v>
      </c>
    </row>
    <row r="508" spans="1:137" x14ac:dyDescent="0.25">
      <c r="A508" s="7">
        <v>4.7798423098984264</v>
      </c>
      <c r="B508"/>
      <c r="C508"/>
      <c r="D508"/>
      <c r="E508"/>
      <c r="BY508" s="27" t="s">
        <v>8</v>
      </c>
      <c r="BZ508" s="27" t="s">
        <v>7</v>
      </c>
      <c r="CA508" s="27" t="s">
        <v>8</v>
      </c>
      <c r="CB508" s="27" t="s">
        <v>7</v>
      </c>
      <c r="CD508" s="27" t="s">
        <v>7</v>
      </c>
      <c r="CE508" s="27" t="s">
        <v>8</v>
      </c>
      <c r="DL508" s="27" t="s">
        <v>7</v>
      </c>
      <c r="DM508" s="27" t="s">
        <v>8</v>
      </c>
      <c r="DN508" s="27" t="s">
        <v>7</v>
      </c>
      <c r="DO508" s="27" t="s">
        <v>8</v>
      </c>
      <c r="DP508" s="27" t="s">
        <v>7</v>
      </c>
      <c r="DQ508" s="27" t="s">
        <v>8</v>
      </c>
      <c r="DR508" s="27" t="s">
        <v>7</v>
      </c>
      <c r="DS508" s="27" t="s">
        <v>8</v>
      </c>
      <c r="DT508" s="27" t="s">
        <v>7</v>
      </c>
      <c r="DU508" s="27" t="s">
        <v>8</v>
      </c>
      <c r="DY508" s="27" t="s">
        <v>8</v>
      </c>
      <c r="DZ508" s="27" t="s">
        <v>7</v>
      </c>
      <c r="EA508" s="27" t="s">
        <v>8</v>
      </c>
      <c r="EB508" s="27" t="s">
        <v>7</v>
      </c>
      <c r="EC508" s="27" t="s">
        <v>8</v>
      </c>
      <c r="ED508" s="27" t="s">
        <v>7</v>
      </c>
      <c r="EG508" s="27" t="s">
        <v>8</v>
      </c>
    </row>
    <row r="509" spans="1:137" x14ac:dyDescent="0.25">
      <c r="A509" s="7">
        <v>4.6861199116651235</v>
      </c>
      <c r="B509"/>
      <c r="C509"/>
      <c r="D509"/>
      <c r="E509"/>
      <c r="BY509" s="27" t="s">
        <v>8</v>
      </c>
      <c r="BZ509" s="27" t="s">
        <v>7</v>
      </c>
      <c r="CD509" s="27" t="s">
        <v>7</v>
      </c>
      <c r="CE509" s="27" t="s">
        <v>8</v>
      </c>
      <c r="DL509" s="27" t="s">
        <v>7</v>
      </c>
      <c r="DM509" s="27" t="s">
        <v>8</v>
      </c>
      <c r="DN509" s="27" t="s">
        <v>7</v>
      </c>
      <c r="DO509" s="27" t="s">
        <v>8</v>
      </c>
      <c r="DP509" s="27" t="s">
        <v>7</v>
      </c>
      <c r="DQ509" s="27" t="s">
        <v>8</v>
      </c>
      <c r="DR509" s="27" t="s">
        <v>7</v>
      </c>
      <c r="DS509" s="27" t="s">
        <v>8</v>
      </c>
      <c r="DT509" s="27" t="s">
        <v>7</v>
      </c>
      <c r="DU509" s="27" t="s">
        <v>8</v>
      </c>
      <c r="DV509" s="27" t="s">
        <v>7</v>
      </c>
      <c r="DY509" s="27" t="s">
        <v>8</v>
      </c>
      <c r="DZ509" s="27" t="s">
        <v>7</v>
      </c>
      <c r="EA509" s="27" t="s">
        <v>8</v>
      </c>
      <c r="EB509" s="27" t="s">
        <v>7</v>
      </c>
      <c r="EC509" s="27" t="s">
        <v>8</v>
      </c>
      <c r="ED509" s="27" t="s">
        <v>7</v>
      </c>
      <c r="EG509" s="27" t="s">
        <v>8</v>
      </c>
    </row>
    <row r="510" spans="1:137" x14ac:dyDescent="0.25">
      <c r="A510" s="7">
        <v>4.5942352075148269</v>
      </c>
      <c r="B510"/>
      <c r="C510"/>
      <c r="D510"/>
      <c r="E510"/>
      <c r="BY510" s="27" t="s">
        <v>8</v>
      </c>
      <c r="CD510" s="27" t="s">
        <v>7</v>
      </c>
      <c r="CE510" s="27" t="s">
        <v>8</v>
      </c>
      <c r="DL510" s="27" t="s">
        <v>7</v>
      </c>
      <c r="DM510" s="27" t="s">
        <v>8</v>
      </c>
      <c r="DN510" s="27" t="s">
        <v>7</v>
      </c>
      <c r="DO510" s="27" t="s">
        <v>8</v>
      </c>
      <c r="DP510" s="27" t="s">
        <v>7</v>
      </c>
      <c r="DQ510" s="27" t="s">
        <v>8</v>
      </c>
      <c r="DR510" s="27" t="s">
        <v>7</v>
      </c>
      <c r="DS510" s="27" t="s">
        <v>8</v>
      </c>
      <c r="DT510" s="27" t="s">
        <v>7</v>
      </c>
      <c r="DU510" s="27" t="s">
        <v>8</v>
      </c>
      <c r="DV510" s="27" t="s">
        <v>7</v>
      </c>
      <c r="DY510" s="27" t="s">
        <v>8</v>
      </c>
      <c r="DZ510" s="27" t="s">
        <v>7</v>
      </c>
      <c r="EA510" s="27" t="s">
        <v>8</v>
      </c>
      <c r="EB510" s="27" t="s">
        <v>7</v>
      </c>
      <c r="EC510" s="27" t="s">
        <v>8</v>
      </c>
      <c r="ED510" s="27" t="s">
        <v>7</v>
      </c>
      <c r="EG510" s="27" t="s">
        <v>8</v>
      </c>
    </row>
    <row r="511" spans="1:137" x14ac:dyDescent="0.25">
      <c r="A511" s="7">
        <v>4.5041521642302227</v>
      </c>
      <c r="B511"/>
      <c r="C511"/>
      <c r="D511"/>
      <c r="E511"/>
      <c r="BY511" s="27" t="s">
        <v>8</v>
      </c>
      <c r="CD511" s="27" t="s">
        <v>7</v>
      </c>
      <c r="CE511" s="27" t="s">
        <v>8</v>
      </c>
      <c r="DL511" s="27" t="s">
        <v>7</v>
      </c>
      <c r="DM511" s="27" t="s">
        <v>8</v>
      </c>
      <c r="DN511" s="27" t="s">
        <v>7</v>
      </c>
      <c r="DO511" s="27" t="s">
        <v>8</v>
      </c>
      <c r="DP511" s="27" t="s">
        <v>7</v>
      </c>
      <c r="DQ511" s="27" t="s">
        <v>8</v>
      </c>
      <c r="DR511" s="27" t="s">
        <v>7</v>
      </c>
      <c r="DS511" s="27" t="s">
        <v>8</v>
      </c>
      <c r="DT511" s="27" t="s">
        <v>7</v>
      </c>
      <c r="DV511" s="27" t="s">
        <v>7</v>
      </c>
      <c r="DW511" s="27" t="s">
        <v>8</v>
      </c>
      <c r="DY511" s="27" t="s">
        <v>8</v>
      </c>
      <c r="DZ511" s="27" t="s">
        <v>7</v>
      </c>
      <c r="EA511" s="27" t="s">
        <v>8</v>
      </c>
      <c r="EB511" s="27" t="s">
        <v>7</v>
      </c>
      <c r="EC511" s="27" t="s">
        <v>8</v>
      </c>
      <c r="ED511" s="27" t="s">
        <v>7</v>
      </c>
      <c r="EG511" s="27" t="s">
        <v>8</v>
      </c>
    </row>
    <row r="512" spans="1:137" x14ac:dyDescent="0.25">
      <c r="A512" s="7">
        <v>4.4158354551276693</v>
      </c>
      <c r="B512"/>
      <c r="C512"/>
      <c r="D512"/>
      <c r="E512"/>
      <c r="BY512" s="27" t="s">
        <v>8</v>
      </c>
      <c r="CD512" s="27" t="s">
        <v>7</v>
      </c>
      <c r="CE512" s="27" t="s">
        <v>8</v>
      </c>
      <c r="DL512" s="27" t="s">
        <v>7</v>
      </c>
      <c r="DM512" s="27" t="s">
        <v>8</v>
      </c>
      <c r="DN512" s="27" t="s">
        <v>7</v>
      </c>
      <c r="DO512" s="27" t="s">
        <v>8</v>
      </c>
      <c r="DP512" s="27" t="s">
        <v>7</v>
      </c>
      <c r="DQ512" s="27" t="s">
        <v>8</v>
      </c>
      <c r="DR512" s="27" t="s">
        <v>7</v>
      </c>
      <c r="DS512" s="27" t="s">
        <v>8</v>
      </c>
      <c r="DV512" s="27" t="s">
        <v>7</v>
      </c>
      <c r="DW512" s="27" t="s">
        <v>8</v>
      </c>
      <c r="DX512" s="27" t="s">
        <v>7</v>
      </c>
      <c r="DY512" s="27" t="s">
        <v>8</v>
      </c>
      <c r="DZ512" s="27" t="s">
        <v>7</v>
      </c>
      <c r="EA512" s="27" t="s">
        <v>8</v>
      </c>
      <c r="EB512" s="27" t="s">
        <v>7</v>
      </c>
      <c r="EC512" s="27" t="s">
        <v>8</v>
      </c>
      <c r="ED512" s="27" t="s">
        <v>7</v>
      </c>
      <c r="EG512" s="27" t="s">
        <v>8</v>
      </c>
    </row>
    <row r="513" spans="1:137" x14ac:dyDescent="0.25">
      <c r="A513" s="7">
        <v>4.3292504462035977</v>
      </c>
      <c r="B513"/>
      <c r="C513"/>
      <c r="D513"/>
      <c r="E513"/>
      <c r="BY513" s="27" t="s">
        <v>8</v>
      </c>
      <c r="CD513" s="27" t="s">
        <v>7</v>
      </c>
      <c r="CE513" s="27" t="s">
        <v>8</v>
      </c>
      <c r="DL513" s="27" t="s">
        <v>7</v>
      </c>
      <c r="DM513" s="27" t="s">
        <v>8</v>
      </c>
      <c r="DN513" s="27" t="s">
        <v>7</v>
      </c>
      <c r="DO513" s="27" t="s">
        <v>8</v>
      </c>
      <c r="DP513" s="27" t="s">
        <v>7</v>
      </c>
      <c r="DQ513" s="27" t="s">
        <v>8</v>
      </c>
      <c r="DR513" s="27" t="s">
        <v>7</v>
      </c>
      <c r="DS513" s="27" t="s">
        <v>8</v>
      </c>
      <c r="DV513" s="27" t="s">
        <v>7</v>
      </c>
      <c r="DW513" s="27" t="s">
        <v>8</v>
      </c>
      <c r="DX513" s="27" t="s">
        <v>7</v>
      </c>
      <c r="DY513" s="27" t="s">
        <v>8</v>
      </c>
      <c r="DZ513" s="27" t="s">
        <v>7</v>
      </c>
      <c r="EA513" s="27" t="s">
        <v>8</v>
      </c>
      <c r="EB513" s="27" t="s">
        <v>7</v>
      </c>
      <c r="EC513" s="27" t="s">
        <v>8</v>
      </c>
      <c r="ED513" s="27" t="s">
        <v>7</v>
      </c>
      <c r="EG513" s="27" t="s">
        <v>8</v>
      </c>
    </row>
    <row r="514" spans="1:137" x14ac:dyDescent="0.25">
      <c r="A514" s="7">
        <v>4.2443631825525463</v>
      </c>
      <c r="B514"/>
      <c r="C514"/>
      <c r="D514"/>
      <c r="E514"/>
      <c r="BY514" s="27" t="s">
        <v>8</v>
      </c>
      <c r="CD514" s="27" t="s">
        <v>7</v>
      </c>
      <c r="CE514" s="27" t="s">
        <v>8</v>
      </c>
      <c r="DL514" s="27" t="s">
        <v>7</v>
      </c>
      <c r="DM514" s="27" t="s">
        <v>8</v>
      </c>
      <c r="DN514" s="27" t="s">
        <v>7</v>
      </c>
      <c r="DO514" s="27" t="s">
        <v>8</v>
      </c>
      <c r="DP514" s="27" t="s">
        <v>7</v>
      </c>
      <c r="DQ514" s="27" t="s">
        <v>8</v>
      </c>
      <c r="DR514" s="27" t="s">
        <v>7</v>
      </c>
      <c r="DS514" s="27" t="s">
        <v>8</v>
      </c>
      <c r="DV514" s="27" t="s">
        <v>7</v>
      </c>
      <c r="DW514" s="27" t="s">
        <v>8</v>
      </c>
      <c r="DX514" s="27" t="s">
        <v>7</v>
      </c>
      <c r="DY514" s="27" t="s">
        <v>8</v>
      </c>
      <c r="DZ514" s="27" t="s">
        <v>7</v>
      </c>
      <c r="EA514" s="27" t="s">
        <v>8</v>
      </c>
      <c r="EB514" s="27" t="s">
        <v>7</v>
      </c>
      <c r="ED514" s="27" t="s">
        <v>7</v>
      </c>
      <c r="EG514" s="27" t="s">
        <v>8</v>
      </c>
    </row>
    <row r="515" spans="1:137" x14ac:dyDescent="0.25">
      <c r="A515" s="7">
        <v>4.1611403750515157</v>
      </c>
      <c r="B515"/>
      <c r="C515"/>
      <c r="D515"/>
      <c r="E515"/>
      <c r="BY515" s="27" t="s">
        <v>8</v>
      </c>
      <c r="CD515" s="27" t="s">
        <v>7</v>
      </c>
      <c r="CE515" s="27" t="s">
        <v>8</v>
      </c>
      <c r="DL515" s="27" t="s">
        <v>7</v>
      </c>
      <c r="DM515" s="27" t="s">
        <v>8</v>
      </c>
      <c r="DN515" s="27" t="s">
        <v>7</v>
      </c>
      <c r="DO515" s="27" t="s">
        <v>8</v>
      </c>
      <c r="DP515" s="27" t="s">
        <v>7</v>
      </c>
      <c r="DQ515" s="27" t="s">
        <v>8</v>
      </c>
      <c r="DR515" s="27" t="s">
        <v>7</v>
      </c>
      <c r="DV515" s="27" t="s">
        <v>7</v>
      </c>
      <c r="DW515" s="27" t="s">
        <v>8</v>
      </c>
      <c r="DX515" s="27" t="s">
        <v>7</v>
      </c>
      <c r="DY515" s="27" t="s">
        <v>8</v>
      </c>
      <c r="DZ515" s="27" t="s">
        <v>7</v>
      </c>
      <c r="EA515" s="27" t="s">
        <v>8</v>
      </c>
      <c r="ED515" s="27" t="s">
        <v>7</v>
      </c>
      <c r="EG515" s="27" t="s">
        <v>8</v>
      </c>
    </row>
    <row r="516" spans="1:137" x14ac:dyDescent="0.25">
      <c r="A516" s="7">
        <v>4.0795493873054074</v>
      </c>
      <c r="B516"/>
      <c r="C516"/>
      <c r="D516"/>
      <c r="E516"/>
      <c r="BY516" s="27" t="s">
        <v>8</v>
      </c>
      <c r="CD516" s="27" t="s">
        <v>7</v>
      </c>
      <c r="CE516" s="27" t="s">
        <v>8</v>
      </c>
      <c r="DL516" s="27" t="s">
        <v>7</v>
      </c>
      <c r="DM516" s="27" t="s">
        <v>8</v>
      </c>
      <c r="DN516" s="27" t="s">
        <v>7</v>
      </c>
      <c r="DO516" s="27" t="s">
        <v>8</v>
      </c>
      <c r="DP516" s="27" t="s">
        <v>7</v>
      </c>
      <c r="DV516" s="27" t="s">
        <v>7</v>
      </c>
      <c r="DX516" s="27" t="s">
        <v>7</v>
      </c>
      <c r="DY516" s="27" t="s">
        <v>8</v>
      </c>
      <c r="DZ516" s="27" t="s">
        <v>7</v>
      </c>
      <c r="EA516" s="27" t="s">
        <v>8</v>
      </c>
      <c r="ED516" s="27" t="s">
        <v>7</v>
      </c>
      <c r="EG516" s="27" t="s">
        <v>8</v>
      </c>
    </row>
    <row r="517" spans="1:137" x14ac:dyDescent="0.25">
      <c r="A517" s="7">
        <v>3.9995582228484383</v>
      </c>
      <c r="B517"/>
      <c r="C517"/>
      <c r="D517"/>
      <c r="E517"/>
      <c r="BY517" s="27" t="s">
        <v>8</v>
      </c>
      <c r="CD517" s="27" t="s">
        <v>7</v>
      </c>
      <c r="CE517" s="27" t="s">
        <v>8</v>
      </c>
      <c r="DL517" s="27" t="s">
        <v>7</v>
      </c>
      <c r="DM517" s="27" t="s">
        <v>8</v>
      </c>
      <c r="DN517" s="27" t="s">
        <v>7</v>
      </c>
      <c r="DO517" s="27" t="s">
        <v>8</v>
      </c>
      <c r="DX517" s="27" t="s">
        <v>7</v>
      </c>
      <c r="DY517" s="27" t="s">
        <v>8</v>
      </c>
      <c r="DZ517" s="27" t="s">
        <v>7</v>
      </c>
      <c r="EA517" s="27" t="s">
        <v>8</v>
      </c>
      <c r="ED517" s="27" t="s">
        <v>7</v>
      </c>
      <c r="EG517" s="27" t="s">
        <v>8</v>
      </c>
    </row>
    <row r="518" spans="1:137" x14ac:dyDescent="0.25">
      <c r="A518" s="7">
        <v>3.9211355125965079</v>
      </c>
      <c r="B518"/>
      <c r="C518"/>
      <c r="D518"/>
      <c r="E518"/>
      <c r="BY518" s="27" t="s">
        <v>8</v>
      </c>
      <c r="CD518" s="27" t="s">
        <v>7</v>
      </c>
      <c r="CE518" s="27" t="s">
        <v>8</v>
      </c>
      <c r="DL518" s="27" t="s">
        <v>7</v>
      </c>
      <c r="DM518" s="27" t="s">
        <v>8</v>
      </c>
      <c r="DN518" s="27" t="s">
        <v>7</v>
      </c>
      <c r="DO518" s="27" t="s">
        <v>8</v>
      </c>
      <c r="DX518" s="27" t="s">
        <v>7</v>
      </c>
      <c r="DY518" s="27" t="s">
        <v>8</v>
      </c>
      <c r="DZ518" s="27" t="s">
        <v>7</v>
      </c>
      <c r="EA518" s="27" t="s">
        <v>8</v>
      </c>
      <c r="ED518" s="27" t="s">
        <v>7</v>
      </c>
      <c r="EE518" s="27" t="s">
        <v>8</v>
      </c>
      <c r="EG518" s="27" t="s">
        <v>8</v>
      </c>
    </row>
    <row r="519" spans="1:137" x14ac:dyDescent="0.25">
      <c r="A519" s="7">
        <v>3.844250502545596</v>
      </c>
      <c r="B519"/>
      <c r="C519"/>
      <c r="D519"/>
      <c r="E519"/>
      <c r="BY519" s="27" t="s">
        <v>8</v>
      </c>
      <c r="CD519" s="27" t="s">
        <v>7</v>
      </c>
      <c r="CE519" s="27" t="s">
        <v>8</v>
      </c>
      <c r="DL519" s="27" t="s">
        <v>7</v>
      </c>
      <c r="DM519" s="27" t="s">
        <v>8</v>
      </c>
      <c r="DN519" s="27" t="s">
        <v>7</v>
      </c>
      <c r="DO519" s="27" t="s">
        <v>8</v>
      </c>
      <c r="DX519" s="27" t="s">
        <v>7</v>
      </c>
      <c r="DY519" s="27" t="s">
        <v>8</v>
      </c>
      <c r="DZ519" s="27" t="s">
        <v>7</v>
      </c>
      <c r="EA519" s="27" t="s">
        <v>8</v>
      </c>
      <c r="ED519" s="27" t="s">
        <v>7</v>
      </c>
      <c r="EE519" s="27" t="s">
        <v>8</v>
      </c>
      <c r="EF519" s="27" t="s">
        <v>7</v>
      </c>
      <c r="EG519" s="27" t="s">
        <v>8</v>
      </c>
    </row>
    <row r="520" spans="1:137" x14ac:dyDescent="0.25">
      <c r="A520" s="7">
        <v>3.7688730417113687</v>
      </c>
      <c r="B520"/>
      <c r="C520"/>
      <c r="D520"/>
      <c r="E520"/>
      <c r="BY520" s="27" t="s">
        <v>8</v>
      </c>
      <c r="CD520" s="27" t="s">
        <v>7</v>
      </c>
      <c r="CE520" s="27" t="s">
        <v>8</v>
      </c>
      <c r="DL520" s="27" t="s">
        <v>7</v>
      </c>
      <c r="DM520" s="27" t="s">
        <v>8</v>
      </c>
      <c r="DN520" s="27" t="s">
        <v>7</v>
      </c>
      <c r="DO520" s="27" t="s">
        <v>8</v>
      </c>
      <c r="DX520" s="27" t="s">
        <v>7</v>
      </c>
      <c r="DY520" s="27" t="s">
        <v>8</v>
      </c>
      <c r="DZ520" s="27" t="s">
        <v>7</v>
      </c>
      <c r="EA520" s="27" t="s">
        <v>8</v>
      </c>
      <c r="ED520" s="27" t="s">
        <v>7</v>
      </c>
      <c r="EE520" s="27" t="s">
        <v>8</v>
      </c>
      <c r="EF520" s="27" t="s">
        <v>7</v>
      </c>
      <c r="EG520" s="27" t="s">
        <v>8</v>
      </c>
    </row>
    <row r="521" spans="1:137" x14ac:dyDescent="0.25">
      <c r="A521" s="7">
        <v>3.6949735703052635</v>
      </c>
      <c r="B521"/>
      <c r="C521"/>
      <c r="D521"/>
      <c r="E521"/>
      <c r="BY521" s="27" t="s">
        <v>8</v>
      </c>
      <c r="CD521" s="27" t="s">
        <v>7</v>
      </c>
      <c r="CE521" s="27" t="s">
        <v>8</v>
      </c>
      <c r="DL521" s="27" t="s">
        <v>7</v>
      </c>
      <c r="DM521" s="27" t="s">
        <v>8</v>
      </c>
      <c r="DN521" s="27" t="s">
        <v>7</v>
      </c>
      <c r="DO521" s="27" t="s">
        <v>8</v>
      </c>
      <c r="DX521" s="27" t="s">
        <v>7</v>
      </c>
      <c r="DY521" s="27" t="s">
        <v>8</v>
      </c>
      <c r="DZ521" s="27" t="s">
        <v>7</v>
      </c>
      <c r="ED521" s="27" t="s">
        <v>7</v>
      </c>
      <c r="EE521" s="27" t="s">
        <v>8</v>
      </c>
      <c r="EF521" s="27" t="s">
        <v>7</v>
      </c>
      <c r="EG521" s="27" t="s">
        <v>8</v>
      </c>
    </row>
    <row r="522" spans="1:137" x14ac:dyDescent="0.25">
      <c r="A522" s="7">
        <v>3.6225231081424152</v>
      </c>
      <c r="B522"/>
      <c r="C522"/>
      <c r="D522"/>
      <c r="E522"/>
      <c r="BY522" s="27" t="s">
        <v>8</v>
      </c>
      <c r="CD522" s="27" t="s">
        <v>7</v>
      </c>
      <c r="CE522" s="27" t="s">
        <v>8</v>
      </c>
      <c r="DL522" s="27" t="s">
        <v>7</v>
      </c>
      <c r="DM522" s="27" t="s">
        <v>8</v>
      </c>
      <c r="DN522" s="27" t="s">
        <v>7</v>
      </c>
      <c r="DO522" s="27" t="s">
        <v>8</v>
      </c>
      <c r="DX522" s="27" t="s">
        <v>7</v>
      </c>
      <c r="DY522" s="27" t="s">
        <v>8</v>
      </c>
      <c r="ED522" s="27" t="s">
        <v>7</v>
      </c>
      <c r="EE522" s="27" t="s">
        <v>8</v>
      </c>
      <c r="EF522" s="27" t="s">
        <v>7</v>
      </c>
      <c r="EG522" s="27" t="s">
        <v>8</v>
      </c>
    </row>
    <row r="523" spans="1:137" x14ac:dyDescent="0.25">
      <c r="A523" s="7">
        <v>3.5514932432768775</v>
      </c>
      <c r="B523"/>
      <c r="C523"/>
      <c r="D523"/>
      <c r="E523"/>
      <c r="BY523" s="27" t="s">
        <v>8</v>
      </c>
      <c r="CD523" s="27" t="s">
        <v>7</v>
      </c>
      <c r="CE523" s="27" t="s">
        <v>8</v>
      </c>
      <c r="DL523" s="27" t="s">
        <v>7</v>
      </c>
      <c r="DM523" s="27" t="s">
        <v>8</v>
      </c>
      <c r="DN523" s="27" t="s">
        <v>7</v>
      </c>
      <c r="DO523" s="27" t="s">
        <v>8</v>
      </c>
      <c r="DX523" s="27" t="s">
        <v>7</v>
      </c>
      <c r="DY523" s="27" t="s">
        <v>8</v>
      </c>
      <c r="ED523" s="27" t="s">
        <v>7</v>
      </c>
      <c r="EE523" s="27" t="s">
        <v>8</v>
      </c>
      <c r="EF523" s="27" t="s">
        <v>7</v>
      </c>
      <c r="EG523" s="27" t="s">
        <v>8</v>
      </c>
    </row>
    <row r="524" spans="1:137" x14ac:dyDescent="0.25">
      <c r="A524" s="7">
        <v>3.4818561208596837</v>
      </c>
      <c r="B524"/>
      <c r="C524"/>
      <c r="D524"/>
      <c r="E524"/>
      <c r="BY524" s="27" t="s">
        <v>8</v>
      </c>
      <c r="CD524" s="27" t="s">
        <v>7</v>
      </c>
      <c r="CE524" s="27" t="s">
        <v>8</v>
      </c>
      <c r="DL524" s="27" t="s">
        <v>7</v>
      </c>
      <c r="DM524" s="27" t="s">
        <v>8</v>
      </c>
      <c r="DN524" s="27" t="s">
        <v>7</v>
      </c>
      <c r="DO524" s="27" t="s">
        <v>8</v>
      </c>
      <c r="DX524" s="27" t="s">
        <v>7</v>
      </c>
      <c r="DY524" s="27" t="s">
        <v>8</v>
      </c>
      <c r="ED524" s="27" t="s">
        <v>7</v>
      </c>
      <c r="EE524" s="27" t="s">
        <v>8</v>
      </c>
      <c r="EF524" s="27" t="s">
        <v>7</v>
      </c>
      <c r="EG524" s="27" t="s">
        <v>8</v>
      </c>
    </row>
    <row r="525" spans="1:137" x14ac:dyDescent="0.25">
      <c r="A525" s="7">
        <v>3.4135844322153761</v>
      </c>
      <c r="B525"/>
      <c r="C525"/>
      <c r="D525"/>
      <c r="E525"/>
      <c r="BY525" s="27" t="s">
        <v>8</v>
      </c>
      <c r="CD525" s="27" t="s">
        <v>7</v>
      </c>
      <c r="DL525" s="27" t="s">
        <v>7</v>
      </c>
      <c r="DM525" s="27" t="s">
        <v>8</v>
      </c>
      <c r="DN525" s="27" t="s">
        <v>7</v>
      </c>
      <c r="DO525" s="27" t="s">
        <v>8</v>
      </c>
      <c r="DX525" s="27" t="s">
        <v>7</v>
      </c>
      <c r="ED525" s="27" t="s">
        <v>7</v>
      </c>
      <c r="EE525" s="27" t="s">
        <v>8</v>
      </c>
      <c r="EF525" s="27" t="s">
        <v>7</v>
      </c>
      <c r="EG525" s="27" t="s">
        <v>8</v>
      </c>
    </row>
    <row r="526" spans="1:137" x14ac:dyDescent="0.25">
      <c r="A526" s="7">
        <v>3.3466514041327216</v>
      </c>
      <c r="B526"/>
      <c r="C526"/>
      <c r="D526"/>
      <c r="E526"/>
      <c r="BY526" s="27" t="s">
        <v>8</v>
      </c>
      <c r="DL526" s="27" t="s">
        <v>7</v>
      </c>
      <c r="DM526" s="27" t="s">
        <v>8</v>
      </c>
      <c r="DN526" s="27" t="s">
        <v>7</v>
      </c>
      <c r="DO526" s="27" t="s">
        <v>8</v>
      </c>
      <c r="ED526" s="27" t="s">
        <v>7</v>
      </c>
      <c r="EE526" s="27" t="s">
        <v>8</v>
      </c>
      <c r="EF526" s="27" t="s">
        <v>7</v>
      </c>
      <c r="EG526" s="27" t="s">
        <v>8</v>
      </c>
    </row>
    <row r="527" spans="1:137" x14ac:dyDescent="0.25">
      <c r="A527" s="7">
        <v>3.2810307883654133</v>
      </c>
      <c r="B527"/>
      <c r="C527"/>
      <c r="D527"/>
      <c r="E527"/>
      <c r="BY527" s="27" t="s">
        <v>8</v>
      </c>
      <c r="DL527" s="27" t="s">
        <v>7</v>
      </c>
      <c r="DM527" s="27" t="s">
        <v>8</v>
      </c>
      <c r="DN527" s="27" t="s">
        <v>7</v>
      </c>
      <c r="DO527" s="27" t="s">
        <v>8</v>
      </c>
      <c r="ED527" s="27" t="s">
        <v>7</v>
      </c>
      <c r="EE527" s="27" t="s">
        <v>8</v>
      </c>
      <c r="EF527" s="27" t="s">
        <v>7</v>
      </c>
    </row>
    <row r="528" spans="1:137" x14ac:dyDescent="0.25">
      <c r="A528" s="7">
        <v>3.2166968513386403</v>
      </c>
      <c r="B528"/>
      <c r="C528"/>
      <c r="D528"/>
      <c r="E528"/>
      <c r="BY528" s="27" t="s">
        <v>8</v>
      </c>
      <c r="DL528" s="27" t="s">
        <v>7</v>
      </c>
      <c r="DM528" s="27" t="s">
        <v>8</v>
      </c>
      <c r="DN528" s="27" t="s">
        <v>7</v>
      </c>
      <c r="DO528" s="27" t="s">
        <v>8</v>
      </c>
      <c r="ED528" s="27" t="s">
        <v>7</v>
      </c>
      <c r="EE528" s="27" t="s">
        <v>8</v>
      </c>
    </row>
    <row r="529" spans="1:135" x14ac:dyDescent="0.25">
      <c r="A529" s="7">
        <v>3.1536243640574906</v>
      </c>
      <c r="B529"/>
      <c r="C529"/>
      <c r="D529"/>
      <c r="E529"/>
      <c r="BY529" s="27" t="s">
        <v>8</v>
      </c>
      <c r="DL529" s="27" t="s">
        <v>7</v>
      </c>
      <c r="DM529" s="27" t="s">
        <v>8</v>
      </c>
      <c r="DN529" s="27" t="s">
        <v>7</v>
      </c>
      <c r="DO529" s="27" t="s">
        <v>8</v>
      </c>
      <c r="ED529" s="27" t="s">
        <v>7</v>
      </c>
      <c r="EE529" s="27" t="s">
        <v>8</v>
      </c>
    </row>
    <row r="530" spans="1:135" x14ac:dyDescent="0.25">
      <c r="A530" s="7">
        <v>3.0917885922132262</v>
      </c>
      <c r="B530"/>
      <c r="C530"/>
      <c r="D530"/>
      <c r="E530"/>
      <c r="BW530" s="27" t="s">
        <v>8</v>
      </c>
      <c r="BY530" s="27" t="s">
        <v>8</v>
      </c>
      <c r="DL530" s="27" t="s">
        <v>7</v>
      </c>
      <c r="DM530" s="27" t="s">
        <v>8</v>
      </c>
      <c r="DN530" s="27" t="s">
        <v>7</v>
      </c>
      <c r="DO530" s="27" t="s">
        <v>8</v>
      </c>
      <c r="ED530" s="27" t="s">
        <v>7</v>
      </c>
      <c r="EE530" s="27" t="s">
        <v>8</v>
      </c>
    </row>
    <row r="531" spans="1:135" x14ac:dyDescent="0.25">
      <c r="A531" s="7">
        <v>3.0311652864835552</v>
      </c>
      <c r="B531"/>
      <c r="C531"/>
      <c r="D531"/>
      <c r="E531"/>
      <c r="BW531" s="27" t="s">
        <v>8</v>
      </c>
      <c r="BX531" s="27" t="s">
        <v>7</v>
      </c>
      <c r="BY531" s="27" t="s">
        <v>8</v>
      </c>
      <c r="DL531" s="27" t="s">
        <v>7</v>
      </c>
      <c r="DM531" s="27" t="s">
        <v>8</v>
      </c>
      <c r="DN531" s="27" t="s">
        <v>7</v>
      </c>
      <c r="DO531" s="27" t="s">
        <v>8</v>
      </c>
      <c r="ED531" s="27" t="s">
        <v>7</v>
      </c>
      <c r="EE531" s="27" t="s">
        <v>8</v>
      </c>
    </row>
    <row r="532" spans="1:135" x14ac:dyDescent="0.25">
      <c r="A532" s="7">
        <v>2.9717306730230932</v>
      </c>
      <c r="B532"/>
      <c r="C532"/>
      <c r="D532"/>
      <c r="E532"/>
      <c r="BW532" s="27" t="s">
        <v>8</v>
      </c>
      <c r="BX532" s="27" t="s">
        <v>7</v>
      </c>
      <c r="BY532" s="27" t="s">
        <v>8</v>
      </c>
      <c r="DL532" s="27" t="s">
        <v>7</v>
      </c>
      <c r="DM532" s="27" t="s">
        <v>8</v>
      </c>
      <c r="DN532" s="27" t="s">
        <v>7</v>
      </c>
      <c r="DO532" s="27" t="s">
        <v>8</v>
      </c>
      <c r="ED532" s="27" t="s">
        <v>7</v>
      </c>
      <c r="EE532" s="27" t="s">
        <v>8</v>
      </c>
    </row>
    <row r="533" spans="1:135" x14ac:dyDescent="0.25">
      <c r="A533" s="7">
        <v>2.9134614441402875</v>
      </c>
      <c r="B533"/>
      <c r="C533"/>
      <c r="D533"/>
      <c r="E533"/>
      <c r="BW533" s="27" t="s">
        <v>8</v>
      </c>
      <c r="BX533" s="27" t="s">
        <v>7</v>
      </c>
      <c r="BY533" s="27" t="s">
        <v>8</v>
      </c>
      <c r="DL533" s="27" t="s">
        <v>7</v>
      </c>
      <c r="DM533" s="27" t="s">
        <v>8</v>
      </c>
      <c r="DN533" s="27" t="s">
        <v>7</v>
      </c>
      <c r="DO533" s="27" t="s">
        <v>8</v>
      </c>
      <c r="ED533" s="27" t="s">
        <v>7</v>
      </c>
    </row>
    <row r="534" spans="1:135" x14ac:dyDescent="0.25">
      <c r="A534" s="7">
        <v>2.8563347491571447</v>
      </c>
      <c r="B534"/>
      <c r="C534"/>
      <c r="D534"/>
      <c r="E534"/>
      <c r="BW534" s="27" t="s">
        <v>8</v>
      </c>
      <c r="BX534" s="27" t="s">
        <v>7</v>
      </c>
      <c r="BY534" s="27" t="s">
        <v>8</v>
      </c>
      <c r="DL534" s="27" t="s">
        <v>7</v>
      </c>
      <c r="DM534" s="27" t="s">
        <v>8</v>
      </c>
      <c r="DN534" s="27" t="s">
        <v>7</v>
      </c>
      <c r="DO534" s="27" t="s">
        <v>8</v>
      </c>
    </row>
    <row r="535" spans="1:135" x14ac:dyDescent="0.25">
      <c r="A535" s="7">
        <v>2.8003281854481812</v>
      </c>
      <c r="B535"/>
      <c r="C535"/>
      <c r="D535"/>
      <c r="E535"/>
      <c r="BW535" s="27" t="s">
        <v>8</v>
      </c>
      <c r="BX535" s="27" t="s">
        <v>7</v>
      </c>
      <c r="BY535" s="27" t="s">
        <v>8</v>
      </c>
      <c r="DL535" s="27" t="s">
        <v>7</v>
      </c>
      <c r="DM535" s="27" t="s">
        <v>8</v>
      </c>
      <c r="DN535" s="27" t="s">
        <v>7</v>
      </c>
      <c r="DO535" s="27" t="s">
        <v>8</v>
      </c>
    </row>
    <row r="536" spans="1:135" x14ac:dyDescent="0.25">
      <c r="A536" s="7">
        <v>2.7454197896550796</v>
      </c>
      <c r="B536"/>
      <c r="C536"/>
      <c r="D536"/>
      <c r="E536"/>
      <c r="BW536" s="27" t="s">
        <v>8</v>
      </c>
      <c r="BX536" s="27" t="s">
        <v>7</v>
      </c>
      <c r="BY536" s="27" t="s">
        <v>8</v>
      </c>
      <c r="DL536" s="27" t="s">
        <v>7</v>
      </c>
      <c r="DM536" s="27" t="s">
        <v>8</v>
      </c>
      <c r="DN536" s="27" t="s">
        <v>7</v>
      </c>
    </row>
    <row r="537" spans="1:135" x14ac:dyDescent="0.25">
      <c r="A537" s="7">
        <v>2.6915880290736074</v>
      </c>
      <c r="B537"/>
      <c r="C537"/>
      <c r="D537"/>
      <c r="E537"/>
      <c r="BW537" s="27" t="s">
        <v>8</v>
      </c>
      <c r="BX537" s="27" t="s">
        <v>7</v>
      </c>
      <c r="BY537" s="27" t="s">
        <v>8</v>
      </c>
      <c r="DL537" s="27" t="s">
        <v>7</v>
      </c>
      <c r="DM537" s="27" t="s">
        <v>8</v>
      </c>
    </row>
    <row r="538" spans="1:135" x14ac:dyDescent="0.25">
      <c r="A538" s="7">
        <v>2.6388117932094191</v>
      </c>
      <c r="B538"/>
      <c r="C538"/>
      <c r="D538"/>
      <c r="E538"/>
      <c r="BW538" s="27" t="s">
        <v>8</v>
      </c>
      <c r="BX538" s="27" t="s">
        <v>7</v>
      </c>
      <c r="BY538" s="27" t="s">
        <v>8</v>
      </c>
      <c r="DL538" s="27" t="s">
        <v>7</v>
      </c>
      <c r="DM538" s="27" t="s">
        <v>8</v>
      </c>
    </row>
    <row r="539" spans="1:135" x14ac:dyDescent="0.25">
      <c r="A539" s="7">
        <v>2.5870703854994304</v>
      </c>
      <c r="B539"/>
      <c r="C539"/>
      <c r="D539"/>
      <c r="E539"/>
      <c r="BW539" s="27" t="s">
        <v>8</v>
      </c>
      <c r="BX539" s="27" t="s">
        <v>7</v>
      </c>
      <c r="BY539" s="27" t="s">
        <v>8</v>
      </c>
      <c r="DL539" s="27" t="s">
        <v>7</v>
      </c>
      <c r="DM539" s="27" t="s">
        <v>8</v>
      </c>
    </row>
    <row r="540" spans="1:135" x14ac:dyDescent="0.25">
      <c r="A540" s="7">
        <v>2.53634351519552</v>
      </c>
      <c r="B540"/>
      <c r="C540"/>
      <c r="D540"/>
      <c r="E540"/>
      <c r="BW540" s="27" t="s">
        <v>8</v>
      </c>
      <c r="BX540" s="27" t="s">
        <v>7</v>
      </c>
      <c r="BY540" s="27" t="s">
        <v>8</v>
      </c>
      <c r="DL540" s="27" t="s">
        <v>7</v>
      </c>
      <c r="DM540" s="27" t="s">
        <v>8</v>
      </c>
    </row>
    <row r="541" spans="1:135" x14ac:dyDescent="0.25">
      <c r="A541" s="7">
        <v>2.4866112894073726</v>
      </c>
      <c r="B541"/>
      <c r="C541"/>
      <c r="D541"/>
      <c r="E541"/>
      <c r="BW541" s="27" t="s">
        <v>8</v>
      </c>
      <c r="BX541" s="27" t="s">
        <v>7</v>
      </c>
      <c r="BY541" s="27" t="s">
        <v>8</v>
      </c>
      <c r="DL541" s="27" t="s">
        <v>7</v>
      </c>
      <c r="DM541" s="27" t="s">
        <v>8</v>
      </c>
    </row>
    <row r="542" spans="1:135" x14ac:dyDescent="0.25">
      <c r="A542" s="7">
        <v>2.4378542053013459</v>
      </c>
      <c r="B542"/>
      <c r="C542"/>
      <c r="D542"/>
      <c r="E542"/>
      <c r="BW542" s="27" t="s">
        <v>8</v>
      </c>
      <c r="BX542" s="27" t="s">
        <v>7</v>
      </c>
      <c r="BY542" s="27" t="s">
        <v>8</v>
      </c>
      <c r="DL542" s="27" t="s">
        <v>7</v>
      </c>
      <c r="DM542" s="27" t="s">
        <v>8</v>
      </c>
    </row>
    <row r="543" spans="1:135" x14ac:dyDescent="0.25">
      <c r="A543" s="7">
        <v>2.3900531424522997</v>
      </c>
      <c r="B543"/>
      <c r="C543"/>
      <c r="D543"/>
      <c r="E543"/>
      <c r="BW543" s="27" t="s">
        <v>8</v>
      </c>
      <c r="BX543" s="27" t="s">
        <v>7</v>
      </c>
      <c r="DL543" s="27" t="s">
        <v>7</v>
      </c>
      <c r="DM543" s="27" t="s">
        <v>8</v>
      </c>
    </row>
    <row r="544" spans="1:135" x14ac:dyDescent="0.25">
      <c r="A544" s="7">
        <v>2.343189355345392</v>
      </c>
      <c r="B544"/>
      <c r="C544"/>
      <c r="D544"/>
      <c r="E544"/>
      <c r="BM544" s="27" t="s">
        <v>8</v>
      </c>
      <c r="BW544" s="27" t="s">
        <v>8</v>
      </c>
      <c r="DL544" s="27" t="s">
        <v>7</v>
      </c>
      <c r="DM544" s="27" t="s">
        <v>8</v>
      </c>
    </row>
    <row r="545" spans="1:117" x14ac:dyDescent="0.25">
      <c r="A545" s="7">
        <v>2.2972444660248938</v>
      </c>
      <c r="B545"/>
      <c r="C545"/>
      <c r="D545"/>
      <c r="E545"/>
      <c r="BM545" s="27" t="s">
        <v>8</v>
      </c>
      <c r="BN545" s="27" t="s">
        <v>7</v>
      </c>
      <c r="BW545" s="27" t="s">
        <v>8</v>
      </c>
      <c r="DL545" s="27" t="s">
        <v>7</v>
      </c>
      <c r="DM545" s="27" t="s">
        <v>8</v>
      </c>
    </row>
    <row r="546" spans="1:117" x14ac:dyDescent="0.25">
      <c r="A546" s="7">
        <v>2.252200456887151</v>
      </c>
      <c r="B546"/>
      <c r="C546"/>
      <c r="D546"/>
      <c r="E546"/>
      <c r="BM546" s="27" t="s">
        <v>8</v>
      </c>
      <c r="BN546" s="27" t="s">
        <v>7</v>
      </c>
      <c r="BW546" s="27" t="s">
        <v>8</v>
      </c>
      <c r="DL546" s="27" t="s">
        <v>7</v>
      </c>
      <c r="DM546" s="27" t="s">
        <v>8</v>
      </c>
    </row>
    <row r="547" spans="1:117" x14ac:dyDescent="0.25">
      <c r="A547" s="7">
        <v>2.208039663614854</v>
      </c>
      <c r="B547"/>
      <c r="C547"/>
      <c r="D547"/>
      <c r="E547"/>
      <c r="BM547" s="27" t="s">
        <v>8</v>
      </c>
      <c r="BN547" s="27" t="s">
        <v>7</v>
      </c>
      <c r="BO547" s="27" t="s">
        <v>8</v>
      </c>
      <c r="BW547" s="27" t="s">
        <v>8</v>
      </c>
      <c r="DL547" s="27" t="s">
        <v>7</v>
      </c>
      <c r="DM547" s="27" t="s">
        <v>8</v>
      </c>
    </row>
    <row r="548" spans="1:117" x14ac:dyDescent="0.25">
      <c r="A548" s="7">
        <v>2.1647447682498568</v>
      </c>
      <c r="B548"/>
      <c r="C548"/>
      <c r="D548"/>
      <c r="E548"/>
      <c r="BM548" s="27" t="s">
        <v>8</v>
      </c>
      <c r="BN548" s="27" t="s">
        <v>7</v>
      </c>
      <c r="BO548" s="27" t="s">
        <v>8</v>
      </c>
      <c r="BP548" s="27" t="s">
        <v>7</v>
      </c>
      <c r="BW548" s="27" t="s">
        <v>8</v>
      </c>
      <c r="DL548" s="27" t="s">
        <v>7</v>
      </c>
      <c r="DM548" s="27" t="s">
        <v>8</v>
      </c>
    </row>
    <row r="549" spans="1:117" x14ac:dyDescent="0.25">
      <c r="A549" s="7">
        <v>2.1222987924018204</v>
      </c>
      <c r="B549"/>
      <c r="C549"/>
      <c r="D549"/>
      <c r="E549"/>
      <c r="BM549" s="27" t="s">
        <v>8</v>
      </c>
      <c r="BN549" s="27" t="s">
        <v>7</v>
      </c>
      <c r="BO549" s="27" t="s">
        <v>8</v>
      </c>
      <c r="BP549" s="27" t="s">
        <v>7</v>
      </c>
      <c r="BW549" s="27" t="s">
        <v>8</v>
      </c>
      <c r="DL549" s="27" t="s">
        <v>7</v>
      </c>
      <c r="DM549" s="27" t="s">
        <v>8</v>
      </c>
    </row>
    <row r="550" spans="1:117" x14ac:dyDescent="0.25">
      <c r="A550" s="7">
        <v>2.0806850905900198</v>
      </c>
      <c r="B550"/>
      <c r="C550"/>
      <c r="D550"/>
      <c r="E550"/>
      <c r="BM550" s="27" t="s">
        <v>8</v>
      </c>
      <c r="BN550" s="27" t="s">
        <v>7</v>
      </c>
      <c r="BO550" s="27" t="s">
        <v>8</v>
      </c>
      <c r="BP550" s="27" t="s">
        <v>7</v>
      </c>
      <c r="BW550" s="27" t="s">
        <v>8</v>
      </c>
      <c r="DL550" s="27" t="s">
        <v>7</v>
      </c>
      <c r="DM550" s="27" t="s">
        <v>8</v>
      </c>
    </row>
    <row r="551" spans="1:117" x14ac:dyDescent="0.25">
      <c r="A551" s="7">
        <v>2.0398873437157055</v>
      </c>
      <c r="B551"/>
      <c r="C551"/>
      <c r="D551"/>
      <c r="E551"/>
      <c r="BM551" s="27" t="s">
        <v>8</v>
      </c>
      <c r="BN551" s="27" t="s">
        <v>7</v>
      </c>
      <c r="BO551" s="27" t="s">
        <v>8</v>
      </c>
      <c r="BP551" s="27" t="s">
        <v>7</v>
      </c>
      <c r="BW551" s="27" t="s">
        <v>8</v>
      </c>
      <c r="DL551" s="27" t="s">
        <v>7</v>
      </c>
      <c r="DM551" s="27" t="s">
        <v>8</v>
      </c>
    </row>
    <row r="552" spans="1:117" x14ac:dyDescent="0.25">
      <c r="A552" s="7">
        <v>1.9998895526624565</v>
      </c>
      <c r="B552"/>
      <c r="C552"/>
      <c r="D552"/>
      <c r="E552"/>
      <c r="BM552" s="27" t="s">
        <v>8</v>
      </c>
      <c r="BN552" s="27" t="s">
        <v>7</v>
      </c>
      <c r="BO552" s="27" t="s">
        <v>8</v>
      </c>
      <c r="BP552" s="27" t="s">
        <v>7</v>
      </c>
      <c r="BW552" s="27" t="s">
        <v>8</v>
      </c>
      <c r="DL552" s="27" t="s">
        <v>7</v>
      </c>
      <c r="DM552" s="27" t="s">
        <v>8</v>
      </c>
    </row>
    <row r="553" spans="1:117" x14ac:dyDescent="0.25">
      <c r="A553" s="7">
        <v>1.9606760320220162</v>
      </c>
      <c r="B553"/>
      <c r="C553"/>
      <c r="D553"/>
      <c r="E553"/>
      <c r="BM553" s="27" t="s">
        <v>8</v>
      </c>
      <c r="BN553" s="27" t="s">
        <v>7</v>
      </c>
      <c r="BO553" s="27" t="s">
        <v>8</v>
      </c>
      <c r="BP553" s="27" t="s">
        <v>7</v>
      </c>
      <c r="BQ553" s="27" t="s">
        <v>8</v>
      </c>
      <c r="BW553" s="27" t="s">
        <v>8</v>
      </c>
      <c r="DL553" s="27" t="s">
        <v>7</v>
      </c>
      <c r="DM553" s="27" t="s">
        <v>8</v>
      </c>
    </row>
    <row r="554" spans="1:117" x14ac:dyDescent="0.25">
      <c r="A554" s="7">
        <v>1.9222314039431532</v>
      </c>
      <c r="B554"/>
      <c r="C554"/>
      <c r="D554"/>
      <c r="E554"/>
      <c r="BM554" s="27" t="s">
        <v>8</v>
      </c>
      <c r="BN554" s="27" t="s">
        <v>7</v>
      </c>
      <c r="BO554" s="27" t="s">
        <v>8</v>
      </c>
      <c r="BP554" s="27" t="s">
        <v>7</v>
      </c>
      <c r="BQ554" s="27" t="s">
        <v>8</v>
      </c>
      <c r="BR554" s="27" t="s">
        <v>7</v>
      </c>
      <c r="BW554" s="27" t="s">
        <v>8</v>
      </c>
      <c r="DL554" s="27" t="s">
        <v>7</v>
      </c>
      <c r="DM554" s="27" t="s">
        <v>8</v>
      </c>
    </row>
    <row r="555" spans="1:117" x14ac:dyDescent="0.25">
      <c r="A555" s="7">
        <v>1.8845405921011305</v>
      </c>
      <c r="B555"/>
      <c r="C555"/>
      <c r="D555"/>
      <c r="E555"/>
      <c r="BM555" s="27" t="s">
        <v>8</v>
      </c>
      <c r="BN555" s="27" t="s">
        <v>7</v>
      </c>
      <c r="BO555" s="27" t="s">
        <v>8</v>
      </c>
      <c r="BP555" s="27" t="s">
        <v>7</v>
      </c>
      <c r="BQ555" s="27" t="s">
        <v>8</v>
      </c>
      <c r="BR555" s="27" t="s">
        <v>7</v>
      </c>
      <c r="BW555" s="27" t="s">
        <v>8</v>
      </c>
      <c r="DL555" s="27" t="s">
        <v>7</v>
      </c>
      <c r="DM555" s="27" t="s">
        <v>8</v>
      </c>
    </row>
    <row r="556" spans="1:117" x14ac:dyDescent="0.25">
      <c r="A556" s="7">
        <v>1.8475888157854219</v>
      </c>
      <c r="B556"/>
      <c r="C556"/>
      <c r="D556"/>
      <c r="E556"/>
      <c r="BM556" s="27" t="s">
        <v>8</v>
      </c>
      <c r="BN556" s="27" t="s">
        <v>7</v>
      </c>
      <c r="BO556" s="27" t="s">
        <v>8</v>
      </c>
      <c r="BP556" s="27" t="s">
        <v>7</v>
      </c>
      <c r="BQ556" s="27" t="s">
        <v>8</v>
      </c>
      <c r="BR556" s="27" t="s">
        <v>7</v>
      </c>
      <c r="BW556" s="27" t="s">
        <v>8</v>
      </c>
      <c r="DL556" s="27" t="s">
        <v>7</v>
      </c>
      <c r="DM556" s="27" t="s">
        <v>8</v>
      </c>
    </row>
    <row r="557" spans="1:117" x14ac:dyDescent="0.25">
      <c r="A557" s="7">
        <v>1.8113615841033548</v>
      </c>
      <c r="B557"/>
      <c r="C557"/>
      <c r="D557"/>
      <c r="E557"/>
      <c r="BM557" s="27" t="s">
        <v>8</v>
      </c>
      <c r="BN557" s="27" t="s">
        <v>7</v>
      </c>
      <c r="BP557" s="27" t="s">
        <v>7</v>
      </c>
      <c r="BQ557" s="27" t="s">
        <v>8</v>
      </c>
      <c r="BR557" s="27" t="s">
        <v>7</v>
      </c>
      <c r="BW557" s="27" t="s">
        <v>8</v>
      </c>
      <c r="DL557" s="27" t="s">
        <v>7</v>
      </c>
    </row>
    <row r="558" spans="1:117" x14ac:dyDescent="0.25">
      <c r="A558" s="7">
        <v>1.7758446902974065</v>
      </c>
      <c r="B558"/>
      <c r="C558"/>
      <c r="D558"/>
      <c r="E558"/>
      <c r="BM558" s="27" t="s">
        <v>8</v>
      </c>
      <c r="BP558" s="27" t="s">
        <v>7</v>
      </c>
      <c r="BQ558" s="27" t="s">
        <v>8</v>
      </c>
      <c r="BR558" s="27" t="s">
        <v>7</v>
      </c>
      <c r="BW558" s="27" t="s">
        <v>8</v>
      </c>
    </row>
    <row r="559" spans="1:117" x14ac:dyDescent="0.25">
      <c r="A559" s="7">
        <v>1.7410242061739281</v>
      </c>
      <c r="B559"/>
      <c r="C559"/>
      <c r="D559"/>
      <c r="E559"/>
      <c r="BM559" s="27" t="s">
        <v>8</v>
      </c>
      <c r="BP559" s="27" t="s">
        <v>7</v>
      </c>
      <c r="BQ559" s="27" t="s">
        <v>8</v>
      </c>
      <c r="BR559" s="27" t="s">
        <v>7</v>
      </c>
      <c r="BU559" s="27" t="s">
        <v>8</v>
      </c>
      <c r="BW559" s="27" t="s">
        <v>8</v>
      </c>
    </row>
    <row r="560" spans="1:117" x14ac:dyDescent="0.25">
      <c r="A560" s="7">
        <v>1.7068864766411058</v>
      </c>
      <c r="B560"/>
      <c r="C560"/>
      <c r="D560"/>
      <c r="E560"/>
      <c r="BM560" s="27" t="s">
        <v>8</v>
      </c>
      <c r="BP560" s="27" t="s">
        <v>7</v>
      </c>
      <c r="BQ560" s="27" t="s">
        <v>8</v>
      </c>
      <c r="BR560" s="27" t="s">
        <v>7</v>
      </c>
      <c r="BU560" s="27" t="s">
        <v>8</v>
      </c>
      <c r="BV560" s="27" t="s">
        <v>7</v>
      </c>
      <c r="BW560" s="27" t="s">
        <v>8</v>
      </c>
    </row>
    <row r="561" spans="1:75" x14ac:dyDescent="0.25">
      <c r="A561" s="7">
        <v>1.6734181143540252</v>
      </c>
      <c r="B561"/>
      <c r="C561"/>
      <c r="D561"/>
      <c r="E561"/>
      <c r="BM561" s="27" t="s">
        <v>8</v>
      </c>
      <c r="BP561" s="27" t="s">
        <v>7</v>
      </c>
      <c r="BR561" s="27" t="s">
        <v>7</v>
      </c>
      <c r="BU561" s="27" t="s">
        <v>8</v>
      </c>
      <c r="BV561" s="27" t="s">
        <v>7</v>
      </c>
      <c r="BW561" s="27" t="s">
        <v>8</v>
      </c>
    </row>
    <row r="562" spans="1:75" x14ac:dyDescent="0.25">
      <c r="A562" s="7">
        <v>1.6406059944647307</v>
      </c>
      <c r="B562"/>
      <c r="C562"/>
      <c r="D562"/>
      <c r="E562"/>
      <c r="BM562" s="27" t="s">
        <v>8</v>
      </c>
      <c r="BR562" s="27" t="s">
        <v>7</v>
      </c>
      <c r="BS562" s="27" t="s">
        <v>8</v>
      </c>
      <c r="BU562" s="27" t="s">
        <v>8</v>
      </c>
      <c r="BV562" s="27" t="s">
        <v>7</v>
      </c>
      <c r="BW562" s="27" t="s">
        <v>8</v>
      </c>
    </row>
    <row r="563" spans="1:75" x14ac:dyDescent="0.25">
      <c r="A563" s="7">
        <v>1.6084372494752261</v>
      </c>
      <c r="B563"/>
      <c r="C563"/>
      <c r="D563"/>
      <c r="E563"/>
      <c r="BM563" s="27" t="s">
        <v>8</v>
      </c>
      <c r="BR563" s="27" t="s">
        <v>7</v>
      </c>
      <c r="BS563" s="27" t="s">
        <v>8</v>
      </c>
      <c r="BT563" s="27" t="s">
        <v>7</v>
      </c>
      <c r="BU563" s="27" t="s">
        <v>8</v>
      </c>
      <c r="BV563" s="27" t="s">
        <v>7</v>
      </c>
      <c r="BW563" s="27" t="s">
        <v>8</v>
      </c>
    </row>
    <row r="564" spans="1:75" x14ac:dyDescent="0.25">
      <c r="A564" s="7">
        <v>1.5768992641913981</v>
      </c>
      <c r="B564"/>
      <c r="C564"/>
      <c r="D564"/>
      <c r="E564"/>
      <c r="BM564" s="27" t="s">
        <v>8</v>
      </c>
      <c r="BR564" s="27" t="s">
        <v>7</v>
      </c>
      <c r="BS564" s="27" t="s">
        <v>8</v>
      </c>
      <c r="BT564" s="27" t="s">
        <v>7</v>
      </c>
      <c r="BU564" s="27" t="s">
        <v>8</v>
      </c>
      <c r="BV564" s="27" t="s">
        <v>7</v>
      </c>
      <c r="BW564" s="27" t="s">
        <v>8</v>
      </c>
    </row>
    <row r="565" spans="1:75" x14ac:dyDescent="0.25">
      <c r="A565" s="7">
        <v>1.5459796707758806</v>
      </c>
      <c r="B565"/>
      <c r="C565"/>
      <c r="D565"/>
      <c r="E565"/>
      <c r="BM565" s="27" t="s">
        <v>8</v>
      </c>
      <c r="BR565" s="27" t="s">
        <v>7</v>
      </c>
      <c r="BS565" s="27" t="s">
        <v>8</v>
      </c>
      <c r="BT565" s="27" t="s">
        <v>7</v>
      </c>
      <c r="BU565" s="27" t="s">
        <v>8</v>
      </c>
      <c r="BV565" s="27" t="s">
        <v>7</v>
      </c>
      <c r="BW565" s="27" t="s">
        <v>8</v>
      </c>
    </row>
    <row r="566" spans="1:75" x14ac:dyDescent="0.25">
      <c r="A566" s="7">
        <v>1.5156663438979221</v>
      </c>
      <c r="B566"/>
      <c r="C566"/>
      <c r="D566"/>
      <c r="E566"/>
      <c r="BM566" s="27" t="s">
        <v>8</v>
      </c>
      <c r="BR566" s="27" t="s">
        <v>7</v>
      </c>
      <c r="BS566" s="27" t="s">
        <v>8</v>
      </c>
      <c r="BT566" s="27" t="s">
        <v>7</v>
      </c>
      <c r="BU566" s="27" t="s">
        <v>8</v>
      </c>
      <c r="BV566" s="27" t="s">
        <v>7</v>
      </c>
      <c r="BW566" s="27" t="s">
        <v>8</v>
      </c>
    </row>
    <row r="567" spans="1:75" x14ac:dyDescent="0.25">
      <c r="A567" s="7">
        <v>1.4859473959783549</v>
      </c>
      <c r="B567"/>
      <c r="C567"/>
      <c r="D567"/>
      <c r="E567"/>
      <c r="BM567" s="27" t="s">
        <v>8</v>
      </c>
      <c r="BR567" s="27" t="s">
        <v>7</v>
      </c>
      <c r="BS567" s="27" t="s">
        <v>8</v>
      </c>
      <c r="BT567" s="27" t="s">
        <v>7</v>
      </c>
      <c r="BU567" s="27" t="s">
        <v>8</v>
      </c>
      <c r="BV567" s="27" t="s">
        <v>7</v>
      </c>
      <c r="BW567" s="27" t="s">
        <v>8</v>
      </c>
    </row>
    <row r="568" spans="1:75" x14ac:dyDescent="0.25">
      <c r="A568" s="7">
        <v>1.4568111725277988</v>
      </c>
      <c r="B568"/>
      <c r="C568"/>
      <c r="D568"/>
      <c r="E568"/>
      <c r="BK568" s="27" t="s">
        <v>8</v>
      </c>
      <c r="BM568" s="27" t="s">
        <v>8</v>
      </c>
      <c r="BR568" s="27" t="s">
        <v>7</v>
      </c>
      <c r="BS568" s="27" t="s">
        <v>8</v>
      </c>
      <c r="BT568" s="27" t="s">
        <v>7</v>
      </c>
      <c r="BU568" s="27" t="s">
        <v>8</v>
      </c>
      <c r="BV568" s="27" t="s">
        <v>7</v>
      </c>
      <c r="BW568" s="27" t="s">
        <v>8</v>
      </c>
    </row>
    <row r="569" spans="1:75" x14ac:dyDescent="0.25">
      <c r="A569" s="7">
        <v>1.4282462475762734</v>
      </c>
      <c r="B569"/>
      <c r="C569"/>
      <c r="D569"/>
      <c r="E569"/>
      <c r="BK569" s="27" t="s">
        <v>8</v>
      </c>
      <c r="BL569" s="27" t="s">
        <v>7</v>
      </c>
      <c r="BM569" s="27" t="s">
        <v>8</v>
      </c>
      <c r="BR569" s="27" t="s">
        <v>7</v>
      </c>
      <c r="BS569" s="27" t="s">
        <v>8</v>
      </c>
      <c r="BT569" s="27" t="s">
        <v>7</v>
      </c>
      <c r="BU569" s="27" t="s">
        <v>8</v>
      </c>
      <c r="BV569" s="27" t="s">
        <v>7</v>
      </c>
      <c r="BW569" s="27" t="s">
        <v>8</v>
      </c>
    </row>
    <row r="570" spans="1:75" x14ac:dyDescent="0.25">
      <c r="A570" s="7">
        <v>1.4002414191924248</v>
      </c>
      <c r="B570"/>
      <c r="C570"/>
      <c r="D570"/>
      <c r="E570"/>
      <c r="BK570" s="27" t="s">
        <v>8</v>
      </c>
      <c r="BL570" s="27" t="s">
        <v>7</v>
      </c>
      <c r="BM570" s="27" t="s">
        <v>8</v>
      </c>
      <c r="BR570" s="27" t="s">
        <v>7</v>
      </c>
      <c r="BS570" s="27" t="s">
        <v>8</v>
      </c>
      <c r="BT570" s="27" t="s">
        <v>7</v>
      </c>
      <c r="BU570" s="27" t="s">
        <v>8</v>
      </c>
      <c r="BV570" s="27" t="s">
        <v>7</v>
      </c>
      <c r="BW570" s="27" t="s">
        <v>8</v>
      </c>
    </row>
    <row r="571" spans="1:75" x14ac:dyDescent="0.25">
      <c r="A571" s="7">
        <v>1.3727857050906125</v>
      </c>
      <c r="B571"/>
      <c r="C571"/>
      <c r="D571"/>
      <c r="E571"/>
      <c r="BK571" s="27" t="s">
        <v>8</v>
      </c>
      <c r="BL571" s="27" t="s">
        <v>7</v>
      </c>
      <c r="BM571" s="27" t="s">
        <v>8</v>
      </c>
      <c r="BR571" s="27" t="s">
        <v>7</v>
      </c>
      <c r="BS571" s="27" t="s">
        <v>8</v>
      </c>
      <c r="BT571" s="27" t="s">
        <v>7</v>
      </c>
      <c r="BU571" s="27" t="s">
        <v>8</v>
      </c>
      <c r="BV571" s="27" t="s">
        <v>7</v>
      </c>
      <c r="BW571" s="27" t="s">
        <v>8</v>
      </c>
    </row>
    <row r="572" spans="1:75" x14ac:dyDescent="0.25">
      <c r="A572" s="7">
        <v>1.3458683383241299</v>
      </c>
      <c r="B572"/>
      <c r="C572"/>
      <c r="D572"/>
      <c r="E572"/>
      <c r="BK572" s="27" t="s">
        <v>8</v>
      </c>
      <c r="BL572" s="27" t="s">
        <v>7</v>
      </c>
      <c r="BM572" s="27" t="s">
        <v>8</v>
      </c>
      <c r="BR572" s="27" t="s">
        <v>7</v>
      </c>
      <c r="BS572" s="27" t="s">
        <v>8</v>
      </c>
      <c r="BT572" s="27" t="s">
        <v>7</v>
      </c>
      <c r="BU572" s="27" t="s">
        <v>8</v>
      </c>
      <c r="BV572" s="27" t="s">
        <v>7</v>
      </c>
      <c r="BW572" s="27" t="s">
        <v>8</v>
      </c>
    </row>
    <row r="573" spans="1:75" x14ac:dyDescent="0.25">
      <c r="A573" s="7">
        <v>1.3194787630628724</v>
      </c>
      <c r="B573"/>
      <c r="C573"/>
      <c r="D573"/>
      <c r="E573"/>
      <c r="BK573" s="27" t="s">
        <v>8</v>
      </c>
      <c r="BL573" s="27" t="s">
        <v>7</v>
      </c>
      <c r="BM573" s="27" t="s">
        <v>8</v>
      </c>
      <c r="BR573" s="27" t="s">
        <v>7</v>
      </c>
      <c r="BS573" s="27" t="s">
        <v>8</v>
      </c>
      <c r="BT573" s="27" t="s">
        <v>7</v>
      </c>
      <c r="BU573" s="27" t="s">
        <v>8</v>
      </c>
      <c r="BV573" s="27" t="s">
        <v>7</v>
      </c>
    </row>
    <row r="574" spans="1:75" x14ac:dyDescent="0.25">
      <c r="A574" s="7">
        <v>1.2936066304537963</v>
      </c>
      <c r="B574"/>
      <c r="C574"/>
      <c r="D574"/>
      <c r="E574"/>
      <c r="BK574" s="27" t="s">
        <v>8</v>
      </c>
      <c r="BL574" s="27" t="s">
        <v>7</v>
      </c>
      <c r="BM574" s="27" t="s">
        <v>8</v>
      </c>
      <c r="BR574" s="27" t="s">
        <v>7</v>
      </c>
      <c r="BS574" s="27" t="s">
        <v>8</v>
      </c>
      <c r="BT574" s="27" t="s">
        <v>7</v>
      </c>
    </row>
    <row r="575" spans="1:75" x14ac:dyDescent="0.25">
      <c r="A575" s="7">
        <v>1.2682417945625455</v>
      </c>
      <c r="B575"/>
      <c r="C575"/>
      <c r="D575"/>
      <c r="E575"/>
      <c r="BK575" s="27" t="s">
        <v>8</v>
      </c>
      <c r="BL575" s="27" t="s">
        <v>7</v>
      </c>
      <c r="BM575" s="27" t="s">
        <v>8</v>
      </c>
      <c r="BR575" s="27" t="s">
        <v>7</v>
      </c>
      <c r="BS575" s="27" t="s">
        <v>8</v>
      </c>
    </row>
    <row r="576" spans="1:75" x14ac:dyDescent="0.25">
      <c r="A576" s="7">
        <v>1.2433743083946525</v>
      </c>
      <c r="B576"/>
      <c r="C576"/>
      <c r="D576"/>
      <c r="E576"/>
      <c r="BK576" s="27" t="s">
        <v>8</v>
      </c>
      <c r="BL576" s="27" t="s">
        <v>7</v>
      </c>
      <c r="BM576" s="27" t="s">
        <v>8</v>
      </c>
      <c r="BR576" s="27" t="s">
        <v>7</v>
      </c>
      <c r="BS576" s="27" t="s">
        <v>8</v>
      </c>
    </row>
    <row r="577" spans="1:71" x14ac:dyDescent="0.25">
      <c r="A577" s="7">
        <v>1.2189944199947573</v>
      </c>
      <c r="B577"/>
      <c r="C577"/>
      <c r="D577"/>
      <c r="E577"/>
      <c r="BK577" s="27" t="s">
        <v>8</v>
      </c>
      <c r="BL577" s="27" t="s">
        <v>7</v>
      </c>
      <c r="BR577" s="27" t="s">
        <v>7</v>
      </c>
      <c r="BS577" s="27" t="s">
        <v>8</v>
      </c>
    </row>
    <row r="578" spans="1:71" x14ac:dyDescent="0.25">
      <c r="A578" s="7">
        <v>1.1950925686223111</v>
      </c>
      <c r="B578"/>
      <c r="C578"/>
      <c r="D578"/>
      <c r="E578"/>
      <c r="BK578" s="27" t="s">
        <v>8</v>
      </c>
      <c r="BR578" s="27" t="s">
        <v>7</v>
      </c>
      <c r="BS578" s="27" t="s">
        <v>8</v>
      </c>
    </row>
    <row r="579" spans="1:71" x14ac:dyDescent="0.25">
      <c r="A579" s="7">
        <v>1.1716593810022657</v>
      </c>
      <c r="B579"/>
      <c r="C579"/>
      <c r="D579"/>
      <c r="E579"/>
      <c r="BA579" s="27" t="s">
        <v>8</v>
      </c>
      <c r="BK579" s="27" t="s">
        <v>8</v>
      </c>
      <c r="BR579" s="27" t="s">
        <v>7</v>
      </c>
      <c r="BS579" s="27" t="s">
        <v>8</v>
      </c>
    </row>
    <row r="580" spans="1:71" x14ac:dyDescent="0.25">
      <c r="A580" s="7">
        <v>1.14868566764928</v>
      </c>
      <c r="B580"/>
      <c r="C580"/>
      <c r="D580"/>
      <c r="E580"/>
      <c r="BA580" s="27" t="s">
        <v>8</v>
      </c>
      <c r="BB580" s="27" t="s">
        <v>7</v>
      </c>
      <c r="BI580" s="27" t="s">
        <v>8</v>
      </c>
      <c r="BK580" s="27" t="s">
        <v>8</v>
      </c>
      <c r="BR580" s="27" t="s">
        <v>7</v>
      </c>
      <c r="BS580" s="27" t="s">
        <v>8</v>
      </c>
    </row>
    <row r="581" spans="1:71" x14ac:dyDescent="0.25">
      <c r="A581" s="7">
        <v>1.1261624192640001</v>
      </c>
      <c r="B581"/>
      <c r="C581"/>
      <c r="D581"/>
      <c r="E581"/>
      <c r="BA581" s="27" t="s">
        <v>8</v>
      </c>
      <c r="BB581" s="27" t="s">
        <v>7</v>
      </c>
      <c r="BI581" s="27" t="s">
        <v>8</v>
      </c>
      <c r="BJ581" s="27" t="s">
        <v>7</v>
      </c>
      <c r="BK581" s="27" t="s">
        <v>8</v>
      </c>
      <c r="BR581" s="27" t="s">
        <v>7</v>
      </c>
      <c r="BS581" s="27" t="s">
        <v>8</v>
      </c>
    </row>
    <row r="582" spans="1:71" x14ac:dyDescent="0.25">
      <c r="A582" s="7">
        <v>1.1040808032</v>
      </c>
      <c r="B582"/>
      <c r="C582"/>
      <c r="D582"/>
      <c r="E582"/>
      <c r="BA582" s="27" t="s">
        <v>8</v>
      </c>
      <c r="BB582" s="27" t="s">
        <v>7</v>
      </c>
      <c r="BI582" s="27" t="s">
        <v>8</v>
      </c>
      <c r="BJ582" s="27" t="s">
        <v>7</v>
      </c>
      <c r="BK582" s="27" t="s">
        <v>8</v>
      </c>
      <c r="BR582" s="27" t="s">
        <v>7</v>
      </c>
    </row>
    <row r="583" spans="1:71" x14ac:dyDescent="0.25">
      <c r="A583" s="7">
        <v>1.08243216</v>
      </c>
      <c r="B583"/>
      <c r="C583"/>
      <c r="D583"/>
      <c r="E583"/>
      <c r="BA583" s="27" t="s">
        <v>8</v>
      </c>
      <c r="BB583" s="27" t="s">
        <v>7</v>
      </c>
      <c r="BI583" s="27" t="s">
        <v>8</v>
      </c>
      <c r="BJ583" s="27" t="s">
        <v>7</v>
      </c>
      <c r="BK583" s="27" t="s">
        <v>8</v>
      </c>
    </row>
    <row r="584" spans="1:71" x14ac:dyDescent="0.25">
      <c r="A584" s="7">
        <v>1.0612079999999999</v>
      </c>
      <c r="B584"/>
      <c r="C584"/>
      <c r="D584"/>
      <c r="E584"/>
      <c r="BA584" s="27" t="s">
        <v>8</v>
      </c>
      <c r="BB584" s="27" t="s">
        <v>7</v>
      </c>
      <c r="BI584" s="27" t="s">
        <v>8</v>
      </c>
      <c r="BJ584" s="27" t="s">
        <v>7</v>
      </c>
      <c r="BK584" s="27" t="s">
        <v>8</v>
      </c>
    </row>
    <row r="585" spans="1:71" x14ac:dyDescent="0.25">
      <c r="A585" s="7">
        <v>1.0404</v>
      </c>
      <c r="B585"/>
      <c r="C585"/>
      <c r="D585"/>
      <c r="E585"/>
      <c r="BA585" s="27" t="s">
        <v>8</v>
      </c>
      <c r="BB585" s="27" t="s">
        <v>7</v>
      </c>
      <c r="BE585" s="27" t="s">
        <v>8</v>
      </c>
      <c r="BG585" s="27" t="s">
        <v>8</v>
      </c>
      <c r="BI585" s="27" t="s">
        <v>8</v>
      </c>
      <c r="BJ585" s="27" t="s">
        <v>7</v>
      </c>
      <c r="BK585" s="27" t="s">
        <v>8</v>
      </c>
    </row>
    <row r="586" spans="1:71" x14ac:dyDescent="0.25">
      <c r="A586" s="7">
        <v>1.02</v>
      </c>
      <c r="B586"/>
      <c r="C586"/>
      <c r="D586"/>
      <c r="E586"/>
      <c r="BA586" s="27" t="s">
        <v>8</v>
      </c>
      <c r="BB586" s="27" t="s">
        <v>7</v>
      </c>
      <c r="BE586" s="27" t="s">
        <v>8</v>
      </c>
      <c r="BF586" s="27" t="s">
        <v>7</v>
      </c>
      <c r="BG586" s="27" t="s">
        <v>8</v>
      </c>
      <c r="BH586" s="27" t="s">
        <v>7</v>
      </c>
      <c r="BI586" s="27" t="s">
        <v>8</v>
      </c>
      <c r="BJ586" s="27" t="s">
        <v>7</v>
      </c>
      <c r="BK586" s="27" t="s">
        <v>8</v>
      </c>
    </row>
    <row r="587" spans="1:71" x14ac:dyDescent="0.25">
      <c r="A587" s="7">
        <v>1</v>
      </c>
      <c r="B587"/>
      <c r="C587"/>
      <c r="D587"/>
      <c r="E587" s="29" t="s">
        <v>8</v>
      </c>
      <c r="BA587" s="27" t="s">
        <v>8</v>
      </c>
      <c r="BB587" s="27" t="s">
        <v>7</v>
      </c>
      <c r="BE587" s="27" t="s">
        <v>8</v>
      </c>
      <c r="BF587" s="27" t="s">
        <v>7</v>
      </c>
      <c r="BG587" s="27" t="s">
        <v>8</v>
      </c>
      <c r="BH587" s="27" t="s">
        <v>7</v>
      </c>
      <c r="BI587" s="27" t="s">
        <v>8</v>
      </c>
      <c r="BJ587" s="27" t="s">
        <v>7</v>
      </c>
      <c r="BK587" s="27" t="s">
        <v>8</v>
      </c>
    </row>
    <row r="588" spans="1:71" x14ac:dyDescent="0.25">
      <c r="A588" s="7">
        <v>0.98039215686274506</v>
      </c>
      <c r="B588"/>
      <c r="C588"/>
      <c r="D588"/>
      <c r="E588"/>
      <c r="F588" s="27" t="s">
        <v>7</v>
      </c>
      <c r="BA588" s="27" t="s">
        <v>8</v>
      </c>
      <c r="BB588" s="27" t="s">
        <v>7</v>
      </c>
      <c r="BE588" s="27" t="s">
        <v>8</v>
      </c>
      <c r="BF588" s="27" t="s">
        <v>7</v>
      </c>
      <c r="BG588" s="27" t="s">
        <v>8</v>
      </c>
      <c r="BH588" s="27" t="s">
        <v>7</v>
      </c>
      <c r="BI588" s="27" t="s">
        <v>8</v>
      </c>
      <c r="BJ588" s="27" t="s">
        <v>7</v>
      </c>
      <c r="BK588" s="27" t="s">
        <v>8</v>
      </c>
    </row>
    <row r="589" spans="1:71" x14ac:dyDescent="0.25">
      <c r="A589" s="7">
        <v>0.96116878123798544</v>
      </c>
      <c r="B589"/>
      <c r="C589"/>
      <c r="D589"/>
      <c r="E589"/>
      <c r="F589" s="27" t="s">
        <v>7</v>
      </c>
      <c r="BA589" s="27" t="s">
        <v>8</v>
      </c>
      <c r="BB589" s="27" t="s">
        <v>7</v>
      </c>
      <c r="BE589" s="27" t="s">
        <v>8</v>
      </c>
      <c r="BF589" s="27" t="s">
        <v>7</v>
      </c>
      <c r="BG589" s="27" t="s">
        <v>8</v>
      </c>
      <c r="BH589" s="27" t="s">
        <v>7</v>
      </c>
      <c r="BI589" s="27" t="s">
        <v>8</v>
      </c>
      <c r="BJ589" s="27" t="s">
        <v>7</v>
      </c>
      <c r="BK589" s="27" t="s">
        <v>8</v>
      </c>
    </row>
    <row r="590" spans="1:71" x14ac:dyDescent="0.25">
      <c r="A590" s="7">
        <v>0.94232233454704462</v>
      </c>
      <c r="B590"/>
      <c r="C590"/>
      <c r="D590"/>
      <c r="E590"/>
      <c r="F590" s="27" t="s">
        <v>7</v>
      </c>
      <c r="BA590" s="27" t="s">
        <v>8</v>
      </c>
      <c r="BB590" s="27" t="s">
        <v>7</v>
      </c>
      <c r="BE590" s="27" t="s">
        <v>8</v>
      </c>
      <c r="BF590" s="27" t="s">
        <v>7</v>
      </c>
      <c r="BG590" s="27" t="s">
        <v>8</v>
      </c>
      <c r="BH590" s="27" t="s">
        <v>7</v>
      </c>
      <c r="BI590" s="27" t="s">
        <v>8</v>
      </c>
      <c r="BJ590" s="27" t="s">
        <v>7</v>
      </c>
      <c r="BK590" s="27" t="s">
        <v>8</v>
      </c>
    </row>
    <row r="591" spans="1:71" x14ac:dyDescent="0.25">
      <c r="A591" s="7">
        <v>0.92384542602651432</v>
      </c>
      <c r="B591"/>
      <c r="C591"/>
      <c r="D591"/>
      <c r="E591"/>
      <c r="F591" s="27" t="s">
        <v>7</v>
      </c>
      <c r="BA591" s="27" t="s">
        <v>8</v>
      </c>
      <c r="BB591" s="27" t="s">
        <v>7</v>
      </c>
      <c r="BE591" s="27" t="s">
        <v>8</v>
      </c>
      <c r="BF591" s="27" t="s">
        <v>7</v>
      </c>
      <c r="BH591" s="27" t="s">
        <v>7</v>
      </c>
      <c r="BI591" s="27" t="s">
        <v>8</v>
      </c>
      <c r="BJ591" s="27" t="s">
        <v>7</v>
      </c>
      <c r="BK591" s="27" t="s">
        <v>8</v>
      </c>
    </row>
    <row r="592" spans="1:71" x14ac:dyDescent="0.25">
      <c r="A592" s="7">
        <v>0.90573080982991594</v>
      </c>
      <c r="B592"/>
      <c r="C592"/>
      <c r="D592"/>
      <c r="E592"/>
      <c r="F592" s="27" t="s">
        <v>7</v>
      </c>
      <c r="BA592" s="27" t="s">
        <v>8</v>
      </c>
      <c r="BB592" s="27" t="s">
        <v>7</v>
      </c>
      <c r="BE592" s="27" t="s">
        <v>8</v>
      </c>
      <c r="BH592" s="27" t="s">
        <v>7</v>
      </c>
      <c r="BI592" s="27" t="s">
        <v>8</v>
      </c>
      <c r="BJ592" s="27" t="s">
        <v>7</v>
      </c>
    </row>
    <row r="593" spans="1:60" x14ac:dyDescent="0.25">
      <c r="A593" s="7">
        <v>0.8879713821861922</v>
      </c>
      <c r="B593"/>
      <c r="C593"/>
      <c r="D593"/>
      <c r="E593"/>
      <c r="F593" s="27" t="s">
        <v>7</v>
      </c>
      <c r="BA593" s="27" t="s">
        <v>8</v>
      </c>
      <c r="BB593" s="27" t="s">
        <v>7</v>
      </c>
      <c r="BE593" s="27" t="s">
        <v>8</v>
      </c>
      <c r="BH593" s="27" t="s">
        <v>7</v>
      </c>
    </row>
    <row r="594" spans="1:60" x14ac:dyDescent="0.25">
      <c r="A594" s="7">
        <v>0.87056017861391399</v>
      </c>
      <c r="B594"/>
      <c r="C594"/>
      <c r="D594"/>
      <c r="E594"/>
      <c r="F594" s="27" t="s">
        <v>7</v>
      </c>
      <c r="BA594" s="27" t="s">
        <v>8</v>
      </c>
      <c r="BB594" s="27" t="s">
        <v>7</v>
      </c>
      <c r="BC594" s="27" t="s">
        <v>8</v>
      </c>
      <c r="BE594" s="27" t="s">
        <v>8</v>
      </c>
    </row>
    <row r="595" spans="1:60" x14ac:dyDescent="0.25">
      <c r="A595" s="7">
        <v>0.85349037119011173</v>
      </c>
      <c r="B595"/>
      <c r="C595"/>
      <c r="D595"/>
      <c r="E595"/>
      <c r="F595" s="27" t="s">
        <v>7</v>
      </c>
      <c r="AC595" s="27" t="s">
        <v>8</v>
      </c>
      <c r="BA595" s="27" t="s">
        <v>8</v>
      </c>
      <c r="BB595" s="27" t="s">
        <v>7</v>
      </c>
      <c r="BC595" s="27" t="s">
        <v>8</v>
      </c>
      <c r="BD595" s="27" t="s">
        <v>7</v>
      </c>
      <c r="BE595" s="27" t="s">
        <v>8</v>
      </c>
    </row>
    <row r="596" spans="1:60" x14ac:dyDescent="0.25">
      <c r="A596" s="7">
        <v>0.83675526587265858</v>
      </c>
      <c r="B596"/>
      <c r="C596"/>
      <c r="D596"/>
      <c r="E596"/>
      <c r="F596" s="27" t="s">
        <v>7</v>
      </c>
      <c r="AC596" s="27" t="s">
        <v>8</v>
      </c>
      <c r="AD596" s="27" t="s">
        <v>7</v>
      </c>
      <c r="BA596" s="27" t="s">
        <v>8</v>
      </c>
      <c r="BB596" s="27" t="s">
        <v>7</v>
      </c>
      <c r="BC596" s="27" t="s">
        <v>8</v>
      </c>
      <c r="BD596" s="27" t="s">
        <v>7</v>
      </c>
      <c r="BE596" s="27" t="s">
        <v>8</v>
      </c>
    </row>
    <row r="597" spans="1:60" x14ac:dyDescent="0.25">
      <c r="A597" s="7">
        <v>0.82034829987515545</v>
      </c>
      <c r="B597"/>
      <c r="C597"/>
      <c r="D597"/>
      <c r="E597"/>
      <c r="F597" s="27" t="s">
        <v>7</v>
      </c>
      <c r="AC597" s="27" t="s">
        <v>8</v>
      </c>
      <c r="AD597" s="27" t="s">
        <v>7</v>
      </c>
      <c r="BA597" s="27" t="s">
        <v>8</v>
      </c>
      <c r="BB597" s="27" t="s">
        <v>7</v>
      </c>
      <c r="BC597" s="27" t="s">
        <v>8</v>
      </c>
      <c r="BD597" s="27" t="s">
        <v>7</v>
      </c>
      <c r="BE597" s="27" t="s">
        <v>8</v>
      </c>
    </row>
    <row r="598" spans="1:60" x14ac:dyDescent="0.25">
      <c r="A598" s="7">
        <v>0.80426303909328967</v>
      </c>
      <c r="B598"/>
      <c r="C598"/>
      <c r="D598"/>
      <c r="E598"/>
      <c r="F598" s="27" t="s">
        <v>7</v>
      </c>
      <c r="AC598" s="27" t="s">
        <v>8</v>
      </c>
      <c r="AD598" s="27" t="s">
        <v>7</v>
      </c>
      <c r="BA598" s="27" t="s">
        <v>8</v>
      </c>
      <c r="BB598" s="27" t="s">
        <v>7</v>
      </c>
      <c r="BC598" s="27" t="s">
        <v>8</v>
      </c>
      <c r="BD598" s="27" t="s">
        <v>7</v>
      </c>
      <c r="BE598" s="27" t="s">
        <v>8</v>
      </c>
    </row>
    <row r="599" spans="1:60" x14ac:dyDescent="0.25">
      <c r="A599" s="7">
        <v>0.78849317558165644</v>
      </c>
      <c r="B599"/>
      <c r="C599"/>
      <c r="D599"/>
      <c r="E599"/>
      <c r="F599" s="27" t="s">
        <v>7</v>
      </c>
      <c r="AA599" s="27" t="s">
        <v>8</v>
      </c>
      <c r="AC599" s="27" t="s">
        <v>8</v>
      </c>
      <c r="AD599" s="27" t="s">
        <v>7</v>
      </c>
      <c r="BA599" s="27" t="s">
        <v>8</v>
      </c>
      <c r="BB599" s="27" t="s">
        <v>7</v>
      </c>
      <c r="BC599" s="27" t="s">
        <v>8</v>
      </c>
      <c r="BD599" s="27" t="s">
        <v>7</v>
      </c>
      <c r="BE599" s="27" t="s">
        <v>8</v>
      </c>
    </row>
    <row r="600" spans="1:60" x14ac:dyDescent="0.25">
      <c r="A600" s="7">
        <v>0.77303252508005538</v>
      </c>
      <c r="B600"/>
      <c r="C600"/>
      <c r="D600"/>
      <c r="E600"/>
      <c r="F600" s="27" t="s">
        <v>7</v>
      </c>
      <c r="AA600" s="27" t="s">
        <v>8</v>
      </c>
      <c r="AB600" s="27" t="s">
        <v>7</v>
      </c>
      <c r="AC600" s="27" t="s">
        <v>8</v>
      </c>
      <c r="AD600" s="27" t="s">
        <v>7</v>
      </c>
      <c r="BA600" s="27" t="s">
        <v>8</v>
      </c>
      <c r="BB600" s="27" t="s">
        <v>7</v>
      </c>
      <c r="BC600" s="27" t="s">
        <v>8</v>
      </c>
      <c r="BD600" s="27" t="s">
        <v>7</v>
      </c>
    </row>
    <row r="601" spans="1:60" x14ac:dyDescent="0.25">
      <c r="A601" s="7">
        <v>0.75787502458828959</v>
      </c>
      <c r="B601"/>
      <c r="C601"/>
      <c r="D601"/>
      <c r="E601"/>
      <c r="F601" s="27" t="s">
        <v>7</v>
      </c>
      <c r="AA601" s="27" t="s">
        <v>8</v>
      </c>
      <c r="AB601" s="27" t="s">
        <v>7</v>
      </c>
      <c r="AC601" s="27" t="s">
        <v>8</v>
      </c>
      <c r="AD601" s="27" t="s">
        <v>7</v>
      </c>
      <c r="BA601" s="27" t="s">
        <v>8</v>
      </c>
      <c r="BB601" s="27" t="s">
        <v>7</v>
      </c>
      <c r="BC601" s="27" t="s">
        <v>8</v>
      </c>
    </row>
    <row r="602" spans="1:60" x14ac:dyDescent="0.25">
      <c r="A602" s="7">
        <v>0.74301472998851925</v>
      </c>
      <c r="B602"/>
      <c r="C602"/>
      <c r="D602"/>
      <c r="E602"/>
      <c r="F602" s="27" t="s">
        <v>7</v>
      </c>
      <c r="AA602" s="27" t="s">
        <v>8</v>
      </c>
      <c r="AB602" s="27" t="s">
        <v>7</v>
      </c>
      <c r="AC602" s="27" t="s">
        <v>8</v>
      </c>
      <c r="AD602" s="27" t="s">
        <v>7</v>
      </c>
      <c r="BA602" s="27" t="s">
        <v>8</v>
      </c>
      <c r="BB602" s="27" t="s">
        <v>7</v>
      </c>
    </row>
    <row r="603" spans="1:60" x14ac:dyDescent="0.25">
      <c r="A603" s="7">
        <v>0.72844581371423456</v>
      </c>
      <c r="B603"/>
      <c r="C603"/>
      <c r="D603"/>
      <c r="E603"/>
      <c r="F603" s="27" t="s">
        <v>7</v>
      </c>
      <c r="AA603" s="27" t="s">
        <v>8</v>
      </c>
      <c r="AB603" s="27" t="s">
        <v>7</v>
      </c>
      <c r="AC603" s="27" t="s">
        <v>8</v>
      </c>
      <c r="AD603" s="27" t="s">
        <v>7</v>
      </c>
      <c r="AQ603" s="27" t="s">
        <v>8</v>
      </c>
      <c r="AY603" s="27" t="s">
        <v>8</v>
      </c>
      <c r="BA603" s="27" t="s">
        <v>8</v>
      </c>
    </row>
    <row r="604" spans="1:60" x14ac:dyDescent="0.25">
      <c r="A604" s="7">
        <v>0.71416256246493581</v>
      </c>
      <c r="B604"/>
      <c r="C604"/>
      <c r="D604"/>
      <c r="E604"/>
      <c r="F604" s="27" t="s">
        <v>7</v>
      </c>
      <c r="AA604" s="27" t="s">
        <v>8</v>
      </c>
      <c r="AB604" s="27" t="s">
        <v>7</v>
      </c>
      <c r="AC604" s="27" t="s">
        <v>8</v>
      </c>
      <c r="AD604" s="27" t="s">
        <v>7</v>
      </c>
      <c r="AQ604" s="27" t="s">
        <v>8</v>
      </c>
      <c r="AR604" s="27" t="s">
        <v>7</v>
      </c>
      <c r="AY604" s="27" t="s">
        <v>8</v>
      </c>
      <c r="AZ604" s="27" t="s">
        <v>7</v>
      </c>
      <c r="BA604" s="27" t="s">
        <v>8</v>
      </c>
    </row>
    <row r="605" spans="1:60" x14ac:dyDescent="0.25">
      <c r="A605" s="7">
        <v>0.7001593749656233</v>
      </c>
      <c r="B605"/>
      <c r="C605"/>
      <c r="D605"/>
      <c r="E605"/>
      <c r="F605" s="27" t="s">
        <v>7</v>
      </c>
      <c r="AA605" s="27" t="s">
        <v>8</v>
      </c>
      <c r="AB605" s="27" t="s">
        <v>7</v>
      </c>
      <c r="AC605" s="27" t="s">
        <v>8</v>
      </c>
      <c r="AD605" s="27" t="s">
        <v>7</v>
      </c>
      <c r="AQ605" s="27" t="s">
        <v>8</v>
      </c>
      <c r="AR605" s="27" t="s">
        <v>7</v>
      </c>
      <c r="AW605" s="27" t="s">
        <v>8</v>
      </c>
      <c r="AY605" s="27" t="s">
        <v>8</v>
      </c>
      <c r="AZ605" s="27" t="s">
        <v>7</v>
      </c>
      <c r="BA605" s="27" t="s">
        <v>8</v>
      </c>
    </row>
    <row r="606" spans="1:60" x14ac:dyDescent="0.25">
      <c r="A606" s="7">
        <v>0.68643075977021883</v>
      </c>
      <c r="B606"/>
      <c r="C606"/>
      <c r="D606"/>
      <c r="E606"/>
      <c r="F606" s="27" t="s">
        <v>7</v>
      </c>
      <c r="AA606" s="27" t="s">
        <v>8</v>
      </c>
      <c r="AB606" s="27" t="s">
        <v>7</v>
      </c>
      <c r="AD606" s="27" t="s">
        <v>7</v>
      </c>
      <c r="AQ606" s="27" t="s">
        <v>8</v>
      </c>
      <c r="AR606" s="27" t="s">
        <v>7</v>
      </c>
      <c r="AW606" s="27" t="s">
        <v>8</v>
      </c>
      <c r="AX606" s="27" t="s">
        <v>7</v>
      </c>
      <c r="AY606" s="27" t="s">
        <v>8</v>
      </c>
      <c r="AZ606" s="27" t="s">
        <v>7</v>
      </c>
      <c r="BA606" s="27" t="s">
        <v>8</v>
      </c>
    </row>
    <row r="607" spans="1:60" x14ac:dyDescent="0.25">
      <c r="A607" s="7">
        <v>0.67297133310805768</v>
      </c>
      <c r="B607"/>
      <c r="C607"/>
      <c r="D607"/>
      <c r="E607"/>
      <c r="F607" s="27" t="s">
        <v>7</v>
      </c>
      <c r="I607" s="27" t="s">
        <v>8</v>
      </c>
      <c r="W607" s="27" t="s">
        <v>8</v>
      </c>
      <c r="AA607" s="27" t="s">
        <v>8</v>
      </c>
      <c r="AD607" s="27" t="s">
        <v>7</v>
      </c>
      <c r="AQ607" s="27" t="s">
        <v>8</v>
      </c>
      <c r="AR607" s="27" t="s">
        <v>7</v>
      </c>
      <c r="AW607" s="27" t="s">
        <v>8</v>
      </c>
      <c r="AX607" s="27" t="s">
        <v>7</v>
      </c>
      <c r="AY607" s="27" t="s">
        <v>8</v>
      </c>
      <c r="AZ607" s="27" t="s">
        <v>7</v>
      </c>
      <c r="BA607" s="27" t="s">
        <v>8</v>
      </c>
    </row>
    <row r="608" spans="1:60" x14ac:dyDescent="0.25">
      <c r="A608" s="7">
        <v>0.65977581677260566</v>
      </c>
      <c r="B608"/>
      <c r="C608"/>
      <c r="D608"/>
      <c r="E608"/>
      <c r="F608" s="27" t="s">
        <v>7</v>
      </c>
      <c r="I608" s="27" t="s">
        <v>8</v>
      </c>
      <c r="J608" s="27" t="s">
        <v>7</v>
      </c>
      <c r="W608" s="27" t="s">
        <v>8</v>
      </c>
      <c r="X608" s="27" t="s">
        <v>7</v>
      </c>
      <c r="AA608" s="27" t="s">
        <v>8</v>
      </c>
      <c r="AD608" s="27" t="s">
        <v>7</v>
      </c>
      <c r="AE608" s="27" t="s">
        <v>8</v>
      </c>
      <c r="AG608" s="27" t="s">
        <v>8</v>
      </c>
      <c r="AI608" s="27" t="s">
        <v>8</v>
      </c>
      <c r="AQ608" s="27" t="s">
        <v>8</v>
      </c>
      <c r="AR608" s="27" t="s">
        <v>7</v>
      </c>
      <c r="AS608" s="27" t="s">
        <v>8</v>
      </c>
      <c r="AW608" s="27" t="s">
        <v>8</v>
      </c>
      <c r="AX608" s="27" t="s">
        <v>7</v>
      </c>
      <c r="AY608" s="27" t="s">
        <v>8</v>
      </c>
      <c r="AZ608" s="27" t="s">
        <v>7</v>
      </c>
      <c r="BA608" s="27" t="s">
        <v>8</v>
      </c>
    </row>
    <row r="609" spans="1:53" x14ac:dyDescent="0.25">
      <c r="A609" s="7">
        <v>0.64683903605157422</v>
      </c>
      <c r="B609"/>
      <c r="C609"/>
      <c r="D609"/>
      <c r="E609"/>
      <c r="F609" s="27" t="s">
        <v>7</v>
      </c>
      <c r="I609" s="27" t="s">
        <v>8</v>
      </c>
      <c r="J609" s="27" t="s">
        <v>7</v>
      </c>
      <c r="W609" s="27" t="s">
        <v>8</v>
      </c>
      <c r="X609" s="27" t="s">
        <v>7</v>
      </c>
      <c r="AA609" s="27" t="s">
        <v>8</v>
      </c>
      <c r="AD609" s="27" t="s">
        <v>7</v>
      </c>
      <c r="AE609" s="27" t="s">
        <v>8</v>
      </c>
      <c r="AF609" s="27" t="s">
        <v>7</v>
      </c>
      <c r="AG609" s="27" t="s">
        <v>8</v>
      </c>
      <c r="AH609" s="27" t="s">
        <v>7</v>
      </c>
      <c r="AI609" s="27" t="s">
        <v>8</v>
      </c>
      <c r="AJ609" s="27" t="s">
        <v>7</v>
      </c>
      <c r="AQ609" s="27" t="s">
        <v>8</v>
      </c>
      <c r="AR609" s="27" t="s">
        <v>7</v>
      </c>
      <c r="AS609" s="27" t="s">
        <v>8</v>
      </c>
      <c r="AT609" s="27" t="s">
        <v>7</v>
      </c>
      <c r="AW609" s="27" t="s">
        <v>8</v>
      </c>
      <c r="AX609" s="27" t="s">
        <v>7</v>
      </c>
      <c r="AY609" s="27" t="s">
        <v>8</v>
      </c>
      <c r="AZ609" s="27" t="s">
        <v>7</v>
      </c>
      <c r="BA609" s="27" t="s">
        <v>8</v>
      </c>
    </row>
    <row r="610" spans="1:53" x14ac:dyDescent="0.25">
      <c r="A610" s="7">
        <v>0.63415591769762181</v>
      </c>
      <c r="B610"/>
      <c r="C610"/>
      <c r="D610"/>
      <c r="E610"/>
      <c r="F610" s="27" t="s">
        <v>7</v>
      </c>
      <c r="I610" s="27" t="s">
        <v>8</v>
      </c>
      <c r="J610" s="27" t="s">
        <v>7</v>
      </c>
      <c r="W610" s="27" t="s">
        <v>8</v>
      </c>
      <c r="X610" s="27" t="s">
        <v>7</v>
      </c>
      <c r="AA610" s="27" t="s">
        <v>8</v>
      </c>
      <c r="AD610" s="27" t="s">
        <v>7</v>
      </c>
      <c r="AE610" s="27" t="s">
        <v>8</v>
      </c>
      <c r="AF610" s="27" t="s">
        <v>7</v>
      </c>
      <c r="AG610" s="27" t="s">
        <v>8</v>
      </c>
      <c r="AH610" s="27" t="s">
        <v>7</v>
      </c>
      <c r="AI610" s="27" t="s">
        <v>8</v>
      </c>
      <c r="AJ610" s="27" t="s">
        <v>7</v>
      </c>
      <c r="AQ610" s="27" t="s">
        <v>8</v>
      </c>
      <c r="AR610" s="27" t="s">
        <v>7</v>
      </c>
      <c r="AS610" s="27" t="s">
        <v>8</v>
      </c>
      <c r="AT610" s="27" t="s">
        <v>7</v>
      </c>
      <c r="AW610" s="27" t="s">
        <v>8</v>
      </c>
      <c r="AX610" s="27" t="s">
        <v>7</v>
      </c>
      <c r="AY610" s="27" t="s">
        <v>8</v>
      </c>
      <c r="AZ610" s="27" t="s">
        <v>7</v>
      </c>
      <c r="BA610" s="27" t="s">
        <v>8</v>
      </c>
    </row>
    <row r="611" spans="1:53" x14ac:dyDescent="0.25">
      <c r="A611" s="7">
        <v>0.62172148793884496</v>
      </c>
      <c r="B611"/>
      <c r="C611"/>
      <c r="D611"/>
      <c r="E611"/>
      <c r="F611" s="27" t="s">
        <v>7</v>
      </c>
      <c r="I611" s="27" t="s">
        <v>8</v>
      </c>
      <c r="J611" s="27" t="s">
        <v>7</v>
      </c>
      <c r="W611" s="27" t="s">
        <v>8</v>
      </c>
      <c r="X611" s="27" t="s">
        <v>7</v>
      </c>
      <c r="Y611" s="27" t="s">
        <v>8</v>
      </c>
      <c r="AA611" s="27" t="s">
        <v>8</v>
      </c>
      <c r="AD611" s="27" t="s">
        <v>7</v>
      </c>
      <c r="AE611" s="27" t="s">
        <v>8</v>
      </c>
      <c r="AF611" s="27" t="s">
        <v>7</v>
      </c>
      <c r="AG611" s="27" t="s">
        <v>8</v>
      </c>
      <c r="AH611" s="27" t="s">
        <v>7</v>
      </c>
      <c r="AI611" s="27" t="s">
        <v>8</v>
      </c>
      <c r="AJ611" s="27" t="s">
        <v>7</v>
      </c>
      <c r="AM611" s="27" t="s">
        <v>8</v>
      </c>
      <c r="AQ611" s="27" t="s">
        <v>8</v>
      </c>
      <c r="AR611" s="27" t="s">
        <v>7</v>
      </c>
      <c r="AS611" s="27" t="s">
        <v>8</v>
      </c>
      <c r="AT611" s="27" t="s">
        <v>7</v>
      </c>
      <c r="AW611" s="27" t="s">
        <v>8</v>
      </c>
      <c r="AX611" s="27" t="s">
        <v>7</v>
      </c>
      <c r="AY611" s="27" t="s">
        <v>8</v>
      </c>
      <c r="AZ611" s="27" t="s">
        <v>7</v>
      </c>
      <c r="BA611" s="27" t="s">
        <v>8</v>
      </c>
    </row>
    <row r="612" spans="1:53" x14ac:dyDescent="0.25">
      <c r="A612" s="7">
        <v>0.60953087052827937</v>
      </c>
      <c r="B612"/>
      <c r="C612"/>
      <c r="D612"/>
      <c r="E612"/>
      <c r="F612" s="27" t="s">
        <v>7</v>
      </c>
      <c r="I612" s="27" t="s">
        <v>8</v>
      </c>
      <c r="J612" s="27" t="s">
        <v>7</v>
      </c>
      <c r="W612" s="27" t="s">
        <v>8</v>
      </c>
      <c r="X612" s="27" t="s">
        <v>7</v>
      </c>
      <c r="Y612" s="27" t="s">
        <v>8</v>
      </c>
      <c r="Z612" s="27" t="s">
        <v>7</v>
      </c>
      <c r="AA612" s="27" t="s">
        <v>8</v>
      </c>
      <c r="AD612" s="27" t="s">
        <v>7</v>
      </c>
      <c r="AE612" s="27" t="s">
        <v>8</v>
      </c>
      <c r="AF612" s="27" t="s">
        <v>7</v>
      </c>
      <c r="AG612" s="27" t="s">
        <v>8</v>
      </c>
      <c r="AH612" s="27" t="s">
        <v>7</v>
      </c>
      <c r="AI612" s="27" t="s">
        <v>8</v>
      </c>
      <c r="AJ612" s="27" t="s">
        <v>7</v>
      </c>
      <c r="AM612" s="27" t="s">
        <v>8</v>
      </c>
      <c r="AN612" s="27" t="s">
        <v>7</v>
      </c>
      <c r="AO612" s="27" t="s">
        <v>8</v>
      </c>
      <c r="AQ612" s="27" t="s">
        <v>8</v>
      </c>
      <c r="AR612" s="27" t="s">
        <v>7</v>
      </c>
      <c r="AS612" s="27" t="s">
        <v>8</v>
      </c>
      <c r="AT612" s="27" t="s">
        <v>7</v>
      </c>
      <c r="AW612" s="27" t="s">
        <v>8</v>
      </c>
      <c r="AX612" s="27" t="s">
        <v>7</v>
      </c>
      <c r="AY612" s="27" t="s">
        <v>8</v>
      </c>
      <c r="AZ612" s="27" t="s">
        <v>7</v>
      </c>
      <c r="BA612" s="27" t="s">
        <v>8</v>
      </c>
    </row>
    <row r="613" spans="1:53" x14ac:dyDescent="0.25">
      <c r="A613" s="7">
        <v>0.59757928483164646</v>
      </c>
      <c r="B613"/>
      <c r="C613"/>
      <c r="D613"/>
      <c r="E613"/>
      <c r="F613" s="27" t="s">
        <v>7</v>
      </c>
      <c r="I613" s="27" t="s">
        <v>8</v>
      </c>
      <c r="J613" s="27" t="s">
        <v>7</v>
      </c>
      <c r="W613" s="27" t="s">
        <v>8</v>
      </c>
      <c r="X613" s="27" t="s">
        <v>7</v>
      </c>
      <c r="Y613" s="27" t="s">
        <v>8</v>
      </c>
      <c r="Z613" s="27" t="s">
        <v>7</v>
      </c>
      <c r="AA613" s="27" t="s">
        <v>8</v>
      </c>
      <c r="AD613" s="27" t="s">
        <v>7</v>
      </c>
      <c r="AF613" s="27" t="s">
        <v>7</v>
      </c>
      <c r="AG613" s="27" t="s">
        <v>8</v>
      </c>
      <c r="AH613" s="27" t="s">
        <v>7</v>
      </c>
      <c r="AI613" s="27" t="s">
        <v>8</v>
      </c>
      <c r="AJ613" s="27" t="s">
        <v>7</v>
      </c>
      <c r="AM613" s="27" t="s">
        <v>8</v>
      </c>
      <c r="AN613" s="27" t="s">
        <v>7</v>
      </c>
      <c r="AO613" s="27" t="s">
        <v>8</v>
      </c>
      <c r="AP613" s="27" t="s">
        <v>7</v>
      </c>
      <c r="AQ613" s="27" t="s">
        <v>8</v>
      </c>
      <c r="AR613" s="27" t="s">
        <v>7</v>
      </c>
      <c r="AS613" s="27" t="s">
        <v>8</v>
      </c>
      <c r="AT613" s="27" t="s">
        <v>7</v>
      </c>
      <c r="AW613" s="27" t="s">
        <v>8</v>
      </c>
      <c r="AX613" s="27" t="s">
        <v>7</v>
      </c>
      <c r="AY613" s="27" t="s">
        <v>8</v>
      </c>
      <c r="AZ613" s="27" t="s">
        <v>7</v>
      </c>
      <c r="BA613" s="27" t="s">
        <v>8</v>
      </c>
    </row>
    <row r="614" spans="1:53" x14ac:dyDescent="0.25">
      <c r="A614" s="7">
        <v>0.58586204395259456</v>
      </c>
      <c r="B614"/>
      <c r="C614"/>
      <c r="D614"/>
      <c r="E614"/>
      <c r="F614" s="27" t="s">
        <v>7</v>
      </c>
      <c r="I614" s="27" t="s">
        <v>8</v>
      </c>
      <c r="J614" s="27" t="s">
        <v>7</v>
      </c>
      <c r="W614" s="27" t="s">
        <v>8</v>
      </c>
      <c r="X614" s="27" t="s">
        <v>7</v>
      </c>
      <c r="Y614" s="27" t="s">
        <v>8</v>
      </c>
      <c r="Z614" s="27" t="s">
        <v>7</v>
      </c>
      <c r="AA614" s="27" t="s">
        <v>8</v>
      </c>
      <c r="AF614" s="27" t="s">
        <v>7</v>
      </c>
      <c r="AG614" s="27" t="s">
        <v>8</v>
      </c>
      <c r="AH614" s="27" t="s">
        <v>7</v>
      </c>
      <c r="AI614" s="27" t="s">
        <v>8</v>
      </c>
      <c r="AJ614" s="27" t="s">
        <v>7</v>
      </c>
      <c r="AK614" s="27" t="s">
        <v>8</v>
      </c>
      <c r="AM614" s="27" t="s">
        <v>8</v>
      </c>
      <c r="AN614" s="27" t="s">
        <v>7</v>
      </c>
      <c r="AO614" s="27" t="s">
        <v>8</v>
      </c>
      <c r="AP614" s="27" t="s">
        <v>7</v>
      </c>
      <c r="AQ614" s="27" t="s">
        <v>8</v>
      </c>
      <c r="AR614" s="27" t="s">
        <v>7</v>
      </c>
      <c r="AS614" s="27" t="s">
        <v>8</v>
      </c>
      <c r="AT614" s="27" t="s">
        <v>7</v>
      </c>
      <c r="AW614" s="27" t="s">
        <v>8</v>
      </c>
      <c r="AX614" s="27" t="s">
        <v>7</v>
      </c>
      <c r="AZ614" s="27" t="s">
        <v>7</v>
      </c>
      <c r="BA614" s="27" t="s">
        <v>8</v>
      </c>
    </row>
    <row r="615" spans="1:53" x14ac:dyDescent="0.25">
      <c r="A615" s="7">
        <v>0.57437455289470052</v>
      </c>
      <c r="B615"/>
      <c r="C615"/>
      <c r="D615"/>
      <c r="E615"/>
      <c r="F615" s="27" t="s">
        <v>7</v>
      </c>
      <c r="I615" s="27" t="s">
        <v>8</v>
      </c>
      <c r="J615" s="27" t="s">
        <v>7</v>
      </c>
      <c r="W615" s="27" t="s">
        <v>8</v>
      </c>
      <c r="X615" s="27" t="s">
        <v>7</v>
      </c>
      <c r="Y615" s="27" t="s">
        <v>8</v>
      </c>
      <c r="Z615" s="27" t="s">
        <v>7</v>
      </c>
      <c r="AF615" s="27" t="s">
        <v>7</v>
      </c>
      <c r="AG615" s="27" t="s">
        <v>8</v>
      </c>
      <c r="AH615" s="27" t="s">
        <v>7</v>
      </c>
      <c r="AI615" s="27" t="s">
        <v>8</v>
      </c>
      <c r="AJ615" s="27" t="s">
        <v>7</v>
      </c>
      <c r="AK615" s="27" t="s">
        <v>8</v>
      </c>
      <c r="AL615" s="27" t="s">
        <v>7</v>
      </c>
      <c r="AM615" s="27" t="s">
        <v>8</v>
      </c>
      <c r="AN615" s="27" t="s">
        <v>7</v>
      </c>
      <c r="AO615" s="27" t="s">
        <v>8</v>
      </c>
      <c r="AP615" s="27" t="s">
        <v>7</v>
      </c>
      <c r="AQ615" s="27" t="s">
        <v>8</v>
      </c>
      <c r="AR615" s="27" t="s">
        <v>7</v>
      </c>
      <c r="AS615" s="27" t="s">
        <v>8</v>
      </c>
      <c r="AT615" s="27" t="s">
        <v>7</v>
      </c>
      <c r="AW615" s="27" t="s">
        <v>8</v>
      </c>
      <c r="AZ615" s="27" t="s">
        <v>7</v>
      </c>
      <c r="BA615" s="27" t="s">
        <v>8</v>
      </c>
    </row>
    <row r="616" spans="1:53" x14ac:dyDescent="0.25">
      <c r="A616" s="7">
        <v>0.56311230675951029</v>
      </c>
      <c r="B616"/>
      <c r="C616"/>
      <c r="D616"/>
      <c r="E616"/>
      <c r="F616" s="27" t="s">
        <v>7</v>
      </c>
      <c r="I616" s="27" t="s">
        <v>8</v>
      </c>
      <c r="J616" s="27" t="s">
        <v>7</v>
      </c>
      <c r="W616" s="27" t="s">
        <v>8</v>
      </c>
      <c r="X616" s="27" t="s">
        <v>7</v>
      </c>
      <c r="Y616" s="27" t="s">
        <v>8</v>
      </c>
      <c r="AF616" s="27" t="s">
        <v>7</v>
      </c>
      <c r="AG616" s="27" t="s">
        <v>8</v>
      </c>
      <c r="AH616" s="27" t="s">
        <v>7</v>
      </c>
      <c r="AI616" s="27" t="s">
        <v>8</v>
      </c>
      <c r="AJ616" s="27" t="s">
        <v>7</v>
      </c>
      <c r="AK616" s="27" t="s">
        <v>8</v>
      </c>
      <c r="AL616" s="27" t="s">
        <v>7</v>
      </c>
      <c r="AM616" s="27" t="s">
        <v>8</v>
      </c>
      <c r="AN616" s="27" t="s">
        <v>7</v>
      </c>
      <c r="AO616" s="27" t="s">
        <v>8</v>
      </c>
      <c r="AP616" s="27" t="s">
        <v>7</v>
      </c>
      <c r="AQ616" s="27" t="s">
        <v>8</v>
      </c>
      <c r="AR616" s="27" t="s">
        <v>7</v>
      </c>
      <c r="AS616" s="27" t="s">
        <v>8</v>
      </c>
      <c r="AT616" s="27" t="s">
        <v>7</v>
      </c>
      <c r="AW616" s="27" t="s">
        <v>8</v>
      </c>
      <c r="AZ616" s="27" t="s">
        <v>7</v>
      </c>
      <c r="BA616" s="27" t="s">
        <v>8</v>
      </c>
    </row>
    <row r="617" spans="1:53" x14ac:dyDescent="0.25">
      <c r="A617" s="7">
        <v>0.55207088897991208</v>
      </c>
      <c r="B617"/>
      <c r="C617"/>
      <c r="D617"/>
      <c r="E617"/>
      <c r="F617" s="27" t="s">
        <v>7</v>
      </c>
      <c r="I617" s="27" t="s">
        <v>8</v>
      </c>
      <c r="J617" s="27" t="s">
        <v>7</v>
      </c>
      <c r="K617" s="27" t="s">
        <v>8</v>
      </c>
      <c r="W617" s="27" t="s">
        <v>8</v>
      </c>
      <c r="X617" s="27" t="s">
        <v>7</v>
      </c>
      <c r="Y617" s="27" t="s">
        <v>8</v>
      </c>
      <c r="AF617" s="27" t="s">
        <v>7</v>
      </c>
      <c r="AG617" s="27" t="s">
        <v>8</v>
      </c>
      <c r="AH617" s="27" t="s">
        <v>7</v>
      </c>
      <c r="AI617" s="27" t="s">
        <v>8</v>
      </c>
      <c r="AJ617" s="27" t="s">
        <v>7</v>
      </c>
      <c r="AK617" s="27" t="s">
        <v>8</v>
      </c>
      <c r="AL617" s="27" t="s">
        <v>7</v>
      </c>
      <c r="AM617" s="27" t="s">
        <v>8</v>
      </c>
      <c r="AN617" s="27" t="s">
        <v>7</v>
      </c>
      <c r="AO617" s="27" t="s">
        <v>8</v>
      </c>
      <c r="AP617" s="27" t="s">
        <v>7</v>
      </c>
      <c r="AQ617" s="27" t="s">
        <v>8</v>
      </c>
      <c r="AR617" s="27" t="s">
        <v>7</v>
      </c>
      <c r="AS617" s="27" t="s">
        <v>8</v>
      </c>
      <c r="AT617" s="27" t="s">
        <v>7</v>
      </c>
      <c r="AW617" s="27" t="s">
        <v>8</v>
      </c>
      <c r="AZ617" s="27" t="s">
        <v>7</v>
      </c>
      <c r="BA617" s="27" t="s">
        <v>8</v>
      </c>
    </row>
    <row r="618" spans="1:53" x14ac:dyDescent="0.25">
      <c r="A618" s="7">
        <v>0.54124596958814908</v>
      </c>
      <c r="B618"/>
      <c r="C618"/>
      <c r="D618"/>
      <c r="E618"/>
      <c r="F618" s="27" t="s">
        <v>7</v>
      </c>
      <c r="I618" s="27" t="s">
        <v>8</v>
      </c>
      <c r="J618" s="27" t="s">
        <v>7</v>
      </c>
      <c r="K618" s="27" t="s">
        <v>8</v>
      </c>
      <c r="L618" s="27" t="s">
        <v>7</v>
      </c>
      <c r="O618" s="27" t="s">
        <v>8</v>
      </c>
      <c r="W618" s="27" t="s">
        <v>8</v>
      </c>
      <c r="X618" s="27" t="s">
        <v>7</v>
      </c>
      <c r="Y618" s="27" t="s">
        <v>8</v>
      </c>
      <c r="AF618" s="27" t="s">
        <v>7</v>
      </c>
      <c r="AG618" s="27" t="s">
        <v>8</v>
      </c>
      <c r="AH618" s="27" t="s">
        <v>7</v>
      </c>
      <c r="AI618" s="27" t="s">
        <v>8</v>
      </c>
      <c r="AJ618" s="27" t="s">
        <v>7</v>
      </c>
      <c r="AK618" s="27" t="s">
        <v>8</v>
      </c>
      <c r="AL618" s="27" t="s">
        <v>7</v>
      </c>
      <c r="AM618" s="27" t="s">
        <v>8</v>
      </c>
      <c r="AN618" s="27" t="s">
        <v>7</v>
      </c>
      <c r="AO618" s="27" t="s">
        <v>8</v>
      </c>
      <c r="AP618" s="27" t="s">
        <v>7</v>
      </c>
      <c r="AQ618" s="27" t="s">
        <v>8</v>
      </c>
      <c r="AR618" s="27" t="s">
        <v>7</v>
      </c>
      <c r="AT618" s="27" t="s">
        <v>7</v>
      </c>
      <c r="AW618" s="27" t="s">
        <v>8</v>
      </c>
      <c r="AZ618" s="27" t="s">
        <v>7</v>
      </c>
    </row>
    <row r="619" spans="1:53" x14ac:dyDescent="0.25">
      <c r="A619" s="7">
        <v>0.53063330351779314</v>
      </c>
      <c r="B619"/>
      <c r="C619"/>
      <c r="D619"/>
      <c r="E619"/>
      <c r="F619" s="27" t="s">
        <v>7</v>
      </c>
      <c r="I619" s="27" t="s">
        <v>8</v>
      </c>
      <c r="J619" s="27" t="s">
        <v>7</v>
      </c>
      <c r="K619" s="27" t="s">
        <v>8</v>
      </c>
      <c r="L619" s="27" t="s">
        <v>7</v>
      </c>
      <c r="M619" s="27" t="s">
        <v>8</v>
      </c>
      <c r="O619" s="27" t="s">
        <v>8</v>
      </c>
      <c r="P619" s="27" t="s">
        <v>7</v>
      </c>
      <c r="S619" s="27" t="s">
        <v>8</v>
      </c>
      <c r="W619" s="27" t="s">
        <v>8</v>
      </c>
      <c r="X619" s="27" t="s">
        <v>7</v>
      </c>
      <c r="Y619" s="27" t="s">
        <v>8</v>
      </c>
      <c r="AF619" s="27" t="s">
        <v>7</v>
      </c>
      <c r="AG619" s="27" t="s">
        <v>8</v>
      </c>
      <c r="AH619" s="27" t="s">
        <v>7</v>
      </c>
      <c r="AI619" s="27" t="s">
        <v>8</v>
      </c>
      <c r="AJ619" s="27" t="s">
        <v>7</v>
      </c>
      <c r="AL619" s="27" t="s">
        <v>7</v>
      </c>
      <c r="AM619" s="27" t="s">
        <v>8</v>
      </c>
      <c r="AN619" s="27" t="s">
        <v>7</v>
      </c>
      <c r="AP619" s="27" t="s">
        <v>7</v>
      </c>
      <c r="AQ619" s="27" t="s">
        <v>8</v>
      </c>
      <c r="AT619" s="27" t="s">
        <v>7</v>
      </c>
      <c r="AW619" s="27" t="s">
        <v>8</v>
      </c>
    </row>
    <row r="620" spans="1:53" x14ac:dyDescent="0.25">
      <c r="A620" s="7">
        <v>0.52022872893901284</v>
      </c>
      <c r="B620"/>
      <c r="C620"/>
      <c r="D620"/>
      <c r="E620"/>
      <c r="F620" s="27" t="s">
        <v>7</v>
      </c>
      <c r="I620" s="27" t="s">
        <v>8</v>
      </c>
      <c r="J620" s="27" t="s">
        <v>7</v>
      </c>
      <c r="K620" s="27" t="s">
        <v>8</v>
      </c>
      <c r="L620" s="27" t="s">
        <v>7</v>
      </c>
      <c r="M620" s="27" t="s">
        <v>8</v>
      </c>
      <c r="N620" s="27" t="s">
        <v>7</v>
      </c>
      <c r="O620" s="27" t="s">
        <v>8</v>
      </c>
      <c r="P620" s="27" t="s">
        <v>7</v>
      </c>
      <c r="S620" s="27" t="s">
        <v>8</v>
      </c>
      <c r="T620" s="27" t="s">
        <v>7</v>
      </c>
      <c r="W620" s="27" t="s">
        <v>8</v>
      </c>
      <c r="X620" s="27" t="s">
        <v>7</v>
      </c>
      <c r="Y620" s="27" t="s">
        <v>8</v>
      </c>
      <c r="AF620" s="27" t="s">
        <v>7</v>
      </c>
      <c r="AG620" s="27" t="s">
        <v>8</v>
      </c>
      <c r="AH620" s="27" t="s">
        <v>7</v>
      </c>
      <c r="AL620" s="27" t="s">
        <v>7</v>
      </c>
      <c r="AM620" s="27" t="s">
        <v>8</v>
      </c>
      <c r="AP620" s="27" t="s">
        <v>7</v>
      </c>
      <c r="AT620" s="27" t="s">
        <v>7</v>
      </c>
      <c r="AW620" s="27" t="s">
        <v>8</v>
      </c>
    </row>
    <row r="621" spans="1:53" x14ac:dyDescent="0.25">
      <c r="A621" s="7">
        <v>0.51002816562648323</v>
      </c>
      <c r="B621"/>
      <c r="C621"/>
      <c r="D621"/>
      <c r="E621"/>
      <c r="F621" s="27" t="s">
        <v>7</v>
      </c>
      <c r="I621" s="27" t="s">
        <v>8</v>
      </c>
      <c r="J621" s="27" t="s">
        <v>7</v>
      </c>
      <c r="K621" s="27" t="s">
        <v>8</v>
      </c>
      <c r="L621" s="27" t="s">
        <v>7</v>
      </c>
      <c r="M621" s="27" t="s">
        <v>8</v>
      </c>
      <c r="N621" s="27" t="s">
        <v>7</v>
      </c>
      <c r="O621" s="27" t="s">
        <v>8</v>
      </c>
      <c r="P621" s="27" t="s">
        <v>7</v>
      </c>
      <c r="S621" s="27" t="s">
        <v>8</v>
      </c>
      <c r="T621" s="27" t="s">
        <v>7</v>
      </c>
      <c r="W621" s="27" t="s">
        <v>8</v>
      </c>
      <c r="X621" s="27" t="s">
        <v>7</v>
      </c>
      <c r="Y621" s="27" t="s">
        <v>8</v>
      </c>
      <c r="AF621" s="27" t="s">
        <v>7</v>
      </c>
      <c r="AG621" s="27" t="s">
        <v>8</v>
      </c>
      <c r="AL621" s="27" t="s">
        <v>7</v>
      </c>
      <c r="AM621" s="27" t="s">
        <v>8</v>
      </c>
      <c r="AT621" s="27" t="s">
        <v>7</v>
      </c>
      <c r="AU621" s="27" t="s">
        <v>8</v>
      </c>
      <c r="AW621" s="27" t="s">
        <v>8</v>
      </c>
    </row>
    <row r="622" spans="1:53" x14ac:dyDescent="0.25">
      <c r="A622" s="7">
        <v>0.50002761335929735</v>
      </c>
      <c r="B622"/>
      <c r="C622"/>
      <c r="D622"/>
      <c r="E622"/>
      <c r="F622" s="27" t="s">
        <v>7</v>
      </c>
      <c r="I622" s="27" t="s">
        <v>8</v>
      </c>
      <c r="J622" s="27" t="s">
        <v>7</v>
      </c>
      <c r="K622" s="27" t="s">
        <v>8</v>
      </c>
      <c r="L622" s="27" t="s">
        <v>7</v>
      </c>
      <c r="M622" s="27" t="s">
        <v>8</v>
      </c>
      <c r="N622" s="27" t="s">
        <v>7</v>
      </c>
      <c r="O622" s="27" t="s">
        <v>8</v>
      </c>
      <c r="P622" s="27" t="s">
        <v>7</v>
      </c>
      <c r="S622" s="27" t="s">
        <v>8</v>
      </c>
      <c r="T622" s="27" t="s">
        <v>7</v>
      </c>
      <c r="W622" s="27" t="s">
        <v>8</v>
      </c>
      <c r="X622" s="27" t="s">
        <v>7</v>
      </c>
      <c r="AF622" s="27" t="s">
        <v>7</v>
      </c>
      <c r="AG622" s="27" t="s">
        <v>8</v>
      </c>
      <c r="AL622" s="27" t="s">
        <v>7</v>
      </c>
      <c r="AT622" s="27" t="s">
        <v>7</v>
      </c>
      <c r="AU622" s="27" t="s">
        <v>8</v>
      </c>
      <c r="AV622" s="27" t="s">
        <v>7</v>
      </c>
      <c r="AW622" s="27" t="s">
        <v>8</v>
      </c>
    </row>
    <row r="623" spans="1:53" x14ac:dyDescent="0.25">
      <c r="A623" s="7">
        <v>0.49022315035225228</v>
      </c>
      <c r="B623"/>
      <c r="C623"/>
      <c r="D623"/>
      <c r="E623"/>
      <c r="F623" s="27" t="s">
        <v>7</v>
      </c>
      <c r="I623" s="27" t="s">
        <v>8</v>
      </c>
      <c r="J623" s="27" t="s">
        <v>7</v>
      </c>
      <c r="K623" s="27" t="s">
        <v>8</v>
      </c>
      <c r="L623" s="27" t="s">
        <v>7</v>
      </c>
      <c r="M623" s="27" t="s">
        <v>8</v>
      </c>
      <c r="N623" s="27" t="s">
        <v>7</v>
      </c>
      <c r="O623" s="27" t="s">
        <v>8</v>
      </c>
      <c r="P623" s="27" t="s">
        <v>7</v>
      </c>
      <c r="Q623" s="27" t="s">
        <v>8</v>
      </c>
      <c r="S623" s="27" t="s">
        <v>8</v>
      </c>
      <c r="T623" s="27" t="s">
        <v>7</v>
      </c>
      <c r="W623" s="27" t="s">
        <v>8</v>
      </c>
      <c r="AF623" s="27" t="s">
        <v>7</v>
      </c>
      <c r="AG623" s="27" t="s">
        <v>8</v>
      </c>
      <c r="AT623" s="27" t="s">
        <v>7</v>
      </c>
      <c r="AU623" s="27" t="s">
        <v>8</v>
      </c>
      <c r="AV623" s="27" t="s">
        <v>7</v>
      </c>
      <c r="AW623" s="27" t="s">
        <v>8</v>
      </c>
    </row>
    <row r="624" spans="1:53" x14ac:dyDescent="0.25">
      <c r="A624" s="7">
        <v>0.48061093171789437</v>
      </c>
      <c r="B624"/>
      <c r="C624"/>
      <c r="D624"/>
      <c r="E624"/>
      <c r="F624" s="27" t="s">
        <v>7</v>
      </c>
      <c r="I624" s="27" t="s">
        <v>8</v>
      </c>
      <c r="J624" s="27" t="s">
        <v>7</v>
      </c>
      <c r="K624" s="27" t="s">
        <v>8</v>
      </c>
      <c r="L624" s="27" t="s">
        <v>7</v>
      </c>
      <c r="M624" s="27" t="s">
        <v>8</v>
      </c>
      <c r="N624" s="27" t="s">
        <v>7</v>
      </c>
      <c r="O624" s="27" t="s">
        <v>8</v>
      </c>
      <c r="P624" s="27" t="s">
        <v>7</v>
      </c>
      <c r="Q624" s="27" t="s">
        <v>8</v>
      </c>
      <c r="R624" s="27" t="s">
        <v>7</v>
      </c>
      <c r="S624" s="27" t="s">
        <v>8</v>
      </c>
      <c r="T624" s="27" t="s">
        <v>7</v>
      </c>
      <c r="U624" s="27" t="s">
        <v>8</v>
      </c>
      <c r="W624" s="27" t="s">
        <v>8</v>
      </c>
      <c r="AF624" s="27" t="s">
        <v>7</v>
      </c>
      <c r="AG624" s="27" t="s">
        <v>8</v>
      </c>
      <c r="AT624" s="27" t="s">
        <v>7</v>
      </c>
      <c r="AU624" s="27" t="s">
        <v>8</v>
      </c>
      <c r="AV624" s="27" t="s">
        <v>7</v>
      </c>
      <c r="AW624" s="27" t="s">
        <v>8</v>
      </c>
    </row>
    <row r="625" spans="1:49" x14ac:dyDescent="0.25">
      <c r="A625" s="7">
        <v>0.47118718795871994</v>
      </c>
      <c r="B625"/>
      <c r="C625"/>
      <c r="D625"/>
      <c r="E625"/>
      <c r="F625" s="27" t="s">
        <v>7</v>
      </c>
      <c r="I625" s="27" t="s">
        <v>8</v>
      </c>
      <c r="J625" s="27" t="s">
        <v>7</v>
      </c>
      <c r="K625" s="27" t="s">
        <v>8</v>
      </c>
      <c r="L625" s="27" t="s">
        <v>7</v>
      </c>
      <c r="M625" s="27" t="s">
        <v>8</v>
      </c>
      <c r="N625" s="27" t="s">
        <v>7</v>
      </c>
      <c r="O625" s="27" t="s">
        <v>8</v>
      </c>
      <c r="P625" s="27" t="s">
        <v>7</v>
      </c>
      <c r="Q625" s="27" t="s">
        <v>8</v>
      </c>
      <c r="R625" s="27" t="s">
        <v>7</v>
      </c>
      <c r="S625" s="27" t="s">
        <v>8</v>
      </c>
      <c r="T625" s="27" t="s">
        <v>7</v>
      </c>
      <c r="U625" s="27" t="s">
        <v>8</v>
      </c>
      <c r="V625" s="27" t="s">
        <v>7</v>
      </c>
      <c r="W625" s="27" t="s">
        <v>8</v>
      </c>
      <c r="AF625" s="27" t="s">
        <v>7</v>
      </c>
      <c r="AG625" s="27" t="s">
        <v>8</v>
      </c>
      <c r="AT625" s="27" t="s">
        <v>7</v>
      </c>
      <c r="AU625" s="27" t="s">
        <v>8</v>
      </c>
      <c r="AV625" s="27" t="s">
        <v>7</v>
      </c>
      <c r="AW625" s="27" t="s">
        <v>8</v>
      </c>
    </row>
    <row r="626" spans="1:49" x14ac:dyDescent="0.25">
      <c r="A626" s="7">
        <v>0.46194822348894116</v>
      </c>
      <c r="B626"/>
      <c r="C626"/>
      <c r="D626"/>
      <c r="E626"/>
      <c r="F626" s="27" t="s">
        <v>7</v>
      </c>
      <c r="I626" s="27" t="s">
        <v>8</v>
      </c>
      <c r="J626" s="27" t="s">
        <v>7</v>
      </c>
      <c r="K626" s="27" t="s">
        <v>8</v>
      </c>
      <c r="L626" s="27" t="s">
        <v>7</v>
      </c>
      <c r="M626" s="27" t="s">
        <v>8</v>
      </c>
      <c r="N626" s="27" t="s">
        <v>7</v>
      </c>
      <c r="O626" s="27" t="s">
        <v>8</v>
      </c>
      <c r="P626" s="27" t="s">
        <v>7</v>
      </c>
      <c r="Q626" s="27" t="s">
        <v>8</v>
      </c>
      <c r="R626" s="27" t="s">
        <v>7</v>
      </c>
      <c r="S626" s="27" t="s">
        <v>8</v>
      </c>
      <c r="T626" s="27" t="s">
        <v>7</v>
      </c>
      <c r="U626" s="27" t="s">
        <v>8</v>
      </c>
      <c r="V626" s="27" t="s">
        <v>7</v>
      </c>
      <c r="W626" s="27" t="s">
        <v>8</v>
      </c>
      <c r="AF626" s="27" t="s">
        <v>7</v>
      </c>
      <c r="AT626" s="27" t="s">
        <v>7</v>
      </c>
      <c r="AU626" s="27" t="s">
        <v>8</v>
      </c>
      <c r="AV626" s="27" t="s">
        <v>7</v>
      </c>
      <c r="AW626" s="27" t="s">
        <v>8</v>
      </c>
    </row>
    <row r="627" spans="1:49" x14ac:dyDescent="0.25">
      <c r="A627" s="7">
        <v>0.45289041518523643</v>
      </c>
      <c r="B627"/>
      <c r="C627"/>
      <c r="D627"/>
      <c r="E627"/>
      <c r="F627" s="27" t="s">
        <v>7</v>
      </c>
      <c r="I627" s="27" t="s">
        <v>8</v>
      </c>
      <c r="J627" s="27" t="s">
        <v>7</v>
      </c>
      <c r="K627" s="27" t="s">
        <v>8</v>
      </c>
      <c r="L627" s="27" t="s">
        <v>7</v>
      </c>
      <c r="M627" s="27" t="s">
        <v>8</v>
      </c>
      <c r="N627" s="27" t="s">
        <v>7</v>
      </c>
      <c r="O627" s="27" t="s">
        <v>8</v>
      </c>
      <c r="P627" s="27" t="s">
        <v>7</v>
      </c>
      <c r="Q627" s="27" t="s">
        <v>8</v>
      </c>
      <c r="R627" s="27" t="s">
        <v>7</v>
      </c>
      <c r="S627" s="27" t="s">
        <v>8</v>
      </c>
      <c r="T627" s="27" t="s">
        <v>7</v>
      </c>
      <c r="U627" s="27" t="s">
        <v>8</v>
      </c>
      <c r="V627" s="27" t="s">
        <v>7</v>
      </c>
      <c r="W627" s="27" t="s">
        <v>8</v>
      </c>
      <c r="AT627" s="27" t="s">
        <v>7</v>
      </c>
      <c r="AU627" s="27" t="s">
        <v>8</v>
      </c>
      <c r="AV627" s="27" t="s">
        <v>7</v>
      </c>
      <c r="AW627" s="27" t="s">
        <v>8</v>
      </c>
    </row>
    <row r="628" spans="1:49" x14ac:dyDescent="0.25">
      <c r="A628" s="7">
        <v>0.44401021096591808</v>
      </c>
      <c r="B628"/>
      <c r="C628"/>
      <c r="D628"/>
      <c r="E628"/>
      <c r="F628" s="27" t="s">
        <v>7</v>
      </c>
      <c r="I628" s="27" t="s">
        <v>8</v>
      </c>
      <c r="J628" s="27" t="s">
        <v>7</v>
      </c>
      <c r="K628" s="27" t="s">
        <v>8</v>
      </c>
      <c r="L628" s="27" t="s">
        <v>7</v>
      </c>
      <c r="M628" s="27" t="s">
        <v>8</v>
      </c>
      <c r="N628" s="27" t="s">
        <v>7</v>
      </c>
      <c r="O628" s="27" t="s">
        <v>8</v>
      </c>
      <c r="P628" s="27" t="s">
        <v>7</v>
      </c>
      <c r="Q628" s="27" t="s">
        <v>8</v>
      </c>
      <c r="R628" s="27" t="s">
        <v>7</v>
      </c>
      <c r="S628" s="27" t="s">
        <v>8</v>
      </c>
      <c r="T628" s="27" t="s">
        <v>7</v>
      </c>
      <c r="U628" s="27" t="s">
        <v>8</v>
      </c>
      <c r="V628" s="27" t="s">
        <v>7</v>
      </c>
      <c r="AT628" s="27" t="s">
        <v>7</v>
      </c>
      <c r="AU628" s="27" t="s">
        <v>8</v>
      </c>
      <c r="AV628" s="27" t="s">
        <v>7</v>
      </c>
    </row>
    <row r="629" spans="1:49" x14ac:dyDescent="0.25">
      <c r="A629" s="7">
        <v>0.4353041283979589</v>
      </c>
      <c r="B629"/>
      <c r="C629"/>
      <c r="D629"/>
      <c r="E629"/>
      <c r="F629" s="27" t="s">
        <v>7</v>
      </c>
      <c r="G629" s="27" t="s">
        <v>8</v>
      </c>
      <c r="I629" s="27" t="s">
        <v>8</v>
      </c>
      <c r="J629" s="27" t="s">
        <v>7</v>
      </c>
      <c r="L629" s="27" t="s">
        <v>7</v>
      </c>
      <c r="N629" s="27" t="s">
        <v>7</v>
      </c>
      <c r="O629" s="27" t="s">
        <v>8</v>
      </c>
      <c r="P629" s="27" t="s">
        <v>7</v>
      </c>
      <c r="Q629" s="27" t="s">
        <v>8</v>
      </c>
      <c r="R629" s="27" t="s">
        <v>7</v>
      </c>
      <c r="S629" s="27" t="s">
        <v>8</v>
      </c>
      <c r="T629" s="27" t="s">
        <v>7</v>
      </c>
      <c r="U629" s="27" t="s">
        <v>8</v>
      </c>
      <c r="AT629" s="27" t="s">
        <v>7</v>
      </c>
      <c r="AU629" s="27" t="s">
        <v>8</v>
      </c>
    </row>
    <row r="630" spans="1:49" x14ac:dyDescent="0.25">
      <c r="A630" s="7">
        <v>0.4267687533313323</v>
      </c>
      <c r="B630"/>
      <c r="C630"/>
      <c r="D630"/>
      <c r="E630"/>
      <c r="F630" s="27" t="s">
        <v>7</v>
      </c>
      <c r="G630" s="27" t="s">
        <v>8</v>
      </c>
      <c r="H630" s="27" t="s">
        <v>7</v>
      </c>
      <c r="I630" s="27" t="s">
        <v>8</v>
      </c>
      <c r="N630" s="27" t="s">
        <v>7</v>
      </c>
      <c r="O630" s="27" t="s">
        <v>8</v>
      </c>
      <c r="P630" s="27" t="s">
        <v>7</v>
      </c>
      <c r="Q630" s="27" t="s">
        <v>8</v>
      </c>
      <c r="R630" s="27" t="s">
        <v>7</v>
      </c>
      <c r="S630" s="27" t="s">
        <v>8</v>
      </c>
      <c r="T630" s="27" t="s">
        <v>7</v>
      </c>
      <c r="AT630" s="27" t="s">
        <v>7</v>
      </c>
      <c r="AU630" s="27" t="s">
        <v>8</v>
      </c>
    </row>
    <row r="631" spans="1:49" x14ac:dyDescent="0.25">
      <c r="A631" s="7">
        <v>0.41840073856012971</v>
      </c>
      <c r="B631"/>
      <c r="C631"/>
      <c r="D631"/>
      <c r="E631"/>
      <c r="F631" s="27" t="s">
        <v>7</v>
      </c>
      <c r="G631" s="27" t="s">
        <v>8</v>
      </c>
      <c r="H631" s="27" t="s">
        <v>7</v>
      </c>
      <c r="I631" s="27" t="s">
        <v>8</v>
      </c>
      <c r="N631" s="27" t="s">
        <v>7</v>
      </c>
      <c r="O631" s="27" t="s">
        <v>8</v>
      </c>
      <c r="P631" s="27" t="s">
        <v>7</v>
      </c>
      <c r="Q631" s="27" t="s">
        <v>8</v>
      </c>
      <c r="R631" s="27" t="s">
        <v>7</v>
      </c>
      <c r="S631" s="27" t="s">
        <v>8</v>
      </c>
      <c r="AT631" s="27" t="s">
        <v>7</v>
      </c>
      <c r="AU631" s="27" t="s">
        <v>8</v>
      </c>
    </row>
    <row r="632" spans="1:49" x14ac:dyDescent="0.25">
      <c r="A632" s="7">
        <v>0.41019680250993112</v>
      </c>
      <c r="B632"/>
      <c r="C632"/>
      <c r="D632"/>
      <c r="E632"/>
      <c r="F632" s="27" t="s">
        <v>7</v>
      </c>
      <c r="G632" s="27" t="s">
        <v>8</v>
      </c>
      <c r="H632" s="27" t="s">
        <v>7</v>
      </c>
      <c r="I632" s="27" t="s">
        <v>8</v>
      </c>
      <c r="N632" s="27" t="s">
        <v>7</v>
      </c>
      <c r="O632" s="27" t="s">
        <v>8</v>
      </c>
      <c r="P632" s="27" t="s">
        <v>7</v>
      </c>
      <c r="Q632" s="27" t="s">
        <v>8</v>
      </c>
      <c r="R632" s="27" t="s">
        <v>7</v>
      </c>
      <c r="S632" s="27" t="s">
        <v>8</v>
      </c>
      <c r="AT632" s="27" t="s">
        <v>7</v>
      </c>
    </row>
    <row r="633" spans="1:49" x14ac:dyDescent="0.25">
      <c r="A633" s="7">
        <v>0.40215372795091286</v>
      </c>
      <c r="B633"/>
      <c r="C633"/>
      <c r="D633"/>
      <c r="E633"/>
      <c r="F633" s="27" t="s">
        <v>7</v>
      </c>
      <c r="G633" s="27" t="s">
        <v>8</v>
      </c>
      <c r="H633" s="27" t="s">
        <v>7</v>
      </c>
      <c r="I633" s="27" t="s">
        <v>8</v>
      </c>
      <c r="N633" s="27" t="s">
        <v>7</v>
      </c>
      <c r="P633" s="27" t="s">
        <v>7</v>
      </c>
      <c r="Q633" s="27" t="s">
        <v>8</v>
      </c>
      <c r="R633" s="27" t="s">
        <v>7</v>
      </c>
    </row>
    <row r="634" spans="1:49" x14ac:dyDescent="0.25">
      <c r="A634" s="7">
        <v>0.39426836073618904</v>
      </c>
      <c r="B634"/>
      <c r="C634"/>
      <c r="D634"/>
      <c r="E634"/>
      <c r="F634" s="27" t="s">
        <v>7</v>
      </c>
      <c r="G634" s="27" t="s">
        <v>8</v>
      </c>
      <c r="H634" s="27" t="s">
        <v>7</v>
      </c>
      <c r="I634" s="27" t="s">
        <v>8</v>
      </c>
      <c r="P634" s="27" t="s">
        <v>7</v>
      </c>
      <c r="Q634" s="27" t="s">
        <v>8</v>
      </c>
    </row>
    <row r="635" spans="1:49" x14ac:dyDescent="0.25">
      <c r="A635" s="7">
        <v>0.38653760856489122</v>
      </c>
      <c r="B635"/>
      <c r="C635"/>
      <c r="D635"/>
      <c r="E635"/>
      <c r="F635" s="27" t="s">
        <v>7</v>
      </c>
      <c r="G635" s="27" t="s">
        <v>8</v>
      </c>
      <c r="H635" s="27" t="s">
        <v>7</v>
      </c>
      <c r="I635" s="27" t="s">
        <v>8</v>
      </c>
      <c r="P635" s="27" t="s">
        <v>7</v>
      </c>
      <c r="Q635" s="27" t="s">
        <v>8</v>
      </c>
    </row>
    <row r="636" spans="1:49" x14ac:dyDescent="0.25">
      <c r="A636" s="7">
        <v>0.37895843976950117</v>
      </c>
      <c r="B636"/>
      <c r="C636"/>
      <c r="D636"/>
      <c r="E636"/>
      <c r="F636" s="27" t="s">
        <v>7</v>
      </c>
      <c r="G636" s="27" t="s">
        <v>8</v>
      </c>
      <c r="H636" s="27" t="s">
        <v>7</v>
      </c>
      <c r="I636" s="27" t="s">
        <v>8</v>
      </c>
      <c r="P636" s="27" t="s">
        <v>7</v>
      </c>
      <c r="Q636" s="27" t="s">
        <v>8</v>
      </c>
    </row>
    <row r="637" spans="1:49" x14ac:dyDescent="0.25">
      <c r="A637" s="7">
        <v>0.37152788212696197</v>
      </c>
      <c r="B637"/>
      <c r="C637"/>
      <c r="D637"/>
      <c r="E637"/>
      <c r="F637" s="27" t="s">
        <v>7</v>
      </c>
      <c r="G637" s="27" t="s">
        <v>8</v>
      </c>
      <c r="H637" s="27" t="s">
        <v>7</v>
      </c>
      <c r="I637" s="27" t="s">
        <v>8</v>
      </c>
      <c r="P637" s="27" t="s">
        <v>7</v>
      </c>
      <c r="Q637" s="27" t="s">
        <v>8</v>
      </c>
    </row>
    <row r="638" spans="1:49" x14ac:dyDescent="0.25">
      <c r="A638" s="7">
        <v>0.36424302169310002</v>
      </c>
      <c r="B638"/>
      <c r="C638"/>
      <c r="D638"/>
      <c r="E638"/>
      <c r="F638" s="27" t="s">
        <v>7</v>
      </c>
      <c r="G638" s="27" t="s">
        <v>8</v>
      </c>
      <c r="H638" s="27" t="s">
        <v>7</v>
      </c>
      <c r="I638" s="27" t="s">
        <v>8</v>
      </c>
      <c r="P638" s="27" t="s">
        <v>7</v>
      </c>
      <c r="Q638" s="27" t="s">
        <v>8</v>
      </c>
    </row>
    <row r="639" spans="1:49" x14ac:dyDescent="0.25">
      <c r="A639" s="7">
        <v>0.35710100165990194</v>
      </c>
      <c r="B639"/>
      <c r="C639"/>
      <c r="D639"/>
      <c r="E639"/>
      <c r="F639" s="27" t="s">
        <v>7</v>
      </c>
      <c r="G639" s="27" t="s">
        <v>8</v>
      </c>
      <c r="H639" s="27" t="s">
        <v>7</v>
      </c>
      <c r="I639" s="27" t="s">
        <v>8</v>
      </c>
      <c r="P639" s="27" t="s">
        <v>7</v>
      </c>
      <c r="Q639" s="27" t="s">
        <v>8</v>
      </c>
    </row>
    <row r="640" spans="1:49" x14ac:dyDescent="0.25">
      <c r="A640" s="7">
        <v>0.35009902123519804</v>
      </c>
      <c r="B640"/>
      <c r="C640"/>
      <c r="D640"/>
      <c r="E640"/>
      <c r="F640" s="27" t="s">
        <v>7</v>
      </c>
      <c r="G640" s="27" t="s">
        <v>8</v>
      </c>
      <c r="H640" s="27" t="s">
        <v>7</v>
      </c>
      <c r="I640" s="27" t="s">
        <v>8</v>
      </c>
      <c r="P640" s="27" t="s">
        <v>7</v>
      </c>
      <c r="Q640" s="27" t="s">
        <v>8</v>
      </c>
    </row>
    <row r="641" spans="1:17" x14ac:dyDescent="0.25">
      <c r="A641" s="7">
        <v>0.34323433454431179</v>
      </c>
      <c r="B641"/>
      <c r="C641"/>
      <c r="D641"/>
      <c r="E641"/>
      <c r="F641" s="27" t="s">
        <v>7</v>
      </c>
      <c r="G641" s="27" t="s">
        <v>8</v>
      </c>
      <c r="H641" s="27" t="s">
        <v>7</v>
      </c>
      <c r="I641" s="27" t="s">
        <v>8</v>
      </c>
      <c r="P641" s="27" t="s">
        <v>7</v>
      </c>
      <c r="Q641" s="27" t="s">
        <v>8</v>
      </c>
    </row>
    <row r="642" spans="1:17" x14ac:dyDescent="0.25">
      <c r="A642" s="7">
        <v>0.33650424955324681</v>
      </c>
      <c r="B642"/>
      <c r="C642"/>
      <c r="D642"/>
      <c r="E642"/>
      <c r="F642" s="27" t="s">
        <v>7</v>
      </c>
      <c r="G642" s="27" t="s">
        <v>8</v>
      </c>
      <c r="H642" s="27" t="s">
        <v>7</v>
      </c>
      <c r="I642" s="27" t="s">
        <v>8</v>
      </c>
      <c r="P642" s="27" t="s">
        <v>7</v>
      </c>
      <c r="Q642" s="27" t="s">
        <v>8</v>
      </c>
    </row>
    <row r="643" spans="1:17" x14ac:dyDescent="0.25">
      <c r="A643" s="7">
        <v>0.3299061270129871</v>
      </c>
      <c r="B643"/>
      <c r="C643"/>
      <c r="D643"/>
      <c r="E643"/>
      <c r="F643" s="27" t="s">
        <v>7</v>
      </c>
      <c r="G643" s="27" t="s">
        <v>8</v>
      </c>
      <c r="H643" s="27" t="s">
        <v>7</v>
      </c>
      <c r="I643" s="27" t="s">
        <v>8</v>
      </c>
      <c r="P643" s="27" t="s">
        <v>7</v>
      </c>
      <c r="Q643" s="27" t="s">
        <v>8</v>
      </c>
    </row>
    <row r="644" spans="1:17" x14ac:dyDescent="0.25">
      <c r="A644" s="7">
        <v>0.32343737942449713</v>
      </c>
      <c r="B644"/>
      <c r="C644"/>
      <c r="D644"/>
      <c r="E644"/>
      <c r="F644" s="27" t="s">
        <v>7</v>
      </c>
      <c r="G644" s="27" t="s">
        <v>8</v>
      </c>
      <c r="H644" s="27" t="s">
        <v>7</v>
      </c>
      <c r="I644" s="27" t="s">
        <v>8</v>
      </c>
      <c r="P644" s="27" t="s">
        <v>7</v>
      </c>
      <c r="Q644" s="27" t="s">
        <v>8</v>
      </c>
    </row>
    <row r="645" spans="1:17" x14ac:dyDescent="0.25">
      <c r="A645" s="7">
        <v>0.31709547002401678</v>
      </c>
      <c r="B645"/>
      <c r="C645"/>
      <c r="D645"/>
      <c r="E645"/>
      <c r="F645" s="27" t="s">
        <v>7</v>
      </c>
      <c r="G645" s="27" t="s">
        <v>8</v>
      </c>
      <c r="H645" s="27" t="s">
        <v>7</v>
      </c>
      <c r="I645" s="27" t="s">
        <v>8</v>
      </c>
      <c r="P645" s="27" t="s">
        <v>7</v>
      </c>
    </row>
    <row r="646" spans="1:17" x14ac:dyDescent="0.25">
      <c r="A646" s="7">
        <v>0.31087791178825175</v>
      </c>
      <c r="B646"/>
      <c r="C646"/>
      <c r="D646"/>
      <c r="E646"/>
      <c r="F646" s="27" t="s">
        <v>7</v>
      </c>
      <c r="G646" s="27" t="s">
        <v>8</v>
      </c>
      <c r="H646" s="27" t="s">
        <v>7</v>
      </c>
      <c r="I646" s="27" t="s">
        <v>8</v>
      </c>
    </row>
    <row r="647" spans="1:17" x14ac:dyDescent="0.25">
      <c r="A647" s="7">
        <v>0.30478226645907036</v>
      </c>
      <c r="B647"/>
      <c r="C647"/>
      <c r="D647"/>
      <c r="E647"/>
      <c r="F647" s="27" t="s">
        <v>7</v>
      </c>
      <c r="G647" s="27" t="s">
        <v>8</v>
      </c>
      <c r="H647" s="27" t="s">
        <v>7</v>
      </c>
    </row>
    <row r="648" spans="1:17" x14ac:dyDescent="0.25">
      <c r="A648" s="7">
        <v>0.29880614358732388</v>
      </c>
      <c r="B648"/>
      <c r="C648"/>
      <c r="D648"/>
      <c r="E648"/>
      <c r="F648" s="27" t="s">
        <v>7</v>
      </c>
      <c r="G648" s="27" t="s">
        <v>8</v>
      </c>
    </row>
    <row r="649" spans="1:17" x14ac:dyDescent="0.25">
      <c r="A649" s="7">
        <v>0.2929471995954156</v>
      </c>
      <c r="B649"/>
      <c r="C649"/>
      <c r="D649"/>
      <c r="E649"/>
      <c r="F649" s="27" t="s">
        <v>7</v>
      </c>
      <c r="G649" s="27" t="s">
        <v>8</v>
      </c>
    </row>
    <row r="650" spans="1:17" x14ac:dyDescent="0.25">
      <c r="A650" s="7">
        <v>0.28720313685825055</v>
      </c>
      <c r="B650"/>
      <c r="C650"/>
      <c r="D650"/>
      <c r="E650"/>
      <c r="F650" s="27" t="s">
        <v>7</v>
      </c>
      <c r="G650" s="27" t="s">
        <v>8</v>
      </c>
    </row>
    <row r="651" spans="1:17" x14ac:dyDescent="0.25">
      <c r="A651" s="7">
        <v>0.28157170280220645</v>
      </c>
      <c r="B651"/>
      <c r="C651"/>
      <c r="D651"/>
      <c r="E651"/>
      <c r="F651" s="27" t="s">
        <v>7</v>
      </c>
      <c r="G651" s="27" t="s">
        <v>8</v>
      </c>
    </row>
    <row r="652" spans="1:17" x14ac:dyDescent="0.25">
      <c r="A652" s="7">
        <v>0.27605068902177105</v>
      </c>
      <c r="B652"/>
      <c r="C652"/>
      <c r="D652"/>
      <c r="E652"/>
      <c r="F652" s="27" t="s">
        <v>7</v>
      </c>
      <c r="G652" s="27" t="s">
        <v>8</v>
      </c>
    </row>
    <row r="653" spans="1:17" x14ac:dyDescent="0.25">
      <c r="A653" s="7">
        <v>0.27063793041350104</v>
      </c>
      <c r="B653"/>
      <c r="C653"/>
      <c r="D653"/>
      <c r="E653"/>
      <c r="F653" s="27" t="s">
        <v>7</v>
      </c>
      <c r="G653" s="27" t="s">
        <v>8</v>
      </c>
    </row>
    <row r="654" spans="1:17" x14ac:dyDescent="0.25">
      <c r="A654" s="7">
        <v>0.26533130432696184</v>
      </c>
      <c r="B654"/>
      <c r="C654"/>
      <c r="D654"/>
      <c r="E654"/>
      <c r="F654" s="27" t="s">
        <v>7</v>
      </c>
      <c r="G654" s="27" t="s">
        <v>8</v>
      </c>
    </row>
    <row r="655" spans="1:17" x14ac:dyDescent="0.25">
      <c r="A655" s="7">
        <v>0.26012872973231554</v>
      </c>
      <c r="B655"/>
      <c r="C655"/>
      <c r="D655"/>
      <c r="E655"/>
      <c r="F655" s="27" t="s">
        <v>7</v>
      </c>
      <c r="G655" s="27" t="s">
        <v>8</v>
      </c>
    </row>
    <row r="656" spans="1:17" x14ac:dyDescent="0.25">
      <c r="A656" s="7">
        <v>0.25502816640423093</v>
      </c>
      <c r="B656"/>
      <c r="C656"/>
      <c r="D656"/>
      <c r="E656"/>
      <c r="F656" s="27" t="s">
        <v>7</v>
      </c>
      <c r="G656" s="27" t="s">
        <v>8</v>
      </c>
    </row>
    <row r="657" spans="1:7" x14ac:dyDescent="0.25">
      <c r="A657" s="7">
        <v>0.25002761412179503</v>
      </c>
      <c r="B657"/>
      <c r="C657"/>
      <c r="D657"/>
      <c r="E657"/>
      <c r="F657" s="27" t="s">
        <v>7</v>
      </c>
      <c r="G657" s="27" t="s">
        <v>8</v>
      </c>
    </row>
    <row r="658" spans="1:7" x14ac:dyDescent="0.25">
      <c r="A658" s="7">
        <v>0.24512511188411276</v>
      </c>
      <c r="B658"/>
      <c r="C658"/>
      <c r="D658"/>
      <c r="E658"/>
      <c r="F658" s="27" t="s">
        <v>7</v>
      </c>
      <c r="G658" s="27" t="s">
        <v>8</v>
      </c>
    </row>
    <row r="659" spans="1:7" x14ac:dyDescent="0.25">
      <c r="A659" s="7">
        <v>0.24031873714128701</v>
      </c>
      <c r="B659"/>
      <c r="C659"/>
      <c r="D659"/>
      <c r="E659"/>
      <c r="F659" s="27" t="s">
        <v>7</v>
      </c>
      <c r="G659" s="27" t="s">
        <v>8</v>
      </c>
    </row>
    <row r="660" spans="1:7" x14ac:dyDescent="0.25">
      <c r="A660" s="7">
        <v>0.23560660504047748</v>
      </c>
      <c r="B660"/>
      <c r="C660"/>
      <c r="D660"/>
      <c r="E660"/>
      <c r="F660" s="27" t="s">
        <v>7</v>
      </c>
      <c r="G660" s="27" t="s">
        <v>8</v>
      </c>
    </row>
    <row r="661" spans="1:7" x14ac:dyDescent="0.25">
      <c r="A661" s="7">
        <v>0.23098686768674265</v>
      </c>
      <c r="B661"/>
      <c r="C661"/>
      <c r="D661"/>
      <c r="E661"/>
      <c r="F661" s="27" t="s">
        <v>7</v>
      </c>
      <c r="G661" s="27" t="s">
        <v>8</v>
      </c>
    </row>
    <row r="662" spans="1:7" x14ac:dyDescent="0.25">
      <c r="A662" s="7">
        <v>0.22645771341837515</v>
      </c>
      <c r="B662"/>
      <c r="C662"/>
      <c r="D662"/>
      <c r="E662"/>
      <c r="F662" s="27" t="s">
        <v>7</v>
      </c>
      <c r="G662" s="27" t="s">
        <v>8</v>
      </c>
    </row>
    <row r="663" spans="1:7" x14ac:dyDescent="0.25">
      <c r="A663" s="7">
        <v>0.22201736609644623</v>
      </c>
      <c r="B663"/>
      <c r="C663"/>
      <c r="D663"/>
      <c r="E663"/>
      <c r="F663" s="27" t="s">
        <v>7</v>
      </c>
      <c r="G663" s="27" t="s">
        <v>8</v>
      </c>
    </row>
    <row r="664" spans="1:7" x14ac:dyDescent="0.25">
      <c r="A664" s="7">
        <v>0.21766408440828061</v>
      </c>
      <c r="B664"/>
      <c r="C664"/>
      <c r="D664"/>
      <c r="E664"/>
      <c r="F664" s="27" t="s">
        <v>7</v>
      </c>
      <c r="G664" s="27" t="s">
        <v>8</v>
      </c>
    </row>
    <row r="665" spans="1:7" x14ac:dyDescent="0.25">
      <c r="A665" s="7">
        <v>0.21339616118458882</v>
      </c>
      <c r="B665"/>
      <c r="C665"/>
      <c r="D665"/>
      <c r="E665"/>
      <c r="F665" s="27" t="s">
        <v>7</v>
      </c>
      <c r="G665" s="27" t="s">
        <v>8</v>
      </c>
    </row>
    <row r="666" spans="1:7" x14ac:dyDescent="0.25">
      <c r="A666" s="7">
        <v>0.20921192272998904</v>
      </c>
      <c r="B666"/>
      <c r="C666"/>
      <c r="D666"/>
      <c r="E666"/>
      <c r="F666" s="27" t="s">
        <v>7</v>
      </c>
      <c r="G666" s="27" t="s">
        <v>8</v>
      </c>
    </row>
    <row r="667" spans="1:7" x14ac:dyDescent="0.25">
      <c r="A667" s="7">
        <v>0.20510972816665593</v>
      </c>
      <c r="B667"/>
      <c r="C667"/>
      <c r="D667"/>
      <c r="E667"/>
      <c r="F667" s="27" t="s">
        <v>7</v>
      </c>
      <c r="G667" s="27" t="s">
        <v>8</v>
      </c>
    </row>
    <row r="668" spans="1:7" x14ac:dyDescent="0.25">
      <c r="A668" s="7">
        <v>0.20108796879083912</v>
      </c>
      <c r="B668"/>
      <c r="C668"/>
      <c r="D668"/>
      <c r="E668"/>
      <c r="F668" s="27" t="s">
        <v>7</v>
      </c>
      <c r="G668" s="27" t="s">
        <v>8</v>
      </c>
    </row>
    <row r="669" spans="1:7" x14ac:dyDescent="0.25">
      <c r="A669" s="7">
        <v>0.19714506744199917</v>
      </c>
      <c r="B669"/>
      <c r="C669"/>
      <c r="D669"/>
      <c r="E669"/>
      <c r="F669" s="27" t="s">
        <v>7</v>
      </c>
      <c r="G669" s="27" t="s">
        <v>8</v>
      </c>
    </row>
    <row r="670" spans="1:7" x14ac:dyDescent="0.25">
      <c r="A670" s="7">
        <v>0.19327947788431293</v>
      </c>
      <c r="B670"/>
      <c r="C670"/>
      <c r="D670"/>
      <c r="E670"/>
      <c r="F670" s="27" t="s">
        <v>7</v>
      </c>
      <c r="G670" s="27" t="s">
        <v>8</v>
      </c>
    </row>
    <row r="671" spans="1:7" x14ac:dyDescent="0.25">
      <c r="A671" s="7">
        <v>0.18948968420030682</v>
      </c>
      <c r="B671"/>
      <c r="C671"/>
      <c r="D671"/>
      <c r="E671"/>
      <c r="F671" s="27" t="s">
        <v>7</v>
      </c>
      <c r="G671" s="27" t="s">
        <v>8</v>
      </c>
    </row>
    <row r="672" spans="1:7" x14ac:dyDescent="0.25">
      <c r="A672" s="7">
        <v>0.18577420019637925</v>
      </c>
      <c r="B672"/>
      <c r="C672"/>
      <c r="D672"/>
      <c r="E672"/>
      <c r="F672" s="27" t="s">
        <v>7</v>
      </c>
      <c r="G672" s="27" t="s">
        <v>8</v>
      </c>
    </row>
    <row r="673" spans="1:7" x14ac:dyDescent="0.25">
      <c r="A673" s="7">
        <v>0.18213156881997963</v>
      </c>
      <c r="B673"/>
      <c r="C673"/>
      <c r="D673"/>
      <c r="E673"/>
      <c r="F673" s="27" t="s">
        <v>7</v>
      </c>
      <c r="G673" s="27" t="s">
        <v>8</v>
      </c>
    </row>
    <row r="674" spans="1:7" x14ac:dyDescent="0.25">
      <c r="A674" s="7">
        <v>0.17856036158821534</v>
      </c>
      <c r="B674"/>
      <c r="C674"/>
      <c r="D674"/>
      <c r="E674"/>
      <c r="F674" s="27" t="s">
        <v>7</v>
      </c>
      <c r="G674" s="27" t="s">
        <v>8</v>
      </c>
    </row>
    <row r="675" spans="1:7" x14ac:dyDescent="0.25">
      <c r="A675" s="7">
        <v>0.17505917802766208</v>
      </c>
      <c r="B675"/>
      <c r="C675"/>
      <c r="D675"/>
      <c r="E675"/>
      <c r="F675" s="27" t="s">
        <v>7</v>
      </c>
      <c r="G675" s="27" t="s">
        <v>8</v>
      </c>
    </row>
    <row r="676" spans="1:7" x14ac:dyDescent="0.25">
      <c r="A676" s="7">
        <v>0.17162664512515888</v>
      </c>
      <c r="B676"/>
      <c r="C676"/>
      <c r="D676"/>
      <c r="E676"/>
      <c r="F676" s="27" t="s">
        <v>7</v>
      </c>
      <c r="G676" s="27" t="s">
        <v>8</v>
      </c>
    </row>
    <row r="677" spans="1:7" x14ac:dyDescent="0.25">
      <c r="A677" s="7">
        <v>0.16826141678937145</v>
      </c>
      <c r="B677"/>
      <c r="C677"/>
      <c r="D677"/>
      <c r="E677"/>
      <c r="F677" s="27" t="s">
        <v>7</v>
      </c>
      <c r="G677" s="27" t="s">
        <v>8</v>
      </c>
    </row>
    <row r="678" spans="1:7" x14ac:dyDescent="0.25">
      <c r="A678" s="7">
        <v>0.16496217332291319</v>
      </c>
      <c r="B678"/>
      <c r="C678"/>
      <c r="D678"/>
      <c r="E678"/>
      <c r="F678" s="27" t="s">
        <v>7</v>
      </c>
      <c r="G678" s="27" t="s">
        <v>8</v>
      </c>
    </row>
    <row r="679" spans="1:7" x14ac:dyDescent="0.25">
      <c r="A679" s="7">
        <v>0.16172762090481685</v>
      </c>
      <c r="B679"/>
      <c r="C679"/>
      <c r="D679"/>
      <c r="E679"/>
      <c r="F679" s="27" t="s">
        <v>7</v>
      </c>
      <c r="G679" s="27" t="s">
        <v>8</v>
      </c>
    </row>
    <row r="680" spans="1:7" x14ac:dyDescent="0.25">
      <c r="A680" s="7">
        <v>0.15855649108315376</v>
      </c>
      <c r="B680"/>
      <c r="C680"/>
      <c r="D680"/>
      <c r="E680"/>
      <c r="F680" s="27" t="s">
        <v>7</v>
      </c>
      <c r="G680" s="27" t="s">
        <v>8</v>
      </c>
    </row>
    <row r="681" spans="1:7" x14ac:dyDescent="0.25">
      <c r="A681" s="7">
        <v>0.15544754027760171</v>
      </c>
      <c r="B681"/>
      <c r="C681"/>
      <c r="D681"/>
      <c r="E681"/>
      <c r="F681" s="27" t="s">
        <v>7</v>
      </c>
      <c r="G681" s="27" t="s">
        <v>8</v>
      </c>
    </row>
    <row r="682" spans="1:7" x14ac:dyDescent="0.25">
      <c r="A682" s="7">
        <v>0.15239954929176638</v>
      </c>
      <c r="B682"/>
      <c r="C682"/>
      <c r="D682"/>
      <c r="E682"/>
      <c r="F682" s="27" t="s">
        <v>7</v>
      </c>
      <c r="G682" s="27" t="s">
        <v>8</v>
      </c>
    </row>
    <row r="683" spans="1:7" x14ac:dyDescent="0.25">
      <c r="A683" s="7">
        <v>0.14941132283506509</v>
      </c>
      <c r="B683"/>
      <c r="C683"/>
      <c r="D683"/>
      <c r="E683"/>
      <c r="F683" s="27" t="s">
        <v>7</v>
      </c>
      <c r="G683" s="27" t="s">
        <v>8</v>
      </c>
    </row>
    <row r="684" spans="1:7" x14ac:dyDescent="0.25">
      <c r="A684" s="7">
        <v>0.14648168905398537</v>
      </c>
      <c r="B684"/>
      <c r="C684"/>
      <c r="D684"/>
      <c r="E684"/>
      <c r="F684" s="27" t="s">
        <v>7</v>
      </c>
      <c r="G684" s="27" t="s">
        <v>8</v>
      </c>
    </row>
    <row r="685" spans="1:7" x14ac:dyDescent="0.25">
      <c r="A685" s="7">
        <v>0.14360949907253467</v>
      </c>
      <c r="B685"/>
      <c r="C685"/>
      <c r="D685"/>
      <c r="E685"/>
      <c r="F685" s="27" t="s">
        <v>7</v>
      </c>
      <c r="G685" s="27" t="s">
        <v>8</v>
      </c>
    </row>
    <row r="686" spans="1:7" x14ac:dyDescent="0.25">
      <c r="A686" s="7">
        <v>0.14079362654170066</v>
      </c>
      <c r="B686"/>
      <c r="C686"/>
      <c r="D686"/>
      <c r="E686"/>
      <c r="F686" s="27" t="s">
        <v>7</v>
      </c>
      <c r="G686" s="27" t="s">
        <v>8</v>
      </c>
    </row>
    <row r="687" spans="1:7" x14ac:dyDescent="0.25">
      <c r="A687" s="7">
        <v>0.13803296719774574</v>
      </c>
      <c r="B687"/>
      <c r="C687"/>
      <c r="D687"/>
      <c r="E687"/>
      <c r="F687" s="27" t="s">
        <v>7</v>
      </c>
      <c r="G687" s="27" t="s">
        <v>8</v>
      </c>
    </row>
    <row r="688" spans="1:7" x14ac:dyDescent="0.25">
      <c r="A688" s="7">
        <v>0.1353264384291625</v>
      </c>
      <c r="B688"/>
      <c r="C688"/>
      <c r="D688"/>
      <c r="E688"/>
      <c r="F688" s="27" t="s">
        <v>7</v>
      </c>
      <c r="G688" s="27" t="s">
        <v>8</v>
      </c>
    </row>
    <row r="689" spans="1:7" x14ac:dyDescent="0.25">
      <c r="A689" s="7">
        <v>0.13267297885212009</v>
      </c>
      <c r="B689"/>
      <c r="C689"/>
      <c r="D689"/>
      <c r="E689"/>
      <c r="F689" s="27" t="s">
        <v>7</v>
      </c>
      <c r="G689" s="27" t="s">
        <v>8</v>
      </c>
    </row>
    <row r="690" spans="1:7" x14ac:dyDescent="0.25">
      <c r="A690" s="7">
        <v>0.13007154789423539</v>
      </c>
      <c r="B690"/>
      <c r="C690"/>
      <c r="D690"/>
      <c r="E690"/>
      <c r="F690" s="27" t="s">
        <v>7</v>
      </c>
      <c r="G690" s="27" t="s">
        <v>8</v>
      </c>
    </row>
    <row r="691" spans="1:7" x14ac:dyDescent="0.25">
      <c r="A691" s="7">
        <v>0.12752112538650529</v>
      </c>
      <c r="B691"/>
      <c r="C691"/>
      <c r="D691"/>
      <c r="E691"/>
      <c r="F691" s="27" t="s">
        <v>7</v>
      </c>
      <c r="G691" s="27" t="s">
        <v>8</v>
      </c>
    </row>
    <row r="692" spans="1:7" x14ac:dyDescent="0.25">
      <c r="A692" s="7">
        <v>0.12502071116324048</v>
      </c>
      <c r="B692"/>
      <c r="C692"/>
      <c r="D692"/>
      <c r="E692"/>
      <c r="F692" s="27" t="s">
        <v>7</v>
      </c>
      <c r="G692" s="27" t="s">
        <v>8</v>
      </c>
    </row>
    <row r="693" spans="1:7" x14ac:dyDescent="0.25">
      <c r="A693" s="7">
        <v>0.1225693246698436</v>
      </c>
      <c r="B693"/>
      <c r="C693"/>
      <c r="D693"/>
      <c r="E693"/>
      <c r="F693" s="27" t="s">
        <v>7</v>
      </c>
    </row>
    <row r="694" spans="1:7" x14ac:dyDescent="0.25">
      <c r="A694" s="7">
        <v>0.12016600457827803</v>
      </c>
      <c r="B694"/>
      <c r="C694"/>
      <c r="D694"/>
      <c r="E694"/>
    </row>
    <row r="695" spans="1:7" x14ac:dyDescent="0.25">
      <c r="A695" s="7">
        <v>0.1178098084100765</v>
      </c>
      <c r="B695"/>
      <c r="C695"/>
      <c r="D695"/>
      <c r="E695"/>
    </row>
    <row r="696" spans="1:7" x14ac:dyDescent="0.25">
      <c r="A696" s="7">
        <v>0.11549981216674166</v>
      </c>
      <c r="B696"/>
      <c r="C696"/>
      <c r="D696"/>
      <c r="E696"/>
    </row>
    <row r="697" spans="1:7" x14ac:dyDescent="0.25">
      <c r="A697" s="7">
        <v>0.11323510996739378</v>
      </c>
      <c r="B697"/>
      <c r="C697"/>
      <c r="D697"/>
      <c r="E697"/>
    </row>
    <row r="698" spans="1:7" x14ac:dyDescent="0.25">
      <c r="A698" s="7">
        <v>0.11101481369352331</v>
      </c>
      <c r="B698"/>
      <c r="C698"/>
      <c r="D698"/>
      <c r="E698"/>
    </row>
    <row r="699" spans="1:7" x14ac:dyDescent="0.25">
      <c r="A699" s="7">
        <v>0.10883805264070913</v>
      </c>
      <c r="B699"/>
      <c r="C699"/>
      <c r="D699"/>
      <c r="E699"/>
    </row>
    <row r="700" spans="1:7" x14ac:dyDescent="0.25">
      <c r="A700" s="7">
        <v>0.10670397317716582</v>
      </c>
      <c r="B700"/>
      <c r="C700"/>
      <c r="D700"/>
      <c r="E700"/>
    </row>
    <row r="701" spans="1:7" x14ac:dyDescent="0.25">
      <c r="A701" s="7">
        <v>0.1046117384089861</v>
      </c>
      <c r="B701"/>
      <c r="C701"/>
      <c r="D701"/>
      <c r="E701"/>
    </row>
    <row r="702" spans="1:7" x14ac:dyDescent="0.25">
      <c r="A702" s="7">
        <v>0.10256052785194716</v>
      </c>
      <c r="B702"/>
      <c r="C702"/>
      <c r="D702"/>
      <c r="E702"/>
    </row>
    <row r="703" spans="1:7" x14ac:dyDescent="0.25">
      <c r="A703" s="7">
        <v>0.10054953710975212</v>
      </c>
      <c r="B703"/>
      <c r="C703"/>
      <c r="D703"/>
      <c r="E703"/>
    </row>
    <row r="704" spans="1:7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55" operator="equal">
      <formula>$U$1</formula>
    </cfRule>
    <cfRule type="cellIs" dxfId="89" priority="856" operator="equal">
      <formula>$S$1</formula>
    </cfRule>
  </conditionalFormatting>
  <conditionalFormatting sqref="D27">
    <cfRule type="cellIs" dxfId="88" priority="853" operator="equal">
      <formula>$S$1</formula>
    </cfRule>
    <cfRule type="cellIs" dxfId="87" priority="854" operator="equal">
      <formula>$U$1</formula>
    </cfRule>
  </conditionalFormatting>
  <conditionalFormatting sqref="C164">
    <cfRule type="cellIs" dxfId="86" priority="851" operator="equal">
      <formula>$U$1</formula>
    </cfRule>
    <cfRule type="cellIs" dxfId="85" priority="852" operator="equal">
      <formula>$S$1</formula>
    </cfRule>
  </conditionalFormatting>
  <conditionalFormatting sqref="D164">
    <cfRule type="cellIs" dxfId="84" priority="849" operator="equal">
      <formula>$S$1</formula>
    </cfRule>
    <cfRule type="cellIs" dxfId="83" priority="850" operator="equal">
      <formula>$U$1</formula>
    </cfRule>
  </conditionalFormatting>
  <conditionalFormatting sqref="C55">
    <cfRule type="cellIs" dxfId="82" priority="847" operator="equal">
      <formula>$U$1</formula>
    </cfRule>
    <cfRule type="cellIs" dxfId="81" priority="848" operator="equal">
      <formula>$S$1</formula>
    </cfRule>
  </conditionalFormatting>
  <conditionalFormatting sqref="D55">
    <cfRule type="cellIs" dxfId="80" priority="845" operator="equal">
      <formula>$S$1</formula>
    </cfRule>
    <cfRule type="cellIs" dxfId="79" priority="846" operator="equal">
      <formula>$U$1</formula>
    </cfRule>
  </conditionalFormatting>
  <conditionalFormatting sqref="C89">
    <cfRule type="cellIs" dxfId="78" priority="843" operator="equal">
      <formula>$U$1</formula>
    </cfRule>
    <cfRule type="cellIs" dxfId="77" priority="844" operator="equal">
      <formula>$S$1</formula>
    </cfRule>
  </conditionalFormatting>
  <conditionalFormatting sqref="D89">
    <cfRule type="cellIs" dxfId="76" priority="841" operator="equal">
      <formula>$S$1</formula>
    </cfRule>
    <cfRule type="cellIs" dxfId="75" priority="842" operator="equal">
      <formula>$U$1</formula>
    </cfRule>
  </conditionalFormatting>
  <conditionalFormatting sqref="C136">
    <cfRule type="cellIs" dxfId="74" priority="839" operator="equal">
      <formula>$U$1</formula>
    </cfRule>
    <cfRule type="cellIs" dxfId="73" priority="840" operator="equal">
      <formula>$S$1</formula>
    </cfRule>
  </conditionalFormatting>
  <conditionalFormatting sqref="D136">
    <cfRule type="cellIs" dxfId="72" priority="837" operator="equal">
      <formula>$S$1</formula>
    </cfRule>
    <cfRule type="cellIs" dxfId="71" priority="838" operator="equal">
      <formula>$U$1</formula>
    </cfRule>
  </conditionalFormatting>
  <conditionalFormatting sqref="C1">
    <cfRule type="cellIs" dxfId="70" priority="83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53" zoomScale="90" zoomScaleNormal="90" workbookViewId="0">
      <pane xSplit="4" topLeftCell="CC1" activePane="topRight" state="frozen"/>
      <selection activeCell="A109" sqref="A109"/>
      <selection pane="topRight" activeCell="ES158" sqref="ES15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$A$157</v>
      </c>
      <c r="D111" s="1" t="str">
        <f>ADDRESS(C121-1,D121,1,1)</f>
        <v>$ES$157</v>
      </c>
      <c r="E111"/>
    </row>
    <row r="112" spans="1:5" x14ac:dyDescent="0.25">
      <c r="A112" s="30">
        <v>515.50191262726139</v>
      </c>
      <c r="C112" s="1" t="str">
        <f>ADDRESS(C121,1,1,1)</f>
        <v>$A$158</v>
      </c>
      <c r="D112" s="1" t="str">
        <f>ADDRESS(C121,D121-1,1,1)</f>
        <v>$ER$158</v>
      </c>
      <c r="E112"/>
    </row>
    <row r="113" spans="1:5" x14ac:dyDescent="0.25">
      <c r="A113" s="30">
        <v>490.95420250215363</v>
      </c>
      <c r="C113" s="1" t="str">
        <f>ADDRESS(C121+1,1,1,1)</f>
        <v>$A$159</v>
      </c>
      <c r="D113" s="1" t="str">
        <f>ADDRESS(C121-1,D121+1,1,1)</f>
        <v>$ET$157</v>
      </c>
    </row>
    <row r="114" spans="1:5" x14ac:dyDescent="0.25">
      <c r="A114" s="30">
        <v>467.57543095443202</v>
      </c>
      <c r="C114" s="1" t="str">
        <f>ADDRESS(C121,D121,1,1)</f>
        <v>$ES$158</v>
      </c>
      <c r="D114" s="1" t="str">
        <f>ADDRESS(C121+1,D121+1,1,1)</f>
        <v>$ET$159</v>
      </c>
    </row>
    <row r="115" spans="1:5" x14ac:dyDescent="0.25">
      <c r="A115" s="30">
        <v>445.30993424231622</v>
      </c>
      <c r="C115" s="1" t="str">
        <f>ADDRESS(C121+1,D121,1,1)</f>
        <v>$ES$159</v>
      </c>
    </row>
    <row r="116" spans="1:5" x14ac:dyDescent="0.25">
      <c r="A116" s="30">
        <v>424.10469927839637</v>
      </c>
      <c r="C116" s="1">
        <f>C117-1</f>
        <v>157</v>
      </c>
    </row>
    <row r="117" spans="1:5" x14ac:dyDescent="0.25">
      <c r="A117" s="30">
        <v>403.9092374079965</v>
      </c>
      <c r="C117" s="1">
        <f>C121</f>
        <v>158</v>
      </c>
      <c r="D117" s="1">
        <f>D121</f>
        <v>149</v>
      </c>
    </row>
    <row r="118" spans="1:5" x14ac:dyDescent="0.25">
      <c r="A118" s="30">
        <v>384.6754641980919</v>
      </c>
      <c r="C118" s="1">
        <f>C117+1</f>
        <v>159</v>
      </c>
      <c r="D118" s="1">
        <f>D117+1</f>
        <v>150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158</v>
      </c>
      <c r="D121" s="19">
        <v>149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R158</v>
      </c>
      <c r="D123" s="1" t="str">
        <f>"C"&amp;D121</f>
        <v>C149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54.641488776193974</v>
      </c>
      <c r="D127"/>
    </row>
    <row r="128" spans="1:5" x14ac:dyDescent="0.25">
      <c r="A128" s="30">
        <v>236.15736578315241</v>
      </c>
    </row>
    <row r="129" spans="1:145" x14ac:dyDescent="0.25">
      <c r="A129" s="30">
        <v>224.91177693633563</v>
      </c>
      <c r="C129" s="1" t="s">
        <v>11</v>
      </c>
      <c r="D129" s="1" t="s">
        <v>12</v>
      </c>
      <c r="E129"/>
    </row>
    <row r="130" spans="1:145" x14ac:dyDescent="0.25">
      <c r="A130" s="30">
        <v>214.20169232031964</v>
      </c>
      <c r="C130" s="6"/>
      <c r="D130" s="6"/>
      <c r="E130"/>
    </row>
    <row r="131" spans="1:145" x14ac:dyDescent="0.25">
      <c r="A131" s="30">
        <v>204.00161173363773</v>
      </c>
      <c r="E131"/>
    </row>
    <row r="132" spans="1:145" x14ac:dyDescent="0.25">
      <c r="A132" s="30">
        <v>194.28724927013116</v>
      </c>
      <c r="C132" s="1" t="s">
        <v>13</v>
      </c>
      <c r="E132"/>
    </row>
    <row r="133" spans="1:145" x14ac:dyDescent="0.25">
      <c r="A133" s="30">
        <v>185.03547549536299</v>
      </c>
      <c r="C133" s="1" t="str">
        <f>C122</f>
        <v>X</v>
      </c>
      <c r="E133"/>
    </row>
    <row r="134" spans="1:145" x14ac:dyDescent="0.25">
      <c r="A134" s="30">
        <v>176.22426237653616</v>
      </c>
      <c r="C134"/>
      <c r="E134"/>
    </row>
    <row r="135" spans="1:145" x14ac:dyDescent="0.25">
      <c r="A135" s="30">
        <v>167.83263083479633</v>
      </c>
      <c r="C135" s="1" t="s">
        <v>14</v>
      </c>
      <c r="E135"/>
    </row>
    <row r="136" spans="1:14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  <c r="EG136" s="27" t="s">
        <v>8</v>
      </c>
      <c r="EI136" s="27" t="s">
        <v>8</v>
      </c>
    </row>
    <row r="137" spans="1:145" x14ac:dyDescent="0.25">
      <c r="A137" s="30">
        <v>152.22914361432771</v>
      </c>
      <c r="E137"/>
      <c r="EA137" s="27" t="s">
        <v>8</v>
      </c>
      <c r="EG137" s="27" t="s">
        <v>8</v>
      </c>
      <c r="EH137" s="27" t="s">
        <v>7</v>
      </c>
      <c r="EI137" s="27" t="s">
        <v>8</v>
      </c>
      <c r="EJ137" s="27" t="s">
        <v>7</v>
      </c>
    </row>
    <row r="138" spans="1:14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  <c r="EA138" s="27" t="s">
        <v>8</v>
      </c>
      <c r="EB138" s="27" t="s">
        <v>7</v>
      </c>
      <c r="EE138" s="27" t="s">
        <v>8</v>
      </c>
      <c r="EG138" s="27" t="s">
        <v>8</v>
      </c>
      <c r="EH138" s="27" t="s">
        <v>7</v>
      </c>
      <c r="EI138" s="27" t="s">
        <v>8</v>
      </c>
      <c r="EJ138" s="27" t="s">
        <v>7</v>
      </c>
    </row>
    <row r="139" spans="1:145" x14ac:dyDescent="0.25">
      <c r="A139" s="30">
        <v>138.07632073861922</v>
      </c>
      <c r="E139"/>
      <c r="EA139" s="27" t="s">
        <v>8</v>
      </c>
      <c r="EB139" s="27" t="s">
        <v>7</v>
      </c>
      <c r="EC139" s="27" t="s">
        <v>8</v>
      </c>
      <c r="EE139" s="27" t="s">
        <v>8</v>
      </c>
      <c r="EF139" s="27" t="s">
        <v>7</v>
      </c>
      <c r="EG139" s="27" t="s">
        <v>8</v>
      </c>
      <c r="EH139" s="27" t="s">
        <v>7</v>
      </c>
      <c r="EI139" s="27" t="s">
        <v>8</v>
      </c>
      <c r="EJ139" s="27" t="s">
        <v>7</v>
      </c>
    </row>
    <row r="140" spans="1:145" x14ac:dyDescent="0.25">
      <c r="A140" s="30">
        <v>131.50125784630401</v>
      </c>
      <c r="C140" s="1">
        <v>0</v>
      </c>
      <c r="E140"/>
      <c r="EA140" s="27" t="s">
        <v>8</v>
      </c>
      <c r="EB140" s="27" t="s">
        <v>7</v>
      </c>
      <c r="EC140" s="27" t="s">
        <v>8</v>
      </c>
      <c r="ED140" s="27" t="s">
        <v>7</v>
      </c>
      <c r="EE140" s="27" t="s">
        <v>8</v>
      </c>
      <c r="EF140" s="27" t="s">
        <v>7</v>
      </c>
      <c r="EG140" s="27" t="s">
        <v>8</v>
      </c>
      <c r="EH140" s="27" t="s">
        <v>7</v>
      </c>
      <c r="EJ140" s="27" t="s">
        <v>7</v>
      </c>
    </row>
    <row r="141" spans="1:145" x14ac:dyDescent="0.25">
      <c r="A141" s="30">
        <v>125.23929318695619</v>
      </c>
      <c r="C141" s="1">
        <v>1</v>
      </c>
      <c r="E141"/>
      <c r="EA141" s="27" t="s">
        <v>8</v>
      </c>
      <c r="EB141" s="27" t="s">
        <v>7</v>
      </c>
      <c r="EC141" s="27" t="s">
        <v>8</v>
      </c>
      <c r="ED141" s="27" t="s">
        <v>7</v>
      </c>
      <c r="EE141" s="27" t="s">
        <v>8</v>
      </c>
      <c r="EF141" s="27" t="s">
        <v>7</v>
      </c>
      <c r="EG141" s="27" t="s">
        <v>8</v>
      </c>
      <c r="EJ141" s="27" t="s">
        <v>7</v>
      </c>
    </row>
    <row r="142" spans="1:145" x14ac:dyDescent="0.25">
      <c r="A142" s="30">
        <v>119.27551732091065</v>
      </c>
      <c r="C142" s="1">
        <v>2</v>
      </c>
      <c r="E142"/>
      <c r="EA142" s="27" t="s">
        <v>8</v>
      </c>
      <c r="EB142" s="27" t="s">
        <v>7</v>
      </c>
      <c r="ED142" s="27" t="s">
        <v>7</v>
      </c>
      <c r="EE142" s="27" t="s">
        <v>8</v>
      </c>
      <c r="EF142" s="27" t="s">
        <v>7</v>
      </c>
      <c r="EJ142" s="27" t="s">
        <v>7</v>
      </c>
      <c r="EK142" s="27" t="s">
        <v>8</v>
      </c>
      <c r="EM142" s="27" t="s">
        <v>8</v>
      </c>
    </row>
    <row r="143" spans="1:145" x14ac:dyDescent="0.25">
      <c r="A143" s="30">
        <v>113.59573078181967</v>
      </c>
      <c r="C143" s="1">
        <v>3</v>
      </c>
      <c r="E143"/>
      <c r="EA143" s="27" t="s">
        <v>8</v>
      </c>
      <c r="ED143" s="27" t="s">
        <v>7</v>
      </c>
      <c r="EJ143" s="27" t="s">
        <v>7</v>
      </c>
      <c r="EK143" s="27" t="s">
        <v>8</v>
      </c>
      <c r="EL143" s="27" t="s">
        <v>7</v>
      </c>
      <c r="EM143" s="27" t="s">
        <v>8</v>
      </c>
      <c r="EN143" s="27" t="s">
        <v>7</v>
      </c>
    </row>
    <row r="144" spans="1:145" x14ac:dyDescent="0.25">
      <c r="A144" s="30">
        <v>108.18641026839968</v>
      </c>
      <c r="C144" s="1">
        <v>4</v>
      </c>
      <c r="E144"/>
      <c r="EA144" s="27" t="s">
        <v>8</v>
      </c>
      <c r="EJ144" s="27" t="s">
        <v>7</v>
      </c>
      <c r="EK144" s="27" t="s">
        <v>8</v>
      </c>
      <c r="EL144" s="27" t="s">
        <v>7</v>
      </c>
      <c r="EM144" s="27" t="s">
        <v>8</v>
      </c>
      <c r="EN144" s="27" t="s">
        <v>7</v>
      </c>
      <c r="EO144" s="27" t="s">
        <v>8</v>
      </c>
    </row>
    <row r="145" spans="1:149" x14ac:dyDescent="0.25">
      <c r="A145" s="30">
        <v>103.03467644609493</v>
      </c>
      <c r="E145"/>
      <c r="EA145" s="27" t="s">
        <v>8</v>
      </c>
      <c r="EJ145" s="27" t="s">
        <v>7</v>
      </c>
      <c r="EL145" s="27" t="s">
        <v>7</v>
      </c>
      <c r="EM145" s="27" t="s">
        <v>8</v>
      </c>
      <c r="EN145" s="27" t="s">
        <v>7</v>
      </c>
      <c r="EO145" s="27" t="s">
        <v>8</v>
      </c>
      <c r="EP145" s="27" t="s">
        <v>7</v>
      </c>
    </row>
    <row r="146" spans="1:149" x14ac:dyDescent="0.25">
      <c r="A146" s="30">
        <v>98.128263281995174</v>
      </c>
      <c r="E146"/>
      <c r="EA146" s="27" t="s">
        <v>8</v>
      </c>
      <c r="EL146" s="27" t="s">
        <v>7</v>
      </c>
      <c r="EN146" s="27" t="s">
        <v>7</v>
      </c>
      <c r="EO146" s="27" t="s">
        <v>8</v>
      </c>
      <c r="EP146" s="27" t="s">
        <v>7</v>
      </c>
    </row>
    <row r="147" spans="1:149" x14ac:dyDescent="0.25">
      <c r="A147" s="30">
        <v>93.455488839995397</v>
      </c>
      <c r="E147"/>
      <c r="DU147" s="27" t="s">
        <v>8</v>
      </c>
      <c r="EA147" s="27" t="s">
        <v>8</v>
      </c>
      <c r="EN147" s="27" t="s">
        <v>7</v>
      </c>
      <c r="EP147" s="27" t="s">
        <v>7</v>
      </c>
    </row>
    <row r="148" spans="1:149" x14ac:dyDescent="0.25">
      <c r="A148" s="30">
        <v>89.005227466662276</v>
      </c>
      <c r="E148"/>
      <c r="DU148" s="27" t="s">
        <v>8</v>
      </c>
      <c r="DV148" s="27" t="s">
        <v>7</v>
      </c>
      <c r="EA148" s="27" t="s">
        <v>8</v>
      </c>
      <c r="EP148" s="27" t="s">
        <v>7</v>
      </c>
    </row>
    <row r="149" spans="1:149" x14ac:dyDescent="0.25">
      <c r="A149" s="30">
        <v>84.766883301583121</v>
      </c>
      <c r="E149"/>
      <c r="DU149" s="27" t="s">
        <v>8</v>
      </c>
      <c r="DV149" s="27" t="s">
        <v>7</v>
      </c>
      <c r="EA149" s="27" t="s">
        <v>8</v>
      </c>
      <c r="EP149" s="27" t="s">
        <v>7</v>
      </c>
    </row>
    <row r="150" spans="1:149" x14ac:dyDescent="0.25">
      <c r="A150" s="30">
        <v>80.730365049126775</v>
      </c>
      <c r="E150"/>
      <c r="DQ150" s="27" t="s">
        <v>8</v>
      </c>
      <c r="DS150" s="27" t="s">
        <v>8</v>
      </c>
      <c r="DU150" s="27" t="s">
        <v>8</v>
      </c>
      <c r="DV150" s="27" t="s">
        <v>7</v>
      </c>
      <c r="EA150" s="27" t="s">
        <v>8</v>
      </c>
      <c r="EP150" s="27" t="s">
        <v>7</v>
      </c>
      <c r="EQ150" s="27" t="s">
        <v>8</v>
      </c>
    </row>
    <row r="151" spans="1:149" x14ac:dyDescent="0.25">
      <c r="A151" s="30">
        <v>76.886061951549308</v>
      </c>
      <c r="E151"/>
      <c r="DM151" s="27" t="s">
        <v>8</v>
      </c>
      <c r="DQ151" s="27" t="s">
        <v>8</v>
      </c>
      <c r="DR151" s="27" t="s">
        <v>7</v>
      </c>
      <c r="DS151" s="27" t="s">
        <v>8</v>
      </c>
      <c r="DT151" s="27" t="s">
        <v>7</v>
      </c>
      <c r="DU151" s="27" t="s">
        <v>8</v>
      </c>
      <c r="DV151" s="27" t="s">
        <v>7</v>
      </c>
      <c r="EA151" s="27" t="s">
        <v>8</v>
      </c>
      <c r="EP151" s="27" t="s">
        <v>7</v>
      </c>
      <c r="EQ151" s="27" t="s">
        <v>8</v>
      </c>
      <c r="ER151" s="27" t="s">
        <v>7</v>
      </c>
    </row>
    <row r="152" spans="1:149" x14ac:dyDescent="0.25">
      <c r="A152" s="30">
        <v>73.22482090623744</v>
      </c>
      <c r="E152"/>
      <c r="DM152" s="27" t="s">
        <v>8</v>
      </c>
      <c r="DN152" s="27" t="s">
        <v>7</v>
      </c>
      <c r="DO152" s="27" t="s">
        <v>8</v>
      </c>
      <c r="DQ152" s="27" t="s">
        <v>8</v>
      </c>
      <c r="DR152" s="27" t="s">
        <v>7</v>
      </c>
      <c r="DS152" s="27" t="s">
        <v>8</v>
      </c>
      <c r="DT152" s="27" t="s">
        <v>7</v>
      </c>
      <c r="DU152" s="27" t="s">
        <v>8</v>
      </c>
      <c r="DV152" s="27" t="s">
        <v>7</v>
      </c>
      <c r="EA152" s="27" t="s">
        <v>8</v>
      </c>
      <c r="EP152" s="27" t="s">
        <v>7</v>
      </c>
      <c r="EQ152" s="27" t="s">
        <v>8</v>
      </c>
      <c r="ER152" s="27" t="s">
        <v>7</v>
      </c>
    </row>
    <row r="153" spans="1:149" x14ac:dyDescent="0.25">
      <c r="A153" s="30">
        <v>69.737924672607079</v>
      </c>
      <c r="C153" s="7"/>
      <c r="D153"/>
      <c r="E153"/>
      <c r="DM153" s="27" t="s">
        <v>8</v>
      </c>
      <c r="DN153" s="27" t="s">
        <v>7</v>
      </c>
      <c r="DO153" s="27" t="s">
        <v>8</v>
      </c>
      <c r="DP153" s="27" t="s">
        <v>7</v>
      </c>
      <c r="DQ153" s="27" t="s">
        <v>8</v>
      </c>
      <c r="DR153" s="27" t="s">
        <v>7</v>
      </c>
      <c r="DS153" s="27" t="s">
        <v>8</v>
      </c>
      <c r="DT153" s="27" t="s">
        <v>7</v>
      </c>
      <c r="DV153" s="27" t="s">
        <v>7</v>
      </c>
      <c r="DW153" s="27" t="s">
        <v>8</v>
      </c>
      <c r="DY153" s="27" t="s">
        <v>8</v>
      </c>
      <c r="EA153" s="27" t="s">
        <v>8</v>
      </c>
      <c r="EP153" s="27" t="s">
        <v>7</v>
      </c>
      <c r="EQ153" s="27" t="s">
        <v>8</v>
      </c>
      <c r="ER153" s="27" t="s">
        <v>7</v>
      </c>
    </row>
    <row r="154" spans="1:149" x14ac:dyDescent="0.25">
      <c r="A154" s="30">
        <v>66.417071116768639</v>
      </c>
      <c r="E154"/>
      <c r="DM154" s="27" t="s">
        <v>8</v>
      </c>
      <c r="DN154" s="27" t="s">
        <v>7</v>
      </c>
      <c r="DO154" s="27" t="s">
        <v>8</v>
      </c>
      <c r="DP154" s="27" t="s">
        <v>7</v>
      </c>
      <c r="DQ154" s="27" t="s">
        <v>8</v>
      </c>
      <c r="DR154" s="27" t="s">
        <v>7</v>
      </c>
      <c r="DV154" s="27" t="s">
        <v>7</v>
      </c>
      <c r="DW154" s="27" t="s">
        <v>8</v>
      </c>
      <c r="DX154" s="27" t="s">
        <v>7</v>
      </c>
      <c r="DY154" s="27" t="s">
        <v>8</v>
      </c>
      <c r="DZ154" s="27" t="s">
        <v>7</v>
      </c>
      <c r="EA154" s="27" t="s">
        <v>8</v>
      </c>
      <c r="EP154" s="27" t="s">
        <v>7</v>
      </c>
      <c r="ER154" s="27" t="s">
        <v>7</v>
      </c>
    </row>
    <row r="155" spans="1:149" x14ac:dyDescent="0.25">
      <c r="A155" s="30">
        <v>63.254353444541557</v>
      </c>
      <c r="E155"/>
      <c r="DM155" s="27" t="s">
        <v>8</v>
      </c>
      <c r="DN155" s="27" t="s">
        <v>7</v>
      </c>
      <c r="DP155" s="27" t="s">
        <v>7</v>
      </c>
      <c r="DV155" s="27" t="s">
        <v>7</v>
      </c>
      <c r="DW155" s="27" t="s">
        <v>8</v>
      </c>
      <c r="DX155" s="27" t="s">
        <v>7</v>
      </c>
      <c r="DY155" s="27" t="s">
        <v>8</v>
      </c>
      <c r="DZ155" s="27" t="s">
        <v>7</v>
      </c>
      <c r="EA155" s="27" t="s">
        <v>8</v>
      </c>
      <c r="ER155" s="27" t="s">
        <v>7</v>
      </c>
    </row>
    <row r="156" spans="1:149" x14ac:dyDescent="0.25">
      <c r="A156" s="30">
        <v>60.242241375753864</v>
      </c>
      <c r="C156"/>
      <c r="D156"/>
      <c r="E156"/>
      <c r="DM156" s="27" t="s">
        <v>8</v>
      </c>
      <c r="DV156" s="27" t="s">
        <v>7</v>
      </c>
      <c r="DW156" s="27" t="s">
        <v>8</v>
      </c>
      <c r="DX156" s="27" t="s">
        <v>7</v>
      </c>
      <c r="DY156" s="27" t="s">
        <v>8</v>
      </c>
      <c r="DZ156" s="27" t="s">
        <v>7</v>
      </c>
      <c r="ER156" s="27" t="s">
        <v>7</v>
      </c>
    </row>
    <row r="157" spans="1:149" x14ac:dyDescent="0.25">
      <c r="A157" s="30">
        <v>57.373563215003678</v>
      </c>
      <c r="E157"/>
      <c r="DM157" s="27" t="s">
        <v>8</v>
      </c>
      <c r="DV157" s="27" t="s">
        <v>7</v>
      </c>
      <c r="DX157" s="27" t="s">
        <v>7</v>
      </c>
      <c r="DY157" s="27" t="s">
        <v>8</v>
      </c>
      <c r="ER157" s="27" t="s">
        <v>7</v>
      </c>
    </row>
    <row r="158" spans="1:149" x14ac:dyDescent="0.25">
      <c r="A158" s="30">
        <v>54.641488776193974</v>
      </c>
      <c r="E158"/>
      <c r="DM158" s="27" t="s">
        <v>8</v>
      </c>
      <c r="DX158" s="27" t="s">
        <v>7</v>
      </c>
      <c r="DY158" s="27" t="s">
        <v>8</v>
      </c>
      <c r="ER158" s="27" t="s">
        <v>7</v>
      </c>
      <c r="ES158" s="27" t="s">
        <v>8</v>
      </c>
    </row>
    <row r="159" spans="1:149" x14ac:dyDescent="0.25">
      <c r="A159" s="30">
        <v>52.039513120184736</v>
      </c>
      <c r="E159"/>
      <c r="DI159" s="31" t="s">
        <v>8</v>
      </c>
      <c r="DM159" s="27" t="s">
        <v>8</v>
      </c>
      <c r="DX159" s="27" t="s">
        <v>7</v>
      </c>
      <c r="DY159" s="27" t="s">
        <v>8</v>
      </c>
      <c r="ER159" s="27" t="s">
        <v>7</v>
      </c>
      <c r="ES159" s="27" t="s">
        <v>8</v>
      </c>
    </row>
    <row r="160" spans="1:149" x14ac:dyDescent="0.25">
      <c r="A160" s="30">
        <v>49.561441066842605</v>
      </c>
      <c r="C160"/>
      <c r="E160"/>
      <c r="DG160" s="27" t="s">
        <v>8</v>
      </c>
      <c r="DI160" s="27" t="s">
        <v>8</v>
      </c>
      <c r="DJ160" s="31" t="s">
        <v>7</v>
      </c>
      <c r="DM160" s="27" t="s">
        <v>8</v>
      </c>
      <c r="DX160" s="27" t="s">
        <v>7</v>
      </c>
      <c r="ER160" s="27" t="s">
        <v>7</v>
      </c>
      <c r="ES160" s="27" t="s">
        <v>8</v>
      </c>
    </row>
    <row r="161" spans="1:149" x14ac:dyDescent="0.25">
      <c r="A161" s="30">
        <v>47.201372444612005</v>
      </c>
      <c r="E161"/>
      <c r="DG161" s="27" t="s">
        <v>8</v>
      </c>
      <c r="DH161" s="27" t="s">
        <v>7</v>
      </c>
      <c r="DI161" s="27" t="s">
        <v>8</v>
      </c>
      <c r="DJ161" s="27" t="s">
        <v>7</v>
      </c>
      <c r="DK161" s="31" t="s">
        <v>8</v>
      </c>
      <c r="DM161" s="27" t="s">
        <v>8</v>
      </c>
      <c r="ER161" s="27" t="s">
        <v>7</v>
      </c>
      <c r="ES161" s="27" t="s">
        <v>8</v>
      </c>
    </row>
    <row r="162" spans="1:149" x14ac:dyDescent="0.25">
      <c r="A162" s="30">
        <v>44.95368804248762</v>
      </c>
      <c r="E162"/>
      <c r="DG162" s="27" t="s">
        <v>8</v>
      </c>
      <c r="DH162" s="27" t="s">
        <v>7</v>
      </c>
      <c r="DI162" s="27" t="s">
        <v>8</v>
      </c>
      <c r="DJ162" s="27" t="s">
        <v>7</v>
      </c>
      <c r="DK162" s="27" t="s">
        <v>8</v>
      </c>
      <c r="DL162" s="31" t="s">
        <v>7</v>
      </c>
      <c r="DM162" s="27" t="s">
        <v>8</v>
      </c>
      <c r="ER162" s="27" t="s">
        <v>7</v>
      </c>
    </row>
    <row r="163" spans="1:149" x14ac:dyDescent="0.25">
      <c r="A163" s="30">
        <v>42.81303623094059</v>
      </c>
      <c r="E163"/>
      <c r="DG163" s="27" t="s">
        <v>8</v>
      </c>
      <c r="DH163" s="27" t="s">
        <v>7</v>
      </c>
      <c r="DI163" s="27" t="s">
        <v>8</v>
      </c>
      <c r="DJ163" s="27" t="s">
        <v>7</v>
      </c>
      <c r="DK163" s="27" t="s">
        <v>8</v>
      </c>
      <c r="DL163" s="27" t="s">
        <v>7</v>
      </c>
      <c r="DM163" s="31" t="s">
        <v>8</v>
      </c>
    </row>
    <row r="164" spans="1:149" x14ac:dyDescent="0.25">
      <c r="A164" s="30">
        <v>40.774320219943419</v>
      </c>
      <c r="E164"/>
      <c r="DG164" s="27" t="s">
        <v>8</v>
      </c>
      <c r="DH164" s="27" t="s">
        <v>7</v>
      </c>
      <c r="DI164" s="27" t="s">
        <v>8</v>
      </c>
      <c r="DJ164" s="27" t="s">
        <v>7</v>
      </c>
      <c r="DK164" s="27" t="s">
        <v>8</v>
      </c>
      <c r="DL164" s="27" t="s">
        <v>7</v>
      </c>
      <c r="DN164" s="31"/>
    </row>
    <row r="165" spans="1:149" x14ac:dyDescent="0.25">
      <c r="A165" s="30">
        <v>38.832685923755633</v>
      </c>
      <c r="E165"/>
      <c r="DG165" s="27" t="s">
        <v>8</v>
      </c>
      <c r="DH165" s="27" t="s">
        <v>7</v>
      </c>
      <c r="DI165" s="27" t="s">
        <v>8</v>
      </c>
      <c r="DJ165" s="27" t="s">
        <v>7</v>
      </c>
      <c r="DO165" s="31"/>
    </row>
    <row r="166" spans="1:149" x14ac:dyDescent="0.25">
      <c r="A166" s="30">
        <v>36.983510403576794</v>
      </c>
      <c r="E166"/>
      <c r="DG166" s="27" t="s">
        <v>8</v>
      </c>
      <c r="DH166" s="27" t="s">
        <v>7</v>
      </c>
      <c r="DI166" s="27" t="s">
        <v>8</v>
      </c>
    </row>
    <row r="167" spans="1:149" x14ac:dyDescent="0.25">
      <c r="A167" s="30">
        <v>35.222390860549325</v>
      </c>
      <c r="E167"/>
      <c r="DG167" s="27" t="s">
        <v>8</v>
      </c>
      <c r="DH167" s="27" t="s">
        <v>7</v>
      </c>
    </row>
    <row r="168" spans="1:149" x14ac:dyDescent="0.25">
      <c r="A168" s="30">
        <v>33.545134152904119</v>
      </c>
      <c r="E168"/>
      <c r="DG168" s="27" t="s">
        <v>8</v>
      </c>
    </row>
    <row r="169" spans="1:149" x14ac:dyDescent="0.25">
      <c r="A169" s="30">
        <v>31.947746812289637</v>
      </c>
      <c r="E169"/>
      <c r="DG169" s="27" t="s">
        <v>8</v>
      </c>
    </row>
    <row r="170" spans="1:149" x14ac:dyDescent="0.25">
      <c r="A170" s="30">
        <v>30.426425535513939</v>
      </c>
      <c r="E170"/>
      <c r="DG170" s="27" t="s">
        <v>8</v>
      </c>
    </row>
    <row r="171" spans="1:149" x14ac:dyDescent="0.25">
      <c r="A171" s="30">
        <v>28.977548129060892</v>
      </c>
      <c r="E171"/>
      <c r="DC171" s="27" t="s">
        <v>8</v>
      </c>
      <c r="DG171" s="27" t="s">
        <v>8</v>
      </c>
    </row>
    <row r="172" spans="1:149" x14ac:dyDescent="0.25">
      <c r="A172" s="30">
        <v>27.597664884819896</v>
      </c>
      <c r="E172"/>
      <c r="DC172" s="27" t="s">
        <v>8</v>
      </c>
      <c r="DD172" s="27" t="s">
        <v>7</v>
      </c>
      <c r="DG172" s="27" t="s">
        <v>8</v>
      </c>
    </row>
    <row r="173" spans="1:149" x14ac:dyDescent="0.25">
      <c r="A173" s="30">
        <v>26.283490366495137</v>
      </c>
      <c r="E173"/>
      <c r="DC173" s="27" t="s">
        <v>8</v>
      </c>
      <c r="DD173" s="27" t="s">
        <v>7</v>
      </c>
      <c r="DG173" s="27" t="s">
        <v>8</v>
      </c>
    </row>
    <row r="174" spans="1:149" x14ac:dyDescent="0.25">
      <c r="A174" s="30">
        <v>25.031895587138223</v>
      </c>
      <c r="E174"/>
      <c r="DC174" s="27" t="s">
        <v>8</v>
      </c>
      <c r="DD174" s="27" t="s">
        <v>7</v>
      </c>
      <c r="DG174" s="27" t="s">
        <v>8</v>
      </c>
    </row>
    <row r="175" spans="1:149" x14ac:dyDescent="0.25">
      <c r="A175" s="30">
        <v>23.839900559179259</v>
      </c>
      <c r="E175"/>
      <c r="DC175" s="27" t="s">
        <v>8</v>
      </c>
      <c r="DD175" s="27" t="s">
        <v>7</v>
      </c>
      <c r="DG175" s="27" t="s">
        <v>8</v>
      </c>
    </row>
    <row r="176" spans="1:149" x14ac:dyDescent="0.25">
      <c r="A176" s="30">
        <v>22.704667199218342</v>
      </c>
      <c r="E176"/>
      <c r="DC176" s="27" t="s">
        <v>8</v>
      </c>
      <c r="DD176" s="27" t="s">
        <v>7</v>
      </c>
      <c r="DG176" s="27" t="s">
        <v>8</v>
      </c>
    </row>
    <row r="177" spans="1:136" x14ac:dyDescent="0.25">
      <c r="A177" s="30">
        <v>21.623492570684135</v>
      </c>
      <c r="E177"/>
      <c r="DC177" s="27" t="s">
        <v>8</v>
      </c>
      <c r="DD177" s="27" t="s">
        <v>7</v>
      </c>
      <c r="DG177" s="33" t="s">
        <v>8</v>
      </c>
    </row>
    <row r="178" spans="1:136" x14ac:dyDescent="0.25">
      <c r="A178" s="30">
        <v>20.593802448270605</v>
      </c>
      <c r="C178" s="7"/>
      <c r="D178"/>
      <c r="E178"/>
      <c r="DC178" s="27" t="s">
        <v>8</v>
      </c>
      <c r="DD178" s="27" t="s">
        <v>7</v>
      </c>
      <c r="DE178" s="27" t="s">
        <v>8</v>
      </c>
      <c r="DG178" s="27" t="s">
        <v>8</v>
      </c>
    </row>
    <row r="179" spans="1:136" x14ac:dyDescent="0.25">
      <c r="A179" s="30">
        <v>19.613145188829147</v>
      </c>
      <c r="E179"/>
      <c r="DC179" s="27" t="s">
        <v>8</v>
      </c>
      <c r="DD179" s="27" t="s">
        <v>7</v>
      </c>
      <c r="DE179" s="27" t="s">
        <v>8</v>
      </c>
      <c r="DF179" s="27" t="s">
        <v>7</v>
      </c>
      <c r="DG179" s="27" t="s">
        <v>8</v>
      </c>
    </row>
    <row r="180" spans="1:136" x14ac:dyDescent="0.25">
      <c r="A180" s="30">
        <v>18.679185894122998</v>
      </c>
      <c r="E180"/>
      <c r="DA180" s="27" t="s">
        <v>8</v>
      </c>
      <c r="DC180" s="27" t="s">
        <v>8</v>
      </c>
      <c r="DD180" s="27" t="s">
        <v>7</v>
      </c>
      <c r="DE180" s="27" t="s">
        <v>8</v>
      </c>
      <c r="DF180" s="27" t="s">
        <v>7</v>
      </c>
      <c r="DG180" s="27" t="s">
        <v>8</v>
      </c>
      <c r="EF180" s="31"/>
    </row>
    <row r="181" spans="1:136" x14ac:dyDescent="0.25">
      <c r="A181" s="30">
        <v>17.78970085154571</v>
      </c>
      <c r="C181"/>
      <c r="D181"/>
      <c r="E181"/>
      <c r="DA181" s="27" t="s">
        <v>8</v>
      </c>
      <c r="DB181" s="27" t="s">
        <v>7</v>
      </c>
      <c r="DC181" s="27" t="s">
        <v>8</v>
      </c>
      <c r="DD181" s="27" t="s">
        <v>7</v>
      </c>
      <c r="DF181" s="27" t="s">
        <v>7</v>
      </c>
      <c r="DG181" s="27" t="s">
        <v>8</v>
      </c>
      <c r="EE181" s="31"/>
    </row>
    <row r="182" spans="1:136" x14ac:dyDescent="0.25">
      <c r="A182" s="30">
        <v>16.942572239567344</v>
      </c>
      <c r="E182"/>
      <c r="DA182" s="27" t="s">
        <v>8</v>
      </c>
      <c r="DB182" s="27" t="s">
        <v>7</v>
      </c>
      <c r="DC182" s="27" t="s">
        <v>8</v>
      </c>
      <c r="DF182" s="32" t="s">
        <v>7</v>
      </c>
      <c r="DG182" s="27" t="s">
        <v>8</v>
      </c>
      <c r="ED182" s="31"/>
    </row>
    <row r="183" spans="1:136" x14ac:dyDescent="0.25">
      <c r="A183" s="30">
        <v>16.135783085302233</v>
      </c>
      <c r="E183"/>
      <c r="CY183" s="27" t="s">
        <v>8</v>
      </c>
      <c r="DA183" s="27" t="s">
        <v>8</v>
      </c>
      <c r="DB183" s="27" t="s">
        <v>7</v>
      </c>
      <c r="DF183" s="18" t="s">
        <v>7</v>
      </c>
      <c r="DG183" s="27" t="s">
        <v>8</v>
      </c>
      <c r="EC183" s="31"/>
    </row>
    <row r="184" spans="1:136" x14ac:dyDescent="0.25">
      <c r="A184" s="30">
        <v>15.367412462192602</v>
      </c>
      <c r="E184"/>
      <c r="CY184" s="27" t="s">
        <v>8</v>
      </c>
      <c r="CZ184" s="27" t="s">
        <v>7</v>
      </c>
      <c r="DA184" s="27" t="s">
        <v>8</v>
      </c>
      <c r="DF184" s="27" t="s">
        <v>7</v>
      </c>
      <c r="DG184" s="27" t="s">
        <v>8</v>
      </c>
      <c r="EB184" s="31"/>
    </row>
    <row r="185" spans="1:136" x14ac:dyDescent="0.25">
      <c r="A185" s="30">
        <v>14.635630916373906</v>
      </c>
      <c r="C185"/>
      <c r="E185"/>
      <c r="CY185" s="27" t="s">
        <v>8</v>
      </c>
      <c r="CZ185" s="27" t="s">
        <v>7</v>
      </c>
      <c r="DA185" s="27" t="s">
        <v>8</v>
      </c>
      <c r="DF185" s="27" t="s">
        <v>7</v>
      </c>
      <c r="EA185" s="31"/>
    </row>
    <row r="186" spans="1:136" x14ac:dyDescent="0.25">
      <c r="A186" s="30">
        <v>13.938696110832291</v>
      </c>
      <c r="E186"/>
      <c r="CY186" s="27" t="s">
        <v>8</v>
      </c>
      <c r="CZ186" s="27" t="s">
        <v>7</v>
      </c>
      <c r="DA186" s="27" t="s">
        <v>8</v>
      </c>
      <c r="DZ186" s="31"/>
    </row>
    <row r="187" spans="1:136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CY187" s="27" t="s">
        <v>8</v>
      </c>
      <c r="CZ187" s="27" t="s">
        <v>7</v>
      </c>
      <c r="DA187" s="27" t="s">
        <v>8</v>
      </c>
      <c r="DY187" s="31"/>
    </row>
    <row r="188" spans="1:136" x14ac:dyDescent="0.25">
      <c r="A188" s="30">
        <v>12.64280826379346</v>
      </c>
      <c r="E188"/>
      <c r="CY188" s="27" t="s">
        <v>8</v>
      </c>
      <c r="CZ188" s="27" t="s">
        <v>7</v>
      </c>
      <c r="DA188" s="27" t="s">
        <v>8</v>
      </c>
      <c r="DX188" s="31"/>
    </row>
    <row r="189" spans="1:136" x14ac:dyDescent="0.25">
      <c r="A189" s="30">
        <v>12.04076977504139</v>
      </c>
      <c r="E189"/>
      <c r="CY189" s="27" t="s">
        <v>8</v>
      </c>
      <c r="CZ189" s="27" t="s">
        <v>7</v>
      </c>
      <c r="DA189" s="27" t="s">
        <v>8</v>
      </c>
      <c r="DW189" s="31"/>
    </row>
    <row r="190" spans="1:136" x14ac:dyDescent="0.25">
      <c r="A190" s="30">
        <v>11.467399785753704</v>
      </c>
      <c r="E190"/>
      <c r="CY190" s="27" t="s">
        <v>8</v>
      </c>
      <c r="CZ190" s="27" t="s">
        <v>7</v>
      </c>
      <c r="DV190" s="31"/>
    </row>
    <row r="191" spans="1:136" x14ac:dyDescent="0.25">
      <c r="A191" s="30">
        <v>10.921333129289241</v>
      </c>
      <c r="E191"/>
      <c r="BO191" s="27" t="s">
        <v>8</v>
      </c>
      <c r="BU191" s="27" t="s">
        <v>8</v>
      </c>
      <c r="CA191" s="31" t="s">
        <v>8</v>
      </c>
      <c r="CY191" s="27" t="s">
        <v>8</v>
      </c>
      <c r="DU191" s="31"/>
    </row>
    <row r="192" spans="1:136" x14ac:dyDescent="0.25">
      <c r="A192" s="30">
        <v>10.401269646942135</v>
      </c>
      <c r="E192"/>
      <c r="BO192" s="27" t="s">
        <v>8</v>
      </c>
      <c r="BP192" s="27" t="s">
        <v>7</v>
      </c>
      <c r="BU192" s="27" t="s">
        <v>8</v>
      </c>
      <c r="BV192" s="27" t="s">
        <v>7</v>
      </c>
      <c r="CA192" s="27" t="s">
        <v>8</v>
      </c>
      <c r="CB192" s="31" t="s">
        <v>7</v>
      </c>
      <c r="CY192" s="27" t="s">
        <v>8</v>
      </c>
      <c r="DT192" s="31"/>
    </row>
    <row r="193" spans="1:123" x14ac:dyDescent="0.25">
      <c r="A193" s="30">
        <v>9.9059710923258422</v>
      </c>
      <c r="E193"/>
      <c r="BO193" s="27" t="s">
        <v>8</v>
      </c>
      <c r="BP193" s="27" t="s">
        <v>7</v>
      </c>
      <c r="BU193" s="27" t="s">
        <v>8</v>
      </c>
      <c r="BV193" s="27" t="s">
        <v>7</v>
      </c>
      <c r="BW193" s="27" t="s">
        <v>8</v>
      </c>
      <c r="CA193" s="27" t="s">
        <v>8</v>
      </c>
      <c r="CB193" s="27" t="s">
        <v>7</v>
      </c>
      <c r="CC193" s="31"/>
      <c r="CY193" s="27" t="s">
        <v>8</v>
      </c>
      <c r="DS193" s="31"/>
    </row>
    <row r="194" spans="1:123" x14ac:dyDescent="0.25">
      <c r="A194" s="30">
        <v>9.4342581831674686</v>
      </c>
      <c r="E194"/>
      <c r="BO194" s="27" t="s">
        <v>8</v>
      </c>
      <c r="BP194" s="27" t="s">
        <v>7</v>
      </c>
      <c r="BU194" s="27" t="s">
        <v>8</v>
      </c>
      <c r="BV194" s="27" t="s">
        <v>7</v>
      </c>
      <c r="BW194" s="27" t="s">
        <v>8</v>
      </c>
      <c r="BX194" s="27" t="s">
        <v>7</v>
      </c>
      <c r="CA194" s="27" t="s">
        <v>8</v>
      </c>
      <c r="CB194" s="27" t="s">
        <v>7</v>
      </c>
      <c r="CD194" s="31"/>
      <c r="CW194" s="27" t="s">
        <v>8</v>
      </c>
      <c r="CY194" s="27" t="s">
        <v>8</v>
      </c>
      <c r="DR194" s="31"/>
    </row>
    <row r="195" spans="1:123" x14ac:dyDescent="0.25">
      <c r="A195" s="30">
        <v>8.9850077934928265</v>
      </c>
      <c r="E195"/>
      <c r="BO195" s="27" t="s">
        <v>8</v>
      </c>
      <c r="BP195" s="27" t="s">
        <v>7</v>
      </c>
      <c r="BU195" s="27" t="s">
        <v>8</v>
      </c>
      <c r="BV195" s="27" t="s">
        <v>7</v>
      </c>
      <c r="BW195" s="27" t="s">
        <v>8</v>
      </c>
      <c r="BX195" s="27" t="s">
        <v>7</v>
      </c>
      <c r="CA195" s="27" t="s">
        <v>8</v>
      </c>
      <c r="CB195" s="27" t="s">
        <v>7</v>
      </c>
      <c r="CC195" s="27" t="s">
        <v>8</v>
      </c>
      <c r="CE195" s="31" t="s">
        <v>8</v>
      </c>
      <c r="CW195" s="27" t="s">
        <v>8</v>
      </c>
      <c r="CX195" s="27" t="s">
        <v>7</v>
      </c>
      <c r="CY195" s="27" t="s">
        <v>8</v>
      </c>
      <c r="DQ195" s="31"/>
    </row>
    <row r="196" spans="1:123" x14ac:dyDescent="0.25">
      <c r="A196" s="30">
        <v>8.5571502795169767</v>
      </c>
      <c r="E196"/>
      <c r="BO196" s="27" t="s">
        <v>8</v>
      </c>
      <c r="BP196" s="27" t="s">
        <v>7</v>
      </c>
      <c r="BQ196" s="27" t="s">
        <v>8</v>
      </c>
      <c r="BS196" s="27" t="s">
        <v>8</v>
      </c>
      <c r="BU196" s="27" t="s">
        <v>8</v>
      </c>
      <c r="BV196" s="27" t="s">
        <v>7</v>
      </c>
      <c r="BW196" s="27" t="s">
        <v>8</v>
      </c>
      <c r="BX196" s="27" t="s">
        <v>7</v>
      </c>
      <c r="CA196" s="27" t="s">
        <v>8</v>
      </c>
      <c r="CB196" s="27" t="s">
        <v>7</v>
      </c>
      <c r="CC196" s="27" t="s">
        <v>8</v>
      </c>
      <c r="CD196" s="27" t="s">
        <v>7</v>
      </c>
      <c r="CE196" s="27" t="s">
        <v>8</v>
      </c>
      <c r="CF196" s="31" t="s">
        <v>7</v>
      </c>
      <c r="CW196" s="27" t="s">
        <v>8</v>
      </c>
      <c r="CX196" s="27" t="s">
        <v>7</v>
      </c>
      <c r="CY196" s="27" t="s">
        <v>8</v>
      </c>
      <c r="DP196" s="31"/>
    </row>
    <row r="197" spans="1:123" x14ac:dyDescent="0.25">
      <c r="A197" s="30">
        <v>8.1496669328733109</v>
      </c>
      <c r="E197"/>
      <c r="BO197" s="27" t="s">
        <v>8</v>
      </c>
      <c r="BP197" s="27" t="s">
        <v>7</v>
      </c>
      <c r="BQ197" s="27" t="s">
        <v>8</v>
      </c>
      <c r="BR197" s="27" t="s">
        <v>7</v>
      </c>
      <c r="BS197" s="27" t="s">
        <v>8</v>
      </c>
      <c r="BT197" s="27" t="s">
        <v>7</v>
      </c>
      <c r="BU197" s="27" t="s">
        <v>8</v>
      </c>
      <c r="BV197" s="27" t="s">
        <v>7</v>
      </c>
      <c r="BX197" s="27" t="s">
        <v>7</v>
      </c>
      <c r="CA197" s="27" t="s">
        <v>8</v>
      </c>
      <c r="CB197" s="27" t="s">
        <v>7</v>
      </c>
      <c r="CC197" s="27" t="s">
        <v>8</v>
      </c>
      <c r="CD197" s="27" t="s">
        <v>7</v>
      </c>
      <c r="CE197" s="27" t="s">
        <v>8</v>
      </c>
      <c r="CF197" s="27" t="s">
        <v>7</v>
      </c>
      <c r="CG197" s="31"/>
      <c r="CW197" s="27" t="s">
        <v>8</v>
      </c>
      <c r="CX197" s="27" t="s">
        <v>7</v>
      </c>
      <c r="CY197" s="27" t="s">
        <v>8</v>
      </c>
      <c r="DO197" s="31"/>
    </row>
    <row r="198" spans="1:123" x14ac:dyDescent="0.25">
      <c r="A198" s="30">
        <v>7.7615875551174378</v>
      </c>
      <c r="E198"/>
      <c r="BM198" s="27" t="s">
        <v>8</v>
      </c>
      <c r="BO198" s="27" t="s">
        <v>8</v>
      </c>
      <c r="BP198" s="27" t="s">
        <v>7</v>
      </c>
      <c r="BQ198" s="27" t="s">
        <v>8</v>
      </c>
      <c r="BR198" s="27" t="s">
        <v>7</v>
      </c>
      <c r="BS198" s="27" t="s">
        <v>8</v>
      </c>
      <c r="BT198" s="27" t="s">
        <v>7</v>
      </c>
      <c r="BU198" s="27" t="s">
        <v>8</v>
      </c>
      <c r="BX198" s="27" t="s">
        <v>7</v>
      </c>
      <c r="CA198" s="27" t="s">
        <v>8</v>
      </c>
      <c r="CB198" s="27" t="s">
        <v>7</v>
      </c>
      <c r="CD198" s="27" t="s">
        <v>7</v>
      </c>
      <c r="CE198" s="27" t="s">
        <v>8</v>
      </c>
      <c r="CF198" s="27" t="s">
        <v>7</v>
      </c>
      <c r="CH198" s="31"/>
      <c r="CW198" s="27" t="s">
        <v>8</v>
      </c>
      <c r="CX198" s="27" t="s">
        <v>7</v>
      </c>
      <c r="DN198" s="31"/>
    </row>
    <row r="199" spans="1:123" x14ac:dyDescent="0.25">
      <c r="A199" s="30">
        <v>7.3919881477308929</v>
      </c>
      <c r="E199"/>
      <c r="BM199" s="27" t="s">
        <v>8</v>
      </c>
      <c r="BN199" s="27" t="s">
        <v>7</v>
      </c>
      <c r="BO199" s="27" t="s">
        <v>8</v>
      </c>
      <c r="BP199" s="27" t="s">
        <v>7</v>
      </c>
      <c r="BQ199" s="27" t="s">
        <v>8</v>
      </c>
      <c r="BR199" s="27" t="s">
        <v>7</v>
      </c>
      <c r="BS199" s="27" t="s">
        <v>8</v>
      </c>
      <c r="BT199" s="27" t="s">
        <v>7</v>
      </c>
      <c r="BU199" s="27" t="s">
        <v>8</v>
      </c>
      <c r="BX199" s="27" t="s">
        <v>7</v>
      </c>
      <c r="BY199" s="27" t="s">
        <v>8</v>
      </c>
      <c r="CA199" s="27" t="s">
        <v>8</v>
      </c>
      <c r="CD199" s="27" t="s">
        <v>7</v>
      </c>
      <c r="CE199" s="27" t="s">
        <v>8</v>
      </c>
      <c r="CF199" s="27" t="s">
        <v>7</v>
      </c>
      <c r="CG199" s="27" t="s">
        <v>8</v>
      </c>
      <c r="CI199" s="31"/>
      <c r="CW199" s="27" t="s">
        <v>8</v>
      </c>
      <c r="DM199" s="31"/>
    </row>
    <row r="200" spans="1:123" x14ac:dyDescent="0.25">
      <c r="A200" s="30">
        <v>7.0399887121246598</v>
      </c>
      <c r="E200"/>
      <c r="BM200" s="27" t="s">
        <v>8</v>
      </c>
      <c r="BN200" s="27" t="s">
        <v>7</v>
      </c>
      <c r="BO200" s="27" t="s">
        <v>8</v>
      </c>
      <c r="BP200" s="27" t="s">
        <v>7</v>
      </c>
      <c r="BQ200" s="27" t="s">
        <v>8</v>
      </c>
      <c r="BR200" s="27" t="s">
        <v>7</v>
      </c>
      <c r="BT200" s="27" t="s">
        <v>7</v>
      </c>
      <c r="BU200" s="27" t="s">
        <v>8</v>
      </c>
      <c r="BX200" s="27" t="s">
        <v>7</v>
      </c>
      <c r="BY200" s="27" t="s">
        <v>8</v>
      </c>
      <c r="BZ200" s="27" t="s">
        <v>7</v>
      </c>
      <c r="CA200" s="27" t="s">
        <v>8</v>
      </c>
      <c r="CD200" s="27" t="s">
        <v>7</v>
      </c>
      <c r="CF200" s="27" t="s">
        <v>7</v>
      </c>
      <c r="CG200" s="27" t="s">
        <v>8</v>
      </c>
      <c r="CH200" s="27" t="s">
        <v>7</v>
      </c>
      <c r="CI200" s="27" t="s">
        <v>8</v>
      </c>
      <c r="CJ200" s="31"/>
      <c r="CW200" s="27" t="s">
        <v>8</v>
      </c>
      <c r="DL200" s="31"/>
    </row>
    <row r="201" spans="1:123" x14ac:dyDescent="0.25">
      <c r="A201" s="30">
        <v>6.7047511544044376</v>
      </c>
      <c r="E201"/>
      <c r="BM201" s="27" t="s">
        <v>8</v>
      </c>
      <c r="BN201" s="27" t="s">
        <v>7</v>
      </c>
      <c r="BO201" s="27" t="s">
        <v>8</v>
      </c>
      <c r="BP201" s="27" t="s">
        <v>7</v>
      </c>
      <c r="BT201" s="27" t="s">
        <v>7</v>
      </c>
      <c r="BU201" s="27" t="s">
        <v>8</v>
      </c>
      <c r="BX201" s="27" t="s">
        <v>7</v>
      </c>
      <c r="BY201" s="27" t="s">
        <v>8</v>
      </c>
      <c r="BZ201" s="27" t="s">
        <v>7</v>
      </c>
      <c r="CA201" s="27" t="s">
        <v>8</v>
      </c>
      <c r="CF201" s="27" t="s">
        <v>7</v>
      </c>
      <c r="CG201" s="27" t="s">
        <v>8</v>
      </c>
      <c r="CH201" s="27" t="s">
        <v>7</v>
      </c>
      <c r="CI201" s="27" t="s">
        <v>8</v>
      </c>
      <c r="CJ201" s="27" t="s">
        <v>7</v>
      </c>
      <c r="CK201" s="31"/>
      <c r="CW201" s="27" t="s">
        <v>8</v>
      </c>
      <c r="DK201" s="31"/>
    </row>
    <row r="202" spans="1:123" x14ac:dyDescent="0.25">
      <c r="A202" s="30">
        <v>6.3854772899089882</v>
      </c>
      <c r="E202"/>
      <c r="BK202" s="27" t="s">
        <v>8</v>
      </c>
      <c r="BM202" s="27" t="s">
        <v>8</v>
      </c>
      <c r="BN202" s="27" t="s">
        <v>7</v>
      </c>
      <c r="BO202" s="27" t="s">
        <v>8</v>
      </c>
      <c r="BT202" s="27" t="s">
        <v>7</v>
      </c>
      <c r="BU202" s="27" t="s">
        <v>8</v>
      </c>
      <c r="BX202" s="27" t="s">
        <v>7</v>
      </c>
      <c r="BY202" s="27" t="s">
        <v>8</v>
      </c>
      <c r="BZ202" s="27" t="s">
        <v>7</v>
      </c>
      <c r="CA202" s="27" t="s">
        <v>8</v>
      </c>
      <c r="CF202" s="27" t="s">
        <v>7</v>
      </c>
      <c r="CH202" s="27" t="s">
        <v>7</v>
      </c>
      <c r="CI202" s="27" t="s">
        <v>8</v>
      </c>
      <c r="CJ202" s="27" t="s">
        <v>7</v>
      </c>
      <c r="CL202" s="31"/>
      <c r="CW202" s="27" t="s">
        <v>8</v>
      </c>
      <c r="DJ202" s="31"/>
    </row>
    <row r="203" spans="1:123" x14ac:dyDescent="0.25">
      <c r="A203" s="30">
        <v>6.0814069427704647</v>
      </c>
      <c r="C203" s="7"/>
      <c r="D203"/>
      <c r="E203"/>
      <c r="BK203" s="27" t="s">
        <v>8</v>
      </c>
      <c r="BL203" s="27" t="s">
        <v>7</v>
      </c>
      <c r="BM203" s="27" t="s">
        <v>8</v>
      </c>
      <c r="BN203" s="27" t="s">
        <v>7</v>
      </c>
      <c r="BO203" s="27" t="s">
        <v>8</v>
      </c>
      <c r="BT203" s="27" t="s">
        <v>7</v>
      </c>
      <c r="BU203" s="27" t="s">
        <v>8</v>
      </c>
      <c r="BX203" s="27" t="s">
        <v>7</v>
      </c>
      <c r="BZ203" s="27" t="s">
        <v>7</v>
      </c>
      <c r="CH203" s="27" t="s">
        <v>7</v>
      </c>
      <c r="CJ203" s="27" t="s">
        <v>7</v>
      </c>
      <c r="CM203" s="31"/>
      <c r="CW203" s="27" t="s">
        <v>8</v>
      </c>
      <c r="DI203" s="31"/>
    </row>
    <row r="204" spans="1:123" x14ac:dyDescent="0.25">
      <c r="A204" s="30">
        <v>5.7918161359718709</v>
      </c>
      <c r="E204"/>
      <c r="BK204" s="27" t="s">
        <v>8</v>
      </c>
      <c r="BL204" s="27" t="s">
        <v>7</v>
      </c>
      <c r="BM204" s="27" t="s">
        <v>8</v>
      </c>
      <c r="BN204" s="27" t="s">
        <v>7</v>
      </c>
      <c r="BO204" s="27" t="s">
        <v>8</v>
      </c>
      <c r="BT204" s="27" t="s">
        <v>7</v>
      </c>
      <c r="CJ204" s="31" t="s">
        <v>7</v>
      </c>
      <c r="CM204" s="27" t="s">
        <v>8</v>
      </c>
      <c r="CN204" s="31"/>
      <c r="CW204" s="27" t="s">
        <v>8</v>
      </c>
      <c r="DH204" s="31"/>
    </row>
    <row r="205" spans="1:123" x14ac:dyDescent="0.25">
      <c r="A205" s="30">
        <v>5.5160153675922574</v>
      </c>
      <c r="E205"/>
      <c r="BI205" s="27" t="s">
        <v>8</v>
      </c>
      <c r="BK205" s="27" t="s">
        <v>8</v>
      </c>
      <c r="BL205" s="27" t="s">
        <v>7</v>
      </c>
      <c r="BM205" s="27" t="s">
        <v>8</v>
      </c>
      <c r="BN205" s="27" t="s">
        <v>7</v>
      </c>
      <c r="BO205" s="27" t="s">
        <v>8</v>
      </c>
      <c r="CI205" s="31"/>
      <c r="CJ205" s="27" t="s">
        <v>7</v>
      </c>
      <c r="CM205" s="27" t="s">
        <v>8</v>
      </c>
      <c r="CN205" s="27" t="s">
        <v>7</v>
      </c>
      <c r="CO205" s="31"/>
      <c r="CW205" s="27" t="s">
        <v>8</v>
      </c>
      <c r="DG205" s="31"/>
    </row>
    <row r="206" spans="1:123" x14ac:dyDescent="0.25">
      <c r="A206" s="30">
        <v>5.2533479691354827</v>
      </c>
      <c r="C206"/>
      <c r="D206"/>
      <c r="E206"/>
      <c r="BI206" s="27" t="s">
        <v>8</v>
      </c>
      <c r="BJ206" s="27" t="s">
        <v>7</v>
      </c>
      <c r="BK206" s="27" t="s">
        <v>8</v>
      </c>
      <c r="BL206" s="27" t="s">
        <v>7</v>
      </c>
      <c r="BM206" s="27" t="s">
        <v>8</v>
      </c>
      <c r="BN206" s="27" t="s">
        <v>7</v>
      </c>
      <c r="CH206" s="31"/>
      <c r="CJ206" s="27" t="s">
        <v>7</v>
      </c>
      <c r="CK206" s="27" t="s">
        <v>8</v>
      </c>
      <c r="CM206" s="27" t="s">
        <v>8</v>
      </c>
      <c r="CN206" s="27" t="s">
        <v>7</v>
      </c>
      <c r="CO206" s="27" t="s">
        <v>8</v>
      </c>
      <c r="CP206" s="31"/>
      <c r="CW206" s="27" t="s">
        <v>8</v>
      </c>
      <c r="DF206" s="31"/>
    </row>
    <row r="207" spans="1:123" x14ac:dyDescent="0.25">
      <c r="A207" s="30">
        <v>5.0031885420337927</v>
      </c>
      <c r="E207"/>
      <c r="BI207" s="27" t="s">
        <v>8</v>
      </c>
      <c r="BJ207" s="27" t="s">
        <v>7</v>
      </c>
      <c r="BK207" s="27" t="s">
        <v>8</v>
      </c>
      <c r="BL207" s="27" t="s">
        <v>7</v>
      </c>
      <c r="BM207" s="27" t="s">
        <v>8</v>
      </c>
      <c r="CG207" s="31"/>
      <c r="CJ207" s="27" t="s">
        <v>7</v>
      </c>
      <c r="CK207" s="27" t="s">
        <v>8</v>
      </c>
      <c r="CL207" s="27" t="s">
        <v>7</v>
      </c>
      <c r="CM207" s="27" t="s">
        <v>8</v>
      </c>
      <c r="CN207" s="27" t="s">
        <v>7</v>
      </c>
      <c r="CO207" s="27" t="s">
        <v>8</v>
      </c>
      <c r="CP207" s="27" t="s">
        <v>7</v>
      </c>
      <c r="CQ207" s="31" t="s">
        <v>8</v>
      </c>
      <c r="CW207" s="27" t="s">
        <v>8</v>
      </c>
      <c r="DE207" s="31"/>
    </row>
    <row r="208" spans="1:123" x14ac:dyDescent="0.25">
      <c r="A208" s="30">
        <v>4.7649414686036122</v>
      </c>
      <c r="E208"/>
      <c r="BI208" s="27" t="s">
        <v>8</v>
      </c>
      <c r="BJ208" s="27" t="s">
        <v>7</v>
      </c>
      <c r="BL208" s="27" t="s">
        <v>7</v>
      </c>
      <c r="BM208" s="27" t="s">
        <v>8</v>
      </c>
      <c r="CF208" s="31"/>
      <c r="CJ208" s="27" t="s">
        <v>7</v>
      </c>
      <c r="CK208" s="27" t="s">
        <v>8</v>
      </c>
      <c r="CL208" s="27" t="s">
        <v>7</v>
      </c>
      <c r="CM208" s="27" t="s">
        <v>8</v>
      </c>
      <c r="CN208" s="27" t="s">
        <v>7</v>
      </c>
      <c r="CO208" s="27" t="s">
        <v>8</v>
      </c>
      <c r="CP208" s="27" t="s">
        <v>7</v>
      </c>
      <c r="CQ208" s="27" t="s">
        <v>8</v>
      </c>
      <c r="CR208" s="31" t="s">
        <v>7</v>
      </c>
      <c r="CS208" s="27" t="s">
        <v>8</v>
      </c>
      <c r="CW208" s="27" t="s">
        <v>8</v>
      </c>
      <c r="DD208" s="31"/>
    </row>
    <row r="209" spans="1:107" x14ac:dyDescent="0.25">
      <c r="A209" s="30">
        <v>4.5380394939082018</v>
      </c>
      <c r="E209"/>
      <c r="BI209" s="27" t="s">
        <v>8</v>
      </c>
      <c r="BL209" s="27" t="s">
        <v>7</v>
      </c>
      <c r="BM209" s="27" t="s">
        <v>8</v>
      </c>
      <c r="CE209" s="31"/>
      <c r="CJ209" s="27" t="s">
        <v>7</v>
      </c>
      <c r="CK209" s="27" t="s">
        <v>8</v>
      </c>
      <c r="CL209" s="27" t="s">
        <v>7</v>
      </c>
      <c r="CM209" s="27" t="s">
        <v>8</v>
      </c>
      <c r="CN209" s="27" t="s">
        <v>7</v>
      </c>
      <c r="CO209" s="27" t="s">
        <v>8</v>
      </c>
      <c r="CP209" s="27" t="s">
        <v>7</v>
      </c>
      <c r="CQ209" s="27" t="s">
        <v>8</v>
      </c>
      <c r="CR209" s="27" t="s">
        <v>7</v>
      </c>
      <c r="CS209" s="31" t="s">
        <v>8</v>
      </c>
      <c r="CT209" s="31" t="s">
        <v>7</v>
      </c>
      <c r="CW209" s="27" t="s">
        <v>8</v>
      </c>
      <c r="DC209" s="31"/>
    </row>
    <row r="210" spans="1:107" x14ac:dyDescent="0.25">
      <c r="A210" s="30">
        <v>4.3219423751506678</v>
      </c>
      <c r="C210"/>
      <c r="E210"/>
      <c r="BI210" s="27" t="s">
        <v>8</v>
      </c>
      <c r="BL210" s="27" t="s">
        <v>7</v>
      </c>
      <c r="BM210" s="27" t="s">
        <v>8</v>
      </c>
      <c r="CD210" s="31"/>
      <c r="CJ210" s="27" t="s">
        <v>7</v>
      </c>
      <c r="CK210" s="27" t="s">
        <v>8</v>
      </c>
      <c r="CL210" s="27" t="s">
        <v>7</v>
      </c>
      <c r="CM210" s="27" t="s">
        <v>8</v>
      </c>
      <c r="CN210" s="27" t="s">
        <v>7</v>
      </c>
      <c r="CP210" s="27" t="s">
        <v>7</v>
      </c>
      <c r="CQ210" s="27" t="s">
        <v>8</v>
      </c>
      <c r="CR210" s="27" t="s">
        <v>7</v>
      </c>
      <c r="CS210" s="27" t="s">
        <v>8</v>
      </c>
      <c r="CT210" s="27" t="s">
        <v>7</v>
      </c>
      <c r="CU210" s="31"/>
      <c r="CW210" s="27" t="s">
        <v>8</v>
      </c>
      <c r="DB210" s="31"/>
    </row>
    <row r="211" spans="1:107" x14ac:dyDescent="0.25">
      <c r="A211" s="30">
        <v>4.1161355953815884</v>
      </c>
      <c r="E211"/>
      <c r="BI211" s="27" t="s">
        <v>8</v>
      </c>
      <c r="BL211" s="27" t="s">
        <v>7</v>
      </c>
      <c r="BM211" s="27" t="s">
        <v>8</v>
      </c>
      <c r="CC211" s="31"/>
      <c r="CJ211" s="27" t="s">
        <v>7</v>
      </c>
      <c r="CK211" s="27" t="s">
        <v>8</v>
      </c>
      <c r="CL211" s="27" t="s">
        <v>7</v>
      </c>
      <c r="CM211" s="27" t="s">
        <v>8</v>
      </c>
      <c r="CP211" s="27" t="s">
        <v>7</v>
      </c>
      <c r="CQ211" s="27" t="s">
        <v>8</v>
      </c>
      <c r="CR211" s="27" t="s">
        <v>7</v>
      </c>
      <c r="CS211" s="27" t="s">
        <v>8</v>
      </c>
      <c r="CT211" s="27" t="s">
        <v>7</v>
      </c>
      <c r="CV211" s="31"/>
      <c r="CW211" s="27" t="s">
        <v>8</v>
      </c>
      <c r="DA211" s="31"/>
    </row>
    <row r="212" spans="1:107" x14ac:dyDescent="0.25">
      <c r="A212" s="30">
        <v>3.9201291384586554</v>
      </c>
      <c r="E212"/>
      <c r="BI212" s="27" t="s">
        <v>8</v>
      </c>
      <c r="BL212" s="27" t="s">
        <v>7</v>
      </c>
      <c r="BM212" s="27" t="s">
        <v>8</v>
      </c>
      <c r="CB212" s="31"/>
      <c r="CJ212" s="27" t="s">
        <v>7</v>
      </c>
      <c r="CK212" s="27" t="s">
        <v>8</v>
      </c>
      <c r="CL212" s="27" t="s">
        <v>7</v>
      </c>
      <c r="CM212" s="27" t="s">
        <v>8</v>
      </c>
      <c r="CP212" s="27" t="s">
        <v>7</v>
      </c>
      <c r="CQ212" s="27" t="s">
        <v>8</v>
      </c>
      <c r="CR212" s="27" t="s">
        <v>7</v>
      </c>
      <c r="CS212" s="27" t="s">
        <v>8</v>
      </c>
      <c r="CT212" s="27" t="s">
        <v>7</v>
      </c>
      <c r="CU212" s="27" t="s">
        <v>8</v>
      </c>
      <c r="CW212" s="31" t="s">
        <v>8</v>
      </c>
      <c r="CZ212" s="31"/>
    </row>
    <row r="213" spans="1:107" x14ac:dyDescent="0.25">
      <c r="A213" s="30">
        <v>3.7334563223415764</v>
      </c>
      <c r="E213"/>
      <c r="BI213" s="27" t="s">
        <v>8</v>
      </c>
      <c r="BL213" s="27" t="s">
        <v>7</v>
      </c>
      <c r="BM213" s="27" t="s">
        <v>8</v>
      </c>
      <c r="CA213" s="31"/>
      <c r="CJ213" s="27" t="s">
        <v>7</v>
      </c>
      <c r="CK213" s="27" t="s">
        <v>8</v>
      </c>
      <c r="CL213" s="27" t="s">
        <v>7</v>
      </c>
      <c r="CM213" s="27" t="s">
        <v>8</v>
      </c>
      <c r="CP213" s="27" t="s">
        <v>7</v>
      </c>
      <c r="CQ213" s="27" t="s">
        <v>8</v>
      </c>
      <c r="CR213" s="27" t="s">
        <v>7</v>
      </c>
      <c r="CT213" s="27" t="s">
        <v>7</v>
      </c>
      <c r="CU213" s="27" t="s">
        <v>8</v>
      </c>
      <c r="CV213" s="27" t="s">
        <v>7</v>
      </c>
      <c r="CW213" s="27" t="s">
        <v>8</v>
      </c>
      <c r="CY213" s="31"/>
    </row>
    <row r="214" spans="1:107" x14ac:dyDescent="0.25">
      <c r="A214" s="30">
        <v>3.5556726879443583</v>
      </c>
      <c r="E214"/>
      <c r="BI214" s="27" t="s">
        <v>8</v>
      </c>
      <c r="BL214" s="27" t="s">
        <v>7</v>
      </c>
      <c r="BM214" s="27" t="s">
        <v>8</v>
      </c>
      <c r="BZ214" s="31"/>
      <c r="CJ214" s="27" t="s">
        <v>7</v>
      </c>
      <c r="CK214" s="27" t="s">
        <v>8</v>
      </c>
      <c r="CL214" s="27" t="s">
        <v>7</v>
      </c>
      <c r="CM214" s="27" t="s">
        <v>8</v>
      </c>
      <c r="CP214" s="27" t="s">
        <v>7</v>
      </c>
      <c r="CT214" s="27" t="s">
        <v>7</v>
      </c>
      <c r="CU214" s="27" t="s">
        <v>8</v>
      </c>
      <c r="CV214" s="27" t="s">
        <v>7</v>
      </c>
      <c r="CW214" s="27" t="s">
        <v>8</v>
      </c>
      <c r="CX214" s="31"/>
    </row>
    <row r="215" spans="1:107" x14ac:dyDescent="0.25">
      <c r="A215" s="30">
        <v>3.3863549408993889</v>
      </c>
      <c r="E215"/>
      <c r="BI215" s="27" t="s">
        <v>8</v>
      </c>
      <c r="BL215" s="27" t="s">
        <v>7</v>
      </c>
      <c r="BY215" s="31"/>
      <c r="CJ215" s="27" t="s">
        <v>7</v>
      </c>
      <c r="CK215" s="27" t="s">
        <v>8</v>
      </c>
      <c r="CL215" s="27" t="s">
        <v>7</v>
      </c>
      <c r="CM215" s="27" t="s">
        <v>8</v>
      </c>
      <c r="CT215" s="27" t="s">
        <v>7</v>
      </c>
      <c r="CU215" s="27" t="s">
        <v>8</v>
      </c>
      <c r="CV215" s="27" t="s">
        <v>7</v>
      </c>
      <c r="CW215" s="31"/>
    </row>
    <row r="216" spans="1:107" x14ac:dyDescent="0.25">
      <c r="A216" s="30">
        <v>3.2250999437137038</v>
      </c>
      <c r="E216"/>
      <c r="BI216" s="27" t="s">
        <v>8</v>
      </c>
      <c r="BX216" s="31"/>
      <c r="CJ216" s="27" t="s">
        <v>7</v>
      </c>
      <c r="CK216" s="27" t="s">
        <v>8</v>
      </c>
      <c r="CL216" s="27" t="s">
        <v>7</v>
      </c>
      <c r="CM216" s="27" t="s">
        <v>8</v>
      </c>
      <c r="CT216" s="27" t="s">
        <v>7</v>
      </c>
      <c r="CU216" s="27" t="s">
        <v>8</v>
      </c>
      <c r="CV216" s="31"/>
    </row>
    <row r="217" spans="1:107" x14ac:dyDescent="0.25">
      <c r="A217" s="30">
        <v>3.0715237559178128</v>
      </c>
      <c r="E217"/>
      <c r="BG217" s="27" t="s">
        <v>8</v>
      </c>
      <c r="BI217" s="27" t="s">
        <v>8</v>
      </c>
      <c r="BW217" s="31"/>
      <c r="CJ217" s="27" t="s">
        <v>7</v>
      </c>
      <c r="CK217" s="27" t="s">
        <v>8</v>
      </c>
      <c r="CL217" s="27" t="s">
        <v>7</v>
      </c>
      <c r="CM217" s="27" t="s">
        <v>8</v>
      </c>
      <c r="CT217" s="27" t="s">
        <v>7</v>
      </c>
      <c r="CU217" s="31" t="s">
        <v>8</v>
      </c>
    </row>
    <row r="218" spans="1:107" x14ac:dyDescent="0.25">
      <c r="A218" s="30">
        <v>2.9252607199217264</v>
      </c>
      <c r="E218"/>
      <c r="BG218" s="27" t="s">
        <v>8</v>
      </c>
      <c r="BH218" s="27" t="s">
        <v>7</v>
      </c>
      <c r="BI218" s="27" t="s">
        <v>8</v>
      </c>
      <c r="BV218" s="31"/>
      <c r="CJ218" s="27" t="s">
        <v>7</v>
      </c>
      <c r="CK218" s="27" t="s">
        <v>8</v>
      </c>
      <c r="CL218" s="27" t="s">
        <v>7</v>
      </c>
      <c r="CM218" s="27" t="s">
        <v>8</v>
      </c>
      <c r="CT218" s="31" t="s">
        <v>7</v>
      </c>
    </row>
    <row r="219" spans="1:107" x14ac:dyDescent="0.25">
      <c r="A219" s="30">
        <v>2.7859625904016441</v>
      </c>
      <c r="E219"/>
      <c r="BG219" s="27" t="s">
        <v>8</v>
      </c>
      <c r="BH219" s="27" t="s">
        <v>7</v>
      </c>
      <c r="BI219" s="27" t="s">
        <v>8</v>
      </c>
      <c r="BU219" s="31"/>
      <c r="CJ219" s="27" t="s">
        <v>7</v>
      </c>
      <c r="CK219" s="27" t="s">
        <v>8</v>
      </c>
      <c r="CL219" s="27" t="s">
        <v>7</v>
      </c>
    </row>
    <row r="220" spans="1:107" x14ac:dyDescent="0.25">
      <c r="A220" s="30">
        <v>2.6532977051444226</v>
      </c>
      <c r="E220"/>
      <c r="BG220" s="27" t="s">
        <v>8</v>
      </c>
      <c r="BH220" s="27" t="s">
        <v>7</v>
      </c>
      <c r="BI220" s="27" t="s">
        <v>8</v>
      </c>
      <c r="BT220" s="31"/>
      <c r="CJ220" s="27" t="s">
        <v>7</v>
      </c>
      <c r="CK220" s="27" t="s">
        <v>8</v>
      </c>
    </row>
    <row r="221" spans="1:107" x14ac:dyDescent="0.25">
      <c r="A221" s="30">
        <v>2.5269501953756404</v>
      </c>
      <c r="E221"/>
      <c r="BG221" s="27" t="s">
        <v>8</v>
      </c>
      <c r="BH221" s="27" t="s">
        <v>7</v>
      </c>
      <c r="BI221" s="27" t="s">
        <v>8</v>
      </c>
      <c r="BS221" s="31"/>
      <c r="CJ221" s="27" t="s">
        <v>7</v>
      </c>
      <c r="CK221" s="27" t="s">
        <v>8</v>
      </c>
    </row>
    <row r="222" spans="1:107" x14ac:dyDescent="0.25">
      <c r="A222" s="30">
        <v>2.4066192336910861</v>
      </c>
      <c r="E222"/>
      <c r="BG222" s="27" t="s">
        <v>8</v>
      </c>
      <c r="BH222" s="27" t="s">
        <v>7</v>
      </c>
      <c r="BR222" s="31"/>
      <c r="CJ222" s="27" t="s">
        <v>7</v>
      </c>
      <c r="CK222" s="27" t="s">
        <v>8</v>
      </c>
    </row>
    <row r="223" spans="1:107" x14ac:dyDescent="0.25">
      <c r="A223" s="30">
        <v>2.2920183178010345</v>
      </c>
      <c r="E223"/>
      <c r="AU223" s="27" t="s">
        <v>8</v>
      </c>
      <c r="BG223" s="27" t="s">
        <v>8</v>
      </c>
      <c r="BQ223" s="31"/>
      <c r="CJ223" s="27" t="s">
        <v>7</v>
      </c>
      <c r="CK223" s="27" t="s">
        <v>8</v>
      </c>
    </row>
    <row r="224" spans="1:107" x14ac:dyDescent="0.25">
      <c r="A224" s="30">
        <v>2.1828745883819374</v>
      </c>
      <c r="E224"/>
      <c r="AU224" s="27" t="s">
        <v>8</v>
      </c>
      <c r="AV224" s="27" t="s">
        <v>7</v>
      </c>
      <c r="AW224" s="27" t="s">
        <v>8</v>
      </c>
      <c r="AY224" s="27" t="s">
        <v>8</v>
      </c>
      <c r="BG224" s="27" t="s">
        <v>8</v>
      </c>
      <c r="BP224" s="31"/>
      <c r="CJ224" s="27" t="s">
        <v>7</v>
      </c>
      <c r="CK224" s="27" t="s">
        <v>8</v>
      </c>
    </row>
    <row r="225" spans="1:89" x14ac:dyDescent="0.25">
      <c r="A225" s="30">
        <v>2.0789281794113688</v>
      </c>
      <c r="E225"/>
      <c r="AU225" s="27" t="s">
        <v>8</v>
      </c>
      <c r="AV225" s="27" t="s">
        <v>7</v>
      </c>
      <c r="AW225" s="27" t="s">
        <v>8</v>
      </c>
      <c r="AX225" s="27" t="s">
        <v>7</v>
      </c>
      <c r="AY225" s="27" t="s">
        <v>8</v>
      </c>
      <c r="AZ225" s="27" t="s">
        <v>7</v>
      </c>
      <c r="BG225" s="27" t="s">
        <v>8</v>
      </c>
      <c r="BO225" s="31"/>
      <c r="CJ225" s="27" t="s">
        <v>7</v>
      </c>
      <c r="CK225" s="27" t="s">
        <v>8</v>
      </c>
    </row>
    <row r="226" spans="1:89" x14ac:dyDescent="0.25">
      <c r="A226" s="30">
        <v>1.9799315994393987</v>
      </c>
      <c r="E226"/>
      <c r="AU226" s="27" t="s">
        <v>8</v>
      </c>
      <c r="AV226" s="27" t="s">
        <v>7</v>
      </c>
      <c r="AW226" s="27" t="s">
        <v>8</v>
      </c>
      <c r="AX226" s="27" t="s">
        <v>7</v>
      </c>
      <c r="AY226" s="27" t="s">
        <v>8</v>
      </c>
      <c r="AZ226" s="27" t="s">
        <v>7</v>
      </c>
      <c r="BA226" s="27" t="s">
        <v>8</v>
      </c>
      <c r="BG226" s="27" t="s">
        <v>8</v>
      </c>
      <c r="BN226" s="31"/>
      <c r="CJ226" s="27" t="s">
        <v>7</v>
      </c>
      <c r="CK226" s="27" t="s">
        <v>8</v>
      </c>
    </row>
    <row r="227" spans="1:89" x14ac:dyDescent="0.25">
      <c r="A227" s="30">
        <v>1.8856491423232367</v>
      </c>
      <c r="E227"/>
      <c r="AU227" s="27" t="s">
        <v>8</v>
      </c>
      <c r="AV227" s="27" t="s">
        <v>7</v>
      </c>
      <c r="AW227" s="27" t="s">
        <v>8</v>
      </c>
      <c r="AX227" s="27" t="s">
        <v>7</v>
      </c>
      <c r="AY227" s="27" t="s">
        <v>8</v>
      </c>
      <c r="AZ227" s="27" t="s">
        <v>7</v>
      </c>
      <c r="BA227" s="27" t="s">
        <v>8</v>
      </c>
      <c r="BB227" s="27" t="s">
        <v>7</v>
      </c>
      <c r="BG227" s="27" t="s">
        <v>8</v>
      </c>
      <c r="BM227" s="31"/>
      <c r="CJ227" s="27" t="s">
        <v>7</v>
      </c>
    </row>
    <row r="228" spans="1:89" x14ac:dyDescent="0.25">
      <c r="A228" s="30">
        <v>1.7958563260221301</v>
      </c>
      <c r="C228" s="7"/>
      <c r="D228"/>
      <c r="E228"/>
      <c r="AU228" s="27" t="s">
        <v>8</v>
      </c>
      <c r="AV228" s="27" t="s">
        <v>7</v>
      </c>
      <c r="AW228" s="27" t="s">
        <v>8</v>
      </c>
      <c r="AX228" s="27" t="s">
        <v>7</v>
      </c>
      <c r="AZ228" s="27" t="s">
        <v>7</v>
      </c>
      <c r="BA228" s="27" t="s">
        <v>8</v>
      </c>
      <c r="BB228" s="27" t="s">
        <v>7</v>
      </c>
      <c r="BG228" s="27" t="s">
        <v>8</v>
      </c>
      <c r="BL228" s="31"/>
    </row>
    <row r="229" spans="1:89" x14ac:dyDescent="0.25">
      <c r="A229" s="30">
        <v>1.7103393581163142</v>
      </c>
      <c r="E229"/>
      <c r="AU229" s="27" t="s">
        <v>8</v>
      </c>
      <c r="AV229" s="27" t="s">
        <v>7</v>
      </c>
      <c r="AZ229" s="27" t="s">
        <v>7</v>
      </c>
      <c r="BB229" s="27" t="s">
        <v>7</v>
      </c>
      <c r="BE229" s="27" t="s">
        <v>8</v>
      </c>
      <c r="BG229" s="27" t="s">
        <v>8</v>
      </c>
      <c r="BK229" s="31"/>
    </row>
    <row r="230" spans="1:89" x14ac:dyDescent="0.25">
      <c r="A230" s="30">
        <v>1.628894626777442</v>
      </c>
      <c r="E230"/>
      <c r="AU230" s="27" t="s">
        <v>8</v>
      </c>
      <c r="BB230" s="27" t="s">
        <v>7</v>
      </c>
      <c r="BC230" s="27" t="s">
        <v>8</v>
      </c>
      <c r="BE230" s="27" t="s">
        <v>8</v>
      </c>
      <c r="BF230" s="27" t="s">
        <v>7</v>
      </c>
      <c r="BG230" s="27" t="s">
        <v>8</v>
      </c>
      <c r="BJ230" s="31"/>
    </row>
    <row r="231" spans="1:89" x14ac:dyDescent="0.25">
      <c r="A231" s="30">
        <v>1.5513282159785162</v>
      </c>
      <c r="C231"/>
      <c r="D231"/>
      <c r="E231"/>
      <c r="AU231" s="27" t="s">
        <v>8</v>
      </c>
      <c r="BB231" s="27" t="s">
        <v>7</v>
      </c>
      <c r="BC231" s="27" t="s">
        <v>8</v>
      </c>
      <c r="BD231" s="27" t="s">
        <v>7</v>
      </c>
      <c r="BE231" s="27" t="s">
        <v>8</v>
      </c>
      <c r="BF231" s="27" t="s">
        <v>7</v>
      </c>
      <c r="BG231" s="27" t="s">
        <v>8</v>
      </c>
      <c r="BI231" s="31"/>
    </row>
    <row r="232" spans="1:89" x14ac:dyDescent="0.25">
      <c r="A232" s="30">
        <v>1.477455443789063</v>
      </c>
      <c r="E232"/>
      <c r="AU232" s="27" t="s">
        <v>8</v>
      </c>
      <c r="BB232" s="27" t="s">
        <v>7</v>
      </c>
      <c r="BC232" s="27" t="s">
        <v>8</v>
      </c>
      <c r="BD232" s="27" t="s">
        <v>7</v>
      </c>
      <c r="BE232" s="27" t="s">
        <v>8</v>
      </c>
      <c r="BF232" s="27" t="s">
        <v>7</v>
      </c>
      <c r="BG232" s="27" t="s">
        <v>8</v>
      </c>
      <c r="BH232" s="31"/>
    </row>
    <row r="233" spans="1:89" x14ac:dyDescent="0.25">
      <c r="A233" s="30">
        <v>1.4071004226562505</v>
      </c>
      <c r="E233"/>
      <c r="AS233" s="27" t="s">
        <v>8</v>
      </c>
      <c r="AU233" s="27" t="s">
        <v>8</v>
      </c>
      <c r="BB233" s="27" t="s">
        <v>7</v>
      </c>
      <c r="BC233" s="27" t="s">
        <v>8</v>
      </c>
      <c r="BD233" s="27" t="s">
        <v>7</v>
      </c>
      <c r="BE233" s="27" t="s">
        <v>8</v>
      </c>
      <c r="BF233" s="27" t="s">
        <v>7</v>
      </c>
      <c r="BG233" s="31" t="s">
        <v>8</v>
      </c>
    </row>
    <row r="234" spans="1:89" x14ac:dyDescent="0.25">
      <c r="A234" s="30">
        <v>1.3400956406250004</v>
      </c>
      <c r="E234"/>
      <c r="AS234" s="27" t="s">
        <v>8</v>
      </c>
      <c r="AT234" s="27" t="s">
        <v>7</v>
      </c>
      <c r="AU234" s="27" t="s">
        <v>8</v>
      </c>
      <c r="BB234" s="27" t="s">
        <v>7</v>
      </c>
      <c r="BC234" s="27" t="s">
        <v>8</v>
      </c>
      <c r="BD234" s="27" t="s">
        <v>7</v>
      </c>
      <c r="BE234" s="27" t="s">
        <v>8</v>
      </c>
      <c r="BF234" s="31" t="s">
        <v>7</v>
      </c>
    </row>
    <row r="235" spans="1:89" x14ac:dyDescent="0.25">
      <c r="A235" s="30">
        <v>1.2762815625000004</v>
      </c>
      <c r="C235"/>
      <c r="E235"/>
      <c r="AS235" s="27" t="s">
        <v>8</v>
      </c>
      <c r="AT235" s="27" t="s">
        <v>7</v>
      </c>
      <c r="AU235" s="27" t="s">
        <v>8</v>
      </c>
      <c r="BB235" s="27" t="s">
        <v>7</v>
      </c>
      <c r="BC235" s="27" t="s">
        <v>8</v>
      </c>
      <c r="BD235" s="27" t="s">
        <v>7</v>
      </c>
      <c r="BE235" s="31"/>
    </row>
    <row r="236" spans="1:89" x14ac:dyDescent="0.25">
      <c r="A236" s="30">
        <v>1.2155062500000002</v>
      </c>
      <c r="E236"/>
      <c r="AS236" s="27" t="s">
        <v>8</v>
      </c>
      <c r="AT236" s="27" t="s">
        <v>7</v>
      </c>
      <c r="BB236" s="27" t="s">
        <v>7</v>
      </c>
      <c r="BC236" s="27" t="s">
        <v>8</v>
      </c>
      <c r="BD236" s="31"/>
    </row>
    <row r="237" spans="1:89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M237" s="27" t="s">
        <v>8</v>
      </c>
      <c r="AQ237" s="27" t="s">
        <v>8</v>
      </c>
      <c r="AS237" s="27" t="s">
        <v>8</v>
      </c>
      <c r="BB237" s="27" t="s">
        <v>7</v>
      </c>
      <c r="BC237" s="31" t="s">
        <v>8</v>
      </c>
    </row>
    <row r="238" spans="1:89" x14ac:dyDescent="0.25">
      <c r="A238" s="30">
        <v>1.1025</v>
      </c>
      <c r="E238"/>
      <c r="AM238" s="27" t="s">
        <v>8</v>
      </c>
      <c r="AN238" s="27" t="s">
        <v>7</v>
      </c>
      <c r="AQ238" s="27" t="s">
        <v>8</v>
      </c>
      <c r="AR238" s="27" t="s">
        <v>7</v>
      </c>
      <c r="AS238" s="27" t="s">
        <v>8</v>
      </c>
      <c r="BB238" s="31" t="s">
        <v>7</v>
      </c>
    </row>
    <row r="239" spans="1:89" x14ac:dyDescent="0.25">
      <c r="A239" s="30">
        <v>1.05</v>
      </c>
      <c r="E239"/>
      <c r="AM239" s="27" t="s">
        <v>8</v>
      </c>
      <c r="AN239" s="27" t="s">
        <v>7</v>
      </c>
      <c r="AO239" s="27" t="s">
        <v>8</v>
      </c>
      <c r="AQ239" s="27" t="s">
        <v>8</v>
      </c>
      <c r="AR239" s="27" t="s">
        <v>7</v>
      </c>
      <c r="AS239" s="27" t="s">
        <v>8</v>
      </c>
      <c r="BA239" s="31"/>
    </row>
    <row r="240" spans="1:89" x14ac:dyDescent="0.25">
      <c r="A240" s="30">
        <v>1</v>
      </c>
      <c r="E240" s="29" t="s">
        <v>8</v>
      </c>
      <c r="AM240" s="27" t="s">
        <v>8</v>
      </c>
      <c r="AN240" s="27" t="s">
        <v>7</v>
      </c>
      <c r="AO240" s="27" t="s">
        <v>8</v>
      </c>
      <c r="AP240" s="27" t="s">
        <v>7</v>
      </c>
      <c r="AQ240" s="27" t="s">
        <v>8</v>
      </c>
      <c r="AR240" s="27" t="s">
        <v>7</v>
      </c>
      <c r="AS240" s="27" t="s">
        <v>8</v>
      </c>
      <c r="AZ240" s="31"/>
    </row>
    <row r="241" spans="1:51" x14ac:dyDescent="0.25">
      <c r="A241" s="30">
        <v>0.952380952380952</v>
      </c>
      <c r="B241"/>
      <c r="C241"/>
      <c r="D241"/>
      <c r="E241"/>
      <c r="F241" s="27" t="s">
        <v>7</v>
      </c>
      <c r="AM241" s="27" t="s">
        <v>8</v>
      </c>
      <c r="AN241" s="27" t="s">
        <v>7</v>
      </c>
      <c r="AO241" s="27" t="s">
        <v>8</v>
      </c>
      <c r="AP241" s="27" t="s">
        <v>7</v>
      </c>
      <c r="AQ241" s="27" t="s">
        <v>8</v>
      </c>
      <c r="AR241" s="27" t="s">
        <v>7</v>
      </c>
      <c r="AS241" s="27" t="s">
        <v>8</v>
      </c>
      <c r="AY241" s="31"/>
    </row>
    <row r="242" spans="1:51" x14ac:dyDescent="0.25">
      <c r="A242" s="30">
        <v>0.90702947845804915</v>
      </c>
      <c r="B242"/>
      <c r="C242"/>
      <c r="D242"/>
      <c r="E242"/>
      <c r="F242" s="27" t="s">
        <v>7</v>
      </c>
      <c r="AM242" s="27" t="s">
        <v>8</v>
      </c>
      <c r="AN242" s="27" t="s">
        <v>7</v>
      </c>
      <c r="AO242" s="27" t="s">
        <v>8</v>
      </c>
      <c r="AP242" s="27" t="s">
        <v>7</v>
      </c>
      <c r="AR242" s="27" t="s">
        <v>7</v>
      </c>
      <c r="AX242" s="31"/>
    </row>
    <row r="243" spans="1:51" x14ac:dyDescent="0.25">
      <c r="A243" s="30">
        <v>0.86383759853147501</v>
      </c>
      <c r="B243"/>
      <c r="C243"/>
      <c r="D243"/>
      <c r="E243"/>
      <c r="F243" s="27" t="s">
        <v>7</v>
      </c>
      <c r="AM243" s="27" t="s">
        <v>8</v>
      </c>
      <c r="AN243" s="27" t="s">
        <v>7</v>
      </c>
      <c r="AO243" s="27" t="s">
        <v>8</v>
      </c>
      <c r="AW243" s="31"/>
    </row>
    <row r="244" spans="1:51" x14ac:dyDescent="0.25">
      <c r="A244" s="30">
        <v>0.82270247479188063</v>
      </c>
      <c r="B244"/>
      <c r="C244"/>
      <c r="D244"/>
      <c r="E244"/>
      <c r="F244" s="27" t="s">
        <v>7</v>
      </c>
      <c r="W244" s="27" t="s">
        <v>8</v>
      </c>
      <c r="AM244" s="27" t="s">
        <v>8</v>
      </c>
      <c r="AN244" s="27" t="s">
        <v>7</v>
      </c>
      <c r="AO244" s="27" t="s">
        <v>8</v>
      </c>
      <c r="AV244" s="31"/>
    </row>
    <row r="245" spans="1:51" x14ac:dyDescent="0.25">
      <c r="A245" s="30">
        <v>0.78352616646845741</v>
      </c>
      <c r="B245"/>
      <c r="C245"/>
      <c r="D245"/>
      <c r="E245"/>
      <c r="F245" s="27" t="s">
        <v>7</v>
      </c>
      <c r="W245" s="27" t="s">
        <v>8</v>
      </c>
      <c r="X245" s="27" t="s">
        <v>7</v>
      </c>
      <c r="AM245" s="27" t="s">
        <v>8</v>
      </c>
      <c r="AN245" s="27" t="s">
        <v>7</v>
      </c>
      <c r="AO245" s="27" t="s">
        <v>8</v>
      </c>
      <c r="AU245" s="31"/>
    </row>
    <row r="246" spans="1:51" x14ac:dyDescent="0.25">
      <c r="A246" s="30">
        <v>0.74621539663662584</v>
      </c>
      <c r="B246"/>
      <c r="C246"/>
      <c r="D246"/>
      <c r="E246"/>
      <c r="F246" s="27" t="s">
        <v>7</v>
      </c>
      <c r="W246" s="27" t="s">
        <v>8</v>
      </c>
      <c r="X246" s="27" t="s">
        <v>7</v>
      </c>
      <c r="AM246" s="27" t="s">
        <v>8</v>
      </c>
      <c r="AN246" s="27" t="s">
        <v>7</v>
      </c>
      <c r="AT246" s="31"/>
    </row>
    <row r="247" spans="1:51" x14ac:dyDescent="0.25">
      <c r="A247" s="30">
        <v>0.71068133013011958</v>
      </c>
      <c r="B247"/>
      <c r="C247"/>
      <c r="D247"/>
      <c r="E247"/>
      <c r="F247" s="27" t="s">
        <v>7</v>
      </c>
      <c r="W247" s="27" t="s">
        <v>8</v>
      </c>
      <c r="X247" s="27" t="s">
        <v>7</v>
      </c>
      <c r="AG247" s="27" t="s">
        <v>8</v>
      </c>
      <c r="AK247" s="27" t="s">
        <v>8</v>
      </c>
      <c r="AM247" s="27" t="s">
        <v>8</v>
      </c>
      <c r="AS247" s="31"/>
    </row>
    <row r="248" spans="1:51" x14ac:dyDescent="0.25">
      <c r="A248" s="30">
        <v>0.676839362028685</v>
      </c>
      <c r="B248"/>
      <c r="C248"/>
      <c r="D248"/>
      <c r="E248"/>
      <c r="F248" s="27" t="s">
        <v>7</v>
      </c>
      <c r="I248" s="27" t="s">
        <v>8</v>
      </c>
      <c r="U248" s="27" t="s">
        <v>8</v>
      </c>
      <c r="W248" s="27" t="s">
        <v>8</v>
      </c>
      <c r="X248" s="27" t="s">
        <v>7</v>
      </c>
      <c r="AG248" s="27" t="s">
        <v>8</v>
      </c>
      <c r="AH248" s="27" t="s">
        <v>7</v>
      </c>
      <c r="AI248" s="27" t="s">
        <v>8</v>
      </c>
      <c r="AK248" s="27" t="s">
        <v>8</v>
      </c>
      <c r="AL248" s="27" t="s">
        <v>7</v>
      </c>
      <c r="AM248" s="27" t="s">
        <v>8</v>
      </c>
      <c r="AR248" s="31"/>
    </row>
    <row r="249" spans="1:51" x14ac:dyDescent="0.25">
      <c r="A249" s="30">
        <v>0.64460891621779492</v>
      </c>
      <c r="B249"/>
      <c r="C249"/>
      <c r="D249"/>
      <c r="E249"/>
      <c r="F249" s="27" t="s">
        <v>7</v>
      </c>
      <c r="I249" s="27" t="s">
        <v>8</v>
      </c>
      <c r="J249" s="27" t="s">
        <v>7</v>
      </c>
      <c r="U249" s="27" t="s">
        <v>8</v>
      </c>
      <c r="V249" s="27" t="s">
        <v>7</v>
      </c>
      <c r="W249" s="27" t="s">
        <v>8</v>
      </c>
      <c r="X249" s="27" t="s">
        <v>7</v>
      </c>
      <c r="Y249" s="27" t="s">
        <v>8</v>
      </c>
      <c r="AA249" s="27" t="s">
        <v>8</v>
      </c>
      <c r="AG249" s="27" t="s">
        <v>8</v>
      </c>
      <c r="AH249" s="27" t="s">
        <v>7</v>
      </c>
      <c r="AI249" s="27" t="s">
        <v>8</v>
      </c>
      <c r="AJ249" s="27" t="s">
        <v>7</v>
      </c>
      <c r="AK249" s="27" t="s">
        <v>8</v>
      </c>
      <c r="AL249" s="27" t="s">
        <v>7</v>
      </c>
      <c r="AM249" s="27" t="s">
        <v>8</v>
      </c>
      <c r="AQ249" s="31"/>
    </row>
    <row r="250" spans="1:51" x14ac:dyDescent="0.25">
      <c r="A250" s="30">
        <v>0.61391325354075688</v>
      </c>
      <c r="B250"/>
      <c r="C250"/>
      <c r="D250"/>
      <c r="E250"/>
      <c r="F250" s="27" t="s">
        <v>7</v>
      </c>
      <c r="I250" s="27" t="s">
        <v>8</v>
      </c>
      <c r="J250" s="27" t="s">
        <v>7</v>
      </c>
      <c r="U250" s="27" t="s">
        <v>8</v>
      </c>
      <c r="V250" s="27" t="s">
        <v>7</v>
      </c>
      <c r="W250" s="27" t="s">
        <v>8</v>
      </c>
      <c r="X250" s="27" t="s">
        <v>7</v>
      </c>
      <c r="Y250" s="27" t="s">
        <v>8</v>
      </c>
      <c r="Z250" s="27" t="s">
        <v>7</v>
      </c>
      <c r="AA250" s="27" t="s">
        <v>8</v>
      </c>
      <c r="AB250" s="27" t="s">
        <v>7</v>
      </c>
      <c r="AC250" s="27" t="s">
        <v>8</v>
      </c>
      <c r="AE250" s="27" t="s">
        <v>8</v>
      </c>
      <c r="AG250" s="27" t="s">
        <v>8</v>
      </c>
      <c r="AH250" s="27" t="s">
        <v>7</v>
      </c>
      <c r="AI250" s="27" t="s">
        <v>8</v>
      </c>
      <c r="AJ250" s="27" t="s">
        <v>7</v>
      </c>
      <c r="AK250" s="27" t="s">
        <v>8</v>
      </c>
      <c r="AL250" s="27" t="s">
        <v>7</v>
      </c>
      <c r="AM250" s="27" t="s">
        <v>8</v>
      </c>
      <c r="AP250" s="31"/>
    </row>
    <row r="251" spans="1:51" x14ac:dyDescent="0.25">
      <c r="A251" s="30">
        <v>0.58467928908643485</v>
      </c>
      <c r="B251"/>
      <c r="C251"/>
      <c r="D251"/>
      <c r="E251"/>
      <c r="F251" s="27" t="s">
        <v>7</v>
      </c>
      <c r="I251" s="27" t="s">
        <v>8</v>
      </c>
      <c r="J251" s="27" t="s">
        <v>7</v>
      </c>
      <c r="U251" s="27" t="s">
        <v>8</v>
      </c>
      <c r="V251" s="27" t="s">
        <v>7</v>
      </c>
      <c r="W251" s="27" t="s">
        <v>8</v>
      </c>
      <c r="X251" s="27" t="s">
        <v>7</v>
      </c>
      <c r="Y251" s="27" t="s">
        <v>8</v>
      </c>
      <c r="Z251" s="27" t="s">
        <v>7</v>
      </c>
      <c r="AA251" s="27" t="s">
        <v>8</v>
      </c>
      <c r="AB251" s="27" t="s">
        <v>7</v>
      </c>
      <c r="AC251" s="27" t="s">
        <v>8</v>
      </c>
      <c r="AD251" s="27" t="s">
        <v>7</v>
      </c>
      <c r="AE251" s="27" t="s">
        <v>8</v>
      </c>
      <c r="AF251" s="27" t="s">
        <v>7</v>
      </c>
      <c r="AG251" s="27" t="s">
        <v>8</v>
      </c>
      <c r="AH251" s="27" t="s">
        <v>7</v>
      </c>
      <c r="AI251" s="27" t="s">
        <v>8</v>
      </c>
      <c r="AJ251" s="27" t="s">
        <v>7</v>
      </c>
      <c r="AL251" s="27" t="s">
        <v>7</v>
      </c>
      <c r="AM251" s="27" t="s">
        <v>8</v>
      </c>
      <c r="AO251" s="31"/>
    </row>
    <row r="252" spans="1:51" x14ac:dyDescent="0.25">
      <c r="A252" s="30">
        <v>0.55683741817755672</v>
      </c>
      <c r="B252"/>
      <c r="C252"/>
      <c r="D252"/>
      <c r="E252"/>
      <c r="F252" s="27" t="s">
        <v>7</v>
      </c>
      <c r="I252" s="27" t="s">
        <v>8</v>
      </c>
      <c r="J252" s="27" t="s">
        <v>7</v>
      </c>
      <c r="K252" s="27" t="s">
        <v>8</v>
      </c>
      <c r="U252" s="27" t="s">
        <v>8</v>
      </c>
      <c r="V252" s="27" t="s">
        <v>7</v>
      </c>
      <c r="W252" s="27" t="s">
        <v>8</v>
      </c>
      <c r="X252" s="27" t="s">
        <v>7</v>
      </c>
      <c r="Y252" s="27" t="s">
        <v>8</v>
      </c>
      <c r="Z252" s="27" t="s">
        <v>7</v>
      </c>
      <c r="AA252" s="27" t="s">
        <v>8</v>
      </c>
      <c r="AB252" s="27" t="s">
        <v>7</v>
      </c>
      <c r="AC252" s="27" t="s">
        <v>8</v>
      </c>
      <c r="AD252" s="27" t="s">
        <v>7</v>
      </c>
      <c r="AE252" s="27" t="s">
        <v>8</v>
      </c>
      <c r="AF252" s="27" t="s">
        <v>7</v>
      </c>
      <c r="AG252" s="27" t="s">
        <v>8</v>
      </c>
      <c r="AH252" s="27" t="s">
        <v>7</v>
      </c>
      <c r="AI252" s="27" t="s">
        <v>8</v>
      </c>
      <c r="AL252" s="27" t="s">
        <v>7</v>
      </c>
      <c r="AN252" s="31"/>
    </row>
    <row r="253" spans="1:51" x14ac:dyDescent="0.25">
      <c r="A253" s="30">
        <v>0.53032135064529184</v>
      </c>
      <c r="B253"/>
      <c r="C253"/>
      <c r="D253"/>
      <c r="E253"/>
      <c r="F253" s="27" t="s">
        <v>7</v>
      </c>
      <c r="I253" s="27" t="s">
        <v>8</v>
      </c>
      <c r="J253" s="27" t="s">
        <v>7</v>
      </c>
      <c r="K253" s="27" t="s">
        <v>8</v>
      </c>
      <c r="L253" s="27" t="s">
        <v>7</v>
      </c>
      <c r="M253" s="27" t="s">
        <v>8</v>
      </c>
      <c r="O253" s="27" t="s">
        <v>8</v>
      </c>
      <c r="S253" s="27" t="s">
        <v>8</v>
      </c>
      <c r="U253" s="27" t="s">
        <v>8</v>
      </c>
      <c r="V253" s="27" t="s">
        <v>7</v>
      </c>
      <c r="W253" s="27" t="s">
        <v>8</v>
      </c>
      <c r="X253" s="27" t="s">
        <v>7</v>
      </c>
      <c r="Y253" s="27" t="s">
        <v>8</v>
      </c>
      <c r="Z253" s="27" t="s">
        <v>7</v>
      </c>
      <c r="AB253" s="27" t="s">
        <v>7</v>
      </c>
      <c r="AC253" s="27" t="s">
        <v>8</v>
      </c>
      <c r="AD253" s="27" t="s">
        <v>7</v>
      </c>
      <c r="AF253" s="27" t="s">
        <v>7</v>
      </c>
      <c r="AH253" s="27" t="s">
        <v>7</v>
      </c>
      <c r="AI253" s="27" t="s">
        <v>8</v>
      </c>
      <c r="AM253" s="31"/>
    </row>
    <row r="254" spans="1:51" x14ac:dyDescent="0.25">
      <c r="A254" s="30">
        <v>0.50506795299551588</v>
      </c>
      <c r="B254"/>
      <c r="C254"/>
      <c r="D254"/>
      <c r="E254"/>
      <c r="F254" s="27" t="s">
        <v>7</v>
      </c>
      <c r="I254" s="27" t="s">
        <v>8</v>
      </c>
      <c r="J254" s="27" t="s">
        <v>7</v>
      </c>
      <c r="K254" s="27" t="s">
        <v>8</v>
      </c>
      <c r="L254" s="27" t="s">
        <v>7</v>
      </c>
      <c r="M254" s="27" t="s">
        <v>8</v>
      </c>
      <c r="N254" s="27" t="s">
        <v>7</v>
      </c>
      <c r="O254" s="27" t="s">
        <v>8</v>
      </c>
      <c r="P254" s="27" t="s">
        <v>7</v>
      </c>
      <c r="S254" s="27" t="s">
        <v>8</v>
      </c>
      <c r="T254" s="27" t="s">
        <v>7</v>
      </c>
      <c r="U254" s="27" t="s">
        <v>8</v>
      </c>
      <c r="V254" s="27" t="s">
        <v>7</v>
      </c>
      <c r="X254" s="27" t="s">
        <v>7</v>
      </c>
      <c r="Y254" s="27" t="s">
        <v>8</v>
      </c>
      <c r="AB254" s="27" t="s">
        <v>7</v>
      </c>
      <c r="AH254" s="27" t="s">
        <v>7</v>
      </c>
      <c r="AI254" s="27" t="s">
        <v>8</v>
      </c>
      <c r="AL254" s="31"/>
    </row>
    <row r="255" spans="1:51" x14ac:dyDescent="0.25">
      <c r="A255" s="30">
        <v>0.48101709809096732</v>
      </c>
      <c r="E255"/>
      <c r="F255" s="27" t="s">
        <v>7</v>
      </c>
      <c r="I255" s="27" t="s">
        <v>8</v>
      </c>
      <c r="J255" s="27" t="s">
        <v>7</v>
      </c>
      <c r="K255" s="27" t="s">
        <v>8</v>
      </c>
      <c r="L255" s="27" t="s">
        <v>7</v>
      </c>
      <c r="M255" s="27" t="s">
        <v>8</v>
      </c>
      <c r="N255" s="27" t="s">
        <v>7</v>
      </c>
      <c r="O255" s="27" t="s">
        <v>8</v>
      </c>
      <c r="P255" s="27" t="s">
        <v>7</v>
      </c>
      <c r="Q255" s="27" t="s">
        <v>8</v>
      </c>
      <c r="S255" s="27" t="s">
        <v>8</v>
      </c>
      <c r="T255" s="27" t="s">
        <v>7</v>
      </c>
      <c r="U255" s="27" t="s">
        <v>8</v>
      </c>
      <c r="X255" s="27" t="s">
        <v>7</v>
      </c>
      <c r="AH255" s="27" t="s">
        <v>7</v>
      </c>
      <c r="AI255" s="27" t="s">
        <v>8</v>
      </c>
      <c r="AK255" s="31"/>
    </row>
    <row r="256" spans="1:51" x14ac:dyDescent="0.25">
      <c r="A256" s="30">
        <v>0.45811152199139726</v>
      </c>
      <c r="E256"/>
      <c r="F256" s="27" t="s">
        <v>7</v>
      </c>
      <c r="I256" s="27" t="s">
        <v>8</v>
      </c>
      <c r="J256" s="27" t="s">
        <v>7</v>
      </c>
      <c r="K256" s="27" t="s">
        <v>8</v>
      </c>
      <c r="L256" s="27" t="s">
        <v>7</v>
      </c>
      <c r="M256" s="27" t="s">
        <v>8</v>
      </c>
      <c r="N256" s="27" t="s">
        <v>7</v>
      </c>
      <c r="O256" s="27" t="s">
        <v>8</v>
      </c>
      <c r="P256" s="27" t="s">
        <v>7</v>
      </c>
      <c r="Q256" s="27" t="s">
        <v>8</v>
      </c>
      <c r="R256" s="27" t="s">
        <v>7</v>
      </c>
      <c r="S256" s="27" t="s">
        <v>8</v>
      </c>
      <c r="T256" s="27" t="s">
        <v>7</v>
      </c>
      <c r="U256" s="27" t="s">
        <v>8</v>
      </c>
      <c r="AH256" s="27" t="s">
        <v>7</v>
      </c>
      <c r="AI256" s="27" t="s">
        <v>8</v>
      </c>
      <c r="AJ256" s="31"/>
    </row>
    <row r="257" spans="1:35" x14ac:dyDescent="0.25">
      <c r="A257" s="30">
        <v>0.43629668761085438</v>
      </c>
      <c r="B257"/>
      <c r="C257"/>
      <c r="D257"/>
      <c r="E257"/>
      <c r="F257" s="27" t="s">
        <v>7</v>
      </c>
      <c r="G257" s="27" t="s">
        <v>8</v>
      </c>
      <c r="I257" s="27" t="s">
        <v>8</v>
      </c>
      <c r="J257" s="27" t="s">
        <v>7</v>
      </c>
      <c r="L257" s="27" t="s">
        <v>7</v>
      </c>
      <c r="N257" s="27" t="s">
        <v>7</v>
      </c>
      <c r="O257" s="27" t="s">
        <v>8</v>
      </c>
      <c r="P257" s="27" t="s">
        <v>7</v>
      </c>
      <c r="Q257" s="27" t="s">
        <v>8</v>
      </c>
      <c r="R257" s="27" t="s">
        <v>7</v>
      </c>
      <c r="S257" s="27" t="s">
        <v>8</v>
      </c>
      <c r="T257" s="27" t="s">
        <v>7</v>
      </c>
      <c r="AH257" s="27" t="s">
        <v>7</v>
      </c>
      <c r="AI257" s="31" t="s">
        <v>8</v>
      </c>
    </row>
    <row r="258" spans="1:35" x14ac:dyDescent="0.25">
      <c r="A258" s="30">
        <v>0.41552065486748019</v>
      </c>
      <c r="B258"/>
      <c r="C258"/>
      <c r="D258"/>
      <c r="E258"/>
      <c r="F258" s="27" t="s">
        <v>7</v>
      </c>
      <c r="G258" s="27" t="s">
        <v>8</v>
      </c>
      <c r="H258" s="27" t="s">
        <v>7</v>
      </c>
      <c r="I258" s="27" t="s">
        <v>8</v>
      </c>
      <c r="N258" s="27" t="s">
        <v>7</v>
      </c>
      <c r="P258" s="27" t="s">
        <v>7</v>
      </c>
      <c r="Q258" s="27" t="s">
        <v>8</v>
      </c>
      <c r="R258" s="27" t="s">
        <v>7</v>
      </c>
      <c r="AH258" s="31" t="s">
        <v>7</v>
      </c>
    </row>
    <row r="259" spans="1:35" x14ac:dyDescent="0.25">
      <c r="A259" s="30">
        <v>0.39573395701664765</v>
      </c>
      <c r="B259"/>
      <c r="C259"/>
      <c r="D259"/>
      <c r="E259"/>
      <c r="F259" s="27" t="s">
        <v>7</v>
      </c>
      <c r="G259" s="27" t="s">
        <v>8</v>
      </c>
      <c r="H259" s="27" t="s">
        <v>7</v>
      </c>
      <c r="I259" s="27" t="s">
        <v>8</v>
      </c>
      <c r="P259" s="27" t="s">
        <v>7</v>
      </c>
      <c r="Q259" s="27" t="s">
        <v>8</v>
      </c>
    </row>
    <row r="260" spans="1:35" x14ac:dyDescent="0.25">
      <c r="A260" s="30">
        <v>0.37688948287299762</v>
      </c>
      <c r="B260"/>
      <c r="C260"/>
      <c r="D260"/>
      <c r="E260"/>
      <c r="F260" s="27" t="s">
        <v>7</v>
      </c>
      <c r="G260" s="27" t="s">
        <v>8</v>
      </c>
      <c r="H260" s="27" t="s">
        <v>7</v>
      </c>
      <c r="I260" s="27" t="s">
        <v>8</v>
      </c>
      <c r="P260" s="27" t="s">
        <v>7</v>
      </c>
      <c r="Q260" s="27" t="s">
        <v>8</v>
      </c>
    </row>
    <row r="261" spans="1:35" x14ac:dyDescent="0.25">
      <c r="A261" s="30">
        <v>0.35894236464094997</v>
      </c>
      <c r="B261"/>
      <c r="C261"/>
      <c r="D261"/>
      <c r="E261"/>
      <c r="F261" s="27" t="s">
        <v>7</v>
      </c>
      <c r="G261" s="27" t="s">
        <v>8</v>
      </c>
      <c r="H261" s="27" t="s">
        <v>7</v>
      </c>
      <c r="I261" s="27" t="s">
        <v>8</v>
      </c>
      <c r="P261" s="27" t="s">
        <v>7</v>
      </c>
      <c r="Q261" s="27" t="s">
        <v>8</v>
      </c>
    </row>
    <row r="262" spans="1:35" x14ac:dyDescent="0.25">
      <c r="A262" s="30">
        <v>0.34184987108661891</v>
      </c>
      <c r="B262"/>
      <c r="C262"/>
      <c r="D262"/>
      <c r="E262"/>
      <c r="F262" s="27" t="s">
        <v>7</v>
      </c>
      <c r="G262" s="27" t="s">
        <v>8</v>
      </c>
      <c r="H262" s="27" t="s">
        <v>7</v>
      </c>
      <c r="I262" s="27" t="s">
        <v>8</v>
      </c>
      <c r="P262" s="27" t="s">
        <v>7</v>
      </c>
      <c r="Q262" s="27" t="s">
        <v>8</v>
      </c>
    </row>
    <row r="263" spans="1:35" x14ac:dyDescent="0.25">
      <c r="A263" s="30">
        <v>0.32557130579677979</v>
      </c>
      <c r="B263"/>
      <c r="C263"/>
      <c r="D263"/>
      <c r="E263"/>
      <c r="F263" s="27" t="s">
        <v>7</v>
      </c>
      <c r="G263" s="27" t="s">
        <v>8</v>
      </c>
      <c r="H263" s="27" t="s">
        <v>7</v>
      </c>
      <c r="I263" s="27" t="s">
        <v>8</v>
      </c>
      <c r="P263" s="27" t="s">
        <v>7</v>
      </c>
    </row>
    <row r="264" spans="1:35" x14ac:dyDescent="0.25">
      <c r="A264" s="30">
        <v>0.3100679102826473</v>
      </c>
      <c r="B264"/>
      <c r="C264"/>
      <c r="D264"/>
      <c r="E264"/>
      <c r="F264" s="27" t="s">
        <v>7</v>
      </c>
      <c r="G264" s="27" t="s">
        <v>8</v>
      </c>
      <c r="H264" s="27" t="s">
        <v>7</v>
      </c>
    </row>
    <row r="265" spans="1:35" x14ac:dyDescent="0.25">
      <c r="A265" s="30">
        <v>0.2953027716977592</v>
      </c>
      <c r="B265"/>
      <c r="C265"/>
      <c r="D265"/>
      <c r="E265"/>
      <c r="F265" s="27" t="s">
        <v>7</v>
      </c>
      <c r="G265" s="27" t="s">
        <v>8</v>
      </c>
    </row>
    <row r="266" spans="1:35" x14ac:dyDescent="0.25">
      <c r="A266" s="30">
        <v>0.28124073495024676</v>
      </c>
      <c r="B266"/>
      <c r="C266"/>
      <c r="D266"/>
      <c r="E266"/>
      <c r="F266" s="27" t="s">
        <v>7</v>
      </c>
      <c r="G266" s="27" t="s">
        <v>8</v>
      </c>
    </row>
    <row r="267" spans="1:35" x14ac:dyDescent="0.25">
      <c r="A267" s="30">
        <v>0.26784831900023492</v>
      </c>
      <c r="B267"/>
      <c r="C267"/>
      <c r="D267"/>
      <c r="E267"/>
      <c r="F267" s="27" t="s">
        <v>7</v>
      </c>
      <c r="G267" s="27" t="s">
        <v>8</v>
      </c>
    </row>
    <row r="268" spans="1:35" x14ac:dyDescent="0.25">
      <c r="A268" s="30">
        <v>0.25509363714308075</v>
      </c>
      <c r="B268"/>
      <c r="C268"/>
      <c r="D268"/>
      <c r="E268"/>
      <c r="F268" s="27" t="s">
        <v>7</v>
      </c>
      <c r="G268" s="27" t="s">
        <v>8</v>
      </c>
    </row>
    <row r="269" spans="1:35" x14ac:dyDescent="0.25">
      <c r="A269" s="30">
        <v>0.24294632108864825</v>
      </c>
      <c r="B269"/>
      <c r="C269"/>
      <c r="D269"/>
      <c r="E269"/>
      <c r="F269" s="27" t="s">
        <v>7</v>
      </c>
      <c r="G269" s="27" t="s">
        <v>8</v>
      </c>
    </row>
    <row r="270" spans="1:35" x14ac:dyDescent="0.25">
      <c r="A270" s="30">
        <v>0.23137744865585538</v>
      </c>
      <c r="B270"/>
      <c r="C270"/>
      <c r="D270"/>
      <c r="E270"/>
      <c r="F270" s="27" t="s">
        <v>7</v>
      </c>
      <c r="G270" s="27" t="s">
        <v>8</v>
      </c>
    </row>
    <row r="271" spans="1:35" x14ac:dyDescent="0.25">
      <c r="A271" s="30">
        <v>0.22035947491033836</v>
      </c>
      <c r="B271"/>
      <c r="C271"/>
      <c r="D271"/>
      <c r="E271"/>
      <c r="F271" s="27" t="s">
        <v>7</v>
      </c>
      <c r="G271" s="27" t="s">
        <v>8</v>
      </c>
    </row>
    <row r="272" spans="1:35" x14ac:dyDescent="0.25">
      <c r="A272" s="30">
        <v>0.20986616658127455</v>
      </c>
      <c r="B272"/>
      <c r="C272"/>
      <c r="D272"/>
      <c r="E272"/>
      <c r="F272" s="27" t="s">
        <v>7</v>
      </c>
      <c r="G272" s="27" t="s">
        <v>8</v>
      </c>
    </row>
    <row r="273" spans="1:7" x14ac:dyDescent="0.25">
      <c r="A273" s="30">
        <v>0.19987253960121379</v>
      </c>
      <c r="B273"/>
      <c r="C273"/>
      <c r="D273"/>
      <c r="E273"/>
      <c r="F273" s="27" t="s">
        <v>7</v>
      </c>
      <c r="G273" s="27" t="s">
        <v>8</v>
      </c>
    </row>
    <row r="274" spans="1:7" x14ac:dyDescent="0.25">
      <c r="A274" s="30">
        <v>0.19035479962020352</v>
      </c>
      <c r="B274"/>
      <c r="C274"/>
      <c r="D274"/>
      <c r="E274"/>
      <c r="F274" s="27" t="s">
        <v>7</v>
      </c>
      <c r="G274" s="27" t="s">
        <v>8</v>
      </c>
    </row>
    <row r="275" spans="1:7" x14ac:dyDescent="0.25">
      <c r="A275" s="30">
        <v>0.18129028535257471</v>
      </c>
      <c r="B275"/>
      <c r="C275"/>
      <c r="D275"/>
      <c r="E275"/>
      <c r="F275" s="27" t="s">
        <v>7</v>
      </c>
      <c r="G275" s="27" t="s">
        <v>8</v>
      </c>
    </row>
    <row r="276" spans="1:7" x14ac:dyDescent="0.25">
      <c r="A276" s="30">
        <v>0.17265741462149967</v>
      </c>
      <c r="B276"/>
      <c r="C276"/>
      <c r="D276"/>
      <c r="E276"/>
      <c r="F276" s="27" t="s">
        <v>7</v>
      </c>
      <c r="G276" s="27" t="s">
        <v>8</v>
      </c>
    </row>
    <row r="277" spans="1:7" x14ac:dyDescent="0.25">
      <c r="A277" s="30">
        <v>0.16443563297285677</v>
      </c>
      <c r="B277"/>
      <c r="C277"/>
      <c r="D277"/>
      <c r="E277"/>
      <c r="F277" s="27" t="s">
        <v>7</v>
      </c>
      <c r="G277" s="27" t="s">
        <v>8</v>
      </c>
    </row>
    <row r="278" spans="1:7" x14ac:dyDescent="0.25">
      <c r="A278" s="30">
        <v>0.15660536473605399</v>
      </c>
      <c r="B278"/>
      <c r="C278"/>
      <c r="D278"/>
      <c r="E278"/>
      <c r="F278" s="27" t="s">
        <v>7</v>
      </c>
      <c r="G278" s="27" t="s">
        <v>8</v>
      </c>
    </row>
    <row r="279" spans="1:7" x14ac:dyDescent="0.25">
      <c r="A279" s="30">
        <v>0.14914796641528946</v>
      </c>
      <c r="B279"/>
      <c r="C279"/>
      <c r="D279"/>
      <c r="E279"/>
      <c r="F279" s="27" t="s">
        <v>7</v>
      </c>
      <c r="G279" s="27" t="s">
        <v>8</v>
      </c>
    </row>
    <row r="280" spans="1:7" x14ac:dyDescent="0.25">
      <c r="A280" s="30">
        <v>0.14204568230027562</v>
      </c>
      <c r="B280"/>
      <c r="C280"/>
      <c r="D280"/>
      <c r="E280"/>
      <c r="F280" s="27" t="s">
        <v>7</v>
      </c>
      <c r="G280" s="27" t="s">
        <v>8</v>
      </c>
    </row>
    <row r="281" spans="1:7" x14ac:dyDescent="0.25">
      <c r="A281" s="30">
        <v>0.13528160219073862</v>
      </c>
      <c r="B281"/>
      <c r="C281"/>
      <c r="D281"/>
      <c r="E281"/>
      <c r="F281" s="27" t="s">
        <v>7</v>
      </c>
      <c r="G281" s="27" t="s">
        <v>8</v>
      </c>
    </row>
    <row r="282" spans="1:7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</row>
    <row r="283" spans="1:7" x14ac:dyDescent="0.25">
      <c r="A283" s="30">
        <v>0.12270440108003494</v>
      </c>
      <c r="B283"/>
      <c r="C283"/>
      <c r="D283"/>
      <c r="E283"/>
      <c r="F283" s="27" t="s">
        <v>7</v>
      </c>
    </row>
    <row r="284" spans="1:7" x14ac:dyDescent="0.25">
      <c r="A284" s="30">
        <v>0.11686133436193799</v>
      </c>
      <c r="B284"/>
      <c r="C284"/>
      <c r="D284"/>
      <c r="E284"/>
    </row>
    <row r="285" spans="1:7" x14ac:dyDescent="0.25">
      <c r="A285" s="30">
        <v>0.11129650891613138</v>
      </c>
      <c r="B285"/>
      <c r="C285"/>
      <c r="D285"/>
      <c r="E285"/>
    </row>
    <row r="286" spans="1:7" x14ac:dyDescent="0.25">
      <c r="A286" s="30">
        <v>0.10599667515822032</v>
      </c>
      <c r="B286"/>
      <c r="C286"/>
      <c r="D286"/>
      <c r="E286"/>
    </row>
    <row r="287" spans="1:7" x14ac:dyDescent="0.25">
      <c r="A287" s="30">
        <v>0.10094921443640027</v>
      </c>
      <c r="B287"/>
      <c r="C287"/>
      <c r="D287"/>
      <c r="E287"/>
    </row>
    <row r="288" spans="1:7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70" operator="equal">
      <formula>$U$1</formula>
    </cfRule>
    <cfRule type="cellIs" dxfId="67" priority="871" operator="equal">
      <formula>$S$1</formula>
    </cfRule>
  </conditionalFormatting>
  <conditionalFormatting sqref="D136">
    <cfRule type="cellIs" dxfId="66" priority="868" operator="equal">
      <formula>$S$1</formula>
    </cfRule>
    <cfRule type="cellIs" dxfId="65" priority="869" operator="equal">
      <formula>$U$1</formula>
    </cfRule>
  </conditionalFormatting>
  <conditionalFormatting sqref="C162">
    <cfRule type="cellIs" dxfId="64" priority="866" operator="equal">
      <formula>$U$1</formula>
    </cfRule>
    <cfRule type="cellIs" dxfId="63" priority="867" operator="equal">
      <formula>$S$1</formula>
    </cfRule>
  </conditionalFormatting>
  <conditionalFormatting sqref="D162">
    <cfRule type="cellIs" dxfId="62" priority="864" operator="equal">
      <formula>$S$1</formula>
    </cfRule>
    <cfRule type="cellIs" dxfId="61" priority="865" operator="equal">
      <formula>$U$1</formula>
    </cfRule>
  </conditionalFormatting>
  <conditionalFormatting sqref="C187">
    <cfRule type="cellIs" dxfId="60" priority="862" operator="equal">
      <formula>$U$1</formula>
    </cfRule>
    <cfRule type="cellIs" dxfId="59" priority="863" operator="equal">
      <formula>$S$1</formula>
    </cfRule>
  </conditionalFormatting>
  <conditionalFormatting sqref="D187">
    <cfRule type="cellIs" dxfId="58" priority="860" operator="equal">
      <formula>$S$1</formula>
    </cfRule>
    <cfRule type="cellIs" dxfId="57" priority="861" operator="equal">
      <formula>$U$1</formula>
    </cfRule>
  </conditionalFormatting>
  <conditionalFormatting sqref="C212">
    <cfRule type="cellIs" dxfId="56" priority="858" operator="equal">
      <formula>$U$1</formula>
    </cfRule>
    <cfRule type="cellIs" dxfId="55" priority="859" operator="equal">
      <formula>$S$1</formula>
    </cfRule>
  </conditionalFormatting>
  <conditionalFormatting sqref="D212">
    <cfRule type="cellIs" dxfId="54" priority="856" operator="equal">
      <formula>$S$1</formula>
    </cfRule>
    <cfRule type="cellIs" dxfId="53" priority="857" operator="equal">
      <formula>$U$1</formula>
    </cfRule>
  </conditionalFormatting>
  <conditionalFormatting sqref="C237">
    <cfRule type="cellIs" dxfId="52" priority="854" operator="equal">
      <formula>$U$1</formula>
    </cfRule>
    <cfRule type="cellIs" dxfId="51" priority="855" operator="equal">
      <formula>$S$1</formula>
    </cfRule>
  </conditionalFormatting>
  <conditionalFormatting sqref="D237">
    <cfRule type="cellIs" dxfId="50" priority="852" operator="equal">
      <formula>$S$1</formula>
    </cfRule>
    <cfRule type="cellIs" dxfId="49" priority="853" operator="equal">
      <formula>$U$1</formula>
    </cfRule>
  </conditionalFormatting>
  <conditionalFormatting sqref="C106">
    <cfRule type="cellIs" dxfId="48" priority="850" operator="equal">
      <formula>$U$1</formula>
    </cfRule>
    <cfRule type="cellIs" dxfId="47" priority="851" operator="equal">
      <formula>$S$1</formula>
    </cfRule>
  </conditionalFormatting>
  <conditionalFormatting sqref="D106">
    <cfRule type="cellIs" dxfId="46" priority="848" operator="equal">
      <formula>$S$1</formula>
    </cfRule>
    <cfRule type="cellIs" dxfId="45" priority="849" operator="equal">
      <formula>$U$1</formula>
    </cfRule>
  </conditionalFormatting>
  <conditionalFormatting sqref="C81">
    <cfRule type="cellIs" dxfId="44" priority="846" operator="equal">
      <formula>$U$1</formula>
    </cfRule>
    <cfRule type="cellIs" dxfId="43" priority="847" operator="equal">
      <formula>$S$1</formula>
    </cfRule>
  </conditionalFormatting>
  <conditionalFormatting sqref="D81">
    <cfRule type="cellIs" dxfId="42" priority="844" operator="equal">
      <formula>$S$1</formula>
    </cfRule>
    <cfRule type="cellIs" dxfId="41" priority="845" operator="equal">
      <formula>$U$1</formula>
    </cfRule>
  </conditionalFormatting>
  <conditionalFormatting sqref="C56">
    <cfRule type="cellIs" dxfId="40" priority="842" operator="equal">
      <formula>$U$1</formula>
    </cfRule>
    <cfRule type="cellIs" dxfId="39" priority="843" operator="equal">
      <formula>$S$1</formula>
    </cfRule>
  </conditionalFormatting>
  <conditionalFormatting sqref="D56">
    <cfRule type="cellIs" dxfId="38" priority="840" operator="equal">
      <formula>$S$1</formula>
    </cfRule>
    <cfRule type="cellIs" dxfId="37" priority="841" operator="equal">
      <formula>$U$1</formula>
    </cfRule>
  </conditionalFormatting>
  <conditionalFormatting sqref="C31">
    <cfRule type="cellIs" dxfId="36" priority="838" operator="equal">
      <formula>$U$1</formula>
    </cfRule>
    <cfRule type="cellIs" dxfId="35" priority="839" operator="equal">
      <formula>$S$1</formula>
    </cfRule>
  </conditionalFormatting>
  <conditionalFormatting sqref="D31">
    <cfRule type="cellIs" dxfId="34" priority="836" operator="equal">
      <formula>$S$1</formula>
    </cfRule>
    <cfRule type="cellIs" dxfId="33" priority="83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68" zoomScale="90" zoomScaleNormal="90" workbookViewId="0">
      <pane xSplit="4" topLeftCell="G1" activePane="topRight" state="frozen"/>
      <selection activeCell="A109" sqref="A109"/>
      <selection pane="topRight" activeCell="AR81" sqref="AR8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44" x14ac:dyDescent="0.25">
      <c r="A65" s="30">
        <v>207.96505671840671</v>
      </c>
      <c r="E65"/>
    </row>
    <row r="66" spans="1:44" x14ac:dyDescent="0.25">
      <c r="A66" s="30">
        <v>189.05914247127882</v>
      </c>
      <c r="E66"/>
    </row>
    <row r="67" spans="1:44" x14ac:dyDescent="0.25">
      <c r="A67" s="30">
        <v>171.87194770116255</v>
      </c>
      <c r="C67" s="1" t="s">
        <v>15</v>
      </c>
      <c r="E67"/>
    </row>
    <row r="68" spans="1:44" x14ac:dyDescent="0.25">
      <c r="A68" s="30">
        <v>156.24722518287504</v>
      </c>
      <c r="C68" s="7">
        <v>0.11167815779424731</v>
      </c>
      <c r="D68"/>
      <c r="E68"/>
      <c r="AQ68" s="27" t="s">
        <v>8</v>
      </c>
    </row>
    <row r="69" spans="1:44" x14ac:dyDescent="0.25">
      <c r="A69" s="30">
        <v>142.04293198443185</v>
      </c>
      <c r="E69"/>
      <c r="AQ69" s="27" t="s">
        <v>8</v>
      </c>
      <c r="AR69" s="27" t="s">
        <v>7</v>
      </c>
    </row>
    <row r="70" spans="1:44" x14ac:dyDescent="0.25">
      <c r="A70" s="30">
        <v>129.1299381676653</v>
      </c>
      <c r="C70" s="1" t="s">
        <v>11</v>
      </c>
      <c r="D70" s="1" t="s">
        <v>12</v>
      </c>
      <c r="E70"/>
      <c r="AQ70" s="27" t="s">
        <v>8</v>
      </c>
      <c r="AR70" s="27" t="s">
        <v>7</v>
      </c>
    </row>
    <row r="71" spans="1:44" x14ac:dyDescent="0.25">
      <c r="A71" s="30">
        <v>117.39085287969573</v>
      </c>
      <c r="C71"/>
      <c r="D71"/>
      <c r="E71"/>
      <c r="AQ71" s="27" t="s">
        <v>8</v>
      </c>
      <c r="AR71" s="27" t="s">
        <v>7</v>
      </c>
    </row>
    <row r="72" spans="1:44" x14ac:dyDescent="0.25">
      <c r="A72" s="30">
        <v>106.71895716335975</v>
      </c>
      <c r="E72"/>
      <c r="AQ72" s="27" t="s">
        <v>8</v>
      </c>
      <c r="AR72" s="27" t="s">
        <v>7</v>
      </c>
    </row>
    <row r="73" spans="1:44" x14ac:dyDescent="0.25">
      <c r="A73" s="30">
        <v>97.017233784872488</v>
      </c>
      <c r="C73" s="1" t="s">
        <v>13</v>
      </c>
      <c r="E73"/>
      <c r="AQ73" s="27" t="s">
        <v>8</v>
      </c>
      <c r="AR73" s="27" t="s">
        <v>7</v>
      </c>
    </row>
    <row r="74" spans="1:44" x14ac:dyDescent="0.25">
      <c r="A74" s="30">
        <v>88.197485258974979</v>
      </c>
      <c r="C74" s="1">
        <f>C63</f>
        <v>0</v>
      </c>
      <c r="E74"/>
      <c r="AO74" s="27" t="s">
        <v>8</v>
      </c>
      <c r="AQ74" s="27" t="s">
        <v>8</v>
      </c>
      <c r="AR74" s="27" t="s">
        <v>7</v>
      </c>
    </row>
    <row r="75" spans="1:44" x14ac:dyDescent="0.25">
      <c r="A75" s="30">
        <v>80.179532053613613</v>
      </c>
      <c r="C75"/>
      <c r="D75"/>
      <c r="E75"/>
      <c r="AO75" s="27" t="s">
        <v>8</v>
      </c>
      <c r="AP75" s="27" t="s">
        <v>7</v>
      </c>
      <c r="AQ75" s="27" t="s">
        <v>8</v>
      </c>
      <c r="AR75" s="27" t="s">
        <v>7</v>
      </c>
    </row>
    <row r="76" spans="1:44" x14ac:dyDescent="0.25">
      <c r="A76" s="30">
        <v>72.890483685103277</v>
      </c>
      <c r="C76" s="1" t="s">
        <v>14</v>
      </c>
      <c r="E76"/>
      <c r="AO76" s="27" t="s">
        <v>8</v>
      </c>
      <c r="AP76" s="27" t="s">
        <v>7</v>
      </c>
      <c r="AQ76" s="27" t="s">
        <v>8</v>
      </c>
      <c r="AR76" s="27" t="s">
        <v>7</v>
      </c>
    </row>
    <row r="77" spans="1:44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AO77" s="27" t="s">
        <v>8</v>
      </c>
      <c r="AP77" s="27" t="s">
        <v>7</v>
      </c>
      <c r="AQ77" s="27" t="s">
        <v>8</v>
      </c>
      <c r="AR77" s="27" t="s">
        <v>7</v>
      </c>
    </row>
    <row r="78" spans="1:44" x14ac:dyDescent="0.25">
      <c r="A78" s="30">
        <v>60.240069161242367</v>
      </c>
      <c r="E78"/>
      <c r="AO78" s="27" t="s">
        <v>8</v>
      </c>
      <c r="AP78" s="27" t="s">
        <v>7</v>
      </c>
      <c r="AQ78" s="27" t="s">
        <v>8</v>
      </c>
      <c r="AR78" s="27" t="s">
        <v>7</v>
      </c>
    </row>
    <row r="79" spans="1:44" x14ac:dyDescent="0.25">
      <c r="A79" s="30">
        <v>54.763699237493057</v>
      </c>
      <c r="E79"/>
      <c r="AO79" s="27" t="s">
        <v>8</v>
      </c>
      <c r="AP79" s="27" t="s">
        <v>7</v>
      </c>
      <c r="AQ79" s="27" t="s">
        <v>8</v>
      </c>
      <c r="AR79" s="27" t="s">
        <v>7</v>
      </c>
    </row>
    <row r="80" spans="1:44" x14ac:dyDescent="0.25">
      <c r="A80" s="30">
        <v>49.785181124993684</v>
      </c>
      <c r="E80"/>
      <c r="AM80" s="31" t="s">
        <v>8</v>
      </c>
      <c r="AO80" s="27" t="s">
        <v>8</v>
      </c>
      <c r="AP80" s="27" t="s">
        <v>7</v>
      </c>
      <c r="AR80" s="27" t="s">
        <v>7</v>
      </c>
    </row>
    <row r="81" spans="1:44" x14ac:dyDescent="0.25">
      <c r="A81" s="30">
        <v>45.259255568176073</v>
      </c>
      <c r="E81"/>
      <c r="AM81" s="27" t="s">
        <v>8</v>
      </c>
      <c r="AN81" s="31" t="s">
        <v>7</v>
      </c>
      <c r="AO81" s="27" t="s">
        <v>8</v>
      </c>
      <c r="AR81" s="27" t="s">
        <v>7</v>
      </c>
    </row>
    <row r="82" spans="1:44" x14ac:dyDescent="0.25">
      <c r="A82" s="30">
        <v>41.144777789250973</v>
      </c>
      <c r="E82"/>
      <c r="AM82" s="27" t="s">
        <v>8</v>
      </c>
      <c r="AN82" s="27" t="s">
        <v>7</v>
      </c>
      <c r="AO82" s="31" t="s">
        <v>8</v>
      </c>
    </row>
    <row r="83" spans="1:44" x14ac:dyDescent="0.25">
      <c r="A83" s="30">
        <v>37.404343444773609</v>
      </c>
      <c r="E83"/>
      <c r="AM83" s="27" t="s">
        <v>8</v>
      </c>
      <c r="AN83" s="27" t="s">
        <v>7</v>
      </c>
      <c r="AP83" s="31"/>
    </row>
    <row r="84" spans="1:44" x14ac:dyDescent="0.25">
      <c r="A84" s="30">
        <v>34.003948586157826</v>
      </c>
      <c r="E84"/>
      <c r="AM84" s="27" t="s">
        <v>8</v>
      </c>
      <c r="AQ84" s="31"/>
    </row>
    <row r="85" spans="1:44" x14ac:dyDescent="0.25">
      <c r="A85" s="30">
        <v>30.912680532870748</v>
      </c>
      <c r="E85"/>
      <c r="AM85" s="27" t="s">
        <v>8</v>
      </c>
    </row>
    <row r="86" spans="1:44" x14ac:dyDescent="0.25">
      <c r="A86" s="30">
        <v>28.102436848064315</v>
      </c>
      <c r="E86"/>
      <c r="AK86" s="27" t="s">
        <v>8</v>
      </c>
      <c r="AM86" s="27" t="s">
        <v>8</v>
      </c>
    </row>
    <row r="87" spans="1:44" x14ac:dyDescent="0.25">
      <c r="A87" s="30">
        <v>25.547669861876649</v>
      </c>
      <c r="E87"/>
      <c r="AK87" s="27" t="s">
        <v>8</v>
      </c>
      <c r="AL87" s="27" t="s">
        <v>7</v>
      </c>
      <c r="AM87" s="27" t="s">
        <v>8</v>
      </c>
    </row>
    <row r="88" spans="1:44" x14ac:dyDescent="0.25">
      <c r="A88" s="30">
        <v>23.225154419887861</v>
      </c>
      <c r="E88"/>
      <c r="AK88" s="27" t="s">
        <v>8</v>
      </c>
      <c r="AL88" s="27" t="s">
        <v>7</v>
      </c>
      <c r="AM88" s="27" t="s">
        <v>8</v>
      </c>
    </row>
    <row r="89" spans="1:44" x14ac:dyDescent="0.25">
      <c r="A89" s="30">
        <v>21.113776745352599</v>
      </c>
      <c r="E89"/>
      <c r="AK89" s="27" t="s">
        <v>8</v>
      </c>
      <c r="AL89" s="27" t="s">
        <v>7</v>
      </c>
      <c r="AM89" s="27" t="s">
        <v>8</v>
      </c>
    </row>
    <row r="90" spans="1:44" x14ac:dyDescent="0.25">
      <c r="A90" s="30">
        <v>19.194342495775089</v>
      </c>
      <c r="E90"/>
      <c r="AK90" s="27" t="s">
        <v>8</v>
      </c>
      <c r="AL90" s="27" t="s">
        <v>7</v>
      </c>
      <c r="AM90" s="27" t="s">
        <v>8</v>
      </c>
    </row>
    <row r="91" spans="1:44" x14ac:dyDescent="0.25">
      <c r="A91" s="30">
        <v>17.449402268886445</v>
      </c>
      <c r="E91"/>
      <c r="AK91" s="27" t="s">
        <v>8</v>
      </c>
      <c r="AL91" s="27" t="s">
        <v>7</v>
      </c>
      <c r="AM91" s="27" t="s">
        <v>8</v>
      </c>
    </row>
    <row r="92" spans="1:44" x14ac:dyDescent="0.25">
      <c r="A92" s="30">
        <v>15.863092971714948</v>
      </c>
      <c r="C92" s="1" t="s">
        <v>15</v>
      </c>
      <c r="E92"/>
      <c r="AI92" s="27" t="s">
        <v>8</v>
      </c>
      <c r="AK92" s="27" t="s">
        <v>8</v>
      </c>
      <c r="AL92" s="18" t="s">
        <v>7</v>
      </c>
      <c r="AM92" s="27" t="s">
        <v>8</v>
      </c>
    </row>
    <row r="93" spans="1:44" x14ac:dyDescent="0.25">
      <c r="A93" s="30">
        <v>14.420993610649951</v>
      </c>
      <c r="C93" s="7">
        <v>0.11167815779424731</v>
      </c>
      <c r="D93"/>
      <c r="E93"/>
      <c r="AI93" s="27" t="s">
        <v>8</v>
      </c>
      <c r="AJ93" s="27" t="s">
        <v>7</v>
      </c>
      <c r="AK93" s="27" t="s">
        <v>8</v>
      </c>
      <c r="AL93" s="27" t="s">
        <v>7</v>
      </c>
    </row>
    <row r="94" spans="1:44" x14ac:dyDescent="0.25">
      <c r="A94" s="30">
        <v>13.109994191499954</v>
      </c>
      <c r="E94"/>
      <c r="AI94" s="27" t="s">
        <v>8</v>
      </c>
      <c r="AJ94" s="27" t="s">
        <v>7</v>
      </c>
      <c r="AK94" s="27" t="s">
        <v>8</v>
      </c>
    </row>
    <row r="95" spans="1:44" x14ac:dyDescent="0.25">
      <c r="A95" s="30">
        <v>11.918176537727231</v>
      </c>
      <c r="C95" s="1" t="s">
        <v>11</v>
      </c>
      <c r="D95" s="1" t="s">
        <v>12</v>
      </c>
      <c r="E95"/>
      <c r="AI95" s="27" t="s">
        <v>8</v>
      </c>
      <c r="AJ95" s="27" t="s">
        <v>7</v>
      </c>
    </row>
    <row r="96" spans="1:44" x14ac:dyDescent="0.25">
      <c r="A96" s="30">
        <v>10.834705943388391</v>
      </c>
      <c r="C96"/>
      <c r="D96"/>
      <c r="E96"/>
      <c r="W96" s="27" t="s">
        <v>8</v>
      </c>
      <c r="Y96" s="27" t="s">
        <v>8</v>
      </c>
      <c r="AA96" s="27" t="s">
        <v>8</v>
      </c>
      <c r="AI96" s="27" t="s">
        <v>8</v>
      </c>
    </row>
    <row r="97" spans="1:45" x14ac:dyDescent="0.25">
      <c r="A97" s="30">
        <v>9.849732675807628</v>
      </c>
      <c r="E97"/>
      <c r="W97" s="27" t="s">
        <v>8</v>
      </c>
      <c r="X97" s="27" t="s">
        <v>7</v>
      </c>
      <c r="Y97" s="27" t="s">
        <v>8</v>
      </c>
      <c r="Z97" s="27" t="s">
        <v>7</v>
      </c>
      <c r="AA97" s="27" t="s">
        <v>8</v>
      </c>
      <c r="AB97" s="27" t="s">
        <v>7</v>
      </c>
      <c r="AI97" s="27" t="s">
        <v>8</v>
      </c>
    </row>
    <row r="98" spans="1:45" x14ac:dyDescent="0.25">
      <c r="A98" s="30">
        <v>8.9543024325523888</v>
      </c>
      <c r="C98" s="1" t="s">
        <v>13</v>
      </c>
      <c r="E98"/>
      <c r="W98" s="27" t="s">
        <v>8</v>
      </c>
      <c r="X98" s="27" t="s">
        <v>7</v>
      </c>
      <c r="Y98" s="27" t="s">
        <v>8</v>
      </c>
      <c r="Z98" s="27" t="s">
        <v>7</v>
      </c>
      <c r="AA98" s="27" t="s">
        <v>8</v>
      </c>
      <c r="AB98" s="27" t="s">
        <v>7</v>
      </c>
      <c r="AI98" s="27" t="s">
        <v>8</v>
      </c>
    </row>
    <row r="99" spans="1:45" x14ac:dyDescent="0.25">
      <c r="A99" s="30">
        <v>8.140274938683989</v>
      </c>
      <c r="C99" s="1">
        <f>C88</f>
        <v>0</v>
      </c>
      <c r="E99"/>
      <c r="W99" s="27" t="s">
        <v>8</v>
      </c>
      <c r="X99" s="27" t="s">
        <v>7</v>
      </c>
      <c r="Y99" s="27" t="s">
        <v>8</v>
      </c>
      <c r="Z99" s="27" t="s">
        <v>7</v>
      </c>
      <c r="AA99" s="27" t="s">
        <v>8</v>
      </c>
      <c r="AB99" s="27" t="s">
        <v>7</v>
      </c>
      <c r="AI99" s="27" t="s">
        <v>8</v>
      </c>
      <c r="AS99" s="31"/>
    </row>
    <row r="100" spans="1:45" x14ac:dyDescent="0.25">
      <c r="A100" s="30">
        <v>7.4002499442581717</v>
      </c>
      <c r="C100"/>
      <c r="D100"/>
      <c r="E100"/>
      <c r="U100" s="27" t="s">
        <v>8</v>
      </c>
      <c r="W100" s="27" t="s">
        <v>8</v>
      </c>
      <c r="X100" s="27" t="s">
        <v>7</v>
      </c>
      <c r="Y100" s="27" t="s">
        <v>8</v>
      </c>
      <c r="Z100" s="27" t="s">
        <v>7</v>
      </c>
      <c r="AA100" s="27" t="s">
        <v>8</v>
      </c>
      <c r="AB100" s="27" t="s">
        <v>7</v>
      </c>
      <c r="AI100" s="27" t="s">
        <v>8</v>
      </c>
      <c r="AR100" s="31"/>
    </row>
    <row r="101" spans="1:45" x14ac:dyDescent="0.25">
      <c r="A101" s="30">
        <v>6.72749994932561</v>
      </c>
      <c r="C101" s="1" t="s">
        <v>14</v>
      </c>
      <c r="E101"/>
      <c r="U101" s="27" t="s">
        <v>8</v>
      </c>
      <c r="V101" s="27" t="s">
        <v>7</v>
      </c>
      <c r="W101" s="27" t="s">
        <v>8</v>
      </c>
      <c r="X101" s="27" t="s">
        <v>7</v>
      </c>
      <c r="Y101" s="27" t="s">
        <v>8</v>
      </c>
      <c r="Z101" s="27" t="s">
        <v>7</v>
      </c>
      <c r="AA101" s="27" t="s">
        <v>8</v>
      </c>
      <c r="AB101" s="27" t="s">
        <v>7</v>
      </c>
      <c r="AI101" s="27" t="s">
        <v>8</v>
      </c>
      <c r="AQ101" s="31"/>
    </row>
    <row r="102" spans="1:4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S102" s="27" t="s">
        <v>8</v>
      </c>
      <c r="U102" s="27" t="s">
        <v>8</v>
      </c>
      <c r="V102" s="27" t="s">
        <v>7</v>
      </c>
      <c r="W102" s="27" t="s">
        <v>8</v>
      </c>
      <c r="X102" s="27" t="s">
        <v>7</v>
      </c>
      <c r="Z102" s="27" t="s">
        <v>7</v>
      </c>
      <c r="AB102" s="27" t="s">
        <v>7</v>
      </c>
      <c r="AI102" s="27" t="s">
        <v>8</v>
      </c>
      <c r="AP102" s="31"/>
    </row>
    <row r="103" spans="1:45" x14ac:dyDescent="0.25">
      <c r="A103" s="30">
        <v>5.5599173134922388</v>
      </c>
      <c r="E103"/>
      <c r="S103" s="27" t="s">
        <v>8</v>
      </c>
      <c r="T103" s="27" t="s">
        <v>7</v>
      </c>
      <c r="U103" s="27" t="s">
        <v>8</v>
      </c>
      <c r="V103" s="27" t="s">
        <v>7</v>
      </c>
      <c r="W103" s="27" t="s">
        <v>8</v>
      </c>
      <c r="AB103" s="27" t="s">
        <v>7</v>
      </c>
      <c r="AE103" s="27" t="s">
        <v>8</v>
      </c>
      <c r="AI103" s="27" t="s">
        <v>8</v>
      </c>
      <c r="AO103" s="31"/>
    </row>
    <row r="104" spans="1:45" x14ac:dyDescent="0.25">
      <c r="A104" s="30">
        <v>5.0544702849929442</v>
      </c>
      <c r="E104"/>
      <c r="S104" s="27" t="s">
        <v>8</v>
      </c>
      <c r="T104" s="27" t="s">
        <v>7</v>
      </c>
      <c r="U104" s="27" t="s">
        <v>8</v>
      </c>
      <c r="V104" s="27" t="s">
        <v>7</v>
      </c>
      <c r="AB104" s="27" t="s">
        <v>7</v>
      </c>
      <c r="AC104" s="27" t="s">
        <v>8</v>
      </c>
      <c r="AE104" s="27" t="s">
        <v>8</v>
      </c>
      <c r="AF104" s="27" t="s">
        <v>7</v>
      </c>
      <c r="AG104" s="27" t="s">
        <v>8</v>
      </c>
      <c r="AI104" s="27" t="s">
        <v>8</v>
      </c>
      <c r="AN104" s="31"/>
    </row>
    <row r="105" spans="1:45" x14ac:dyDescent="0.25">
      <c r="A105" s="30">
        <v>4.594972986357222</v>
      </c>
      <c r="E105"/>
      <c r="S105" s="27" t="s">
        <v>8</v>
      </c>
      <c r="T105" s="27" t="s">
        <v>7</v>
      </c>
      <c r="U105" s="27" t="s">
        <v>8</v>
      </c>
      <c r="AB105" s="27" t="s">
        <v>7</v>
      </c>
      <c r="AC105" s="27" t="s">
        <v>8</v>
      </c>
      <c r="AD105" s="27" t="s">
        <v>7</v>
      </c>
      <c r="AE105" s="27" t="s">
        <v>8</v>
      </c>
      <c r="AF105" s="27" t="s">
        <v>7</v>
      </c>
      <c r="AG105" s="27" t="s">
        <v>8</v>
      </c>
      <c r="AH105" s="27" t="s">
        <v>7</v>
      </c>
      <c r="AI105" s="27" t="s">
        <v>8</v>
      </c>
      <c r="AM105" s="31"/>
    </row>
    <row r="106" spans="1:45" x14ac:dyDescent="0.25">
      <c r="A106" s="30">
        <v>4.1772481694156562</v>
      </c>
      <c r="E106"/>
      <c r="S106" s="27" t="s">
        <v>8</v>
      </c>
      <c r="T106" s="27" t="s">
        <v>7</v>
      </c>
      <c r="U106" s="27" t="s">
        <v>8</v>
      </c>
      <c r="AB106" s="27" t="s">
        <v>7</v>
      </c>
      <c r="AC106" s="27" t="s">
        <v>8</v>
      </c>
      <c r="AD106" s="27" t="s">
        <v>7</v>
      </c>
      <c r="AE106" s="27" t="s">
        <v>8</v>
      </c>
      <c r="AF106" s="27" t="s">
        <v>7</v>
      </c>
      <c r="AG106" s="27" t="s">
        <v>8</v>
      </c>
      <c r="AH106" s="27" t="s">
        <v>7</v>
      </c>
      <c r="AI106" s="27" t="s">
        <v>8</v>
      </c>
      <c r="AL106" s="31"/>
    </row>
    <row r="107" spans="1:45" x14ac:dyDescent="0.25">
      <c r="A107" s="30">
        <v>3.7974983358324148</v>
      </c>
      <c r="E107"/>
      <c r="S107" s="27" t="s">
        <v>8</v>
      </c>
      <c r="T107" s="27" t="s">
        <v>7</v>
      </c>
      <c r="U107" s="27" t="s">
        <v>8</v>
      </c>
      <c r="AB107" s="27" t="s">
        <v>7</v>
      </c>
      <c r="AC107" s="27" t="s">
        <v>8</v>
      </c>
      <c r="AD107" s="27" t="s">
        <v>7</v>
      </c>
      <c r="AE107" s="27" t="s">
        <v>8</v>
      </c>
      <c r="AF107" s="27" t="s">
        <v>7</v>
      </c>
      <c r="AG107" s="27" t="s">
        <v>8</v>
      </c>
      <c r="AH107" s="27" t="s">
        <v>7</v>
      </c>
      <c r="AI107" s="27" t="s">
        <v>8</v>
      </c>
      <c r="AK107" s="31"/>
    </row>
    <row r="108" spans="1:45" x14ac:dyDescent="0.25">
      <c r="A108" s="30">
        <v>3.4522712143931042</v>
      </c>
      <c r="E108"/>
      <c r="S108" s="27" t="s">
        <v>8</v>
      </c>
      <c r="T108" s="27" t="s">
        <v>7</v>
      </c>
      <c r="AB108" s="27" t="s">
        <v>7</v>
      </c>
      <c r="AC108" s="27" t="s">
        <v>8</v>
      </c>
      <c r="AD108" s="27" t="s">
        <v>7</v>
      </c>
      <c r="AE108" s="27" t="s">
        <v>8</v>
      </c>
      <c r="AF108" s="27" t="s">
        <v>7</v>
      </c>
      <c r="AH108" s="27" t="s">
        <v>7</v>
      </c>
      <c r="AI108" s="27" t="s">
        <v>8</v>
      </c>
      <c r="AJ108" s="31"/>
    </row>
    <row r="109" spans="1:45" x14ac:dyDescent="0.25">
      <c r="A109" s="30">
        <v>3.1384283767210035</v>
      </c>
      <c r="E109"/>
      <c r="S109" s="27" t="s">
        <v>8</v>
      </c>
      <c r="AB109" s="27" t="s">
        <v>7</v>
      </c>
      <c r="AC109" s="27" t="s">
        <v>8</v>
      </c>
      <c r="AD109" s="27" t="s">
        <v>7</v>
      </c>
      <c r="AE109" s="27" t="s">
        <v>8</v>
      </c>
      <c r="AH109" s="27" t="s">
        <v>7</v>
      </c>
      <c r="AI109" s="31"/>
    </row>
    <row r="110" spans="1:45" x14ac:dyDescent="0.25">
      <c r="A110" s="30">
        <v>2.8531167061100029</v>
      </c>
      <c r="E110"/>
      <c r="S110" s="27" t="s">
        <v>8</v>
      </c>
      <c r="AB110" s="27" t="s">
        <v>7</v>
      </c>
      <c r="AC110" s="27" t="s">
        <v>8</v>
      </c>
      <c r="AD110" s="27" t="s">
        <v>7</v>
      </c>
      <c r="AH110" s="31"/>
    </row>
    <row r="111" spans="1:45" x14ac:dyDescent="0.25">
      <c r="A111" s="30">
        <v>2.5937424601000023</v>
      </c>
      <c r="C111" s="1" t="str">
        <f>ADDRESS(C121-1,1,1,1)</f>
        <v>$A$80</v>
      </c>
      <c r="D111" s="1" t="str">
        <f>ADDRESS(C121-1,D121,1,1)</f>
        <v>$AR$80</v>
      </c>
      <c r="E111"/>
      <c r="S111" s="27" t="s">
        <v>8</v>
      </c>
      <c r="AB111" s="27" t="s">
        <v>7</v>
      </c>
      <c r="AC111" s="27" t="s">
        <v>8</v>
      </c>
      <c r="AG111" s="31"/>
    </row>
    <row r="112" spans="1:45" x14ac:dyDescent="0.25">
      <c r="A112" s="30">
        <v>2.3579476910000019</v>
      </c>
      <c r="C112" s="1" t="str">
        <f>ADDRESS(C121,1,1,1)</f>
        <v>$A$81</v>
      </c>
      <c r="D112" s="1" t="str">
        <f>ADDRESS(C121,D121-1,1,1)</f>
        <v>$AQ$81</v>
      </c>
      <c r="E112"/>
      <c r="Q112" s="27" t="s">
        <v>8</v>
      </c>
      <c r="S112" s="27" t="s">
        <v>8</v>
      </c>
      <c r="AB112" s="27" t="s">
        <v>7</v>
      </c>
      <c r="AC112" s="27" t="s">
        <v>8</v>
      </c>
      <c r="AF112" s="31"/>
    </row>
    <row r="113" spans="1:31" x14ac:dyDescent="0.25">
      <c r="A113" s="30">
        <v>2.1435888100000016</v>
      </c>
      <c r="C113" s="1" t="str">
        <f>ADDRESS(C121+1,1,1,1)</f>
        <v>$A$82</v>
      </c>
      <c r="D113" s="1" t="str">
        <f>ADDRESS(C121-1,D121+1,1,1)</f>
        <v>$AS$80</v>
      </c>
      <c r="Q113" s="27" t="s">
        <v>8</v>
      </c>
      <c r="R113" s="27" t="s">
        <v>7</v>
      </c>
      <c r="S113" s="27" t="s">
        <v>8</v>
      </c>
      <c r="AB113" s="27" t="s">
        <v>7</v>
      </c>
      <c r="AC113" s="27" t="s">
        <v>8</v>
      </c>
      <c r="AE113" s="31"/>
    </row>
    <row r="114" spans="1:31" x14ac:dyDescent="0.25">
      <c r="A114" s="30">
        <v>1.9487171000000014</v>
      </c>
      <c r="C114" s="1" t="str">
        <f>ADDRESS(C121,D121,1,1)</f>
        <v>$AR$81</v>
      </c>
      <c r="D114" s="1" t="str">
        <f>ADDRESS(C121+1,D121+1,1,1)</f>
        <v>$AS$82</v>
      </c>
      <c r="Q114" s="27" t="s">
        <v>8</v>
      </c>
      <c r="R114" s="27" t="s">
        <v>7</v>
      </c>
      <c r="S114" s="27" t="s">
        <v>8</v>
      </c>
      <c r="AB114" s="27" t="s">
        <v>7</v>
      </c>
      <c r="AD114" s="31"/>
    </row>
    <row r="115" spans="1:31" x14ac:dyDescent="0.25">
      <c r="A115" s="30">
        <v>1.7715610000000011</v>
      </c>
      <c r="C115" s="1" t="str">
        <f>ADDRESS(C121+1,D121,1,1)</f>
        <v>$AR$82</v>
      </c>
      <c r="Q115" s="27" t="s">
        <v>8</v>
      </c>
      <c r="R115" s="27" t="s">
        <v>7</v>
      </c>
      <c r="S115" s="27" t="s">
        <v>8</v>
      </c>
      <c r="AC115" s="31"/>
    </row>
    <row r="116" spans="1:31" x14ac:dyDescent="0.25">
      <c r="A116" s="30">
        <v>1.6105100000000008</v>
      </c>
      <c r="C116" s="1">
        <f>C117-1</f>
        <v>80</v>
      </c>
      <c r="Q116" s="27" t="s">
        <v>8</v>
      </c>
      <c r="R116" s="27" t="s">
        <v>7</v>
      </c>
      <c r="S116" s="27" t="s">
        <v>8</v>
      </c>
      <c r="AB116" s="31"/>
    </row>
    <row r="117" spans="1:31" x14ac:dyDescent="0.25">
      <c r="A117" s="30">
        <v>1.4641000000000006</v>
      </c>
      <c r="C117" s="1">
        <f>C121</f>
        <v>81</v>
      </c>
      <c r="D117" s="1">
        <f>D121</f>
        <v>44</v>
      </c>
      <c r="Q117" s="27" t="s">
        <v>8</v>
      </c>
      <c r="R117" s="27" t="s">
        <v>7</v>
      </c>
      <c r="S117" s="27" t="s">
        <v>8</v>
      </c>
      <c r="AA117" s="31"/>
    </row>
    <row r="118" spans="1:31" x14ac:dyDescent="0.25">
      <c r="A118" s="30">
        <v>1.3310000000000004</v>
      </c>
      <c r="C118" s="1">
        <f>C117+1</f>
        <v>82</v>
      </c>
      <c r="D118" s="1">
        <f>D117+1</f>
        <v>45</v>
      </c>
      <c r="Q118" s="27" t="s">
        <v>8</v>
      </c>
      <c r="R118" s="27" t="s">
        <v>7</v>
      </c>
      <c r="S118" s="27" t="s">
        <v>8</v>
      </c>
      <c r="Z118" s="31"/>
    </row>
    <row r="119" spans="1:31" x14ac:dyDescent="0.25">
      <c r="A119" s="30">
        <v>1.2100000000000002</v>
      </c>
      <c r="Q119" s="27" t="s">
        <v>8</v>
      </c>
      <c r="R119" s="27" t="s">
        <v>7</v>
      </c>
      <c r="S119" s="27" t="s">
        <v>8</v>
      </c>
      <c r="Y119" s="31"/>
    </row>
    <row r="120" spans="1:31" x14ac:dyDescent="0.25">
      <c r="A120" s="30">
        <v>1.1000000000000001</v>
      </c>
      <c r="C120" s="1" t="s">
        <v>9</v>
      </c>
      <c r="O120" s="27" t="s">
        <v>8</v>
      </c>
      <c r="Q120" s="27" t="s">
        <v>8</v>
      </c>
      <c r="R120" s="27" t="s">
        <v>7</v>
      </c>
      <c r="X120" s="31"/>
    </row>
    <row r="121" spans="1:31" x14ac:dyDescent="0.25">
      <c r="A121" s="30">
        <v>1</v>
      </c>
      <c r="C121" s="18">
        <v>81</v>
      </c>
      <c r="D121" s="19">
        <v>44</v>
      </c>
      <c r="E121" s="18" t="s">
        <v>8</v>
      </c>
      <c r="O121" s="27" t="s">
        <v>8</v>
      </c>
      <c r="P121" s="27" t="s">
        <v>7</v>
      </c>
      <c r="Q121" s="27" t="s">
        <v>8</v>
      </c>
      <c r="W121" s="31"/>
    </row>
    <row r="122" spans="1:31" x14ac:dyDescent="0.25">
      <c r="A122" s="30">
        <v>0.90909090909090895</v>
      </c>
      <c r="C122" s="1" t="str">
        <f>INDEX(1:1048576,C117,D117)</f>
        <v>O</v>
      </c>
      <c r="F122" s="27" t="s">
        <v>7</v>
      </c>
      <c r="O122" s="27" t="s">
        <v>8</v>
      </c>
      <c r="P122" s="27" t="s">
        <v>7</v>
      </c>
      <c r="Q122" s="27" t="s">
        <v>8</v>
      </c>
      <c r="V122" s="31"/>
    </row>
    <row r="123" spans="1:31" x14ac:dyDescent="0.25">
      <c r="A123" s="30">
        <v>0.82644628099173523</v>
      </c>
      <c r="C123" s="1" t="str">
        <f>"R"&amp;C121</f>
        <v>R81</v>
      </c>
      <c r="D123" s="1" t="str">
        <f>"C"&amp;D121</f>
        <v>C44</v>
      </c>
      <c r="F123" s="27" t="s">
        <v>7</v>
      </c>
      <c r="K123" s="27" t="s">
        <v>8</v>
      </c>
      <c r="O123" s="27" t="s">
        <v>8</v>
      </c>
      <c r="P123" s="27" t="s">
        <v>7</v>
      </c>
      <c r="Q123" s="27" t="s">
        <v>8</v>
      </c>
      <c r="U123" s="31"/>
    </row>
    <row r="124" spans="1:31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K124" s="27" t="s">
        <v>8</v>
      </c>
      <c r="L124" s="27" t="s">
        <v>7</v>
      </c>
      <c r="O124" s="27" t="s">
        <v>8</v>
      </c>
      <c r="P124" s="27" t="s">
        <v>7</v>
      </c>
      <c r="T124" s="31"/>
    </row>
    <row r="125" spans="1:31" x14ac:dyDescent="0.25">
      <c r="A125" s="30">
        <v>0.68301345536507019</v>
      </c>
      <c r="F125" s="27" t="s">
        <v>7</v>
      </c>
      <c r="I125" s="27" t="s">
        <v>8</v>
      </c>
      <c r="K125" s="27" t="s">
        <v>8</v>
      </c>
      <c r="L125" s="27" t="s">
        <v>7</v>
      </c>
      <c r="M125" s="27" t="s">
        <v>8</v>
      </c>
      <c r="O125" s="27" t="s">
        <v>8</v>
      </c>
      <c r="S125" s="31"/>
    </row>
    <row r="126" spans="1:31" x14ac:dyDescent="0.25">
      <c r="A126" s="30">
        <v>0.6209213230591546</v>
      </c>
      <c r="C126" s="1" t="s">
        <v>10</v>
      </c>
      <c r="F126" s="27" t="s">
        <v>7</v>
      </c>
      <c r="I126" s="27" t="s">
        <v>8</v>
      </c>
      <c r="J126" s="27" t="s">
        <v>7</v>
      </c>
      <c r="K126" s="27" t="s">
        <v>8</v>
      </c>
      <c r="L126" s="27" t="s">
        <v>7</v>
      </c>
      <c r="M126" s="27" t="s">
        <v>8</v>
      </c>
      <c r="N126" s="27" t="s">
        <v>7</v>
      </c>
      <c r="O126" s="27" t="s">
        <v>8</v>
      </c>
      <c r="R126" s="31"/>
    </row>
    <row r="127" spans="1:31" x14ac:dyDescent="0.25">
      <c r="A127" s="30">
        <v>0.56447393005377677</v>
      </c>
      <c r="C127" s="30">
        <v>45.259255568176073</v>
      </c>
      <c r="D127"/>
      <c r="F127" s="27" t="s">
        <v>7</v>
      </c>
      <c r="I127" s="27" t="s">
        <v>8</v>
      </c>
      <c r="J127" s="27" t="s">
        <v>7</v>
      </c>
      <c r="K127" s="27" t="s">
        <v>8</v>
      </c>
      <c r="L127" s="27" t="s">
        <v>7</v>
      </c>
      <c r="M127" s="27" t="s">
        <v>8</v>
      </c>
      <c r="N127" s="27" t="s">
        <v>7</v>
      </c>
      <c r="O127" s="27" t="s">
        <v>8</v>
      </c>
      <c r="Q127" s="31"/>
    </row>
    <row r="128" spans="1:31" x14ac:dyDescent="0.25">
      <c r="A128" s="30">
        <v>0.51315811823070612</v>
      </c>
      <c r="F128" s="27" t="s">
        <v>7</v>
      </c>
      <c r="I128" s="27" t="s">
        <v>8</v>
      </c>
      <c r="J128" s="27" t="s">
        <v>7</v>
      </c>
      <c r="K128" s="27" t="s">
        <v>8</v>
      </c>
      <c r="L128" s="27" t="s">
        <v>7</v>
      </c>
      <c r="M128" s="27" t="s">
        <v>8</v>
      </c>
      <c r="N128" s="27" t="s">
        <v>7</v>
      </c>
      <c r="O128" s="27" t="s">
        <v>8</v>
      </c>
      <c r="P128" s="31"/>
    </row>
    <row r="129" spans="1:15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I129" s="27" t="s">
        <v>8</v>
      </c>
      <c r="J129" s="27" t="s">
        <v>7</v>
      </c>
      <c r="K129" s="27" t="s">
        <v>8</v>
      </c>
      <c r="L129" s="27" t="s">
        <v>7</v>
      </c>
      <c r="N129" s="27" t="s">
        <v>7</v>
      </c>
      <c r="O129" s="31" t="s">
        <v>8</v>
      </c>
    </row>
    <row r="130" spans="1:15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I130" s="27" t="s">
        <v>8</v>
      </c>
      <c r="J130" s="27" t="s">
        <v>7</v>
      </c>
      <c r="K130" s="27" t="s">
        <v>8</v>
      </c>
      <c r="N130" s="31" t="s">
        <v>7</v>
      </c>
    </row>
    <row r="131" spans="1:15" x14ac:dyDescent="0.25">
      <c r="A131" s="30">
        <v>0.38554328942953109</v>
      </c>
      <c r="E131"/>
      <c r="F131" s="27" t="s">
        <v>7</v>
      </c>
      <c r="G131" s="27" t="s">
        <v>8</v>
      </c>
      <c r="H131" s="27" t="s">
        <v>7</v>
      </c>
      <c r="I131" s="27" t="s">
        <v>8</v>
      </c>
      <c r="J131" s="27" t="s">
        <v>7</v>
      </c>
      <c r="K131" s="27" t="s">
        <v>8</v>
      </c>
    </row>
    <row r="132" spans="1:15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H132" s="27" t="s">
        <v>7</v>
      </c>
      <c r="I132" s="27" t="s">
        <v>8</v>
      </c>
      <c r="J132" s="27" t="s">
        <v>7</v>
      </c>
      <c r="K132" s="27" t="s">
        <v>8</v>
      </c>
    </row>
    <row r="133" spans="1:15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H133" s="27" t="s">
        <v>7</v>
      </c>
      <c r="J133" s="27" t="s">
        <v>7</v>
      </c>
    </row>
    <row r="134" spans="1:15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</row>
    <row r="135" spans="1:15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</row>
    <row r="136" spans="1:1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</row>
    <row r="137" spans="1:15" x14ac:dyDescent="0.25">
      <c r="A137" s="30">
        <v>0.2176291357901482</v>
      </c>
      <c r="E137"/>
      <c r="F137" s="27" t="s">
        <v>7</v>
      </c>
      <c r="G137" s="27" t="s">
        <v>8</v>
      </c>
    </row>
    <row r="138" spans="1:1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G138" s="27" t="s">
        <v>8</v>
      </c>
    </row>
    <row r="139" spans="1:15" x14ac:dyDescent="0.25">
      <c r="A139" s="30">
        <v>0.17985878990921333</v>
      </c>
      <c r="E139"/>
      <c r="F139" s="27" t="s">
        <v>7</v>
      </c>
      <c r="G139" s="27" t="s">
        <v>8</v>
      </c>
    </row>
    <row r="140" spans="1:15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</row>
    <row r="141" spans="1:15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</row>
    <row r="142" spans="1:15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</row>
    <row r="143" spans="1:15" x14ac:dyDescent="0.25">
      <c r="A143" s="30">
        <v>0.12284597357367205</v>
      </c>
      <c r="C143" s="1">
        <v>3</v>
      </c>
      <c r="E143"/>
      <c r="F143" s="27" t="s">
        <v>7</v>
      </c>
    </row>
    <row r="144" spans="1:1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54" operator="equal">
      <formula>$U$1</formula>
    </cfRule>
    <cfRule type="cellIs" dxfId="30" priority="855" operator="equal">
      <formula>$S$1</formula>
    </cfRule>
  </conditionalFormatting>
  <conditionalFormatting sqref="D136">
    <cfRule type="cellIs" dxfId="29" priority="852" operator="equal">
      <formula>$S$1</formula>
    </cfRule>
    <cfRule type="cellIs" dxfId="28" priority="853" operator="equal">
      <formula>$U$1</formula>
    </cfRule>
  </conditionalFormatting>
  <conditionalFormatting sqref="C102">
    <cfRule type="cellIs" dxfId="27" priority="850" operator="equal">
      <formula>$U$1</formula>
    </cfRule>
    <cfRule type="cellIs" dxfId="26" priority="851" operator="equal">
      <formula>$S$1</formula>
    </cfRule>
  </conditionalFormatting>
  <conditionalFormatting sqref="D102">
    <cfRule type="cellIs" dxfId="25" priority="848" operator="equal">
      <formula>$S$1</formula>
    </cfRule>
    <cfRule type="cellIs" dxfId="24" priority="849" operator="equal">
      <formula>$U$1</formula>
    </cfRule>
  </conditionalFormatting>
  <conditionalFormatting sqref="C77">
    <cfRule type="cellIs" dxfId="23" priority="846" operator="equal">
      <formula>$U$1</formula>
    </cfRule>
    <cfRule type="cellIs" dxfId="22" priority="847" operator="equal">
      <formula>$S$1</formula>
    </cfRule>
  </conditionalFormatting>
  <conditionalFormatting sqref="D77">
    <cfRule type="cellIs" dxfId="21" priority="844" operator="equal">
      <formula>$S$1</formula>
    </cfRule>
    <cfRule type="cellIs" dxfId="20" priority="845" operator="equal">
      <formula>$U$1</formula>
    </cfRule>
  </conditionalFormatting>
  <conditionalFormatting sqref="C52">
    <cfRule type="cellIs" dxfId="19" priority="842" operator="equal">
      <formula>$U$1</formula>
    </cfRule>
    <cfRule type="cellIs" dxfId="18" priority="843" operator="equal">
      <formula>$S$1</formula>
    </cfRule>
  </conditionalFormatting>
  <conditionalFormatting sqref="D52">
    <cfRule type="cellIs" dxfId="17" priority="840" operator="equal">
      <formula>$S$1</formula>
    </cfRule>
    <cfRule type="cellIs" dxfId="16" priority="841" operator="equal">
      <formula>$U$1</formula>
    </cfRule>
  </conditionalFormatting>
  <conditionalFormatting sqref="C26">
    <cfRule type="cellIs" dxfId="15" priority="838" operator="equal">
      <formula>$U$1</formula>
    </cfRule>
    <cfRule type="cellIs" dxfId="14" priority="839" operator="equal">
      <formula>$S$1</formula>
    </cfRule>
  </conditionalFormatting>
  <conditionalFormatting sqref="D26">
    <cfRule type="cellIs" dxfId="13" priority="836" operator="equal">
      <formula>$S$1</formula>
    </cfRule>
    <cfRule type="cellIs" dxfId="12" priority="83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14.635630916373906</v>
      </c>
      <c r="F3" s="30">
        <v>15.367412462192602</v>
      </c>
      <c r="G3" s="30">
        <v>49.561441066842605</v>
      </c>
      <c r="H3" s="25">
        <f>IF(G3="","",(3*(G3-F3))+E3)</f>
        <v>117.2177167303239</v>
      </c>
      <c r="I3" s="7"/>
      <c r="J3" s="7">
        <f>(E3+G3)/2</f>
        <v>32.098535991608259</v>
      </c>
      <c r="K3" s="7">
        <f>H3/2</f>
        <v>58.60885836516195</v>
      </c>
      <c r="M3" s="26">
        <f>IF(OR(J3="",H3=""),"",H3/J3)</f>
        <v>3.6518088164821267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2022-01-28T01:14:03Z</dcterms:modified>
</cp:coreProperties>
</file>