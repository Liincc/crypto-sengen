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7EF681D-DA02-4AC0-957E-85FE2347A40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S766" i="1"/>
  <c r="T766" i="1" s="1"/>
  <c r="C2" i="1" l="1"/>
  <c r="D2" i="1"/>
  <c r="C116" i="5"/>
  <c r="C122" i="5"/>
  <c r="C133" i="5" s="1"/>
  <c r="D136" i="5" s="1"/>
  <c r="C122" i="4"/>
  <c r="C133" i="4" s="1"/>
  <c r="D136" i="4" s="1"/>
  <c r="C118" i="4"/>
  <c r="C122" i="3"/>
  <c r="C133" i="3" s="1"/>
  <c r="C136" i="3" s="1"/>
  <c r="C116" i="3"/>
  <c r="R765" i="1"/>
  <c r="C136" i="5" l="1"/>
  <c r="C138" i="5" s="1"/>
  <c r="C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<sst xmlns="http://schemas.openxmlformats.org/spreadsheetml/2006/main" count="3742" uniqueCount="34">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</sst>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1.12E-2</c:v>
                </c:pt>
                <c:pt idx="1">
                  <c:v>1.14E-2</c:v>
                </c:pt>
                <c:pt idx="2">
                  <c:v>1.15E-2</c:v>
                </c:pt>
                <c:pt idx="3">
                  <c:v>1.18E-2</c:v>
                </c:pt>
                <c:pt idx="4">
                  <c:v>1.2800000000000001E-2</c:v>
                </c:pt>
                <c:pt idx="5">
                  <c:v>1.2500000000000001E-2</c:v>
                </c:pt>
                <c:pt idx="6">
                  <c:v>1.2200000000000001E-2</c:v>
                </c:pt>
                <c:pt idx="7">
                  <c:v>1.67E-2</c:v>
                </c:pt>
                <c:pt idx="8">
                  <c:v>1.7600000000000001E-2</c:v>
                </c:pt>
                <c:pt idx="9">
                  <c:v>1.8200000000000001E-2</c:v>
                </c:pt>
                <c:pt idx="10">
                  <c:v>1.8499999999999999E-2</c:v>
                </c:pt>
                <c:pt idx="11">
                  <c:v>2.06E-2</c:v>
                </c:pt>
                <c:pt idx="12">
                  <c:v>1.83E-2</c:v>
                </c:pt>
                <c:pt idx="13">
                  <c:v>1.84E-2</c:v>
                </c:pt>
                <c:pt idx="14">
                  <c:v>1.8200000000000001E-2</c:v>
                </c:pt>
                <c:pt idx="15">
                  <c:v>1.9099999999999999E-2</c:v>
                </c:pt>
                <c:pt idx="16">
                  <c:v>1.8200000000000001E-2</c:v>
                </c:pt>
                <c:pt idx="17">
                  <c:v>1.7600000000000001E-2</c:v>
                </c:pt>
                <c:pt idx="18">
                  <c:v>1.84E-2</c:v>
                </c:pt>
                <c:pt idx="19">
                  <c:v>1.8200000000000001E-2</c:v>
                </c:pt>
                <c:pt idx="20">
                  <c:v>1.95E-2</c:v>
                </c:pt>
                <c:pt idx="21">
                  <c:v>2.2200000000000001E-2</c:v>
                </c:pt>
                <c:pt idx="22">
                  <c:v>2.3900000000000001E-2</c:v>
                </c:pt>
                <c:pt idx="23">
                  <c:v>2.5499999999999998E-2</c:v>
                </c:pt>
                <c:pt idx="24">
                  <c:v>2.6200000000000001E-2</c:v>
                </c:pt>
                <c:pt idx="25">
                  <c:v>2.7300000000000001E-2</c:v>
                </c:pt>
                <c:pt idx="26">
                  <c:v>2.75E-2</c:v>
                </c:pt>
                <c:pt idx="27">
                  <c:v>2.69E-2</c:v>
                </c:pt>
                <c:pt idx="28">
                  <c:v>2.75E-2</c:v>
                </c:pt>
                <c:pt idx="29">
                  <c:v>2.7099999999999999E-2</c:v>
                </c:pt>
                <c:pt idx="30">
                  <c:v>2.92E-2</c:v>
                </c:pt>
                <c:pt idx="31">
                  <c:v>3.1300000000000001E-2</c:v>
                </c:pt>
                <c:pt idx="32">
                  <c:v>3.1699999999999999E-2</c:v>
                </c:pt>
                <c:pt idx="33">
                  <c:v>3.2199999999999999E-2</c:v>
                </c:pt>
                <c:pt idx="34">
                  <c:v>3.1699999999999999E-2</c:v>
                </c:pt>
                <c:pt idx="35">
                  <c:v>3.1899999999999998E-2</c:v>
                </c:pt>
                <c:pt idx="36">
                  <c:v>3.0700000000000002E-2</c:v>
                </c:pt>
                <c:pt idx="37">
                  <c:v>3.1099999999999999E-2</c:v>
                </c:pt>
                <c:pt idx="38">
                  <c:v>0.03</c:v>
                </c:pt>
                <c:pt idx="39">
                  <c:v>3.1699999999999999E-2</c:v>
                </c:pt>
                <c:pt idx="40">
                  <c:v>3.2500000000000001E-2</c:v>
                </c:pt>
                <c:pt idx="41">
                  <c:v>3.2199999999999999E-2</c:v>
                </c:pt>
                <c:pt idx="42">
                  <c:v>3.3799999999999997E-2</c:v>
                </c:pt>
                <c:pt idx="43">
                  <c:v>3.5000000000000003E-2</c:v>
                </c:pt>
                <c:pt idx="44">
                  <c:v>3.5499999999999997E-2</c:v>
                </c:pt>
                <c:pt idx="45">
                  <c:v>3.4200000000000001E-2</c:v>
                </c:pt>
                <c:pt idx="46">
                  <c:v>3.8199999999999998E-2</c:v>
                </c:pt>
                <c:pt idx="47">
                  <c:v>3.6600000000000001E-2</c:v>
                </c:pt>
                <c:pt idx="48">
                  <c:v>3.6400000000000002E-2</c:v>
                </c:pt>
                <c:pt idx="49">
                  <c:v>3.9199999999999999E-2</c:v>
                </c:pt>
                <c:pt idx="50">
                  <c:v>4.58E-2</c:v>
                </c:pt>
                <c:pt idx="51">
                  <c:v>3.9800000000000002E-2</c:v>
                </c:pt>
                <c:pt idx="52">
                  <c:v>3.9399999999999998E-2</c:v>
                </c:pt>
                <c:pt idx="53">
                  <c:v>3.9300000000000002E-2</c:v>
                </c:pt>
                <c:pt idx="54">
                  <c:v>4.1399999999999999E-2</c:v>
                </c:pt>
                <c:pt idx="55">
                  <c:v>5.0500000000000003E-2</c:v>
                </c:pt>
                <c:pt idx="56">
                  <c:v>5.4899999999999997E-2</c:v>
                </c:pt>
                <c:pt idx="57">
                  <c:v>5.6800000000000003E-2</c:v>
                </c:pt>
                <c:pt idx="58">
                  <c:v>5.8200000000000002E-2</c:v>
                </c:pt>
                <c:pt idx="59">
                  <c:v>5.8700000000000002E-2</c:v>
                </c:pt>
                <c:pt idx="60">
                  <c:v>5.9200000000000003E-2</c:v>
                </c:pt>
                <c:pt idx="61">
                  <c:v>5.91E-2</c:v>
                </c:pt>
                <c:pt idx="62">
                  <c:v>5.8900000000000001E-2</c:v>
                </c:pt>
                <c:pt idx="63">
                  <c:v>6.5799999999999997E-2</c:v>
                </c:pt>
                <c:pt idx="64">
                  <c:v>6.4299999999999996E-2</c:v>
                </c:pt>
                <c:pt idx="65">
                  <c:v>6.5000000000000002E-2</c:v>
                </c:pt>
                <c:pt idx="66">
                  <c:v>6.3500000000000001E-2</c:v>
                </c:pt>
                <c:pt idx="67">
                  <c:v>6.6199999999999995E-2</c:v>
                </c:pt>
                <c:pt idx="68">
                  <c:v>6.6900000000000001E-2</c:v>
                </c:pt>
                <c:pt idx="69">
                  <c:v>6.6199999999999995E-2</c:v>
                </c:pt>
                <c:pt idx="70">
                  <c:v>6.1100000000000002E-2</c:v>
                </c:pt>
                <c:pt idx="71">
                  <c:v>6.8599999999999994E-2</c:v>
                </c:pt>
                <c:pt idx="72">
                  <c:v>6.5299999999999997E-2</c:v>
                </c:pt>
                <c:pt idx="73">
                  <c:v>7.0900000000000005E-2</c:v>
                </c:pt>
                <c:pt idx="74">
                  <c:v>7.0599999999999996E-2</c:v>
                </c:pt>
                <c:pt idx="75">
                  <c:v>7.1499999999999994E-2</c:v>
                </c:pt>
                <c:pt idx="76">
                  <c:v>7.1400000000000005E-2</c:v>
                </c:pt>
                <c:pt idx="77">
                  <c:v>7.2700000000000001E-2</c:v>
                </c:pt>
                <c:pt idx="78">
                  <c:v>7.1900000000000006E-2</c:v>
                </c:pt>
                <c:pt idx="79">
                  <c:v>7.6200000000000004E-2</c:v>
                </c:pt>
                <c:pt idx="80">
                  <c:v>7.4300000000000005E-2</c:v>
                </c:pt>
                <c:pt idx="81">
                  <c:v>7.85E-2</c:v>
                </c:pt>
                <c:pt idx="82">
                  <c:v>8.1100000000000005E-2</c:v>
                </c:pt>
                <c:pt idx="83">
                  <c:v>8.5099999999999995E-2</c:v>
                </c:pt>
                <c:pt idx="84">
                  <c:v>9.4799999999999995E-2</c:v>
                </c:pt>
                <c:pt idx="85">
                  <c:v>6.8199999999999997E-2</c:v>
                </c:pt>
                <c:pt idx="86">
                  <c:v>6.9400000000000003E-2</c:v>
                </c:pt>
                <c:pt idx="87">
                  <c:v>6.93E-2</c:v>
                </c:pt>
                <c:pt idx="88">
                  <c:v>7.1800000000000003E-2</c:v>
                </c:pt>
                <c:pt idx="89">
                  <c:v>8.2299999999999998E-2</c:v>
                </c:pt>
                <c:pt idx="90">
                  <c:v>7.3300000000000004E-2</c:v>
                </c:pt>
                <c:pt idx="91">
                  <c:v>6.3100000000000003E-2</c:v>
                </c:pt>
                <c:pt idx="92">
                  <c:v>6.1400000000000003E-2</c:v>
                </c:pt>
                <c:pt idx="93">
                  <c:v>7.0000000000000007E-2</c:v>
                </c:pt>
                <c:pt idx="94">
                  <c:v>6.7100000000000007E-2</c:v>
                </c:pt>
                <c:pt idx="95">
                  <c:v>6.3899999999999998E-2</c:v>
                </c:pt>
                <c:pt idx="96">
                  <c:v>6.7400000000000002E-2</c:v>
                </c:pt>
                <c:pt idx="97">
                  <c:v>6.8000000000000005E-2</c:v>
                </c:pt>
                <c:pt idx="98">
                  <c:v>6.83E-2</c:v>
                </c:pt>
                <c:pt idx="99">
                  <c:v>6.9699999999999998E-2</c:v>
                </c:pt>
                <c:pt idx="100">
                  <c:v>6.7699999999999996E-2</c:v>
                </c:pt>
                <c:pt idx="101">
                  <c:v>6.93E-2</c:v>
                </c:pt>
                <c:pt idx="102">
                  <c:v>7.0699999999999999E-2</c:v>
                </c:pt>
                <c:pt idx="103">
                  <c:v>7.3099999999999998E-2</c:v>
                </c:pt>
                <c:pt idx="104">
                  <c:v>7.3499999999999996E-2</c:v>
                </c:pt>
                <c:pt idx="105">
                  <c:v>7.9500000000000001E-2</c:v>
                </c:pt>
                <c:pt idx="106">
                  <c:v>7.5800000000000006E-2</c:v>
                </c:pt>
                <c:pt idx="107">
                  <c:v>7.3899999999999993E-2</c:v>
                </c:pt>
                <c:pt idx="108">
                  <c:v>7.1099999999999997E-2</c:v>
                </c:pt>
                <c:pt idx="109">
                  <c:v>7.4700000000000003E-2</c:v>
                </c:pt>
                <c:pt idx="110">
                  <c:v>8.2900000000000001E-2</c:v>
                </c:pt>
                <c:pt idx="111">
                  <c:v>8.6400000000000005E-2</c:v>
                </c:pt>
                <c:pt idx="112">
                  <c:v>8.7999999999999995E-2</c:v>
                </c:pt>
                <c:pt idx="113">
                  <c:v>8.2000000000000003E-2</c:v>
                </c:pt>
                <c:pt idx="114">
                  <c:v>8.6599999999999996E-2</c:v>
                </c:pt>
                <c:pt idx="115">
                  <c:v>9.5899999999999999E-2</c:v>
                </c:pt>
                <c:pt idx="116">
                  <c:v>7.3999999999999996E-2</c:v>
                </c:pt>
                <c:pt idx="117">
                  <c:v>7.0499999999999993E-2</c:v>
                </c:pt>
                <c:pt idx="118">
                  <c:v>7.5399999999999995E-2</c:v>
                </c:pt>
                <c:pt idx="119">
                  <c:v>6.2600000000000003E-2</c:v>
                </c:pt>
                <c:pt idx="120">
                  <c:v>6.3399999999999998E-2</c:v>
                </c:pt>
                <c:pt idx="121">
                  <c:v>6.3500000000000001E-2</c:v>
                </c:pt>
                <c:pt idx="122">
                  <c:v>6.8599999999999994E-2</c:v>
                </c:pt>
                <c:pt idx="123">
                  <c:v>6.6400000000000001E-2</c:v>
                </c:pt>
                <c:pt idx="124">
                  <c:v>6.9199999999999998E-2</c:v>
                </c:pt>
                <c:pt idx="125">
                  <c:v>7.4200000000000002E-2</c:v>
                </c:pt>
                <c:pt idx="126">
                  <c:v>8.2600000000000007E-2</c:v>
                </c:pt>
                <c:pt idx="127">
                  <c:v>6.3600000000000004E-2</c:v>
                </c:pt>
                <c:pt idx="128">
                  <c:v>5.8299999999999998E-2</c:v>
                </c:pt>
                <c:pt idx="129">
                  <c:v>6.83E-2</c:v>
                </c:pt>
                <c:pt idx="130">
                  <c:v>7.5700000000000003E-2</c:v>
                </c:pt>
                <c:pt idx="131">
                  <c:v>8.1500000000000003E-2</c:v>
                </c:pt>
                <c:pt idx="132">
                  <c:v>8.1500000000000003E-2</c:v>
                </c:pt>
                <c:pt idx="133">
                  <c:v>8.7499999999999994E-2</c:v>
                </c:pt>
                <c:pt idx="134">
                  <c:v>9.7199999999999995E-2</c:v>
                </c:pt>
                <c:pt idx="135">
                  <c:v>8.1299999999999997E-2</c:v>
                </c:pt>
                <c:pt idx="136">
                  <c:v>8.0500000000000002E-2</c:v>
                </c:pt>
                <c:pt idx="137">
                  <c:v>8.6599999999999996E-2</c:v>
                </c:pt>
                <c:pt idx="138">
                  <c:v>8.7800000000000003E-2</c:v>
                </c:pt>
                <c:pt idx="139">
                  <c:v>8.7999999999999995E-2</c:v>
                </c:pt>
                <c:pt idx="140">
                  <c:v>9.8500000000000004E-2</c:v>
                </c:pt>
                <c:pt idx="141">
                  <c:v>9.9000000000000005E-2</c:v>
                </c:pt>
                <c:pt idx="142">
                  <c:v>9.5500000000000002E-2</c:v>
                </c:pt>
                <c:pt idx="143">
                  <c:v>0.11600000000000001</c:v>
                </c:pt>
                <c:pt idx="144">
                  <c:v>0.1198</c:v>
                </c:pt>
                <c:pt idx="145">
                  <c:v>0.126</c:v>
                </c:pt>
                <c:pt idx="146">
                  <c:v>0.12970000000000001</c:v>
                </c:pt>
                <c:pt idx="147">
                  <c:v>0.1386</c:v>
                </c:pt>
                <c:pt idx="148">
                  <c:v>0.1206</c:v>
                </c:pt>
                <c:pt idx="149">
                  <c:v>0.1137</c:v>
                </c:pt>
                <c:pt idx="150">
                  <c:v>0.1249</c:v>
                </c:pt>
                <c:pt idx="151">
                  <c:v>0.13619999999999999</c:v>
                </c:pt>
                <c:pt idx="152">
                  <c:v>0.1391</c:v>
                </c:pt>
                <c:pt idx="153">
                  <c:v>0.14630000000000001</c:v>
                </c:pt>
                <c:pt idx="154">
                  <c:v>0.1416</c:v>
                </c:pt>
                <c:pt idx="155">
                  <c:v>0.16</c:v>
                </c:pt>
                <c:pt idx="156">
                  <c:v>0.1394</c:v>
                </c:pt>
                <c:pt idx="157">
                  <c:v>0.1552</c:v>
                </c:pt>
                <c:pt idx="158">
                  <c:v>0.15679999999999999</c:v>
                </c:pt>
                <c:pt idx="159">
                  <c:v>0.15870000000000001</c:v>
                </c:pt>
                <c:pt idx="160">
                  <c:v>0.1671</c:v>
                </c:pt>
                <c:pt idx="161">
                  <c:v>0.1749</c:v>
                </c:pt>
                <c:pt idx="162">
                  <c:v>0.15720000000000001</c:v>
                </c:pt>
                <c:pt idx="163">
                  <c:v>0.1608</c:v>
                </c:pt>
                <c:pt idx="164">
                  <c:v>0.17280000000000001</c:v>
                </c:pt>
                <c:pt idx="165">
                  <c:v>0.17649999999999999</c:v>
                </c:pt>
                <c:pt idx="166">
                  <c:v>0.17960000000000001</c:v>
                </c:pt>
                <c:pt idx="167">
                  <c:v>0.19120000000000001</c:v>
                </c:pt>
                <c:pt idx="168">
                  <c:v>0.19</c:v>
                </c:pt>
                <c:pt idx="169">
                  <c:v>0.20219999999999999</c:v>
                </c:pt>
                <c:pt idx="170">
                  <c:v>0.2026</c:v>
                </c:pt>
                <c:pt idx="171">
                  <c:v>0.2064</c:v>
                </c:pt>
                <c:pt idx="172">
                  <c:v>0.18679999999999999</c:v>
                </c:pt>
                <c:pt idx="173">
                  <c:v>0.17760000000000001</c:v>
                </c:pt>
                <c:pt idx="174">
                  <c:v>0.18029999999999999</c:v>
                </c:pt>
                <c:pt idx="175">
                  <c:v>0.2</c:v>
                </c:pt>
                <c:pt idx="176">
                  <c:v>0.21579999999999999</c:v>
                </c:pt>
                <c:pt idx="177">
                  <c:v>0.20860000000000001</c:v>
                </c:pt>
                <c:pt idx="178">
                  <c:v>0.216</c:v>
                </c:pt>
                <c:pt idx="179">
                  <c:v>0.2077</c:v>
                </c:pt>
                <c:pt idx="180">
                  <c:v>0.22919999999999999</c:v>
                </c:pt>
                <c:pt idx="181">
                  <c:v>0.2412</c:v>
                </c:pt>
                <c:pt idx="182">
                  <c:v>0.25580000000000003</c:v>
                </c:pt>
                <c:pt idx="183">
                  <c:v>0.26529999999999998</c:v>
                </c:pt>
                <c:pt idx="184">
                  <c:v>0.28549999999999998</c:v>
                </c:pt>
                <c:pt idx="185">
                  <c:v>0.26400000000000001</c:v>
                </c:pt>
                <c:pt idx="186">
                  <c:v>0.28249999999999997</c:v>
                </c:pt>
                <c:pt idx="187">
                  <c:v>0.30349999999999999</c:v>
                </c:pt>
                <c:pt idx="188">
                  <c:v>0.33410000000000001</c:v>
                </c:pt>
                <c:pt idx="189">
                  <c:v>0.27900000000000003</c:v>
                </c:pt>
                <c:pt idx="190">
                  <c:v>0.33700000000000002</c:v>
                </c:pt>
                <c:pt idx="191">
                  <c:v>0.28339999999999999</c:v>
                </c:pt>
                <c:pt idx="192">
                  <c:v>0.25290000000000001</c:v>
                </c:pt>
                <c:pt idx="193">
                  <c:v>0.27060000000000001</c:v>
                </c:pt>
                <c:pt idx="194">
                  <c:v>0.26750000000000002</c:v>
                </c:pt>
                <c:pt idx="195">
                  <c:v>0.25230000000000002</c:v>
                </c:pt>
                <c:pt idx="196">
                  <c:v>0.30769999999999997</c:v>
                </c:pt>
                <c:pt idx="197">
                  <c:v>0.33179999999999998</c:v>
                </c:pt>
                <c:pt idx="198">
                  <c:v>0.34549999999999997</c:v>
                </c:pt>
                <c:pt idx="199">
                  <c:v>0.31559999999999999</c:v>
                </c:pt>
                <c:pt idx="200">
                  <c:v>0.25900000000000001</c:v>
                </c:pt>
                <c:pt idx="201">
                  <c:v>0.24390000000000001</c:v>
                </c:pt>
                <c:pt idx="202">
                  <c:v>0.25169999999999998</c:v>
                </c:pt>
                <c:pt idx="203">
                  <c:v>0.20219999999999999</c:v>
                </c:pt>
                <c:pt idx="204">
                  <c:v>0.20349999999999999</c:v>
                </c:pt>
                <c:pt idx="205">
                  <c:v>0.188</c:v>
                </c:pt>
                <c:pt idx="206">
                  <c:v>0.16250000000000001</c:v>
                </c:pt>
                <c:pt idx="207">
                  <c:v>0.16969999999999999</c:v>
                </c:pt>
                <c:pt idx="208">
                  <c:v>0.16309999999999999</c:v>
                </c:pt>
                <c:pt idx="209">
                  <c:v>0.14799999999999999</c:v>
                </c:pt>
                <c:pt idx="210">
                  <c:v>0.13170000000000001</c:v>
                </c:pt>
                <c:pt idx="211">
                  <c:v>0.1338</c:v>
                </c:pt>
                <c:pt idx="212">
                  <c:v>0.13289999999999999</c:v>
                </c:pt>
                <c:pt idx="213">
                  <c:v>0.13250000000000001</c:v>
                </c:pt>
                <c:pt idx="214">
                  <c:v>0.1346</c:v>
                </c:pt>
                <c:pt idx="215">
                  <c:v>0.1313</c:v>
                </c:pt>
                <c:pt idx="216">
                  <c:v>0.12330000000000001</c:v>
                </c:pt>
                <c:pt idx="217">
                  <c:v>0.1295</c:v>
                </c:pt>
                <c:pt idx="218">
                  <c:v>0.13350000000000001</c:v>
                </c:pt>
                <c:pt idx="219">
                  <c:v>0.12479999999999999</c:v>
                </c:pt>
                <c:pt idx="220">
                  <c:v>0.11310000000000001</c:v>
                </c:pt>
                <c:pt idx="221">
                  <c:v>0.13320000000000001</c:v>
                </c:pt>
                <c:pt idx="222">
                  <c:v>0.13009999999999999</c:v>
                </c:pt>
                <c:pt idx="223">
                  <c:v>0.12759999999999999</c:v>
                </c:pt>
                <c:pt idx="224">
                  <c:v>0.1338</c:v>
                </c:pt>
                <c:pt idx="225">
                  <c:v>0.13150000000000001</c:v>
                </c:pt>
                <c:pt idx="226">
                  <c:v>0.14000000000000001</c:v>
                </c:pt>
                <c:pt idx="227">
                  <c:v>0.1414</c:v>
                </c:pt>
                <c:pt idx="228">
                  <c:v>0.1384</c:v>
                </c:pt>
                <c:pt idx="229">
                  <c:v>0.12709999999999999</c:v>
                </c:pt>
                <c:pt idx="230">
                  <c:v>0.1386</c:v>
                </c:pt>
                <c:pt idx="231">
                  <c:v>0.1231</c:v>
                </c:pt>
                <c:pt idx="232">
                  <c:v>0.1348</c:v>
                </c:pt>
                <c:pt idx="233">
                  <c:v>0.1142</c:v>
                </c:pt>
                <c:pt idx="234">
                  <c:v>0.1215</c:v>
                </c:pt>
                <c:pt idx="235">
                  <c:v>0.1308</c:v>
                </c:pt>
                <c:pt idx="236">
                  <c:v>0.1293</c:v>
                </c:pt>
                <c:pt idx="237">
                  <c:v>0.13159999999999999</c:v>
                </c:pt>
                <c:pt idx="238">
                  <c:v>0.14510000000000001</c:v>
                </c:pt>
                <c:pt idx="239">
                  <c:v>0.1389</c:v>
                </c:pt>
                <c:pt idx="240">
                  <c:v>0.1348</c:v>
                </c:pt>
                <c:pt idx="241">
                  <c:v>0.1459</c:v>
                </c:pt>
                <c:pt idx="242">
                  <c:v>0.13700000000000001</c:v>
                </c:pt>
                <c:pt idx="243">
                  <c:v>0.13159999999999999</c:v>
                </c:pt>
                <c:pt idx="244">
                  <c:v>0.14910000000000001</c:v>
                </c:pt>
                <c:pt idx="245">
                  <c:v>0.21329999999999999</c:v>
                </c:pt>
                <c:pt idx="246">
                  <c:v>0.19980000000000001</c:v>
                </c:pt>
                <c:pt idx="247">
                  <c:v>0.12989999999999999</c:v>
                </c:pt>
                <c:pt idx="248">
                  <c:v>0.1149</c:v>
                </c:pt>
                <c:pt idx="249">
                  <c:v>8.1699999999999995E-2</c:v>
                </c:pt>
                <c:pt idx="250">
                  <c:v>0.11550000000000001</c:v>
                </c:pt>
                <c:pt idx="251">
                  <c:v>0.13400000000000001</c:v>
                </c:pt>
                <c:pt idx="252">
                  <c:v>0.16800000000000001</c:v>
                </c:pt>
                <c:pt idx="253">
                  <c:v>0.1464</c:v>
                </c:pt>
                <c:pt idx="254">
                  <c:v>0.23569999999999999</c:v>
                </c:pt>
                <c:pt idx="255">
                  <c:v>0.26929999999999998</c:v>
                </c:pt>
                <c:pt idx="256">
                  <c:v>0.2099</c:v>
                </c:pt>
                <c:pt idx="257">
                  <c:v>0.17699999999999999</c:v>
                </c:pt>
                <c:pt idx="258">
                  <c:v>0.2021</c:v>
                </c:pt>
                <c:pt idx="259">
                  <c:v>0.16089999999999999</c:v>
                </c:pt>
                <c:pt idx="260">
                  <c:v>0.14899999999999999</c:v>
                </c:pt>
                <c:pt idx="261">
                  <c:v>0.19450000000000001</c:v>
                </c:pt>
                <c:pt idx="262">
                  <c:v>0.1905</c:v>
                </c:pt>
                <c:pt idx="263">
                  <c:v>0.23250000000000001</c:v>
                </c:pt>
                <c:pt idx="264">
                  <c:v>0.2482</c:v>
                </c:pt>
                <c:pt idx="265">
                  <c:v>0.2276</c:v>
                </c:pt>
                <c:pt idx="266">
                  <c:v>0.23910000000000001</c:v>
                </c:pt>
                <c:pt idx="267">
                  <c:v>0.27729999999999999</c:v>
                </c:pt>
                <c:pt idx="268">
                  <c:v>0.29049999999999998</c:v>
                </c:pt>
                <c:pt idx="269">
                  <c:v>0.29709999999999998</c:v>
                </c:pt>
                <c:pt idx="270">
                  <c:v>0.33050000000000002</c:v>
                </c:pt>
                <c:pt idx="271">
                  <c:v>0.36380000000000001</c:v>
                </c:pt>
                <c:pt idx="272">
                  <c:v>0.21659999999999999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A-4F15-8265-0A36B2764CF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-402.43774583976426</c:v>
                </c:pt>
                <c:pt idx="1">
                  <c:v>-402.17139817976425</c:v>
                </c:pt>
                <c:pt idx="2">
                  <c:v>-390.63924575094069</c:v>
                </c:pt>
                <c:pt idx="3">
                  <c:v>-398.93429468730437</c:v>
                </c:pt>
                <c:pt idx="4">
                  <c:v>-402.44807246730437</c:v>
                </c:pt>
                <c:pt idx="5">
                  <c:v>-404.41801783444726</c:v>
                </c:pt>
                <c:pt idx="6">
                  <c:v>-424.74296798778062</c:v>
                </c:pt>
                <c:pt idx="7">
                  <c:v>-400.7103722677806</c:v>
                </c:pt>
                <c:pt idx="8">
                  <c:v>-388.26813366378059</c:v>
                </c:pt>
                <c:pt idx="9">
                  <c:v>-385.47658833178065</c:v>
                </c:pt>
                <c:pt idx="10">
                  <c:v>-385.47658833178065</c:v>
                </c:pt>
                <c:pt idx="11">
                  <c:v>-372.13804257315996</c:v>
                </c:pt>
                <c:pt idx="12">
                  <c:v>-385.54167766861451</c:v>
                </c:pt>
                <c:pt idx="13">
                  <c:v>-386.35459632972555</c:v>
                </c:pt>
                <c:pt idx="14">
                  <c:v>-389.17349044149023</c:v>
                </c:pt>
                <c:pt idx="15">
                  <c:v>-385.23123239815698</c:v>
                </c:pt>
                <c:pt idx="16">
                  <c:v>-391.26874954101407</c:v>
                </c:pt>
                <c:pt idx="17">
                  <c:v>-398.3213934095856</c:v>
                </c:pt>
                <c:pt idx="18">
                  <c:v>-372.93895866167861</c:v>
                </c:pt>
                <c:pt idx="19">
                  <c:v>-376.09014681310714</c:v>
                </c:pt>
                <c:pt idx="20">
                  <c:v>-368.62009195765262</c:v>
                </c:pt>
                <c:pt idx="21">
                  <c:v>-357.76423889449472</c:v>
                </c:pt>
                <c:pt idx="22">
                  <c:v>-345.37828975495989</c:v>
                </c:pt>
                <c:pt idx="23">
                  <c:v>-323.56204594895985</c:v>
                </c:pt>
                <c:pt idx="24">
                  <c:v>-316.63729704062649</c:v>
                </c:pt>
                <c:pt idx="25">
                  <c:v>-312.72598526062649</c:v>
                </c:pt>
                <c:pt idx="26">
                  <c:v>-313.52838496348369</c:v>
                </c:pt>
                <c:pt idx="27">
                  <c:v>-316.27981769348366</c:v>
                </c:pt>
                <c:pt idx="28">
                  <c:v>-313.02085431818955</c:v>
                </c:pt>
                <c:pt idx="29">
                  <c:v>-310.95796934210261</c:v>
                </c:pt>
                <c:pt idx="30">
                  <c:v>-304.20416992530255</c:v>
                </c:pt>
                <c:pt idx="31">
                  <c:v>-299.43356025030261</c:v>
                </c:pt>
                <c:pt idx="32">
                  <c:v>-290.1574160903026</c:v>
                </c:pt>
                <c:pt idx="33">
                  <c:v>-290.15741609030249</c:v>
                </c:pt>
                <c:pt idx="34">
                  <c:v>-293.3033943543025</c:v>
                </c:pt>
                <c:pt idx="35">
                  <c:v>-285.53422168192157</c:v>
                </c:pt>
                <c:pt idx="36">
                  <c:v>-292.13119475192156</c:v>
                </c:pt>
                <c:pt idx="37">
                  <c:v>-290.84066469858823</c:v>
                </c:pt>
                <c:pt idx="38">
                  <c:v>-287.47105111551133</c:v>
                </c:pt>
                <c:pt idx="39">
                  <c:v>-285.51476367613634</c:v>
                </c:pt>
                <c:pt idx="40">
                  <c:v>-281.46035083238633</c:v>
                </c:pt>
                <c:pt idx="41">
                  <c:v>-282.15383301538634</c:v>
                </c:pt>
                <c:pt idx="42">
                  <c:v>-279.4102983692573</c:v>
                </c:pt>
                <c:pt idx="43">
                  <c:v>-270.81176483030993</c:v>
                </c:pt>
                <c:pt idx="44">
                  <c:v>-276.74467369954073</c:v>
                </c:pt>
                <c:pt idx="45">
                  <c:v>-285.07785054534713</c:v>
                </c:pt>
                <c:pt idx="46">
                  <c:v>-279.42248286534709</c:v>
                </c:pt>
                <c:pt idx="47">
                  <c:v>-280.25216325312493</c:v>
                </c:pt>
                <c:pt idx="48">
                  <c:v>-280.60579788312492</c:v>
                </c:pt>
                <c:pt idx="49">
                  <c:v>-270.64488201312491</c:v>
                </c:pt>
                <c:pt idx="50">
                  <c:v>-258.26037799662492</c:v>
                </c:pt>
                <c:pt idx="51">
                  <c:v>-251.33023608195828</c:v>
                </c:pt>
                <c:pt idx="52">
                  <c:v>-249.99315277744216</c:v>
                </c:pt>
                <c:pt idx="53">
                  <c:v>-264.18045206116761</c:v>
                </c:pt>
                <c:pt idx="54">
                  <c:v>-259.92051006748346</c:v>
                </c:pt>
                <c:pt idx="55">
                  <c:v>-258.09811351808224</c:v>
                </c:pt>
                <c:pt idx="56">
                  <c:v>-250.15822337661885</c:v>
                </c:pt>
                <c:pt idx="57">
                  <c:v>-247.09073398838353</c:v>
                </c:pt>
                <c:pt idx="58">
                  <c:v>-240.1727845660306</c:v>
                </c:pt>
                <c:pt idx="59">
                  <c:v>-238.7722360323464</c:v>
                </c:pt>
                <c:pt idx="60">
                  <c:v>-234.23568782465412</c:v>
                </c:pt>
                <c:pt idx="61">
                  <c:v>-243.04567317751125</c:v>
                </c:pt>
                <c:pt idx="62">
                  <c:v>-242.69717992431126</c:v>
                </c:pt>
                <c:pt idx="63">
                  <c:v>-231.29005239340216</c:v>
                </c:pt>
                <c:pt idx="64">
                  <c:v>-232.46190847575508</c:v>
                </c:pt>
                <c:pt idx="65">
                  <c:v>-231.37500844146933</c:v>
                </c:pt>
                <c:pt idx="66">
                  <c:v>-234.68248967346929</c:v>
                </c:pt>
                <c:pt idx="67">
                  <c:v>-228.67488646077703</c:v>
                </c:pt>
                <c:pt idx="68">
                  <c:v>-215.25295987819271</c:v>
                </c:pt>
                <c:pt idx="69">
                  <c:v>-225.28711812219268</c:v>
                </c:pt>
                <c:pt idx="70">
                  <c:v>-236.0829242218355</c:v>
                </c:pt>
                <c:pt idx="71">
                  <c:v>-224.66440224270508</c:v>
                </c:pt>
                <c:pt idx="72">
                  <c:v>-234.50150952326845</c:v>
                </c:pt>
                <c:pt idx="73">
                  <c:v>-226.4385256247684</c:v>
                </c:pt>
                <c:pt idx="74">
                  <c:v>-206.80769814101842</c:v>
                </c:pt>
                <c:pt idx="75">
                  <c:v>-205.60761066101838</c:v>
                </c:pt>
                <c:pt idx="76">
                  <c:v>-204.30620742530402</c:v>
                </c:pt>
                <c:pt idx="77">
                  <c:v>-204.61995946652354</c:v>
                </c:pt>
                <c:pt idx="78">
                  <c:v>-211.15751971735691</c:v>
                </c:pt>
                <c:pt idx="79">
                  <c:v>-186.18885791309219</c:v>
                </c:pt>
                <c:pt idx="80">
                  <c:v>-194.7236700063126</c:v>
                </c:pt>
                <c:pt idx="81">
                  <c:v>-183.12087006182986</c:v>
                </c:pt>
                <c:pt idx="82">
                  <c:v>-165.85289819557988</c:v>
                </c:pt>
                <c:pt idx="83">
                  <c:v>-173.33490244263879</c:v>
                </c:pt>
                <c:pt idx="84">
                  <c:v>-110.81980071898658</c:v>
                </c:pt>
                <c:pt idx="85">
                  <c:v>-74.522852374885815</c:v>
                </c:pt>
                <c:pt idx="86">
                  <c:v>-76.469139313482287</c:v>
                </c:pt>
                <c:pt idx="87">
                  <c:v>-80.034594797482342</c:v>
                </c:pt>
                <c:pt idx="88">
                  <c:v>-78.181856813296264</c:v>
                </c:pt>
                <c:pt idx="89">
                  <c:v>-67.132982708119783</c:v>
                </c:pt>
                <c:pt idx="90">
                  <c:v>-94.330421524871383</c:v>
                </c:pt>
                <c:pt idx="91">
                  <c:v>-114.24885340355992</c:v>
                </c:pt>
                <c:pt idx="92">
                  <c:v>-113.70510500238345</c:v>
                </c:pt>
                <c:pt idx="93">
                  <c:v>-101.77554603042086</c:v>
                </c:pt>
                <c:pt idx="94">
                  <c:v>-104.82286712943322</c:v>
                </c:pt>
                <c:pt idx="95">
                  <c:v>-111.9824390736193</c:v>
                </c:pt>
                <c:pt idx="96">
                  <c:v>-107.18824120195265</c:v>
                </c:pt>
                <c:pt idx="97">
                  <c:v>-104.21266163915266</c:v>
                </c:pt>
                <c:pt idx="98">
                  <c:v>-100.91492427278905</c:v>
                </c:pt>
                <c:pt idx="99">
                  <c:v>-101.85689186897953</c:v>
                </c:pt>
                <c:pt idx="100">
                  <c:v>-105.97867944406723</c:v>
                </c:pt>
                <c:pt idx="101">
                  <c:v>-101.98195500406719</c:v>
                </c:pt>
                <c:pt idx="102">
                  <c:v>-101.23239951015415</c:v>
                </c:pt>
                <c:pt idx="103">
                  <c:v>-101.23239951015414</c:v>
                </c:pt>
                <c:pt idx="104">
                  <c:v>-94.676015225608694</c:v>
                </c:pt>
                <c:pt idx="105">
                  <c:v>-81.963080420667481</c:v>
                </c:pt>
                <c:pt idx="106">
                  <c:v>-78.909606181478281</c:v>
                </c:pt>
                <c:pt idx="107">
                  <c:v>-86.713229545504277</c:v>
                </c:pt>
                <c:pt idx="108">
                  <c:v>-86.091259617482265</c:v>
                </c:pt>
                <c:pt idx="109">
                  <c:v>-75.861489586343026</c:v>
                </c:pt>
                <c:pt idx="110">
                  <c:v>-65.121439423654863</c:v>
                </c:pt>
                <c:pt idx="111">
                  <c:v>-61.555163642116412</c:v>
                </c:pt>
                <c:pt idx="112">
                  <c:v>-52.449486560594693</c:v>
                </c:pt>
                <c:pt idx="113">
                  <c:v>-57.740346446913684</c:v>
                </c:pt>
                <c:pt idx="114">
                  <c:v>-51.970408185334755</c:v>
                </c:pt>
                <c:pt idx="115">
                  <c:v>-42.494797839844537</c:v>
                </c:pt>
                <c:pt idx="116">
                  <c:v>-78.222039124665358</c:v>
                </c:pt>
                <c:pt idx="117">
                  <c:v>-82.721028343701477</c:v>
                </c:pt>
                <c:pt idx="118">
                  <c:v>-77.585358725806714</c:v>
                </c:pt>
                <c:pt idx="119">
                  <c:v>-93.425289814082547</c:v>
                </c:pt>
                <c:pt idx="120">
                  <c:v>-90.28601196966396</c:v>
                </c:pt>
                <c:pt idx="121">
                  <c:v>-87.749804404146715</c:v>
                </c:pt>
                <c:pt idx="122">
                  <c:v>-81.816490920275754</c:v>
                </c:pt>
                <c:pt idx="123">
                  <c:v>-78.24838289873729</c:v>
                </c:pt>
                <c:pt idx="124">
                  <c:v>-81.776129533282727</c:v>
                </c:pt>
                <c:pt idx="125">
                  <c:v>-77.328531667461803</c:v>
                </c:pt>
                <c:pt idx="126">
                  <c:v>-63.866574352720775</c:v>
                </c:pt>
                <c:pt idx="127">
                  <c:v>-73.879110504555655</c:v>
                </c:pt>
                <c:pt idx="128">
                  <c:v>-77.470627825888997</c:v>
                </c:pt>
                <c:pt idx="129">
                  <c:v>-72.853427326682649</c:v>
                </c:pt>
                <c:pt idx="130">
                  <c:v>-70.279092424041139</c:v>
                </c:pt>
                <c:pt idx="131">
                  <c:v>-66.093233434936678</c:v>
                </c:pt>
                <c:pt idx="132">
                  <c:v>-61.821357425793806</c:v>
                </c:pt>
                <c:pt idx="133">
                  <c:v>-57.62094738293667</c:v>
                </c:pt>
                <c:pt idx="134">
                  <c:v>-54.15063926489745</c:v>
                </c:pt>
                <c:pt idx="135">
                  <c:v>-66.223483829055851</c:v>
                </c:pt>
                <c:pt idx="136">
                  <c:v>-66.311456180428394</c:v>
                </c:pt>
                <c:pt idx="137">
                  <c:v>-64.793452276246569</c:v>
                </c:pt>
                <c:pt idx="138">
                  <c:v>-63.286323682579898</c:v>
                </c:pt>
                <c:pt idx="139">
                  <c:v>-62.321696797222756</c:v>
                </c:pt>
                <c:pt idx="140">
                  <c:v>-60.037325517749075</c:v>
                </c:pt>
                <c:pt idx="141">
                  <c:v>-58.106863591082409</c:v>
                </c:pt>
                <c:pt idx="142">
                  <c:v>-60.03945170308242</c:v>
                </c:pt>
                <c:pt idx="143">
                  <c:v>-55.459664708016341</c:v>
                </c:pt>
                <c:pt idx="144">
                  <c:v>-51.354323930674582</c:v>
                </c:pt>
                <c:pt idx="145">
                  <c:v>-47.691917110674595</c:v>
                </c:pt>
                <c:pt idx="146">
                  <c:v>-44.194555657603722</c:v>
                </c:pt>
                <c:pt idx="147">
                  <c:v>-35.735090775316742</c:v>
                </c:pt>
                <c:pt idx="148">
                  <c:v>-43.387851027918956</c:v>
                </c:pt>
                <c:pt idx="149">
                  <c:v>-45.681779864365659</c:v>
                </c:pt>
                <c:pt idx="150">
                  <c:v>-42.100080358180684</c:v>
                </c:pt>
                <c:pt idx="151">
                  <c:v>-38.809226030980682</c:v>
                </c:pt>
                <c:pt idx="152">
                  <c:v>-38.62287844419906</c:v>
                </c:pt>
                <c:pt idx="153">
                  <c:v>-36.515173456842724</c:v>
                </c:pt>
                <c:pt idx="154">
                  <c:v>-38.305654480176067</c:v>
                </c:pt>
                <c:pt idx="155">
                  <c:v>-34.467477988676066</c:v>
                </c:pt>
                <c:pt idx="156">
                  <c:v>-39.675390851426066</c:v>
                </c:pt>
                <c:pt idx="157">
                  <c:v>-38.030023485879845</c:v>
                </c:pt>
                <c:pt idx="158">
                  <c:v>-37.567461548205436</c:v>
                </c:pt>
                <c:pt idx="159">
                  <c:v>-37.120190869348292</c:v>
                </c:pt>
                <c:pt idx="160">
                  <c:v>-34.143688510480366</c:v>
                </c:pt>
                <c:pt idx="161">
                  <c:v>-32.491924364331304</c:v>
                </c:pt>
                <c:pt idx="162">
                  <c:v>-36.261419097212652</c:v>
                </c:pt>
                <c:pt idx="163">
                  <c:v>-35.60299111243004</c:v>
                </c:pt>
                <c:pt idx="164">
                  <c:v>-33.335644598642808</c:v>
                </c:pt>
                <c:pt idx="165">
                  <c:v>-29.948804009118994</c:v>
                </c:pt>
                <c:pt idx="166">
                  <c:v>-29.387000125982894</c:v>
                </c:pt>
                <c:pt idx="167">
                  <c:v>-27.999551470022631</c:v>
                </c:pt>
                <c:pt idx="168">
                  <c:v>-28.570379604117871</c:v>
                </c:pt>
                <c:pt idx="169">
                  <c:v>-28.025143624526038</c:v>
                </c:pt>
                <c:pt idx="170">
                  <c:v>-23.763124761383175</c:v>
                </c:pt>
                <c:pt idx="171">
                  <c:v>-22.406531198638067</c:v>
                </c:pt>
                <c:pt idx="172">
                  <c:v>-25.244828261684425</c:v>
                </c:pt>
                <c:pt idx="173">
                  <c:v>-24.969602935657033</c:v>
                </c:pt>
                <c:pt idx="174">
                  <c:v>-24.029875355222259</c:v>
                </c:pt>
                <c:pt idx="175">
                  <c:v>-21.055806177710295</c:v>
                </c:pt>
                <c:pt idx="176">
                  <c:v>-20.078351600832658</c:v>
                </c:pt>
                <c:pt idx="177">
                  <c:v>-20.979383214965988</c:v>
                </c:pt>
                <c:pt idx="178">
                  <c:v>-20.477510827217301</c:v>
                </c:pt>
                <c:pt idx="179">
                  <c:v>-19.815639946014294</c:v>
                </c:pt>
                <c:pt idx="180">
                  <c:v>-18.221309953667721</c:v>
                </c:pt>
                <c:pt idx="181">
                  <c:v>-16.67161645366772</c:v>
                </c:pt>
                <c:pt idx="182">
                  <c:v>-16.716703102583377</c:v>
                </c:pt>
                <c:pt idx="183">
                  <c:v>-16.480776706367166</c:v>
                </c:pt>
                <c:pt idx="184">
                  <c:v>-15.365481412723753</c:v>
                </c:pt>
                <c:pt idx="185">
                  <c:v>-15.749274341363206</c:v>
                </c:pt>
                <c:pt idx="186">
                  <c:v>-14.51400797378216</c:v>
                </c:pt>
                <c:pt idx="187">
                  <c:v>-13.572663371685382</c:v>
                </c:pt>
                <c:pt idx="188">
                  <c:v>-11.831747423572926</c:v>
                </c:pt>
                <c:pt idx="189">
                  <c:v>-15.131829084946423</c:v>
                </c:pt>
                <c:pt idx="190">
                  <c:v>-11.902938915360624</c:v>
                </c:pt>
                <c:pt idx="191">
                  <c:v>-14.135466675425143</c:v>
                </c:pt>
                <c:pt idx="192">
                  <c:v>-15.654169611878407</c:v>
                </c:pt>
                <c:pt idx="193">
                  <c:v>-15.595975777856369</c:v>
                </c:pt>
                <c:pt idx="194">
                  <c:v>-15.506629534106368</c:v>
                </c:pt>
                <c:pt idx="195">
                  <c:v>-14.956350662130323</c:v>
                </c:pt>
                <c:pt idx="196">
                  <c:v>-13.328586504774769</c:v>
                </c:pt>
                <c:pt idx="197">
                  <c:v>-10.683692590475809</c:v>
                </c:pt>
                <c:pt idx="198">
                  <c:v>-9.9291713108358088</c:v>
                </c:pt>
                <c:pt idx="199">
                  <c:v>-8.7707063669187573</c:v>
                </c:pt>
                <c:pt idx="200">
                  <c:v>-10.819764317869579</c:v>
                </c:pt>
                <c:pt idx="201">
                  <c:v>-11.600987574814022</c:v>
                </c:pt>
                <c:pt idx="202">
                  <c:v>-11.606261700517445</c:v>
                </c:pt>
                <c:pt idx="203">
                  <c:v>-13.321710982870384</c:v>
                </c:pt>
                <c:pt idx="204">
                  <c:v>-13.069733968492097</c:v>
                </c:pt>
                <c:pt idx="205">
                  <c:v>-11.931995877056691</c:v>
                </c:pt>
                <c:pt idx="206">
                  <c:v>-12.458805532960946</c:v>
                </c:pt>
                <c:pt idx="207">
                  <c:v>-12.670573555997596</c:v>
                </c:pt>
                <c:pt idx="208">
                  <c:v>-12.77911370881313</c:v>
                </c:pt>
                <c:pt idx="209">
                  <c:v>-13.873991295479797</c:v>
                </c:pt>
                <c:pt idx="210">
                  <c:v>-14.49243128734026</c:v>
                </c:pt>
                <c:pt idx="211">
                  <c:v>-14.629720215801798</c:v>
                </c:pt>
                <c:pt idx="212">
                  <c:v>-14.999120191643383</c:v>
                </c:pt>
                <c:pt idx="213">
                  <c:v>-14.580608572976713</c:v>
                </c:pt>
                <c:pt idx="214">
                  <c:v>-14.575480993426153</c:v>
                </c:pt>
                <c:pt idx="215">
                  <c:v>-14.948183194882462</c:v>
                </c:pt>
                <c:pt idx="216">
                  <c:v>-15.306607817463107</c:v>
                </c:pt>
                <c:pt idx="217">
                  <c:v>-15.164789762225013</c:v>
                </c:pt>
                <c:pt idx="218">
                  <c:v>-15.237172030360606</c:v>
                </c:pt>
                <c:pt idx="219">
                  <c:v>-15.796082081523396</c:v>
                </c:pt>
                <c:pt idx="220">
                  <c:v>-16.377555569587912</c:v>
                </c:pt>
                <c:pt idx="221">
                  <c:v>-15.811331499749857</c:v>
                </c:pt>
                <c:pt idx="222">
                  <c:v>-16.0088107039359</c:v>
                </c:pt>
                <c:pt idx="223">
                  <c:v>-16.116606647269233</c:v>
                </c:pt>
                <c:pt idx="224">
                  <c:v>-16.070317789751503</c:v>
                </c:pt>
                <c:pt idx="225">
                  <c:v>-16.187817593825578</c:v>
                </c:pt>
                <c:pt idx="226">
                  <c:v>-15.927065645274851</c:v>
                </c:pt>
                <c:pt idx="227">
                  <c:v>-15.77282126944152</c:v>
                </c:pt>
                <c:pt idx="228">
                  <c:v>-15.68368250819152</c:v>
                </c:pt>
                <c:pt idx="229">
                  <c:v>-15.859914961762946</c:v>
                </c:pt>
                <c:pt idx="230">
                  <c:v>-15.335219432672037</c:v>
                </c:pt>
                <c:pt idx="231">
                  <c:v>-14.823238153299652</c:v>
                </c:pt>
                <c:pt idx="232">
                  <c:v>-14.266855800708978</c:v>
                </c:pt>
                <c:pt idx="233">
                  <c:v>-15.151509851445821</c:v>
                </c:pt>
                <c:pt idx="234">
                  <c:v>-15.471732938287925</c:v>
                </c:pt>
                <c:pt idx="235">
                  <c:v>-14.975718763986249</c:v>
                </c:pt>
                <c:pt idx="236">
                  <c:v>-15.124780181586249</c:v>
                </c:pt>
                <c:pt idx="237">
                  <c:v>-14.815125690157677</c:v>
                </c:pt>
                <c:pt idx="238">
                  <c:v>-14.440142212026835</c:v>
                </c:pt>
                <c:pt idx="239">
                  <c:v>-14.819536958901837</c:v>
                </c:pt>
                <c:pt idx="240">
                  <c:v>-15.251278756401836</c:v>
                </c:pt>
                <c:pt idx="241">
                  <c:v>-14.377967290548179</c:v>
                </c:pt>
                <c:pt idx="242">
                  <c:v>-15.845208720851211</c:v>
                </c:pt>
                <c:pt idx="243">
                  <c:v>-14.989016014399599</c:v>
                </c:pt>
                <c:pt idx="244">
                  <c:v>-12.327347490755349</c:v>
                </c:pt>
                <c:pt idx="245">
                  <c:v>-6.9303534256560804</c:v>
                </c:pt>
                <c:pt idx="246">
                  <c:v>-8.1850023910991165</c:v>
                </c:pt>
                <c:pt idx="247">
                  <c:v>-9.9354712243904153</c:v>
                </c:pt>
                <c:pt idx="248">
                  <c:v>-10.802251295272768</c:v>
                </c:pt>
                <c:pt idx="249">
                  <c:v>-12.032502470262154</c:v>
                </c:pt>
                <c:pt idx="250">
                  <c:v>-11.600659244820458</c:v>
                </c:pt>
                <c:pt idx="251">
                  <c:v>-11.508224957413049</c:v>
                </c:pt>
                <c:pt idx="252">
                  <c:v>-10.936755642874896</c:v>
                </c:pt>
                <c:pt idx="253">
                  <c:v>-11.503319235990624</c:v>
                </c:pt>
                <c:pt idx="254">
                  <c:v>-10.218229237557445</c:v>
                </c:pt>
                <c:pt idx="255">
                  <c:v>-7.9061276725939411</c:v>
                </c:pt>
                <c:pt idx="256">
                  <c:v>-7.979833854276916</c:v>
                </c:pt>
                <c:pt idx="257">
                  <c:v>-7.8502161371137955</c:v>
                </c:pt>
                <c:pt idx="258">
                  <c:v>-7.0174388907592791</c:v>
                </c:pt>
                <c:pt idx="259">
                  <c:v>-6.8941221437055153</c:v>
                </c:pt>
                <c:pt idx="260">
                  <c:v>-7.3761399664903253</c:v>
                </c:pt>
                <c:pt idx="261">
                  <c:v>-6.1752813270846802</c:v>
                </c:pt>
                <c:pt idx="262">
                  <c:v>-6.2362038860320501</c:v>
                </c:pt>
                <c:pt idx="263">
                  <c:v>-4.8593863890093969</c:v>
                </c:pt>
                <c:pt idx="264">
                  <c:v>-4.889436514330499</c:v>
                </c:pt>
                <c:pt idx="265">
                  <c:v>-4.7140014503224821</c:v>
                </c:pt>
                <c:pt idx="266">
                  <c:v>-3.5499105969891485</c:v>
                </c:pt>
                <c:pt idx="267">
                  <c:v>-2.0401977434177199</c:v>
                </c:pt>
                <c:pt idx="268">
                  <c:v>-0.27513788612674828</c:v>
                </c:pt>
                <c:pt idx="269">
                  <c:v>-0.12066754256802827</c:v>
                </c:pt>
                <c:pt idx="270">
                  <c:v>1.7324365902754271</c:v>
                </c:pt>
                <c:pt idx="271">
                  <c:v>9.3403770971195286</c:v>
                </c:pt>
                <c:pt idx="272">
                  <c:v>-2.5755407440294849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A-4F15-8265-0A36B276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740912"/>
        <c:axId val="625739664"/>
      </c:lineChart>
      <c:dateAx>
        <c:axId val="625740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739664"/>
        <c:crosses val="autoZero"/>
        <c:auto val="1"/>
        <c:lblOffset val="100"/>
        <c:baseTimeUnit val="days"/>
      </c:dateAx>
      <c:valAx>
        <c:axId val="62573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74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551D39-C3E7-46CC-8648-615E4210697D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A8B6CB-2D10-4D7D-8EF1-B8CE9A3731B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0.42480000000000001</v>
      </c>
      <c r="D2" s="4">
        <f>MIN(D3:D1912)</f>
        <v>1.04E-2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1.14E-2</v>
      </c>
      <c r="C5">
        <v>1.15E-2</v>
      </c>
      <c r="D5">
        <v>1.11E-2</v>
      </c>
      <c r="E5">
        <v>1.12E-2</v>
      </c>
      <c r="F5">
        <v>53269532</v>
      </c>
      <c r="G5">
        <v>1.12E-2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-0.50000000000000222</v>
      </c>
      <c r="Q5">
        <f t="shared" ref="Q5" si="1">F5*P5</f>
        <v>-26634766.000000119</v>
      </c>
      <c r="R5">
        <f t="shared" ref="R5" si="2">R6+Q5</f>
        <v>-40243774583.976425</v>
      </c>
      <c r="S5">
        <f t="shared" ref="S5" si="3">R5/100000</f>
        <v>-402437.74583976425</v>
      </c>
      <c r="T5">
        <f t="shared" ref="T5" si="4">S5/1000</f>
        <v>-402.43774583976426</v>
      </c>
    </row>
    <row r="6" spans="1:20" x14ac:dyDescent="0.25">
      <c r="A6" s="5">
        <v>44587</v>
      </c>
      <c r="B6">
        <v>1.14E-2</v>
      </c>
      <c r="C6">
        <v>1.2800000000000001E-2</v>
      </c>
      <c r="D6">
        <v>1.11E-2</v>
      </c>
      <c r="E6">
        <v>1.14E-2</v>
      </c>
      <c r="F6">
        <v>1782241739</v>
      </c>
      <c r="G6">
        <v>1.14E-2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-0.64705882352941191</v>
      </c>
      <c r="Q6">
        <f t="shared" ref="Q6" si="6">F6*P6</f>
        <v>-1153215242.8823533</v>
      </c>
      <c r="R6">
        <f t="shared" ref="R6" si="7">R7+Q6</f>
        <v>-40217139817.976425</v>
      </c>
      <c r="S6">
        <f t="shared" ref="S6" si="8">R6/100000</f>
        <v>-402171.39817976428</v>
      </c>
      <c r="T6">
        <f t="shared" ref="T6" si="9">S6/1000</f>
        <v>-402.17139817976425</v>
      </c>
    </row>
    <row r="7" spans="1:20" x14ac:dyDescent="0.25">
      <c r="A7" s="5">
        <v>44586</v>
      </c>
      <c r="B7">
        <v>1.18E-2</v>
      </c>
      <c r="C7">
        <v>1.18E-2</v>
      </c>
      <c r="D7">
        <v>1.0699999999999999E-2</v>
      </c>
      <c r="E7">
        <v>1.15E-2</v>
      </c>
      <c r="F7">
        <v>1824910766</v>
      </c>
      <c r="G7">
        <v>1.15E-2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0.45454545454545481</v>
      </c>
      <c r="Q7">
        <f t="shared" ref="Q7" si="11">F7*P7</f>
        <v>829504893.6363641</v>
      </c>
      <c r="R7">
        <f t="shared" ref="R7" si="12">R8+Q7</f>
        <v>-39063924575.09407</v>
      </c>
      <c r="S7">
        <f t="shared" ref="S7" si="13">R7/100000</f>
        <v>-390639.2457509407</v>
      </c>
      <c r="T7">
        <f t="shared" ref="T7" si="14">S7/1000</f>
        <v>-390.63924575094069</v>
      </c>
    </row>
    <row r="8" spans="1:20" x14ac:dyDescent="0.25">
      <c r="A8" s="5">
        <v>44585</v>
      </c>
      <c r="B8">
        <v>1.29E-2</v>
      </c>
      <c r="C8">
        <v>1.29E-2</v>
      </c>
      <c r="D8">
        <v>1.04E-2</v>
      </c>
      <c r="E8">
        <v>1.18E-2</v>
      </c>
      <c r="F8">
        <v>2928148150</v>
      </c>
      <c r="G8">
        <v>1.18E-2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0.11999999999999994</v>
      </c>
      <c r="Q8">
        <f t="shared" ref="Q8" si="16">F8*P8</f>
        <v>351377777.99999982</v>
      </c>
      <c r="R8">
        <f t="shared" ref="R8" si="17">R9+Q8</f>
        <v>-39893429468.730438</v>
      </c>
      <c r="S8">
        <f t="shared" ref="S8" si="18">R8/100000</f>
        <v>-398934.29468730435</v>
      </c>
      <c r="T8">
        <f t="shared" ref="T8" si="19">S8/1000</f>
        <v>-398.93429468730437</v>
      </c>
    </row>
    <row r="9" spans="1:20" x14ac:dyDescent="0.25">
      <c r="A9" s="5">
        <v>44584</v>
      </c>
      <c r="B9">
        <v>1.2500000000000001E-2</v>
      </c>
      <c r="C9">
        <v>1.34E-2</v>
      </c>
      <c r="D9">
        <v>1.2E-2</v>
      </c>
      <c r="E9">
        <v>1.2800000000000001E-2</v>
      </c>
      <c r="F9">
        <v>1378961757</v>
      </c>
      <c r="G9">
        <v>1.2800000000000001E-2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0.14285714285714321</v>
      </c>
      <c r="Q9">
        <f t="shared" ref="Q9" si="21">F9*P9</f>
        <v>196994536.71428621</v>
      </c>
      <c r="R9">
        <f t="shared" ref="R9" si="22">R10+Q9</f>
        <v>-40244807246.730438</v>
      </c>
      <c r="S9">
        <f t="shared" ref="S9" si="23">R9/100000</f>
        <v>-402448.07246730436</v>
      </c>
      <c r="T9">
        <f t="shared" ref="T9" si="24">S9/1000</f>
        <v>-402.44807246730437</v>
      </c>
    </row>
    <row r="10" spans="1:20" x14ac:dyDescent="0.25">
      <c r="A10" s="5">
        <v>44583</v>
      </c>
      <c r="B10">
        <v>1.2200000000000001E-2</v>
      </c>
      <c r="C10">
        <v>1.29E-2</v>
      </c>
      <c r="D10">
        <v>1.0500000000000001E-2</v>
      </c>
      <c r="E10">
        <v>1.2500000000000001E-2</v>
      </c>
      <c r="F10">
        <v>3048742523</v>
      </c>
      <c r="G10">
        <v>1.2500000000000001E-2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0.66666666666666718</v>
      </c>
      <c r="Q10">
        <f t="shared" ref="Q10" si="26">F10*P10</f>
        <v>2032495015.3333349</v>
      </c>
      <c r="R10">
        <f t="shared" ref="R10" si="27">R11+Q10</f>
        <v>-40441801783.444725</v>
      </c>
      <c r="S10">
        <f t="shared" ref="S10" si="28">R10/100000</f>
        <v>-404418.01783444727</v>
      </c>
      <c r="T10">
        <f t="shared" ref="T10" si="29">S10/1000</f>
        <v>-404.41801783444726</v>
      </c>
    </row>
    <row r="11" spans="1:20" x14ac:dyDescent="0.25">
      <c r="A11" s="5">
        <v>44582</v>
      </c>
      <c r="B11">
        <v>1.6799999999999999E-2</v>
      </c>
      <c r="C11">
        <v>1.6899999999999998E-2</v>
      </c>
      <c r="D11">
        <v>1.17E-2</v>
      </c>
      <c r="E11">
        <v>1.2200000000000001E-2</v>
      </c>
      <c r="F11">
        <v>2975464232</v>
      </c>
      <c r="G11">
        <v>1.2200000000000001E-2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-0.80769230769230749</v>
      </c>
      <c r="Q11">
        <f t="shared" ref="Q11" si="31">F11*P11</f>
        <v>-2403259571.9999995</v>
      </c>
      <c r="R11">
        <f t="shared" ref="R11" si="32">R12+Q11</f>
        <v>-42474296798.778061</v>
      </c>
      <c r="S11">
        <f t="shared" ref="S11" si="33">R11/100000</f>
        <v>-424742.96798778063</v>
      </c>
      <c r="T11">
        <f t="shared" ref="T11" si="34">S11/1000</f>
        <v>-424.74296798778062</v>
      </c>
    </row>
    <row r="12" spans="1:20" x14ac:dyDescent="0.25">
      <c r="A12" s="5">
        <v>44581</v>
      </c>
      <c r="B12">
        <v>1.7500000000000002E-2</v>
      </c>
      <c r="C12">
        <v>1.8599999999999998E-2</v>
      </c>
      <c r="D12">
        <v>1.66E-2</v>
      </c>
      <c r="E12">
        <v>1.67E-2</v>
      </c>
      <c r="F12">
        <v>1382470956</v>
      </c>
      <c r="G12">
        <v>1.67E-2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-0.90000000000000047</v>
      </c>
      <c r="Q12">
        <f t="shared" ref="Q12" si="36">F12*P12</f>
        <v>-1244223860.4000006</v>
      </c>
      <c r="R12">
        <f t="shared" ref="R12" si="37">R13+Q12</f>
        <v>-40071037226.778061</v>
      </c>
      <c r="S12">
        <f t="shared" ref="S12" si="38">R12/100000</f>
        <v>-400710.37226778059</v>
      </c>
      <c r="T12">
        <f t="shared" ref="T12" si="39">S12/1000</f>
        <v>-400.7103722677806</v>
      </c>
    </row>
    <row r="13" spans="1:20" x14ac:dyDescent="0.25">
      <c r="A13" s="5">
        <v>44580</v>
      </c>
      <c r="B13">
        <v>1.8100000000000002E-2</v>
      </c>
      <c r="C13">
        <v>1.83E-2</v>
      </c>
      <c r="D13">
        <v>1.7299999999999999E-2</v>
      </c>
      <c r="E13">
        <v>1.7600000000000001E-2</v>
      </c>
      <c r="F13">
        <v>697886333</v>
      </c>
      <c r="G13">
        <v>1.7600000000000001E-2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-0.39999999999999725</v>
      </c>
      <c r="Q13">
        <f t="shared" ref="Q13" si="41">F13*P13</f>
        <v>-279154533.19999808</v>
      </c>
      <c r="R13">
        <f t="shared" ref="R13" si="42">R14+Q13</f>
        <v>-38826813366.378059</v>
      </c>
      <c r="S13">
        <f t="shared" ref="S13" si="43">R13/100000</f>
        <v>-388268.13366378058</v>
      </c>
      <c r="T13">
        <f t="shared" ref="T13" si="44">S13/1000</f>
        <v>-388.26813366378059</v>
      </c>
    </row>
    <row r="14" spans="1:20" x14ac:dyDescent="0.25">
      <c r="A14" s="5">
        <v>44579</v>
      </c>
      <c r="B14">
        <v>1.84E-2</v>
      </c>
      <c r="C14">
        <v>1.8800000000000001E-2</v>
      </c>
      <c r="D14">
        <v>1.7600000000000001E-2</v>
      </c>
      <c r="E14">
        <v>1.8200000000000001E-2</v>
      </c>
      <c r="F14">
        <v>949590092</v>
      </c>
      <c r="G14">
        <v>1.8200000000000001E-2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</v>
      </c>
      <c r="Q14">
        <f t="shared" ref="Q14" si="46">F14*P14</f>
        <v>0</v>
      </c>
      <c r="R14">
        <f t="shared" ref="R14" si="47">R15+Q14</f>
        <v>-38547658833.178062</v>
      </c>
      <c r="S14">
        <f t="shared" ref="S14" si="48">R14/100000</f>
        <v>-385476.58833178063</v>
      </c>
      <c r="T14">
        <f t="shared" ref="T14" si="49">S14/1000</f>
        <v>-385.47658833178065</v>
      </c>
    </row>
    <row r="15" spans="1:20" x14ac:dyDescent="0.25">
      <c r="A15" s="5">
        <v>44578</v>
      </c>
      <c r="B15">
        <v>2.07E-2</v>
      </c>
      <c r="C15">
        <v>2.0899999999999998E-2</v>
      </c>
      <c r="D15">
        <v>1.7999999999999999E-2</v>
      </c>
      <c r="E15">
        <v>1.8499999999999999E-2</v>
      </c>
      <c r="F15">
        <v>2035883300</v>
      </c>
      <c r="G15">
        <v>1.8499999999999999E-2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-0.65517241379310309</v>
      </c>
      <c r="Q15">
        <f t="shared" ref="Q15" si="51">F15*P15</f>
        <v>-1333854575.8620682</v>
      </c>
      <c r="R15">
        <f t="shared" ref="R15" si="52">R16+Q15</f>
        <v>-38547658833.178062</v>
      </c>
      <c r="S15">
        <f t="shared" ref="S15" si="53">R15/100000</f>
        <v>-385476.58833178063</v>
      </c>
      <c r="T15">
        <f t="shared" ref="T15" si="54">S15/1000</f>
        <v>-385.47658833178065</v>
      </c>
    </row>
    <row r="16" spans="1:20" x14ac:dyDescent="0.25">
      <c r="A16" s="5">
        <v>44577</v>
      </c>
      <c r="B16">
        <v>1.83E-2</v>
      </c>
      <c r="C16">
        <v>2.1499999999999998E-2</v>
      </c>
      <c r="D16">
        <v>1.8200000000000001E-2</v>
      </c>
      <c r="E16">
        <v>2.06E-2</v>
      </c>
      <c r="F16">
        <v>2948799721</v>
      </c>
      <c r="G16">
        <v>2.06E-2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0.45454545454545531</v>
      </c>
      <c r="Q16">
        <f t="shared" ref="Q16" si="56">F16*P16</f>
        <v>1340363509.5454569</v>
      </c>
      <c r="R16">
        <f t="shared" ref="R16" si="57">R17+Q16</f>
        <v>-37213804257.315994</v>
      </c>
      <c r="S16">
        <f t="shared" ref="S16" si="58">R16/100000</f>
        <v>-372138.04257315997</v>
      </c>
      <c r="T16">
        <f t="shared" ref="T16" si="59">S16/1000</f>
        <v>-372.13804257315996</v>
      </c>
    </row>
    <row r="17" spans="1:20" x14ac:dyDescent="0.25">
      <c r="A17" s="5">
        <v>44576</v>
      </c>
      <c r="B17">
        <v>1.84E-2</v>
      </c>
      <c r="C17">
        <v>1.8700000000000001E-2</v>
      </c>
      <c r="D17">
        <v>1.78E-2</v>
      </c>
      <c r="E17">
        <v>1.83E-2</v>
      </c>
      <c r="F17">
        <v>731626795</v>
      </c>
      <c r="G17">
        <v>1.83E-2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0.11111111111111026</v>
      </c>
      <c r="Q17">
        <f t="shared" ref="Q17" si="61">F17*P17</f>
        <v>81291866.111110494</v>
      </c>
      <c r="R17">
        <f t="shared" ref="R17" si="62">R18+Q17</f>
        <v>-38554167766.86145</v>
      </c>
      <c r="S17">
        <f t="shared" ref="S17" si="63">R17/100000</f>
        <v>-385541.67766861449</v>
      </c>
      <c r="T17">
        <f t="shared" ref="T17" si="64">S17/1000</f>
        <v>-385.54167766861451</v>
      </c>
    </row>
    <row r="18" spans="1:20" x14ac:dyDescent="0.25">
      <c r="A18" s="5">
        <v>44575</v>
      </c>
      <c r="B18">
        <v>1.8200000000000001E-2</v>
      </c>
      <c r="C18">
        <v>1.9E-2</v>
      </c>
      <c r="D18">
        <v>1.7299999999999999E-2</v>
      </c>
      <c r="E18">
        <v>1.84E-2</v>
      </c>
      <c r="F18">
        <v>958423998</v>
      </c>
      <c r="G18">
        <v>1.84E-2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0.29411764705882376</v>
      </c>
      <c r="Q18">
        <f t="shared" ref="Q18" si="66">F18*P18</f>
        <v>281889411.17647082</v>
      </c>
      <c r="R18">
        <f t="shared" ref="R18" si="67">R19+Q18</f>
        <v>-38635459632.972557</v>
      </c>
      <c r="S18">
        <f t="shared" ref="S18" si="68">R18/100000</f>
        <v>-386354.59632972558</v>
      </c>
      <c r="T18">
        <f t="shared" ref="T18" si="69">S18/1000</f>
        <v>-386.35459632972555</v>
      </c>
    </row>
    <row r="19" spans="1:20" x14ac:dyDescent="0.25">
      <c r="A19" s="5">
        <v>44574</v>
      </c>
      <c r="B19">
        <v>1.9099999999999999E-2</v>
      </c>
      <c r="C19">
        <v>1.9199999999999998E-2</v>
      </c>
      <c r="D19">
        <v>1.77E-2</v>
      </c>
      <c r="E19">
        <v>1.8200000000000001E-2</v>
      </c>
      <c r="F19">
        <v>1182677413</v>
      </c>
      <c r="G19">
        <v>1.8200000000000001E-2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-0.33333333333333182</v>
      </c>
      <c r="Q19">
        <f t="shared" ref="Q19" si="71">F19*P19</f>
        <v>-394225804.33333153</v>
      </c>
      <c r="R19">
        <f t="shared" ref="R19" si="72">R20+Q19</f>
        <v>-38917349044.149025</v>
      </c>
      <c r="S19">
        <f t="shared" ref="S19" si="73">R19/100000</f>
        <v>-389173.49044149026</v>
      </c>
      <c r="T19">
        <f t="shared" ref="T19" si="74">S19/1000</f>
        <v>-389.17349044149023</v>
      </c>
    </row>
    <row r="20" spans="1:20" x14ac:dyDescent="0.25">
      <c r="A20" s="5">
        <v>44573</v>
      </c>
      <c r="B20">
        <v>1.83E-2</v>
      </c>
      <c r="C20">
        <v>1.9400000000000001E-2</v>
      </c>
      <c r="D20">
        <v>1.7999999999999999E-2</v>
      </c>
      <c r="E20">
        <v>1.9099999999999999E-2</v>
      </c>
      <c r="F20">
        <v>1056565500</v>
      </c>
      <c r="G20">
        <v>1.9099999999999999E-2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0.57142857142856962</v>
      </c>
      <c r="Q20">
        <f t="shared" ref="Q20" si="76">F20*P20</f>
        <v>603751714.28571236</v>
      </c>
      <c r="R20">
        <f t="shared" ref="R20" si="77">R21+Q20</f>
        <v>-38523123239.815697</v>
      </c>
      <c r="S20">
        <f t="shared" ref="S20" si="78">R20/100000</f>
        <v>-385231.23239815695</v>
      </c>
      <c r="T20">
        <f t="shared" ref="T20" si="79">S20/1000</f>
        <v>-385.23123239815698</v>
      </c>
    </row>
    <row r="21" spans="1:20" x14ac:dyDescent="0.25">
      <c r="A21" s="5">
        <v>44572</v>
      </c>
      <c r="B21">
        <v>1.7600000000000001E-2</v>
      </c>
      <c r="C21">
        <v>1.8499999999999999E-2</v>
      </c>
      <c r="D21">
        <v>1.7100000000000001E-2</v>
      </c>
      <c r="E21">
        <v>1.8200000000000001E-2</v>
      </c>
      <c r="F21">
        <v>1234212677</v>
      </c>
      <c r="G21">
        <v>1.8200000000000001E-2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0.57142857142857351</v>
      </c>
      <c r="Q21">
        <f t="shared" ref="Q21" si="81">F21*P21</f>
        <v>705264386.85714543</v>
      </c>
      <c r="R21">
        <f t="shared" ref="R21" si="82">R22+Q21</f>
        <v>-39126874954.10141</v>
      </c>
      <c r="S21">
        <f t="shared" ref="S21" si="83">R21/100000</f>
        <v>-391268.74954101408</v>
      </c>
      <c r="T21">
        <f t="shared" ref="T21" si="84">S21/1000</f>
        <v>-391.26874954101407</v>
      </c>
    </row>
    <row r="22" spans="1:20" x14ac:dyDescent="0.25">
      <c r="A22" s="5">
        <v>44571</v>
      </c>
      <c r="B22">
        <v>1.84E-2</v>
      </c>
      <c r="C22">
        <v>2.1299999999999999E-2</v>
      </c>
      <c r="D22">
        <v>1.7000000000000001E-2</v>
      </c>
      <c r="E22">
        <v>1.7600000000000001E-2</v>
      </c>
      <c r="F22">
        <v>3520789336</v>
      </c>
      <c r="G22">
        <v>1.7600000000000001E-2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-0.72093023255813948</v>
      </c>
      <c r="Q22">
        <f t="shared" ref="Q22" si="86">F22*P22</f>
        <v>-2538243474.7906976</v>
      </c>
      <c r="R22">
        <f t="shared" ref="R22" si="87">R23+Q22</f>
        <v>-39832139340.958557</v>
      </c>
      <c r="S22">
        <f t="shared" ref="S22" si="88">R22/100000</f>
        <v>-398321.39340958558</v>
      </c>
      <c r="T22">
        <f t="shared" ref="T22" si="89">S22/1000</f>
        <v>-398.3213934095856</v>
      </c>
    </row>
    <row r="23" spans="1:20" x14ac:dyDescent="0.25">
      <c r="A23" s="5">
        <v>44570</v>
      </c>
      <c r="B23">
        <v>1.8200000000000001E-2</v>
      </c>
      <c r="C23">
        <v>1.89E-2</v>
      </c>
      <c r="D23">
        <v>1.7500000000000002E-2</v>
      </c>
      <c r="E23">
        <v>1.84E-2</v>
      </c>
      <c r="F23">
        <v>1102915853</v>
      </c>
      <c r="G23">
        <v>1.84E-2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0.28571428571428431</v>
      </c>
      <c r="Q23">
        <f t="shared" ref="Q23" si="91">F23*P23</f>
        <v>315118815.14285558</v>
      </c>
      <c r="R23">
        <f t="shared" ref="R23" si="92">R24+Q23</f>
        <v>-37293895866.167862</v>
      </c>
      <c r="S23">
        <f t="shared" ref="S23" si="93">R23/100000</f>
        <v>-372938.9586616786</v>
      </c>
      <c r="T23">
        <f t="shared" ref="T23" si="94">S23/1000</f>
        <v>-372.93895866167861</v>
      </c>
    </row>
    <row r="24" spans="1:20" x14ac:dyDescent="0.25">
      <c r="A24" s="5">
        <v>44569</v>
      </c>
      <c r="B24">
        <v>1.9400000000000001E-2</v>
      </c>
      <c r="C24">
        <v>0.02</v>
      </c>
      <c r="D24">
        <v>1.78E-2</v>
      </c>
      <c r="E24">
        <v>1.8200000000000001E-2</v>
      </c>
      <c r="F24">
        <v>1173865763</v>
      </c>
      <c r="G24">
        <v>1.8200000000000001E-2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-0.63636363636363547</v>
      </c>
      <c r="Q24">
        <f t="shared" ref="Q24" si="96">F24*P24</f>
        <v>-747005485.54545355</v>
      </c>
      <c r="R24">
        <f t="shared" ref="R24" si="97">R25+Q24</f>
        <v>-37609014681.310715</v>
      </c>
      <c r="S24">
        <f t="shared" ref="S24" si="98">R24/100000</f>
        <v>-376090.14681310713</v>
      </c>
      <c r="T24">
        <f t="shared" ref="T24" si="99">S24/1000</f>
        <v>-376.09014681310714</v>
      </c>
    </row>
    <row r="25" spans="1:20" x14ac:dyDescent="0.25">
      <c r="A25" s="5">
        <v>44568</v>
      </c>
      <c r="B25">
        <v>2.2200000000000001E-2</v>
      </c>
      <c r="C25">
        <v>2.24E-2</v>
      </c>
      <c r="D25">
        <v>1.8599999999999998E-2</v>
      </c>
      <c r="E25">
        <v>1.95E-2</v>
      </c>
      <c r="F25">
        <v>2062612082</v>
      </c>
      <c r="G25">
        <v>1.95E-2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-0.52631578947368363</v>
      </c>
      <c r="Q25">
        <f t="shared" ref="Q25" si="101">F25*P25</f>
        <v>-1085585306.3157883</v>
      </c>
      <c r="R25">
        <f t="shared" ref="R25" si="102">R26+Q25</f>
        <v>-36862009195.765259</v>
      </c>
      <c r="S25">
        <f t="shared" ref="S25" si="103">R25/100000</f>
        <v>-368620.09195765259</v>
      </c>
      <c r="T25">
        <f t="shared" ref="T25" si="104">S25/1000</f>
        <v>-368.62009195765262</v>
      </c>
    </row>
    <row r="26" spans="1:20" x14ac:dyDescent="0.25">
      <c r="A26" s="5">
        <v>44567</v>
      </c>
      <c r="B26">
        <v>2.3800000000000002E-2</v>
      </c>
      <c r="C26">
        <v>2.5600000000000001E-2</v>
      </c>
      <c r="D26">
        <v>2.1299999999999999E-2</v>
      </c>
      <c r="E26">
        <v>2.2200000000000001E-2</v>
      </c>
      <c r="F26">
        <v>2130383252</v>
      </c>
      <c r="G26">
        <v>2.2200000000000001E-2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-0.58139534883720878</v>
      </c>
      <c r="Q26">
        <f t="shared" ref="Q26" si="106">F26*P26</f>
        <v>-1238594913.9534872</v>
      </c>
      <c r="R26">
        <f t="shared" ref="R26" si="107">R27+Q26</f>
        <v>-35776423889.449471</v>
      </c>
      <c r="S26">
        <f t="shared" ref="S26" si="108">R26/100000</f>
        <v>-357764.23889449472</v>
      </c>
      <c r="T26">
        <f t="shared" ref="T26" si="109">S26/1000</f>
        <v>-357.76423889449472</v>
      </c>
    </row>
    <row r="27" spans="1:20" x14ac:dyDescent="0.25">
      <c r="A27" s="5">
        <v>44566</v>
      </c>
      <c r="B27">
        <v>2.5399999999999999E-2</v>
      </c>
      <c r="C27">
        <v>2.9000000000000001E-2</v>
      </c>
      <c r="D27">
        <v>2.3E-2</v>
      </c>
      <c r="E27">
        <v>2.3900000000000001E-2</v>
      </c>
      <c r="F27">
        <v>3116606258</v>
      </c>
      <c r="G27">
        <v>2.3900000000000001E-2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-0.69999999999999962</v>
      </c>
      <c r="Q27">
        <f t="shared" ref="Q27" si="111">F27*P27</f>
        <v>-2181624380.599999</v>
      </c>
      <c r="R27">
        <f t="shared" ref="R27" si="112">R28+Q27</f>
        <v>-34537828975.495987</v>
      </c>
      <c r="S27">
        <f t="shared" ref="S27" si="113">R27/100000</f>
        <v>-345378.28975495987</v>
      </c>
      <c r="T27">
        <f t="shared" ref="T27" si="114">S27/1000</f>
        <v>-345.37828975495989</v>
      </c>
    </row>
    <row r="28" spans="1:20" x14ac:dyDescent="0.25">
      <c r="A28" s="5">
        <v>44565</v>
      </c>
      <c r="B28">
        <v>2.6200000000000001E-2</v>
      </c>
      <c r="C28">
        <v>2.6599999999999999E-2</v>
      </c>
      <c r="D28">
        <v>2.5399999999999999E-2</v>
      </c>
      <c r="E28">
        <v>2.5499999999999998E-2</v>
      </c>
      <c r="F28">
        <v>830969869</v>
      </c>
      <c r="G28">
        <v>2.5499999999999998E-2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-0.83333333333333426</v>
      </c>
      <c r="Q28">
        <f t="shared" ref="Q28" si="116">F28*P28</f>
        <v>-692474890.83333409</v>
      </c>
      <c r="R28">
        <f t="shared" ref="R28" si="117">R29+Q28</f>
        <v>-32356204594.895985</v>
      </c>
      <c r="S28">
        <f t="shared" ref="S28" si="118">R28/100000</f>
        <v>-323562.04594895983</v>
      </c>
      <c r="T28">
        <f t="shared" ref="T28" si="119">S28/1000</f>
        <v>-323.56204594895985</v>
      </c>
    </row>
    <row r="29" spans="1:20" x14ac:dyDescent="0.25">
      <c r="A29" s="5">
        <v>44564</v>
      </c>
      <c r="B29">
        <v>2.7300000000000001E-2</v>
      </c>
      <c r="C29">
        <v>2.7400000000000001E-2</v>
      </c>
      <c r="D29">
        <v>2.58E-2</v>
      </c>
      <c r="E29">
        <v>2.6200000000000001E-2</v>
      </c>
      <c r="F29">
        <v>782262356</v>
      </c>
      <c r="G29">
        <v>2.6200000000000001E-2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-0.49999999999999889</v>
      </c>
      <c r="Q29">
        <f t="shared" ref="Q29" si="121">F29*P29</f>
        <v>-391131177.99999911</v>
      </c>
      <c r="R29">
        <f t="shared" ref="R29" si="122">R30+Q29</f>
        <v>-31663729704.062649</v>
      </c>
      <c r="S29">
        <f t="shared" ref="S29" si="123">R29/100000</f>
        <v>-316637.29704062646</v>
      </c>
      <c r="T29">
        <f t="shared" ref="T29" si="124">S29/1000</f>
        <v>-316.63729704062649</v>
      </c>
    </row>
    <row r="30" spans="1:20" x14ac:dyDescent="0.25">
      <c r="A30" s="5">
        <v>44563</v>
      </c>
      <c r="B30">
        <v>2.76E-2</v>
      </c>
      <c r="C30">
        <v>2.76E-2</v>
      </c>
      <c r="D30">
        <v>2.69E-2</v>
      </c>
      <c r="E30">
        <v>2.7300000000000001E-2</v>
      </c>
      <c r="F30">
        <v>561679792</v>
      </c>
      <c r="G30">
        <v>2.7300000000000001E-2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0.1428571428571471</v>
      </c>
      <c r="Q30">
        <f t="shared" ref="Q30" si="126">F30*P30</f>
        <v>80239970.285716668</v>
      </c>
      <c r="R30">
        <f t="shared" ref="R30" si="127">R31+Q30</f>
        <v>-31272598526.062649</v>
      </c>
      <c r="S30">
        <f t="shared" ref="S30" si="128">R30/100000</f>
        <v>-312725.98526062648</v>
      </c>
      <c r="T30">
        <f t="shared" ref="T30" si="129">S30/1000</f>
        <v>-312.72598526062649</v>
      </c>
    </row>
    <row r="31" spans="1:20" x14ac:dyDescent="0.25">
      <c r="A31" s="5">
        <v>44562</v>
      </c>
      <c r="B31">
        <v>2.69E-2</v>
      </c>
      <c r="C31">
        <v>2.7799999999999998E-2</v>
      </c>
      <c r="D31">
        <v>2.6599999999999999E-2</v>
      </c>
      <c r="E31">
        <v>2.75E-2</v>
      </c>
      <c r="F31">
        <v>550286546</v>
      </c>
      <c r="G31">
        <v>2.75E-2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0.50000000000000289</v>
      </c>
      <c r="Q31">
        <f t="shared" ref="Q31" si="131">F31*P31</f>
        <v>275143273.00000161</v>
      </c>
      <c r="R31">
        <f t="shared" ref="R31" si="132">R32+Q31</f>
        <v>-31352838496.348366</v>
      </c>
      <c r="S31">
        <f t="shared" ref="S31" si="133">R31/100000</f>
        <v>-313528.38496348367</v>
      </c>
      <c r="T31">
        <f t="shared" ref="T31" si="134">S31/1000</f>
        <v>-313.52838496348369</v>
      </c>
    </row>
    <row r="32" spans="1:20" x14ac:dyDescent="0.25">
      <c r="A32" s="5">
        <v>44561</v>
      </c>
      <c r="B32">
        <v>2.76E-2</v>
      </c>
      <c r="C32">
        <v>2.81E-2</v>
      </c>
      <c r="D32">
        <v>2.64E-2</v>
      </c>
      <c r="E32">
        <v>2.69E-2</v>
      </c>
      <c r="F32">
        <v>791462534</v>
      </c>
      <c r="G32">
        <v>2.69E-2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-0.41176470588235248</v>
      </c>
      <c r="Q32">
        <f t="shared" ref="Q32" si="136">F32*P32</f>
        <v>-325896337.52941138</v>
      </c>
      <c r="R32">
        <f t="shared" ref="R32" si="137">R33+Q32</f>
        <v>-31627981769.348366</v>
      </c>
      <c r="S32">
        <f t="shared" ref="S32" si="138">R32/100000</f>
        <v>-316279.81769348367</v>
      </c>
      <c r="T32">
        <f t="shared" ref="T32" si="139">S32/1000</f>
        <v>-316.27981769348366</v>
      </c>
    </row>
    <row r="33" spans="1:20" x14ac:dyDescent="0.25">
      <c r="A33" s="5">
        <v>44560</v>
      </c>
      <c r="B33">
        <v>2.7099999999999999E-2</v>
      </c>
      <c r="C33">
        <v>2.8899999999999999E-2</v>
      </c>
      <c r="D33">
        <v>2.6599999999999999E-2</v>
      </c>
      <c r="E33">
        <v>2.75E-2</v>
      </c>
      <c r="F33">
        <v>948927089</v>
      </c>
      <c r="G33">
        <v>2.75E-2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-0.21739130434782478</v>
      </c>
      <c r="Q33">
        <f t="shared" ref="Q33" si="141">F33*P33</f>
        <v>-206288497.6086944</v>
      </c>
      <c r="R33">
        <f t="shared" ref="R33" si="142">R34+Q33</f>
        <v>-31302085431.818954</v>
      </c>
      <c r="S33">
        <f t="shared" ref="S33" si="143">R33/100000</f>
        <v>-313020.85431818955</v>
      </c>
      <c r="T33">
        <f t="shared" ref="T33" si="144">S33/1000</f>
        <v>-313.02085431818955</v>
      </c>
    </row>
    <row r="34" spans="1:20" x14ac:dyDescent="0.25">
      <c r="A34" s="5">
        <v>44559</v>
      </c>
      <c r="B34">
        <v>2.92E-2</v>
      </c>
      <c r="C34">
        <v>2.93E-2</v>
      </c>
      <c r="D34">
        <v>2.6800000000000001E-2</v>
      </c>
      <c r="E34">
        <v>2.7099999999999999E-2</v>
      </c>
      <c r="F34">
        <v>888657818</v>
      </c>
      <c r="G34">
        <v>2.7099999999999999E-2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-0.76000000000000134</v>
      </c>
      <c r="Q34">
        <f t="shared" ref="Q34" si="146">F34*P34</f>
        <v>-675379941.68000114</v>
      </c>
      <c r="R34">
        <f t="shared" ref="R34" si="147">R35+Q34</f>
        <v>-31095796934.210258</v>
      </c>
      <c r="S34">
        <f t="shared" ref="S34" si="148">R34/100000</f>
        <v>-310957.96934210259</v>
      </c>
      <c r="T34">
        <f t="shared" ref="T34" si="149">S34/1000</f>
        <v>-310.95796934210261</v>
      </c>
    </row>
    <row r="35" spans="1:20" x14ac:dyDescent="0.25">
      <c r="A35" s="5">
        <v>44558</v>
      </c>
      <c r="B35">
        <v>3.1300000000000001E-2</v>
      </c>
      <c r="C35">
        <v>3.1399999999999997E-2</v>
      </c>
      <c r="D35">
        <v>2.8199999999999999E-2</v>
      </c>
      <c r="E35">
        <v>2.92E-2</v>
      </c>
      <c r="F35">
        <v>1272162580</v>
      </c>
      <c r="G35">
        <v>2.92E-2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-0.37499999999999906</v>
      </c>
      <c r="Q35">
        <f t="shared" ref="Q35" si="151">F35*P35</f>
        <v>-477060967.49999881</v>
      </c>
      <c r="R35">
        <f t="shared" ref="R35" si="152">R36+Q35</f>
        <v>-30420416992.530258</v>
      </c>
      <c r="S35">
        <f t="shared" ref="S35" si="153">R35/100000</f>
        <v>-304204.16992530256</v>
      </c>
      <c r="T35">
        <f t="shared" ref="T35" si="154">S35/1000</f>
        <v>-304.20416992530255</v>
      </c>
    </row>
    <row r="36" spans="1:20" x14ac:dyDescent="0.25">
      <c r="A36" s="5">
        <v>44557</v>
      </c>
      <c r="B36">
        <v>3.1699999999999999E-2</v>
      </c>
      <c r="C36">
        <v>3.2399999999999998E-2</v>
      </c>
      <c r="D36">
        <v>3.1300000000000001E-2</v>
      </c>
      <c r="E36">
        <v>3.1300000000000001E-2</v>
      </c>
      <c r="F36">
        <v>927614416</v>
      </c>
      <c r="G36">
        <v>3.1300000000000001E-2</v>
      </c>
      <c r="L36" t="s">
        <v>7</v>
      </c>
      <c r="M36" t="s">
        <v>7</v>
      </c>
      <c r="N36" t="s">
        <v>7</v>
      </c>
      <c r="P36">
        <f t="shared" ref="P36" si="155">IF(C36=D36,0,((E36-D36)-(C36-E36))/(C36-D36))</f>
        <v>-1</v>
      </c>
      <c r="Q36">
        <f t="shared" ref="Q36" si="156">F36*P36</f>
        <v>-927614416</v>
      </c>
      <c r="R36">
        <f t="shared" ref="R36" si="157">R37+Q36</f>
        <v>-29943356025.030258</v>
      </c>
      <c r="S36">
        <f t="shared" ref="S36" si="158">R36/100000</f>
        <v>-299433.5602503026</v>
      </c>
      <c r="T36">
        <f t="shared" ref="T36" si="159">S36/1000</f>
        <v>-299.43356025030261</v>
      </c>
    </row>
    <row r="37" spans="1:20" x14ac:dyDescent="0.25">
      <c r="A37" s="5">
        <v>44556</v>
      </c>
      <c r="B37">
        <v>3.2199999999999999E-2</v>
      </c>
      <c r="C37">
        <v>3.2300000000000002E-2</v>
      </c>
      <c r="D37">
        <v>3.1099999999999999E-2</v>
      </c>
      <c r="E37">
        <v>3.1699999999999999E-2</v>
      </c>
      <c r="F37">
        <v>737957908</v>
      </c>
      <c r="G37">
        <v>3.1699999999999999E-2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-2.8912057932946707E-15</v>
      </c>
      <c r="Q37">
        <f t="shared" ref="Q37" si="161">F37*P37</f>
        <v>-2.1335881788172156E-6</v>
      </c>
      <c r="R37">
        <f t="shared" ref="R37" si="162">R38+Q37</f>
        <v>-29015741609.030258</v>
      </c>
      <c r="S37">
        <f t="shared" ref="S37" si="163">R37/100000</f>
        <v>-290157.41609030258</v>
      </c>
      <c r="T37">
        <f t="shared" ref="T37" si="164">S37/1000</f>
        <v>-290.1574160903026</v>
      </c>
    </row>
    <row r="38" spans="1:20" x14ac:dyDescent="0.25">
      <c r="A38" s="5">
        <v>44555</v>
      </c>
      <c r="B38">
        <v>3.1699999999999999E-2</v>
      </c>
      <c r="C38">
        <v>3.2500000000000001E-2</v>
      </c>
      <c r="D38">
        <v>3.15E-2</v>
      </c>
      <c r="E38">
        <v>3.2199999999999999E-2</v>
      </c>
      <c r="F38">
        <v>786494566</v>
      </c>
      <c r="G38">
        <v>3.2199999999999999E-2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0.39999999999999725</v>
      </c>
      <c r="Q38">
        <f t="shared" ref="Q38" si="166">F38*P38</f>
        <v>314597826.39999783</v>
      </c>
      <c r="R38">
        <f t="shared" ref="R38" si="167">R39+Q38</f>
        <v>-29015741609.030254</v>
      </c>
      <c r="S38">
        <f t="shared" ref="S38" si="168">R38/100000</f>
        <v>-290157.41609030252</v>
      </c>
      <c r="T38">
        <f t="shared" ref="T38" si="169">S38/1000</f>
        <v>-290.15741609030249</v>
      </c>
    </row>
    <row r="39" spans="1:20" x14ac:dyDescent="0.25">
      <c r="A39" s="5">
        <v>44554</v>
      </c>
      <c r="B39">
        <v>3.1800000000000002E-2</v>
      </c>
      <c r="C39">
        <v>3.3300000000000003E-2</v>
      </c>
      <c r="D39">
        <v>3.1199999999999999E-2</v>
      </c>
      <c r="E39">
        <v>3.1699999999999999E-2</v>
      </c>
      <c r="F39">
        <v>1483205692</v>
      </c>
      <c r="G39">
        <v>3.1699999999999999E-2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-0.52380952380952439</v>
      </c>
      <c r="Q39">
        <f t="shared" ref="Q39" si="171">F39*P39</f>
        <v>-776917267.23809612</v>
      </c>
      <c r="R39">
        <f t="shared" ref="R39" si="172">R40+Q39</f>
        <v>-29330339435.430252</v>
      </c>
      <c r="S39">
        <f t="shared" ref="S39" si="173">R39/100000</f>
        <v>-293303.39435430249</v>
      </c>
      <c r="T39">
        <f t="shared" ref="T39" si="174">S39/1000</f>
        <v>-293.3033943543025</v>
      </c>
    </row>
    <row r="40" spans="1:20" x14ac:dyDescent="0.25">
      <c r="A40" s="5">
        <v>44553</v>
      </c>
      <c r="B40">
        <v>3.0700000000000002E-2</v>
      </c>
      <c r="C40">
        <v>3.2599999999999997E-2</v>
      </c>
      <c r="D40">
        <v>2.98E-2</v>
      </c>
      <c r="E40">
        <v>3.1899999999999998E-2</v>
      </c>
      <c r="F40">
        <v>1319394614</v>
      </c>
      <c r="G40">
        <v>3.1899999999999998E-2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0.5</v>
      </c>
      <c r="Q40">
        <f t="shared" ref="Q40" si="176">F40*P40</f>
        <v>659697307</v>
      </c>
      <c r="R40">
        <f t="shared" ref="R40" si="177">R41+Q40</f>
        <v>-28553422168.192158</v>
      </c>
      <c r="S40">
        <f t="shared" ref="S40" si="178">R40/100000</f>
        <v>-285534.22168192157</v>
      </c>
      <c r="T40">
        <f t="shared" ref="T40" si="179">S40/1000</f>
        <v>-285.53422168192157</v>
      </c>
    </row>
    <row r="41" spans="1:20" x14ac:dyDescent="0.25">
      <c r="A41" s="5">
        <v>44552</v>
      </c>
      <c r="B41">
        <v>3.1099999999999999E-2</v>
      </c>
      <c r="C41">
        <v>3.1699999999999999E-2</v>
      </c>
      <c r="D41">
        <v>2.9899999999999999E-2</v>
      </c>
      <c r="E41">
        <v>3.0700000000000002E-2</v>
      </c>
      <c r="F41">
        <v>1161477048</v>
      </c>
      <c r="G41">
        <v>3.0700000000000002E-2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-0.11111111111110854</v>
      </c>
      <c r="Q41">
        <f t="shared" ref="Q41" si="181">F41*P41</f>
        <v>-129053005.33333035</v>
      </c>
      <c r="R41">
        <f t="shared" ref="R41" si="182">R42+Q41</f>
        <v>-29213119475.192158</v>
      </c>
      <c r="S41">
        <f t="shared" ref="S41" si="183">R41/100000</f>
        <v>-292131.19475192158</v>
      </c>
      <c r="T41">
        <f t="shared" ref="T41" si="184">S41/1000</f>
        <v>-292.13119475192156</v>
      </c>
    </row>
    <row r="42" spans="1:20" x14ac:dyDescent="0.25">
      <c r="A42" s="5">
        <v>44551</v>
      </c>
      <c r="B42">
        <v>3.0099999999999998E-2</v>
      </c>
      <c r="C42">
        <v>3.3500000000000002E-2</v>
      </c>
      <c r="D42">
        <v>2.9600000000000001E-2</v>
      </c>
      <c r="E42">
        <v>3.1099999999999999E-2</v>
      </c>
      <c r="F42">
        <v>1460165886</v>
      </c>
      <c r="G42">
        <v>3.1099999999999999E-2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-0.230769230769232</v>
      </c>
      <c r="Q42">
        <f t="shared" ref="Q42" si="186">F42*P42</f>
        <v>-336961358.30769414</v>
      </c>
      <c r="R42">
        <f t="shared" ref="R42" si="187">R43+Q42</f>
        <v>-29084066469.858826</v>
      </c>
      <c r="S42">
        <f t="shared" ref="S42" si="188">R42/100000</f>
        <v>-290840.66469858825</v>
      </c>
      <c r="T42">
        <f t="shared" ref="T42" si="189">S42/1000</f>
        <v>-290.84066469858823</v>
      </c>
    </row>
    <row r="43" spans="1:20" x14ac:dyDescent="0.25">
      <c r="A43" s="5">
        <v>44550</v>
      </c>
      <c r="B43">
        <v>3.1699999999999999E-2</v>
      </c>
      <c r="C43">
        <v>3.1899999999999998E-2</v>
      </c>
      <c r="D43">
        <v>2.87E-2</v>
      </c>
      <c r="E43">
        <v>0.03</v>
      </c>
      <c r="F43">
        <v>1043353301</v>
      </c>
      <c r="G43">
        <v>0.03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-0.18750000000000006</v>
      </c>
      <c r="Q43">
        <f t="shared" ref="Q43" si="191">F43*P43</f>
        <v>-195628743.93750006</v>
      </c>
      <c r="R43">
        <f t="shared" ref="R43" si="192">R44+Q43</f>
        <v>-28747105111.551132</v>
      </c>
      <c r="S43">
        <f t="shared" ref="S43" si="193">R43/100000</f>
        <v>-287471.05111551133</v>
      </c>
      <c r="T43">
        <f t="shared" ref="T43" si="194">S43/1000</f>
        <v>-287.47105111551133</v>
      </c>
    </row>
    <row r="44" spans="1:20" x14ac:dyDescent="0.25">
      <c r="A44" s="5">
        <v>44549</v>
      </c>
      <c r="B44">
        <v>3.2599999999999997E-2</v>
      </c>
      <c r="C44">
        <v>3.3000000000000002E-2</v>
      </c>
      <c r="D44">
        <v>3.1399999999999997E-2</v>
      </c>
      <c r="E44">
        <v>3.1699999999999999E-2</v>
      </c>
      <c r="F44">
        <v>648706055</v>
      </c>
      <c r="G44">
        <v>3.1699999999999999E-2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-0.62499999999999889</v>
      </c>
      <c r="Q44">
        <f t="shared" ref="Q44" si="196">F44*P44</f>
        <v>-405441284.37499928</v>
      </c>
      <c r="R44">
        <f t="shared" ref="R44" si="197">R45+Q44</f>
        <v>-28551476367.613632</v>
      </c>
      <c r="S44">
        <f t="shared" ref="S44" si="198">R44/100000</f>
        <v>-285514.76367613632</v>
      </c>
      <c r="T44">
        <f t="shared" ref="T44" si="199">S44/1000</f>
        <v>-285.51476367613634</v>
      </c>
    </row>
    <row r="45" spans="1:20" x14ac:dyDescent="0.25">
      <c r="A45" s="5">
        <v>44548</v>
      </c>
      <c r="B45">
        <v>3.2300000000000002E-2</v>
      </c>
      <c r="C45">
        <v>3.3399999999999999E-2</v>
      </c>
      <c r="D45">
        <v>3.1399999999999997E-2</v>
      </c>
      <c r="E45">
        <v>3.2500000000000001E-2</v>
      </c>
      <c r="F45">
        <v>693482183</v>
      </c>
      <c r="G45">
        <v>3.2500000000000001E-2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0.10000000000000278</v>
      </c>
      <c r="Q45">
        <f t="shared" ref="Q45" si="201">F45*P45</f>
        <v>69348218.300001934</v>
      </c>
      <c r="R45">
        <f t="shared" ref="R45" si="202">R46+Q45</f>
        <v>-28146035083.238632</v>
      </c>
      <c r="S45">
        <f t="shared" ref="S45" si="203">R45/100000</f>
        <v>-281460.35083238635</v>
      </c>
      <c r="T45">
        <f t="shared" ref="T45" si="204">S45/1000</f>
        <v>-281.46035083238633</v>
      </c>
    </row>
    <row r="46" spans="1:20" x14ac:dyDescent="0.25">
      <c r="A46" s="5">
        <v>44547</v>
      </c>
      <c r="B46">
        <v>3.3799999999999997E-2</v>
      </c>
      <c r="C46">
        <v>3.4200000000000001E-2</v>
      </c>
      <c r="D46">
        <v>3.1099999999999999E-2</v>
      </c>
      <c r="E46">
        <v>3.2199999999999999E-2</v>
      </c>
      <c r="F46">
        <v>944995267</v>
      </c>
      <c r="G46">
        <v>3.2199999999999999E-2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-0.29032258064516159</v>
      </c>
      <c r="Q46">
        <f t="shared" ref="Q46" si="206">F46*P46</f>
        <v>-274353464.61290354</v>
      </c>
      <c r="R46">
        <f t="shared" ref="R46" si="207">R47+Q46</f>
        <v>-28215383301.538635</v>
      </c>
      <c r="S46">
        <f t="shared" ref="S46" si="208">R46/100000</f>
        <v>-282153.83301538636</v>
      </c>
      <c r="T46">
        <f t="shared" ref="T46" si="209">S46/1000</f>
        <v>-282.15383301538634</v>
      </c>
    </row>
    <row r="47" spans="1:20" x14ac:dyDescent="0.25">
      <c r="A47" s="5">
        <v>44546</v>
      </c>
      <c r="B47">
        <v>3.5000000000000003E-2</v>
      </c>
      <c r="C47">
        <v>3.56E-2</v>
      </c>
      <c r="D47">
        <v>3.3700000000000001E-2</v>
      </c>
      <c r="E47">
        <v>3.3799999999999997E-2</v>
      </c>
      <c r="F47">
        <v>961012572</v>
      </c>
      <c r="G47">
        <v>3.3799999999999997E-2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-0.89473684210526738</v>
      </c>
      <c r="Q47">
        <f t="shared" ref="Q47" si="211">F47*P47</f>
        <v>-859853353.89474094</v>
      </c>
      <c r="R47">
        <f t="shared" ref="R47" si="212">R48+Q47</f>
        <v>-27941029836.925732</v>
      </c>
      <c r="S47">
        <f t="shared" ref="S47" si="213">R47/100000</f>
        <v>-279410.2983692573</v>
      </c>
      <c r="T47">
        <f t="shared" ref="T47" si="214">S47/1000</f>
        <v>-279.4102983692573</v>
      </c>
    </row>
    <row r="48" spans="1:20" x14ac:dyDescent="0.25">
      <c r="A48" s="5">
        <v>44545</v>
      </c>
      <c r="B48">
        <v>3.5499999999999997E-2</v>
      </c>
      <c r="C48">
        <v>3.5999999999999997E-2</v>
      </c>
      <c r="D48">
        <v>3.2099999999999997E-2</v>
      </c>
      <c r="E48">
        <v>3.5000000000000003E-2</v>
      </c>
      <c r="F48">
        <v>1217807610</v>
      </c>
      <c r="G48">
        <v>3.5000000000000003E-2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0.48717948717949039</v>
      </c>
      <c r="Q48">
        <f t="shared" ref="Q48" si="216">F48*P48</f>
        <v>593290886.9230808</v>
      </c>
      <c r="R48">
        <f t="shared" ref="R48" si="217">R49+Q48</f>
        <v>-27081176483.030991</v>
      </c>
      <c r="S48">
        <f t="shared" ref="S48" si="218">R48/100000</f>
        <v>-270811.7648303099</v>
      </c>
      <c r="T48">
        <f t="shared" ref="T48" si="219">S48/1000</f>
        <v>-270.81176483030993</v>
      </c>
    </row>
    <row r="49" spans="1:20" x14ac:dyDescent="0.25">
      <c r="A49" s="5">
        <v>44544</v>
      </c>
      <c r="B49">
        <v>3.4200000000000001E-2</v>
      </c>
      <c r="C49">
        <v>3.5900000000000001E-2</v>
      </c>
      <c r="D49">
        <v>3.2800000000000003E-2</v>
      </c>
      <c r="E49">
        <v>3.5499999999999997E-2</v>
      </c>
      <c r="F49">
        <v>1123167314</v>
      </c>
      <c r="G49">
        <v>3.5499999999999997E-2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0.74193548387096475</v>
      </c>
      <c r="Q49">
        <f t="shared" ref="Q49" si="221">F49*P49</f>
        <v>833317684.58064175</v>
      </c>
      <c r="R49">
        <f t="shared" ref="R49" si="222">R50+Q49</f>
        <v>-27674467369.954071</v>
      </c>
      <c r="S49">
        <f t="shared" ref="S49" si="223">R49/100000</f>
        <v>-276744.67369954073</v>
      </c>
      <c r="T49">
        <f t="shared" ref="T49" si="224">S49/1000</f>
        <v>-276.74467369954073</v>
      </c>
    </row>
    <row r="50" spans="1:20" x14ac:dyDescent="0.25">
      <c r="A50" s="5">
        <v>44543</v>
      </c>
      <c r="B50">
        <v>3.8199999999999998E-2</v>
      </c>
      <c r="C50">
        <v>3.8399999999999997E-2</v>
      </c>
      <c r="D50">
        <v>3.32E-2</v>
      </c>
      <c r="E50">
        <v>3.4200000000000001E-2</v>
      </c>
      <c r="F50">
        <v>918997248</v>
      </c>
      <c r="G50">
        <v>3.4200000000000001E-2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-0.61538461538461475</v>
      </c>
      <c r="Q50">
        <f t="shared" ref="Q50" si="226">F50*P50</f>
        <v>-565536767.9999994</v>
      </c>
      <c r="R50">
        <f t="shared" ref="R50" si="227">R51+Q50</f>
        <v>-28507785054.534714</v>
      </c>
      <c r="S50">
        <f t="shared" ref="S50" si="228">R50/100000</f>
        <v>-285077.85054534714</v>
      </c>
      <c r="T50">
        <f t="shared" ref="T50" si="229">S50/1000</f>
        <v>-285.07785054534713</v>
      </c>
    </row>
    <row r="51" spans="1:20" x14ac:dyDescent="0.25">
      <c r="A51" s="5">
        <v>44542</v>
      </c>
      <c r="B51">
        <v>3.8800000000000001E-2</v>
      </c>
      <c r="C51">
        <v>3.9E-2</v>
      </c>
      <c r="D51">
        <v>3.7199999999999997E-2</v>
      </c>
      <c r="E51">
        <v>3.8199999999999998E-2</v>
      </c>
      <c r="F51">
        <v>746712349</v>
      </c>
      <c r="G51">
        <v>3.8199999999999998E-2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0.11111111111111026</v>
      </c>
      <c r="Q51">
        <f t="shared" ref="Q51" si="231">F51*P51</f>
        <v>82968038.777777135</v>
      </c>
      <c r="R51">
        <f t="shared" ref="R51" si="232">R52+Q51</f>
        <v>-27942248286.534714</v>
      </c>
      <c r="S51">
        <f t="shared" ref="S51" si="233">R51/100000</f>
        <v>-279422.48286534712</v>
      </c>
      <c r="T51">
        <f t="shared" ref="T51" si="234">S51/1000</f>
        <v>-279.42248286534709</v>
      </c>
    </row>
    <row r="52" spans="1:20" x14ac:dyDescent="0.25">
      <c r="A52" s="5">
        <v>44541</v>
      </c>
      <c r="B52">
        <v>3.6499999999999998E-2</v>
      </c>
      <c r="C52">
        <v>3.6900000000000002E-2</v>
      </c>
      <c r="D52">
        <v>3.5700000000000003E-2</v>
      </c>
      <c r="E52">
        <v>3.6600000000000001E-2</v>
      </c>
      <c r="F52">
        <v>70726926</v>
      </c>
      <c r="G52">
        <v>3.6600000000000001E-2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0.49999999999999711</v>
      </c>
      <c r="Q52">
        <f t="shared" ref="Q52" si="236">F52*P52</f>
        <v>35363462.999999799</v>
      </c>
      <c r="R52">
        <f t="shared" ref="R52" si="237">R53+Q52</f>
        <v>-28025216325.312492</v>
      </c>
      <c r="S52">
        <f t="shared" ref="S52" si="238">R52/100000</f>
        <v>-280252.16325312492</v>
      </c>
      <c r="T52">
        <f t="shared" ref="T52" si="239">S52/1000</f>
        <v>-280.25216325312493</v>
      </c>
    </row>
    <row r="53" spans="1:20" x14ac:dyDescent="0.25">
      <c r="A53" s="5">
        <v>44540</v>
      </c>
      <c r="B53">
        <v>3.9199999999999999E-2</v>
      </c>
      <c r="C53">
        <v>4.0399999999999998E-2</v>
      </c>
      <c r="D53">
        <v>3.6200000000000003E-2</v>
      </c>
      <c r="E53">
        <v>3.6400000000000002E-2</v>
      </c>
      <c r="F53">
        <v>1100943333</v>
      </c>
      <c r="G53">
        <v>3.6400000000000002E-2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-0.90476190476190521</v>
      </c>
      <c r="Q53">
        <f t="shared" ref="Q53" si="241">F53*P53</f>
        <v>-996091587.00000048</v>
      </c>
      <c r="R53">
        <f t="shared" ref="R53" si="242">R54+Q53</f>
        <v>-28060579788.312492</v>
      </c>
      <c r="S53">
        <f t="shared" ref="S53" si="243">R53/100000</f>
        <v>-280605.79788312491</v>
      </c>
      <c r="T53">
        <f t="shared" ref="T53" si="244">S53/1000</f>
        <v>-280.60579788312492</v>
      </c>
    </row>
    <row r="54" spans="1:20" x14ac:dyDescent="0.25">
      <c r="A54" s="5">
        <v>44539</v>
      </c>
      <c r="B54">
        <v>4.5699999999999998E-2</v>
      </c>
      <c r="C54">
        <v>4.65E-2</v>
      </c>
      <c r="D54">
        <v>3.85E-2</v>
      </c>
      <c r="E54">
        <v>3.9199999999999999E-2</v>
      </c>
      <c r="F54">
        <v>1501152002</v>
      </c>
      <c r="G54">
        <v>3.9199999999999999E-2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-0.82500000000000018</v>
      </c>
      <c r="Q54">
        <f t="shared" ref="Q54" si="246">F54*P54</f>
        <v>-1238450401.6500003</v>
      </c>
      <c r="R54">
        <f t="shared" ref="R54" si="247">R55+Q54</f>
        <v>-27064488201.312492</v>
      </c>
      <c r="S54">
        <f t="shared" ref="S54" si="248">R54/100000</f>
        <v>-270644.88201312494</v>
      </c>
      <c r="T54">
        <f t="shared" ref="T54" si="249">S54/1000</f>
        <v>-270.64488201312491</v>
      </c>
    </row>
    <row r="55" spans="1:20" x14ac:dyDescent="0.25">
      <c r="A55" s="5">
        <v>44538</v>
      </c>
      <c r="B55">
        <v>3.9800000000000002E-2</v>
      </c>
      <c r="C55">
        <v>5.4399999999999997E-2</v>
      </c>
      <c r="D55">
        <v>3.9399999999999998E-2</v>
      </c>
      <c r="E55">
        <v>4.58E-2</v>
      </c>
      <c r="F55">
        <v>4725096760</v>
      </c>
      <c r="G55">
        <v>4.58E-2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-0.14666666666666625</v>
      </c>
      <c r="Q55">
        <f t="shared" ref="Q55" si="251">F55*P55</f>
        <v>-693014191.46666467</v>
      </c>
      <c r="R55">
        <f t="shared" ref="R55" si="252">R56+Q55</f>
        <v>-25826037799.662491</v>
      </c>
      <c r="S55">
        <f t="shared" ref="S55" si="253">R55/100000</f>
        <v>-258260.37799662491</v>
      </c>
      <c r="T55">
        <f t="shared" ref="T55" si="254">S55/1000</f>
        <v>-258.26037799662492</v>
      </c>
    </row>
    <row r="56" spans="1:20" x14ac:dyDescent="0.25">
      <c r="A56" s="5">
        <v>44537</v>
      </c>
      <c r="B56">
        <v>3.9399999999999998E-2</v>
      </c>
      <c r="C56">
        <v>4.1500000000000002E-2</v>
      </c>
      <c r="D56">
        <v>3.8399999999999997E-2</v>
      </c>
      <c r="E56">
        <v>3.9800000000000002E-2</v>
      </c>
      <c r="F56">
        <v>1381652748</v>
      </c>
      <c r="G56">
        <v>3.9800000000000002E-2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-9.6774193548385221E-2</v>
      </c>
      <c r="Q56">
        <f t="shared" ref="Q56" si="256">F56*P56</f>
        <v>-133708330.45161031</v>
      </c>
      <c r="R56">
        <f t="shared" ref="R56" si="257">R57+Q56</f>
        <v>-25133023608.195827</v>
      </c>
      <c r="S56">
        <f t="shared" ref="S56" si="258">R56/100000</f>
        <v>-251330.23608195828</v>
      </c>
      <c r="T56">
        <f t="shared" ref="T56" si="259">S56/1000</f>
        <v>-251.33023608195828</v>
      </c>
    </row>
    <row r="57" spans="1:20" x14ac:dyDescent="0.25">
      <c r="A57" s="5">
        <v>44536</v>
      </c>
      <c r="B57">
        <v>3.9300000000000002E-2</v>
      </c>
      <c r="C57">
        <v>3.9600000000000003E-2</v>
      </c>
      <c r="D57">
        <v>3.4500000000000003E-2</v>
      </c>
      <c r="E57">
        <v>3.9399999999999998E-2</v>
      </c>
      <c r="F57">
        <v>1539472901</v>
      </c>
      <c r="G57">
        <v>3.9399999999999998E-2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0.92156862745097812</v>
      </c>
      <c r="Q57">
        <f t="shared" ref="Q57" si="261">F57*P57</f>
        <v>1418729928.3725455</v>
      </c>
      <c r="R57">
        <f t="shared" ref="R57" si="262">R58+Q57</f>
        <v>-24999315277.744217</v>
      </c>
      <c r="S57">
        <f t="shared" ref="S57" si="263">R57/100000</f>
        <v>-249993.15277744216</v>
      </c>
      <c r="T57">
        <f t="shared" ref="T57" si="264">S57/1000</f>
        <v>-249.99315277744216</v>
      </c>
    </row>
    <row r="58" spans="1:20" x14ac:dyDescent="0.25">
      <c r="A58" s="5">
        <v>44535</v>
      </c>
      <c r="B58">
        <v>4.1500000000000002E-2</v>
      </c>
      <c r="C58">
        <v>4.2999999999999997E-2</v>
      </c>
      <c r="D58">
        <v>3.73E-2</v>
      </c>
      <c r="E58">
        <v>3.9300000000000002E-2</v>
      </c>
      <c r="F58">
        <v>1428333492</v>
      </c>
      <c r="G58">
        <v>3.9300000000000002E-2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-0.2982456140350867</v>
      </c>
      <c r="Q58">
        <f t="shared" ref="Q58" si="266">F58*P58</f>
        <v>-425994199.36841959</v>
      </c>
      <c r="R58">
        <f t="shared" ref="R58" si="267">R59+Q58</f>
        <v>-26418045206.116764</v>
      </c>
      <c r="S58">
        <f t="shared" ref="S58" si="268">R58/100000</f>
        <v>-264180.45206116763</v>
      </c>
      <c r="T58">
        <f t="shared" ref="T58" si="269">S58/1000</f>
        <v>-264.18045206116761</v>
      </c>
    </row>
    <row r="59" spans="1:20" x14ac:dyDescent="0.25">
      <c r="A59" s="5">
        <v>44534</v>
      </c>
      <c r="B59">
        <v>5.0500000000000003E-2</v>
      </c>
      <c r="C59">
        <v>5.0500000000000003E-2</v>
      </c>
      <c r="D59">
        <v>3.3799999999999997E-2</v>
      </c>
      <c r="E59">
        <v>4.1399999999999999E-2</v>
      </c>
      <c r="F59">
        <v>2028934825</v>
      </c>
      <c r="G59">
        <v>4.1399999999999999E-2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-8.9820359281437168E-2</v>
      </c>
      <c r="Q59">
        <f t="shared" ref="Q59" si="271">F59*P59</f>
        <v>-182239654.94011983</v>
      </c>
      <c r="R59">
        <f t="shared" ref="R59" si="272">R60+Q59</f>
        <v>-25992051006.748344</v>
      </c>
      <c r="S59">
        <f t="shared" ref="S59" si="273">R59/100000</f>
        <v>-259920.51006748344</v>
      </c>
      <c r="T59">
        <f t="shared" ref="T59" si="274">S59/1000</f>
        <v>-259.92051006748346</v>
      </c>
    </row>
    <row r="60" spans="1:20" x14ac:dyDescent="0.25">
      <c r="A60" s="5">
        <v>44533</v>
      </c>
      <c r="B60">
        <v>5.4899999999999997E-2</v>
      </c>
      <c r="C60">
        <v>5.6599999999999998E-2</v>
      </c>
      <c r="D60">
        <v>4.8399999999999999E-2</v>
      </c>
      <c r="E60">
        <v>5.0500000000000003E-2</v>
      </c>
      <c r="F60">
        <v>1627677479</v>
      </c>
      <c r="G60">
        <v>5.0500000000000003E-2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-0.48780487804877931</v>
      </c>
      <c r="Q60">
        <f t="shared" ref="Q60" si="276">F60*P60</f>
        <v>-793989014.14633954</v>
      </c>
      <c r="R60">
        <f t="shared" ref="R60" si="277">R61+Q60</f>
        <v>-25809811351.808224</v>
      </c>
      <c r="S60">
        <f t="shared" ref="S60" si="278">R60/100000</f>
        <v>-258098.11351808225</v>
      </c>
      <c r="T60">
        <f t="shared" ref="T60" si="279">S60/1000</f>
        <v>-258.09811351808224</v>
      </c>
    </row>
    <row r="61" spans="1:20" x14ac:dyDescent="0.25">
      <c r="A61" s="5">
        <v>44532</v>
      </c>
      <c r="B61">
        <v>5.6899999999999999E-2</v>
      </c>
      <c r="C61">
        <v>5.7000000000000002E-2</v>
      </c>
      <c r="D61">
        <v>5.3600000000000002E-2</v>
      </c>
      <c r="E61">
        <v>5.4899999999999997E-2</v>
      </c>
      <c r="F61">
        <v>1303682990</v>
      </c>
      <c r="G61">
        <v>5.4899999999999997E-2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-0.23529411764706146</v>
      </c>
      <c r="Q61">
        <f t="shared" ref="Q61" si="281">F61*P61</f>
        <v>-306748938.82353282</v>
      </c>
      <c r="R61">
        <f t="shared" ref="R61" si="282">R62+Q61</f>
        <v>-25015822337.661884</v>
      </c>
      <c r="S61">
        <f t="shared" ref="S61" si="283">R61/100000</f>
        <v>-250158.22337661884</v>
      </c>
      <c r="T61">
        <f t="shared" ref="T61" si="284">S61/1000</f>
        <v>-250.15822337661885</v>
      </c>
    </row>
    <row r="62" spans="1:20" x14ac:dyDescent="0.25">
      <c r="A62" s="5">
        <v>44531</v>
      </c>
      <c r="B62">
        <v>5.8299999999999998E-2</v>
      </c>
      <c r="C62">
        <v>5.96E-2</v>
      </c>
      <c r="D62">
        <v>5.62E-2</v>
      </c>
      <c r="E62">
        <v>5.6800000000000003E-2</v>
      </c>
      <c r="F62">
        <v>1069137638</v>
      </c>
      <c r="G62">
        <v>5.6800000000000003E-2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-0.6470588235294098</v>
      </c>
      <c r="Q62">
        <f t="shared" ref="Q62" si="286">F62*P62</f>
        <v>-691794942.23529196</v>
      </c>
      <c r="R62">
        <f t="shared" ref="R62" si="287">R63+Q62</f>
        <v>-24709073398.838352</v>
      </c>
      <c r="S62">
        <f t="shared" ref="S62" si="288">R62/100000</f>
        <v>-247090.73398838352</v>
      </c>
      <c r="T62">
        <f t="shared" ref="T62" si="289">S62/1000</f>
        <v>-247.09073398838353</v>
      </c>
    </row>
    <row r="63" spans="1:20" x14ac:dyDescent="0.25">
      <c r="A63" s="5">
        <v>44530</v>
      </c>
      <c r="B63">
        <v>5.8700000000000002E-2</v>
      </c>
      <c r="C63">
        <v>6.0299999999999999E-2</v>
      </c>
      <c r="D63">
        <v>5.6500000000000002E-2</v>
      </c>
      <c r="E63">
        <v>5.8200000000000002E-2</v>
      </c>
      <c r="F63">
        <v>1330521107</v>
      </c>
      <c r="G63">
        <v>5.8200000000000002E-2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-0.10526315789473627</v>
      </c>
      <c r="Q63">
        <f t="shared" ref="Q63" si="291">F63*P63</f>
        <v>-140054853.36842027</v>
      </c>
      <c r="R63">
        <f t="shared" ref="R63" si="292">R64+Q63</f>
        <v>-24017278456.603062</v>
      </c>
      <c r="S63">
        <f t="shared" ref="S63" si="293">R63/100000</f>
        <v>-240172.7845660306</v>
      </c>
      <c r="T63">
        <f t="shared" ref="T63" si="294">S63/1000</f>
        <v>-240.1727845660306</v>
      </c>
    </row>
    <row r="64" spans="1:20" x14ac:dyDescent="0.25">
      <c r="A64" s="5">
        <v>44529</v>
      </c>
      <c r="B64">
        <v>5.9200000000000003E-2</v>
      </c>
      <c r="C64">
        <v>6.1499999999999999E-2</v>
      </c>
      <c r="D64">
        <v>5.7599999999999998E-2</v>
      </c>
      <c r="E64">
        <v>5.8700000000000002E-2</v>
      </c>
      <c r="F64">
        <v>1040737530</v>
      </c>
      <c r="G64">
        <v>5.8700000000000002E-2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-0.43589743589743407</v>
      </c>
      <c r="Q64">
        <f t="shared" ref="Q64" si="296">F64*P64</f>
        <v>-453654820.76922888</v>
      </c>
      <c r="R64">
        <f t="shared" ref="R64" si="297">R65+Q64</f>
        <v>-23877223603.234642</v>
      </c>
      <c r="S64">
        <f t="shared" ref="S64" si="298">R64/100000</f>
        <v>-238772.23603234641</v>
      </c>
      <c r="T64">
        <f t="shared" ref="T64" si="299">S64/1000</f>
        <v>-238.7722360323464</v>
      </c>
    </row>
    <row r="65" spans="1:20" x14ac:dyDescent="0.25">
      <c r="A65" s="5">
        <v>44528</v>
      </c>
      <c r="B65">
        <v>5.91E-2</v>
      </c>
      <c r="C65">
        <v>5.9700000000000003E-2</v>
      </c>
      <c r="D65">
        <v>5.4100000000000002E-2</v>
      </c>
      <c r="E65">
        <v>5.9200000000000003E-2</v>
      </c>
      <c r="F65">
        <v>1072519956</v>
      </c>
      <c r="G65">
        <v>5.9200000000000003E-2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0.82142857142857129</v>
      </c>
      <c r="Q65">
        <f t="shared" ref="Q65" si="301">F65*P65</f>
        <v>880998535.28571415</v>
      </c>
      <c r="R65">
        <f t="shared" ref="R65" si="302">R66+Q65</f>
        <v>-23423568782.465412</v>
      </c>
      <c r="S65">
        <f t="shared" ref="S65" si="303">R65/100000</f>
        <v>-234235.68782465413</v>
      </c>
      <c r="T65">
        <f t="shared" ref="T65" si="304">S65/1000</f>
        <v>-234.23568782465412</v>
      </c>
    </row>
    <row r="66" spans="1:20" x14ac:dyDescent="0.25">
      <c r="A66" s="5">
        <v>44527</v>
      </c>
      <c r="B66">
        <v>5.8999999999999997E-2</v>
      </c>
      <c r="C66">
        <v>6.0400000000000002E-2</v>
      </c>
      <c r="D66">
        <v>5.79E-2</v>
      </c>
      <c r="E66">
        <v>5.91E-2</v>
      </c>
      <c r="F66">
        <v>871233133</v>
      </c>
      <c r="G66">
        <v>5.91E-2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-4.0000000000001111E-2</v>
      </c>
      <c r="Q66">
        <f t="shared" ref="Q66" si="306">F66*P66</f>
        <v>-34849325.320000969</v>
      </c>
      <c r="R66">
        <f t="shared" ref="R66" si="307">R67+Q66</f>
        <v>-24304567317.751125</v>
      </c>
      <c r="S66">
        <f t="shared" ref="S66" si="308">R66/100000</f>
        <v>-243045.67317751126</v>
      </c>
      <c r="T66">
        <f t="shared" ref="T66" si="309">S66/1000</f>
        <v>-243.04567317751125</v>
      </c>
    </row>
    <row r="67" spans="1:20" x14ac:dyDescent="0.25">
      <c r="A67" s="5">
        <v>44526</v>
      </c>
      <c r="B67">
        <v>6.5699999999999995E-2</v>
      </c>
      <c r="C67">
        <v>6.6100000000000006E-2</v>
      </c>
      <c r="D67">
        <v>5.7299999999999997E-2</v>
      </c>
      <c r="E67">
        <v>5.8900000000000001E-2</v>
      </c>
      <c r="F67">
        <v>1792548612</v>
      </c>
      <c r="G67">
        <v>5.8900000000000001E-2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-0.6363636363636358</v>
      </c>
      <c r="Q67">
        <f t="shared" ref="Q67" si="311">F67*P67</f>
        <v>-1140712753.0909081</v>
      </c>
      <c r="R67">
        <f t="shared" ref="R67" si="312">R68+Q67</f>
        <v>-24269717992.431126</v>
      </c>
      <c r="S67">
        <f t="shared" ref="S67" si="313">R67/100000</f>
        <v>-242697.17992431126</v>
      </c>
      <c r="T67">
        <f t="shared" ref="T67" si="314">S67/1000</f>
        <v>-242.69717992431126</v>
      </c>
    </row>
    <row r="68" spans="1:20" x14ac:dyDescent="0.25">
      <c r="A68" s="5">
        <v>44525</v>
      </c>
      <c r="B68">
        <v>6.3E-2</v>
      </c>
      <c r="C68">
        <v>6.9000000000000006E-2</v>
      </c>
      <c r="D68">
        <v>6.2199999999999998E-2</v>
      </c>
      <c r="E68">
        <v>6.5799999999999997E-2</v>
      </c>
      <c r="F68">
        <v>1992155340</v>
      </c>
      <c r="G68">
        <v>6.5799999999999997E-2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5.8823529411763269E-2</v>
      </c>
      <c r="Q68">
        <f t="shared" ref="Q68" si="316">F68*P68</f>
        <v>117185608.23529126</v>
      </c>
      <c r="R68">
        <f t="shared" ref="R68" si="317">R69+Q68</f>
        <v>-23129005239.340218</v>
      </c>
      <c r="S68">
        <f t="shared" ref="S68" si="318">R68/100000</f>
        <v>-231290.05239340218</v>
      </c>
      <c r="T68">
        <f t="shared" ref="T68" si="319">S68/1000</f>
        <v>-231.29005239340216</v>
      </c>
    </row>
    <row r="69" spans="1:20" x14ac:dyDescent="0.25">
      <c r="A69" s="5">
        <v>44524</v>
      </c>
      <c r="B69">
        <v>6.5000000000000002E-2</v>
      </c>
      <c r="C69">
        <v>6.6100000000000006E-2</v>
      </c>
      <c r="D69">
        <v>6.3299999999999995E-2</v>
      </c>
      <c r="E69">
        <v>6.4299999999999996E-2</v>
      </c>
      <c r="F69">
        <v>380415012</v>
      </c>
      <c r="G69">
        <v>6.4299999999999996E-2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-0.28571428571428786</v>
      </c>
      <c r="Q69">
        <f t="shared" ref="Q69" si="321">F69*P69</f>
        <v>-108690003.42857225</v>
      </c>
      <c r="R69">
        <f t="shared" ref="R69" si="322">R70+Q69</f>
        <v>-23246190847.575508</v>
      </c>
      <c r="S69">
        <f t="shared" ref="S69" si="323">R69/100000</f>
        <v>-232461.90847575507</v>
      </c>
      <c r="T69">
        <f t="shared" ref="T69" si="324">S69/1000</f>
        <v>-232.46190847575508</v>
      </c>
    </row>
    <row r="70" spans="1:20" x14ac:dyDescent="0.25">
      <c r="A70" s="5">
        <v>44523</v>
      </c>
      <c r="B70">
        <v>6.3399999999999998E-2</v>
      </c>
      <c r="C70">
        <v>6.6100000000000006E-2</v>
      </c>
      <c r="D70">
        <v>6.3100000000000003E-2</v>
      </c>
      <c r="E70">
        <v>6.5000000000000002E-2</v>
      </c>
      <c r="F70">
        <v>1240305462</v>
      </c>
      <c r="G70">
        <v>6.5000000000000002E-2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0.26666666666666483</v>
      </c>
      <c r="Q70">
        <f t="shared" ref="Q70" si="326">F70*P70</f>
        <v>330748123.19999772</v>
      </c>
      <c r="R70">
        <f t="shared" ref="R70" si="327">R71+Q70</f>
        <v>-23137500844.146935</v>
      </c>
      <c r="S70">
        <f t="shared" ref="S70" si="328">R70/100000</f>
        <v>-231375.00844146934</v>
      </c>
      <c r="T70">
        <f t="shared" ref="T70" si="329">S70/1000</f>
        <v>-231.37500844146933</v>
      </c>
    </row>
    <row r="71" spans="1:20" x14ac:dyDescent="0.25">
      <c r="A71" s="5">
        <v>44522</v>
      </c>
      <c r="B71">
        <v>6.6299999999999998E-2</v>
      </c>
      <c r="C71">
        <v>6.7000000000000004E-2</v>
      </c>
      <c r="D71">
        <v>6.1800000000000001E-2</v>
      </c>
      <c r="E71">
        <v>6.3500000000000001E-2</v>
      </c>
      <c r="F71">
        <v>1735529817</v>
      </c>
      <c r="G71">
        <v>6.3500000000000001E-2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-0.34615384615384653</v>
      </c>
      <c r="Q71">
        <f t="shared" ref="Q71" si="331">F71*P71</f>
        <v>-600760321.26923144</v>
      </c>
      <c r="R71">
        <f t="shared" ref="R71" si="332">R72+Q71</f>
        <v>-23468248967.346931</v>
      </c>
      <c r="S71">
        <f t="shared" ref="S71" si="333">R71/100000</f>
        <v>-234682.4896734693</v>
      </c>
      <c r="T71">
        <f t="shared" ref="T71" si="334">S71/1000</f>
        <v>-234.68248967346929</v>
      </c>
    </row>
    <row r="72" spans="1:20" x14ac:dyDescent="0.25">
      <c r="A72" s="5">
        <v>44521</v>
      </c>
      <c r="B72">
        <v>6.7000000000000004E-2</v>
      </c>
      <c r="C72">
        <v>7.2900000000000006E-2</v>
      </c>
      <c r="D72">
        <v>6.4000000000000001E-2</v>
      </c>
      <c r="E72">
        <v>6.6199999999999995E-2</v>
      </c>
      <c r="F72">
        <v>2654558813</v>
      </c>
      <c r="G72">
        <v>6.6199999999999995E-2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-0.50561797752809157</v>
      </c>
      <c r="Q72">
        <f t="shared" ref="Q72" si="336">F72*P72</f>
        <v>-1342192658.2584314</v>
      </c>
      <c r="R72">
        <f t="shared" ref="R72" si="337">R73+Q72</f>
        <v>-22867488646.077702</v>
      </c>
      <c r="S72">
        <f t="shared" ref="S72" si="338">R72/100000</f>
        <v>-228674.88646077702</v>
      </c>
      <c r="T72">
        <f t="shared" ref="T72" si="339">S72/1000</f>
        <v>-228.67488646077703</v>
      </c>
    </row>
    <row r="73" spans="1:20" x14ac:dyDescent="0.25">
      <c r="A73" s="5">
        <v>44520</v>
      </c>
      <c r="B73">
        <v>6.6199999999999995E-2</v>
      </c>
      <c r="C73">
        <v>6.7500000000000004E-2</v>
      </c>
      <c r="D73">
        <v>6.3E-2</v>
      </c>
      <c r="E73">
        <v>6.6900000000000001E-2</v>
      </c>
      <c r="F73">
        <v>1368294306</v>
      </c>
      <c r="G73">
        <v>6.6900000000000001E-2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0.73333333333333206</v>
      </c>
      <c r="Q73">
        <f t="shared" ref="Q73" si="341">F73*P73</f>
        <v>1003415824.3999983</v>
      </c>
      <c r="R73">
        <f t="shared" ref="R73" si="342">R74+Q73</f>
        <v>-21525295987.819271</v>
      </c>
      <c r="S73">
        <f t="shared" ref="S73" si="343">R73/100000</f>
        <v>-215252.95987819272</v>
      </c>
      <c r="T73">
        <f t="shared" ref="T73" si="344">S73/1000</f>
        <v>-215.25295987819271</v>
      </c>
    </row>
    <row r="74" spans="1:20" x14ac:dyDescent="0.25">
      <c r="A74" s="5">
        <v>44519</v>
      </c>
      <c r="B74">
        <v>6.1100000000000002E-2</v>
      </c>
      <c r="C74">
        <v>6.6299999999999998E-2</v>
      </c>
      <c r="D74">
        <v>6.0699999999999997E-2</v>
      </c>
      <c r="E74">
        <v>6.6199999999999995E-2</v>
      </c>
      <c r="F74">
        <v>1119565077</v>
      </c>
      <c r="G74">
        <v>6.6199999999999995E-2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0.9642857142857133</v>
      </c>
      <c r="Q74">
        <f t="shared" ref="Q74" si="346">F74*P74</f>
        <v>1079580609.9642847</v>
      </c>
      <c r="R74">
        <f t="shared" ref="R74" si="347">R75+Q74</f>
        <v>-22528711812.219269</v>
      </c>
      <c r="S74">
        <f t="shared" ref="S74" si="348">R74/100000</f>
        <v>-225287.11812219268</v>
      </c>
      <c r="T74">
        <f t="shared" ref="T74" si="349">S74/1000</f>
        <v>-225.28711812219268</v>
      </c>
    </row>
    <row r="75" spans="1:20" x14ac:dyDescent="0.25">
      <c r="A75" s="5">
        <v>44518</v>
      </c>
      <c r="B75">
        <v>6.8599999999999994E-2</v>
      </c>
      <c r="C75">
        <v>6.93E-2</v>
      </c>
      <c r="D75">
        <v>6.0100000000000001E-2</v>
      </c>
      <c r="E75">
        <v>6.1100000000000002E-2</v>
      </c>
      <c r="F75">
        <v>1459033364</v>
      </c>
      <c r="G75">
        <v>6.1100000000000002E-2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-0.78260869565217372</v>
      </c>
      <c r="Q75">
        <f t="shared" ref="Q75" si="351">F75*P75</f>
        <v>-1141852197.9130433</v>
      </c>
      <c r="R75">
        <f t="shared" ref="R75" si="352">R76+Q75</f>
        <v>-23608292422.183552</v>
      </c>
      <c r="S75">
        <f t="shared" ref="S75" si="353">R75/100000</f>
        <v>-236082.92422183551</v>
      </c>
      <c r="T75">
        <f t="shared" ref="T75" si="354">S75/1000</f>
        <v>-236.0829242218355</v>
      </c>
    </row>
    <row r="76" spans="1:20" x14ac:dyDescent="0.25">
      <c r="A76" s="5">
        <v>44517</v>
      </c>
      <c r="B76">
        <v>6.5299999999999997E-2</v>
      </c>
      <c r="C76">
        <v>6.9500000000000006E-2</v>
      </c>
      <c r="D76">
        <v>6.2399999999999997E-2</v>
      </c>
      <c r="E76">
        <v>6.8599999999999994E-2</v>
      </c>
      <c r="F76">
        <v>1317801164</v>
      </c>
      <c r="G76">
        <v>6.8599999999999994E-2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0.74647887323943363</v>
      </c>
      <c r="Q76">
        <f t="shared" ref="Q76" si="356">F76*P76</f>
        <v>983710728.05633414</v>
      </c>
      <c r="R76">
        <f t="shared" ref="R76" si="357">R77+Q76</f>
        <v>-22466440224.270508</v>
      </c>
      <c r="S76">
        <f t="shared" ref="S76" si="358">R76/100000</f>
        <v>-224664.40224270508</v>
      </c>
      <c r="T76">
        <f t="shared" ref="T76" si="359">S76/1000</f>
        <v>-224.66440224270508</v>
      </c>
    </row>
    <row r="77" spans="1:20" x14ac:dyDescent="0.25">
      <c r="A77" s="5">
        <v>44516</v>
      </c>
      <c r="B77">
        <v>7.0900000000000005E-2</v>
      </c>
      <c r="C77">
        <v>7.0999999999999994E-2</v>
      </c>
      <c r="D77">
        <v>6.3E-2</v>
      </c>
      <c r="E77">
        <v>6.5299999999999997E-2</v>
      </c>
      <c r="F77">
        <v>1897172682</v>
      </c>
      <c r="G77">
        <v>6.5299999999999997E-2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-0.42500000000000038</v>
      </c>
      <c r="Q77">
        <f t="shared" ref="Q77" si="361">F77*P77</f>
        <v>-806298389.85000074</v>
      </c>
      <c r="R77">
        <f t="shared" ref="R77" si="362">R78+Q77</f>
        <v>-23450150952.326843</v>
      </c>
      <c r="S77">
        <f t="shared" ref="S77" si="363">R77/100000</f>
        <v>-234501.50952326844</v>
      </c>
      <c r="T77">
        <f t="shared" ref="T77" si="364">S77/1000</f>
        <v>-234.50150952326845</v>
      </c>
    </row>
    <row r="78" spans="1:20" x14ac:dyDescent="0.25">
      <c r="A78" s="5">
        <v>44515</v>
      </c>
      <c r="B78">
        <v>7.0599999999999996E-2</v>
      </c>
      <c r="C78">
        <v>7.8399999999999997E-2</v>
      </c>
      <c r="D78">
        <v>7.0400000000000004E-2</v>
      </c>
      <c r="E78">
        <v>7.0900000000000005E-2</v>
      </c>
      <c r="F78">
        <v>2243523141</v>
      </c>
      <c r="G78">
        <v>7.0900000000000005E-2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-0.87499999999999978</v>
      </c>
      <c r="Q78">
        <f t="shared" ref="Q78" si="366">F78*P78</f>
        <v>-1963082748.3749995</v>
      </c>
      <c r="R78">
        <f t="shared" ref="R78" si="367">R79+Q78</f>
        <v>-22643852562.476841</v>
      </c>
      <c r="S78">
        <f t="shared" ref="S78" si="368">R78/100000</f>
        <v>-226438.5256247684</v>
      </c>
      <c r="T78">
        <f t="shared" ref="T78" si="369">S78/1000</f>
        <v>-226.4385256247684</v>
      </c>
    </row>
    <row r="79" spans="1:20" x14ac:dyDescent="0.25">
      <c r="A79" s="5">
        <v>44514</v>
      </c>
      <c r="B79">
        <v>7.1599999999999997E-2</v>
      </c>
      <c r="C79">
        <v>7.2099999999999997E-2</v>
      </c>
      <c r="D79">
        <v>6.9500000000000006E-2</v>
      </c>
      <c r="E79">
        <v>7.0599999999999996E-2</v>
      </c>
      <c r="F79">
        <v>780056862</v>
      </c>
      <c r="G79">
        <v>7.0599999999999996E-2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-0.15384615384615877</v>
      </c>
      <c r="Q79">
        <f t="shared" ref="Q79" si="371">F79*P79</f>
        <v>-120008748.00000384</v>
      </c>
      <c r="R79">
        <f t="shared" ref="R79" si="372">R80+Q79</f>
        <v>-20680769814.101841</v>
      </c>
      <c r="S79">
        <f t="shared" ref="S79" si="373">R79/100000</f>
        <v>-206807.69814101842</v>
      </c>
      <c r="T79">
        <f t="shared" ref="T79" si="374">S79/1000</f>
        <v>-206.80769814101842</v>
      </c>
    </row>
    <row r="80" spans="1:20" x14ac:dyDescent="0.25">
      <c r="A80" s="5">
        <v>44513</v>
      </c>
      <c r="B80">
        <v>7.1400000000000005E-2</v>
      </c>
      <c r="C80">
        <v>7.3099999999999998E-2</v>
      </c>
      <c r="D80">
        <v>7.0300000000000001E-2</v>
      </c>
      <c r="E80">
        <v>7.1499999999999994E-2</v>
      </c>
      <c r="F80">
        <v>910982265</v>
      </c>
      <c r="G80">
        <v>7.1499999999999994E-2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-0.1428571428571471</v>
      </c>
      <c r="Q80">
        <f t="shared" ref="Q80" si="376">F80*P80</f>
        <v>-130140323.57143243</v>
      </c>
      <c r="R80">
        <f t="shared" ref="R80" si="377">R81+Q80</f>
        <v>-20560761066.101837</v>
      </c>
      <c r="S80">
        <f t="shared" ref="S80" si="378">R80/100000</f>
        <v>-205607.61066101838</v>
      </c>
      <c r="T80">
        <f t="shared" ref="T80" si="379">S80/1000</f>
        <v>-205.60761066101838</v>
      </c>
    </row>
    <row r="81" spans="1:20" x14ac:dyDescent="0.25">
      <c r="A81" s="5">
        <v>44512</v>
      </c>
      <c r="B81">
        <v>7.2599999999999998E-2</v>
      </c>
      <c r="C81">
        <v>7.3400000000000007E-2</v>
      </c>
      <c r="D81">
        <v>6.93E-2</v>
      </c>
      <c r="E81">
        <v>7.1400000000000005E-2</v>
      </c>
      <c r="F81">
        <v>1286383369</v>
      </c>
      <c r="G81">
        <v>7.1400000000000005E-2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2.4390243902439684E-2</v>
      </c>
      <c r="Q81">
        <f t="shared" ref="Q81" si="381">F81*P81</f>
        <v>31375204.121952068</v>
      </c>
      <c r="R81">
        <f t="shared" ref="R81" si="382">R82+Q81</f>
        <v>-20430620742.530403</v>
      </c>
      <c r="S81">
        <f t="shared" ref="S81" si="383">R81/100000</f>
        <v>-204306.20742530402</v>
      </c>
      <c r="T81">
        <f t="shared" ref="T81" si="384">S81/1000</f>
        <v>-204.30620742530402</v>
      </c>
    </row>
    <row r="82" spans="1:20" x14ac:dyDescent="0.25">
      <c r="A82" s="5">
        <v>44511</v>
      </c>
      <c r="B82">
        <v>7.1800000000000003E-2</v>
      </c>
      <c r="C82">
        <v>7.3999999999999996E-2</v>
      </c>
      <c r="D82">
        <v>6.9199999999999998E-2</v>
      </c>
      <c r="E82">
        <v>7.2700000000000001E-2</v>
      </c>
      <c r="F82">
        <v>1426376782</v>
      </c>
      <c r="G82">
        <v>7.2700000000000001E-2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0.45833333333333504</v>
      </c>
      <c r="Q82">
        <f t="shared" ref="Q82" si="386">F82*P82</f>
        <v>653756025.08333576</v>
      </c>
      <c r="R82">
        <f t="shared" ref="R82" si="387">R83+Q82</f>
        <v>-20461995946.652355</v>
      </c>
      <c r="S82">
        <f t="shared" ref="S82" si="388">R82/100000</f>
        <v>-204619.95946652355</v>
      </c>
      <c r="T82">
        <f t="shared" ref="T82" si="389">S82/1000</f>
        <v>-204.61995946652354</v>
      </c>
    </row>
    <row r="83" spans="1:20" x14ac:dyDescent="0.25">
      <c r="A83" s="5">
        <v>44510</v>
      </c>
      <c r="B83">
        <v>7.6200000000000004E-2</v>
      </c>
      <c r="C83">
        <v>8.3599999999999994E-2</v>
      </c>
      <c r="D83">
        <v>7.0000000000000007E-2</v>
      </c>
      <c r="E83">
        <v>7.1900000000000006E-2</v>
      </c>
      <c r="F83">
        <v>3465038781</v>
      </c>
      <c r="G83">
        <v>7.1900000000000006E-2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-0.72058823529411753</v>
      </c>
      <c r="Q83">
        <f t="shared" ref="Q83" si="391">F83*P83</f>
        <v>-2496866180.4264703</v>
      </c>
      <c r="R83">
        <f t="shared" ref="R83" si="392">R84+Q83</f>
        <v>-21115751971.735691</v>
      </c>
      <c r="S83">
        <f t="shared" ref="S83" si="393">R83/100000</f>
        <v>-211157.51971735692</v>
      </c>
      <c r="T83">
        <f t="shared" ref="T83" si="394">S83/1000</f>
        <v>-211.15751971735691</v>
      </c>
    </row>
    <row r="84" spans="1:20" x14ac:dyDescent="0.25">
      <c r="A84" s="5">
        <v>44509</v>
      </c>
      <c r="B84">
        <v>7.4300000000000005E-2</v>
      </c>
      <c r="C84">
        <v>7.7899999999999997E-2</v>
      </c>
      <c r="D84">
        <v>7.1999999999999995E-2</v>
      </c>
      <c r="E84">
        <v>7.6200000000000004E-2</v>
      </c>
      <c r="F84">
        <v>2014215654</v>
      </c>
      <c r="G84">
        <v>7.6200000000000004E-2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0.42372881355932457</v>
      </c>
      <c r="Q84">
        <f t="shared" ref="Q84" si="396">F84*P84</f>
        <v>853481209.32203901</v>
      </c>
      <c r="R84">
        <f t="shared" ref="R84" si="397">R85+Q84</f>
        <v>-18618885791.309219</v>
      </c>
      <c r="S84">
        <f t="shared" ref="S84" si="398">R84/100000</f>
        <v>-186188.85791309219</v>
      </c>
      <c r="T84">
        <f t="shared" ref="T84" si="399">S84/1000</f>
        <v>-186.18885791309219</v>
      </c>
    </row>
    <row r="85" spans="1:20" x14ac:dyDescent="0.25">
      <c r="A85" s="5">
        <v>44508</v>
      </c>
      <c r="B85">
        <v>7.8600000000000003E-2</v>
      </c>
      <c r="C85">
        <v>7.8899999999999998E-2</v>
      </c>
      <c r="D85">
        <v>7.3099999999999998E-2</v>
      </c>
      <c r="E85">
        <v>7.4300000000000005E-2</v>
      </c>
      <c r="F85">
        <v>1979301167</v>
      </c>
      <c r="G85">
        <v>7.4300000000000005E-2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-0.58620689655172187</v>
      </c>
      <c r="Q85">
        <f t="shared" ref="Q85" si="401">F85*P85</f>
        <v>-1160279994.4482713</v>
      </c>
      <c r="R85">
        <f t="shared" ref="R85" si="402">R86+Q85</f>
        <v>-19472367000.63126</v>
      </c>
      <c r="S85">
        <f t="shared" ref="S85" si="403">R85/100000</f>
        <v>-194723.6700063126</v>
      </c>
      <c r="T85">
        <f t="shared" ref="T85" si="404">S85/1000</f>
        <v>-194.7236700063126</v>
      </c>
    </row>
    <row r="86" spans="1:20" x14ac:dyDescent="0.25">
      <c r="A86" s="5">
        <v>44507</v>
      </c>
      <c r="B86">
        <v>8.1000000000000003E-2</v>
      </c>
      <c r="C86">
        <v>8.5999999999999993E-2</v>
      </c>
      <c r="D86">
        <v>7.8E-2</v>
      </c>
      <c r="E86">
        <v>7.85E-2</v>
      </c>
      <c r="F86">
        <v>1973482499</v>
      </c>
      <c r="G86">
        <v>7.85E-2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-0.87499999999999978</v>
      </c>
      <c r="Q86">
        <f t="shared" ref="Q86" si="406">F86*P86</f>
        <v>-1726797186.6249995</v>
      </c>
      <c r="R86">
        <f t="shared" ref="R86" si="407">R87+Q86</f>
        <v>-18312087006.182987</v>
      </c>
      <c r="S86">
        <f t="shared" ref="S86" si="408">R86/100000</f>
        <v>-183120.87006182986</v>
      </c>
      <c r="T86">
        <f t="shared" ref="T86" si="409">S86/1000</f>
        <v>-183.12087006182986</v>
      </c>
    </row>
    <row r="87" spans="1:20" x14ac:dyDescent="0.25">
      <c r="A87" s="5">
        <v>44506</v>
      </c>
      <c r="B87">
        <v>8.5099999999999995E-2</v>
      </c>
      <c r="C87">
        <v>8.5199999999999998E-2</v>
      </c>
      <c r="D87">
        <v>7.4999999999999997E-2</v>
      </c>
      <c r="E87">
        <v>8.1100000000000005E-2</v>
      </c>
      <c r="F87">
        <v>3815822166</v>
      </c>
      <c r="G87">
        <v>8.1100000000000005E-2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0.19607843137255054</v>
      </c>
      <c r="Q87">
        <f t="shared" ref="Q87" si="411">F87*P87</f>
        <v>748200424.70588815</v>
      </c>
      <c r="R87">
        <f t="shared" ref="R87" si="412">R88+Q87</f>
        <v>-16585289819.557989</v>
      </c>
      <c r="S87">
        <f t="shared" ref="S87" si="413">R87/100000</f>
        <v>-165852.89819557988</v>
      </c>
      <c r="T87">
        <f t="shared" ref="T87" si="414">S87/1000</f>
        <v>-165.85289819557988</v>
      </c>
    </row>
    <row r="88" spans="1:20" x14ac:dyDescent="0.25">
      <c r="A88" s="5">
        <v>44505</v>
      </c>
      <c r="B88">
        <v>9.4799999999999995E-2</v>
      </c>
      <c r="C88">
        <v>0.1145</v>
      </c>
      <c r="D88">
        <v>0.08</v>
      </c>
      <c r="E88">
        <v>8.5099999999999995E-2</v>
      </c>
      <c r="F88">
        <v>8875600862</v>
      </c>
      <c r="G88">
        <v>8.5099999999999995E-2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-0.7043478260869569</v>
      </c>
      <c r="Q88">
        <f t="shared" ref="Q88" si="416">F88*P88</f>
        <v>-6251510172.365221</v>
      </c>
      <c r="R88">
        <f t="shared" ref="R88" si="417">R89+Q88</f>
        <v>-17333490244.263878</v>
      </c>
      <c r="S88">
        <f t="shared" ref="S88" si="418">R88/100000</f>
        <v>-173334.90244263879</v>
      </c>
      <c r="T88">
        <f t="shared" ref="T88" si="419">S88/1000</f>
        <v>-173.33490244263879</v>
      </c>
    </row>
    <row r="89" spans="1:20" x14ac:dyDescent="0.25">
      <c r="A89" s="5">
        <v>44504</v>
      </c>
      <c r="B89">
        <v>6.8099999999999994E-2</v>
      </c>
      <c r="C89">
        <v>0.13600000000000001</v>
      </c>
      <c r="D89">
        <v>6.6500000000000004E-2</v>
      </c>
      <c r="E89">
        <v>9.4799999999999995E-2</v>
      </c>
      <c r="F89">
        <v>19555332635</v>
      </c>
      <c r="G89">
        <v>9.4799999999999995E-2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-0.1856115107913672</v>
      </c>
      <c r="Q89">
        <f t="shared" ref="Q89" si="421">F89*P89</f>
        <v>-3629694834.4100776</v>
      </c>
      <c r="R89">
        <f t="shared" ref="R89" si="422">R90+Q89</f>
        <v>-11081980071.898659</v>
      </c>
      <c r="S89">
        <f t="shared" ref="S89" si="423">R89/100000</f>
        <v>-110819.80071898659</v>
      </c>
      <c r="T89">
        <f t="shared" ref="T89" si="424">S89/1000</f>
        <v>-110.81980071898658</v>
      </c>
    </row>
    <row r="90" spans="1:20" x14ac:dyDescent="0.25">
      <c r="A90" s="5">
        <v>44503</v>
      </c>
      <c r="B90">
        <v>6.9400000000000003E-2</v>
      </c>
      <c r="C90">
        <v>7.0699999999999999E-2</v>
      </c>
      <c r="D90">
        <v>6.5000000000000002E-2</v>
      </c>
      <c r="E90">
        <v>6.8199999999999997E-2</v>
      </c>
      <c r="F90">
        <v>1584833650</v>
      </c>
      <c r="G90">
        <v>6.8199999999999997E-2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0.12280701754385837</v>
      </c>
      <c r="Q90">
        <f t="shared" ref="Q90" si="426">F90*P90</f>
        <v>194628693.8596471</v>
      </c>
      <c r="R90">
        <f t="shared" ref="R90" si="427">R91+Q90</f>
        <v>-7452285237.4885817</v>
      </c>
      <c r="S90">
        <f t="shared" ref="S90" si="428">R90/100000</f>
        <v>-74522.852374885813</v>
      </c>
      <c r="T90">
        <f t="shared" ref="T90" si="429">S90/1000</f>
        <v>-74.522852374885815</v>
      </c>
    </row>
    <row r="91" spans="1:20" x14ac:dyDescent="0.25">
      <c r="A91" s="5">
        <v>44502</v>
      </c>
      <c r="B91">
        <v>6.9400000000000003E-2</v>
      </c>
      <c r="C91">
        <v>7.0999999999999994E-2</v>
      </c>
      <c r="D91">
        <v>6.7000000000000004E-2</v>
      </c>
      <c r="E91">
        <v>6.9400000000000003E-2</v>
      </c>
      <c r="F91">
        <v>1782727742</v>
      </c>
      <c r="G91">
        <v>6.9400000000000003E-2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0.20000000000000279</v>
      </c>
      <c r="Q91">
        <f t="shared" ref="Q91" si="431">F91*P91</f>
        <v>356545548.40000498</v>
      </c>
      <c r="R91">
        <f t="shared" ref="R91" si="432">R92+Q91</f>
        <v>-7646913931.3482285</v>
      </c>
      <c r="S91">
        <f t="shared" ref="S91" si="433">R91/100000</f>
        <v>-76469.139313482287</v>
      </c>
      <c r="T91">
        <f t="shared" ref="T91" si="434">S91/1000</f>
        <v>-76.469139313482287</v>
      </c>
    </row>
    <row r="92" spans="1:20" x14ac:dyDescent="0.25">
      <c r="A92" s="5">
        <v>44501</v>
      </c>
      <c r="B92">
        <v>7.1800000000000003E-2</v>
      </c>
      <c r="C92">
        <v>7.1800000000000003E-2</v>
      </c>
      <c r="D92">
        <v>6.7500000000000004E-2</v>
      </c>
      <c r="E92">
        <v>6.93E-2</v>
      </c>
      <c r="F92">
        <v>1138110476</v>
      </c>
      <c r="G92">
        <v>6.93E-2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-0.16279069767442012</v>
      </c>
      <c r="Q92">
        <f t="shared" ref="Q92" si="436">F92*P92</f>
        <v>-185273798.41860637</v>
      </c>
      <c r="R92">
        <f t="shared" ref="R92" si="437">R93+Q92</f>
        <v>-8003459479.7482338</v>
      </c>
      <c r="S92">
        <f t="shared" ref="S92" si="438">R92/100000</f>
        <v>-80034.594797482336</v>
      </c>
      <c r="T92">
        <f t="shared" ref="T92" si="439">S92/1000</f>
        <v>-80.034594797482342</v>
      </c>
    </row>
    <row r="93" spans="1:20" x14ac:dyDescent="0.25">
      <c r="A93" s="5">
        <v>44500</v>
      </c>
      <c r="B93">
        <v>8.2299999999999998E-2</v>
      </c>
      <c r="C93">
        <v>8.4000000000000005E-2</v>
      </c>
      <c r="D93">
        <v>6.7000000000000004E-2</v>
      </c>
      <c r="E93">
        <v>7.1800000000000003E-2</v>
      </c>
      <c r="F93">
        <v>2538254862</v>
      </c>
      <c r="G93">
        <v>7.1800000000000003E-2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-0.435294117647059</v>
      </c>
      <c r="Q93">
        <f t="shared" ref="Q93" si="441">F93*P93</f>
        <v>-1104887410.5176475</v>
      </c>
      <c r="R93">
        <f t="shared" ref="R93" si="442">R94+Q93</f>
        <v>-7818185681.329627</v>
      </c>
      <c r="S93">
        <f t="shared" ref="S93" si="443">R93/100000</f>
        <v>-78181.856813296268</v>
      </c>
      <c r="T93">
        <f t="shared" ref="T93" si="444">S93/1000</f>
        <v>-78.181856813296264</v>
      </c>
    </row>
    <row r="94" spans="1:20" x14ac:dyDescent="0.25">
      <c r="A94" s="5">
        <v>44499</v>
      </c>
      <c r="B94">
        <v>7.3300000000000004E-2</v>
      </c>
      <c r="C94">
        <v>8.3699999999999997E-2</v>
      </c>
      <c r="D94">
        <v>6.8000000000000005E-2</v>
      </c>
      <c r="E94">
        <v>8.2299999999999998E-2</v>
      </c>
      <c r="F94">
        <v>3310075887</v>
      </c>
      <c r="G94">
        <v>8.2299999999999998E-2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0.82165605095541416</v>
      </c>
      <c r="Q94">
        <f t="shared" ref="Q94" si="446">F94*P94</f>
        <v>2719743881.6751599</v>
      </c>
      <c r="R94">
        <f t="shared" ref="R94" si="447">R95+Q94</f>
        <v>-6713298270.8119793</v>
      </c>
      <c r="S94">
        <f t="shared" ref="S94" si="448">R94/100000</f>
        <v>-67132.982708119787</v>
      </c>
      <c r="T94">
        <f t="shared" ref="T94" si="449">S94/1000</f>
        <v>-67.132982708119783</v>
      </c>
    </row>
    <row r="95" spans="1:20" x14ac:dyDescent="0.25">
      <c r="A95" s="5">
        <v>44498</v>
      </c>
      <c r="B95">
        <v>6.3200000000000006E-2</v>
      </c>
      <c r="C95">
        <v>7.4700000000000003E-2</v>
      </c>
      <c r="D95">
        <v>6.25E-2</v>
      </c>
      <c r="E95">
        <v>7.3300000000000004E-2</v>
      </c>
      <c r="F95">
        <v>2585158180</v>
      </c>
      <c r="G95">
        <v>7.3300000000000004E-2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0.77049180327868882</v>
      </c>
      <c r="Q95">
        <f t="shared" ref="Q95" si="451">F95*P95</f>
        <v>1991843187.8688533</v>
      </c>
      <c r="R95">
        <f t="shared" ref="R95" si="452">R96+Q95</f>
        <v>-9433042152.4871387</v>
      </c>
      <c r="S95">
        <f t="shared" ref="S95" si="453">R95/100000</f>
        <v>-94330.421524871388</v>
      </c>
      <c r="T95">
        <f t="shared" ref="T95" si="454">S95/1000</f>
        <v>-94.330421524871383</v>
      </c>
    </row>
    <row r="96" spans="1:20" x14ac:dyDescent="0.25">
      <c r="A96" s="5">
        <v>44497</v>
      </c>
      <c r="B96">
        <v>6.1400000000000003E-2</v>
      </c>
      <c r="C96">
        <v>6.7500000000000004E-2</v>
      </c>
      <c r="D96">
        <v>5.8999999999999997E-2</v>
      </c>
      <c r="E96">
        <v>6.3100000000000003E-2</v>
      </c>
      <c r="F96">
        <v>1540620470</v>
      </c>
      <c r="G96">
        <v>6.3100000000000003E-2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-3.5294117647058171E-2</v>
      </c>
      <c r="Q96">
        <f t="shared" ref="Q96" si="456">F96*P96</f>
        <v>-54374840.117646053</v>
      </c>
      <c r="R96">
        <f t="shared" ref="R96" si="457">R97+Q96</f>
        <v>-11424885340.355991</v>
      </c>
      <c r="S96">
        <f t="shared" ref="S96" si="458">R96/100000</f>
        <v>-114248.85340355992</v>
      </c>
      <c r="T96">
        <f t="shared" ref="T96" si="459">S96/1000</f>
        <v>-114.24885340355992</v>
      </c>
    </row>
    <row r="97" spans="1:20" x14ac:dyDescent="0.25">
      <c r="A97" s="5">
        <v>44496</v>
      </c>
      <c r="B97">
        <v>7.0099999999999996E-2</v>
      </c>
      <c r="C97">
        <v>7.0900000000000005E-2</v>
      </c>
      <c r="D97">
        <v>6.0199999999999997E-2</v>
      </c>
      <c r="E97">
        <v>6.1400000000000003E-2</v>
      </c>
      <c r="F97">
        <v>1537907000</v>
      </c>
      <c r="G97">
        <v>6.1400000000000003E-2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-0.77570093457943823</v>
      </c>
      <c r="Q97">
        <f t="shared" ref="Q97" si="461">F97*P97</f>
        <v>-1192955897.1962602</v>
      </c>
      <c r="R97">
        <f t="shared" ref="R97" si="462">R98+Q97</f>
        <v>-11370510500.238346</v>
      </c>
      <c r="S97">
        <f t="shared" ref="S97" si="463">R97/100000</f>
        <v>-113705.10500238345</v>
      </c>
      <c r="T97">
        <f t="shared" ref="T97" si="464">S97/1000</f>
        <v>-113.70510500238345</v>
      </c>
    </row>
    <row r="98" spans="1:20" x14ac:dyDescent="0.25">
      <c r="A98" s="5">
        <v>44495</v>
      </c>
      <c r="B98">
        <v>6.7100000000000007E-2</v>
      </c>
      <c r="C98">
        <v>7.3400000000000007E-2</v>
      </c>
      <c r="D98">
        <v>6.5299999999999997E-2</v>
      </c>
      <c r="E98">
        <v>7.0000000000000007E-2</v>
      </c>
      <c r="F98">
        <v>1898715454</v>
      </c>
      <c r="G98">
        <v>7.0000000000000007E-2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0.16049382716049479</v>
      </c>
      <c r="Q98">
        <f t="shared" ref="Q98" si="466">F98*P98</f>
        <v>304732109.90123641</v>
      </c>
      <c r="R98">
        <f t="shared" ref="R98" si="467">R99+Q98</f>
        <v>-10177554603.042086</v>
      </c>
      <c r="S98">
        <f t="shared" ref="S98" si="468">R98/100000</f>
        <v>-101775.54603042085</v>
      </c>
      <c r="T98">
        <f t="shared" ref="T98" si="469">S98/1000</f>
        <v>-101.77554603042086</v>
      </c>
    </row>
    <row r="99" spans="1:20" x14ac:dyDescent="0.25">
      <c r="A99" s="5">
        <v>44494</v>
      </c>
      <c r="B99">
        <v>6.3799999999999996E-2</v>
      </c>
      <c r="C99">
        <v>6.7599999999999993E-2</v>
      </c>
      <c r="D99">
        <v>6.3299999999999995E-2</v>
      </c>
      <c r="E99">
        <v>6.7100000000000007E-2</v>
      </c>
      <c r="F99">
        <v>932913920</v>
      </c>
      <c r="G99">
        <v>6.7100000000000007E-2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0.76744186046512242</v>
      </c>
      <c r="Q99">
        <f t="shared" ref="Q99" si="471">F99*P99</f>
        <v>715957194.41861033</v>
      </c>
      <c r="R99">
        <f t="shared" ref="R99" si="472">R100+Q99</f>
        <v>-10482286712.943321</v>
      </c>
      <c r="S99">
        <f t="shared" ref="S99" si="473">R99/100000</f>
        <v>-104822.86712943322</v>
      </c>
      <c r="T99">
        <f t="shared" ref="T99" si="474">S99/1000</f>
        <v>-104.82286712943322</v>
      </c>
    </row>
    <row r="100" spans="1:20" x14ac:dyDescent="0.25">
      <c r="A100" s="5">
        <v>44493</v>
      </c>
      <c r="B100">
        <v>6.7400000000000002E-2</v>
      </c>
      <c r="C100">
        <v>6.7599999999999993E-2</v>
      </c>
      <c r="D100">
        <v>6.2799999999999995E-2</v>
      </c>
      <c r="E100">
        <v>6.3899999999999998E-2</v>
      </c>
      <c r="F100">
        <v>885082684</v>
      </c>
      <c r="G100">
        <v>6.3899999999999998E-2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-0.54166666666666496</v>
      </c>
      <c r="Q100">
        <f t="shared" ref="Q100" si="476">F100*P100</f>
        <v>-479419787.16666514</v>
      </c>
      <c r="R100">
        <f t="shared" ref="R100" si="477">R101+Q100</f>
        <v>-11198243907.361931</v>
      </c>
      <c r="S100">
        <f t="shared" ref="S100" si="478">R100/100000</f>
        <v>-111982.4390736193</v>
      </c>
      <c r="T100">
        <f t="shared" ref="T100" si="479">S100/1000</f>
        <v>-111.9824390736193</v>
      </c>
    </row>
    <row r="101" spans="1:20" x14ac:dyDescent="0.25">
      <c r="A101" s="5">
        <v>44492</v>
      </c>
      <c r="B101">
        <v>6.8000000000000005E-2</v>
      </c>
      <c r="C101">
        <v>6.93E-2</v>
      </c>
      <c r="D101">
        <v>6.6799999999999998E-2</v>
      </c>
      <c r="E101">
        <v>6.7400000000000002E-2</v>
      </c>
      <c r="F101">
        <v>572226839</v>
      </c>
      <c r="G101">
        <v>6.7400000000000002E-2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-0.5199999999999978</v>
      </c>
      <c r="Q101">
        <f t="shared" ref="Q101" si="481">F101*P101</f>
        <v>-297557956.27999872</v>
      </c>
      <c r="R101">
        <f t="shared" ref="R101" si="482">R102+Q101</f>
        <v>-10718824120.195265</v>
      </c>
      <c r="S101">
        <f t="shared" ref="S101" si="483">R101/100000</f>
        <v>-107188.24120195265</v>
      </c>
      <c r="T101">
        <f t="shared" ref="T101" si="484">S101/1000</f>
        <v>-107.18824120195265</v>
      </c>
    </row>
    <row r="102" spans="1:20" x14ac:dyDescent="0.25">
      <c r="A102" s="5">
        <v>44491</v>
      </c>
      <c r="B102">
        <v>6.83E-2</v>
      </c>
      <c r="C102">
        <v>7.17E-2</v>
      </c>
      <c r="D102">
        <v>6.6199999999999995E-2</v>
      </c>
      <c r="E102">
        <v>6.8000000000000005E-2</v>
      </c>
      <c r="F102">
        <v>954608185</v>
      </c>
      <c r="G102">
        <v>6.8000000000000005E-2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-0.34545454545454241</v>
      </c>
      <c r="Q102">
        <f t="shared" ref="Q102" si="486">F102*P102</f>
        <v>-329773736.6363607</v>
      </c>
      <c r="R102">
        <f t="shared" ref="R102" si="487">R103+Q102</f>
        <v>-10421266163.915266</v>
      </c>
      <c r="S102">
        <f t="shared" ref="S102" si="488">R102/100000</f>
        <v>-104212.66163915266</v>
      </c>
      <c r="T102">
        <f t="shared" ref="T102" si="489">S102/1000</f>
        <v>-104.21266163915266</v>
      </c>
    </row>
    <row r="103" spans="1:20" x14ac:dyDescent="0.25">
      <c r="A103" s="5">
        <v>44490</v>
      </c>
      <c r="B103">
        <v>6.9699999999999998E-2</v>
      </c>
      <c r="C103">
        <v>7.0199999999999999E-2</v>
      </c>
      <c r="D103">
        <v>6.6000000000000003E-2</v>
      </c>
      <c r="E103">
        <v>6.83E-2</v>
      </c>
      <c r="F103">
        <v>989065976</v>
      </c>
      <c r="G103">
        <v>6.83E-2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9.5238095238094761E-2</v>
      </c>
      <c r="Q103">
        <f t="shared" ref="Q103" si="491">F103*P103</f>
        <v>94196759.61904715</v>
      </c>
      <c r="R103">
        <f t="shared" ref="R103" si="492">R104+Q103</f>
        <v>-10091492427.278906</v>
      </c>
      <c r="S103">
        <f t="shared" ref="S103" si="493">R103/100000</f>
        <v>-100914.92427278905</v>
      </c>
      <c r="T103">
        <f t="shared" ref="T103" si="494">S103/1000</f>
        <v>-100.91492427278905</v>
      </c>
    </row>
    <row r="104" spans="1:20" x14ac:dyDescent="0.25">
      <c r="A104" s="5">
        <v>44489</v>
      </c>
      <c r="B104">
        <v>6.7699999999999996E-2</v>
      </c>
      <c r="C104">
        <v>7.1400000000000005E-2</v>
      </c>
      <c r="D104">
        <v>6.5699999999999995E-2</v>
      </c>
      <c r="E104">
        <v>6.9699999999999998E-2</v>
      </c>
      <c r="F104">
        <v>1021486486</v>
      </c>
      <c r="G104">
        <v>6.9699999999999998E-2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0.40350877192982321</v>
      </c>
      <c r="Q104">
        <f t="shared" ref="Q104" si="496">F104*P104</f>
        <v>412178757.50877053</v>
      </c>
      <c r="R104">
        <f t="shared" ref="R104" si="497">R105+Q104</f>
        <v>-10185689186.897953</v>
      </c>
      <c r="S104">
        <f t="shared" ref="S104" si="498">R104/100000</f>
        <v>-101856.89186897952</v>
      </c>
      <c r="T104">
        <f t="shared" ref="T104" si="499">S104/1000</f>
        <v>-101.85689186897953</v>
      </c>
    </row>
    <row r="105" spans="1:20" x14ac:dyDescent="0.25">
      <c r="A105" s="5">
        <v>44488</v>
      </c>
      <c r="B105">
        <v>6.93E-2</v>
      </c>
      <c r="C105">
        <v>7.0099999999999996E-2</v>
      </c>
      <c r="D105">
        <v>6.7100000000000007E-2</v>
      </c>
      <c r="E105">
        <v>6.7699999999999996E-2</v>
      </c>
      <c r="F105">
        <v>666120740</v>
      </c>
      <c r="G105">
        <v>6.7699999999999996E-2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-0.60000000000000553</v>
      </c>
      <c r="Q105">
        <f t="shared" ref="Q105" si="501">F105*P105</f>
        <v>-399672444.0000037</v>
      </c>
      <c r="R105">
        <f t="shared" ref="R105" si="502">R106+Q105</f>
        <v>-10597867944.406723</v>
      </c>
      <c r="S105">
        <f t="shared" ref="S105" si="503">R105/100000</f>
        <v>-105978.67944406722</v>
      </c>
      <c r="T105">
        <f t="shared" ref="T105" si="504">S105/1000</f>
        <v>-105.97867944406723</v>
      </c>
    </row>
    <row r="106" spans="1:20" x14ac:dyDescent="0.25">
      <c r="A106" s="5">
        <v>44487</v>
      </c>
      <c r="B106">
        <v>7.0699999999999999E-2</v>
      </c>
      <c r="C106">
        <v>7.1800000000000003E-2</v>
      </c>
      <c r="D106">
        <v>6.7199999999999996E-2</v>
      </c>
      <c r="E106">
        <v>6.93E-2</v>
      </c>
      <c r="F106">
        <v>861988818</v>
      </c>
      <c r="G106">
        <v>6.93E-2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-8.695652173912978E-2</v>
      </c>
      <c r="Q106">
        <f t="shared" ref="Q106" si="506">F106*P106</f>
        <v>-74955549.391303778</v>
      </c>
      <c r="R106">
        <f t="shared" ref="R106" si="507">R107+Q106</f>
        <v>-10198195500.406719</v>
      </c>
      <c r="S106">
        <f t="shared" ref="S106" si="508">R106/100000</f>
        <v>-101981.95500406719</v>
      </c>
      <c r="T106">
        <f t="shared" ref="T106" si="509">S106/1000</f>
        <v>-101.98195500406719</v>
      </c>
    </row>
    <row r="107" spans="1:20" x14ac:dyDescent="0.25">
      <c r="A107" s="5">
        <v>44486</v>
      </c>
      <c r="B107">
        <v>7.3099999999999998E-2</v>
      </c>
      <c r="C107">
        <v>7.4800000000000005E-2</v>
      </c>
      <c r="D107">
        <v>6.6600000000000006E-2</v>
      </c>
      <c r="E107">
        <v>7.0699999999999999E-2</v>
      </c>
      <c r="F107">
        <v>1036286251</v>
      </c>
      <c r="G107">
        <v>7.0699999999999999E-2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-1.6924131472944462E-15</v>
      </c>
      <c r="Q107">
        <f t="shared" ref="Q107" si="511">F107*P107</f>
        <v>-1.7538244755528724E-6</v>
      </c>
      <c r="R107">
        <f t="shared" ref="R107" si="512">R108+Q107</f>
        <v>-10123239951.015415</v>
      </c>
      <c r="S107">
        <f t="shared" ref="S107" si="513">R107/100000</f>
        <v>-101232.39951015415</v>
      </c>
      <c r="T107">
        <f t="shared" ref="T107" si="514">S107/1000</f>
        <v>-101.23239951015415</v>
      </c>
    </row>
    <row r="108" spans="1:20" x14ac:dyDescent="0.25">
      <c r="A108" s="5">
        <v>44485</v>
      </c>
      <c r="B108">
        <v>7.3400000000000007E-2</v>
      </c>
      <c r="C108">
        <v>7.5800000000000006E-2</v>
      </c>
      <c r="D108">
        <v>7.2499999999999995E-2</v>
      </c>
      <c r="E108">
        <v>7.3099999999999998E-2</v>
      </c>
      <c r="F108">
        <v>1030288959</v>
      </c>
      <c r="G108">
        <v>7.3099999999999998E-2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-0.63636363636363558</v>
      </c>
      <c r="Q108">
        <f t="shared" ref="Q108" si="516">F108*P108</f>
        <v>-655638428.45454466</v>
      </c>
      <c r="R108">
        <f t="shared" ref="R108" si="517">R109+Q108</f>
        <v>-10123239951.015413</v>
      </c>
      <c r="S108">
        <f t="shared" ref="S108" si="518">R108/100000</f>
        <v>-101232.39951015414</v>
      </c>
      <c r="T108">
        <f t="shared" ref="T108" si="519">S108/1000</f>
        <v>-101.23239951015414</v>
      </c>
    </row>
    <row r="109" spans="1:20" x14ac:dyDescent="0.25">
      <c r="A109" s="5">
        <v>44484</v>
      </c>
      <c r="B109">
        <v>7.9500000000000001E-2</v>
      </c>
      <c r="C109">
        <v>8.0799999999999997E-2</v>
      </c>
      <c r="D109">
        <v>7.2300000000000003E-2</v>
      </c>
      <c r="E109">
        <v>7.3499999999999996E-2</v>
      </c>
      <c r="F109">
        <v>1771474522</v>
      </c>
      <c r="G109">
        <v>7.3499999999999996E-2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-0.71764705882353086</v>
      </c>
      <c r="Q109">
        <f t="shared" ref="Q109" si="521">F109*P109</f>
        <v>-1271293480.4941201</v>
      </c>
      <c r="R109">
        <f t="shared" ref="R109" si="522">R110+Q109</f>
        <v>-9467601522.5608692</v>
      </c>
      <c r="S109">
        <f t="shared" ref="S109" si="523">R109/100000</f>
        <v>-94676.015225608688</v>
      </c>
      <c r="T109">
        <f t="shared" ref="T109" si="524">S109/1000</f>
        <v>-94.676015225608694</v>
      </c>
    </row>
    <row r="110" spans="1:20" x14ac:dyDescent="0.25">
      <c r="A110" s="5">
        <v>44483</v>
      </c>
      <c r="B110">
        <v>7.5800000000000006E-2</v>
      </c>
      <c r="C110">
        <v>8.5800000000000001E-2</v>
      </c>
      <c r="D110">
        <v>7.4700000000000003E-2</v>
      </c>
      <c r="E110">
        <v>7.9500000000000001E-2</v>
      </c>
      <c r="F110">
        <v>2259570937</v>
      </c>
      <c r="G110">
        <v>7.9500000000000001E-2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-0.13513513513513528</v>
      </c>
      <c r="Q110">
        <f t="shared" ref="Q110" si="526">F110*P110</f>
        <v>-305347423.91891927</v>
      </c>
      <c r="R110">
        <f t="shared" ref="R110" si="527">R111+Q110</f>
        <v>-8196308042.0667486</v>
      </c>
      <c r="S110">
        <f t="shared" ref="S110" si="528">R110/100000</f>
        <v>-81963.08042066748</v>
      </c>
      <c r="T110">
        <f t="shared" ref="T110" si="529">S110/1000</f>
        <v>-81.963080420667481</v>
      </c>
    </row>
    <row r="111" spans="1:20" x14ac:dyDescent="0.25">
      <c r="A111" s="5">
        <v>44482</v>
      </c>
      <c r="B111">
        <v>7.3899999999999993E-2</v>
      </c>
      <c r="C111">
        <v>7.7499999999999999E-2</v>
      </c>
      <c r="D111">
        <v>6.9800000000000001E-2</v>
      </c>
      <c r="E111">
        <v>7.5800000000000006E-2</v>
      </c>
      <c r="F111">
        <v>1397393021</v>
      </c>
      <c r="G111">
        <v>7.5800000000000006E-2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0.55844155844156018</v>
      </c>
      <c r="Q111">
        <f t="shared" ref="Q111" si="531">F111*P111</f>
        <v>780362336.40259981</v>
      </c>
      <c r="R111">
        <f t="shared" ref="R111" si="532">R112+Q111</f>
        <v>-7890960618.1478291</v>
      </c>
      <c r="S111">
        <f t="shared" ref="S111" si="533">R111/100000</f>
        <v>-78909.606181478288</v>
      </c>
      <c r="T111">
        <f t="shared" ref="T111" si="534">S111/1000</f>
        <v>-78.909606181478281</v>
      </c>
    </row>
    <row r="112" spans="1:20" x14ac:dyDescent="0.25">
      <c r="A112" s="5">
        <v>44481</v>
      </c>
      <c r="B112">
        <v>7.0999999999999994E-2</v>
      </c>
      <c r="C112">
        <v>7.8600000000000003E-2</v>
      </c>
      <c r="D112">
        <v>6.9500000000000006E-2</v>
      </c>
      <c r="E112">
        <v>7.3899999999999993E-2</v>
      </c>
      <c r="F112">
        <v>1886642115</v>
      </c>
      <c r="G112">
        <v>7.3899999999999993E-2</v>
      </c>
      <c r="L112" t="s">
        <v>8</v>
      </c>
      <c r="M112" t="s">
        <v>7</v>
      </c>
      <c r="N112" t="s">
        <v>7</v>
      </c>
      <c r="P112">
        <f t="shared" ref="P112" si="535">IF(C112=D112,0,((E112-D112)-(C112-E112))/(C112-D112))</f>
        <v>-3.2967032967035445E-2</v>
      </c>
      <c r="Q112">
        <f t="shared" ref="Q112" si="536">F112*P112</f>
        <v>-62196992.802202478</v>
      </c>
      <c r="R112">
        <f t="shared" ref="R112" si="537">R113+Q112</f>
        <v>-8671322954.5504284</v>
      </c>
      <c r="S112">
        <f t="shared" ref="S112" si="538">R112/100000</f>
        <v>-86713.229545504277</v>
      </c>
      <c r="T112">
        <f t="shared" ref="T112" si="539">S112/1000</f>
        <v>-86.713229545504277</v>
      </c>
    </row>
    <row r="113" spans="1:20" x14ac:dyDescent="0.25">
      <c r="A113" s="5">
        <v>44480</v>
      </c>
      <c r="B113">
        <v>7.4700000000000003E-2</v>
      </c>
      <c r="C113">
        <v>7.7499999999999999E-2</v>
      </c>
      <c r="D113">
        <v>6.9599999999999995E-2</v>
      </c>
      <c r="E113">
        <v>7.1099999999999997E-2</v>
      </c>
      <c r="F113">
        <v>1649289454</v>
      </c>
      <c r="G113">
        <v>7.1099999999999997E-2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-0.62025316455696189</v>
      </c>
      <c r="Q113">
        <f t="shared" ref="Q113" si="541">F113*P113</f>
        <v>-1022977003.1139238</v>
      </c>
      <c r="R113">
        <f t="shared" ref="R113" si="542">R114+Q113</f>
        <v>-8609125961.7482262</v>
      </c>
      <c r="S113">
        <f t="shared" ref="S113" si="543">R113/100000</f>
        <v>-86091.259617482268</v>
      </c>
      <c r="T113">
        <f t="shared" ref="T113" si="544">S113/1000</f>
        <v>-86.091259617482265</v>
      </c>
    </row>
    <row r="114" spans="1:20" x14ac:dyDescent="0.25">
      <c r="A114" s="5">
        <v>44479</v>
      </c>
      <c r="B114">
        <v>8.2900000000000001E-2</v>
      </c>
      <c r="C114">
        <v>8.3500000000000005E-2</v>
      </c>
      <c r="D114">
        <v>7.4200000000000002E-2</v>
      </c>
      <c r="E114">
        <v>7.4700000000000003E-2</v>
      </c>
      <c r="F114">
        <v>1203403211</v>
      </c>
      <c r="G114">
        <v>7.4700000000000003E-2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-0.89247311827956988</v>
      </c>
      <c r="Q114">
        <f t="shared" ref="Q114" si="546">F114*P114</f>
        <v>-1074005016.2688172</v>
      </c>
      <c r="R114">
        <f t="shared" ref="R114" si="547">R115+Q114</f>
        <v>-7586148958.6343031</v>
      </c>
      <c r="S114">
        <f t="shared" ref="S114" si="548">R114/100000</f>
        <v>-75861.489586343028</v>
      </c>
      <c r="T114">
        <f t="shared" ref="T114" si="549">S114/1000</f>
        <v>-75.861489586343026</v>
      </c>
    </row>
    <row r="115" spans="1:20" x14ac:dyDescent="0.25">
      <c r="A115" s="5">
        <v>44478</v>
      </c>
      <c r="B115">
        <v>8.6300000000000002E-2</v>
      </c>
      <c r="C115">
        <v>8.6400000000000005E-2</v>
      </c>
      <c r="D115">
        <v>8.1199999999999994E-2</v>
      </c>
      <c r="E115">
        <v>8.2900000000000001E-2</v>
      </c>
      <c r="F115">
        <v>1030257448</v>
      </c>
      <c r="G115">
        <v>8.2900000000000001E-2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-0.3461538461538447</v>
      </c>
      <c r="Q115">
        <f t="shared" ref="Q115" si="551">F115*P115</f>
        <v>-356627578.15384465</v>
      </c>
      <c r="R115">
        <f t="shared" ref="R115" si="552">R116+Q115</f>
        <v>-6512143942.3654861</v>
      </c>
      <c r="S115">
        <f t="shared" ref="S115" si="553">R115/100000</f>
        <v>-65121.439423654861</v>
      </c>
      <c r="T115">
        <f t="shared" ref="T115" si="554">S115/1000</f>
        <v>-65.121439423654863</v>
      </c>
    </row>
    <row r="116" spans="1:20" x14ac:dyDescent="0.25">
      <c r="A116" s="5">
        <v>44477</v>
      </c>
      <c r="B116">
        <v>8.7900000000000006E-2</v>
      </c>
      <c r="C116">
        <v>9.35E-2</v>
      </c>
      <c r="D116">
        <v>8.43E-2</v>
      </c>
      <c r="E116">
        <v>8.6400000000000005E-2</v>
      </c>
      <c r="F116">
        <v>1675444583</v>
      </c>
      <c r="G116">
        <v>8.6400000000000005E-2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-0.54347826086956419</v>
      </c>
      <c r="Q116">
        <f t="shared" ref="Q116" si="556">F116*P116</f>
        <v>-910567708.15217221</v>
      </c>
      <c r="R116">
        <f t="shared" ref="R116" si="557">R117+Q116</f>
        <v>-6155516364.2116413</v>
      </c>
      <c r="S116">
        <f t="shared" ref="S116" si="558">R116/100000</f>
        <v>-61555.163642116415</v>
      </c>
      <c r="T116">
        <f t="shared" ref="T116" si="559">S116/1000</f>
        <v>-61.555163642116412</v>
      </c>
    </row>
    <row r="117" spans="1:20" x14ac:dyDescent="0.25">
      <c r="A117" s="5">
        <v>44476</v>
      </c>
      <c r="B117">
        <v>8.2000000000000003E-2</v>
      </c>
      <c r="C117">
        <v>9.4700000000000006E-2</v>
      </c>
      <c r="D117">
        <v>7.8399999999999997E-2</v>
      </c>
      <c r="E117">
        <v>8.7999999999999995E-2</v>
      </c>
      <c r="F117">
        <v>2973828143</v>
      </c>
      <c r="G117">
        <v>8.7999999999999995E-2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0.17791411042944688</v>
      </c>
      <c r="Q117">
        <f t="shared" ref="Q117" si="561">F117*P117</f>
        <v>529085988.63189894</v>
      </c>
      <c r="R117">
        <f t="shared" ref="R117" si="562">R118+Q117</f>
        <v>-5244948656.0594692</v>
      </c>
      <c r="S117">
        <f t="shared" ref="S117" si="563">R117/100000</f>
        <v>-52449.486560594691</v>
      </c>
      <c r="T117">
        <f t="shared" ref="T117" si="564">S117/1000</f>
        <v>-52.449486560594693</v>
      </c>
    </row>
    <row r="118" spans="1:20" x14ac:dyDescent="0.25">
      <c r="A118" s="5">
        <v>44475</v>
      </c>
      <c r="B118">
        <v>8.6499999999999994E-2</v>
      </c>
      <c r="C118">
        <v>8.8999999999999996E-2</v>
      </c>
      <c r="D118">
        <v>7.7600000000000002E-2</v>
      </c>
      <c r="E118">
        <v>8.2000000000000003E-2</v>
      </c>
      <c r="F118">
        <v>2529896007</v>
      </c>
      <c r="G118">
        <v>8.2000000000000003E-2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-0.22807017543859584</v>
      </c>
      <c r="Q118">
        <f t="shared" ref="Q118" si="566">F118*P118</f>
        <v>-576993826.15789306</v>
      </c>
      <c r="R118">
        <f t="shared" ref="R118" si="567">R119+Q118</f>
        <v>-5774034644.6913681</v>
      </c>
      <c r="S118">
        <f t="shared" ref="S118" si="568">R118/100000</f>
        <v>-57740.346446913682</v>
      </c>
      <c r="T118">
        <f t="shared" ref="T118" si="569">S118/1000</f>
        <v>-57.740346446913684</v>
      </c>
    </row>
    <row r="119" spans="1:20" x14ac:dyDescent="0.25">
      <c r="A119" s="5">
        <v>44474</v>
      </c>
      <c r="B119">
        <v>9.5600000000000004E-2</v>
      </c>
      <c r="C119">
        <v>9.6299999999999997E-2</v>
      </c>
      <c r="D119">
        <v>8.1000000000000003E-2</v>
      </c>
      <c r="E119">
        <v>8.6599999999999996E-2</v>
      </c>
      <c r="F119">
        <v>3536020446</v>
      </c>
      <c r="G119">
        <v>8.6599999999999996E-2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-0.26797385620915087</v>
      </c>
      <c r="Q119">
        <f t="shared" ref="Q119" si="571">F119*P119</f>
        <v>-947561034.54902148</v>
      </c>
      <c r="R119">
        <f t="shared" ref="R119" si="572">R120+Q119</f>
        <v>-5197040818.5334749</v>
      </c>
      <c r="S119">
        <f t="shared" ref="S119" si="573">R119/100000</f>
        <v>-51970.408185334752</v>
      </c>
      <c r="T119">
        <f t="shared" ref="T119" si="574">S119/1000</f>
        <v>-51.970408185334755</v>
      </c>
    </row>
    <row r="120" spans="1:20" x14ac:dyDescent="0.25">
      <c r="A120" s="5">
        <v>44473</v>
      </c>
      <c r="B120">
        <v>7.6200000000000004E-2</v>
      </c>
      <c r="C120">
        <v>0.10390000000000001</v>
      </c>
      <c r="D120">
        <v>7.3200000000000001E-2</v>
      </c>
      <c r="E120">
        <v>9.5899999999999999E-2</v>
      </c>
      <c r="F120">
        <v>7461403452</v>
      </c>
      <c r="G120">
        <v>9.5899999999999999E-2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0.47882736156351752</v>
      </c>
      <c r="Q120">
        <f t="shared" ref="Q120" si="576">F120*P120</f>
        <v>3572724128.4820819</v>
      </c>
      <c r="R120">
        <f t="shared" ref="R120" si="577">R121+Q120</f>
        <v>-4249479783.9844537</v>
      </c>
      <c r="S120">
        <f t="shared" ref="S120" si="578">R120/100000</f>
        <v>-42494.797839844534</v>
      </c>
      <c r="T120">
        <f t="shared" ref="T120" si="579">S120/1000</f>
        <v>-42.494797839844537</v>
      </c>
    </row>
    <row r="121" spans="1:20" x14ac:dyDescent="0.25">
      <c r="A121" s="5">
        <v>44472</v>
      </c>
      <c r="B121">
        <v>7.0499999999999993E-2</v>
      </c>
      <c r="C121">
        <v>7.6700000000000004E-2</v>
      </c>
      <c r="D121">
        <v>6.8400000000000002E-2</v>
      </c>
      <c r="E121">
        <v>7.3999999999999996E-2</v>
      </c>
      <c r="F121">
        <v>1287641742</v>
      </c>
      <c r="G121">
        <v>7.3999999999999996E-2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0.34939759036144402</v>
      </c>
      <c r="Q121">
        <f t="shared" ref="Q121" si="581">F121*P121</f>
        <v>449898921.9036122</v>
      </c>
      <c r="R121">
        <f t="shared" ref="R121" si="582">R122+Q121</f>
        <v>-7822203912.4665356</v>
      </c>
      <c r="S121">
        <f t="shared" ref="S121" si="583">R121/100000</f>
        <v>-78222.03912466536</v>
      </c>
      <c r="T121">
        <f t="shared" ref="T121" si="584">S121/1000</f>
        <v>-78.222039124665358</v>
      </c>
    </row>
    <row r="122" spans="1:20" x14ac:dyDescent="0.25">
      <c r="A122" s="5">
        <v>44471</v>
      </c>
      <c r="B122">
        <v>7.5499999999999998E-2</v>
      </c>
      <c r="C122">
        <v>7.5499999999999998E-2</v>
      </c>
      <c r="D122">
        <v>6.7900000000000002E-2</v>
      </c>
      <c r="E122">
        <v>7.0499999999999993E-2</v>
      </c>
      <c r="F122">
        <v>1626295379</v>
      </c>
      <c r="G122">
        <v>7.0499999999999993E-2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-0.31578947368421245</v>
      </c>
      <c r="Q122">
        <f t="shared" ref="Q122" si="586">F122*P122</f>
        <v>-513566961.78947681</v>
      </c>
      <c r="R122">
        <f t="shared" ref="R122" si="587">R123+Q122</f>
        <v>-8272102834.3701477</v>
      </c>
      <c r="S122">
        <f t="shared" ref="S122" si="588">R122/100000</f>
        <v>-82721.028343701473</v>
      </c>
      <c r="T122">
        <f t="shared" ref="T122" si="589">S122/1000</f>
        <v>-82.721028343701477</v>
      </c>
    </row>
    <row r="123" spans="1:20" x14ac:dyDescent="0.25">
      <c r="A123" s="5">
        <v>44470</v>
      </c>
      <c r="B123">
        <v>6.2700000000000006E-2</v>
      </c>
      <c r="C123">
        <v>7.8200000000000006E-2</v>
      </c>
      <c r="D123">
        <v>6.08E-2</v>
      </c>
      <c r="E123">
        <v>7.5399999999999995E-2</v>
      </c>
      <c r="F123">
        <v>2335718652</v>
      </c>
      <c r="G123">
        <v>7.5399999999999995E-2</v>
      </c>
      <c r="L123" t="s">
        <v>7</v>
      </c>
      <c r="M123" t="s">
        <v>8</v>
      </c>
      <c r="N123" t="s">
        <v>7</v>
      </c>
      <c r="P123">
        <f t="shared" ref="P123" si="590">IF(C123=D123,0,((E123-D123)-(C123-E123))/(C123-D123))</f>
        <v>0.67816091954022872</v>
      </c>
      <c r="Q123">
        <f t="shared" ref="Q123" si="591">F123*P123</f>
        <v>1583993108.8275836</v>
      </c>
      <c r="R123">
        <f t="shared" ref="R123" si="592">R124+Q123</f>
        <v>-7758535872.5806713</v>
      </c>
      <c r="S123">
        <f t="shared" ref="S123" si="593">R123/100000</f>
        <v>-77585.358725806713</v>
      </c>
      <c r="T123">
        <f t="shared" ref="T123" si="594">S123/1000</f>
        <v>-77.585358725806714</v>
      </c>
    </row>
    <row r="124" spans="1:20" x14ac:dyDescent="0.25">
      <c r="A124" s="5">
        <v>44469</v>
      </c>
      <c r="B124">
        <v>6.3299999999999995E-2</v>
      </c>
      <c r="C124">
        <v>6.5799999999999997E-2</v>
      </c>
      <c r="D124">
        <v>6.1499999999999999E-2</v>
      </c>
      <c r="E124">
        <v>6.2600000000000003E-2</v>
      </c>
      <c r="F124">
        <v>642804511</v>
      </c>
      <c r="G124">
        <v>6.2600000000000003E-2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-0.48837209302325385</v>
      </c>
      <c r="Q124">
        <f t="shared" ref="Q124" si="596">F124*P124</f>
        <v>-313927784.44185919</v>
      </c>
      <c r="R124">
        <f t="shared" ref="R124" si="597">R125+Q124</f>
        <v>-9342528981.4082546</v>
      </c>
      <c r="S124">
        <f t="shared" ref="S124" si="598">R124/100000</f>
        <v>-93425.289814082542</v>
      </c>
      <c r="T124">
        <f t="shared" ref="T124" si="599">S124/1000</f>
        <v>-93.425289814082547</v>
      </c>
    </row>
    <row r="125" spans="1:20" x14ac:dyDescent="0.25">
      <c r="A125" s="5">
        <v>44468</v>
      </c>
      <c r="B125">
        <v>6.3500000000000001E-2</v>
      </c>
      <c r="C125">
        <v>6.7599999999999993E-2</v>
      </c>
      <c r="D125">
        <v>6.1800000000000001E-2</v>
      </c>
      <c r="E125">
        <v>6.3399999999999998E-2</v>
      </c>
      <c r="F125">
        <v>565769380</v>
      </c>
      <c r="G125">
        <v>6.3399999999999998E-2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-0.44827586206896575</v>
      </c>
      <c r="Q125">
        <f t="shared" ref="Q125" si="601">F125*P125</f>
        <v>-253620756.55172426</v>
      </c>
      <c r="R125">
        <f t="shared" ref="R125" si="602">R126+Q125</f>
        <v>-9028601196.9663963</v>
      </c>
      <c r="S125">
        <f t="shared" ref="S125" si="603">R125/100000</f>
        <v>-90286.011969663959</v>
      </c>
      <c r="T125">
        <f t="shared" ref="T125" si="604">S125/1000</f>
        <v>-90.28601196966396</v>
      </c>
    </row>
    <row r="126" spans="1:20" x14ac:dyDescent="0.25">
      <c r="A126" s="5">
        <v>44467</v>
      </c>
      <c r="B126">
        <v>6.8599999999999994E-2</v>
      </c>
      <c r="C126">
        <v>7.1900000000000006E-2</v>
      </c>
      <c r="D126">
        <v>6.2600000000000003E-2</v>
      </c>
      <c r="E126">
        <v>6.3500000000000001E-2</v>
      </c>
      <c r="F126">
        <v>735730872</v>
      </c>
      <c r="G126">
        <v>6.3500000000000001E-2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-0.80645161290322631</v>
      </c>
      <c r="Q126">
        <f t="shared" ref="Q126" si="606">F126*P126</f>
        <v>-593331348.38709712</v>
      </c>
      <c r="R126">
        <f t="shared" ref="R126" si="607">R127+Q126</f>
        <v>-8774980440.4146729</v>
      </c>
      <c r="S126">
        <f t="shared" ref="S126" si="608">R126/100000</f>
        <v>-87749.804404146722</v>
      </c>
      <c r="T126">
        <f t="shared" ref="T126" si="609">S126/1000</f>
        <v>-87.749804404146715</v>
      </c>
    </row>
    <row r="127" spans="1:20" x14ac:dyDescent="0.25">
      <c r="A127" s="5">
        <v>44466</v>
      </c>
      <c r="B127">
        <v>6.6400000000000001E-2</v>
      </c>
      <c r="C127">
        <v>7.5399999999999995E-2</v>
      </c>
      <c r="D127">
        <v>6.5000000000000002E-2</v>
      </c>
      <c r="E127">
        <v>6.8599999999999994E-2</v>
      </c>
      <c r="F127">
        <v>1159635107</v>
      </c>
      <c r="G127">
        <v>6.8599999999999994E-2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-0.30769230769230871</v>
      </c>
      <c r="Q127">
        <f t="shared" ref="Q127" si="611">F127*P127</f>
        <v>-356810802.15384734</v>
      </c>
      <c r="R127">
        <f t="shared" ref="R127" si="612">R128+Q127</f>
        <v>-8181649092.0275755</v>
      </c>
      <c r="S127">
        <f t="shared" ref="S127" si="613">R127/100000</f>
        <v>-81816.490920275755</v>
      </c>
      <c r="T127">
        <f t="shared" ref="T127" si="614">S127/1000</f>
        <v>-81.816490920275754</v>
      </c>
    </row>
    <row r="128" spans="1:20" x14ac:dyDescent="0.25">
      <c r="A128" s="5">
        <v>44465</v>
      </c>
      <c r="B128">
        <v>6.93E-2</v>
      </c>
      <c r="C128">
        <v>6.9500000000000006E-2</v>
      </c>
      <c r="D128">
        <v>5.96E-2</v>
      </c>
      <c r="E128">
        <v>6.6400000000000001E-2</v>
      </c>
      <c r="F128">
        <v>943910586</v>
      </c>
      <c r="G128">
        <v>6.6400000000000001E-2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0.37373737373737298</v>
      </c>
      <c r="Q128">
        <f t="shared" ref="Q128" si="616">F128*P128</f>
        <v>352774663.45454472</v>
      </c>
      <c r="R128">
        <f t="shared" ref="R128" si="617">R129+Q128</f>
        <v>-7824838289.8737278</v>
      </c>
      <c r="S128">
        <f t="shared" ref="S128" si="618">R128/100000</f>
        <v>-78248.382898737284</v>
      </c>
      <c r="T128">
        <f t="shared" ref="T128" si="619">S128/1000</f>
        <v>-78.24838289873729</v>
      </c>
    </row>
    <row r="129" spans="1:20" x14ac:dyDescent="0.25">
      <c r="A129" s="5">
        <v>44464</v>
      </c>
      <c r="B129">
        <v>7.4300000000000005E-2</v>
      </c>
      <c r="C129">
        <v>7.4700000000000003E-2</v>
      </c>
      <c r="D129">
        <v>6.8000000000000005E-2</v>
      </c>
      <c r="E129">
        <v>6.9199999999999998E-2</v>
      </c>
      <c r="F129">
        <v>692997807</v>
      </c>
      <c r="G129">
        <v>6.9199999999999998E-2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-0.64179104477612148</v>
      </c>
      <c r="Q129">
        <f t="shared" ref="Q129" si="621">F129*P129</f>
        <v>-444759786.58209097</v>
      </c>
      <c r="R129">
        <f t="shared" ref="R129" si="622">R130+Q129</f>
        <v>-8177612953.3282728</v>
      </c>
      <c r="S129">
        <f t="shared" ref="S129" si="623">R129/100000</f>
        <v>-81776.129533282729</v>
      </c>
      <c r="T129">
        <f t="shared" ref="T129" si="624">S129/1000</f>
        <v>-81.776129533282727</v>
      </c>
    </row>
    <row r="130" spans="1:20" x14ac:dyDescent="0.25">
      <c r="A130" s="5">
        <v>44463</v>
      </c>
      <c r="B130">
        <v>8.2500000000000004E-2</v>
      </c>
      <c r="C130">
        <v>9.3600000000000003E-2</v>
      </c>
      <c r="D130">
        <v>6.8500000000000005E-2</v>
      </c>
      <c r="E130">
        <v>7.4200000000000002E-2</v>
      </c>
      <c r="F130">
        <v>2466387800</v>
      </c>
      <c r="G130">
        <v>7.4200000000000002E-2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-0.54581673306772927</v>
      </c>
      <c r="Q130">
        <f t="shared" ref="Q130" si="626">F130*P130</f>
        <v>-1346195731.4741039</v>
      </c>
      <c r="R130">
        <f t="shared" ref="R130" si="627">R131+Q130</f>
        <v>-7732853166.7461815</v>
      </c>
      <c r="S130">
        <f t="shared" ref="S130" si="628">R130/100000</f>
        <v>-77328.531667461808</v>
      </c>
      <c r="T130">
        <f t="shared" ref="T130" si="629">S130/1000</f>
        <v>-77.328531667461803</v>
      </c>
    </row>
    <row r="131" spans="1:20" x14ac:dyDescent="0.25">
      <c r="A131" s="5">
        <v>44462</v>
      </c>
      <c r="B131">
        <v>6.3600000000000004E-2</v>
      </c>
      <c r="C131">
        <v>9.4299999999999995E-2</v>
      </c>
      <c r="D131">
        <v>6.1600000000000002E-2</v>
      </c>
      <c r="E131">
        <v>8.2600000000000007E-2</v>
      </c>
      <c r="F131">
        <v>3520536905</v>
      </c>
      <c r="G131">
        <v>8.2600000000000007E-2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0.28440366972477121</v>
      </c>
      <c r="Q131">
        <f t="shared" ref="Q131" si="631">F131*P131</f>
        <v>1001253615.1834882</v>
      </c>
      <c r="R131">
        <f t="shared" ref="R131" si="632">R132+Q131</f>
        <v>-6386657435.2720776</v>
      </c>
      <c r="S131">
        <f t="shared" ref="S131" si="633">R131/100000</f>
        <v>-63866.574352720774</v>
      </c>
      <c r="T131">
        <f t="shared" ref="T131" si="634">S131/1000</f>
        <v>-63.866574352720775</v>
      </c>
    </row>
    <row r="132" spans="1:20" x14ac:dyDescent="0.25">
      <c r="A132" s="5">
        <v>44461</v>
      </c>
      <c r="B132">
        <v>5.8299999999999998E-2</v>
      </c>
      <c r="C132">
        <v>6.59E-2</v>
      </c>
      <c r="D132">
        <v>5.6899999999999999E-2</v>
      </c>
      <c r="E132">
        <v>6.3600000000000004E-2</v>
      </c>
      <c r="F132">
        <v>734628543</v>
      </c>
      <c r="G132">
        <v>6.3600000000000004E-2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0.48888888888888971</v>
      </c>
      <c r="Q132">
        <f t="shared" ref="Q132" si="636">F132*P132</f>
        <v>359151732.13333392</v>
      </c>
      <c r="R132">
        <f t="shared" ref="R132" si="637">R133+Q132</f>
        <v>-7387911050.4555655</v>
      </c>
      <c r="S132">
        <f t="shared" ref="S132" si="638">R132/100000</f>
        <v>-73879.110504555661</v>
      </c>
      <c r="T132">
        <f t="shared" ref="T132" si="639">S132/1000</f>
        <v>-73.879110504555655</v>
      </c>
    </row>
    <row r="133" spans="1:20" x14ac:dyDescent="0.25">
      <c r="A133" s="5">
        <v>44460</v>
      </c>
      <c r="B133">
        <v>6.3500000000000001E-2</v>
      </c>
      <c r="C133">
        <v>6.7699999999999996E-2</v>
      </c>
      <c r="D133">
        <v>5.5100000000000003E-2</v>
      </c>
      <c r="E133">
        <v>5.8299999999999998E-2</v>
      </c>
      <c r="F133">
        <v>938334295</v>
      </c>
      <c r="G133">
        <v>5.8299999999999998E-2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-0.49206349206349265</v>
      </c>
      <c r="Q133">
        <f t="shared" ref="Q133" si="641">F133*P133</f>
        <v>-461720049.92063546</v>
      </c>
      <c r="R133">
        <f t="shared" ref="R133" si="642">R134+Q133</f>
        <v>-7747062782.5888996</v>
      </c>
      <c r="S133">
        <f t="shared" ref="S133" si="643">R133/100000</f>
        <v>-77470.627825888994</v>
      </c>
      <c r="T133">
        <f t="shared" ref="T133" si="644">S133/1000</f>
        <v>-77.470627825888997</v>
      </c>
    </row>
    <row r="134" spans="1:20" x14ac:dyDescent="0.25">
      <c r="A134" s="5">
        <v>44459</v>
      </c>
      <c r="B134">
        <v>7.5700000000000003E-2</v>
      </c>
      <c r="C134">
        <v>7.6499999999999999E-2</v>
      </c>
      <c r="D134">
        <v>6.59E-2</v>
      </c>
      <c r="E134">
        <v>6.83E-2</v>
      </c>
      <c r="F134">
        <v>470481896</v>
      </c>
      <c r="G134">
        <v>6.83E-2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-0.54716981132075482</v>
      </c>
      <c r="Q134">
        <f t="shared" ref="Q134" si="646">F134*P134</f>
        <v>-257433490.26415098</v>
      </c>
      <c r="R134">
        <f t="shared" ref="R134" si="647">R135+Q134</f>
        <v>-7285342732.6682644</v>
      </c>
      <c r="S134">
        <f t="shared" ref="S134" si="648">R134/100000</f>
        <v>-72853.427326682649</v>
      </c>
      <c r="T134">
        <f t="shared" ref="T134" si="649">S134/1000</f>
        <v>-72.853427326682649</v>
      </c>
    </row>
    <row r="135" spans="1:20" x14ac:dyDescent="0.25">
      <c r="A135" s="5">
        <v>44458</v>
      </c>
      <c r="B135">
        <v>8.1600000000000006E-2</v>
      </c>
      <c r="C135">
        <v>8.1699999999999995E-2</v>
      </c>
      <c r="D135">
        <v>7.4999999999999997E-2</v>
      </c>
      <c r="E135">
        <v>7.5700000000000003E-2</v>
      </c>
      <c r="F135">
        <v>529155759</v>
      </c>
      <c r="G135">
        <v>7.5700000000000003E-2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-0.79104477611940105</v>
      </c>
      <c r="Q135">
        <f t="shared" ref="Q135" si="651">F135*P135</f>
        <v>-418585898.91044676</v>
      </c>
      <c r="R135">
        <f t="shared" ref="R135" si="652">R136+Q135</f>
        <v>-7027909242.4041138</v>
      </c>
      <c r="S135">
        <f t="shared" ref="S135" si="653">R135/100000</f>
        <v>-70279.09242404114</v>
      </c>
      <c r="T135">
        <f t="shared" ref="T135" si="654">S135/1000</f>
        <v>-70.279092424041139</v>
      </c>
    </row>
    <row r="136" spans="1:20" x14ac:dyDescent="0.25">
      <c r="A136" s="5">
        <v>44457</v>
      </c>
      <c r="B136">
        <v>8.1500000000000003E-2</v>
      </c>
      <c r="C136">
        <v>8.7400000000000005E-2</v>
      </c>
      <c r="D136">
        <v>8.0399999999999999E-2</v>
      </c>
      <c r="E136">
        <v>8.1500000000000003E-2</v>
      </c>
      <c r="F136">
        <v>622981918</v>
      </c>
      <c r="G136">
        <v>8.1500000000000003E-2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-0.68571428571428494</v>
      </c>
      <c r="Q136">
        <f t="shared" ref="Q136" si="656">F136*P136</f>
        <v>-427187600.91428524</v>
      </c>
      <c r="R136">
        <f t="shared" ref="R136" si="657">R137+Q136</f>
        <v>-6609323343.4936666</v>
      </c>
      <c r="S136">
        <f t="shared" ref="S136" si="658">R136/100000</f>
        <v>-66093.233434936672</v>
      </c>
      <c r="T136">
        <f t="shared" ref="T136" si="659">S136/1000</f>
        <v>-66.093233434936678</v>
      </c>
    </row>
    <row r="137" spans="1:20" x14ac:dyDescent="0.25">
      <c r="A137" s="5">
        <v>44456</v>
      </c>
      <c r="B137">
        <v>8.7400000000000005E-2</v>
      </c>
      <c r="C137">
        <v>8.9899999999999994E-2</v>
      </c>
      <c r="D137">
        <v>8.0100000000000005E-2</v>
      </c>
      <c r="E137">
        <v>8.1500000000000003E-2</v>
      </c>
      <c r="F137">
        <v>588057406</v>
      </c>
      <c r="G137">
        <v>8.1500000000000003E-2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-0.7142857142857143</v>
      </c>
      <c r="Q137">
        <f t="shared" ref="Q137" si="661">F137*P137</f>
        <v>-420041004.28571427</v>
      </c>
      <c r="R137">
        <f t="shared" ref="R137" si="662">R138+Q137</f>
        <v>-6182135742.579381</v>
      </c>
      <c r="S137">
        <f t="shared" ref="S137" si="663">R137/100000</f>
        <v>-61821.357425793809</v>
      </c>
      <c r="T137">
        <f t="shared" ref="T137" si="664">S137/1000</f>
        <v>-61.821357425793806</v>
      </c>
    </row>
    <row r="138" spans="1:20" x14ac:dyDescent="0.25">
      <c r="A138" s="5">
        <v>44455</v>
      </c>
      <c r="B138">
        <v>9.7100000000000006E-2</v>
      </c>
      <c r="C138">
        <v>9.8000000000000004E-2</v>
      </c>
      <c r="D138">
        <v>8.2699999999999996E-2</v>
      </c>
      <c r="E138">
        <v>8.7499999999999994E-2</v>
      </c>
      <c r="F138">
        <v>931503758</v>
      </c>
      <c r="G138">
        <v>8.7499999999999994E-2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-0.37254901960784365</v>
      </c>
      <c r="Q138">
        <f t="shared" ref="Q138" si="666">F138*P138</f>
        <v>-347030811.80392206</v>
      </c>
      <c r="R138">
        <f t="shared" ref="R138" si="667">R139+Q138</f>
        <v>-5762094738.2936668</v>
      </c>
      <c r="S138">
        <f t="shared" ref="S138" si="668">R138/100000</f>
        <v>-57620.947382936669</v>
      </c>
      <c r="T138">
        <f t="shared" ref="T138" si="669">S138/1000</f>
        <v>-57.62094738293667</v>
      </c>
    </row>
    <row r="139" spans="1:20" x14ac:dyDescent="0.25">
      <c r="A139" s="5">
        <v>44454</v>
      </c>
      <c r="B139">
        <v>8.1199999999999994E-2</v>
      </c>
      <c r="C139">
        <v>9.9500000000000005E-2</v>
      </c>
      <c r="D139">
        <v>7.9299999999999995E-2</v>
      </c>
      <c r="E139">
        <v>9.7199999999999995E-2</v>
      </c>
      <c r="F139">
        <v>1563278591</v>
      </c>
      <c r="G139">
        <v>9.7199999999999995E-2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0.77227722772277141</v>
      </c>
      <c r="Q139">
        <f t="shared" ref="Q139" si="671">F139*P139</f>
        <v>1207284456.4158401</v>
      </c>
      <c r="R139">
        <f t="shared" ref="R139" si="672">R140+Q139</f>
        <v>-5415063926.4897451</v>
      </c>
      <c r="S139">
        <f t="shared" ref="S139" si="673">R139/100000</f>
        <v>-54150.639264897451</v>
      </c>
      <c r="T139">
        <f t="shared" ref="T139" si="674">S139/1000</f>
        <v>-54.15063926489745</v>
      </c>
    </row>
    <row r="140" spans="1:20" x14ac:dyDescent="0.25">
      <c r="A140" s="5">
        <v>44453</v>
      </c>
      <c r="B140">
        <v>8.0399999999999999E-2</v>
      </c>
      <c r="C140">
        <v>8.3799999999999999E-2</v>
      </c>
      <c r="D140">
        <v>7.8700000000000006E-2</v>
      </c>
      <c r="E140">
        <v>8.1299999999999997E-2</v>
      </c>
      <c r="F140">
        <v>448658992</v>
      </c>
      <c r="G140">
        <v>8.1299999999999997E-2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1.9607843137252768E-2</v>
      </c>
      <c r="Q140">
        <f t="shared" ref="Q140" si="676">F140*P140</f>
        <v>8797235.1372539438</v>
      </c>
      <c r="R140">
        <f t="shared" ref="R140" si="677">R141+Q140</f>
        <v>-6622348382.9055853</v>
      </c>
      <c r="S140">
        <f t="shared" ref="S140" si="678">R140/100000</f>
        <v>-66223.483829055855</v>
      </c>
      <c r="T140">
        <f t="shared" ref="T140" si="679">S140/1000</f>
        <v>-66.223483829055851</v>
      </c>
    </row>
    <row r="141" spans="1:20" x14ac:dyDescent="0.25">
      <c r="A141" s="5">
        <v>44452</v>
      </c>
      <c r="B141">
        <v>8.6599999999999996E-2</v>
      </c>
      <c r="C141">
        <v>8.7300000000000003E-2</v>
      </c>
      <c r="D141">
        <v>7.6300000000000007E-2</v>
      </c>
      <c r="E141">
        <v>8.0500000000000002E-2</v>
      </c>
      <c r="F141">
        <v>642232421</v>
      </c>
      <c r="G141">
        <v>8.0500000000000002E-2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-0.23636363636363691</v>
      </c>
      <c r="Q141">
        <f t="shared" ref="Q141" si="681">F141*P141</f>
        <v>-151800390.41818216</v>
      </c>
      <c r="R141">
        <f t="shared" ref="R141" si="682">R142+Q141</f>
        <v>-6631145618.0428391</v>
      </c>
      <c r="S141">
        <f t="shared" ref="S141" si="683">R141/100000</f>
        <v>-66311.456180428388</v>
      </c>
      <c r="T141">
        <f t="shared" ref="T141" si="684">S141/1000</f>
        <v>-66.311456180428394</v>
      </c>
    </row>
    <row r="142" spans="1:20" x14ac:dyDescent="0.25">
      <c r="A142" s="5">
        <v>44451</v>
      </c>
      <c r="B142">
        <v>8.7900000000000006E-2</v>
      </c>
      <c r="C142">
        <v>9.0700000000000003E-2</v>
      </c>
      <c r="D142">
        <v>8.4699999999999998E-2</v>
      </c>
      <c r="E142">
        <v>8.6599999999999996E-2</v>
      </c>
      <c r="F142">
        <v>411035071</v>
      </c>
      <c r="G142">
        <v>8.6599999999999996E-2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-0.36666666666666758</v>
      </c>
      <c r="Q142">
        <f t="shared" ref="Q142" si="686">F142*P142</f>
        <v>-150712859.36666703</v>
      </c>
      <c r="R142">
        <f t="shared" ref="R142" si="687">R143+Q142</f>
        <v>-6479345227.6246567</v>
      </c>
      <c r="S142">
        <f t="shared" ref="S142" si="688">R142/100000</f>
        <v>-64793.452276246564</v>
      </c>
      <c r="T142">
        <f t="shared" ref="T142" si="689">S142/1000</f>
        <v>-64.793452276246569</v>
      </c>
    </row>
    <row r="143" spans="1:20" x14ac:dyDescent="0.25">
      <c r="A143" s="5">
        <v>44450</v>
      </c>
      <c r="B143">
        <v>8.7999999999999995E-2</v>
      </c>
      <c r="C143">
        <v>9.4500000000000001E-2</v>
      </c>
      <c r="D143">
        <v>8.3299999999999999E-2</v>
      </c>
      <c r="E143">
        <v>8.7800000000000003E-2</v>
      </c>
      <c r="F143">
        <v>491082778</v>
      </c>
      <c r="G143">
        <v>8.7800000000000003E-2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-0.19642857142857084</v>
      </c>
      <c r="Q143">
        <f t="shared" ref="Q143" si="691">F143*P143</f>
        <v>-96462688.535714</v>
      </c>
      <c r="R143">
        <f t="shared" ref="R143" si="692">R144+Q143</f>
        <v>-6328632368.2579899</v>
      </c>
      <c r="S143">
        <f t="shared" ref="S143" si="693">R143/100000</f>
        <v>-63286.323682579896</v>
      </c>
      <c r="T143">
        <f t="shared" ref="T143" si="694">S143/1000</f>
        <v>-63.286323682579898</v>
      </c>
    </row>
    <row r="144" spans="1:20" x14ac:dyDescent="0.25">
      <c r="A144" s="5">
        <v>44449</v>
      </c>
      <c r="B144">
        <v>9.8400000000000001E-2</v>
      </c>
      <c r="C144">
        <v>0.1004</v>
      </c>
      <c r="D144">
        <v>8.3299999999999999E-2</v>
      </c>
      <c r="E144">
        <v>8.7999999999999995E-2</v>
      </c>
      <c r="F144">
        <v>507308427</v>
      </c>
      <c r="G144">
        <v>8.7999999999999995E-2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-0.45029239766081935</v>
      </c>
      <c r="Q144">
        <f t="shared" ref="Q144" si="696">F144*P144</f>
        <v>-228437127.94736874</v>
      </c>
      <c r="R144">
        <f t="shared" ref="R144" si="697">R145+Q144</f>
        <v>-6232169679.7222757</v>
      </c>
      <c r="S144">
        <f t="shared" ref="S144" si="698">R144/100000</f>
        <v>-62321.696797222758</v>
      </c>
      <c r="T144">
        <f t="shared" ref="T144" si="699">S144/1000</f>
        <v>-62.321696797222756</v>
      </c>
    </row>
    <row r="145" spans="1:20" x14ac:dyDescent="0.25">
      <c r="A145" s="5">
        <v>44448</v>
      </c>
      <c r="B145">
        <v>9.9000000000000005E-2</v>
      </c>
      <c r="C145">
        <v>0.1055</v>
      </c>
      <c r="D145">
        <v>9.5000000000000001E-2</v>
      </c>
      <c r="E145">
        <v>9.8500000000000004E-2</v>
      </c>
      <c r="F145">
        <v>579138578</v>
      </c>
      <c r="G145">
        <v>9.8500000000000004E-2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-0.33333333333333243</v>
      </c>
      <c r="Q145">
        <f t="shared" ref="Q145" si="701">F145*P145</f>
        <v>-193046192.66666615</v>
      </c>
      <c r="R145">
        <f t="shared" ref="R145" si="702">R146+Q145</f>
        <v>-6003732551.7749071</v>
      </c>
      <c r="S145">
        <f t="shared" ref="S145" si="703">R145/100000</f>
        <v>-60037.325517749072</v>
      </c>
      <c r="T145">
        <f t="shared" ref="T145" si="704">S145/1000</f>
        <v>-60.037325517749075</v>
      </c>
    </row>
    <row r="146" spans="1:20" x14ac:dyDescent="0.25">
      <c r="A146" s="5">
        <v>44447</v>
      </c>
      <c r="B146">
        <v>9.5600000000000004E-2</v>
      </c>
      <c r="C146">
        <v>0.1074</v>
      </c>
      <c r="D146">
        <v>8.4400000000000003E-2</v>
      </c>
      <c r="E146">
        <v>9.9000000000000005E-2</v>
      </c>
      <c r="F146">
        <v>716927848</v>
      </c>
      <c r="G146">
        <v>9.9000000000000005E-2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0.2695652173913049</v>
      </c>
      <c r="Q146">
        <f t="shared" ref="Q146" si="706">F146*P146</f>
        <v>193258811.20000041</v>
      </c>
      <c r="R146">
        <f t="shared" ref="R146" si="707">R147+Q146</f>
        <v>-5810686359.1082411</v>
      </c>
      <c r="S146">
        <f t="shared" ref="S146" si="708">R146/100000</f>
        <v>-58106.863591082409</v>
      </c>
      <c r="T146">
        <f t="shared" ref="T146" si="709">S146/1000</f>
        <v>-58.106863591082409</v>
      </c>
    </row>
    <row r="147" spans="1:20" x14ac:dyDescent="0.25">
      <c r="A147" s="5">
        <v>44446</v>
      </c>
      <c r="B147">
        <v>0.11600000000000001</v>
      </c>
      <c r="C147">
        <v>0.1258</v>
      </c>
      <c r="D147">
        <v>8.0399999999999999E-2</v>
      </c>
      <c r="E147">
        <v>9.5500000000000002E-2</v>
      </c>
      <c r="F147">
        <v>1367910063</v>
      </c>
      <c r="G147">
        <v>9.5500000000000002E-2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-0.33480176211453727</v>
      </c>
      <c r="Q147">
        <f t="shared" ref="Q147" si="711">F147*P147</f>
        <v>-457978699.50660771</v>
      </c>
      <c r="R147">
        <f t="shared" ref="R147" si="712">R148+Q147</f>
        <v>-6003945170.3082418</v>
      </c>
      <c r="S147">
        <f t="shared" ref="S147" si="713">R147/100000</f>
        <v>-60039.451703082421</v>
      </c>
      <c r="T147">
        <f t="shared" ref="T147" si="714">S147/1000</f>
        <v>-60.03945170308242</v>
      </c>
    </row>
    <row r="148" spans="1:20" x14ac:dyDescent="0.25">
      <c r="A148" s="5">
        <v>44445</v>
      </c>
      <c r="B148">
        <v>0.1198</v>
      </c>
      <c r="C148">
        <v>0.123</v>
      </c>
      <c r="D148">
        <v>0.11509999999999999</v>
      </c>
      <c r="E148">
        <v>0.11600000000000001</v>
      </c>
      <c r="F148">
        <v>531675281</v>
      </c>
      <c r="G148">
        <v>0.11600000000000001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-0.77215189873417434</v>
      </c>
      <c r="Q148">
        <f t="shared" ref="Q148" si="716">F148*P148</f>
        <v>-410534077.73417568</v>
      </c>
      <c r="R148">
        <f t="shared" ref="R148" si="717">R149+Q148</f>
        <v>-5545966470.8016338</v>
      </c>
      <c r="S148">
        <f t="shared" ref="S148" si="718">R148/100000</f>
        <v>-55459.664708016338</v>
      </c>
      <c r="T148">
        <f t="shared" ref="T148" si="719">S148/1000</f>
        <v>-55.459664708016341</v>
      </c>
    </row>
    <row r="149" spans="1:20" x14ac:dyDescent="0.25">
      <c r="A149" s="5">
        <v>44444</v>
      </c>
      <c r="B149">
        <v>0.126</v>
      </c>
      <c r="C149">
        <v>0.1278</v>
      </c>
      <c r="D149">
        <v>0.1182</v>
      </c>
      <c r="E149">
        <v>0.1198</v>
      </c>
      <c r="F149">
        <v>549361023</v>
      </c>
      <c r="G149">
        <v>0.1198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-0.66666666666666574</v>
      </c>
      <c r="Q149">
        <f t="shared" ref="Q149" si="721">F149*P149</f>
        <v>-366240681.99999946</v>
      </c>
      <c r="R149">
        <f t="shared" ref="R149" si="722">R150+Q149</f>
        <v>-5135432393.0674582</v>
      </c>
      <c r="S149">
        <f t="shared" ref="S149" si="723">R149/100000</f>
        <v>-51354.323930674582</v>
      </c>
      <c r="T149">
        <f t="shared" ref="T149" si="724">S149/1000</f>
        <v>-51.354323930674582</v>
      </c>
    </row>
    <row r="150" spans="1:20" x14ac:dyDescent="0.25">
      <c r="A150" s="5">
        <v>44443</v>
      </c>
      <c r="B150">
        <v>0.12959999999999999</v>
      </c>
      <c r="C150">
        <v>0.13550000000000001</v>
      </c>
      <c r="D150">
        <v>0.12280000000000001</v>
      </c>
      <c r="E150">
        <v>0.126</v>
      </c>
      <c r="F150">
        <v>705023658</v>
      </c>
      <c r="G150">
        <v>0.126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-0.49606299212598526</v>
      </c>
      <c r="Q150">
        <f t="shared" ref="Q150" si="726">F150*P150</f>
        <v>-349736145.3070873</v>
      </c>
      <c r="R150">
        <f t="shared" ref="R150" si="727">R151+Q150</f>
        <v>-4769191711.0674591</v>
      </c>
      <c r="S150">
        <f t="shared" ref="S150" si="728">R150/100000</f>
        <v>-47691.917110674593</v>
      </c>
      <c r="T150">
        <f t="shared" ref="T150" si="729">S150/1000</f>
        <v>-47.691917110674595</v>
      </c>
    </row>
    <row r="151" spans="1:20" x14ac:dyDescent="0.25">
      <c r="A151" s="5">
        <v>44442</v>
      </c>
      <c r="B151">
        <v>0.1386</v>
      </c>
      <c r="C151">
        <v>0.14960000000000001</v>
      </c>
      <c r="D151">
        <v>0.1273</v>
      </c>
      <c r="E151">
        <v>0.12970000000000001</v>
      </c>
      <c r="F151">
        <v>1077977525</v>
      </c>
      <c r="G151">
        <v>0.12970000000000001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-0.78475336322869849</v>
      </c>
      <c r="Q151">
        <f t="shared" ref="Q151" si="731">F151*P151</f>
        <v>-845946488.22869837</v>
      </c>
      <c r="R151">
        <f t="shared" ref="R151" si="732">R152+Q151</f>
        <v>-4419455565.7603722</v>
      </c>
      <c r="S151">
        <f t="shared" ref="S151" si="733">R151/100000</f>
        <v>-44194.55565760372</v>
      </c>
      <c r="T151">
        <f t="shared" ref="T151" si="734">S151/1000</f>
        <v>-44.194555657603722</v>
      </c>
    </row>
    <row r="152" spans="1:20" x14ac:dyDescent="0.25">
      <c r="A152" s="5">
        <v>44441</v>
      </c>
      <c r="B152">
        <v>0.1205</v>
      </c>
      <c r="C152">
        <v>0.14480000000000001</v>
      </c>
      <c r="D152">
        <v>0.1179</v>
      </c>
      <c r="E152">
        <v>0.1386</v>
      </c>
      <c r="F152">
        <v>1419718971</v>
      </c>
      <c r="G152">
        <v>0.1386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0.53903345724906992</v>
      </c>
      <c r="Q152">
        <f t="shared" ref="Q152" si="736">F152*P152</f>
        <v>765276025.26022208</v>
      </c>
      <c r="R152">
        <f t="shared" ref="R152" si="737">R153+Q152</f>
        <v>-3573509077.5316739</v>
      </c>
      <c r="S152">
        <f t="shared" ref="S152" si="738">R152/100000</f>
        <v>-35735.090775316741</v>
      </c>
      <c r="T152">
        <f t="shared" ref="T152" si="739">S152/1000</f>
        <v>-35.735090775316742</v>
      </c>
    </row>
    <row r="153" spans="1:20" x14ac:dyDescent="0.25">
      <c r="A153" s="5">
        <v>44440</v>
      </c>
      <c r="B153">
        <v>0.1138</v>
      </c>
      <c r="C153">
        <v>0.12740000000000001</v>
      </c>
      <c r="D153">
        <v>0.1077</v>
      </c>
      <c r="E153">
        <v>0.1206</v>
      </c>
      <c r="F153">
        <v>740826198</v>
      </c>
      <c r="G153">
        <v>0.1206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0.3096446700507603</v>
      </c>
      <c r="Q153">
        <f t="shared" ref="Q153" si="741">F153*P153</f>
        <v>229392883.6446692</v>
      </c>
      <c r="R153">
        <f t="shared" ref="R153" si="742">R154+Q153</f>
        <v>-4338785102.7918959</v>
      </c>
      <c r="S153">
        <f t="shared" ref="S153" si="743">R153/100000</f>
        <v>-43387.851027918958</v>
      </c>
      <c r="T153">
        <f t="shared" ref="T153" si="744">S153/1000</f>
        <v>-43.387851027918956</v>
      </c>
    </row>
    <row r="154" spans="1:20" x14ac:dyDescent="0.25">
      <c r="A154" s="5">
        <v>44439</v>
      </c>
      <c r="B154">
        <v>0.1249</v>
      </c>
      <c r="C154">
        <v>0.1278</v>
      </c>
      <c r="D154">
        <v>0.1105</v>
      </c>
      <c r="E154">
        <v>0.1137</v>
      </c>
      <c r="F154">
        <v>568471573</v>
      </c>
      <c r="G154">
        <v>0.1137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-0.63005780346820861</v>
      </c>
      <c r="Q154">
        <f t="shared" ref="Q154" si="746">F154*P154</f>
        <v>-358169950.61849743</v>
      </c>
      <c r="R154">
        <f t="shared" ref="R154" si="747">R155+Q154</f>
        <v>-4568177986.4365654</v>
      </c>
      <c r="S154">
        <f t="shared" ref="S154" si="748">R154/100000</f>
        <v>-45681.779864365657</v>
      </c>
      <c r="T154">
        <f t="shared" ref="T154" si="749">S154/1000</f>
        <v>-45.681779864365659</v>
      </c>
    </row>
    <row r="155" spans="1:20" x14ac:dyDescent="0.25">
      <c r="A155" s="5">
        <v>44438</v>
      </c>
      <c r="B155">
        <v>0.13619999999999999</v>
      </c>
      <c r="C155">
        <v>0.1386</v>
      </c>
      <c r="D155">
        <v>0.1236</v>
      </c>
      <c r="E155">
        <v>0.1249</v>
      </c>
      <c r="F155">
        <v>398087217</v>
      </c>
      <c r="G155">
        <v>0.1249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-0.82666666666666722</v>
      </c>
      <c r="Q155">
        <f t="shared" ref="Q155" si="751">F155*P155</f>
        <v>-329085432.72000021</v>
      </c>
      <c r="R155">
        <f t="shared" ref="R155" si="752">R156+Q155</f>
        <v>-4210008035.818068</v>
      </c>
      <c r="S155">
        <f t="shared" ref="S155" si="753">R155/100000</f>
        <v>-42100.080358180683</v>
      </c>
      <c r="T155">
        <f t="shared" ref="T155" si="754">S155/1000</f>
        <v>-42.100080358180684</v>
      </c>
    </row>
    <row r="156" spans="1:20" x14ac:dyDescent="0.25">
      <c r="A156" s="5">
        <v>44437</v>
      </c>
      <c r="B156">
        <v>0.1391</v>
      </c>
      <c r="C156">
        <v>0.14080000000000001</v>
      </c>
      <c r="D156">
        <v>0.1321</v>
      </c>
      <c r="E156">
        <v>0.13619999999999999</v>
      </c>
      <c r="F156">
        <v>324244801</v>
      </c>
      <c r="G156">
        <v>0.13619999999999999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-5.7471264367819248E-2</v>
      </c>
      <c r="Q156">
        <f t="shared" ref="Q156" si="756">F156*P156</f>
        <v>-18634758.678161941</v>
      </c>
      <c r="R156">
        <f t="shared" ref="R156" si="757">R157+Q156</f>
        <v>-3880922603.0980678</v>
      </c>
      <c r="S156">
        <f t="shared" ref="S156" si="758">R156/100000</f>
        <v>-38809.226030980681</v>
      </c>
      <c r="T156">
        <f t="shared" ref="T156" si="759">S156/1000</f>
        <v>-38.809226030980682</v>
      </c>
    </row>
    <row r="157" spans="1:20" x14ac:dyDescent="0.25">
      <c r="A157" s="5">
        <v>44436</v>
      </c>
      <c r="B157">
        <v>0.14630000000000001</v>
      </c>
      <c r="C157">
        <v>0.1467</v>
      </c>
      <c r="D157">
        <v>0.13800000000000001</v>
      </c>
      <c r="E157">
        <v>0.1391</v>
      </c>
      <c r="F157">
        <v>282108206</v>
      </c>
      <c r="G157">
        <v>0.1391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-0.74712643678161106</v>
      </c>
      <c r="Q157">
        <f t="shared" ref="Q157" si="761">F157*P157</f>
        <v>-210770498.73563272</v>
      </c>
      <c r="R157">
        <f t="shared" ref="R157" si="762">R158+Q157</f>
        <v>-3862287844.4199057</v>
      </c>
      <c r="S157">
        <f t="shared" ref="S157" si="763">R157/100000</f>
        <v>-38622.878444199057</v>
      </c>
      <c r="T157">
        <f t="shared" ref="T157" si="764">S157/1000</f>
        <v>-38.62287844419906</v>
      </c>
    </row>
    <row r="158" spans="1:20" x14ac:dyDescent="0.25">
      <c r="A158" s="5">
        <v>44435</v>
      </c>
      <c r="B158">
        <v>0.14180000000000001</v>
      </c>
      <c r="C158">
        <v>0.15129999999999999</v>
      </c>
      <c r="D158">
        <v>0.1318</v>
      </c>
      <c r="E158">
        <v>0.14630000000000001</v>
      </c>
      <c r="F158">
        <v>367519789</v>
      </c>
      <c r="G158">
        <v>0.14630000000000001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0.48717948717948928</v>
      </c>
      <c r="Q158">
        <f t="shared" ref="Q158" si="766">F158*P158</f>
        <v>179048102.33333412</v>
      </c>
      <c r="R158">
        <f t="shared" ref="R158" si="767">R159+Q158</f>
        <v>-3651517345.6842728</v>
      </c>
      <c r="S158">
        <f t="shared" ref="S158" si="768">R158/100000</f>
        <v>-36515.173456842727</v>
      </c>
      <c r="T158">
        <f t="shared" ref="T158" si="769">S158/1000</f>
        <v>-36.515173456842724</v>
      </c>
    </row>
    <row r="159" spans="1:20" x14ac:dyDescent="0.25">
      <c r="A159" s="5">
        <v>44434</v>
      </c>
      <c r="B159">
        <v>0.16</v>
      </c>
      <c r="C159">
        <v>0.1623</v>
      </c>
      <c r="D159">
        <v>0.13830000000000001</v>
      </c>
      <c r="E159">
        <v>0.1416</v>
      </c>
      <c r="F159">
        <v>529403654</v>
      </c>
      <c r="G159">
        <v>0.1416</v>
      </c>
      <c r="L159" t="s">
        <v>8</v>
      </c>
      <c r="M159" t="s">
        <v>8</v>
      </c>
      <c r="N159" t="s">
        <v>7</v>
      </c>
      <c r="P159">
        <f t="shared" ref="P159" si="770">IF(C159=D159,0,((E159-D159)-(C159-E159))/(C159-D159))</f>
        <v>-0.7250000000000002</v>
      </c>
      <c r="Q159">
        <f t="shared" ref="Q159" si="771">F159*P159</f>
        <v>-383817649.1500001</v>
      </c>
      <c r="R159">
        <f t="shared" ref="R159" si="772">R160+Q159</f>
        <v>-3830565448.0176067</v>
      </c>
      <c r="S159">
        <f t="shared" ref="S159" si="773">R159/100000</f>
        <v>-38305.654480176068</v>
      </c>
      <c r="T159">
        <f t="shared" ref="T159" si="774">S159/1000</f>
        <v>-38.305654480176067</v>
      </c>
    </row>
    <row r="160" spans="1:20" x14ac:dyDescent="0.25">
      <c r="A160" s="5">
        <v>44433</v>
      </c>
      <c r="B160">
        <v>0.1394</v>
      </c>
      <c r="C160">
        <v>0.16830000000000001</v>
      </c>
      <c r="D160">
        <v>0.1283</v>
      </c>
      <c r="E160">
        <v>0.16</v>
      </c>
      <c r="F160">
        <v>890241515</v>
      </c>
      <c r="G160">
        <v>0.16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0.58499999999999996</v>
      </c>
      <c r="Q160">
        <f t="shared" ref="Q160" si="776">F160*P160</f>
        <v>520791286.27499998</v>
      </c>
      <c r="R160">
        <f t="shared" ref="R160" si="777">R161+Q160</f>
        <v>-3446747798.8676066</v>
      </c>
      <c r="S160">
        <f t="shared" ref="S160" si="778">R160/100000</f>
        <v>-34467.477988676066</v>
      </c>
      <c r="T160">
        <f t="shared" ref="T160" si="779">S160/1000</f>
        <v>-34.467477988676066</v>
      </c>
    </row>
    <row r="161" spans="1:20" x14ac:dyDescent="0.25">
      <c r="A161" s="5">
        <v>44432</v>
      </c>
      <c r="B161">
        <v>0.15529999999999999</v>
      </c>
      <c r="C161">
        <v>0.15629999999999999</v>
      </c>
      <c r="D161">
        <v>0.13250000000000001</v>
      </c>
      <c r="E161">
        <v>0.1394</v>
      </c>
      <c r="F161">
        <v>391597433</v>
      </c>
      <c r="G161">
        <v>0.1394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-0.42016806722689132</v>
      </c>
      <c r="Q161">
        <f t="shared" ref="Q161" si="781">F161*P161</f>
        <v>-164536736.55462205</v>
      </c>
      <c r="R161">
        <f t="shared" ref="R161" si="782">R162+Q161</f>
        <v>-3967539085.1426067</v>
      </c>
      <c r="S161">
        <f t="shared" ref="S161" si="783">R161/100000</f>
        <v>-39675.390851426069</v>
      </c>
      <c r="T161">
        <f t="shared" ref="T161" si="784">S161/1000</f>
        <v>-39.675390851426066</v>
      </c>
    </row>
    <row r="162" spans="1:20" x14ac:dyDescent="0.25">
      <c r="A162" s="5">
        <v>44431</v>
      </c>
      <c r="B162">
        <v>0.154</v>
      </c>
      <c r="C162">
        <v>0.16009999999999999</v>
      </c>
      <c r="D162">
        <v>0.1515</v>
      </c>
      <c r="E162">
        <v>0.1552</v>
      </c>
      <c r="F162">
        <v>331502722</v>
      </c>
      <c r="G162">
        <v>0.1552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-0.13953488372092784</v>
      </c>
      <c r="Q162">
        <f t="shared" ref="Q162" si="786">F162*P162</f>
        <v>-46256193.767441072</v>
      </c>
      <c r="R162">
        <f t="shared" ref="R162" si="787">R163+Q162</f>
        <v>-3803002348.5879846</v>
      </c>
      <c r="S162">
        <f t="shared" ref="S162" si="788">R162/100000</f>
        <v>-38030.023485879843</v>
      </c>
      <c r="T162">
        <f t="shared" ref="T162" si="789">S162/1000</f>
        <v>-38.030023485879845</v>
      </c>
    </row>
    <row r="163" spans="1:20" x14ac:dyDescent="0.25">
      <c r="A163" s="5">
        <v>44430</v>
      </c>
      <c r="B163">
        <v>0.15870000000000001</v>
      </c>
      <c r="C163">
        <v>0.16</v>
      </c>
      <c r="D163">
        <v>0.1565</v>
      </c>
      <c r="E163">
        <v>0.15679999999999999</v>
      </c>
      <c r="F163">
        <v>53980944</v>
      </c>
      <c r="G163">
        <v>0.15679999999999999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-0.82857142857143173</v>
      </c>
      <c r="Q163">
        <f t="shared" ref="Q163" si="791">F163*P163</f>
        <v>-44727067.885714456</v>
      </c>
      <c r="R163">
        <f t="shared" ref="R163" si="792">R164+Q163</f>
        <v>-3756746154.8205433</v>
      </c>
      <c r="S163">
        <f t="shared" ref="S163" si="793">R163/100000</f>
        <v>-37567.461548205436</v>
      </c>
      <c r="T163">
        <f t="shared" ref="T163" si="794">S163/1000</f>
        <v>-37.567461548205436</v>
      </c>
    </row>
    <row r="164" spans="1:20" x14ac:dyDescent="0.25">
      <c r="A164" s="5">
        <v>44429</v>
      </c>
      <c r="B164">
        <v>0.16700000000000001</v>
      </c>
      <c r="C164">
        <v>0.1686</v>
      </c>
      <c r="D164">
        <v>0.158</v>
      </c>
      <c r="E164">
        <v>0.15870000000000001</v>
      </c>
      <c r="F164">
        <v>342944837</v>
      </c>
      <c r="G164">
        <v>0.15870000000000001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-0.8679245283018856</v>
      </c>
      <c r="Q164">
        <f t="shared" ref="Q164" si="796">F164*P164</f>
        <v>-297650235.88679206</v>
      </c>
      <c r="R164">
        <f t="shared" ref="R164" si="797">R165+Q164</f>
        <v>-3712019086.9348288</v>
      </c>
      <c r="S164">
        <f t="shared" ref="S164" si="798">R164/100000</f>
        <v>-37120.190869348291</v>
      </c>
      <c r="T164">
        <f t="shared" ref="T164" si="799">S164/1000</f>
        <v>-37.120190869348292</v>
      </c>
    </row>
    <row r="165" spans="1:20" x14ac:dyDescent="0.25">
      <c r="A165" s="5">
        <v>44428</v>
      </c>
      <c r="B165">
        <v>0.17499999999999999</v>
      </c>
      <c r="C165">
        <v>0.17849999999999999</v>
      </c>
      <c r="D165">
        <v>0.16239999999999999</v>
      </c>
      <c r="E165">
        <v>0.1671</v>
      </c>
      <c r="F165">
        <v>396916459</v>
      </c>
      <c r="G165">
        <v>0.1671</v>
      </c>
      <c r="L165" t="s">
        <v>7</v>
      </c>
      <c r="M165" t="s">
        <v>7</v>
      </c>
      <c r="N165" t="s">
        <v>7</v>
      </c>
      <c r="P165">
        <f t="shared" ref="P165" si="800">IF(C165=D165,0,((E165-D165)-(C165-E165))/(C165-D165))</f>
        <v>-0.41614906832298026</v>
      </c>
      <c r="Q165">
        <f t="shared" ref="Q165" si="801">F165*P165</f>
        <v>-165176414.6149064</v>
      </c>
      <c r="R165">
        <f t="shared" ref="R165" si="802">R166+Q165</f>
        <v>-3414368851.0480366</v>
      </c>
      <c r="S165">
        <f t="shared" ref="S165" si="803">R165/100000</f>
        <v>-34143.688510480366</v>
      </c>
      <c r="T165">
        <f t="shared" ref="T165" si="804">S165/1000</f>
        <v>-34.143688510480366</v>
      </c>
    </row>
    <row r="166" spans="1:20" x14ac:dyDescent="0.25">
      <c r="A166" s="5">
        <v>44427</v>
      </c>
      <c r="B166">
        <v>0.15720000000000001</v>
      </c>
      <c r="C166">
        <v>0.17730000000000001</v>
      </c>
      <c r="D166">
        <v>0.1537</v>
      </c>
      <c r="E166">
        <v>0.1749</v>
      </c>
      <c r="F166">
        <v>473191892</v>
      </c>
      <c r="G166">
        <v>0.1749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0.79661016949152441</v>
      </c>
      <c r="Q166">
        <f t="shared" ref="Q166" si="806">F166*P166</f>
        <v>376949473.28813511</v>
      </c>
      <c r="R166">
        <f t="shared" ref="R166" si="807">R167+Q166</f>
        <v>-3249192436.4331303</v>
      </c>
      <c r="S166">
        <f t="shared" ref="S166" si="808">R166/100000</f>
        <v>-32491.924364331302</v>
      </c>
      <c r="T166">
        <f t="shared" ref="T166" si="809">S166/1000</f>
        <v>-32.491924364331304</v>
      </c>
    </row>
    <row r="167" spans="1:20" x14ac:dyDescent="0.25">
      <c r="A167" s="5">
        <v>44426</v>
      </c>
      <c r="B167">
        <v>0.1608</v>
      </c>
      <c r="C167">
        <v>0.16420000000000001</v>
      </c>
      <c r="D167">
        <v>0.1527</v>
      </c>
      <c r="E167">
        <v>0.15720000000000001</v>
      </c>
      <c r="F167">
        <v>302876873</v>
      </c>
      <c r="G167">
        <v>0.15720000000000001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-0.21739130434782608</v>
      </c>
      <c r="Q167">
        <f t="shared" ref="Q167" si="811">F167*P167</f>
        <v>-65842798.478260867</v>
      </c>
      <c r="R167">
        <f t="shared" ref="R167" si="812">R168+Q167</f>
        <v>-3626141909.7212653</v>
      </c>
      <c r="S167">
        <f t="shared" ref="S167" si="813">R167/100000</f>
        <v>-36261.419097212653</v>
      </c>
      <c r="T167">
        <f t="shared" ref="T167" si="814">S167/1000</f>
        <v>-36.261419097212652</v>
      </c>
    </row>
    <row r="168" spans="1:20" x14ac:dyDescent="0.25">
      <c r="A168" s="5">
        <v>44425</v>
      </c>
      <c r="B168">
        <v>0.17269999999999999</v>
      </c>
      <c r="C168">
        <v>0.1794</v>
      </c>
      <c r="D168">
        <v>0.15590000000000001</v>
      </c>
      <c r="E168">
        <v>0.1608</v>
      </c>
      <c r="F168">
        <v>388924402</v>
      </c>
      <c r="G168">
        <v>0.1608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-0.58297872340425627</v>
      </c>
      <c r="Q168">
        <f t="shared" ref="Q168" si="816">F168*P168</f>
        <v>-226734651.37872377</v>
      </c>
      <c r="R168">
        <f t="shared" ref="R168" si="817">R169+Q168</f>
        <v>-3560299111.2430043</v>
      </c>
      <c r="S168">
        <f t="shared" ref="S168" si="818">R168/100000</f>
        <v>-35602.991112430042</v>
      </c>
      <c r="T168">
        <f t="shared" ref="T168" si="819">S168/1000</f>
        <v>-35.60299111243004</v>
      </c>
    </row>
    <row r="169" spans="1:20" x14ac:dyDescent="0.25">
      <c r="A169" s="5">
        <v>44424</v>
      </c>
      <c r="B169">
        <v>0.17649999999999999</v>
      </c>
      <c r="C169">
        <v>0.1862</v>
      </c>
      <c r="D169">
        <v>0.17150000000000001</v>
      </c>
      <c r="E169">
        <v>0.17280000000000001</v>
      </c>
      <c r="F169">
        <v>411459146</v>
      </c>
      <c r="G169">
        <v>0.17280000000000001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-0.82312925170068074</v>
      </c>
      <c r="Q169">
        <f t="shared" ref="Q169" si="821">F169*P169</f>
        <v>-338684058.95238113</v>
      </c>
      <c r="R169">
        <f t="shared" ref="R169" si="822">R170+Q169</f>
        <v>-3333564459.8642807</v>
      </c>
      <c r="S169">
        <f t="shared" ref="S169" si="823">R169/100000</f>
        <v>-33335.644598642808</v>
      </c>
      <c r="T169">
        <f t="shared" ref="T169" si="824">S169/1000</f>
        <v>-33.335644598642808</v>
      </c>
    </row>
    <row r="170" spans="1:20" x14ac:dyDescent="0.25">
      <c r="A170" s="5">
        <v>44423</v>
      </c>
      <c r="B170">
        <v>0.17960000000000001</v>
      </c>
      <c r="C170">
        <v>0.1862</v>
      </c>
      <c r="D170">
        <v>0.16930000000000001</v>
      </c>
      <c r="E170">
        <v>0.17649999999999999</v>
      </c>
      <c r="F170">
        <v>379779425</v>
      </c>
      <c r="G170">
        <v>0.17649999999999999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-0.14792899408284202</v>
      </c>
      <c r="Q170">
        <f t="shared" ref="Q170" si="826">F170*P170</f>
        <v>-56180388.313610144</v>
      </c>
      <c r="R170">
        <f t="shared" ref="R170" si="827">R171+Q170</f>
        <v>-2994880400.9118996</v>
      </c>
      <c r="S170">
        <f t="shared" ref="S170" si="828">R170/100000</f>
        <v>-29948.804009118994</v>
      </c>
      <c r="T170">
        <f t="shared" ref="T170" si="829">S170/1000</f>
        <v>-29.948804009118994</v>
      </c>
    </row>
    <row r="171" spans="1:20" x14ac:dyDescent="0.25">
      <c r="A171" s="5">
        <v>44422</v>
      </c>
      <c r="B171">
        <v>0.19120000000000001</v>
      </c>
      <c r="C171">
        <v>0.19139999999999999</v>
      </c>
      <c r="D171">
        <v>0.17630000000000001</v>
      </c>
      <c r="E171">
        <v>0.17960000000000001</v>
      </c>
      <c r="F171">
        <v>246476173</v>
      </c>
      <c r="G171">
        <v>0.17960000000000001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-0.56291390728476787</v>
      </c>
      <c r="Q171">
        <f t="shared" ref="Q171" si="831">F171*P171</f>
        <v>-138744865.59602639</v>
      </c>
      <c r="R171">
        <f t="shared" ref="R171" si="832">R172+Q171</f>
        <v>-2938700012.5982895</v>
      </c>
      <c r="S171">
        <f t="shared" ref="S171" si="833">R171/100000</f>
        <v>-29387.000125982893</v>
      </c>
      <c r="T171">
        <f t="shared" ref="T171" si="834">S171/1000</f>
        <v>-29.387000125982894</v>
      </c>
    </row>
    <row r="172" spans="1:20" x14ac:dyDescent="0.25">
      <c r="A172" s="5">
        <v>44421</v>
      </c>
      <c r="B172">
        <v>0.19020000000000001</v>
      </c>
      <c r="C172">
        <v>0.19500000000000001</v>
      </c>
      <c r="D172">
        <v>0.1845</v>
      </c>
      <c r="E172">
        <v>0.19120000000000001</v>
      </c>
      <c r="F172">
        <v>206679152</v>
      </c>
      <c r="G172">
        <v>0.19120000000000001</v>
      </c>
      <c r="L172" t="s">
        <v>8</v>
      </c>
      <c r="M172" t="s">
        <v>7</v>
      </c>
      <c r="N172" t="s">
        <v>7</v>
      </c>
      <c r="P172">
        <f t="shared" ref="P172" si="835">IF(C172=D172,0,((E172-D172)-(C172-E172))/(C172-D172))</f>
        <v>0.27619047619047726</v>
      </c>
      <c r="Q172">
        <f t="shared" ref="Q172" si="836">F172*P172</f>
        <v>57082813.409524031</v>
      </c>
      <c r="R172">
        <f t="shared" ref="R172" si="837">R173+Q172</f>
        <v>-2799955147.0022631</v>
      </c>
      <c r="S172">
        <f t="shared" ref="S172" si="838">R172/100000</f>
        <v>-27999.55147002263</v>
      </c>
      <c r="T172">
        <f t="shared" ref="T172" si="839">S172/1000</f>
        <v>-27.999551470022631</v>
      </c>
    </row>
    <row r="173" spans="1:20" x14ac:dyDescent="0.25">
      <c r="A173" s="5">
        <v>44420</v>
      </c>
      <c r="B173">
        <v>0.20219999999999999</v>
      </c>
      <c r="C173">
        <v>0.20449999999999999</v>
      </c>
      <c r="D173">
        <v>0.18</v>
      </c>
      <c r="E173">
        <v>0.19</v>
      </c>
      <c r="F173">
        <v>296850700</v>
      </c>
      <c r="G173">
        <v>0.19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-0.18367346938775417</v>
      </c>
      <c r="Q173">
        <f t="shared" ref="Q173" si="841">F173*P173</f>
        <v>-54523597.959183395</v>
      </c>
      <c r="R173">
        <f t="shared" ref="R173" si="842">R174+Q173</f>
        <v>-2857037960.411787</v>
      </c>
      <c r="S173">
        <f t="shared" ref="S173" si="843">R173/100000</f>
        <v>-28570.379604117872</v>
      </c>
      <c r="T173">
        <f t="shared" ref="T173" si="844">S173/1000</f>
        <v>-28.570379604117871</v>
      </c>
    </row>
    <row r="174" spans="1:20" x14ac:dyDescent="0.25">
      <c r="A174" s="5">
        <v>44419</v>
      </c>
      <c r="B174">
        <v>0.2026</v>
      </c>
      <c r="C174">
        <v>0.221</v>
      </c>
      <c r="D174">
        <v>0.2</v>
      </c>
      <c r="E174">
        <v>0.20219999999999999</v>
      </c>
      <c r="F174">
        <v>539171061</v>
      </c>
      <c r="G174">
        <v>0.20219999999999999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-0.79047619047619233</v>
      </c>
      <c r="Q174">
        <f t="shared" ref="Q174" si="846">F174*P174</f>
        <v>-426201886.31428671</v>
      </c>
      <c r="R174">
        <f t="shared" ref="R174" si="847">R175+Q174</f>
        <v>-2802514362.4526038</v>
      </c>
      <c r="S174">
        <f t="shared" ref="S174" si="848">R174/100000</f>
        <v>-28025.143624526037</v>
      </c>
      <c r="T174">
        <f t="shared" ref="T174" si="849">S174/1000</f>
        <v>-28.025143624526038</v>
      </c>
    </row>
    <row r="175" spans="1:20" x14ac:dyDescent="0.25">
      <c r="A175" s="5">
        <v>44418</v>
      </c>
      <c r="B175">
        <v>0.20630000000000001</v>
      </c>
      <c r="C175">
        <v>0.21560000000000001</v>
      </c>
      <c r="D175">
        <v>0.19520000000000001</v>
      </c>
      <c r="E175">
        <v>0.2026</v>
      </c>
      <c r="F175">
        <v>494187655</v>
      </c>
      <c r="G175">
        <v>0.2026</v>
      </c>
      <c r="L175" t="s">
        <v>7</v>
      </c>
      <c r="M175" t="s">
        <v>8</v>
      </c>
      <c r="N175" t="s">
        <v>7</v>
      </c>
      <c r="P175">
        <f t="shared" ref="P175" si="850">IF(C175=D175,0,((E175-D175)-(C175-E175))/(C175-D175))</f>
        <v>-0.27450980392156965</v>
      </c>
      <c r="Q175">
        <f t="shared" ref="Q175" si="851">F175*P175</f>
        <v>-135659356.27451032</v>
      </c>
      <c r="R175">
        <f t="shared" ref="R175" si="852">R176+Q175</f>
        <v>-2376312476.1383171</v>
      </c>
      <c r="S175">
        <f t="shared" ref="S175" si="853">R175/100000</f>
        <v>-23763.124761383173</v>
      </c>
      <c r="T175">
        <f t="shared" ref="T175" si="854">S175/1000</f>
        <v>-23.763124761383175</v>
      </c>
    </row>
    <row r="176" spans="1:20" x14ac:dyDescent="0.25">
      <c r="A176" s="5">
        <v>44417</v>
      </c>
      <c r="B176">
        <v>0.18690000000000001</v>
      </c>
      <c r="C176">
        <v>0.22739999999999999</v>
      </c>
      <c r="D176">
        <v>0.16700000000000001</v>
      </c>
      <c r="E176">
        <v>0.2064</v>
      </c>
      <c r="F176">
        <v>931701862</v>
      </c>
      <c r="G176">
        <v>0.2064</v>
      </c>
      <c r="L176" t="s">
        <v>8</v>
      </c>
      <c r="M176" t="s">
        <v>8</v>
      </c>
      <c r="N176" t="s">
        <v>7</v>
      </c>
      <c r="P176">
        <f t="shared" ref="P176" si="855">IF(C176=D176,0,((E176-D176)-(C176-E176))/(C176-D176))</f>
        <v>0.30463576158940409</v>
      </c>
      <c r="Q176">
        <f t="shared" ref="Q176" si="856">F176*P176</f>
        <v>283829706.30463588</v>
      </c>
      <c r="R176">
        <f t="shared" ref="R176" si="857">R177+Q176</f>
        <v>-2240653119.8638067</v>
      </c>
      <c r="S176">
        <f t="shared" ref="S176" si="858">R176/100000</f>
        <v>-22406.531198638066</v>
      </c>
      <c r="T176">
        <f t="shared" ref="T176" si="859">S176/1000</f>
        <v>-22.406531198638067</v>
      </c>
    </row>
    <row r="177" spans="1:20" x14ac:dyDescent="0.25">
      <c r="A177" s="5">
        <v>44416</v>
      </c>
      <c r="B177">
        <v>0.17760000000000001</v>
      </c>
      <c r="C177">
        <v>0.20219999999999999</v>
      </c>
      <c r="D177">
        <v>0.17299999999999999</v>
      </c>
      <c r="E177">
        <v>0.18679999999999999</v>
      </c>
      <c r="F177">
        <v>502286220</v>
      </c>
      <c r="G177">
        <v>0.18679999999999999</v>
      </c>
      <c r="L177" t="s">
        <v>8</v>
      </c>
      <c r="M177" t="s">
        <v>8</v>
      </c>
      <c r="N177" t="s">
        <v>7</v>
      </c>
      <c r="P177">
        <f t="shared" ref="P177" si="860">IF(C177=D177,0,((E177-D177)-(C177-E177))/(C177-D177))</f>
        <v>-5.4794520547944869E-2</v>
      </c>
      <c r="Q177">
        <f t="shared" ref="Q177" si="861">F177*P177</f>
        <v>-27522532.602739558</v>
      </c>
      <c r="R177">
        <f t="shared" ref="R177" si="862">R178+Q177</f>
        <v>-2524482826.1684427</v>
      </c>
      <c r="S177">
        <f t="shared" ref="S177" si="863">R177/100000</f>
        <v>-25244.828261684426</v>
      </c>
      <c r="T177">
        <f t="shared" ref="T177" si="864">S177/1000</f>
        <v>-25.244828261684425</v>
      </c>
    </row>
    <row r="178" spans="1:20" x14ac:dyDescent="0.25">
      <c r="A178" s="5">
        <v>44415</v>
      </c>
      <c r="B178">
        <v>0.1802</v>
      </c>
      <c r="C178">
        <v>0.1888</v>
      </c>
      <c r="D178">
        <v>0.1704</v>
      </c>
      <c r="E178">
        <v>0.17760000000000001</v>
      </c>
      <c r="F178">
        <v>432274687</v>
      </c>
      <c r="G178">
        <v>0.17760000000000001</v>
      </c>
      <c r="L178" t="s">
        <v>7</v>
      </c>
      <c r="M178" t="s">
        <v>7</v>
      </c>
      <c r="N178" t="s">
        <v>7</v>
      </c>
      <c r="P178">
        <f t="shared" ref="P178" si="865">IF(C178=D178,0,((E178-D178)-(C178-E178))/(C178-D178))</f>
        <v>-0.21739130434782478</v>
      </c>
      <c r="Q178">
        <f t="shared" ref="Q178" si="866">F178*P178</f>
        <v>-93972758.043477699</v>
      </c>
      <c r="R178">
        <f t="shared" ref="R178" si="867">R179+Q178</f>
        <v>-2496960293.5657034</v>
      </c>
      <c r="S178">
        <f t="shared" ref="S178" si="868">R178/100000</f>
        <v>-24969.602935657033</v>
      </c>
      <c r="T178">
        <f t="shared" ref="T178" si="869">S178/1000</f>
        <v>-24.969602935657033</v>
      </c>
    </row>
    <row r="179" spans="1:20" x14ac:dyDescent="0.25">
      <c r="A179" s="5">
        <v>44414</v>
      </c>
      <c r="B179">
        <v>0.2001</v>
      </c>
      <c r="C179">
        <v>0.2009</v>
      </c>
      <c r="D179">
        <v>0.18</v>
      </c>
      <c r="E179">
        <v>0.18029999999999999</v>
      </c>
      <c r="F179">
        <v>306197270</v>
      </c>
      <c r="G179">
        <v>0.18029999999999999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-0.97129186602870865</v>
      </c>
      <c r="Q179">
        <f t="shared" ref="Q179" si="871">F179*P179</f>
        <v>-297406917.75119632</v>
      </c>
      <c r="R179">
        <f t="shared" ref="R179" si="872">R180+Q179</f>
        <v>-2402987535.5222259</v>
      </c>
      <c r="S179">
        <f t="shared" ref="S179" si="873">R179/100000</f>
        <v>-24029.875355222259</v>
      </c>
      <c r="T179">
        <f t="shared" ref="T179" si="874">S179/1000</f>
        <v>-24.029875355222259</v>
      </c>
    </row>
    <row r="180" spans="1:20" x14ac:dyDescent="0.25">
      <c r="A180" s="5">
        <v>44413</v>
      </c>
      <c r="B180">
        <v>0.2157</v>
      </c>
      <c r="C180">
        <v>0.2167</v>
      </c>
      <c r="D180">
        <v>0.193</v>
      </c>
      <c r="E180">
        <v>0.2</v>
      </c>
      <c r="F180">
        <v>238821376</v>
      </c>
      <c r="G180">
        <v>0.2</v>
      </c>
      <c r="L180" t="s">
        <v>7</v>
      </c>
      <c r="M180" t="s">
        <v>7</v>
      </c>
      <c r="N180" t="s">
        <v>7</v>
      </c>
      <c r="P180">
        <f t="shared" ref="P180" si="875">IF(C180=D180,0,((E180-D180)-(C180-E180))/(C180-D180))</f>
        <v>-0.40928270042194037</v>
      </c>
      <c r="Q180">
        <f t="shared" ref="Q180" si="876">F180*P180</f>
        <v>-97745457.687763587</v>
      </c>
      <c r="R180">
        <f t="shared" ref="R180" si="877">R181+Q180</f>
        <v>-2105580617.7710297</v>
      </c>
      <c r="S180">
        <f t="shared" ref="S180" si="878">R180/100000</f>
        <v>-21055.806177710296</v>
      </c>
      <c r="T180">
        <f t="shared" ref="T180" si="879">S180/1000</f>
        <v>-21.055806177710295</v>
      </c>
    </row>
    <row r="181" spans="1:20" x14ac:dyDescent="0.25">
      <c r="A181" s="5">
        <v>44412</v>
      </c>
      <c r="B181">
        <v>0.20860000000000001</v>
      </c>
      <c r="C181">
        <v>0.2195</v>
      </c>
      <c r="D181">
        <v>0.20449999999999999</v>
      </c>
      <c r="E181">
        <v>0.21579999999999999</v>
      </c>
      <c r="F181">
        <v>177835187</v>
      </c>
      <c r="G181">
        <v>0.21579999999999999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0.50666666666666593</v>
      </c>
      <c r="Q181">
        <f t="shared" ref="Q181" si="881">F181*P181</f>
        <v>90103161.413333207</v>
      </c>
      <c r="R181">
        <f t="shared" ref="R181" si="882">R182+Q181</f>
        <v>-2007835160.083266</v>
      </c>
      <c r="S181">
        <f t="shared" ref="S181" si="883">R181/100000</f>
        <v>-20078.351600832659</v>
      </c>
      <c r="T181">
        <f t="shared" ref="T181" si="884">S181/1000</f>
        <v>-20.078351600832658</v>
      </c>
    </row>
    <row r="182" spans="1:20" x14ac:dyDescent="0.25">
      <c r="A182" s="5">
        <v>44411</v>
      </c>
      <c r="B182">
        <v>0.216</v>
      </c>
      <c r="C182">
        <v>0.2213</v>
      </c>
      <c r="D182">
        <v>0.20219999999999999</v>
      </c>
      <c r="E182">
        <v>0.20860000000000001</v>
      </c>
      <c r="F182">
        <v>152154962</v>
      </c>
      <c r="G182">
        <v>0.20860000000000001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-0.32984293193717124</v>
      </c>
      <c r="Q182">
        <f t="shared" ref="Q182" si="886">F182*P182</f>
        <v>-50187238.774868876</v>
      </c>
      <c r="R182">
        <f t="shared" ref="R182" si="887">R183+Q182</f>
        <v>-2097938321.4965992</v>
      </c>
      <c r="S182">
        <f t="shared" ref="S182" si="888">R182/100000</f>
        <v>-20979.38321496599</v>
      </c>
      <c r="T182">
        <f t="shared" ref="T182" si="889">S182/1000</f>
        <v>-20.979383214965988</v>
      </c>
    </row>
    <row r="183" spans="1:20" x14ac:dyDescent="0.25">
      <c r="A183" s="5">
        <v>44410</v>
      </c>
      <c r="B183">
        <v>0.2077</v>
      </c>
      <c r="C183">
        <v>0.23250000000000001</v>
      </c>
      <c r="D183">
        <v>0.2059</v>
      </c>
      <c r="E183">
        <v>0.216</v>
      </c>
      <c r="F183">
        <v>275090085</v>
      </c>
      <c r="G183">
        <v>0.216</v>
      </c>
      <c r="L183" t="s">
        <v>8</v>
      </c>
      <c r="M183" t="s">
        <v>7</v>
      </c>
      <c r="N183" t="s">
        <v>7</v>
      </c>
      <c r="P183">
        <f t="shared" ref="P183" si="890">IF(C183=D183,0,((E183-D183)-(C183-E183))/(C183-D183))</f>
        <v>-0.24060150375939901</v>
      </c>
      <c r="Q183">
        <f t="shared" ref="Q183" si="891">F183*P183</f>
        <v>-66187088.120300896</v>
      </c>
      <c r="R183">
        <f t="shared" ref="R183" si="892">R184+Q183</f>
        <v>-2047751082.7217302</v>
      </c>
      <c r="S183">
        <f t="shared" ref="S183" si="893">R183/100000</f>
        <v>-20477.510827217302</v>
      </c>
      <c r="T183">
        <f t="shared" ref="T183" si="894">S183/1000</f>
        <v>-20.477510827217301</v>
      </c>
    </row>
    <row r="184" spans="1:20" x14ac:dyDescent="0.25">
      <c r="A184" s="5">
        <v>44409</v>
      </c>
      <c r="B184">
        <v>0.2291</v>
      </c>
      <c r="C184">
        <v>0.2306</v>
      </c>
      <c r="D184">
        <v>0.2029</v>
      </c>
      <c r="E184">
        <v>0.2077</v>
      </c>
      <c r="F184">
        <v>243994148</v>
      </c>
      <c r="G184">
        <v>0.2077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-0.65342960288808671</v>
      </c>
      <c r="Q184">
        <f t="shared" ref="Q184" si="896">F184*P184</f>
        <v>-159432999.23465705</v>
      </c>
      <c r="R184">
        <f t="shared" ref="R184" si="897">R185+Q184</f>
        <v>-1981563994.6014292</v>
      </c>
      <c r="S184">
        <f t="shared" ref="S184" si="898">R184/100000</f>
        <v>-19815.639946014293</v>
      </c>
      <c r="T184">
        <f t="shared" ref="T184" si="899">S184/1000</f>
        <v>-19.815639946014294</v>
      </c>
    </row>
    <row r="185" spans="1:20" x14ac:dyDescent="0.25">
      <c r="A185" s="5">
        <v>44408</v>
      </c>
      <c r="B185">
        <v>0.2412</v>
      </c>
      <c r="C185">
        <v>0.24349999999999999</v>
      </c>
      <c r="D185">
        <v>0.22789999999999999</v>
      </c>
      <c r="E185">
        <v>0.22919999999999999</v>
      </c>
      <c r="F185">
        <v>185963220</v>
      </c>
      <c r="G185">
        <v>0.22919999999999999</v>
      </c>
      <c r="L185" t="s">
        <v>8</v>
      </c>
      <c r="M185" t="s">
        <v>7</v>
      </c>
      <c r="N185" t="s">
        <v>7</v>
      </c>
      <c r="P185">
        <f t="shared" ref="P185" si="900">IF(C185=D185,0,((E185-D185)-(C185-E185))/(C185-D185))</f>
        <v>-0.83333333333333393</v>
      </c>
      <c r="Q185">
        <f t="shared" ref="Q185" si="901">F185*P185</f>
        <v>-154969350.00000012</v>
      </c>
      <c r="R185">
        <f t="shared" ref="R185" si="902">R186+Q185</f>
        <v>-1822130995.3667722</v>
      </c>
      <c r="S185">
        <f t="shared" ref="S185" si="903">R185/100000</f>
        <v>-18221.309953667722</v>
      </c>
      <c r="T185">
        <f t="shared" ref="T185" si="904">S185/1000</f>
        <v>-18.221309953667721</v>
      </c>
    </row>
    <row r="186" spans="1:20" x14ac:dyDescent="0.25">
      <c r="A186" s="5">
        <v>44407</v>
      </c>
      <c r="B186">
        <v>0.25590000000000002</v>
      </c>
      <c r="C186">
        <v>0.25740000000000002</v>
      </c>
      <c r="D186">
        <v>0.22420000000000001</v>
      </c>
      <c r="E186">
        <v>0.2412</v>
      </c>
      <c r="F186">
        <v>187109593</v>
      </c>
      <c r="G186">
        <v>0.2412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2.4096385542167687E-2</v>
      </c>
      <c r="Q186">
        <f t="shared" ref="Q186" si="906">F186*P186</f>
        <v>4508664.89156608</v>
      </c>
      <c r="R186">
        <f t="shared" ref="R186" si="907">R187+Q186</f>
        <v>-1667161645.3667719</v>
      </c>
      <c r="S186">
        <f t="shared" ref="S186" si="908">R186/100000</f>
        <v>-16671.616453667721</v>
      </c>
      <c r="T186">
        <f t="shared" ref="T186" si="909">S186/1000</f>
        <v>-16.67161645366772</v>
      </c>
    </row>
    <row r="187" spans="1:20" x14ac:dyDescent="0.25">
      <c r="A187" s="5">
        <v>44406</v>
      </c>
      <c r="B187">
        <v>0.26529999999999998</v>
      </c>
      <c r="C187">
        <v>0.26650000000000001</v>
      </c>
      <c r="D187">
        <v>0.248</v>
      </c>
      <c r="E187">
        <v>0.25580000000000003</v>
      </c>
      <c r="F187">
        <v>150504770</v>
      </c>
      <c r="G187">
        <v>0.25580000000000003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-0.15675675675675435</v>
      </c>
      <c r="Q187">
        <f t="shared" ref="Q187" si="911">F187*P187</f>
        <v>-23592639.621621259</v>
      </c>
      <c r="R187">
        <f t="shared" ref="R187" si="912">R188+Q187</f>
        <v>-1671670310.258338</v>
      </c>
      <c r="S187">
        <f t="shared" ref="S187" si="913">R187/100000</f>
        <v>-16716.703102583378</v>
      </c>
      <c r="T187">
        <f t="shared" ref="T187" si="914">S187/1000</f>
        <v>-16.716703102583377</v>
      </c>
    </row>
    <row r="188" spans="1:20" x14ac:dyDescent="0.25">
      <c r="A188" s="5">
        <v>44405</v>
      </c>
      <c r="B188">
        <v>0.28510000000000002</v>
      </c>
      <c r="C188">
        <v>0.28699999999999998</v>
      </c>
      <c r="D188">
        <v>0.26119999999999999</v>
      </c>
      <c r="E188">
        <v>0.26529999999999998</v>
      </c>
      <c r="F188">
        <v>163492151</v>
      </c>
      <c r="G188">
        <v>0.26529999999999998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-0.68217054263565935</v>
      </c>
      <c r="Q188">
        <f t="shared" ref="Q188" si="916">F188*P188</f>
        <v>-111529529.36434115</v>
      </c>
      <c r="R188">
        <f t="shared" ref="R188" si="917">R189+Q188</f>
        <v>-1648077670.6367166</v>
      </c>
      <c r="S188">
        <f t="shared" ref="S188" si="918">R188/100000</f>
        <v>-16480.776706367167</v>
      </c>
      <c r="T188">
        <f t="shared" ref="T188" si="919">S188/1000</f>
        <v>-16.480776706367166</v>
      </c>
    </row>
    <row r="189" spans="1:20" x14ac:dyDescent="0.25">
      <c r="A189" s="5">
        <v>44404</v>
      </c>
      <c r="B189">
        <v>0.26390000000000002</v>
      </c>
      <c r="C189">
        <v>0.318</v>
      </c>
      <c r="D189">
        <v>0.2445</v>
      </c>
      <c r="E189">
        <v>0.28549999999999998</v>
      </c>
      <c r="F189">
        <v>331868003</v>
      </c>
      <c r="G189">
        <v>0.28549999999999998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0.1156462585034007</v>
      </c>
      <c r="Q189">
        <f t="shared" ref="Q189" si="921">F189*P189</f>
        <v>38379292.863945358</v>
      </c>
      <c r="R189">
        <f t="shared" ref="R189" si="922">R190+Q189</f>
        <v>-1536548141.2723753</v>
      </c>
      <c r="S189">
        <f t="shared" ref="S189" si="923">R189/100000</f>
        <v>-15365.481412723753</v>
      </c>
      <c r="T189">
        <f t="shared" ref="T189" si="924">S189/1000</f>
        <v>-15.365481412723753</v>
      </c>
    </row>
    <row r="190" spans="1:20" x14ac:dyDescent="0.25">
      <c r="A190" s="5">
        <v>44403</v>
      </c>
      <c r="B190">
        <v>0.28249999999999997</v>
      </c>
      <c r="C190">
        <v>0.29630000000000001</v>
      </c>
      <c r="D190">
        <v>0.25619999999999998</v>
      </c>
      <c r="E190">
        <v>0.26400000000000001</v>
      </c>
      <c r="F190">
        <v>202180332</v>
      </c>
      <c r="G190">
        <v>0.26400000000000001</v>
      </c>
      <c r="L190" t="s">
        <v>7</v>
      </c>
      <c r="M190" t="s">
        <v>7</v>
      </c>
      <c r="N190" t="s">
        <v>7</v>
      </c>
      <c r="P190">
        <f t="shared" ref="P190" si="925">IF(C190=D190,0,((E190-D190)-(C190-E190))/(C190-D190))</f>
        <v>-0.61097256857855242</v>
      </c>
      <c r="Q190">
        <f t="shared" ref="Q190" si="926">F190*P190</f>
        <v>-123526636.7581045</v>
      </c>
      <c r="R190">
        <f t="shared" ref="R190" si="927">R191+Q190</f>
        <v>-1574927434.1363206</v>
      </c>
      <c r="S190">
        <f t="shared" ref="S190" si="928">R190/100000</f>
        <v>-15749.274341363205</v>
      </c>
      <c r="T190">
        <f t="shared" ref="T190" si="929">S190/1000</f>
        <v>-15.749274341363206</v>
      </c>
    </row>
    <row r="191" spans="1:20" x14ac:dyDescent="0.25">
      <c r="A191" s="5">
        <v>44402</v>
      </c>
      <c r="B191">
        <v>0.30370000000000003</v>
      </c>
      <c r="C191">
        <v>0.30819999999999997</v>
      </c>
      <c r="D191">
        <v>0.27100000000000002</v>
      </c>
      <c r="E191">
        <v>0.28249999999999997</v>
      </c>
      <c r="F191">
        <v>246605769</v>
      </c>
      <c r="G191">
        <v>0.28249999999999997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-0.3817204301075286</v>
      </c>
      <c r="Q191">
        <f t="shared" ref="Q191" si="931">F191*P191</f>
        <v>-94134460.209677845</v>
      </c>
      <c r="R191">
        <f t="shared" ref="R191" si="932">R192+Q191</f>
        <v>-1451400797.378216</v>
      </c>
      <c r="S191">
        <f t="shared" ref="S191" si="933">R191/100000</f>
        <v>-14514.00797378216</v>
      </c>
      <c r="T191">
        <f t="shared" ref="T191:T197" si="934">S191/1000</f>
        <v>-14.51400797378216</v>
      </c>
    </row>
    <row r="192" spans="1:20" x14ac:dyDescent="0.25">
      <c r="A192" s="5">
        <v>44401</v>
      </c>
      <c r="B192">
        <v>0.33410000000000001</v>
      </c>
      <c r="C192">
        <v>0.34</v>
      </c>
      <c r="D192">
        <v>0.29020000000000001</v>
      </c>
      <c r="E192">
        <v>0.30349999999999999</v>
      </c>
      <c r="F192">
        <v>373696613</v>
      </c>
      <c r="G192">
        <v>0.30349999999999999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-0.46586345381526201</v>
      </c>
      <c r="Q192">
        <f t="shared" ref="Q192" si="936">F192*P192</f>
        <v>-174091594.81124535</v>
      </c>
      <c r="R192">
        <f t="shared" ref="R192" si="937">R193+Q192</f>
        <v>-1357266337.1685381</v>
      </c>
      <c r="S192">
        <f t="shared" ref="S192" si="938">R192/100000</f>
        <v>-13572.663371685381</v>
      </c>
      <c r="T192">
        <f t="shared" si="934"/>
        <v>-13.572663371685382</v>
      </c>
    </row>
    <row r="193" spans="1:20" x14ac:dyDescent="0.25">
      <c r="A193" s="5">
        <v>44400</v>
      </c>
      <c r="B193">
        <v>0.27910000000000001</v>
      </c>
      <c r="C193">
        <v>0.34889999999999999</v>
      </c>
      <c r="D193">
        <v>0.26590000000000003</v>
      </c>
      <c r="E193">
        <v>0.33410000000000001</v>
      </c>
      <c r="F193">
        <v>512934041</v>
      </c>
      <c r="G193">
        <v>0.33410000000000001</v>
      </c>
      <c r="L193" t="s">
        <v>7</v>
      </c>
      <c r="M193" t="s">
        <v>7</v>
      </c>
      <c r="N193" t="s">
        <v>8</v>
      </c>
      <c r="P193">
        <f t="shared" ref="P193" si="939">IF(C193=D193,0,((E193-D193)-(C193-E193))/(C193-D193))</f>
        <v>0.64337349397590393</v>
      </c>
      <c r="Q193">
        <f t="shared" ref="Q193" si="940">F193*P193</f>
        <v>330008166.13734955</v>
      </c>
      <c r="R193">
        <f t="shared" ref="R193" si="941">R194+Q193</f>
        <v>-1183174742.3572927</v>
      </c>
      <c r="S193">
        <f t="shared" ref="S193" si="942">R193/100000</f>
        <v>-11831.747423572926</v>
      </c>
      <c r="T193">
        <f t="shared" si="934"/>
        <v>-11.831747423572926</v>
      </c>
    </row>
    <row r="194" spans="1:20" x14ac:dyDescent="0.25">
      <c r="A194" s="5">
        <v>44399</v>
      </c>
      <c r="B194">
        <v>0.33700000000000002</v>
      </c>
      <c r="C194">
        <v>0.35599999999999998</v>
      </c>
      <c r="D194">
        <v>0.27150000000000002</v>
      </c>
      <c r="E194">
        <v>0.27900000000000003</v>
      </c>
      <c r="F194">
        <v>392577294</v>
      </c>
      <c r="G194">
        <v>0.27900000000000003</v>
      </c>
      <c r="L194" t="s">
        <v>8</v>
      </c>
      <c r="M194" t="s">
        <v>7</v>
      </c>
      <c r="N194" t="s">
        <v>8</v>
      </c>
      <c r="P194">
        <f t="shared" ref="P194" si="943">IF(C194=D194,0,((E194-D194)-(C194-E194))/(C194-D194))</f>
        <v>-0.82248520710059148</v>
      </c>
      <c r="Q194">
        <f t="shared" ref="Q194" si="944">F194*P194</f>
        <v>-322889016.95857978</v>
      </c>
      <c r="R194">
        <f t="shared" ref="R194" si="945">R195+Q194</f>
        <v>-1513182908.4946423</v>
      </c>
      <c r="S194">
        <f t="shared" ref="S194" si="946">R194/100000</f>
        <v>-15131.829084946423</v>
      </c>
      <c r="T194">
        <f t="shared" si="934"/>
        <v>-15.131829084946423</v>
      </c>
    </row>
    <row r="195" spans="1:20" x14ac:dyDescent="0.25">
      <c r="A195" s="5">
        <v>44398</v>
      </c>
      <c r="B195">
        <v>0.2833</v>
      </c>
      <c r="C195">
        <v>0.34549999999999997</v>
      </c>
      <c r="D195">
        <v>0.26800000000000002</v>
      </c>
      <c r="E195">
        <v>0.33700000000000002</v>
      </c>
      <c r="F195">
        <v>285984961</v>
      </c>
      <c r="G195">
        <v>0.33700000000000002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0.78064516129032369</v>
      </c>
      <c r="Q195">
        <f t="shared" ref="Q195" si="948">F195*P195</f>
        <v>223252776.00645193</v>
      </c>
      <c r="R195">
        <f t="shared" ref="R195" si="949">R196+Q195</f>
        <v>-1190293891.5360625</v>
      </c>
      <c r="S195">
        <f t="shared" ref="S195" si="950">R195/100000</f>
        <v>-11902.938915360624</v>
      </c>
      <c r="T195">
        <f t="shared" si="934"/>
        <v>-11.902938915360624</v>
      </c>
    </row>
    <row r="196" spans="1:20" x14ac:dyDescent="0.25">
      <c r="A196" s="5">
        <v>44397</v>
      </c>
      <c r="B196">
        <v>0.2525</v>
      </c>
      <c r="C196">
        <v>0.29349999999999998</v>
      </c>
      <c r="D196">
        <v>0.21540000000000001</v>
      </c>
      <c r="E196">
        <v>0.28339999999999999</v>
      </c>
      <c r="F196">
        <v>204854403</v>
      </c>
      <c r="G196">
        <v>0.28339999999999999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0.7413572343149808</v>
      </c>
      <c r="Q196">
        <f t="shared" ref="Q196" si="952">F196*P196</f>
        <v>151870293.6453265</v>
      </c>
      <c r="R196">
        <f t="shared" ref="R196" si="953">R197+Q196</f>
        <v>-1413546667.5425143</v>
      </c>
      <c r="S196">
        <f t="shared" ref="S196" si="954">R196/100000</f>
        <v>-14135.466675425143</v>
      </c>
      <c r="T196">
        <f t="shared" si="934"/>
        <v>-14.135466675425143</v>
      </c>
    </row>
    <row r="197" spans="1:20" x14ac:dyDescent="0.25">
      <c r="A197" s="5">
        <v>44396</v>
      </c>
      <c r="B197">
        <v>0.27060000000000001</v>
      </c>
      <c r="C197">
        <v>0.27229999999999999</v>
      </c>
      <c r="D197">
        <v>0.23599999999999999</v>
      </c>
      <c r="E197">
        <v>0.25290000000000001</v>
      </c>
      <c r="F197">
        <v>84497447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-6.8870523415976492E-2</v>
      </c>
      <c r="Q197">
        <f t="shared" ref="Q197" si="956">F197*P197</f>
        <v>-5819383.4022037322</v>
      </c>
      <c r="R197">
        <f t="shared" ref="R197" si="957">R198+Q197</f>
        <v>-1565416961.1878407</v>
      </c>
      <c r="S197">
        <f t="shared" ref="S197" si="958">R197/100000</f>
        <v>-15654.169611878408</v>
      </c>
      <c r="T197">
        <f t="shared" si="934"/>
        <v>-15.654169611878407</v>
      </c>
    </row>
    <row r="198" spans="1:20" x14ac:dyDescent="0.25">
      <c r="A198" s="5">
        <v>44395</v>
      </c>
      <c r="B198">
        <v>0.26719999999999999</v>
      </c>
      <c r="C198">
        <v>0.2878</v>
      </c>
      <c r="D198">
        <v>0.25580000000000003</v>
      </c>
      <c r="E198">
        <v>0.27060000000000001</v>
      </c>
      <c r="F198">
        <v>119128325</v>
      </c>
      <c r="G198">
        <v>0</v>
      </c>
      <c r="L198" t="s">
        <v>7</v>
      </c>
      <c r="M198" t="s">
        <v>8</v>
      </c>
      <c r="N198" t="s">
        <v>7</v>
      </c>
      <c r="P198">
        <f t="shared" ref="P198:P261" si="959">IF(C198=D198,0,((E198-D198)-(C198-E198))/(C198-D198))</f>
        <v>-7.5000000000000483E-2</v>
      </c>
      <c r="Q198">
        <f t="shared" ref="Q198:Q261" si="960">F198*P198</f>
        <v>-8934624.3750000577</v>
      </c>
      <c r="R198">
        <f t="shared" ref="R198:R261" si="961">R199+Q198</f>
        <v>-1559597577.7856369</v>
      </c>
      <c r="S198">
        <f t="shared" ref="S198:S261" si="962">R198/100000</f>
        <v>-15595.975777856369</v>
      </c>
      <c r="T198">
        <f t="shared" ref="T198:T261" si="963">S198/1000</f>
        <v>-15.595975777856369</v>
      </c>
    </row>
    <row r="199" spans="1:20" x14ac:dyDescent="0.25">
      <c r="A199" s="5">
        <v>44394</v>
      </c>
      <c r="B199">
        <v>0.25259999999999999</v>
      </c>
      <c r="C199">
        <v>0.30719999999999997</v>
      </c>
      <c r="D199">
        <v>0.2404</v>
      </c>
      <c r="E199">
        <v>0.26750000000000002</v>
      </c>
      <c r="F199">
        <v>291735148</v>
      </c>
      <c r="G199">
        <v>0</v>
      </c>
      <c r="L199" t="s">
        <v>8</v>
      </c>
      <c r="M199" t="s">
        <v>8</v>
      </c>
      <c r="N199" t="s">
        <v>7</v>
      </c>
      <c r="P199">
        <f t="shared" si="959"/>
        <v>-0.18862275449101723</v>
      </c>
      <c r="Q199">
        <f t="shared" si="960"/>
        <v>-55027887.197604574</v>
      </c>
      <c r="R199">
        <f t="shared" si="961"/>
        <v>-1550662953.4106369</v>
      </c>
      <c r="S199">
        <f t="shared" si="962"/>
        <v>-15506.629534106369</v>
      </c>
      <c r="T199">
        <f t="shared" si="963"/>
        <v>-15.506629534106368</v>
      </c>
    </row>
    <row r="200" spans="1:20" x14ac:dyDescent="0.25">
      <c r="A200" s="5">
        <v>44393</v>
      </c>
      <c r="B200">
        <v>0.3075</v>
      </c>
      <c r="C200">
        <v>0.32200000000000001</v>
      </c>
      <c r="D200">
        <v>0.23200000000000001</v>
      </c>
      <c r="E200">
        <v>0.25230000000000002</v>
      </c>
      <c r="F200">
        <v>296556223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-0.54888888888888865</v>
      </c>
      <c r="Q200">
        <f t="shared" si="960"/>
        <v>-162776415.73555547</v>
      </c>
      <c r="R200">
        <f t="shared" si="961"/>
        <v>-1495635066.2130322</v>
      </c>
      <c r="S200">
        <f t="shared" si="962"/>
        <v>-14956.350662130322</v>
      </c>
      <c r="T200">
        <f t="shared" si="963"/>
        <v>-14.956350662130323</v>
      </c>
    </row>
    <row r="201" spans="1:20" x14ac:dyDescent="0.25">
      <c r="A201" s="5">
        <v>44392</v>
      </c>
      <c r="B201">
        <v>0.33200000000000002</v>
      </c>
      <c r="C201">
        <v>0.38419999999999999</v>
      </c>
      <c r="D201">
        <v>0.2979</v>
      </c>
      <c r="E201">
        <v>0.30769999999999997</v>
      </c>
      <c r="F201">
        <v>342210412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-0.77288528389339572</v>
      </c>
      <c r="Q201">
        <f t="shared" si="960"/>
        <v>-264489391.42989591</v>
      </c>
      <c r="R201">
        <f t="shared" si="961"/>
        <v>-1332858650.4774768</v>
      </c>
      <c r="S201">
        <f t="shared" si="962"/>
        <v>-13328.586504774768</v>
      </c>
      <c r="T201">
        <f t="shared" si="963"/>
        <v>-13.328586504774769</v>
      </c>
    </row>
    <row r="202" spans="1:20" x14ac:dyDescent="0.25">
      <c r="A202" s="5">
        <v>44391</v>
      </c>
      <c r="B202">
        <v>0.34539999999999998</v>
      </c>
      <c r="C202">
        <v>0.39</v>
      </c>
      <c r="D202">
        <v>0.28999999999999998</v>
      </c>
      <c r="E202">
        <v>0.33179999999999998</v>
      </c>
      <c r="F202">
        <v>460073951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-0.1640000000000002</v>
      </c>
      <c r="Q202">
        <f t="shared" si="960"/>
        <v>-75452127.964000091</v>
      </c>
      <c r="R202">
        <f t="shared" si="961"/>
        <v>-1068369259.047581</v>
      </c>
      <c r="S202">
        <f t="shared" si="962"/>
        <v>-10683.69259047581</v>
      </c>
      <c r="T202">
        <f t="shared" si="963"/>
        <v>-10.683692590475809</v>
      </c>
    </row>
    <row r="203" spans="1:20" x14ac:dyDescent="0.25">
      <c r="A203" s="5">
        <v>44390</v>
      </c>
      <c r="B203">
        <v>0.3155</v>
      </c>
      <c r="C203">
        <v>0.41</v>
      </c>
      <c r="D203">
        <v>0.30149999999999999</v>
      </c>
      <c r="E203">
        <v>0.34549999999999997</v>
      </c>
      <c r="F203">
        <v>613138763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-0.1889400921658988</v>
      </c>
      <c r="Q203">
        <f t="shared" si="960"/>
        <v>-115846494.39170519</v>
      </c>
      <c r="R203">
        <f t="shared" si="961"/>
        <v>-992917131.08358085</v>
      </c>
      <c r="S203">
        <f t="shared" si="962"/>
        <v>-9929.171310835809</v>
      </c>
      <c r="T203">
        <f t="shared" si="963"/>
        <v>-9.9291713108358088</v>
      </c>
    </row>
    <row r="204" spans="1:20" x14ac:dyDescent="0.25">
      <c r="A204" s="5">
        <v>44389</v>
      </c>
      <c r="B204">
        <v>0.25900000000000001</v>
      </c>
      <c r="C204">
        <v>0.31969999999999998</v>
      </c>
      <c r="D204">
        <v>0.25869999999999999</v>
      </c>
      <c r="E204">
        <v>0.31559999999999999</v>
      </c>
      <c r="F204">
        <v>236728286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0.86557377049180351</v>
      </c>
      <c r="Q204">
        <f t="shared" si="960"/>
        <v>204905795.09508201</v>
      </c>
      <c r="R204">
        <f t="shared" si="961"/>
        <v>-877070636.6918757</v>
      </c>
      <c r="S204">
        <f t="shared" si="962"/>
        <v>-8770.7063669187573</v>
      </c>
      <c r="T204">
        <f t="shared" si="963"/>
        <v>-8.7707063669187573</v>
      </c>
    </row>
    <row r="205" spans="1:20" x14ac:dyDescent="0.25">
      <c r="A205" s="5">
        <v>44388</v>
      </c>
      <c r="B205">
        <v>0.24399999999999999</v>
      </c>
      <c r="C205">
        <v>0.26</v>
      </c>
      <c r="D205">
        <v>0.23119999999999999</v>
      </c>
      <c r="E205">
        <v>0.25900000000000001</v>
      </c>
      <c r="F205">
        <v>83952350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0.93055555555555558</v>
      </c>
      <c r="Q205">
        <f t="shared" si="960"/>
        <v>78122325.694444448</v>
      </c>
      <c r="R205">
        <f t="shared" si="961"/>
        <v>-1081976431.7869577</v>
      </c>
      <c r="S205">
        <f t="shared" si="962"/>
        <v>-10819.764317869578</v>
      </c>
      <c r="T205">
        <f t="shared" si="963"/>
        <v>-10.819764317869579</v>
      </c>
    </row>
    <row r="206" spans="1:20" x14ac:dyDescent="0.25">
      <c r="A206" s="5">
        <v>44387</v>
      </c>
      <c r="B206">
        <v>0.25169999999999998</v>
      </c>
      <c r="C206">
        <v>0.25700000000000001</v>
      </c>
      <c r="D206">
        <v>0.23069999999999999</v>
      </c>
      <c r="E206">
        <v>0.24390000000000001</v>
      </c>
      <c r="F206">
        <v>138709506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3.8022813688219268E-3</v>
      </c>
      <c r="Q206">
        <f t="shared" si="960"/>
        <v>527412.57034229324</v>
      </c>
      <c r="R206">
        <f t="shared" si="961"/>
        <v>-1160098757.4814022</v>
      </c>
      <c r="S206">
        <f t="shared" si="962"/>
        <v>-11600.987574814022</v>
      </c>
      <c r="T206">
        <f t="shared" si="963"/>
        <v>-11.600987574814022</v>
      </c>
    </row>
    <row r="207" spans="1:20" x14ac:dyDescent="0.25">
      <c r="A207" s="5">
        <v>44386</v>
      </c>
      <c r="B207">
        <v>0.20219999999999999</v>
      </c>
      <c r="C207">
        <v>0.255</v>
      </c>
      <c r="D207">
        <v>0.19040000000000001</v>
      </c>
      <c r="E207">
        <v>0.25169999999999998</v>
      </c>
      <c r="F207">
        <v>191065558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0.89783281733746045</v>
      </c>
      <c r="Q207">
        <f t="shared" si="960"/>
        <v>171544928.23529395</v>
      </c>
      <c r="R207">
        <f t="shared" si="961"/>
        <v>-1160626170.0517445</v>
      </c>
      <c r="S207">
        <f t="shared" si="962"/>
        <v>-11606.261700517445</v>
      </c>
      <c r="T207">
        <f t="shared" si="963"/>
        <v>-11.606261700517445</v>
      </c>
    </row>
    <row r="208" spans="1:20" x14ac:dyDescent="0.25">
      <c r="A208" s="5">
        <v>44385</v>
      </c>
      <c r="B208">
        <v>0.20419999999999999</v>
      </c>
      <c r="C208">
        <v>0.23480000000000001</v>
      </c>
      <c r="D208">
        <v>0.1777</v>
      </c>
      <c r="E208">
        <v>0.20219999999999999</v>
      </c>
      <c r="F208">
        <v>177628241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-0.14185639229422106</v>
      </c>
      <c r="Q208">
        <f t="shared" si="960"/>
        <v>-25197701.43782844</v>
      </c>
      <c r="R208">
        <f t="shared" si="961"/>
        <v>-1332171098.2870383</v>
      </c>
      <c r="S208">
        <f t="shared" si="962"/>
        <v>-13321.710982870383</v>
      </c>
      <c r="T208">
        <f t="shared" si="963"/>
        <v>-13.321710982870384</v>
      </c>
    </row>
    <row r="209" spans="1:20" x14ac:dyDescent="0.25">
      <c r="A209" s="5">
        <v>44384</v>
      </c>
      <c r="B209">
        <v>0.18790000000000001</v>
      </c>
      <c r="C209">
        <v>0.24879999999999999</v>
      </c>
      <c r="D209">
        <v>0.18609999999999999</v>
      </c>
      <c r="E209">
        <v>0.20349999999999999</v>
      </c>
      <c r="F209">
        <v>255685227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-0.44497607655502402</v>
      </c>
      <c r="Q209">
        <f t="shared" si="960"/>
        <v>-113773809.1435407</v>
      </c>
      <c r="R209">
        <f t="shared" si="961"/>
        <v>-1306973396.8492098</v>
      </c>
      <c r="S209">
        <f t="shared" si="962"/>
        <v>-13069.733968492097</v>
      </c>
      <c r="T209">
        <f t="shared" si="963"/>
        <v>-13.069733968492097</v>
      </c>
    </row>
    <row r="210" spans="1:20" x14ac:dyDescent="0.25">
      <c r="A210" s="5">
        <v>44383</v>
      </c>
      <c r="B210">
        <v>0.16250000000000001</v>
      </c>
      <c r="C210">
        <v>0.19969999999999999</v>
      </c>
      <c r="D210">
        <v>0.16209999999999999</v>
      </c>
      <c r="E210">
        <v>0.188</v>
      </c>
      <c r="F210">
        <v>139493261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0.37765957446808562</v>
      </c>
      <c r="Q210">
        <f t="shared" si="960"/>
        <v>52680965.590425603</v>
      </c>
      <c r="R210">
        <f t="shared" si="961"/>
        <v>-1193199587.7056692</v>
      </c>
      <c r="S210">
        <f t="shared" si="962"/>
        <v>-11931.995877056692</v>
      </c>
      <c r="T210">
        <f t="shared" si="963"/>
        <v>-11.931995877056691</v>
      </c>
    </row>
    <row r="211" spans="1:20" x14ac:dyDescent="0.25">
      <c r="A211" s="5">
        <v>44382</v>
      </c>
      <c r="B211">
        <v>0.1696</v>
      </c>
      <c r="C211">
        <v>0.16969999999999999</v>
      </c>
      <c r="D211">
        <v>0.15060000000000001</v>
      </c>
      <c r="E211">
        <v>0.16250000000000001</v>
      </c>
      <c r="F211">
        <v>86058920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0.24607329842932016</v>
      </c>
      <c r="Q211">
        <f t="shared" si="960"/>
        <v>21176802.30366499</v>
      </c>
      <c r="R211">
        <f t="shared" si="961"/>
        <v>-1245880553.2960947</v>
      </c>
      <c r="S211">
        <f t="shared" si="962"/>
        <v>-12458.805532960947</v>
      </c>
      <c r="T211">
        <f t="shared" si="963"/>
        <v>-12.458805532960946</v>
      </c>
    </row>
    <row r="212" spans="1:20" x14ac:dyDescent="0.25">
      <c r="A212" s="5">
        <v>44381</v>
      </c>
      <c r="B212">
        <v>0.16320000000000001</v>
      </c>
      <c r="C212">
        <v>0.18410000000000001</v>
      </c>
      <c r="D212">
        <v>0.1532</v>
      </c>
      <c r="E212">
        <v>0.16969999999999999</v>
      </c>
      <c r="F212">
        <v>159709082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6.7961165048542466E-2</v>
      </c>
      <c r="Q212">
        <f t="shared" si="960"/>
        <v>10854015.281553203</v>
      </c>
      <c r="R212">
        <f t="shared" si="961"/>
        <v>-1267057355.5997596</v>
      </c>
      <c r="S212">
        <f t="shared" si="962"/>
        <v>-12670.573555997596</v>
      </c>
      <c r="T212">
        <f t="shared" si="963"/>
        <v>-12.670573555997596</v>
      </c>
    </row>
    <row r="213" spans="1:20" x14ac:dyDescent="0.25">
      <c r="A213" s="5">
        <v>44380</v>
      </c>
      <c r="B213">
        <v>0.14779999999999999</v>
      </c>
      <c r="C213">
        <v>0.16439999999999999</v>
      </c>
      <c r="D213">
        <v>0.1434</v>
      </c>
      <c r="E213">
        <v>0.16309999999999999</v>
      </c>
      <c r="F213">
        <v>124958855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0.87619047619047652</v>
      </c>
      <c r="Q213">
        <f t="shared" si="960"/>
        <v>109487758.6666667</v>
      </c>
      <c r="R213">
        <f t="shared" si="961"/>
        <v>-1277911370.8813128</v>
      </c>
      <c r="S213">
        <f t="shared" si="962"/>
        <v>-12779.113708813129</v>
      </c>
      <c r="T213">
        <f t="shared" si="963"/>
        <v>-12.77911370881313</v>
      </c>
    </row>
    <row r="214" spans="1:20" x14ac:dyDescent="0.25">
      <c r="A214" s="5">
        <v>44379</v>
      </c>
      <c r="B214">
        <v>0.13170000000000001</v>
      </c>
      <c r="C214">
        <v>0.1552</v>
      </c>
      <c r="D214">
        <v>0.12939999999999999</v>
      </c>
      <c r="E214">
        <v>0.14799999999999999</v>
      </c>
      <c r="F214">
        <v>139962735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0.44186046511627852</v>
      </c>
      <c r="Q214">
        <f t="shared" si="960"/>
        <v>61843999.186046436</v>
      </c>
      <c r="R214">
        <f t="shared" si="961"/>
        <v>-1387399129.5479796</v>
      </c>
      <c r="S214">
        <f t="shared" si="962"/>
        <v>-13873.991295479796</v>
      </c>
      <c r="T214">
        <f t="shared" si="963"/>
        <v>-13.873991295479797</v>
      </c>
    </row>
    <row r="215" spans="1:20" x14ac:dyDescent="0.25">
      <c r="A215" s="5">
        <v>44378</v>
      </c>
      <c r="B215">
        <v>0.1338</v>
      </c>
      <c r="C215">
        <v>0.1338</v>
      </c>
      <c r="D215">
        <v>0.1273</v>
      </c>
      <c r="E215">
        <v>0.13170000000000001</v>
      </c>
      <c r="F215">
        <v>38799045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0.35384615384615725</v>
      </c>
      <c r="Q215">
        <f t="shared" si="960"/>
        <v>13728892.846153978</v>
      </c>
      <c r="R215">
        <f t="shared" si="961"/>
        <v>-1449243128.734026</v>
      </c>
      <c r="S215">
        <f t="shared" si="962"/>
        <v>-14492.43128734026</v>
      </c>
      <c r="T215">
        <f t="shared" si="963"/>
        <v>-14.49243128734026</v>
      </c>
    </row>
    <row r="216" spans="1:20" x14ac:dyDescent="0.25">
      <c r="A216" s="5">
        <v>44377</v>
      </c>
      <c r="B216">
        <v>0.13289999999999999</v>
      </c>
      <c r="C216">
        <v>0.13550000000000001</v>
      </c>
      <c r="D216">
        <v>0.12540000000000001</v>
      </c>
      <c r="E216">
        <v>0.1338</v>
      </c>
      <c r="F216">
        <v>55685668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0.66336633663366185</v>
      </c>
      <c r="Q216">
        <f t="shared" si="960"/>
        <v>36939997.584158331</v>
      </c>
      <c r="R216">
        <f t="shared" si="961"/>
        <v>-1462972021.5801799</v>
      </c>
      <c r="S216">
        <f t="shared" si="962"/>
        <v>-14629.720215801799</v>
      </c>
      <c r="T216">
        <f t="shared" si="963"/>
        <v>-14.629720215801798</v>
      </c>
    </row>
    <row r="217" spans="1:20" x14ac:dyDescent="0.25">
      <c r="A217" s="5">
        <v>44376</v>
      </c>
      <c r="B217">
        <v>0.1328</v>
      </c>
      <c r="C217">
        <v>0.13819999999999999</v>
      </c>
      <c r="D217">
        <v>0.13220000000000001</v>
      </c>
      <c r="E217">
        <v>0.13289999999999999</v>
      </c>
      <c r="F217">
        <v>54588472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-0.76666666666667294</v>
      </c>
      <c r="Q217">
        <f t="shared" si="960"/>
        <v>-41851161.86666701</v>
      </c>
      <c r="R217">
        <f t="shared" si="961"/>
        <v>-1499912019.1643384</v>
      </c>
      <c r="S217">
        <f t="shared" si="962"/>
        <v>-14999.120191643384</v>
      </c>
      <c r="T217">
        <f t="shared" si="963"/>
        <v>-14.999120191643383</v>
      </c>
    </row>
    <row r="218" spans="1:20" x14ac:dyDescent="0.25">
      <c r="A218" s="5">
        <v>44375</v>
      </c>
      <c r="B218">
        <v>0.1346</v>
      </c>
      <c r="C218">
        <v>0.13700000000000001</v>
      </c>
      <c r="D218">
        <v>0.12809999999999999</v>
      </c>
      <c r="E218">
        <v>0.13250000000000001</v>
      </c>
      <c r="F218">
        <v>45635458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-1.1235955056178514E-2</v>
      </c>
      <c r="Q218">
        <f t="shared" si="960"/>
        <v>-512757.95505612221</v>
      </c>
      <c r="R218">
        <f t="shared" si="961"/>
        <v>-1458060857.2976713</v>
      </c>
      <c r="S218">
        <f t="shared" si="962"/>
        <v>-14580.608572976713</v>
      </c>
      <c r="T218">
        <f t="shared" si="963"/>
        <v>-14.580608572976713</v>
      </c>
    </row>
    <row r="219" spans="1:20" x14ac:dyDescent="0.25">
      <c r="A219" s="5">
        <v>44374</v>
      </c>
      <c r="B219">
        <v>0.1313</v>
      </c>
      <c r="C219">
        <v>0.13500000000000001</v>
      </c>
      <c r="D219">
        <v>0.12470000000000001</v>
      </c>
      <c r="E219">
        <v>0.1346</v>
      </c>
      <c r="F219">
        <v>40408765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0.92233009708737645</v>
      </c>
      <c r="Q219">
        <f t="shared" si="960"/>
        <v>37270220.145630978</v>
      </c>
      <c r="R219">
        <f t="shared" si="961"/>
        <v>-1457548099.3426151</v>
      </c>
      <c r="S219">
        <f t="shared" si="962"/>
        <v>-14575.480993426152</v>
      </c>
      <c r="T219">
        <f t="shared" si="963"/>
        <v>-14.575480993426153</v>
      </c>
    </row>
    <row r="220" spans="1:20" x14ac:dyDescent="0.25">
      <c r="A220" s="5">
        <v>44373</v>
      </c>
      <c r="B220">
        <v>0.12330000000000001</v>
      </c>
      <c r="C220">
        <v>0.13150000000000001</v>
      </c>
      <c r="D220">
        <v>0.1191</v>
      </c>
      <c r="E220">
        <v>0.1313</v>
      </c>
      <c r="F220">
        <v>37037211</v>
      </c>
      <c r="G220">
        <v>0</v>
      </c>
      <c r="L220" t="s">
        <v>8</v>
      </c>
      <c r="M220" t="s">
        <v>8</v>
      </c>
      <c r="N220" t="s">
        <v>7</v>
      </c>
      <c r="P220">
        <f t="shared" si="959"/>
        <v>0.96774193548387011</v>
      </c>
      <c r="Q220">
        <f t="shared" si="960"/>
        <v>35842462.258064486</v>
      </c>
      <c r="R220">
        <f t="shared" si="961"/>
        <v>-1494818319.4882462</v>
      </c>
      <c r="S220">
        <f t="shared" si="962"/>
        <v>-14948.183194882462</v>
      </c>
      <c r="T220">
        <f t="shared" si="963"/>
        <v>-14.948183194882462</v>
      </c>
    </row>
    <row r="221" spans="1:20" x14ac:dyDescent="0.25">
      <c r="A221" s="5">
        <v>44372</v>
      </c>
      <c r="B221">
        <v>0.12970000000000001</v>
      </c>
      <c r="C221">
        <v>0.1318</v>
      </c>
      <c r="D221">
        <v>0.1192</v>
      </c>
      <c r="E221">
        <v>0.12330000000000001</v>
      </c>
      <c r="F221">
        <v>40611534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-0.34920634920634819</v>
      </c>
      <c r="Q221">
        <f t="shared" si="960"/>
        <v>-14181805.523809483</v>
      </c>
      <c r="R221">
        <f t="shared" si="961"/>
        <v>-1530660781.7463107</v>
      </c>
      <c r="S221">
        <f t="shared" si="962"/>
        <v>-15306.607817463107</v>
      </c>
      <c r="T221">
        <f t="shared" si="963"/>
        <v>-15.306607817463107</v>
      </c>
    </row>
    <row r="222" spans="1:20" x14ac:dyDescent="0.25">
      <c r="A222" s="5">
        <v>44371</v>
      </c>
      <c r="B222">
        <v>0.1338</v>
      </c>
      <c r="C222">
        <v>0.13450000000000001</v>
      </c>
      <c r="D222">
        <v>0.1227</v>
      </c>
      <c r="E222">
        <v>0.1295</v>
      </c>
      <c r="F222">
        <v>47450598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0.15254237288135553</v>
      </c>
      <c r="Q222">
        <f t="shared" si="960"/>
        <v>7238226.8135593031</v>
      </c>
      <c r="R222">
        <f t="shared" si="961"/>
        <v>-1516478976.2225013</v>
      </c>
      <c r="S222">
        <f t="shared" si="962"/>
        <v>-15164.789762225013</v>
      </c>
      <c r="T222">
        <f t="shared" si="963"/>
        <v>-15.164789762225013</v>
      </c>
    </row>
    <row r="223" spans="1:20" x14ac:dyDescent="0.25">
      <c r="A223" s="5">
        <v>44370</v>
      </c>
      <c r="B223">
        <v>0.12470000000000001</v>
      </c>
      <c r="C223">
        <v>0.13650000000000001</v>
      </c>
      <c r="D223">
        <v>0.1193</v>
      </c>
      <c r="E223">
        <v>0.13350000000000001</v>
      </c>
      <c r="F223">
        <v>85832615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0.65116279069767424</v>
      </c>
      <c r="Q223">
        <f t="shared" si="960"/>
        <v>55891005.116279058</v>
      </c>
      <c r="R223">
        <f t="shared" si="961"/>
        <v>-1523717203.0360606</v>
      </c>
      <c r="S223">
        <f t="shared" si="962"/>
        <v>-15237.172030360605</v>
      </c>
      <c r="T223">
        <f t="shared" si="963"/>
        <v>-15.237172030360606</v>
      </c>
    </row>
    <row r="224" spans="1:20" x14ac:dyDescent="0.25">
      <c r="A224" s="5">
        <v>44369</v>
      </c>
      <c r="B224">
        <v>0.1132</v>
      </c>
      <c r="C224">
        <v>0.13320000000000001</v>
      </c>
      <c r="D224">
        <v>0.1053</v>
      </c>
      <c r="E224">
        <v>0.12479999999999999</v>
      </c>
      <c r="F224">
        <v>146154147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0.39784946236559027</v>
      </c>
      <c r="Q224">
        <f t="shared" si="960"/>
        <v>58147348.806451447</v>
      </c>
      <c r="R224">
        <f t="shared" si="961"/>
        <v>-1579608208.1523397</v>
      </c>
      <c r="S224">
        <f t="shared" si="962"/>
        <v>-15796.082081523396</v>
      </c>
      <c r="T224">
        <f t="shared" si="963"/>
        <v>-15.796082081523396</v>
      </c>
    </row>
    <row r="225" spans="1:20" x14ac:dyDescent="0.25">
      <c r="A225" s="5">
        <v>44368</v>
      </c>
      <c r="B225">
        <v>0.1333</v>
      </c>
      <c r="C225">
        <v>0.13469999999999999</v>
      </c>
      <c r="D225">
        <v>0.11</v>
      </c>
      <c r="E225">
        <v>0.11310000000000001</v>
      </c>
      <c r="F225">
        <v>75598565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-0.74898785425101155</v>
      </c>
      <c r="Q225">
        <f t="shared" si="960"/>
        <v>-56622406.983805627</v>
      </c>
      <c r="R225">
        <f t="shared" si="961"/>
        <v>-1637755556.9587913</v>
      </c>
      <c r="S225">
        <f t="shared" si="962"/>
        <v>-16377.555569587912</v>
      </c>
      <c r="T225">
        <f t="shared" si="963"/>
        <v>-16.377555569587912</v>
      </c>
    </row>
    <row r="226" spans="1:20" x14ac:dyDescent="0.25">
      <c r="A226" s="5">
        <v>44367</v>
      </c>
      <c r="B226">
        <v>0.13009999999999999</v>
      </c>
      <c r="C226">
        <v>0.13900000000000001</v>
      </c>
      <c r="D226">
        <v>0.12180000000000001</v>
      </c>
      <c r="E226">
        <v>0.13320000000000001</v>
      </c>
      <c r="F226">
        <v>60654327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0.32558139534883751</v>
      </c>
      <c r="Q226">
        <f t="shared" si="960"/>
        <v>19747920.418604668</v>
      </c>
      <c r="R226">
        <f t="shared" si="961"/>
        <v>-1581133149.9749856</v>
      </c>
      <c r="S226">
        <f t="shared" si="962"/>
        <v>-15811.331499749856</v>
      </c>
      <c r="T226">
        <f t="shared" si="963"/>
        <v>-15.811331499749857</v>
      </c>
    </row>
    <row r="227" spans="1:20" x14ac:dyDescent="0.25">
      <c r="A227" s="5">
        <v>44366</v>
      </c>
      <c r="B227">
        <v>0.12770000000000001</v>
      </c>
      <c r="C227">
        <v>0.13339999999999999</v>
      </c>
      <c r="D227">
        <v>0.1235</v>
      </c>
      <c r="E227">
        <v>0.13009999999999999</v>
      </c>
      <c r="F227">
        <v>32338783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0.33333333333333331</v>
      </c>
      <c r="Q227">
        <f t="shared" si="960"/>
        <v>10779594.333333332</v>
      </c>
      <c r="R227">
        <f t="shared" si="961"/>
        <v>-1600881070.3935902</v>
      </c>
      <c r="S227">
        <f t="shared" si="962"/>
        <v>-16008.810703935902</v>
      </c>
      <c r="T227">
        <f t="shared" si="963"/>
        <v>-16.0088107039359</v>
      </c>
    </row>
    <row r="228" spans="1:20" x14ac:dyDescent="0.25">
      <c r="A228" s="5">
        <v>44365</v>
      </c>
      <c r="B228">
        <v>0.13400000000000001</v>
      </c>
      <c r="C228">
        <v>0.13550000000000001</v>
      </c>
      <c r="D228">
        <v>0.12139999999999999</v>
      </c>
      <c r="E228">
        <v>0.12759999999999999</v>
      </c>
      <c r="F228">
        <v>38392523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-0.12056737588652618</v>
      </c>
      <c r="Q228">
        <f t="shared" si="960"/>
        <v>-4628885.7517731013</v>
      </c>
      <c r="R228">
        <f t="shared" si="961"/>
        <v>-1611660664.7269235</v>
      </c>
      <c r="S228">
        <f t="shared" si="962"/>
        <v>-16116.606647269235</v>
      </c>
      <c r="T228">
        <f t="shared" si="963"/>
        <v>-16.116606647269233</v>
      </c>
    </row>
    <row r="229" spans="1:20" x14ac:dyDescent="0.25">
      <c r="A229" s="5">
        <v>44364</v>
      </c>
      <c r="B229">
        <v>0.13150000000000001</v>
      </c>
      <c r="C229">
        <v>0.13780000000000001</v>
      </c>
      <c r="D229">
        <v>0.127</v>
      </c>
      <c r="E229">
        <v>0.1338</v>
      </c>
      <c r="F229">
        <v>45321353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0.25925925925925886</v>
      </c>
      <c r="Q229">
        <f t="shared" si="960"/>
        <v>11749980.40740739</v>
      </c>
      <c r="R229">
        <f t="shared" si="961"/>
        <v>-1607031778.9751503</v>
      </c>
      <c r="S229">
        <f t="shared" si="962"/>
        <v>-16070.317789751503</v>
      </c>
      <c r="T229">
        <f t="shared" si="963"/>
        <v>-16.070317789751503</v>
      </c>
    </row>
    <row r="230" spans="1:20" x14ac:dyDescent="0.25">
      <c r="A230" s="5">
        <v>44363</v>
      </c>
      <c r="B230">
        <v>0.13980000000000001</v>
      </c>
      <c r="C230">
        <v>0.14249999999999999</v>
      </c>
      <c r="D230">
        <v>0.12870000000000001</v>
      </c>
      <c r="E230">
        <v>0.13150000000000001</v>
      </c>
      <c r="F230">
        <v>43882645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-0.5942028985507245</v>
      </c>
      <c r="Q230">
        <f t="shared" si="960"/>
        <v>-26075194.855072457</v>
      </c>
      <c r="R230">
        <f t="shared" si="961"/>
        <v>-1618781759.3825576</v>
      </c>
      <c r="S230">
        <f t="shared" si="962"/>
        <v>-16187.817593825577</v>
      </c>
      <c r="T230">
        <f t="shared" si="963"/>
        <v>-16.187817593825578</v>
      </c>
    </row>
    <row r="231" spans="1:20" x14ac:dyDescent="0.25">
      <c r="A231" s="5">
        <v>44362</v>
      </c>
      <c r="B231">
        <v>0.14119999999999999</v>
      </c>
      <c r="C231">
        <v>0.1462</v>
      </c>
      <c r="D231">
        <v>0.1366</v>
      </c>
      <c r="E231">
        <v>0.14000000000000001</v>
      </c>
      <c r="F231">
        <v>52883786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-0.29166666666666352</v>
      </c>
      <c r="Q231">
        <f t="shared" si="960"/>
        <v>-15424437.583333166</v>
      </c>
      <c r="R231">
        <f t="shared" si="961"/>
        <v>-1592706564.5274851</v>
      </c>
      <c r="S231">
        <f t="shared" si="962"/>
        <v>-15927.065645274852</v>
      </c>
      <c r="T231">
        <f t="shared" si="963"/>
        <v>-15.927065645274851</v>
      </c>
    </row>
    <row r="232" spans="1:20" x14ac:dyDescent="0.25">
      <c r="A232" s="5">
        <v>44361</v>
      </c>
      <c r="B232">
        <v>0.1384</v>
      </c>
      <c r="C232">
        <v>0.1477</v>
      </c>
      <c r="D232">
        <v>0.13650000000000001</v>
      </c>
      <c r="E232">
        <v>0.1414</v>
      </c>
      <c r="F232">
        <v>71311009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-0.12500000000000125</v>
      </c>
      <c r="Q232">
        <f t="shared" si="960"/>
        <v>-8913876.1250000894</v>
      </c>
      <c r="R232">
        <f t="shared" si="961"/>
        <v>-1577282126.9441519</v>
      </c>
      <c r="S232">
        <f t="shared" si="962"/>
        <v>-15772.82126944152</v>
      </c>
      <c r="T232">
        <f t="shared" si="963"/>
        <v>-15.77282126944152</v>
      </c>
    </row>
    <row r="233" spans="1:20" x14ac:dyDescent="0.25">
      <c r="A233" s="5">
        <v>44360</v>
      </c>
      <c r="B233">
        <v>0.1273</v>
      </c>
      <c r="C233">
        <v>0.1474</v>
      </c>
      <c r="D233">
        <v>0.125</v>
      </c>
      <c r="E233">
        <v>0.1384</v>
      </c>
      <c r="F233">
        <v>89718340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0.19642857142857084</v>
      </c>
      <c r="Q233">
        <f t="shared" si="960"/>
        <v>17623245.357142806</v>
      </c>
      <c r="R233">
        <f t="shared" si="961"/>
        <v>-1568368250.8191519</v>
      </c>
      <c r="S233">
        <f t="shared" si="962"/>
        <v>-15683.682508191519</v>
      </c>
      <c r="T233">
        <f t="shared" si="963"/>
        <v>-15.68368250819152</v>
      </c>
    </row>
    <row r="234" spans="1:20" x14ac:dyDescent="0.25">
      <c r="A234" s="5">
        <v>44359</v>
      </c>
      <c r="B234">
        <v>0.13880000000000001</v>
      </c>
      <c r="C234">
        <v>0.14269999999999999</v>
      </c>
      <c r="D234">
        <v>0.1207</v>
      </c>
      <c r="E234">
        <v>0.12709999999999999</v>
      </c>
      <c r="F234">
        <v>125470670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-0.41818181818181899</v>
      </c>
      <c r="Q234">
        <f t="shared" si="960"/>
        <v>-52469552.909091011</v>
      </c>
      <c r="R234">
        <f t="shared" si="961"/>
        <v>-1585991496.1762946</v>
      </c>
      <c r="S234">
        <f t="shared" si="962"/>
        <v>-15859.914961762946</v>
      </c>
      <c r="T234">
        <f t="shared" si="963"/>
        <v>-15.859914961762946</v>
      </c>
    </row>
    <row r="235" spans="1:20" x14ac:dyDescent="0.25">
      <c r="A235" s="5">
        <v>44358</v>
      </c>
      <c r="B235">
        <v>0.12330000000000001</v>
      </c>
      <c r="C235">
        <v>0.1668</v>
      </c>
      <c r="D235">
        <v>0.11899999999999999</v>
      </c>
      <c r="E235">
        <v>0.1386</v>
      </c>
      <c r="F235">
        <v>284566339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-0.17991631799163169</v>
      </c>
      <c r="Q235">
        <f t="shared" si="960"/>
        <v>-51198127.937238462</v>
      </c>
      <c r="R235">
        <f t="shared" si="961"/>
        <v>-1533521943.2672036</v>
      </c>
      <c r="S235">
        <f t="shared" si="962"/>
        <v>-15335.219432672036</v>
      </c>
      <c r="T235">
        <f t="shared" si="963"/>
        <v>-15.335219432672037</v>
      </c>
    </row>
    <row r="236" spans="1:20" x14ac:dyDescent="0.25">
      <c r="A236" s="5">
        <v>44357</v>
      </c>
      <c r="B236">
        <v>0.1348</v>
      </c>
      <c r="C236">
        <v>0.13830000000000001</v>
      </c>
      <c r="D236">
        <v>0.11899999999999999</v>
      </c>
      <c r="E236">
        <v>0.1231</v>
      </c>
      <c r="F236">
        <v>96740355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-0.57512953367875608</v>
      </c>
      <c r="Q236">
        <f t="shared" si="960"/>
        <v>-55638235.259067319</v>
      </c>
      <c r="R236">
        <f t="shared" si="961"/>
        <v>-1482323815.3299651</v>
      </c>
      <c r="S236">
        <f t="shared" si="962"/>
        <v>-14823.238153299651</v>
      </c>
      <c r="T236">
        <f t="shared" si="963"/>
        <v>-14.823238153299652</v>
      </c>
    </row>
    <row r="237" spans="1:20" x14ac:dyDescent="0.25">
      <c r="A237" s="5">
        <v>44356</v>
      </c>
      <c r="B237">
        <v>0.1142</v>
      </c>
      <c r="C237">
        <v>0.14299999999999999</v>
      </c>
      <c r="D237">
        <v>0.105</v>
      </c>
      <c r="E237">
        <v>0.1348</v>
      </c>
      <c r="F237">
        <v>155633583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0.5684210526315796</v>
      </c>
      <c r="Q237">
        <f t="shared" si="960"/>
        <v>88465405.07368432</v>
      </c>
      <c r="R237">
        <f t="shared" si="961"/>
        <v>-1426685580.0708978</v>
      </c>
      <c r="S237">
        <f t="shared" si="962"/>
        <v>-14266.855800708978</v>
      </c>
      <c r="T237">
        <f t="shared" si="963"/>
        <v>-14.266855800708978</v>
      </c>
    </row>
    <row r="238" spans="1:20" x14ac:dyDescent="0.25">
      <c r="A238" s="5">
        <v>44355</v>
      </c>
      <c r="B238">
        <v>0.1217</v>
      </c>
      <c r="C238">
        <v>0.124</v>
      </c>
      <c r="D238">
        <v>9.74E-2</v>
      </c>
      <c r="E238">
        <v>0.1142</v>
      </c>
      <c r="F238">
        <v>121684773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0.26315789473684181</v>
      </c>
      <c r="Q238">
        <f t="shared" si="960"/>
        <v>32022308.68421049</v>
      </c>
      <c r="R238">
        <f t="shared" si="961"/>
        <v>-1515150985.144582</v>
      </c>
      <c r="S238">
        <f t="shared" si="962"/>
        <v>-15151.50985144582</v>
      </c>
      <c r="T238">
        <f t="shared" si="963"/>
        <v>-15.151509851445821</v>
      </c>
    </row>
    <row r="239" spans="1:20" x14ac:dyDescent="0.25">
      <c r="A239" s="5">
        <v>44354</v>
      </c>
      <c r="B239">
        <v>0.1308</v>
      </c>
      <c r="C239">
        <v>0.13789999999999999</v>
      </c>
      <c r="D239">
        <v>0.12</v>
      </c>
      <c r="E239">
        <v>0.1215</v>
      </c>
      <c r="F239">
        <v>59588280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-0.83240223463687135</v>
      </c>
      <c r="Q239">
        <f t="shared" si="960"/>
        <v>-49601417.430167586</v>
      </c>
      <c r="R239">
        <f t="shared" si="961"/>
        <v>-1547173293.8287926</v>
      </c>
      <c r="S239">
        <f t="shared" si="962"/>
        <v>-15471.732938287925</v>
      </c>
      <c r="T239">
        <f t="shared" si="963"/>
        <v>-15.471732938287925</v>
      </c>
    </row>
    <row r="240" spans="1:20" x14ac:dyDescent="0.25">
      <c r="A240" s="5">
        <v>44353</v>
      </c>
      <c r="B240">
        <v>0.12939999999999999</v>
      </c>
      <c r="C240">
        <v>0.13339999999999999</v>
      </c>
      <c r="D240">
        <v>0.12590000000000001</v>
      </c>
      <c r="E240">
        <v>0.1308</v>
      </c>
      <c r="F240">
        <v>48606984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0.30666666666666709</v>
      </c>
      <c r="Q240">
        <f t="shared" si="960"/>
        <v>14906141.76000002</v>
      </c>
      <c r="R240">
        <f t="shared" si="961"/>
        <v>-1497571876.3986249</v>
      </c>
      <c r="S240">
        <f t="shared" si="962"/>
        <v>-14975.71876398625</v>
      </c>
      <c r="T240">
        <f t="shared" si="963"/>
        <v>-14.975718763986249</v>
      </c>
    </row>
    <row r="241" spans="1:20" x14ac:dyDescent="0.25">
      <c r="A241" s="5">
        <v>44352</v>
      </c>
      <c r="B241">
        <v>0.13159999999999999</v>
      </c>
      <c r="C241">
        <v>0.13800000000000001</v>
      </c>
      <c r="D241">
        <v>0.12540000000000001</v>
      </c>
      <c r="E241">
        <v>0.1293</v>
      </c>
      <c r="F241">
        <v>81284304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-0.38095238095238304</v>
      </c>
      <c r="Q241">
        <f t="shared" si="960"/>
        <v>-30965449.142857313</v>
      </c>
      <c r="R241">
        <f t="shared" si="961"/>
        <v>-1512478018.1586249</v>
      </c>
      <c r="S241">
        <f t="shared" si="962"/>
        <v>-15124.780181586249</v>
      </c>
      <c r="T241">
        <f t="shared" si="963"/>
        <v>-15.124780181586249</v>
      </c>
    </row>
    <row r="242" spans="1:20" x14ac:dyDescent="0.25">
      <c r="A242" s="5">
        <v>44351</v>
      </c>
      <c r="B242">
        <v>0.14510000000000001</v>
      </c>
      <c r="C242">
        <v>0.14599999999999999</v>
      </c>
      <c r="D242">
        <v>0.1246</v>
      </c>
      <c r="E242">
        <v>0.13159999999999999</v>
      </c>
      <c r="F242">
        <v>108441168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-0.34579439252336486</v>
      </c>
      <c r="Q242">
        <f t="shared" si="960"/>
        <v>-37498347.813084155</v>
      </c>
      <c r="R242">
        <f t="shared" si="961"/>
        <v>-1481512569.0157676</v>
      </c>
      <c r="S242">
        <f t="shared" si="962"/>
        <v>-14815.125690157676</v>
      </c>
      <c r="T242">
        <f t="shared" si="963"/>
        <v>-14.815125690157677</v>
      </c>
    </row>
    <row r="243" spans="1:20" x14ac:dyDescent="0.25">
      <c r="A243" s="5">
        <v>44350</v>
      </c>
      <c r="B243">
        <v>0.1389</v>
      </c>
      <c r="C243">
        <v>0.14949999999999999</v>
      </c>
      <c r="D243">
        <v>0.13669999999999999</v>
      </c>
      <c r="E243">
        <v>0.14510000000000001</v>
      </c>
      <c r="F243">
        <v>121406319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0.31250000000000233</v>
      </c>
      <c r="Q243">
        <f t="shared" si="960"/>
        <v>37939474.687500283</v>
      </c>
      <c r="R243">
        <f t="shared" si="961"/>
        <v>-1444014221.2026834</v>
      </c>
      <c r="S243">
        <f t="shared" si="962"/>
        <v>-14440.142212026834</v>
      </c>
      <c r="T243">
        <f t="shared" si="963"/>
        <v>-14.440142212026835</v>
      </c>
    </row>
    <row r="244" spans="1:20" x14ac:dyDescent="0.25">
      <c r="A244" s="5">
        <v>44349</v>
      </c>
      <c r="B244">
        <v>0.13500000000000001</v>
      </c>
      <c r="C244">
        <v>0.14299999999999999</v>
      </c>
      <c r="D244">
        <v>0.13020000000000001</v>
      </c>
      <c r="E244">
        <v>0.1389</v>
      </c>
      <c r="F244">
        <v>120136848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0.35937500000000006</v>
      </c>
      <c r="Q244">
        <f t="shared" si="960"/>
        <v>43174179.750000007</v>
      </c>
      <c r="R244">
        <f t="shared" si="961"/>
        <v>-1481953695.8901837</v>
      </c>
      <c r="S244">
        <f t="shared" si="962"/>
        <v>-14819.536958901837</v>
      </c>
      <c r="T244">
        <f t="shared" si="963"/>
        <v>-14.819536958901837</v>
      </c>
    </row>
    <row r="245" spans="1:20" x14ac:dyDescent="0.25">
      <c r="A245" s="5">
        <v>44348</v>
      </c>
      <c r="B245">
        <v>0.1457</v>
      </c>
      <c r="C245">
        <v>0.14899999999999999</v>
      </c>
      <c r="D245">
        <v>0.1326</v>
      </c>
      <c r="E245">
        <v>0.1348</v>
      </c>
      <c r="F245">
        <v>119352567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-0.73170731707316983</v>
      </c>
      <c r="Q245">
        <f t="shared" si="960"/>
        <v>-87331146.585365742</v>
      </c>
      <c r="R245">
        <f t="shared" si="961"/>
        <v>-1525127875.6401837</v>
      </c>
      <c r="S245">
        <f t="shared" si="962"/>
        <v>-15251.278756401836</v>
      </c>
      <c r="T245">
        <f t="shared" si="963"/>
        <v>-15.251278756401836</v>
      </c>
    </row>
    <row r="246" spans="1:20" x14ac:dyDescent="0.25">
      <c r="A246" s="5">
        <v>44347</v>
      </c>
      <c r="B246">
        <v>0.13700000000000001</v>
      </c>
      <c r="C246">
        <v>0.14779999999999999</v>
      </c>
      <c r="D246">
        <v>0.128</v>
      </c>
      <c r="E246">
        <v>0.1459</v>
      </c>
      <c r="F246">
        <v>181571127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0.8080808080808094</v>
      </c>
      <c r="Q246">
        <f t="shared" si="960"/>
        <v>146724143.03030327</v>
      </c>
      <c r="R246">
        <f t="shared" si="961"/>
        <v>-1437796729.0548179</v>
      </c>
      <c r="S246">
        <f t="shared" si="962"/>
        <v>-14377.967290548178</v>
      </c>
      <c r="T246">
        <f t="shared" si="963"/>
        <v>-14.377967290548179</v>
      </c>
    </row>
    <row r="247" spans="1:20" x14ac:dyDescent="0.25">
      <c r="A247" s="5">
        <v>44346</v>
      </c>
      <c r="B247">
        <v>0.1313</v>
      </c>
      <c r="C247">
        <v>0.1575</v>
      </c>
      <c r="D247">
        <v>0.1265</v>
      </c>
      <c r="E247">
        <v>0.13700000000000001</v>
      </c>
      <c r="F247">
        <v>265419739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-0.3225806451612897</v>
      </c>
      <c r="Q247">
        <f t="shared" si="960"/>
        <v>-85619270.645161122</v>
      </c>
      <c r="R247">
        <f t="shared" si="961"/>
        <v>-1584520872.0851212</v>
      </c>
      <c r="S247">
        <f t="shared" si="962"/>
        <v>-15845.208720851211</v>
      </c>
      <c r="T247">
        <f t="shared" si="963"/>
        <v>-15.845208720851211</v>
      </c>
    </row>
    <row r="248" spans="1:20" x14ac:dyDescent="0.25">
      <c r="A248" s="5">
        <v>44345</v>
      </c>
      <c r="B248">
        <v>0.14910000000000001</v>
      </c>
      <c r="C248">
        <v>0.1704</v>
      </c>
      <c r="D248">
        <v>0.12429999999999999</v>
      </c>
      <c r="E248">
        <v>0.13159999999999999</v>
      </c>
      <c r="F248">
        <v>389533076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-0.68329718004338391</v>
      </c>
      <c r="Q248">
        <f t="shared" si="960"/>
        <v>-266166852.36442515</v>
      </c>
      <c r="R248">
        <f t="shared" si="961"/>
        <v>-1498901601.43996</v>
      </c>
      <c r="S248">
        <f t="shared" si="962"/>
        <v>-14989.0160143996</v>
      </c>
      <c r="T248">
        <f t="shared" si="963"/>
        <v>-14.989016014399599</v>
      </c>
    </row>
    <row r="249" spans="1:20" x14ac:dyDescent="0.25">
      <c r="A249" s="5">
        <v>44344</v>
      </c>
      <c r="B249">
        <v>0.21310000000000001</v>
      </c>
      <c r="C249">
        <v>0.23</v>
      </c>
      <c r="D249">
        <v>0.1343</v>
      </c>
      <c r="E249">
        <v>0.14910000000000001</v>
      </c>
      <c r="F249">
        <v>781380230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-0.69070010449320784</v>
      </c>
      <c r="Q249">
        <f t="shared" si="960"/>
        <v>-539699406.5099268</v>
      </c>
      <c r="R249">
        <f t="shared" si="961"/>
        <v>-1232734749.0755348</v>
      </c>
      <c r="S249">
        <f t="shared" si="962"/>
        <v>-12327.347490755348</v>
      </c>
      <c r="T249">
        <f t="shared" si="963"/>
        <v>-12.327347490755349</v>
      </c>
    </row>
    <row r="250" spans="1:20" x14ac:dyDescent="0.25">
      <c r="A250" s="5">
        <v>44343</v>
      </c>
      <c r="B250">
        <v>0.19989999999999999</v>
      </c>
      <c r="C250">
        <v>0.247</v>
      </c>
      <c r="D250">
        <v>0.1522</v>
      </c>
      <c r="E250">
        <v>0.21329999999999999</v>
      </c>
      <c r="F250">
        <v>434090226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0.2890295358649787</v>
      </c>
      <c r="Q250">
        <f t="shared" si="960"/>
        <v>125464896.54430372</v>
      </c>
      <c r="R250">
        <f t="shared" si="961"/>
        <v>-693035342.56560802</v>
      </c>
      <c r="S250">
        <f t="shared" si="962"/>
        <v>-6930.3534256560806</v>
      </c>
      <c r="T250">
        <f t="shared" si="963"/>
        <v>-6.9303534256560804</v>
      </c>
    </row>
    <row r="251" spans="1:20" x14ac:dyDescent="0.25">
      <c r="A251" s="5">
        <v>44342</v>
      </c>
      <c r="B251">
        <v>0.12959999999999999</v>
      </c>
      <c r="C251">
        <v>0.2</v>
      </c>
      <c r="D251">
        <v>0.1207</v>
      </c>
      <c r="E251">
        <v>0.19980000000000001</v>
      </c>
      <c r="F251">
        <v>175934320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0.99495586380832268</v>
      </c>
      <c r="Q251">
        <f t="shared" si="960"/>
        <v>175046883.32912987</v>
      </c>
      <c r="R251">
        <f t="shared" si="961"/>
        <v>-818500239.10991168</v>
      </c>
      <c r="S251">
        <f t="shared" si="962"/>
        <v>-8185.0023910991167</v>
      </c>
      <c r="T251">
        <f t="shared" si="963"/>
        <v>-8.1850023910991165</v>
      </c>
    </row>
    <row r="252" spans="1:20" x14ac:dyDescent="0.25">
      <c r="A252" s="5">
        <v>44341</v>
      </c>
      <c r="B252">
        <v>0.11459999999999999</v>
      </c>
      <c r="C252">
        <v>0.14219999999999999</v>
      </c>
      <c r="D252">
        <v>0.1014</v>
      </c>
      <c r="E252">
        <v>0.12989999999999999</v>
      </c>
      <c r="F252">
        <v>218300166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0.39705882352941135</v>
      </c>
      <c r="Q252">
        <f t="shared" si="960"/>
        <v>86678007.088235199</v>
      </c>
      <c r="R252">
        <f t="shared" si="961"/>
        <v>-993547122.43904161</v>
      </c>
      <c r="S252">
        <f t="shared" si="962"/>
        <v>-9935.471224390416</v>
      </c>
      <c r="T252">
        <f t="shared" si="963"/>
        <v>-9.9354712243904153</v>
      </c>
    </row>
    <row r="253" spans="1:20" x14ac:dyDescent="0.25">
      <c r="A253" s="5">
        <v>44340</v>
      </c>
      <c r="B253">
        <v>8.2400000000000001E-2</v>
      </c>
      <c r="C253">
        <v>0.1234</v>
      </c>
      <c r="D253">
        <v>7.6300000000000007E-2</v>
      </c>
      <c r="E253">
        <v>0.1149</v>
      </c>
      <c r="F253">
        <v>192507742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0.63906581740976665</v>
      </c>
      <c r="Q253">
        <f t="shared" si="960"/>
        <v>123025117.49893847</v>
      </c>
      <c r="R253">
        <f t="shared" si="961"/>
        <v>-1080225129.5272768</v>
      </c>
      <c r="S253">
        <f t="shared" si="962"/>
        <v>-10802.251295272768</v>
      </c>
      <c r="T253">
        <f t="shared" si="963"/>
        <v>-10.802251295272768</v>
      </c>
    </row>
    <row r="254" spans="1:20" x14ac:dyDescent="0.25">
      <c r="A254" s="5">
        <v>44339</v>
      </c>
      <c r="B254">
        <v>0.1162</v>
      </c>
      <c r="C254">
        <v>0.11799999999999999</v>
      </c>
      <c r="D254">
        <v>6.1400000000000003E-2</v>
      </c>
      <c r="E254">
        <v>8.1699999999999995E-2</v>
      </c>
      <c r="F254">
        <v>152764541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-0.28268551236749134</v>
      </c>
      <c r="Q254">
        <f t="shared" si="960"/>
        <v>-43184322.544169635</v>
      </c>
      <c r="R254">
        <f t="shared" si="961"/>
        <v>-1203250247.0262153</v>
      </c>
      <c r="S254">
        <f t="shared" si="962"/>
        <v>-12032.502470262154</v>
      </c>
      <c r="T254">
        <f t="shared" si="963"/>
        <v>-12.032502470262154</v>
      </c>
    </row>
    <row r="255" spans="1:20" x14ac:dyDescent="0.25">
      <c r="A255" s="5">
        <v>44338</v>
      </c>
      <c r="B255">
        <v>0.1326</v>
      </c>
      <c r="C255">
        <v>0.13819999999999999</v>
      </c>
      <c r="D255">
        <v>9.5000000000000001E-2</v>
      </c>
      <c r="E255">
        <v>0.11550000000000001</v>
      </c>
      <c r="F255">
        <v>181507328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-5.0925925925925472E-2</v>
      </c>
      <c r="Q255">
        <f t="shared" si="960"/>
        <v>-9243428.7407406587</v>
      </c>
      <c r="R255">
        <f t="shared" si="961"/>
        <v>-1160065924.4820457</v>
      </c>
      <c r="S255">
        <f t="shared" si="962"/>
        <v>-11600.659244820457</v>
      </c>
      <c r="T255">
        <f t="shared" si="963"/>
        <v>-11.600659244820458</v>
      </c>
    </row>
    <row r="256" spans="1:20" x14ac:dyDescent="0.25">
      <c r="A256" s="5">
        <v>44337</v>
      </c>
      <c r="B256">
        <v>0.16800000000000001</v>
      </c>
      <c r="C256">
        <v>0.1847</v>
      </c>
      <c r="D256">
        <v>0.11</v>
      </c>
      <c r="E256">
        <v>0.13400000000000001</v>
      </c>
      <c r="F256">
        <v>159882988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-0.35742971887550185</v>
      </c>
      <c r="Q256">
        <f t="shared" si="960"/>
        <v>-57146931.453815237</v>
      </c>
      <c r="R256">
        <f t="shared" si="961"/>
        <v>-1150822495.7413049</v>
      </c>
      <c r="S256">
        <f t="shared" si="962"/>
        <v>-11508.224957413049</v>
      </c>
      <c r="T256">
        <f t="shared" si="963"/>
        <v>-11.508224957413049</v>
      </c>
    </row>
    <row r="257" spans="1:20" x14ac:dyDescent="0.25">
      <c r="A257" s="5">
        <v>44336</v>
      </c>
      <c r="B257">
        <v>0.1464</v>
      </c>
      <c r="C257">
        <v>0.18890000000000001</v>
      </c>
      <c r="D257">
        <v>0.1215</v>
      </c>
      <c r="E257">
        <v>0.16800000000000001</v>
      </c>
      <c r="F257">
        <v>149165571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0.37982195845697336</v>
      </c>
      <c r="Q257">
        <f t="shared" si="960"/>
        <v>56656359.311572708</v>
      </c>
      <c r="R257">
        <f t="shared" si="961"/>
        <v>-1093675564.2874897</v>
      </c>
      <c r="S257">
        <f t="shared" si="962"/>
        <v>-10936.755642874896</v>
      </c>
      <c r="T257">
        <f t="shared" si="963"/>
        <v>-10.936755642874896</v>
      </c>
    </row>
    <row r="258" spans="1:20" x14ac:dyDescent="0.25">
      <c r="A258" s="5">
        <v>44335</v>
      </c>
      <c r="B258">
        <v>0.23569999999999999</v>
      </c>
      <c r="C258">
        <v>0.25019999999999998</v>
      </c>
      <c r="D258">
        <v>0.12</v>
      </c>
      <c r="E258">
        <v>0.1464</v>
      </c>
      <c r="F258">
        <v>216174054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-0.59447004608294918</v>
      </c>
      <c r="Q258">
        <f t="shared" si="960"/>
        <v>-128508999.84331794</v>
      </c>
      <c r="R258">
        <f t="shared" si="961"/>
        <v>-1150331923.5990624</v>
      </c>
      <c r="S258">
        <f t="shared" si="962"/>
        <v>-11503.319235990624</v>
      </c>
      <c r="T258">
        <f t="shared" si="963"/>
        <v>-11.503319235990624</v>
      </c>
    </row>
    <row r="259" spans="1:20" x14ac:dyDescent="0.25">
      <c r="A259" s="5">
        <v>44334</v>
      </c>
      <c r="B259">
        <v>0.26929999999999998</v>
      </c>
      <c r="C259">
        <v>0.315</v>
      </c>
      <c r="D259">
        <v>0.23280000000000001</v>
      </c>
      <c r="E259">
        <v>0.23569999999999999</v>
      </c>
      <c r="F259">
        <v>248762760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-0.9294403892944042</v>
      </c>
      <c r="Q259">
        <f t="shared" si="960"/>
        <v>-231210156.49635044</v>
      </c>
      <c r="R259">
        <f t="shared" si="961"/>
        <v>-1021822923.7557446</v>
      </c>
      <c r="S259">
        <f t="shared" si="962"/>
        <v>-10218.229237557445</v>
      </c>
      <c r="T259">
        <f t="shared" si="963"/>
        <v>-10.218229237557445</v>
      </c>
    </row>
    <row r="260" spans="1:20" x14ac:dyDescent="0.25">
      <c r="A260" s="5">
        <v>44333</v>
      </c>
      <c r="B260">
        <v>0.2099</v>
      </c>
      <c r="C260">
        <v>0.34499999999999997</v>
      </c>
      <c r="D260">
        <v>0.19170000000000001</v>
      </c>
      <c r="E260">
        <v>0.26929999999999998</v>
      </c>
      <c r="F260">
        <v>594692508</v>
      </c>
      <c r="G260">
        <v>0</v>
      </c>
      <c r="L260" t="s">
        <v>8</v>
      </c>
      <c r="M260" t="s">
        <v>8</v>
      </c>
      <c r="N260" t="s">
        <v>8</v>
      </c>
      <c r="P260">
        <f t="shared" si="959"/>
        <v>1.2393998695368464E-2</v>
      </c>
      <c r="Q260">
        <f t="shared" si="960"/>
        <v>7370618.1682973998</v>
      </c>
      <c r="R260">
        <f t="shared" si="961"/>
        <v>-790612767.25939417</v>
      </c>
      <c r="S260">
        <f t="shared" si="962"/>
        <v>-7906.1276725939415</v>
      </c>
      <c r="T260">
        <f t="shared" si="963"/>
        <v>-7.9061276725939411</v>
      </c>
    </row>
    <row r="261" spans="1:20" x14ac:dyDescent="0.25">
      <c r="A261" s="5">
        <v>44332</v>
      </c>
      <c r="B261">
        <v>0.17699999999999999</v>
      </c>
      <c r="C261">
        <v>0.24690000000000001</v>
      </c>
      <c r="D261">
        <v>0.1764</v>
      </c>
      <c r="E261">
        <v>0.2099</v>
      </c>
      <c r="F261">
        <v>261087116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-4.9645390070922023E-2</v>
      </c>
      <c r="Q261">
        <f t="shared" si="960"/>
        <v>-12961771.716312066</v>
      </c>
      <c r="R261">
        <f t="shared" si="961"/>
        <v>-797983385.42769158</v>
      </c>
      <c r="S261">
        <f t="shared" si="962"/>
        <v>-7979.8338542769161</v>
      </c>
      <c r="T261">
        <f t="shared" si="963"/>
        <v>-7.979833854276916</v>
      </c>
    </row>
    <row r="262" spans="1:20" x14ac:dyDescent="0.25">
      <c r="A262" s="5">
        <v>44331</v>
      </c>
      <c r="B262">
        <v>0.2021</v>
      </c>
      <c r="C262">
        <v>0.22550000000000001</v>
      </c>
      <c r="D262">
        <v>0.16569999999999999</v>
      </c>
      <c r="E262">
        <v>0.17699999999999999</v>
      </c>
      <c r="F262">
        <v>133871181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-0.62207357859531776</v>
      </c>
      <c r="Q262">
        <f t="shared" ref="Q262:Q325" si="965">F262*P262</f>
        <v>-83277724.635451511</v>
      </c>
      <c r="R262">
        <f t="shared" ref="R262:R325" si="966">R263+Q262</f>
        <v>-785021613.71137953</v>
      </c>
      <c r="S262">
        <f t="shared" ref="S262:S325" si="967">R262/100000</f>
        <v>-7850.2161371137954</v>
      </c>
      <c r="T262">
        <f t="shared" ref="T262:T325" si="968">S262/1000</f>
        <v>-7.8502161371137955</v>
      </c>
    </row>
    <row r="263" spans="1:20" x14ac:dyDescent="0.25">
      <c r="A263" s="5">
        <v>44330</v>
      </c>
      <c r="B263">
        <v>0.159</v>
      </c>
      <c r="C263">
        <v>0.25</v>
      </c>
      <c r="D263">
        <v>0.157</v>
      </c>
      <c r="E263">
        <v>0.2021</v>
      </c>
      <c r="F263">
        <v>409587767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-3.0107526881720397E-2</v>
      </c>
      <c r="Q263">
        <f t="shared" si="965"/>
        <v>-12331674.705376331</v>
      </c>
      <c r="R263">
        <f t="shared" si="966"/>
        <v>-701743889.07592797</v>
      </c>
      <c r="S263">
        <f t="shared" si="967"/>
        <v>-7017.4388907592793</v>
      </c>
      <c r="T263">
        <f t="shared" si="968"/>
        <v>-7.0174388907592791</v>
      </c>
    </row>
    <row r="264" spans="1:20" x14ac:dyDescent="0.25">
      <c r="A264" s="5">
        <v>44329</v>
      </c>
      <c r="B264">
        <v>0.14810000000000001</v>
      </c>
      <c r="C264">
        <v>0.17249999999999999</v>
      </c>
      <c r="D264">
        <v>0.13300000000000001</v>
      </c>
      <c r="E264">
        <v>0.16089999999999999</v>
      </c>
      <c r="F264">
        <v>116808000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0.41265822784810102</v>
      </c>
      <c r="Q264">
        <f t="shared" si="965"/>
        <v>48201782.278480984</v>
      </c>
      <c r="R264">
        <f t="shared" si="966"/>
        <v>-689412214.37055159</v>
      </c>
      <c r="S264">
        <f t="shared" si="967"/>
        <v>-6894.1221437055156</v>
      </c>
      <c r="T264">
        <f t="shared" si="968"/>
        <v>-6.8941221437055153</v>
      </c>
    </row>
    <row r="265" spans="1:20" x14ac:dyDescent="0.25">
      <c r="A265" s="5">
        <v>44328</v>
      </c>
      <c r="B265">
        <v>0.1938</v>
      </c>
      <c r="C265">
        <v>0.21299999999999999</v>
      </c>
      <c r="D265">
        <v>0.1457</v>
      </c>
      <c r="E265">
        <v>0.14899999999999999</v>
      </c>
      <c r="F265">
        <v>133142976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-0.90193164933135228</v>
      </c>
      <c r="Q265">
        <f t="shared" si="965"/>
        <v>-120085863.94056465</v>
      </c>
      <c r="R265">
        <f t="shared" si="966"/>
        <v>-737613996.64903259</v>
      </c>
      <c r="S265">
        <f t="shared" si="967"/>
        <v>-7376.1399664903256</v>
      </c>
      <c r="T265">
        <f t="shared" si="968"/>
        <v>-7.3761399664903253</v>
      </c>
    </row>
    <row r="266" spans="1:20" x14ac:dyDescent="0.25">
      <c r="A266" s="5">
        <v>44327</v>
      </c>
      <c r="B266">
        <v>0.1908</v>
      </c>
      <c r="C266">
        <v>0.20979999999999999</v>
      </c>
      <c r="D266">
        <v>0.17749999999999999</v>
      </c>
      <c r="E266">
        <v>0.19450000000000001</v>
      </c>
      <c r="F266">
        <v>115752862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5.2631578947369508E-2</v>
      </c>
      <c r="Q266">
        <f t="shared" si="965"/>
        <v>6092255.894736968</v>
      </c>
      <c r="R266">
        <f t="shared" si="966"/>
        <v>-617528132.70846796</v>
      </c>
      <c r="S266">
        <f t="shared" si="967"/>
        <v>-6175.28132708468</v>
      </c>
      <c r="T266">
        <f t="shared" si="968"/>
        <v>-6.1752813270846802</v>
      </c>
    </row>
    <row r="267" spans="1:20" x14ac:dyDescent="0.25">
      <c r="A267" s="5">
        <v>44326</v>
      </c>
      <c r="B267">
        <v>0.23230000000000001</v>
      </c>
      <c r="C267">
        <v>0.24679999999999999</v>
      </c>
      <c r="D267">
        <v>0.185</v>
      </c>
      <c r="E267">
        <v>0.1905</v>
      </c>
      <c r="F267">
        <v>167494727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-0.82200647249190917</v>
      </c>
      <c r="Q267">
        <f t="shared" si="965"/>
        <v>-137681749.70226532</v>
      </c>
      <c r="R267">
        <f t="shared" si="966"/>
        <v>-623620388.60320497</v>
      </c>
      <c r="S267">
        <f t="shared" si="967"/>
        <v>-6236.2038860320499</v>
      </c>
      <c r="T267">
        <f t="shared" si="968"/>
        <v>-6.2362038860320501</v>
      </c>
    </row>
    <row r="268" spans="1:20" x14ac:dyDescent="0.25">
      <c r="A268" s="5">
        <v>44325</v>
      </c>
      <c r="B268">
        <v>0.2482</v>
      </c>
      <c r="C268">
        <v>0.25369999999999998</v>
      </c>
      <c r="D268">
        <v>0.21010000000000001</v>
      </c>
      <c r="E268">
        <v>0.23250000000000001</v>
      </c>
      <c r="F268">
        <v>109182122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2.752293577981732E-2</v>
      </c>
      <c r="Q268">
        <f t="shared" si="965"/>
        <v>3005012.5321101798</v>
      </c>
      <c r="R268">
        <f t="shared" si="966"/>
        <v>-485938638.9009397</v>
      </c>
      <c r="S268">
        <f t="shared" si="967"/>
        <v>-4859.3863890093971</v>
      </c>
      <c r="T268">
        <f t="shared" si="968"/>
        <v>-4.8593863890093969</v>
      </c>
    </row>
    <row r="269" spans="1:20" x14ac:dyDescent="0.25">
      <c r="A269" s="5">
        <v>44324</v>
      </c>
      <c r="B269">
        <v>0.2276</v>
      </c>
      <c r="C269">
        <v>0.27500000000000002</v>
      </c>
      <c r="D269">
        <v>0.22509999999999999</v>
      </c>
      <c r="E269">
        <v>0.2482</v>
      </c>
      <c r="F269">
        <v>236600262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-7.4148296593186502E-2</v>
      </c>
      <c r="Q269">
        <f t="shared" si="965"/>
        <v>-17543506.400801633</v>
      </c>
      <c r="R269">
        <f t="shared" si="966"/>
        <v>-488943651.43304986</v>
      </c>
      <c r="S269">
        <f t="shared" si="967"/>
        <v>-4889.4365143304985</v>
      </c>
      <c r="T269">
        <f t="shared" si="968"/>
        <v>-4.889436514330499</v>
      </c>
    </row>
    <row r="270" spans="1:20" x14ac:dyDescent="0.25">
      <c r="A270" s="5">
        <v>44323</v>
      </c>
      <c r="B270">
        <v>0.23910000000000001</v>
      </c>
      <c r="C270">
        <v>0.2656</v>
      </c>
      <c r="D270">
        <v>0.22</v>
      </c>
      <c r="E270">
        <v>0.2276</v>
      </c>
      <c r="F270">
        <v>174613628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-0.66666666666666685</v>
      </c>
      <c r="Q270">
        <f t="shared" si="965"/>
        <v>-116409085.33333337</v>
      </c>
      <c r="R270">
        <f t="shared" si="966"/>
        <v>-471400145.0322482</v>
      </c>
      <c r="S270">
        <f t="shared" si="967"/>
        <v>-4714.001450322482</v>
      </c>
      <c r="T270">
        <f t="shared" si="968"/>
        <v>-4.7140014503224821</v>
      </c>
    </row>
    <row r="271" spans="1:20" x14ac:dyDescent="0.25">
      <c r="A271" s="5">
        <v>44322</v>
      </c>
      <c r="B271">
        <v>0.27739999999999998</v>
      </c>
      <c r="C271">
        <v>0.28799999999999998</v>
      </c>
      <c r="D271">
        <v>0.23760000000000001</v>
      </c>
      <c r="E271">
        <v>0.23910000000000001</v>
      </c>
      <c r="F271">
        <v>160526430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-0.94047619047619035</v>
      </c>
      <c r="Q271">
        <f t="shared" si="965"/>
        <v>-150971285.35714284</v>
      </c>
      <c r="R271">
        <f t="shared" si="966"/>
        <v>-354991059.69891483</v>
      </c>
      <c r="S271">
        <f t="shared" si="967"/>
        <v>-3549.9105969891484</v>
      </c>
      <c r="T271">
        <f t="shared" si="968"/>
        <v>-3.5499105969891485</v>
      </c>
    </row>
    <row r="272" spans="1:20" x14ac:dyDescent="0.25">
      <c r="A272" s="5">
        <v>44321</v>
      </c>
      <c r="B272">
        <v>0.2908</v>
      </c>
      <c r="C272">
        <v>0.32390000000000002</v>
      </c>
      <c r="D272">
        <v>0.2641</v>
      </c>
      <c r="E272">
        <v>0.27729999999999999</v>
      </c>
      <c r="F272">
        <v>316019699</v>
      </c>
      <c r="G272">
        <v>0</v>
      </c>
      <c r="L272" t="s">
        <v>8</v>
      </c>
      <c r="M272" t="s">
        <v>8</v>
      </c>
      <c r="N272" t="s">
        <v>7</v>
      </c>
      <c r="P272">
        <f t="shared" si="964"/>
        <v>-0.558528428093646</v>
      </c>
      <c r="Q272">
        <f t="shared" si="965"/>
        <v>-176505985.72909716</v>
      </c>
      <c r="R272">
        <f t="shared" si="966"/>
        <v>-204019774.34177199</v>
      </c>
      <c r="S272">
        <f t="shared" si="967"/>
        <v>-2040.1977434177199</v>
      </c>
      <c r="T272">
        <f t="shared" si="968"/>
        <v>-2.0401977434177199</v>
      </c>
    </row>
    <row r="273" spans="1:20" x14ac:dyDescent="0.25">
      <c r="A273" s="5">
        <v>44320</v>
      </c>
      <c r="B273">
        <v>0.29709999999999998</v>
      </c>
      <c r="C273">
        <v>0.33429999999999999</v>
      </c>
      <c r="D273">
        <v>0.25</v>
      </c>
      <c r="E273">
        <v>0.29049999999999998</v>
      </c>
      <c r="F273">
        <v>394601514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-3.9145907473309913E-2</v>
      </c>
      <c r="Q273">
        <f t="shared" si="965"/>
        <v>-15447034.355872005</v>
      </c>
      <c r="R273">
        <f t="shared" si="966"/>
        <v>-27513788.612674832</v>
      </c>
      <c r="S273">
        <f t="shared" si="967"/>
        <v>-275.1378861267483</v>
      </c>
      <c r="T273">
        <f t="shared" si="968"/>
        <v>-0.27513788612674828</v>
      </c>
    </row>
    <row r="274" spans="1:20" x14ac:dyDescent="0.25">
      <c r="A274" s="5">
        <v>44319</v>
      </c>
      <c r="B274">
        <v>0.33050000000000002</v>
      </c>
      <c r="C274">
        <v>0.3427</v>
      </c>
      <c r="D274">
        <v>0.28010000000000002</v>
      </c>
      <c r="E274">
        <v>0.29709999999999998</v>
      </c>
      <c r="F274">
        <v>405609506</v>
      </c>
      <c r="G274">
        <v>0</v>
      </c>
      <c r="L274" t="s">
        <v>7</v>
      </c>
      <c r="M274" t="s">
        <v>7</v>
      </c>
      <c r="N274" t="s">
        <v>7</v>
      </c>
      <c r="P274">
        <f t="shared" si="964"/>
        <v>-0.45686900958466575</v>
      </c>
      <c r="Q274">
        <f t="shared" si="965"/>
        <v>-185310413.28434554</v>
      </c>
      <c r="R274">
        <f t="shared" si="966"/>
        <v>-12066754.256802827</v>
      </c>
      <c r="S274">
        <f t="shared" si="967"/>
        <v>-120.66754256802827</v>
      </c>
      <c r="T274">
        <f t="shared" si="968"/>
        <v>-0.12066754256802827</v>
      </c>
    </row>
    <row r="275" spans="1:20" x14ac:dyDescent="0.25">
      <c r="A275" s="5">
        <v>44318</v>
      </c>
      <c r="B275">
        <v>0.36370000000000002</v>
      </c>
      <c r="C275">
        <v>0.40610000000000002</v>
      </c>
      <c r="D275">
        <v>0.32719999999999999</v>
      </c>
      <c r="E275">
        <v>0.33050000000000002</v>
      </c>
      <c r="F275">
        <v>830244130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-0.91634980988593095</v>
      </c>
      <c r="Q275">
        <f t="shared" si="965"/>
        <v>-760794050.6844101</v>
      </c>
      <c r="R275">
        <f t="shared" si="966"/>
        <v>173243659.02754271</v>
      </c>
      <c r="S275">
        <f t="shared" si="967"/>
        <v>1732.4365902754271</v>
      </c>
      <c r="T275">
        <f t="shared" si="968"/>
        <v>1.7324365902754271</v>
      </c>
    </row>
    <row r="276" spans="1:20" x14ac:dyDescent="0.25">
      <c r="A276" s="5">
        <v>44317</v>
      </c>
      <c r="B276">
        <v>0.21659999999999999</v>
      </c>
      <c r="C276">
        <v>0.42480000000000001</v>
      </c>
      <c r="D276">
        <v>0.20200000000000001</v>
      </c>
      <c r="E276">
        <v>0.36380000000000001</v>
      </c>
      <c r="F276">
        <v>2633796126</v>
      </c>
      <c r="G276">
        <v>0</v>
      </c>
      <c r="L276" t="s">
        <v>7</v>
      </c>
      <c r="M276" t="s">
        <v>7</v>
      </c>
      <c r="N276" t="s">
        <v>7</v>
      </c>
      <c r="P276">
        <f t="shared" si="964"/>
        <v>0.4524236983842011</v>
      </c>
      <c r="Q276">
        <f t="shared" si="965"/>
        <v>1191591784.1149013</v>
      </c>
      <c r="R276">
        <f t="shared" si="966"/>
        <v>934037709.71195281</v>
      </c>
      <c r="S276">
        <f t="shared" si="967"/>
        <v>9340.3770971195281</v>
      </c>
      <c r="T276">
        <f t="shared" si="968"/>
        <v>9.3403770971195286</v>
      </c>
    </row>
    <row r="277" spans="1:20" x14ac:dyDescent="0.25">
      <c r="A277" s="5">
        <v>44316</v>
      </c>
      <c r="B277">
        <v>0.1128</v>
      </c>
      <c r="C277">
        <v>0.35699999999999998</v>
      </c>
      <c r="D277">
        <v>0.1128</v>
      </c>
      <c r="E277">
        <v>0.21659999999999999</v>
      </c>
      <c r="F277">
        <v>1718434562</v>
      </c>
      <c r="G277">
        <v>0</v>
      </c>
      <c r="P277">
        <f t="shared" si="964"/>
        <v>-0.14987714987714992</v>
      </c>
      <c r="Q277">
        <f t="shared" si="965"/>
        <v>-257554074.40294847</v>
      </c>
      <c r="R277">
        <f t="shared" si="966"/>
        <v>-257554074.40294847</v>
      </c>
      <c r="S277">
        <f t="shared" si="967"/>
        <v>-2575.5407440294848</v>
      </c>
      <c r="T277">
        <f t="shared" si="968"/>
        <v>-2.5755407440294849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N814" sqref="EN81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$A$813</v>
      </c>
      <c r="D111" s="1" t="str">
        <f>ADDRESS(C121-1,D121,1,1)</f>
        <v>$EN$813</v>
      </c>
      <c r="E111"/>
    </row>
    <row r="112" spans="1:5" x14ac:dyDescent="0.25">
      <c r="A112" s="7">
        <v>12164.144957890772</v>
      </c>
      <c r="C112" s="1" t="str">
        <f>ADDRESS(C121,1,1,1)</f>
        <v>$A$814</v>
      </c>
      <c r="D112" s="1" t="str">
        <f>ADDRESS(C121,D121-1,1,1)</f>
        <v>$EM$814</v>
      </c>
      <c r="E112"/>
    </row>
    <row r="113" spans="1:5" x14ac:dyDescent="0.25">
      <c r="A113" s="7">
        <v>11925.63231165762</v>
      </c>
      <c r="C113" s="1" t="str">
        <f>ADDRESS(C121+1,1,1,1)</f>
        <v>$A$815</v>
      </c>
      <c r="D113" s="1" t="str">
        <f>ADDRESS(C121-1,D121+1,1,1)</f>
        <v>$EO$813</v>
      </c>
    </row>
    <row r="114" spans="1:5" x14ac:dyDescent="0.25">
      <c r="A114" s="7">
        <v>11691.796383978059</v>
      </c>
      <c r="C114" s="1" t="str">
        <f>ADDRESS(C121,D121,1,1)</f>
        <v>$EN$814</v>
      </c>
      <c r="D114" s="1" t="str">
        <f>ADDRESS(C121+1,D121+1,1,1)</f>
        <v>$EO$815</v>
      </c>
    </row>
    <row r="115" spans="1:5" x14ac:dyDescent="0.25">
      <c r="A115" s="7">
        <v>11462.545474488292</v>
      </c>
      <c r="C115" s="1" t="str">
        <f>ADDRESS(C121+1,D121,1,1)</f>
        <v>$EN$815</v>
      </c>
    </row>
    <row r="116" spans="1:5" x14ac:dyDescent="0.25">
      <c r="A116" s="7">
        <v>11237.789680870874</v>
      </c>
      <c r="C116" s="1">
        <f>C117-1</f>
        <v>813</v>
      </c>
    </row>
    <row r="117" spans="1:5" x14ac:dyDescent="0.25">
      <c r="A117" s="7">
        <v>11017.440863598895</v>
      </c>
      <c r="C117" s="1">
        <f>C121</f>
        <v>814</v>
      </c>
      <c r="D117" s="1">
        <f>D121</f>
        <v>144</v>
      </c>
    </row>
    <row r="118" spans="1:5" x14ac:dyDescent="0.25">
      <c r="A118" s="7">
        <v>10801.412611371465</v>
      </c>
      <c r="C118" s="1">
        <f>C117+1</f>
        <v>815</v>
      </c>
      <c r="D118" s="1">
        <f>D117+1</f>
        <v>145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814</v>
      </c>
      <c r="D121" s="19">
        <v>144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R814</v>
      </c>
      <c r="D123" s="1" t="str">
        <f>"C"&amp;D121</f>
        <v>C144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1.1162488129209149E-2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53" x14ac:dyDescent="0.25">
      <c r="A625" s="7">
        <v>0.47118718795871994</v>
      </c>
      <c r="B625"/>
      <c r="C625"/>
      <c r="D625"/>
      <c r="E625"/>
      <c r="F625" s="27" t="s">
        <v>7</v>
      </c>
    </row>
    <row r="626" spans="1:53" x14ac:dyDescent="0.25">
      <c r="A626" s="7">
        <v>0.46194822348894116</v>
      </c>
      <c r="B626"/>
      <c r="C626"/>
      <c r="D626"/>
      <c r="E626"/>
      <c r="F626" s="27" t="s">
        <v>7</v>
      </c>
    </row>
    <row r="627" spans="1:53" x14ac:dyDescent="0.25">
      <c r="A627" s="7">
        <v>0.45289041518523643</v>
      </c>
      <c r="B627"/>
      <c r="C627"/>
      <c r="D627"/>
      <c r="E627"/>
      <c r="F627" s="27" t="s">
        <v>7</v>
      </c>
    </row>
    <row r="628" spans="1:53" x14ac:dyDescent="0.25">
      <c r="A628" s="7">
        <v>0.44401021096591808</v>
      </c>
      <c r="B628"/>
      <c r="C628"/>
      <c r="D628"/>
      <c r="E628"/>
      <c r="F628" s="27" t="s">
        <v>7</v>
      </c>
    </row>
    <row r="629" spans="1:53" x14ac:dyDescent="0.25">
      <c r="A629" s="7">
        <v>0.4353041283979589</v>
      </c>
      <c r="B629"/>
      <c r="C629"/>
      <c r="D629"/>
      <c r="E629"/>
      <c r="F629" s="27" t="s">
        <v>7</v>
      </c>
    </row>
    <row r="630" spans="1:53" x14ac:dyDescent="0.25">
      <c r="A630" s="7">
        <v>0.4267687533313323</v>
      </c>
      <c r="B630"/>
      <c r="C630"/>
      <c r="D630"/>
      <c r="E630"/>
      <c r="F630" s="27" t="s">
        <v>7</v>
      </c>
    </row>
    <row r="631" spans="1:53" x14ac:dyDescent="0.25">
      <c r="A631" s="7">
        <v>0.41840073856012971</v>
      </c>
      <c r="B631"/>
      <c r="C631"/>
      <c r="D631"/>
      <c r="E631"/>
      <c r="F631" s="27" t="s">
        <v>7</v>
      </c>
    </row>
    <row r="632" spans="1:53" x14ac:dyDescent="0.25">
      <c r="A632" s="7">
        <v>0.41019680250993112</v>
      </c>
      <c r="B632"/>
      <c r="C632"/>
      <c r="D632"/>
      <c r="E632"/>
      <c r="F632" s="27" t="s">
        <v>7</v>
      </c>
    </row>
    <row r="633" spans="1:53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AU633" s="27" t="s">
        <v>8</v>
      </c>
    </row>
    <row r="634" spans="1:53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H634" s="27" t="s">
        <v>7</v>
      </c>
      <c r="AU634" s="27" t="s">
        <v>8</v>
      </c>
      <c r="AV634" s="27" t="s">
        <v>7</v>
      </c>
    </row>
    <row r="635" spans="1:53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H635" s="27" t="s">
        <v>7</v>
      </c>
      <c r="AU635" s="27" t="s">
        <v>8</v>
      </c>
      <c r="AV635" s="27" t="s">
        <v>7</v>
      </c>
    </row>
    <row r="636" spans="1:53" x14ac:dyDescent="0.25">
      <c r="A636" s="7">
        <v>0.37895843976950117</v>
      </c>
      <c r="B636"/>
      <c r="C636"/>
      <c r="D636"/>
      <c r="E636"/>
      <c r="F636" s="27" t="s">
        <v>7</v>
      </c>
      <c r="G636" s="27" t="s">
        <v>8</v>
      </c>
      <c r="H636" s="27" t="s">
        <v>7</v>
      </c>
      <c r="AU636" s="27" t="s">
        <v>8</v>
      </c>
      <c r="AV636" s="27" t="s">
        <v>7</v>
      </c>
      <c r="AW636" s="27" t="s">
        <v>8</v>
      </c>
    </row>
    <row r="637" spans="1:53" x14ac:dyDescent="0.25">
      <c r="A637" s="7">
        <v>0.37152788212696197</v>
      </c>
      <c r="B637"/>
      <c r="C637"/>
      <c r="D637"/>
      <c r="E637"/>
      <c r="F637" s="27" t="s">
        <v>7</v>
      </c>
      <c r="G637" s="27" t="s">
        <v>8</v>
      </c>
      <c r="H637" s="27" t="s">
        <v>7</v>
      </c>
      <c r="AU637" s="27" t="s">
        <v>8</v>
      </c>
      <c r="AV637" s="27" t="s">
        <v>7</v>
      </c>
      <c r="AW637" s="27" t="s">
        <v>8</v>
      </c>
      <c r="AX637" s="27" t="s">
        <v>7</v>
      </c>
    </row>
    <row r="638" spans="1:53" x14ac:dyDescent="0.25">
      <c r="A638" s="7">
        <v>0.36424302169310002</v>
      </c>
      <c r="B638"/>
      <c r="C638"/>
      <c r="D638"/>
      <c r="E638"/>
      <c r="F638" s="27" t="s">
        <v>7</v>
      </c>
      <c r="G638" s="27" t="s">
        <v>8</v>
      </c>
      <c r="H638" s="27" t="s">
        <v>7</v>
      </c>
      <c r="AU638" s="27" t="s">
        <v>8</v>
      </c>
      <c r="AV638" s="27" t="s">
        <v>7</v>
      </c>
      <c r="AW638" s="27" t="s">
        <v>8</v>
      </c>
      <c r="AX638" s="27" t="s">
        <v>7</v>
      </c>
    </row>
    <row r="639" spans="1:53" x14ac:dyDescent="0.25">
      <c r="A639" s="7">
        <v>0.35710100165990194</v>
      </c>
      <c r="B639"/>
      <c r="C639"/>
      <c r="D639"/>
      <c r="E639"/>
      <c r="F639" s="27" t="s">
        <v>7</v>
      </c>
      <c r="G639" s="27" t="s">
        <v>8</v>
      </c>
      <c r="H639" s="27" t="s">
        <v>7</v>
      </c>
      <c r="AU639" s="27" t="s">
        <v>8</v>
      </c>
      <c r="AV639" s="27" t="s">
        <v>7</v>
      </c>
      <c r="AW639" s="27" t="s">
        <v>8</v>
      </c>
      <c r="AX639" s="27" t="s">
        <v>7</v>
      </c>
    </row>
    <row r="640" spans="1:53" x14ac:dyDescent="0.25">
      <c r="A640" s="7">
        <v>0.35009902123519804</v>
      </c>
      <c r="B640"/>
      <c r="C640"/>
      <c r="D640"/>
      <c r="E640"/>
      <c r="F640" s="27" t="s">
        <v>7</v>
      </c>
      <c r="G640" s="27" t="s">
        <v>8</v>
      </c>
      <c r="H640" s="27" t="s">
        <v>7</v>
      </c>
      <c r="AU640" s="27" t="s">
        <v>8</v>
      </c>
      <c r="AV640" s="27" t="s">
        <v>7</v>
      </c>
      <c r="AW640" s="27" t="s">
        <v>8</v>
      </c>
      <c r="AX640" s="27" t="s">
        <v>7</v>
      </c>
      <c r="BA640" s="27" t="s">
        <v>8</v>
      </c>
    </row>
    <row r="641" spans="1:58" x14ac:dyDescent="0.25">
      <c r="A641" s="7">
        <v>0.34323433454431179</v>
      </c>
      <c r="B641"/>
      <c r="C641"/>
      <c r="D641"/>
      <c r="E641"/>
      <c r="F641" s="27" t="s">
        <v>7</v>
      </c>
      <c r="G641" s="27" t="s">
        <v>8</v>
      </c>
      <c r="H641" s="27" t="s">
        <v>7</v>
      </c>
      <c r="O641" s="27" t="s">
        <v>8</v>
      </c>
      <c r="AU641" s="27" t="s">
        <v>8</v>
      </c>
      <c r="AV641" s="27" t="s">
        <v>7</v>
      </c>
      <c r="AW641" s="27" t="s">
        <v>8</v>
      </c>
      <c r="AX641" s="27" t="s">
        <v>7</v>
      </c>
      <c r="BA641" s="27" t="s">
        <v>8</v>
      </c>
      <c r="BB641" s="27" t="s">
        <v>7</v>
      </c>
    </row>
    <row r="642" spans="1:58" x14ac:dyDescent="0.25">
      <c r="A642" s="7">
        <v>0.33650424955324681</v>
      </c>
      <c r="B642"/>
      <c r="C642"/>
      <c r="D642"/>
      <c r="E642"/>
      <c r="F642" s="27" t="s">
        <v>7</v>
      </c>
      <c r="G642" s="27" t="s">
        <v>8</v>
      </c>
      <c r="H642" s="27" t="s">
        <v>7</v>
      </c>
      <c r="O642" s="27" t="s">
        <v>8</v>
      </c>
      <c r="P642" s="27" t="s">
        <v>7</v>
      </c>
      <c r="AU642" s="27" t="s">
        <v>8</v>
      </c>
      <c r="AV642" s="27" t="s">
        <v>7</v>
      </c>
      <c r="AW642" s="27" t="s">
        <v>8</v>
      </c>
      <c r="AX642" s="27" t="s">
        <v>7</v>
      </c>
      <c r="BA642" s="27" t="s">
        <v>8</v>
      </c>
      <c r="BB642" s="27" t="s">
        <v>7</v>
      </c>
      <c r="BC642" s="27" t="s">
        <v>8</v>
      </c>
    </row>
    <row r="643" spans="1:58" x14ac:dyDescent="0.25">
      <c r="A643" s="7">
        <v>0.3299061270129871</v>
      </c>
      <c r="B643"/>
      <c r="C643"/>
      <c r="D643"/>
      <c r="E643"/>
      <c r="F643" s="27" t="s">
        <v>7</v>
      </c>
      <c r="G643" s="27" t="s">
        <v>8</v>
      </c>
      <c r="H643" s="27" t="s">
        <v>7</v>
      </c>
      <c r="O643" s="27" t="s">
        <v>8</v>
      </c>
      <c r="P643" s="27" t="s">
        <v>7</v>
      </c>
      <c r="AU643" s="27" t="s">
        <v>8</v>
      </c>
      <c r="AV643" s="27" t="s">
        <v>7</v>
      </c>
      <c r="AW643" s="27" t="s">
        <v>8</v>
      </c>
      <c r="AX643" s="27" t="s">
        <v>7</v>
      </c>
      <c r="BA643" s="27" t="s">
        <v>8</v>
      </c>
      <c r="BB643" s="27" t="s">
        <v>7</v>
      </c>
      <c r="BC643" s="27" t="s">
        <v>8</v>
      </c>
      <c r="BD643" s="27" t="s">
        <v>7</v>
      </c>
    </row>
    <row r="644" spans="1:58" x14ac:dyDescent="0.25">
      <c r="A644" s="7">
        <v>0.32343737942449713</v>
      </c>
      <c r="B644"/>
      <c r="C644"/>
      <c r="D644"/>
      <c r="E644"/>
      <c r="F644" s="27" t="s">
        <v>7</v>
      </c>
      <c r="G644" s="27" t="s">
        <v>8</v>
      </c>
      <c r="H644" s="27" t="s">
        <v>7</v>
      </c>
      <c r="I644" s="27" t="s">
        <v>8</v>
      </c>
      <c r="O644" s="27" t="s">
        <v>8</v>
      </c>
      <c r="P644" s="27" t="s">
        <v>7</v>
      </c>
      <c r="AU644" s="27" t="s">
        <v>8</v>
      </c>
      <c r="AV644" s="27" t="s">
        <v>7</v>
      </c>
      <c r="AW644" s="27" t="s">
        <v>8</v>
      </c>
      <c r="AX644" s="27" t="s">
        <v>7</v>
      </c>
      <c r="BA644" s="27" t="s">
        <v>8</v>
      </c>
      <c r="BB644" s="27" t="s">
        <v>7</v>
      </c>
      <c r="BC644" s="27" t="s">
        <v>8</v>
      </c>
      <c r="BD644" s="27" t="s">
        <v>7</v>
      </c>
    </row>
    <row r="645" spans="1:58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H645" s="27" t="s">
        <v>7</v>
      </c>
      <c r="I645" s="27" t="s">
        <v>8</v>
      </c>
      <c r="J645" s="27" t="s">
        <v>7</v>
      </c>
      <c r="O645" s="27" t="s">
        <v>8</v>
      </c>
      <c r="P645" s="27" t="s">
        <v>7</v>
      </c>
      <c r="AU645" s="27" t="s">
        <v>8</v>
      </c>
      <c r="AV645" s="27" t="s">
        <v>7</v>
      </c>
      <c r="AW645" s="27" t="s">
        <v>8</v>
      </c>
      <c r="AX645" s="27" t="s">
        <v>7</v>
      </c>
      <c r="BA645" s="27" t="s">
        <v>8</v>
      </c>
      <c r="BB645" s="27" t="s">
        <v>7</v>
      </c>
      <c r="BC645" s="27" t="s">
        <v>8</v>
      </c>
      <c r="BD645" s="27" t="s">
        <v>7</v>
      </c>
    </row>
    <row r="646" spans="1:58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H646" s="27" t="s">
        <v>7</v>
      </c>
      <c r="I646" s="27" t="s">
        <v>8</v>
      </c>
      <c r="J646" s="27" t="s">
        <v>7</v>
      </c>
      <c r="O646" s="27" t="s">
        <v>8</v>
      </c>
      <c r="P646" s="27" t="s">
        <v>7</v>
      </c>
      <c r="AU646" s="27" t="s">
        <v>8</v>
      </c>
      <c r="AV646" s="27" t="s">
        <v>7</v>
      </c>
      <c r="AW646" s="27" t="s">
        <v>8</v>
      </c>
      <c r="AX646" s="27" t="s">
        <v>7</v>
      </c>
      <c r="BA646" s="27" t="s">
        <v>8</v>
      </c>
      <c r="BB646" s="27" t="s">
        <v>7</v>
      </c>
      <c r="BC646" s="27" t="s">
        <v>8</v>
      </c>
      <c r="BD646" s="27" t="s">
        <v>7</v>
      </c>
    </row>
    <row r="647" spans="1:58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H647" s="27" t="s">
        <v>7</v>
      </c>
      <c r="I647" s="27" t="s">
        <v>8</v>
      </c>
      <c r="J647" s="27" t="s">
        <v>7</v>
      </c>
      <c r="O647" s="27" t="s">
        <v>8</v>
      </c>
      <c r="P647" s="27" t="s">
        <v>7</v>
      </c>
      <c r="AU647" s="27" t="s">
        <v>8</v>
      </c>
      <c r="AV647" s="27" t="s">
        <v>7</v>
      </c>
      <c r="AW647" s="27" t="s">
        <v>8</v>
      </c>
      <c r="AX647" s="27" t="s">
        <v>7</v>
      </c>
      <c r="AY647" s="27" t="s">
        <v>8</v>
      </c>
      <c r="BA647" s="27" t="s">
        <v>8</v>
      </c>
      <c r="BB647" s="27" t="s">
        <v>7</v>
      </c>
      <c r="BC647" s="27" t="s">
        <v>8</v>
      </c>
      <c r="BD647" s="27" t="s">
        <v>7</v>
      </c>
    </row>
    <row r="648" spans="1:58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  <c r="H648" s="27" t="s">
        <v>7</v>
      </c>
      <c r="I648" s="27" t="s">
        <v>8</v>
      </c>
      <c r="J648" s="27" t="s">
        <v>7</v>
      </c>
      <c r="O648" s="27" t="s">
        <v>8</v>
      </c>
      <c r="P648" s="27" t="s">
        <v>7</v>
      </c>
      <c r="AU648" s="27" t="s">
        <v>8</v>
      </c>
      <c r="AV648" s="27" t="s">
        <v>7</v>
      </c>
      <c r="AW648" s="27" t="s">
        <v>8</v>
      </c>
      <c r="AX648" s="27" t="s">
        <v>7</v>
      </c>
      <c r="AY648" s="27" t="s">
        <v>8</v>
      </c>
      <c r="AZ648" s="27" t="s">
        <v>7</v>
      </c>
      <c r="BA648" s="27" t="s">
        <v>8</v>
      </c>
      <c r="BB648" s="27" t="s">
        <v>7</v>
      </c>
      <c r="BC648" s="27" t="s">
        <v>8</v>
      </c>
      <c r="BD648" s="27" t="s">
        <v>7</v>
      </c>
    </row>
    <row r="649" spans="1:58" x14ac:dyDescent="0.25">
      <c r="A649" s="7">
        <v>0.2929471995954156</v>
      </c>
      <c r="B649"/>
      <c r="C649"/>
      <c r="D649"/>
      <c r="E649"/>
      <c r="F649" s="27" t="s">
        <v>7</v>
      </c>
      <c r="G649" s="27" t="s">
        <v>8</v>
      </c>
      <c r="H649" s="27" t="s">
        <v>7</v>
      </c>
      <c r="I649" s="27" t="s">
        <v>8</v>
      </c>
      <c r="J649" s="27" t="s">
        <v>7</v>
      </c>
      <c r="O649" s="27" t="s">
        <v>8</v>
      </c>
      <c r="P649" s="27" t="s">
        <v>7</v>
      </c>
      <c r="AU649" s="27" t="s">
        <v>8</v>
      </c>
      <c r="AV649" s="27" t="s">
        <v>7</v>
      </c>
      <c r="AX649" s="27" t="s">
        <v>7</v>
      </c>
      <c r="AY649" s="27" t="s">
        <v>8</v>
      </c>
      <c r="AZ649" s="27" t="s">
        <v>7</v>
      </c>
      <c r="BA649" s="27" t="s">
        <v>8</v>
      </c>
      <c r="BB649" s="27" t="s">
        <v>7</v>
      </c>
      <c r="BC649" s="27" t="s">
        <v>8</v>
      </c>
      <c r="BD649" s="27" t="s">
        <v>7</v>
      </c>
    </row>
    <row r="650" spans="1:58" x14ac:dyDescent="0.25">
      <c r="A650" s="7">
        <v>0.28720313685825055</v>
      </c>
      <c r="B650"/>
      <c r="C650"/>
      <c r="D650"/>
      <c r="E650"/>
      <c r="F650" s="27" t="s">
        <v>7</v>
      </c>
      <c r="G650" s="27" t="s">
        <v>8</v>
      </c>
      <c r="H650" s="27" t="s">
        <v>7</v>
      </c>
      <c r="I650" s="27" t="s">
        <v>8</v>
      </c>
      <c r="J650" s="27" t="s">
        <v>7</v>
      </c>
      <c r="O650" s="27" t="s">
        <v>8</v>
      </c>
      <c r="P650" s="27" t="s">
        <v>7</v>
      </c>
      <c r="AU650" s="27" t="s">
        <v>8</v>
      </c>
      <c r="AX650" s="27" t="s">
        <v>7</v>
      </c>
      <c r="AY650" s="27" t="s">
        <v>8</v>
      </c>
      <c r="AZ650" s="27" t="s">
        <v>7</v>
      </c>
      <c r="BA650" s="27" t="s">
        <v>8</v>
      </c>
      <c r="BB650" s="27" t="s">
        <v>7</v>
      </c>
      <c r="BC650" s="27" t="s">
        <v>8</v>
      </c>
      <c r="BD650" s="27" t="s">
        <v>7</v>
      </c>
    </row>
    <row r="651" spans="1:58" x14ac:dyDescent="0.25">
      <c r="A651" s="7">
        <v>0.28157170280220645</v>
      </c>
      <c r="B651"/>
      <c r="C651"/>
      <c r="D651"/>
      <c r="E651"/>
      <c r="F651" s="27" t="s">
        <v>7</v>
      </c>
      <c r="G651" s="27" t="s">
        <v>8</v>
      </c>
      <c r="H651" s="27" t="s">
        <v>7</v>
      </c>
      <c r="I651" s="27" t="s">
        <v>8</v>
      </c>
      <c r="J651" s="27" t="s">
        <v>7</v>
      </c>
      <c r="O651" s="27" t="s">
        <v>8</v>
      </c>
      <c r="P651" s="27" t="s">
        <v>7</v>
      </c>
      <c r="AU651" s="27" t="s">
        <v>8</v>
      </c>
      <c r="AX651" s="27" t="s">
        <v>7</v>
      </c>
      <c r="AY651" s="27" t="s">
        <v>8</v>
      </c>
      <c r="AZ651" s="27" t="s">
        <v>7</v>
      </c>
      <c r="BA651" s="27" t="s">
        <v>8</v>
      </c>
      <c r="BB651" s="27" t="s">
        <v>7</v>
      </c>
      <c r="BC651" s="27" t="s">
        <v>8</v>
      </c>
      <c r="BD651" s="27" t="s">
        <v>7</v>
      </c>
      <c r="BE651" s="27" t="s">
        <v>8</v>
      </c>
    </row>
    <row r="652" spans="1:58" x14ac:dyDescent="0.25">
      <c r="A652" s="7">
        <v>0.27605068902177105</v>
      </c>
      <c r="B652"/>
      <c r="C652"/>
      <c r="D652"/>
      <c r="E652"/>
      <c r="F652" s="27" t="s">
        <v>7</v>
      </c>
      <c r="G652" s="27" t="s">
        <v>8</v>
      </c>
      <c r="H652" s="27" t="s">
        <v>7</v>
      </c>
      <c r="I652" s="27" t="s">
        <v>8</v>
      </c>
      <c r="J652" s="27" t="s">
        <v>7</v>
      </c>
      <c r="O652" s="27" t="s">
        <v>8</v>
      </c>
      <c r="P652" s="27" t="s">
        <v>7</v>
      </c>
      <c r="AU652" s="27" t="s">
        <v>8</v>
      </c>
      <c r="AX652" s="27" t="s">
        <v>7</v>
      </c>
      <c r="AY652" s="27" t="s">
        <v>8</v>
      </c>
      <c r="AZ652" s="27" t="s">
        <v>7</v>
      </c>
      <c r="BA652" s="27" t="s">
        <v>8</v>
      </c>
      <c r="BB652" s="27" t="s">
        <v>7</v>
      </c>
      <c r="BC652" s="27" t="s">
        <v>8</v>
      </c>
      <c r="BD652" s="27" t="s">
        <v>7</v>
      </c>
      <c r="BE652" s="27" t="s">
        <v>8</v>
      </c>
      <c r="BF652" s="27" t="s">
        <v>7</v>
      </c>
    </row>
    <row r="653" spans="1:58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  <c r="H653" s="27" t="s">
        <v>7</v>
      </c>
      <c r="I653" s="27" t="s">
        <v>8</v>
      </c>
      <c r="J653" s="27" t="s">
        <v>7</v>
      </c>
      <c r="K653" s="27" t="s">
        <v>8</v>
      </c>
      <c r="O653" s="27" t="s">
        <v>8</v>
      </c>
      <c r="P653" s="27" t="s">
        <v>7</v>
      </c>
      <c r="AU653" s="27" t="s">
        <v>8</v>
      </c>
      <c r="AX653" s="27" t="s">
        <v>7</v>
      </c>
      <c r="AY653" s="27" t="s">
        <v>8</v>
      </c>
      <c r="AZ653" s="27" t="s">
        <v>7</v>
      </c>
      <c r="BA653" s="27" t="s">
        <v>8</v>
      </c>
      <c r="BB653" s="27" t="s">
        <v>7</v>
      </c>
      <c r="BD653" s="27" t="s">
        <v>7</v>
      </c>
      <c r="BE653" s="27" t="s">
        <v>8</v>
      </c>
      <c r="BF653" s="27" t="s">
        <v>7</v>
      </c>
    </row>
    <row r="654" spans="1:58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H654" s="27" t="s">
        <v>7</v>
      </c>
      <c r="I654" s="27" t="s">
        <v>8</v>
      </c>
      <c r="J654" s="27" t="s">
        <v>7</v>
      </c>
      <c r="K654" s="27" t="s">
        <v>8</v>
      </c>
      <c r="L654" s="27" t="s">
        <v>7</v>
      </c>
      <c r="O654" s="27" t="s">
        <v>8</v>
      </c>
      <c r="P654" s="27" t="s">
        <v>7</v>
      </c>
      <c r="AU654" s="27" t="s">
        <v>8</v>
      </c>
      <c r="AX654" s="27" t="s">
        <v>7</v>
      </c>
      <c r="AY654" s="27" t="s">
        <v>8</v>
      </c>
      <c r="AZ654" s="27" t="s">
        <v>7</v>
      </c>
      <c r="BA654" s="27" t="s">
        <v>8</v>
      </c>
      <c r="BD654" s="27" t="s">
        <v>7</v>
      </c>
      <c r="BE654" s="27" t="s">
        <v>8</v>
      </c>
      <c r="BF654" s="27" t="s">
        <v>7</v>
      </c>
    </row>
    <row r="655" spans="1:58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H655" s="27" t="s">
        <v>7</v>
      </c>
      <c r="I655" s="27" t="s">
        <v>8</v>
      </c>
      <c r="J655" s="27" t="s">
        <v>7</v>
      </c>
      <c r="K655" s="27" t="s">
        <v>8</v>
      </c>
      <c r="L655" s="27" t="s">
        <v>7</v>
      </c>
      <c r="O655" s="27" t="s">
        <v>8</v>
      </c>
      <c r="P655" s="27" t="s">
        <v>7</v>
      </c>
      <c r="AU655" s="27" t="s">
        <v>8</v>
      </c>
      <c r="AX655" s="27" t="s">
        <v>7</v>
      </c>
      <c r="AY655" s="27" t="s">
        <v>8</v>
      </c>
      <c r="AZ655" s="27" t="s">
        <v>7</v>
      </c>
      <c r="BA655" s="27" t="s">
        <v>8</v>
      </c>
      <c r="BD655" s="27" t="s">
        <v>7</v>
      </c>
      <c r="BE655" s="27" t="s">
        <v>8</v>
      </c>
      <c r="BF655" s="27" t="s">
        <v>7</v>
      </c>
    </row>
    <row r="656" spans="1:58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  <c r="H656" s="27" t="s">
        <v>7</v>
      </c>
      <c r="I656" s="27" t="s">
        <v>8</v>
      </c>
      <c r="J656" s="27" t="s">
        <v>7</v>
      </c>
      <c r="K656" s="27" t="s">
        <v>8</v>
      </c>
      <c r="L656" s="27" t="s">
        <v>7</v>
      </c>
      <c r="O656" s="27" t="s">
        <v>8</v>
      </c>
      <c r="P656" s="27" t="s">
        <v>7</v>
      </c>
      <c r="AS656" s="27" t="s">
        <v>8</v>
      </c>
      <c r="AU656" s="27" t="s">
        <v>8</v>
      </c>
      <c r="AX656" s="27" t="s">
        <v>7</v>
      </c>
      <c r="AY656" s="27" t="s">
        <v>8</v>
      </c>
      <c r="AZ656" s="27" t="s">
        <v>7</v>
      </c>
      <c r="BA656" s="27" t="s">
        <v>8</v>
      </c>
      <c r="BD656" s="27" t="s">
        <v>7</v>
      </c>
      <c r="BE656" s="27" t="s">
        <v>8</v>
      </c>
      <c r="BF656" s="27" t="s">
        <v>7</v>
      </c>
    </row>
    <row r="657" spans="1:71" x14ac:dyDescent="0.25">
      <c r="A657" s="7">
        <v>0.25002761412179503</v>
      </c>
      <c r="B657"/>
      <c r="C657"/>
      <c r="D657"/>
      <c r="E657"/>
      <c r="F657" s="27" t="s">
        <v>7</v>
      </c>
      <c r="G657" s="27" t="s">
        <v>8</v>
      </c>
      <c r="H657" s="27" t="s">
        <v>7</v>
      </c>
      <c r="J657" s="27" t="s">
        <v>7</v>
      </c>
      <c r="K657" s="27" t="s">
        <v>8</v>
      </c>
      <c r="L657" s="27" t="s">
        <v>7</v>
      </c>
      <c r="O657" s="27" t="s">
        <v>8</v>
      </c>
      <c r="P657" s="27" t="s">
        <v>7</v>
      </c>
      <c r="AS657" s="27" t="s">
        <v>8</v>
      </c>
      <c r="AT657" s="27" t="s">
        <v>7</v>
      </c>
      <c r="AU657" s="27" t="s">
        <v>8</v>
      </c>
      <c r="AX657" s="27" t="s">
        <v>7</v>
      </c>
      <c r="AY657" s="27" t="s">
        <v>8</v>
      </c>
      <c r="AZ657" s="27" t="s">
        <v>7</v>
      </c>
      <c r="BA657" s="27" t="s">
        <v>8</v>
      </c>
      <c r="BD657" s="27" t="s">
        <v>7</v>
      </c>
      <c r="BE657" s="27" t="s">
        <v>8</v>
      </c>
      <c r="BF657" s="27" t="s">
        <v>7</v>
      </c>
    </row>
    <row r="658" spans="1:71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  <c r="J658" s="27" t="s">
        <v>7</v>
      </c>
      <c r="K658" s="27" t="s">
        <v>8</v>
      </c>
      <c r="L658" s="27" t="s">
        <v>7</v>
      </c>
      <c r="M658" s="27" t="s">
        <v>8</v>
      </c>
      <c r="O658" s="27" t="s">
        <v>8</v>
      </c>
      <c r="P658" s="27" t="s">
        <v>7</v>
      </c>
      <c r="S658" s="27" t="s">
        <v>8</v>
      </c>
      <c r="AQ658" s="27" t="s">
        <v>8</v>
      </c>
      <c r="AS658" s="27" t="s">
        <v>8</v>
      </c>
      <c r="AT658" s="27" t="s">
        <v>7</v>
      </c>
      <c r="AU658" s="27" t="s">
        <v>8</v>
      </c>
      <c r="AX658" s="27" t="s">
        <v>7</v>
      </c>
      <c r="AY658" s="27" t="s">
        <v>8</v>
      </c>
      <c r="AZ658" s="27" t="s">
        <v>7</v>
      </c>
      <c r="BA658" s="27" t="s">
        <v>8</v>
      </c>
      <c r="BD658" s="27" t="s">
        <v>7</v>
      </c>
      <c r="BF658" s="27" t="s">
        <v>7</v>
      </c>
    </row>
    <row r="659" spans="1:71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  <c r="J659" s="27" t="s">
        <v>7</v>
      </c>
      <c r="K659" s="27" t="s">
        <v>8</v>
      </c>
      <c r="L659" s="27" t="s">
        <v>7</v>
      </c>
      <c r="M659" s="27" t="s">
        <v>8</v>
      </c>
      <c r="N659" s="27" t="s">
        <v>7</v>
      </c>
      <c r="O659" s="27" t="s">
        <v>8</v>
      </c>
      <c r="P659" s="27" t="s">
        <v>7</v>
      </c>
      <c r="S659" s="27" t="s">
        <v>8</v>
      </c>
      <c r="T659" s="27" t="s">
        <v>7</v>
      </c>
      <c r="AQ659" s="27" t="s">
        <v>8</v>
      </c>
      <c r="AR659" s="27" t="s">
        <v>7</v>
      </c>
      <c r="AS659" s="27" t="s">
        <v>8</v>
      </c>
      <c r="AT659" s="27" t="s">
        <v>7</v>
      </c>
      <c r="AU659" s="27" t="s">
        <v>8</v>
      </c>
      <c r="AX659" s="27" t="s">
        <v>7</v>
      </c>
      <c r="AY659" s="27" t="s">
        <v>8</v>
      </c>
      <c r="AZ659" s="18" t="s">
        <v>7</v>
      </c>
      <c r="BA659" s="27" t="s">
        <v>8</v>
      </c>
      <c r="BF659" s="27" t="s">
        <v>7</v>
      </c>
      <c r="BG659" s="27" t="s">
        <v>8</v>
      </c>
    </row>
    <row r="660" spans="1:71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  <c r="J660" s="27" t="s">
        <v>7</v>
      </c>
      <c r="K660" s="27" t="s">
        <v>8</v>
      </c>
      <c r="L660" s="27" t="s">
        <v>7</v>
      </c>
      <c r="M660" s="27" t="s">
        <v>8</v>
      </c>
      <c r="N660" s="27" t="s">
        <v>7</v>
      </c>
      <c r="O660" s="27" t="s">
        <v>8</v>
      </c>
      <c r="P660" s="27" t="s">
        <v>7</v>
      </c>
      <c r="S660" s="27" t="s">
        <v>8</v>
      </c>
      <c r="T660" s="27" t="s">
        <v>7</v>
      </c>
      <c r="AQ660" s="27" t="s">
        <v>8</v>
      </c>
      <c r="AR660" s="27" t="s">
        <v>7</v>
      </c>
      <c r="AS660" s="27" t="s">
        <v>8</v>
      </c>
      <c r="AT660" s="27" t="s">
        <v>7</v>
      </c>
      <c r="AX660" s="27" t="s">
        <v>7</v>
      </c>
      <c r="AZ660" s="27" t="s">
        <v>7</v>
      </c>
      <c r="BA660" s="27" t="s">
        <v>8</v>
      </c>
      <c r="BF660" s="27" t="s">
        <v>7</v>
      </c>
      <c r="BG660" s="27" t="s">
        <v>8</v>
      </c>
      <c r="BH660" s="27" t="s">
        <v>7</v>
      </c>
    </row>
    <row r="661" spans="1:71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  <c r="J661" s="27" t="s">
        <v>7</v>
      </c>
      <c r="K661" s="27" t="s">
        <v>8</v>
      </c>
      <c r="L661" s="27" t="s">
        <v>7</v>
      </c>
      <c r="M661" s="27" t="s">
        <v>8</v>
      </c>
      <c r="N661" s="27" t="s">
        <v>7</v>
      </c>
      <c r="O661" s="27" t="s">
        <v>8</v>
      </c>
      <c r="P661" s="27" t="s">
        <v>7</v>
      </c>
      <c r="S661" s="27" t="s">
        <v>8</v>
      </c>
      <c r="T661" s="27" t="s">
        <v>7</v>
      </c>
      <c r="AQ661" s="27" t="s">
        <v>8</v>
      </c>
      <c r="AR661" s="27" t="s">
        <v>7</v>
      </c>
      <c r="AS661" s="27" t="s">
        <v>8</v>
      </c>
      <c r="AZ661" s="27" t="s">
        <v>7</v>
      </c>
      <c r="BA661" s="27" t="s">
        <v>8</v>
      </c>
      <c r="BF661" s="27" t="s">
        <v>7</v>
      </c>
      <c r="BG661" s="27" t="s">
        <v>8</v>
      </c>
      <c r="BH661" s="27" t="s">
        <v>7</v>
      </c>
      <c r="BI661" s="27" t="s">
        <v>8</v>
      </c>
    </row>
    <row r="662" spans="1:71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  <c r="J662" s="27" t="s">
        <v>7</v>
      </c>
      <c r="K662" s="27" t="s">
        <v>8</v>
      </c>
      <c r="L662" s="27" t="s">
        <v>7</v>
      </c>
      <c r="M662" s="27" t="s">
        <v>8</v>
      </c>
      <c r="N662" s="27" t="s">
        <v>7</v>
      </c>
      <c r="O662" s="27" t="s">
        <v>8</v>
      </c>
      <c r="P662" s="27" t="s">
        <v>7</v>
      </c>
      <c r="S662" s="27" t="s">
        <v>8</v>
      </c>
      <c r="T662" s="27" t="s">
        <v>7</v>
      </c>
      <c r="AQ662" s="27" t="s">
        <v>8</v>
      </c>
      <c r="AR662" s="27" t="s">
        <v>7</v>
      </c>
      <c r="AS662" s="27" t="s">
        <v>8</v>
      </c>
      <c r="AZ662" s="27" t="s">
        <v>7</v>
      </c>
      <c r="BA662" s="27" t="s">
        <v>8</v>
      </c>
      <c r="BF662" s="27" t="s">
        <v>7</v>
      </c>
      <c r="BH662" s="27" t="s">
        <v>7</v>
      </c>
      <c r="BI662" s="27" t="s">
        <v>8</v>
      </c>
      <c r="BJ662" s="27" t="s">
        <v>7</v>
      </c>
      <c r="BM662" s="27" t="s">
        <v>8</v>
      </c>
    </row>
    <row r="663" spans="1:71" x14ac:dyDescent="0.25">
      <c r="A663" s="7">
        <v>0.22201736609644623</v>
      </c>
      <c r="B663"/>
      <c r="C663"/>
      <c r="D663"/>
      <c r="E663"/>
      <c r="F663" s="27" t="s">
        <v>7</v>
      </c>
      <c r="G663" s="27" t="s">
        <v>8</v>
      </c>
      <c r="J663" s="27" t="s">
        <v>7</v>
      </c>
      <c r="L663" s="27" t="s">
        <v>7</v>
      </c>
      <c r="M663" s="27" t="s">
        <v>8</v>
      </c>
      <c r="N663" s="27" t="s">
        <v>7</v>
      </c>
      <c r="O663" s="27" t="s">
        <v>8</v>
      </c>
      <c r="P663" s="27" t="s">
        <v>7</v>
      </c>
      <c r="S663" s="27" t="s">
        <v>8</v>
      </c>
      <c r="T663" s="27" t="s">
        <v>7</v>
      </c>
      <c r="AQ663" s="27" t="s">
        <v>8</v>
      </c>
      <c r="AR663" s="27" t="s">
        <v>7</v>
      </c>
      <c r="AS663" s="27" t="s">
        <v>8</v>
      </c>
      <c r="AZ663" s="27" t="s">
        <v>7</v>
      </c>
      <c r="BA663" s="27" t="s">
        <v>8</v>
      </c>
      <c r="BH663" s="27" t="s">
        <v>7</v>
      </c>
      <c r="BI663" s="27" t="s">
        <v>8</v>
      </c>
      <c r="BJ663" s="27" t="s">
        <v>7</v>
      </c>
      <c r="BM663" s="27" t="s">
        <v>8</v>
      </c>
      <c r="BN663" s="27" t="s">
        <v>7</v>
      </c>
    </row>
    <row r="664" spans="1:71" x14ac:dyDescent="0.25">
      <c r="A664" s="7">
        <v>0.21766408440828061</v>
      </c>
      <c r="B664"/>
      <c r="C664"/>
      <c r="D664"/>
      <c r="E664"/>
      <c r="F664" s="27" t="s">
        <v>7</v>
      </c>
      <c r="G664" s="27" t="s">
        <v>8</v>
      </c>
      <c r="L664" s="27" t="s">
        <v>7</v>
      </c>
      <c r="M664" s="27" t="s">
        <v>8</v>
      </c>
      <c r="N664" s="27" t="s">
        <v>7</v>
      </c>
      <c r="O664" s="27" t="s">
        <v>8</v>
      </c>
      <c r="P664" s="27" t="s">
        <v>7</v>
      </c>
      <c r="S664" s="27" t="s">
        <v>8</v>
      </c>
      <c r="T664" s="27" t="s">
        <v>7</v>
      </c>
      <c r="AQ664" s="27" t="s">
        <v>8</v>
      </c>
      <c r="AR664" s="27" t="s">
        <v>7</v>
      </c>
      <c r="AS664" s="27" t="s">
        <v>8</v>
      </c>
      <c r="AZ664" s="27" t="s">
        <v>7</v>
      </c>
      <c r="BH664" s="27" t="s">
        <v>7</v>
      </c>
      <c r="BI664" s="27" t="s">
        <v>8</v>
      </c>
      <c r="BJ664" s="27" t="s">
        <v>7</v>
      </c>
      <c r="BK664" s="27" t="s">
        <v>8</v>
      </c>
      <c r="BM664" s="27" t="s">
        <v>8</v>
      </c>
      <c r="BN664" s="27" t="s">
        <v>7</v>
      </c>
      <c r="BO664" s="27" t="s">
        <v>8</v>
      </c>
    </row>
    <row r="665" spans="1:71" x14ac:dyDescent="0.25">
      <c r="A665" s="7">
        <v>0.21339616118458882</v>
      </c>
      <c r="B665"/>
      <c r="C665"/>
      <c r="D665"/>
      <c r="E665"/>
      <c r="F665" s="27" t="s">
        <v>7</v>
      </c>
      <c r="G665" s="27" t="s">
        <v>8</v>
      </c>
      <c r="L665" s="27" t="s">
        <v>7</v>
      </c>
      <c r="M665" s="27" t="s">
        <v>8</v>
      </c>
      <c r="N665" s="27" t="s">
        <v>7</v>
      </c>
      <c r="O665" s="27" t="s">
        <v>8</v>
      </c>
      <c r="P665" s="27" t="s">
        <v>7</v>
      </c>
      <c r="S665" s="27" t="s">
        <v>8</v>
      </c>
      <c r="T665" s="27" t="s">
        <v>7</v>
      </c>
      <c r="AQ665" s="27" t="s">
        <v>8</v>
      </c>
      <c r="AR665" s="27" t="s">
        <v>7</v>
      </c>
      <c r="AS665" s="27" t="s">
        <v>8</v>
      </c>
      <c r="BH665" s="27" t="s">
        <v>7</v>
      </c>
      <c r="BI665" s="27" t="s">
        <v>8</v>
      </c>
      <c r="BJ665" s="27" t="s">
        <v>7</v>
      </c>
      <c r="BK665" s="27" t="s">
        <v>8</v>
      </c>
      <c r="BL665" s="27" t="s">
        <v>7</v>
      </c>
      <c r="BM665" s="27" t="s">
        <v>8</v>
      </c>
      <c r="BN665" s="27" t="s">
        <v>7</v>
      </c>
      <c r="BO665" s="27" t="s">
        <v>8</v>
      </c>
      <c r="BP665" s="27" t="s">
        <v>7</v>
      </c>
    </row>
    <row r="666" spans="1:71" x14ac:dyDescent="0.25">
      <c r="A666" s="7">
        <v>0.20921192272998904</v>
      </c>
      <c r="B666"/>
      <c r="C666"/>
      <c r="D666"/>
      <c r="E666"/>
      <c r="F666" s="27" t="s">
        <v>7</v>
      </c>
      <c r="G666" s="27" t="s">
        <v>8</v>
      </c>
      <c r="L666" s="27" t="s">
        <v>7</v>
      </c>
      <c r="M666" s="27" t="s">
        <v>8</v>
      </c>
      <c r="N666" s="27" t="s">
        <v>7</v>
      </c>
      <c r="O666" s="27" t="s">
        <v>8</v>
      </c>
      <c r="P666" s="27" t="s">
        <v>7</v>
      </c>
      <c r="S666" s="27" t="s">
        <v>8</v>
      </c>
      <c r="T666" s="27" t="s">
        <v>7</v>
      </c>
      <c r="AQ666" s="27" t="s">
        <v>8</v>
      </c>
      <c r="AR666" s="27" t="s">
        <v>7</v>
      </c>
      <c r="AS666" s="27" t="s">
        <v>8</v>
      </c>
      <c r="BH666" s="27" t="s">
        <v>7</v>
      </c>
      <c r="BI666" s="27" t="s">
        <v>8</v>
      </c>
      <c r="BJ666" s="27" t="s">
        <v>7</v>
      </c>
      <c r="BK666" s="27" t="s">
        <v>8</v>
      </c>
      <c r="BL666" s="27" t="s">
        <v>7</v>
      </c>
      <c r="BM666" s="27" t="s">
        <v>8</v>
      </c>
      <c r="BN666" s="27" t="s">
        <v>7</v>
      </c>
      <c r="BO666" s="27" t="s">
        <v>8</v>
      </c>
      <c r="BP666" s="27" t="s">
        <v>7</v>
      </c>
    </row>
    <row r="667" spans="1:71" x14ac:dyDescent="0.25">
      <c r="A667" s="7">
        <v>0.20510972816665593</v>
      </c>
      <c r="B667"/>
      <c r="C667"/>
      <c r="D667"/>
      <c r="E667"/>
      <c r="F667" s="27" t="s">
        <v>7</v>
      </c>
      <c r="L667" s="27" t="s">
        <v>7</v>
      </c>
      <c r="M667" s="27" t="s">
        <v>8</v>
      </c>
      <c r="N667" s="27" t="s">
        <v>7</v>
      </c>
      <c r="O667" s="27" t="s">
        <v>8</v>
      </c>
      <c r="P667" s="27" t="s">
        <v>7</v>
      </c>
      <c r="S667" s="27" t="s">
        <v>8</v>
      </c>
      <c r="T667" s="27" t="s">
        <v>7</v>
      </c>
      <c r="AQ667" s="27" t="s">
        <v>8</v>
      </c>
      <c r="AR667" s="27" t="s">
        <v>7</v>
      </c>
      <c r="AS667" s="27" t="s">
        <v>8</v>
      </c>
      <c r="BH667" s="27" t="s">
        <v>7</v>
      </c>
      <c r="BJ667" s="27" t="s">
        <v>7</v>
      </c>
      <c r="BL667" s="27" t="s">
        <v>7</v>
      </c>
      <c r="BM667" s="27" t="s">
        <v>8</v>
      </c>
      <c r="BN667" s="27" t="s">
        <v>7</v>
      </c>
      <c r="BO667" s="27" t="s">
        <v>8</v>
      </c>
      <c r="BP667" s="27" t="s">
        <v>7</v>
      </c>
    </row>
    <row r="668" spans="1:71" x14ac:dyDescent="0.25">
      <c r="A668" s="7">
        <v>0.20108796879083912</v>
      </c>
      <c r="B668"/>
      <c r="C668"/>
      <c r="D668"/>
      <c r="E668"/>
      <c r="L668" s="27" t="s">
        <v>7</v>
      </c>
      <c r="M668" s="27" t="s">
        <v>8</v>
      </c>
      <c r="N668" s="27" t="s">
        <v>7</v>
      </c>
      <c r="O668" s="27" t="s">
        <v>8</v>
      </c>
      <c r="P668" s="27" t="s">
        <v>7</v>
      </c>
      <c r="S668" s="27" t="s">
        <v>8</v>
      </c>
      <c r="T668" s="27" t="s">
        <v>7</v>
      </c>
      <c r="AQ668" s="27" t="s">
        <v>8</v>
      </c>
      <c r="AR668" s="27" t="s">
        <v>7</v>
      </c>
      <c r="AS668" s="27" t="s">
        <v>8</v>
      </c>
      <c r="BL668" s="27" t="s">
        <v>7</v>
      </c>
      <c r="BM668" s="27" t="s">
        <v>8</v>
      </c>
      <c r="BN668" s="27" t="s">
        <v>7</v>
      </c>
      <c r="BO668" s="27" t="s">
        <v>8</v>
      </c>
      <c r="BP668" s="27" t="s">
        <v>7</v>
      </c>
    </row>
    <row r="669" spans="1:71" x14ac:dyDescent="0.25">
      <c r="A669" s="7">
        <v>0.19714506744199917</v>
      </c>
      <c r="B669"/>
      <c r="C669"/>
      <c r="D669"/>
      <c r="E669"/>
      <c r="L669" s="27" t="s">
        <v>7</v>
      </c>
      <c r="M669" s="27" t="s">
        <v>8</v>
      </c>
      <c r="N669" s="27" t="s">
        <v>7</v>
      </c>
      <c r="O669" s="27" t="s">
        <v>8</v>
      </c>
      <c r="P669" s="27" t="s">
        <v>7</v>
      </c>
      <c r="S669" s="27" t="s">
        <v>8</v>
      </c>
      <c r="T669" s="27" t="s">
        <v>7</v>
      </c>
      <c r="AQ669" s="27" t="s">
        <v>8</v>
      </c>
      <c r="AR669" s="27" t="s">
        <v>7</v>
      </c>
      <c r="AS669" s="27" t="s">
        <v>8</v>
      </c>
      <c r="BL669" s="27" t="s">
        <v>7</v>
      </c>
      <c r="BM669" s="27" t="s">
        <v>8</v>
      </c>
      <c r="BN669" s="27" t="s">
        <v>7</v>
      </c>
      <c r="BP669" s="27" t="s">
        <v>7</v>
      </c>
    </row>
    <row r="670" spans="1:71" x14ac:dyDescent="0.25">
      <c r="A670" s="7">
        <v>0.19327947788431293</v>
      </c>
      <c r="B670"/>
      <c r="C670"/>
      <c r="D670"/>
      <c r="E670"/>
      <c r="L670" s="27" t="s">
        <v>7</v>
      </c>
      <c r="M670" s="27" t="s">
        <v>8</v>
      </c>
      <c r="N670" s="27" t="s">
        <v>7</v>
      </c>
      <c r="O670" s="27" t="s">
        <v>8</v>
      </c>
      <c r="P670" s="27" t="s">
        <v>7</v>
      </c>
      <c r="S670" s="27" t="s">
        <v>8</v>
      </c>
      <c r="T670" s="27" t="s">
        <v>7</v>
      </c>
      <c r="AQ670" s="27" t="s">
        <v>8</v>
      </c>
      <c r="AR670" s="27" t="s">
        <v>7</v>
      </c>
      <c r="AS670" s="27" t="s">
        <v>8</v>
      </c>
      <c r="BL670" s="27" t="s">
        <v>7</v>
      </c>
      <c r="BM670" s="27" t="s">
        <v>8</v>
      </c>
      <c r="BP670" s="27" t="s">
        <v>7</v>
      </c>
      <c r="BQ670" s="27" t="s">
        <v>8</v>
      </c>
    </row>
    <row r="671" spans="1:71" x14ac:dyDescent="0.25">
      <c r="A671" s="7">
        <v>0.18948968420030682</v>
      </c>
      <c r="B671"/>
      <c r="C671"/>
      <c r="D671"/>
      <c r="E671"/>
      <c r="L671" s="27" t="s">
        <v>7</v>
      </c>
      <c r="M671" s="27" t="s">
        <v>8</v>
      </c>
      <c r="N671" s="27" t="s">
        <v>7</v>
      </c>
      <c r="O671" s="27" t="s">
        <v>8</v>
      </c>
      <c r="P671" s="27" t="s">
        <v>7</v>
      </c>
      <c r="S671" s="27" t="s">
        <v>8</v>
      </c>
      <c r="T671" s="27" t="s">
        <v>7</v>
      </c>
      <c r="AQ671" s="27" t="s">
        <v>8</v>
      </c>
      <c r="AR671" s="27" t="s">
        <v>7</v>
      </c>
      <c r="AS671" s="27" t="s">
        <v>8</v>
      </c>
      <c r="BL671" s="27" t="s">
        <v>7</v>
      </c>
      <c r="BM671" s="27" t="s">
        <v>8</v>
      </c>
      <c r="BP671" s="27" t="s">
        <v>7</v>
      </c>
      <c r="BQ671" s="27" t="s">
        <v>8</v>
      </c>
      <c r="BR671" s="27" t="s">
        <v>7</v>
      </c>
    </row>
    <row r="672" spans="1:71" x14ac:dyDescent="0.25">
      <c r="A672" s="7">
        <v>0.18577420019637925</v>
      </c>
      <c r="B672"/>
      <c r="C672"/>
      <c r="D672"/>
      <c r="E672"/>
      <c r="L672" s="27" t="s">
        <v>7</v>
      </c>
      <c r="M672" s="27" t="s">
        <v>8</v>
      </c>
      <c r="N672" s="27" t="s">
        <v>7</v>
      </c>
      <c r="O672" s="27" t="s">
        <v>8</v>
      </c>
      <c r="P672" s="27" t="s">
        <v>7</v>
      </c>
      <c r="Q672" s="27" t="s">
        <v>8</v>
      </c>
      <c r="S672" s="27" t="s">
        <v>8</v>
      </c>
      <c r="T672" s="27" t="s">
        <v>7</v>
      </c>
      <c r="AQ672" s="27" t="s">
        <v>8</v>
      </c>
      <c r="AR672" s="27" t="s">
        <v>7</v>
      </c>
      <c r="AS672" s="27" t="s">
        <v>8</v>
      </c>
      <c r="BL672" s="27" t="s">
        <v>7</v>
      </c>
      <c r="BM672" s="27" t="s">
        <v>8</v>
      </c>
      <c r="BP672" s="27" t="s">
        <v>7</v>
      </c>
      <c r="BQ672" s="27" t="s">
        <v>8</v>
      </c>
      <c r="BR672" s="27" t="s">
        <v>7</v>
      </c>
      <c r="BS672" s="27" t="s">
        <v>8</v>
      </c>
    </row>
    <row r="673" spans="1:109" x14ac:dyDescent="0.25">
      <c r="A673" s="7">
        <v>0.18213156881997963</v>
      </c>
      <c r="B673"/>
      <c r="C673"/>
      <c r="D673"/>
      <c r="E673"/>
      <c r="L673" s="27" t="s">
        <v>7</v>
      </c>
      <c r="M673" s="27" t="s">
        <v>8</v>
      </c>
      <c r="N673" s="27" t="s">
        <v>7</v>
      </c>
      <c r="O673" s="27" t="s">
        <v>8</v>
      </c>
      <c r="P673" s="27" t="s">
        <v>7</v>
      </c>
      <c r="Q673" s="27" t="s">
        <v>8</v>
      </c>
      <c r="R673" s="27" t="s">
        <v>7</v>
      </c>
      <c r="S673" s="27" t="s">
        <v>8</v>
      </c>
      <c r="T673" s="27" t="s">
        <v>7</v>
      </c>
      <c r="AO673" s="27" t="s">
        <v>8</v>
      </c>
      <c r="AQ673" s="27" t="s">
        <v>8</v>
      </c>
      <c r="AR673" s="27" t="s">
        <v>7</v>
      </c>
      <c r="AS673" s="27" t="s">
        <v>8</v>
      </c>
      <c r="BL673" s="27" t="s">
        <v>7</v>
      </c>
      <c r="BM673" s="27" t="s">
        <v>8</v>
      </c>
      <c r="BP673" s="27" t="s">
        <v>7</v>
      </c>
      <c r="BR673" s="27" t="s">
        <v>7</v>
      </c>
      <c r="BS673" s="27" t="s">
        <v>8</v>
      </c>
      <c r="BT673" s="27" t="s">
        <v>7</v>
      </c>
    </row>
    <row r="674" spans="1:109" x14ac:dyDescent="0.25">
      <c r="A674" s="7">
        <v>0.17856036158821534</v>
      </c>
      <c r="B674"/>
      <c r="C674"/>
      <c r="D674"/>
      <c r="E674"/>
      <c r="L674" s="27" t="s">
        <v>7</v>
      </c>
      <c r="M674" s="27" t="s">
        <v>8</v>
      </c>
      <c r="N674" s="27" t="s">
        <v>7</v>
      </c>
      <c r="O674" s="27" t="s">
        <v>8</v>
      </c>
      <c r="P674" s="27" t="s">
        <v>7</v>
      </c>
      <c r="Q674" s="27" t="s">
        <v>8</v>
      </c>
      <c r="R674" s="27" t="s">
        <v>7</v>
      </c>
      <c r="S674" s="27" t="s">
        <v>8</v>
      </c>
      <c r="T674" s="27" t="s">
        <v>7</v>
      </c>
      <c r="AO674" s="27" t="s">
        <v>8</v>
      </c>
      <c r="AP674" s="27" t="s">
        <v>7</v>
      </c>
      <c r="AQ674" s="27" t="s">
        <v>8</v>
      </c>
      <c r="AR674" s="27" t="s">
        <v>7</v>
      </c>
      <c r="BL674" s="27" t="s">
        <v>7</v>
      </c>
      <c r="BM674" s="27" t="s">
        <v>8</v>
      </c>
      <c r="BR674" s="27" t="s">
        <v>7</v>
      </c>
      <c r="BS674" s="27" t="s">
        <v>8</v>
      </c>
      <c r="BT674" s="27" t="s">
        <v>7</v>
      </c>
    </row>
    <row r="675" spans="1:109" x14ac:dyDescent="0.25">
      <c r="A675" s="7">
        <v>0.17505917802766208</v>
      </c>
      <c r="B675"/>
      <c r="C675"/>
      <c r="D675"/>
      <c r="E675"/>
      <c r="L675" s="27" t="s">
        <v>7</v>
      </c>
      <c r="M675" s="27" t="s">
        <v>8</v>
      </c>
      <c r="N675" s="27" t="s">
        <v>7</v>
      </c>
      <c r="O675" s="27" t="s">
        <v>8</v>
      </c>
      <c r="P675" s="27" t="s">
        <v>7</v>
      </c>
      <c r="Q675" s="27" t="s">
        <v>8</v>
      </c>
      <c r="R675" s="27" t="s">
        <v>7</v>
      </c>
      <c r="S675" s="27" t="s">
        <v>8</v>
      </c>
      <c r="T675" s="27" t="s">
        <v>7</v>
      </c>
      <c r="AO675" s="27" t="s">
        <v>8</v>
      </c>
      <c r="AP675" s="27" t="s">
        <v>7</v>
      </c>
      <c r="AQ675" s="27" t="s">
        <v>8</v>
      </c>
      <c r="BL675" s="27" t="s">
        <v>7</v>
      </c>
      <c r="BM675" s="27" t="s">
        <v>8</v>
      </c>
      <c r="BR675" s="27" t="s">
        <v>7</v>
      </c>
      <c r="BS675" s="27" t="s">
        <v>8</v>
      </c>
      <c r="BT675" s="27" t="s">
        <v>7</v>
      </c>
      <c r="BU675" s="27" t="s">
        <v>8</v>
      </c>
    </row>
    <row r="676" spans="1:109" x14ac:dyDescent="0.25">
      <c r="A676" s="7">
        <v>0.17162664512515888</v>
      </c>
      <c r="B676"/>
      <c r="C676"/>
      <c r="D676"/>
      <c r="E676"/>
      <c r="L676" s="27" t="s">
        <v>7</v>
      </c>
      <c r="M676" s="27" t="s">
        <v>8</v>
      </c>
      <c r="N676" s="27" t="s">
        <v>7</v>
      </c>
      <c r="O676" s="27" t="s">
        <v>8</v>
      </c>
      <c r="P676" s="27" t="s">
        <v>7</v>
      </c>
      <c r="Q676" s="27" t="s">
        <v>8</v>
      </c>
      <c r="R676" s="27" t="s">
        <v>7</v>
      </c>
      <c r="S676" s="27" t="s">
        <v>8</v>
      </c>
      <c r="T676" s="27" t="s">
        <v>7</v>
      </c>
      <c r="AO676" s="27" t="s">
        <v>8</v>
      </c>
      <c r="AP676" s="27" t="s">
        <v>7</v>
      </c>
      <c r="AQ676" s="27" t="s">
        <v>8</v>
      </c>
      <c r="BL676" s="27" t="s">
        <v>7</v>
      </c>
      <c r="BR676" s="27" t="s">
        <v>7</v>
      </c>
      <c r="BT676" s="27" t="s">
        <v>7</v>
      </c>
      <c r="BU676" s="27" t="s">
        <v>8</v>
      </c>
      <c r="BV676" s="27" t="s">
        <v>7</v>
      </c>
    </row>
    <row r="677" spans="1:109" x14ac:dyDescent="0.25">
      <c r="A677" s="7">
        <v>0.16826141678937145</v>
      </c>
      <c r="B677"/>
      <c r="C677"/>
      <c r="D677"/>
      <c r="E677"/>
      <c r="L677" s="27" t="s">
        <v>7</v>
      </c>
      <c r="M677" s="27" t="s">
        <v>8</v>
      </c>
      <c r="N677" s="27" t="s">
        <v>7</v>
      </c>
      <c r="P677" s="27" t="s">
        <v>7</v>
      </c>
      <c r="Q677" s="27" t="s">
        <v>8</v>
      </c>
      <c r="R677" s="27" t="s">
        <v>7</v>
      </c>
      <c r="S677" s="27" t="s">
        <v>8</v>
      </c>
      <c r="T677" s="27" t="s">
        <v>7</v>
      </c>
      <c r="AO677" s="27" t="s">
        <v>8</v>
      </c>
      <c r="AP677" s="27" t="s">
        <v>7</v>
      </c>
      <c r="AQ677" s="27" t="s">
        <v>8</v>
      </c>
      <c r="BT677" s="27" t="s">
        <v>7</v>
      </c>
      <c r="BU677" s="27" t="s">
        <v>8</v>
      </c>
      <c r="BV677" s="27" t="s">
        <v>7</v>
      </c>
    </row>
    <row r="678" spans="1:109" x14ac:dyDescent="0.25">
      <c r="A678" s="7">
        <v>0.16496217332291319</v>
      </c>
      <c r="B678"/>
      <c r="C678"/>
      <c r="D678"/>
      <c r="E678"/>
      <c r="L678" s="27" t="s">
        <v>7</v>
      </c>
      <c r="M678" s="27" t="s">
        <v>8</v>
      </c>
      <c r="P678" s="27" t="s">
        <v>7</v>
      </c>
      <c r="Q678" s="27" t="s">
        <v>8</v>
      </c>
      <c r="R678" s="27" t="s">
        <v>7</v>
      </c>
      <c r="S678" s="27" t="s">
        <v>8</v>
      </c>
      <c r="T678" s="27" t="s">
        <v>7</v>
      </c>
      <c r="AE678" s="27" t="s">
        <v>8</v>
      </c>
      <c r="AO678" s="27" t="s">
        <v>8</v>
      </c>
      <c r="AP678" s="27" t="s">
        <v>7</v>
      </c>
      <c r="AQ678" s="27" t="s">
        <v>8</v>
      </c>
      <c r="BT678" s="27" t="s">
        <v>7</v>
      </c>
      <c r="BU678" s="27" t="s">
        <v>8</v>
      </c>
      <c r="BV678" s="27" t="s">
        <v>7</v>
      </c>
    </row>
    <row r="679" spans="1:109" x14ac:dyDescent="0.25">
      <c r="A679" s="7">
        <v>0.16172762090481685</v>
      </c>
      <c r="B679"/>
      <c r="C679"/>
      <c r="D679"/>
      <c r="E679"/>
      <c r="L679" s="27" t="s">
        <v>7</v>
      </c>
      <c r="M679" s="27" t="s">
        <v>8</v>
      </c>
      <c r="P679" s="27" t="s">
        <v>7</v>
      </c>
      <c r="Q679" s="27" t="s">
        <v>8</v>
      </c>
      <c r="R679" s="27" t="s">
        <v>7</v>
      </c>
      <c r="S679" s="27" t="s">
        <v>8</v>
      </c>
      <c r="T679" s="27" t="s">
        <v>7</v>
      </c>
      <c r="AE679" s="27" t="s">
        <v>8</v>
      </c>
      <c r="AF679" s="27" t="s">
        <v>7</v>
      </c>
      <c r="AO679" s="27" t="s">
        <v>8</v>
      </c>
      <c r="AP679" s="27" t="s">
        <v>7</v>
      </c>
      <c r="AQ679" s="27" t="s">
        <v>8</v>
      </c>
      <c r="BT679" s="27" t="s">
        <v>7</v>
      </c>
      <c r="BU679" s="27" t="s">
        <v>8</v>
      </c>
      <c r="BV679" s="27" t="s">
        <v>7</v>
      </c>
      <c r="BW679" s="27" t="s">
        <v>8</v>
      </c>
    </row>
    <row r="680" spans="1:109" x14ac:dyDescent="0.25">
      <c r="A680" s="7">
        <v>0.15855649108315376</v>
      </c>
      <c r="B680"/>
      <c r="C680"/>
      <c r="D680"/>
      <c r="E680"/>
      <c r="L680" s="27" t="s">
        <v>7</v>
      </c>
      <c r="M680" s="27" t="s">
        <v>8</v>
      </c>
      <c r="P680" s="27" t="s">
        <v>7</v>
      </c>
      <c r="Q680" s="27" t="s">
        <v>8</v>
      </c>
      <c r="R680" s="27" t="s">
        <v>7</v>
      </c>
      <c r="S680" s="27" t="s">
        <v>8</v>
      </c>
      <c r="T680" s="27" t="s">
        <v>7</v>
      </c>
      <c r="AE680" s="27" t="s">
        <v>8</v>
      </c>
      <c r="AF680" s="27" t="s">
        <v>7</v>
      </c>
      <c r="AO680" s="27" t="s">
        <v>8</v>
      </c>
      <c r="AP680" s="27" t="s">
        <v>7</v>
      </c>
      <c r="AQ680" s="27" t="s">
        <v>8</v>
      </c>
      <c r="BT680" s="27" t="s">
        <v>7</v>
      </c>
      <c r="BU680" s="27" t="s">
        <v>8</v>
      </c>
      <c r="BV680" s="27" t="s">
        <v>7</v>
      </c>
      <c r="BW680" s="27" t="s">
        <v>8</v>
      </c>
      <c r="BX680" s="27" t="s">
        <v>7</v>
      </c>
    </row>
    <row r="681" spans="1:109" x14ac:dyDescent="0.25">
      <c r="A681" s="7">
        <v>0.15544754027760171</v>
      </c>
      <c r="B681"/>
      <c r="C681"/>
      <c r="D681"/>
      <c r="E681"/>
      <c r="L681" s="27" t="s">
        <v>7</v>
      </c>
      <c r="M681" s="27" t="s">
        <v>8</v>
      </c>
      <c r="P681" s="27" t="s">
        <v>7</v>
      </c>
      <c r="Q681" s="27" t="s">
        <v>8</v>
      </c>
      <c r="R681" s="27" t="s">
        <v>7</v>
      </c>
      <c r="S681" s="27" t="s">
        <v>8</v>
      </c>
      <c r="T681" s="27" t="s">
        <v>7</v>
      </c>
      <c r="U681" s="27" t="s">
        <v>8</v>
      </c>
      <c r="AE681" s="27" t="s">
        <v>8</v>
      </c>
      <c r="AF681" s="27" t="s">
        <v>7</v>
      </c>
      <c r="AO681" s="27" t="s">
        <v>8</v>
      </c>
      <c r="AP681" s="27" t="s">
        <v>7</v>
      </c>
      <c r="AQ681" s="27" t="s">
        <v>8</v>
      </c>
      <c r="BT681" s="27" t="s">
        <v>7</v>
      </c>
      <c r="BV681" s="27" t="s">
        <v>7</v>
      </c>
      <c r="BW681" s="27" t="s">
        <v>8</v>
      </c>
      <c r="BX681" s="27" t="s">
        <v>7</v>
      </c>
    </row>
    <row r="682" spans="1:109" x14ac:dyDescent="0.25">
      <c r="A682" s="7">
        <v>0.15239954929176638</v>
      </c>
      <c r="B682"/>
      <c r="C682"/>
      <c r="D682"/>
      <c r="E682"/>
      <c r="L682" s="27" t="s">
        <v>7</v>
      </c>
      <c r="M682" s="27" t="s">
        <v>8</v>
      </c>
      <c r="P682" s="27" t="s">
        <v>7</v>
      </c>
      <c r="Q682" s="27" t="s">
        <v>8</v>
      </c>
      <c r="R682" s="27" t="s">
        <v>7</v>
      </c>
      <c r="S682" s="27" t="s">
        <v>8</v>
      </c>
      <c r="T682" s="27" t="s">
        <v>7</v>
      </c>
      <c r="U682" s="27" t="s">
        <v>8</v>
      </c>
      <c r="V682" s="27" t="s">
        <v>7</v>
      </c>
      <c r="AE682" s="27" t="s">
        <v>8</v>
      </c>
      <c r="AF682" s="27" t="s">
        <v>7</v>
      </c>
      <c r="AO682" s="27" t="s">
        <v>8</v>
      </c>
      <c r="AP682" s="27" t="s">
        <v>7</v>
      </c>
      <c r="BV682" s="27" t="s">
        <v>7</v>
      </c>
      <c r="BW682" s="27" t="s">
        <v>8</v>
      </c>
      <c r="BX682" s="27" t="s">
        <v>7</v>
      </c>
    </row>
    <row r="683" spans="1:109" x14ac:dyDescent="0.25">
      <c r="A683" s="7">
        <v>0.14941132283506509</v>
      </c>
      <c r="B683"/>
      <c r="C683"/>
      <c r="D683"/>
      <c r="E683"/>
      <c r="L683" s="27" t="s">
        <v>7</v>
      </c>
      <c r="M683" s="27" t="s">
        <v>8</v>
      </c>
      <c r="P683" s="27" t="s">
        <v>7</v>
      </c>
      <c r="Q683" s="27" t="s">
        <v>8</v>
      </c>
      <c r="R683" s="27" t="s">
        <v>7</v>
      </c>
      <c r="S683" s="27" t="s">
        <v>8</v>
      </c>
      <c r="T683" s="27" t="s">
        <v>7</v>
      </c>
      <c r="U683" s="27" t="s">
        <v>8</v>
      </c>
      <c r="V683" s="27" t="s">
        <v>7</v>
      </c>
      <c r="Y683" s="27" t="s">
        <v>8</v>
      </c>
      <c r="AE683" s="27" t="s">
        <v>8</v>
      </c>
      <c r="AF683" s="27" t="s">
        <v>7</v>
      </c>
      <c r="AO683" s="27" t="s">
        <v>8</v>
      </c>
      <c r="BV683" s="27" t="s">
        <v>7</v>
      </c>
      <c r="BW683" s="27" t="s">
        <v>8</v>
      </c>
      <c r="BX683" s="27" t="s">
        <v>7</v>
      </c>
      <c r="CA683" s="27" t="s">
        <v>8</v>
      </c>
    </row>
    <row r="684" spans="1:109" x14ac:dyDescent="0.25">
      <c r="A684" s="7">
        <v>0.14648168905398537</v>
      </c>
      <c r="B684"/>
      <c r="C684"/>
      <c r="D684"/>
      <c r="E684"/>
      <c r="L684" s="27" t="s">
        <v>7</v>
      </c>
      <c r="M684" s="27" t="s">
        <v>8</v>
      </c>
      <c r="P684" s="27" t="s">
        <v>7</v>
      </c>
      <c r="Q684" s="27" t="s">
        <v>8</v>
      </c>
      <c r="R684" s="27" t="s">
        <v>7</v>
      </c>
      <c r="S684" s="27" t="s">
        <v>8</v>
      </c>
      <c r="T684" s="27" t="s">
        <v>7</v>
      </c>
      <c r="U684" s="27" t="s">
        <v>8</v>
      </c>
      <c r="V684" s="27" t="s">
        <v>7</v>
      </c>
      <c r="W684" s="27" t="s">
        <v>8</v>
      </c>
      <c r="Y684" s="27" t="s">
        <v>8</v>
      </c>
      <c r="Z684" s="27" t="s">
        <v>7</v>
      </c>
      <c r="AE684" s="27" t="s">
        <v>8</v>
      </c>
      <c r="AF684" s="27" t="s">
        <v>7</v>
      </c>
      <c r="AG684" s="27" t="s">
        <v>8</v>
      </c>
      <c r="AO684" s="27" t="s">
        <v>8</v>
      </c>
      <c r="BV684" s="27" t="s">
        <v>7</v>
      </c>
      <c r="BW684" s="27" t="s">
        <v>8</v>
      </c>
      <c r="BX684" s="27" t="s">
        <v>7</v>
      </c>
      <c r="BY684" s="27" t="s">
        <v>8</v>
      </c>
      <c r="CA684" s="27" t="s">
        <v>8</v>
      </c>
      <c r="CB684" s="27" t="s">
        <v>7</v>
      </c>
    </row>
    <row r="685" spans="1:109" x14ac:dyDescent="0.25">
      <c r="A685" s="7">
        <v>0.14360949907253467</v>
      </c>
      <c r="B685"/>
      <c r="C685"/>
      <c r="D685"/>
      <c r="E685"/>
      <c r="L685" s="27" t="s">
        <v>7</v>
      </c>
      <c r="M685" s="27" t="s">
        <v>8</v>
      </c>
      <c r="P685" s="27" t="s">
        <v>7</v>
      </c>
      <c r="Q685" s="27" t="s">
        <v>8</v>
      </c>
      <c r="R685" s="27" t="s">
        <v>7</v>
      </c>
      <c r="S685" s="27" t="s">
        <v>8</v>
      </c>
      <c r="T685" s="27" t="s">
        <v>7</v>
      </c>
      <c r="U685" s="27" t="s">
        <v>8</v>
      </c>
      <c r="V685" s="27" t="s">
        <v>7</v>
      </c>
      <c r="W685" s="27" t="s">
        <v>8</v>
      </c>
      <c r="X685" s="27" t="s">
        <v>7</v>
      </c>
      <c r="Y685" s="27" t="s">
        <v>8</v>
      </c>
      <c r="Z685" s="27" t="s">
        <v>7</v>
      </c>
      <c r="AE685" s="27" t="s">
        <v>8</v>
      </c>
      <c r="AF685" s="27" t="s">
        <v>7</v>
      </c>
      <c r="AG685" s="27" t="s">
        <v>8</v>
      </c>
      <c r="AH685" s="27" t="s">
        <v>7</v>
      </c>
      <c r="AO685" s="27" t="s">
        <v>8</v>
      </c>
      <c r="BV685" s="27" t="s">
        <v>7</v>
      </c>
      <c r="BW685" s="27" t="s">
        <v>8</v>
      </c>
      <c r="BX685" s="27" t="s">
        <v>7</v>
      </c>
      <c r="BY685" s="27" t="s">
        <v>8</v>
      </c>
      <c r="BZ685" s="27" t="s">
        <v>7</v>
      </c>
      <c r="CA685" s="27" t="s">
        <v>8</v>
      </c>
      <c r="CB685" s="27" t="s">
        <v>7</v>
      </c>
    </row>
    <row r="686" spans="1:109" x14ac:dyDescent="0.25">
      <c r="A686" s="7">
        <v>0.14079362654170066</v>
      </c>
      <c r="B686"/>
      <c r="C686"/>
      <c r="D686"/>
      <c r="E686"/>
      <c r="L686" s="27" t="s">
        <v>7</v>
      </c>
      <c r="M686" s="27" t="s">
        <v>8</v>
      </c>
      <c r="P686" s="27" t="s">
        <v>7</v>
      </c>
      <c r="Q686" s="27" t="s">
        <v>8</v>
      </c>
      <c r="R686" s="27" t="s">
        <v>7</v>
      </c>
      <c r="S686" s="27" t="s">
        <v>8</v>
      </c>
      <c r="T686" s="27" t="s">
        <v>7</v>
      </c>
      <c r="U686" s="27" t="s">
        <v>8</v>
      </c>
      <c r="V686" s="27" t="s">
        <v>7</v>
      </c>
      <c r="W686" s="27" t="s">
        <v>8</v>
      </c>
      <c r="X686" s="27" t="s">
        <v>7</v>
      </c>
      <c r="Y686" s="27" t="s">
        <v>8</v>
      </c>
      <c r="Z686" s="27" t="s">
        <v>7</v>
      </c>
      <c r="AC686" s="27" t="s">
        <v>8</v>
      </c>
      <c r="AE686" s="27" t="s">
        <v>8</v>
      </c>
      <c r="AF686" s="27" t="s">
        <v>7</v>
      </c>
      <c r="AG686" s="27" t="s">
        <v>8</v>
      </c>
      <c r="AH686" s="27" t="s">
        <v>7</v>
      </c>
      <c r="AO686" s="27" t="s">
        <v>8</v>
      </c>
      <c r="BV686" s="27" t="s">
        <v>7</v>
      </c>
      <c r="BW686" s="27" t="s">
        <v>8</v>
      </c>
      <c r="BX686" s="27" t="s">
        <v>7</v>
      </c>
      <c r="BY686" s="27" t="s">
        <v>8</v>
      </c>
      <c r="BZ686" s="27" t="s">
        <v>7</v>
      </c>
      <c r="CA686" s="27" t="s">
        <v>8</v>
      </c>
      <c r="CB686" s="27" t="s">
        <v>7</v>
      </c>
    </row>
    <row r="687" spans="1:109" x14ac:dyDescent="0.25">
      <c r="A687" s="7">
        <v>0.13803296719774574</v>
      </c>
      <c r="B687"/>
      <c r="C687"/>
      <c r="D687"/>
      <c r="E687"/>
      <c r="L687" s="27" t="s">
        <v>7</v>
      </c>
      <c r="M687" s="27" t="s">
        <v>8</v>
      </c>
      <c r="P687" s="27" t="s">
        <v>7</v>
      </c>
      <c r="Q687" s="27" t="s">
        <v>8</v>
      </c>
      <c r="R687" s="27" t="s">
        <v>7</v>
      </c>
      <c r="S687" s="27" t="s">
        <v>8</v>
      </c>
      <c r="T687" s="27" t="s">
        <v>7</v>
      </c>
      <c r="U687" s="27" t="s">
        <v>8</v>
      </c>
      <c r="V687" s="27" t="s">
        <v>7</v>
      </c>
      <c r="W687" s="27" t="s">
        <v>8</v>
      </c>
      <c r="X687" s="27" t="s">
        <v>7</v>
      </c>
      <c r="Y687" s="27" t="s">
        <v>8</v>
      </c>
      <c r="Z687" s="27" t="s">
        <v>7</v>
      </c>
      <c r="AC687" s="27" t="s">
        <v>8</v>
      </c>
      <c r="AD687" s="27" t="s">
        <v>7</v>
      </c>
      <c r="AE687" s="27" t="s">
        <v>8</v>
      </c>
      <c r="AF687" s="27" t="s">
        <v>7</v>
      </c>
      <c r="AG687" s="27" t="s">
        <v>8</v>
      </c>
      <c r="AH687" s="27" t="s">
        <v>7</v>
      </c>
      <c r="AI687" s="27" t="s">
        <v>8</v>
      </c>
      <c r="AM687" s="27" t="s">
        <v>8</v>
      </c>
      <c r="AO687" s="27" t="s">
        <v>8</v>
      </c>
      <c r="BV687" s="27" t="s">
        <v>7</v>
      </c>
      <c r="BW687" s="27" t="s">
        <v>8</v>
      </c>
      <c r="BX687" s="27" t="s">
        <v>7</v>
      </c>
      <c r="BY687" s="27" t="s">
        <v>8</v>
      </c>
      <c r="BZ687" s="27" t="s">
        <v>7</v>
      </c>
      <c r="CA687" s="27" t="s">
        <v>8</v>
      </c>
      <c r="CB687" s="27" t="s">
        <v>7</v>
      </c>
    </row>
    <row r="688" spans="1:109" x14ac:dyDescent="0.25">
      <c r="A688" s="7">
        <v>0.1353264384291625</v>
      </c>
      <c r="B688"/>
      <c r="C688"/>
      <c r="D688"/>
      <c r="E688"/>
      <c r="L688" s="27" t="s">
        <v>7</v>
      </c>
      <c r="P688" s="27" t="s">
        <v>7</v>
      </c>
      <c r="Q688" s="27" t="s">
        <v>8</v>
      </c>
      <c r="R688" s="27" t="s">
        <v>7</v>
      </c>
      <c r="S688" s="27" t="s">
        <v>8</v>
      </c>
      <c r="T688" s="27" t="s">
        <v>7</v>
      </c>
      <c r="U688" s="27" t="s">
        <v>8</v>
      </c>
      <c r="V688" s="27" t="s">
        <v>7</v>
      </c>
      <c r="W688" s="27" t="s">
        <v>8</v>
      </c>
      <c r="X688" s="27" t="s">
        <v>7</v>
      </c>
      <c r="Y688" s="27" t="s">
        <v>8</v>
      </c>
      <c r="Z688" s="27" t="s">
        <v>7</v>
      </c>
      <c r="AA688" s="27" t="s">
        <v>8</v>
      </c>
      <c r="AC688" s="27" t="s">
        <v>8</v>
      </c>
      <c r="AD688" s="27" t="s">
        <v>7</v>
      </c>
      <c r="AE688" s="27" t="s">
        <v>8</v>
      </c>
      <c r="AF688" s="27" t="s">
        <v>7</v>
      </c>
      <c r="AG688" s="27" t="s">
        <v>8</v>
      </c>
      <c r="AH688" s="27" t="s">
        <v>7</v>
      </c>
      <c r="AI688" s="27" t="s">
        <v>8</v>
      </c>
      <c r="AJ688" s="27" t="s">
        <v>7</v>
      </c>
      <c r="AK688" s="27" t="s">
        <v>8</v>
      </c>
      <c r="AM688" s="27" t="s">
        <v>8</v>
      </c>
      <c r="AN688" s="27" t="s">
        <v>7</v>
      </c>
      <c r="AO688" s="27" t="s">
        <v>8</v>
      </c>
      <c r="BV688" s="27" t="s">
        <v>7</v>
      </c>
      <c r="BW688" s="27" t="s">
        <v>8</v>
      </c>
      <c r="BX688" s="27" t="s">
        <v>7</v>
      </c>
      <c r="BY688" s="27" t="s">
        <v>8</v>
      </c>
      <c r="BZ688" s="27" t="s">
        <v>7</v>
      </c>
      <c r="CA688" s="27" t="s">
        <v>8</v>
      </c>
      <c r="CB688" s="27" t="s">
        <v>7</v>
      </c>
      <c r="DE688" s="27" t="s">
        <v>8</v>
      </c>
    </row>
    <row r="689" spans="1:110" x14ac:dyDescent="0.25">
      <c r="A689" s="7">
        <v>0.13267297885212009</v>
      </c>
      <c r="B689"/>
      <c r="C689"/>
      <c r="D689"/>
      <c r="E689"/>
      <c r="P689" s="27" t="s">
        <v>7</v>
      </c>
      <c r="Q689" s="27" t="s">
        <v>8</v>
      </c>
      <c r="R689" s="27" t="s">
        <v>7</v>
      </c>
      <c r="S689" s="27" t="s">
        <v>8</v>
      </c>
      <c r="T689" s="27" t="s">
        <v>7</v>
      </c>
      <c r="U689" s="27" t="s">
        <v>8</v>
      </c>
      <c r="V689" s="27" t="s">
        <v>7</v>
      </c>
      <c r="W689" s="27" t="s">
        <v>8</v>
      </c>
      <c r="X689" s="27" t="s">
        <v>7</v>
      </c>
      <c r="Z689" s="27" t="s">
        <v>7</v>
      </c>
      <c r="AA689" s="27" t="s">
        <v>8</v>
      </c>
      <c r="AB689" s="27" t="s">
        <v>7</v>
      </c>
      <c r="AC689" s="27" t="s">
        <v>8</v>
      </c>
      <c r="AD689" s="27" t="s">
        <v>7</v>
      </c>
      <c r="AE689" s="27" t="s">
        <v>8</v>
      </c>
      <c r="AF689" s="27" t="s">
        <v>7</v>
      </c>
      <c r="AG689" s="27" t="s">
        <v>8</v>
      </c>
      <c r="AH689" s="27" t="s">
        <v>7</v>
      </c>
      <c r="AI689" s="27" t="s">
        <v>8</v>
      </c>
      <c r="AJ689" s="27" t="s">
        <v>7</v>
      </c>
      <c r="AK689" s="27" t="s">
        <v>8</v>
      </c>
      <c r="AL689" s="27" t="s">
        <v>7</v>
      </c>
      <c r="AM689" s="27" t="s">
        <v>8</v>
      </c>
      <c r="AN689" s="27" t="s">
        <v>7</v>
      </c>
      <c r="AO689" s="27" t="s">
        <v>8</v>
      </c>
      <c r="BV689" s="27" t="s">
        <v>7</v>
      </c>
      <c r="BW689" s="27" t="s">
        <v>8</v>
      </c>
      <c r="BX689" s="27" t="s">
        <v>7</v>
      </c>
      <c r="BZ689" s="27" t="s">
        <v>7</v>
      </c>
      <c r="CA689" s="27" t="s">
        <v>8</v>
      </c>
      <c r="CB689" s="27" t="s">
        <v>7</v>
      </c>
      <c r="DE689" s="27" t="s">
        <v>8</v>
      </c>
      <c r="DF689" s="27" t="s">
        <v>7</v>
      </c>
    </row>
    <row r="690" spans="1:110" x14ac:dyDescent="0.25">
      <c r="A690" s="7">
        <v>0.13007154789423539</v>
      </c>
      <c r="B690"/>
      <c r="C690"/>
      <c r="D690"/>
      <c r="E690"/>
      <c r="P690" s="27" t="s">
        <v>7</v>
      </c>
      <c r="Q690" s="27" t="s">
        <v>8</v>
      </c>
      <c r="R690" s="27" t="s">
        <v>7</v>
      </c>
      <c r="S690" s="27" t="s">
        <v>8</v>
      </c>
      <c r="T690" s="27" t="s">
        <v>7</v>
      </c>
      <c r="U690" s="27" t="s">
        <v>8</v>
      </c>
      <c r="V690" s="27" t="s">
        <v>7</v>
      </c>
      <c r="Z690" s="27" t="s">
        <v>7</v>
      </c>
      <c r="AA690" s="27" t="s">
        <v>8</v>
      </c>
      <c r="AB690" s="27" t="s">
        <v>7</v>
      </c>
      <c r="AC690" s="27" t="s">
        <v>8</v>
      </c>
      <c r="AD690" s="27" t="s">
        <v>7</v>
      </c>
      <c r="AE690" s="27" t="s">
        <v>8</v>
      </c>
      <c r="AF690" s="27" t="s">
        <v>7</v>
      </c>
      <c r="AG690" s="27" t="s">
        <v>8</v>
      </c>
      <c r="AH690" s="27" t="s">
        <v>7</v>
      </c>
      <c r="AI690" s="27" t="s">
        <v>8</v>
      </c>
      <c r="AJ690" s="27" t="s">
        <v>7</v>
      </c>
      <c r="AK690" s="27" t="s">
        <v>8</v>
      </c>
      <c r="AL690" s="27" t="s">
        <v>7</v>
      </c>
      <c r="AM690" s="27" t="s">
        <v>8</v>
      </c>
      <c r="AN690" s="27" t="s">
        <v>7</v>
      </c>
      <c r="AO690" s="27" t="s">
        <v>8</v>
      </c>
      <c r="BV690" s="27" t="s">
        <v>7</v>
      </c>
      <c r="BZ690" s="27" t="s">
        <v>7</v>
      </c>
      <c r="CA690" s="27" t="s">
        <v>8</v>
      </c>
      <c r="CB690" s="27" t="s">
        <v>7</v>
      </c>
      <c r="DE690" s="27" t="s">
        <v>8</v>
      </c>
      <c r="DF690" s="27" t="s">
        <v>7</v>
      </c>
    </row>
    <row r="691" spans="1:110" x14ac:dyDescent="0.25">
      <c r="A691" s="7">
        <v>0.12752112538650529</v>
      </c>
      <c r="B691"/>
      <c r="C691"/>
      <c r="D691"/>
      <c r="E691"/>
      <c r="P691" s="27" t="s">
        <v>7</v>
      </c>
      <c r="Q691" s="27" t="s">
        <v>8</v>
      </c>
      <c r="R691" s="27" t="s">
        <v>7</v>
      </c>
      <c r="S691" s="27" t="s">
        <v>8</v>
      </c>
      <c r="T691" s="27" t="s">
        <v>7</v>
      </c>
      <c r="U691" s="27" t="s">
        <v>8</v>
      </c>
      <c r="Z691" s="27" t="s">
        <v>7</v>
      </c>
      <c r="AA691" s="27" t="s">
        <v>8</v>
      </c>
      <c r="AB691" s="27" t="s">
        <v>7</v>
      </c>
      <c r="AC691" s="27" t="s">
        <v>8</v>
      </c>
      <c r="AD691" s="27" t="s">
        <v>7</v>
      </c>
      <c r="AE691" s="27" t="s">
        <v>8</v>
      </c>
      <c r="AF691" s="27" t="s">
        <v>7</v>
      </c>
      <c r="AG691" s="27" t="s">
        <v>8</v>
      </c>
      <c r="AH691" s="27" t="s">
        <v>7</v>
      </c>
      <c r="AI691" s="27" t="s">
        <v>8</v>
      </c>
      <c r="AJ691" s="27" t="s">
        <v>7</v>
      </c>
      <c r="AK691" s="27" t="s">
        <v>8</v>
      </c>
      <c r="AL691" s="27" t="s">
        <v>7</v>
      </c>
      <c r="AM691" s="27" t="s">
        <v>8</v>
      </c>
      <c r="AN691" s="27" t="s">
        <v>7</v>
      </c>
      <c r="BZ691" s="27" t="s">
        <v>7</v>
      </c>
      <c r="CA691" s="27" t="s">
        <v>8</v>
      </c>
      <c r="CB691" s="27" t="s">
        <v>7</v>
      </c>
      <c r="DE691" s="27" t="s">
        <v>8</v>
      </c>
      <c r="DF691" s="27" t="s">
        <v>7</v>
      </c>
    </row>
    <row r="692" spans="1:110" x14ac:dyDescent="0.25">
      <c r="A692" s="7">
        <v>0.12502071116324048</v>
      </c>
      <c r="B692"/>
      <c r="C692"/>
      <c r="D692"/>
      <c r="E692"/>
      <c r="P692" s="27" t="s">
        <v>7</v>
      </c>
      <c r="Q692" s="27" t="s">
        <v>8</v>
      </c>
      <c r="R692" s="27" t="s">
        <v>7</v>
      </c>
      <c r="S692" s="27" t="s">
        <v>8</v>
      </c>
      <c r="T692" s="27" t="s">
        <v>7</v>
      </c>
      <c r="Z692" s="27" t="s">
        <v>7</v>
      </c>
      <c r="AB692" s="27" t="s">
        <v>7</v>
      </c>
      <c r="AC692" s="27" t="s">
        <v>8</v>
      </c>
      <c r="AD692" s="27" t="s">
        <v>7</v>
      </c>
      <c r="AE692" s="27" t="s">
        <v>8</v>
      </c>
      <c r="AF692" s="27" t="s">
        <v>7</v>
      </c>
      <c r="AG692" s="27" t="s">
        <v>8</v>
      </c>
      <c r="AH692" s="27" t="s">
        <v>7</v>
      </c>
      <c r="AI692" s="27" t="s">
        <v>8</v>
      </c>
      <c r="AJ692" s="27" t="s">
        <v>7</v>
      </c>
      <c r="AK692" s="27" t="s">
        <v>8</v>
      </c>
      <c r="AL692" s="27" t="s">
        <v>7</v>
      </c>
      <c r="AM692" s="27" t="s">
        <v>8</v>
      </c>
      <c r="BZ692" s="27" t="s">
        <v>7</v>
      </c>
      <c r="CA692" s="27" t="s">
        <v>8</v>
      </c>
      <c r="CB692" s="27" t="s">
        <v>7</v>
      </c>
      <c r="DE692" s="27" t="s">
        <v>8</v>
      </c>
      <c r="DF692" s="27" t="s">
        <v>7</v>
      </c>
    </row>
    <row r="693" spans="1:110" x14ac:dyDescent="0.25">
      <c r="A693" s="7">
        <v>0.1225693246698436</v>
      </c>
      <c r="B693"/>
      <c r="C693"/>
      <c r="D693"/>
      <c r="E693"/>
      <c r="P693" s="27" t="s">
        <v>7</v>
      </c>
      <c r="Q693" s="27" t="s">
        <v>8</v>
      </c>
      <c r="R693" s="27" t="s">
        <v>7</v>
      </c>
      <c r="S693" s="27" t="s">
        <v>8</v>
      </c>
      <c r="AB693" s="27" t="s">
        <v>7</v>
      </c>
      <c r="AC693" s="27" t="s">
        <v>8</v>
      </c>
      <c r="AD693" s="27" t="s">
        <v>7</v>
      </c>
      <c r="AE693" s="27" t="s">
        <v>8</v>
      </c>
      <c r="AF693" s="27" t="s">
        <v>7</v>
      </c>
      <c r="AH693" s="27" t="s">
        <v>7</v>
      </c>
      <c r="AJ693" s="27" t="s">
        <v>7</v>
      </c>
      <c r="AK693" s="27" t="s">
        <v>8</v>
      </c>
      <c r="AL693" s="27" t="s">
        <v>7</v>
      </c>
      <c r="AM693" s="27" t="s">
        <v>8</v>
      </c>
      <c r="BZ693" s="27" t="s">
        <v>7</v>
      </c>
      <c r="CA693" s="27" t="s">
        <v>8</v>
      </c>
      <c r="CB693" s="27" t="s">
        <v>7</v>
      </c>
      <c r="DE693" s="27" t="s">
        <v>8</v>
      </c>
      <c r="DF693" s="27" t="s">
        <v>7</v>
      </c>
    </row>
    <row r="694" spans="1:110" x14ac:dyDescent="0.25">
      <c r="A694" s="7">
        <v>0.12016600457827803</v>
      </c>
      <c r="B694"/>
      <c r="C694"/>
      <c r="D694"/>
      <c r="E694"/>
      <c r="P694" s="27" t="s">
        <v>7</v>
      </c>
      <c r="R694" s="27" t="s">
        <v>7</v>
      </c>
      <c r="S694" s="27" t="s">
        <v>8</v>
      </c>
      <c r="AB694" s="27" t="s">
        <v>7</v>
      </c>
      <c r="AC694" s="27" t="s">
        <v>8</v>
      </c>
      <c r="AD694" s="27" t="s">
        <v>7</v>
      </c>
      <c r="AJ694" s="27" t="s">
        <v>7</v>
      </c>
      <c r="AK694" s="27" t="s">
        <v>8</v>
      </c>
      <c r="AL694" s="27" t="s">
        <v>7</v>
      </c>
      <c r="BZ694" s="27" t="s">
        <v>7</v>
      </c>
      <c r="CA694" s="27" t="s">
        <v>8</v>
      </c>
      <c r="CB694" s="27" t="s">
        <v>7</v>
      </c>
      <c r="DE694" s="27" t="s">
        <v>8</v>
      </c>
      <c r="DF694" s="27" t="s">
        <v>7</v>
      </c>
    </row>
    <row r="695" spans="1:110" x14ac:dyDescent="0.25">
      <c r="A695" s="7">
        <v>0.1178098084100765</v>
      </c>
      <c r="B695"/>
      <c r="C695"/>
      <c r="D695"/>
      <c r="E695"/>
      <c r="R695" s="27" t="s">
        <v>7</v>
      </c>
      <c r="S695" s="27" t="s">
        <v>8</v>
      </c>
      <c r="AB695" s="27" t="s">
        <v>7</v>
      </c>
      <c r="AC695" s="27" t="s">
        <v>8</v>
      </c>
      <c r="AJ695" s="27" t="s">
        <v>7</v>
      </c>
      <c r="AK695" s="27" t="s">
        <v>8</v>
      </c>
      <c r="BZ695" s="27" t="s">
        <v>7</v>
      </c>
      <c r="CA695" s="27" t="s">
        <v>8</v>
      </c>
      <c r="CB695" s="27" t="s">
        <v>7</v>
      </c>
      <c r="DE695" s="27" t="s">
        <v>8</v>
      </c>
      <c r="DF695" s="27" t="s">
        <v>7</v>
      </c>
    </row>
    <row r="696" spans="1:110" x14ac:dyDescent="0.25">
      <c r="A696" s="7">
        <v>0.11549981216674166</v>
      </c>
      <c r="B696"/>
      <c r="C696"/>
      <c r="D696"/>
      <c r="E696"/>
      <c r="R696" s="27" t="s">
        <v>7</v>
      </c>
      <c r="S696" s="27" t="s">
        <v>8</v>
      </c>
      <c r="AB696" s="27" t="s">
        <v>7</v>
      </c>
      <c r="AC696" s="27" t="s">
        <v>8</v>
      </c>
      <c r="AJ696" s="27" t="s">
        <v>7</v>
      </c>
      <c r="AK696" s="27" t="s">
        <v>8</v>
      </c>
      <c r="BZ696" s="27" t="s">
        <v>7</v>
      </c>
      <c r="CA696" s="27" t="s">
        <v>8</v>
      </c>
      <c r="CB696" s="27" t="s">
        <v>7</v>
      </c>
      <c r="DE696" s="27" t="s">
        <v>8</v>
      </c>
      <c r="DF696" s="27" t="s">
        <v>7</v>
      </c>
    </row>
    <row r="697" spans="1:110" x14ac:dyDescent="0.25">
      <c r="A697" s="7">
        <v>0.11323510996739378</v>
      </c>
      <c r="B697"/>
      <c r="C697"/>
      <c r="D697"/>
      <c r="E697"/>
      <c r="R697" s="27" t="s">
        <v>7</v>
      </c>
      <c r="S697" s="27" t="s">
        <v>8</v>
      </c>
      <c r="AB697" s="27" t="s">
        <v>7</v>
      </c>
      <c r="AC697" s="27" t="s">
        <v>8</v>
      </c>
      <c r="AJ697" s="27" t="s">
        <v>7</v>
      </c>
      <c r="AK697" s="27" t="s">
        <v>8</v>
      </c>
      <c r="BZ697" s="27" t="s">
        <v>7</v>
      </c>
      <c r="CA697" s="27" t="s">
        <v>8</v>
      </c>
      <c r="CB697" s="27" t="s">
        <v>7</v>
      </c>
      <c r="DE697" s="27" t="s">
        <v>8</v>
      </c>
      <c r="DF697" s="27" t="s">
        <v>7</v>
      </c>
    </row>
    <row r="698" spans="1:110" x14ac:dyDescent="0.25">
      <c r="A698" s="7">
        <v>0.11101481369352331</v>
      </c>
      <c r="B698"/>
      <c r="C698"/>
      <c r="D698"/>
      <c r="E698"/>
      <c r="R698" s="27" t="s">
        <v>7</v>
      </c>
      <c r="S698" s="27" t="s">
        <v>8</v>
      </c>
      <c r="AB698" s="27" t="s">
        <v>7</v>
      </c>
      <c r="AC698" s="27" t="s">
        <v>8</v>
      </c>
      <c r="AJ698" s="27" t="s">
        <v>7</v>
      </c>
      <c r="AK698" s="27" t="s">
        <v>8</v>
      </c>
      <c r="BZ698" s="27" t="s">
        <v>7</v>
      </c>
      <c r="CA698" s="27" t="s">
        <v>8</v>
      </c>
      <c r="CB698" s="27" t="s">
        <v>7</v>
      </c>
      <c r="DE698" s="27" t="s">
        <v>8</v>
      </c>
      <c r="DF698" s="27" t="s">
        <v>7</v>
      </c>
    </row>
    <row r="699" spans="1:110" x14ac:dyDescent="0.25">
      <c r="A699" s="7">
        <v>0.10883805264070913</v>
      </c>
      <c r="B699"/>
      <c r="C699"/>
      <c r="D699"/>
      <c r="E699"/>
      <c r="R699" s="27" t="s">
        <v>7</v>
      </c>
      <c r="S699" s="27" t="s">
        <v>8</v>
      </c>
      <c r="AB699" s="27" t="s">
        <v>7</v>
      </c>
      <c r="AC699" s="27" t="s">
        <v>8</v>
      </c>
      <c r="AJ699" s="27" t="s">
        <v>7</v>
      </c>
      <c r="AK699" s="27" t="s">
        <v>8</v>
      </c>
      <c r="BZ699" s="27" t="s">
        <v>7</v>
      </c>
      <c r="CB699" s="27" t="s">
        <v>7</v>
      </c>
      <c r="DE699" s="27" t="s">
        <v>8</v>
      </c>
      <c r="DF699" s="27" t="s">
        <v>7</v>
      </c>
    </row>
    <row r="700" spans="1:110" x14ac:dyDescent="0.25">
      <c r="A700" s="7">
        <v>0.10670397317716582</v>
      </c>
      <c r="B700"/>
      <c r="C700"/>
      <c r="D700"/>
      <c r="E700"/>
      <c r="R700" s="27" t="s">
        <v>7</v>
      </c>
      <c r="S700" s="27" t="s">
        <v>8</v>
      </c>
      <c r="AB700" s="27" t="s">
        <v>7</v>
      </c>
      <c r="AC700" s="27" t="s">
        <v>8</v>
      </c>
      <c r="AJ700" s="27" t="s">
        <v>7</v>
      </c>
      <c r="CB700" s="27" t="s">
        <v>7</v>
      </c>
      <c r="CC700" s="27" t="s">
        <v>8</v>
      </c>
      <c r="DE700" s="27" t="s">
        <v>8</v>
      </c>
      <c r="DF700" s="27" t="s">
        <v>7</v>
      </c>
    </row>
    <row r="701" spans="1:110" x14ac:dyDescent="0.25">
      <c r="A701" s="7">
        <v>0.1046117384089861</v>
      </c>
      <c r="B701"/>
      <c r="C701"/>
      <c r="D701"/>
      <c r="E701"/>
      <c r="R701" s="27" t="s">
        <v>7</v>
      </c>
      <c r="S701" s="27" t="s">
        <v>8</v>
      </c>
      <c r="AB701" s="27" t="s">
        <v>7</v>
      </c>
      <c r="AC701" s="27" t="s">
        <v>8</v>
      </c>
      <c r="CB701" s="27" t="s">
        <v>7</v>
      </c>
      <c r="CC701" s="27" t="s">
        <v>8</v>
      </c>
      <c r="CD701" s="27" t="s">
        <v>7</v>
      </c>
      <c r="DE701" s="27" t="s">
        <v>8</v>
      </c>
      <c r="DF701" s="27" t="s">
        <v>7</v>
      </c>
    </row>
    <row r="702" spans="1:110" x14ac:dyDescent="0.25">
      <c r="A702" s="7">
        <v>0.10256052785194716</v>
      </c>
      <c r="B702"/>
      <c r="C702"/>
      <c r="D702"/>
      <c r="E702"/>
      <c r="R702" s="27" t="s">
        <v>7</v>
      </c>
      <c r="S702" s="27" t="s">
        <v>8</v>
      </c>
      <c r="AB702" s="27" t="s">
        <v>7</v>
      </c>
      <c r="AC702" s="27" t="s">
        <v>8</v>
      </c>
      <c r="CB702" s="27" t="s">
        <v>7</v>
      </c>
      <c r="CC702" s="27" t="s">
        <v>8</v>
      </c>
      <c r="CD702" s="27" t="s">
        <v>7</v>
      </c>
      <c r="CQ702" s="27" t="s">
        <v>8</v>
      </c>
      <c r="DE702" s="27" t="s">
        <v>8</v>
      </c>
      <c r="DF702" s="27" t="s">
        <v>7</v>
      </c>
    </row>
    <row r="703" spans="1:110" x14ac:dyDescent="0.25">
      <c r="A703" s="7">
        <v>0.10054953710975212</v>
      </c>
      <c r="B703"/>
      <c r="C703"/>
      <c r="D703"/>
      <c r="E703"/>
      <c r="R703" s="27" t="s">
        <v>7</v>
      </c>
      <c r="S703" s="27" t="s">
        <v>8</v>
      </c>
      <c r="AB703" s="27" t="s">
        <v>7</v>
      </c>
      <c r="AC703" s="27" t="s">
        <v>8</v>
      </c>
      <c r="CB703" s="27" t="s">
        <v>7</v>
      </c>
      <c r="CC703" s="27" t="s">
        <v>8</v>
      </c>
      <c r="CD703" s="27" t="s">
        <v>7</v>
      </c>
      <c r="CQ703" s="27" t="s">
        <v>8</v>
      </c>
      <c r="CR703" s="27" t="s">
        <v>7</v>
      </c>
      <c r="DE703" s="27" t="s">
        <v>8</v>
      </c>
      <c r="DF703" s="27" t="s">
        <v>7</v>
      </c>
    </row>
    <row r="704" spans="1:110" x14ac:dyDescent="0.25">
      <c r="A704" s="7">
        <v>9.8577977558580512E-2</v>
      </c>
      <c r="B704"/>
      <c r="C704"/>
      <c r="D704"/>
      <c r="E704"/>
      <c r="R704" s="27" t="s">
        <v>7</v>
      </c>
      <c r="S704" s="27" t="s">
        <v>8</v>
      </c>
      <c r="AB704" s="27" t="s">
        <v>7</v>
      </c>
      <c r="CB704" s="27" t="s">
        <v>7</v>
      </c>
      <c r="CC704" s="27" t="s">
        <v>8</v>
      </c>
      <c r="CD704" s="27" t="s">
        <v>7</v>
      </c>
      <c r="CG704" s="27" t="s">
        <v>8</v>
      </c>
      <c r="CQ704" s="27" t="s">
        <v>8</v>
      </c>
      <c r="CR704" s="27" t="s">
        <v>7</v>
      </c>
      <c r="DE704" s="27" t="s">
        <v>8</v>
      </c>
      <c r="DF704" s="27" t="s">
        <v>7</v>
      </c>
    </row>
    <row r="705" spans="1:117" x14ac:dyDescent="0.25">
      <c r="A705" s="7">
        <v>9.6645076037824032E-2</v>
      </c>
      <c r="B705"/>
      <c r="C705"/>
      <c r="D705"/>
      <c r="E705"/>
      <c r="R705" s="27" t="s">
        <v>7</v>
      </c>
      <c r="S705" s="27" t="s">
        <v>8</v>
      </c>
      <c r="CB705" s="27" t="s">
        <v>7</v>
      </c>
      <c r="CC705" s="27" t="s">
        <v>8</v>
      </c>
      <c r="CD705" s="27" t="s">
        <v>7</v>
      </c>
      <c r="CG705" s="27" t="s">
        <v>8</v>
      </c>
      <c r="CH705" s="27" t="s">
        <v>7</v>
      </c>
      <c r="CQ705" s="27" t="s">
        <v>8</v>
      </c>
      <c r="CR705" s="27" t="s">
        <v>7</v>
      </c>
      <c r="DE705" s="27" t="s">
        <v>8</v>
      </c>
      <c r="DF705" s="27" t="s">
        <v>7</v>
      </c>
    </row>
    <row r="706" spans="1:117" x14ac:dyDescent="0.25">
      <c r="A706" s="7">
        <v>9.4750074546886304E-2</v>
      </c>
      <c r="B706"/>
      <c r="C706"/>
      <c r="D706"/>
      <c r="E706"/>
      <c r="R706" s="27" t="s">
        <v>7</v>
      </c>
      <c r="S706" s="27" t="s">
        <v>8</v>
      </c>
      <c r="CB706" s="27" t="s">
        <v>7</v>
      </c>
      <c r="CC706" s="27" t="s">
        <v>8</v>
      </c>
      <c r="CD706" s="27" t="s">
        <v>7</v>
      </c>
      <c r="CG706" s="27" t="s">
        <v>8</v>
      </c>
      <c r="CH706" s="27" t="s">
        <v>7</v>
      </c>
      <c r="CQ706" s="27" t="s">
        <v>8</v>
      </c>
      <c r="CR706" s="27" t="s">
        <v>7</v>
      </c>
      <c r="DE706" s="27" t="s">
        <v>8</v>
      </c>
      <c r="DF706" s="27" t="s">
        <v>7</v>
      </c>
    </row>
    <row r="707" spans="1:117" x14ac:dyDescent="0.25">
      <c r="A707" s="7">
        <v>9.2892229947927743E-2</v>
      </c>
      <c r="B707"/>
      <c r="C707"/>
      <c r="D707"/>
      <c r="E707"/>
      <c r="R707" s="27" t="s">
        <v>7</v>
      </c>
      <c r="S707" s="27" t="s">
        <v>8</v>
      </c>
      <c r="CB707" s="27" t="s">
        <v>7</v>
      </c>
      <c r="CC707" s="27" t="s">
        <v>8</v>
      </c>
      <c r="CD707" s="27" t="s">
        <v>7</v>
      </c>
      <c r="CE707" s="27" t="s">
        <v>8</v>
      </c>
      <c r="CG707" s="27" t="s">
        <v>8</v>
      </c>
      <c r="CH707" s="27" t="s">
        <v>7</v>
      </c>
      <c r="CK707" s="27" t="s">
        <v>8</v>
      </c>
      <c r="CQ707" s="27" t="s">
        <v>8</v>
      </c>
      <c r="CR707" s="27" t="s">
        <v>7</v>
      </c>
      <c r="CS707" s="27" t="s">
        <v>8</v>
      </c>
      <c r="DE707" s="27" t="s">
        <v>8</v>
      </c>
      <c r="DF707" s="27" t="s">
        <v>7</v>
      </c>
    </row>
    <row r="708" spans="1:117" x14ac:dyDescent="0.25">
      <c r="A708" s="7">
        <v>9.1070813674438963E-2</v>
      </c>
      <c r="B708"/>
      <c r="C708"/>
      <c r="D708"/>
      <c r="E708"/>
      <c r="R708" s="27" t="s">
        <v>7</v>
      </c>
      <c r="S708" s="27" t="s">
        <v>8</v>
      </c>
      <c r="CB708" s="27" t="s">
        <v>7</v>
      </c>
      <c r="CC708" s="27" t="s">
        <v>8</v>
      </c>
      <c r="CD708" s="27" t="s">
        <v>7</v>
      </c>
      <c r="CE708" s="27" t="s">
        <v>8</v>
      </c>
      <c r="CF708" s="27" t="s">
        <v>7</v>
      </c>
      <c r="CG708" s="27" t="s">
        <v>8</v>
      </c>
      <c r="CH708" s="27" t="s">
        <v>7</v>
      </c>
      <c r="CK708" s="27" t="s">
        <v>8</v>
      </c>
      <c r="CL708" s="27" t="s">
        <v>7</v>
      </c>
      <c r="CQ708" s="27" t="s">
        <v>8</v>
      </c>
      <c r="CR708" s="27" t="s">
        <v>7</v>
      </c>
      <c r="CS708" s="27" t="s">
        <v>8</v>
      </c>
      <c r="CT708" s="27" t="s">
        <v>7</v>
      </c>
      <c r="DE708" s="27" t="s">
        <v>8</v>
      </c>
      <c r="DF708" s="27" t="s">
        <v>7</v>
      </c>
    </row>
    <row r="709" spans="1:117" x14ac:dyDescent="0.25">
      <c r="A709" s="7">
        <v>8.9285111445528392E-2</v>
      </c>
      <c r="B709"/>
      <c r="C709"/>
      <c r="D709"/>
      <c r="E709"/>
      <c r="R709" s="27" t="s">
        <v>7</v>
      </c>
      <c r="S709" s="27" t="s">
        <v>8</v>
      </c>
      <c r="CB709" s="27" t="s">
        <v>7</v>
      </c>
      <c r="CC709" s="27" t="s">
        <v>8</v>
      </c>
      <c r="CD709" s="27" t="s">
        <v>7</v>
      </c>
      <c r="CE709" s="27" t="s">
        <v>8</v>
      </c>
      <c r="CF709" s="27" t="s">
        <v>7</v>
      </c>
      <c r="CG709" s="27" t="s">
        <v>8</v>
      </c>
      <c r="CH709" s="27" t="s">
        <v>7</v>
      </c>
      <c r="CK709" s="27" t="s">
        <v>8</v>
      </c>
      <c r="CL709" s="27" t="s">
        <v>7</v>
      </c>
      <c r="CQ709" s="27" t="s">
        <v>8</v>
      </c>
      <c r="CR709" s="27" t="s">
        <v>7</v>
      </c>
      <c r="CS709" s="27" t="s">
        <v>8</v>
      </c>
      <c r="CT709" s="27" t="s">
        <v>7</v>
      </c>
      <c r="DE709" s="27" t="s">
        <v>8</v>
      </c>
      <c r="DF709" s="27" t="s">
        <v>7</v>
      </c>
    </row>
    <row r="710" spans="1:117" x14ac:dyDescent="0.25">
      <c r="A710" s="7">
        <v>8.7534422985812155E-2</v>
      </c>
      <c r="B710"/>
      <c r="C710"/>
      <c r="D710"/>
      <c r="E710"/>
      <c r="R710" s="27" t="s">
        <v>7</v>
      </c>
      <c r="S710" s="27" t="s">
        <v>8</v>
      </c>
      <c r="CB710" s="27" t="s">
        <v>7</v>
      </c>
      <c r="CC710" s="27" t="s">
        <v>8</v>
      </c>
      <c r="CD710" s="27" t="s">
        <v>7</v>
      </c>
      <c r="CE710" s="27" t="s">
        <v>8</v>
      </c>
      <c r="CF710" s="27" t="s">
        <v>7</v>
      </c>
      <c r="CG710" s="27" t="s">
        <v>8</v>
      </c>
      <c r="CH710" s="27" t="s">
        <v>7</v>
      </c>
      <c r="CK710" s="27" t="s">
        <v>8</v>
      </c>
      <c r="CL710" s="27" t="s">
        <v>7</v>
      </c>
      <c r="CQ710" s="27" t="s">
        <v>8</v>
      </c>
      <c r="CR710" s="27" t="s">
        <v>7</v>
      </c>
      <c r="CS710" s="27" t="s">
        <v>8</v>
      </c>
      <c r="CT710" s="27" t="s">
        <v>7</v>
      </c>
      <c r="DE710" s="27" t="s">
        <v>8</v>
      </c>
      <c r="DF710" s="27" t="s">
        <v>7</v>
      </c>
    </row>
    <row r="711" spans="1:117" x14ac:dyDescent="0.25">
      <c r="A711" s="7">
        <v>8.5818061750796232E-2</v>
      </c>
      <c r="B711"/>
      <c r="C711"/>
      <c r="D711"/>
      <c r="E711"/>
      <c r="R711" s="27" t="s">
        <v>7</v>
      </c>
      <c r="S711" s="27" t="s">
        <v>8</v>
      </c>
      <c r="CB711" s="27" t="s">
        <v>7</v>
      </c>
      <c r="CC711" s="27" t="s">
        <v>8</v>
      </c>
      <c r="CD711" s="27" t="s">
        <v>7</v>
      </c>
      <c r="CE711" s="27" t="s">
        <v>8</v>
      </c>
      <c r="CF711" s="27" t="s">
        <v>7</v>
      </c>
      <c r="CG711" s="27" t="s">
        <v>8</v>
      </c>
      <c r="CH711" s="27" t="s">
        <v>7</v>
      </c>
      <c r="CI711" s="27" t="s">
        <v>8</v>
      </c>
      <c r="CK711" s="27" t="s">
        <v>8</v>
      </c>
      <c r="CL711" s="27" t="s">
        <v>7</v>
      </c>
      <c r="CQ711" s="27" t="s">
        <v>8</v>
      </c>
      <c r="CR711" s="27" t="s">
        <v>7</v>
      </c>
      <c r="CS711" s="27" t="s">
        <v>8</v>
      </c>
      <c r="CT711" s="27" t="s">
        <v>7</v>
      </c>
      <c r="DE711" s="27" t="s">
        <v>8</v>
      </c>
      <c r="DF711" s="27" t="s">
        <v>7</v>
      </c>
      <c r="DG711" s="27" t="s">
        <v>8</v>
      </c>
    </row>
    <row r="712" spans="1:117" x14ac:dyDescent="0.25">
      <c r="A712" s="7">
        <v>8.4135354657643366E-2</v>
      </c>
      <c r="B712"/>
      <c r="C712"/>
      <c r="D712"/>
      <c r="E712"/>
      <c r="R712" s="27" t="s">
        <v>7</v>
      </c>
      <c r="S712" s="27" t="s">
        <v>8</v>
      </c>
      <c r="CB712" s="27" t="s">
        <v>7</v>
      </c>
      <c r="CC712" s="27" t="s">
        <v>8</v>
      </c>
      <c r="CD712" s="27" t="s">
        <v>7</v>
      </c>
      <c r="CF712" s="27" t="s">
        <v>7</v>
      </c>
      <c r="CG712" s="27" t="s">
        <v>8</v>
      </c>
      <c r="CH712" s="27" t="s">
        <v>7</v>
      </c>
      <c r="CI712" s="27" t="s">
        <v>8</v>
      </c>
      <c r="CJ712" s="27" t="s">
        <v>7</v>
      </c>
      <c r="CK712" s="27" t="s">
        <v>8</v>
      </c>
      <c r="CL712" s="27" t="s">
        <v>7</v>
      </c>
      <c r="CQ712" s="27" t="s">
        <v>8</v>
      </c>
      <c r="CR712" s="27" t="s">
        <v>7</v>
      </c>
      <c r="CS712" s="27" t="s">
        <v>8</v>
      </c>
      <c r="CT712" s="27" t="s">
        <v>7</v>
      </c>
      <c r="CW712" s="27" t="s">
        <v>8</v>
      </c>
      <c r="DE712" s="27" t="s">
        <v>8</v>
      </c>
      <c r="DF712" s="27" t="s">
        <v>7</v>
      </c>
      <c r="DG712" s="27" t="s">
        <v>8</v>
      </c>
      <c r="DH712" s="27" t="s">
        <v>7</v>
      </c>
    </row>
    <row r="713" spans="1:117" x14ac:dyDescent="0.25">
      <c r="A713" s="7">
        <v>8.248564182121898E-2</v>
      </c>
      <c r="B713"/>
      <c r="C713"/>
      <c r="D713"/>
      <c r="E713"/>
      <c r="R713" s="27" t="s">
        <v>7</v>
      </c>
      <c r="S713" s="27" t="s">
        <v>8</v>
      </c>
      <c r="CB713" s="27" t="s">
        <v>7</v>
      </c>
      <c r="CC713" s="27" t="s">
        <v>8</v>
      </c>
      <c r="CF713" s="27" t="s">
        <v>7</v>
      </c>
      <c r="CG713" s="27" t="s">
        <v>8</v>
      </c>
      <c r="CH713" s="27" t="s">
        <v>7</v>
      </c>
      <c r="CI713" s="27" t="s">
        <v>8</v>
      </c>
      <c r="CJ713" s="27" t="s">
        <v>7</v>
      </c>
      <c r="CK713" s="27" t="s">
        <v>8</v>
      </c>
      <c r="CL713" s="27" t="s">
        <v>7</v>
      </c>
      <c r="CQ713" s="27" t="s">
        <v>8</v>
      </c>
      <c r="CR713" s="27" t="s">
        <v>7</v>
      </c>
      <c r="CS713" s="27" t="s">
        <v>8</v>
      </c>
      <c r="CT713" s="27" t="s">
        <v>7</v>
      </c>
      <c r="CW713" s="27" t="s">
        <v>8</v>
      </c>
      <c r="CX713" s="27" t="s">
        <v>7</v>
      </c>
      <c r="DC713" s="27" t="s">
        <v>8</v>
      </c>
      <c r="DE713" s="27" t="s">
        <v>8</v>
      </c>
      <c r="DF713" s="27" t="s">
        <v>7</v>
      </c>
      <c r="DG713" s="27" t="s">
        <v>8</v>
      </c>
      <c r="DH713" s="27" t="s">
        <v>7</v>
      </c>
      <c r="DI713" s="27" t="s">
        <v>8</v>
      </c>
    </row>
    <row r="714" spans="1:117" x14ac:dyDescent="0.25">
      <c r="A714" s="7">
        <v>8.0868276295312735E-2</v>
      </c>
      <c r="B714"/>
      <c r="C714"/>
      <c r="D714"/>
      <c r="E714"/>
      <c r="R714" s="27" t="s">
        <v>7</v>
      </c>
      <c r="S714" s="27" t="s">
        <v>8</v>
      </c>
      <c r="CB714" s="27" t="s">
        <v>7</v>
      </c>
      <c r="CF714" s="27" t="s">
        <v>7</v>
      </c>
      <c r="CG714" s="27" t="s">
        <v>8</v>
      </c>
      <c r="CH714" s="27" t="s">
        <v>7</v>
      </c>
      <c r="CJ714" s="27" t="s">
        <v>7</v>
      </c>
      <c r="CK714" s="27" t="s">
        <v>8</v>
      </c>
      <c r="CL714" s="27" t="s">
        <v>7</v>
      </c>
      <c r="CQ714" s="27" t="s">
        <v>8</v>
      </c>
      <c r="CR714" s="27" t="s">
        <v>7</v>
      </c>
      <c r="CS714" s="27" t="s">
        <v>8</v>
      </c>
      <c r="CT714" s="27" t="s">
        <v>7</v>
      </c>
      <c r="CW714" s="27" t="s">
        <v>8</v>
      </c>
      <c r="CX714" s="27" t="s">
        <v>7</v>
      </c>
      <c r="DC714" s="27" t="s">
        <v>8</v>
      </c>
      <c r="DD714" s="27" t="s">
        <v>7</v>
      </c>
      <c r="DE714" s="27" t="s">
        <v>8</v>
      </c>
      <c r="DF714" s="27" t="s">
        <v>7</v>
      </c>
      <c r="DG714" s="27" t="s">
        <v>8</v>
      </c>
      <c r="DH714" s="27" t="s">
        <v>7</v>
      </c>
      <c r="DI714" s="27" t="s">
        <v>8</v>
      </c>
      <c r="DJ714" s="27" t="s">
        <v>7</v>
      </c>
    </row>
    <row r="715" spans="1:117" x14ac:dyDescent="0.25">
      <c r="A715" s="7">
        <v>7.9282623818934056E-2</v>
      </c>
      <c r="B715"/>
      <c r="C715"/>
      <c r="D715"/>
      <c r="E715"/>
      <c r="R715" s="27" t="s">
        <v>7</v>
      </c>
      <c r="S715" s="27" t="s">
        <v>8</v>
      </c>
      <c r="CF715" s="27" t="s">
        <v>7</v>
      </c>
      <c r="CG715" s="27" t="s">
        <v>8</v>
      </c>
      <c r="CJ715" s="27" t="s">
        <v>7</v>
      </c>
      <c r="CK715" s="27" t="s">
        <v>8</v>
      </c>
      <c r="CL715" s="27" t="s">
        <v>7</v>
      </c>
      <c r="CQ715" s="27" t="s">
        <v>8</v>
      </c>
      <c r="CR715" s="27" t="s">
        <v>7</v>
      </c>
      <c r="CS715" s="27" t="s">
        <v>8</v>
      </c>
      <c r="CT715" s="27" t="s">
        <v>7</v>
      </c>
      <c r="CW715" s="27" t="s">
        <v>8</v>
      </c>
      <c r="CX715" s="27" t="s">
        <v>7</v>
      </c>
      <c r="DC715" s="27" t="s">
        <v>8</v>
      </c>
      <c r="DD715" s="27" t="s">
        <v>7</v>
      </c>
      <c r="DE715" s="27" t="s">
        <v>8</v>
      </c>
      <c r="DF715" s="27" t="s">
        <v>7</v>
      </c>
      <c r="DG715" s="27" t="s">
        <v>8</v>
      </c>
      <c r="DH715" s="27" t="s">
        <v>7</v>
      </c>
      <c r="DI715" s="27" t="s">
        <v>8</v>
      </c>
      <c r="DJ715" s="27" t="s">
        <v>7</v>
      </c>
    </row>
    <row r="716" spans="1:117" x14ac:dyDescent="0.25">
      <c r="A716" s="7">
        <v>7.7728062567582412E-2</v>
      </c>
      <c r="B716"/>
      <c r="C716"/>
      <c r="D716"/>
      <c r="E716"/>
      <c r="R716" s="27" t="s">
        <v>7</v>
      </c>
      <c r="S716" s="27" t="s">
        <v>8</v>
      </c>
      <c r="CF716" s="27" t="s">
        <v>7</v>
      </c>
      <c r="CJ716" s="27" t="s">
        <v>7</v>
      </c>
      <c r="CK716" s="27" t="s">
        <v>8</v>
      </c>
      <c r="CL716" s="27" t="s">
        <v>7</v>
      </c>
      <c r="CQ716" s="27" t="s">
        <v>8</v>
      </c>
      <c r="CR716" s="27" t="s">
        <v>7</v>
      </c>
      <c r="CT716" s="27" t="s">
        <v>7</v>
      </c>
      <c r="CU716" s="27" t="s">
        <v>8</v>
      </c>
      <c r="CW716" s="27" t="s">
        <v>8</v>
      </c>
      <c r="CX716" s="27" t="s">
        <v>7</v>
      </c>
      <c r="DC716" s="27" t="s">
        <v>8</v>
      </c>
      <c r="DD716" s="27" t="s">
        <v>7</v>
      </c>
      <c r="DE716" s="27" t="s">
        <v>8</v>
      </c>
      <c r="DF716" s="27" t="s">
        <v>7</v>
      </c>
      <c r="DG716" s="27" t="s">
        <v>8</v>
      </c>
      <c r="DH716" s="27" t="s">
        <v>7</v>
      </c>
      <c r="DI716" s="27" t="s">
        <v>8</v>
      </c>
      <c r="DJ716" s="27" t="s">
        <v>7</v>
      </c>
      <c r="DK716" s="27" t="s">
        <v>8</v>
      </c>
    </row>
    <row r="717" spans="1:117" x14ac:dyDescent="0.25">
      <c r="A717" s="7">
        <v>7.6203982909394521E-2</v>
      </c>
      <c r="B717"/>
      <c r="C717"/>
      <c r="D717"/>
      <c r="E717"/>
      <c r="R717" s="27" t="s">
        <v>7</v>
      </c>
      <c r="S717" s="27" t="s">
        <v>8</v>
      </c>
      <c r="CJ717" s="27" t="s">
        <v>7</v>
      </c>
      <c r="CK717" s="27" t="s">
        <v>8</v>
      </c>
      <c r="CL717" s="27" t="s">
        <v>7</v>
      </c>
      <c r="CQ717" s="27" t="s">
        <v>8</v>
      </c>
      <c r="CT717" s="27" t="s">
        <v>7</v>
      </c>
      <c r="CU717" s="27" t="s">
        <v>8</v>
      </c>
      <c r="CV717" s="27" t="s">
        <v>7</v>
      </c>
      <c r="CW717" s="27" t="s">
        <v>8</v>
      </c>
      <c r="CX717" s="27" t="s">
        <v>7</v>
      </c>
      <c r="DC717" s="27" t="s">
        <v>8</v>
      </c>
      <c r="DD717" s="27" t="s">
        <v>7</v>
      </c>
      <c r="DE717" s="27" t="s">
        <v>8</v>
      </c>
      <c r="DF717" s="27" t="s">
        <v>7</v>
      </c>
      <c r="DH717" s="27" t="s">
        <v>7</v>
      </c>
      <c r="DI717" s="27" t="s">
        <v>8</v>
      </c>
      <c r="DJ717" s="27" t="s">
        <v>7</v>
      </c>
      <c r="DK717" s="27" t="s">
        <v>8</v>
      </c>
      <c r="DL717" s="27" t="s">
        <v>7</v>
      </c>
    </row>
    <row r="718" spans="1:117" x14ac:dyDescent="0.25">
      <c r="A718" s="7">
        <v>7.4709787166073058E-2</v>
      </c>
      <c r="B718"/>
      <c r="C718"/>
      <c r="D718"/>
      <c r="E718"/>
      <c r="R718" s="27" t="s">
        <v>7</v>
      </c>
      <c r="S718" s="27" t="s">
        <v>8</v>
      </c>
      <c r="CJ718" s="27" t="s">
        <v>7</v>
      </c>
      <c r="CK718" s="27" t="s">
        <v>8</v>
      </c>
      <c r="CL718" s="27" t="s">
        <v>7</v>
      </c>
      <c r="CO718" s="27" t="s">
        <v>8</v>
      </c>
      <c r="CQ718" s="27" t="s">
        <v>8</v>
      </c>
      <c r="CT718" s="27" t="s">
        <v>7</v>
      </c>
      <c r="CU718" s="27" t="s">
        <v>8</v>
      </c>
      <c r="CV718" s="27" t="s">
        <v>7</v>
      </c>
      <c r="CW718" s="27" t="s">
        <v>8</v>
      </c>
      <c r="CX718" s="27" t="s">
        <v>7</v>
      </c>
      <c r="DC718" s="27" t="s">
        <v>8</v>
      </c>
      <c r="DD718" s="27" t="s">
        <v>7</v>
      </c>
      <c r="DE718" s="27" t="s">
        <v>8</v>
      </c>
      <c r="DH718" s="27" t="s">
        <v>7</v>
      </c>
      <c r="DI718" s="27" t="s">
        <v>8</v>
      </c>
      <c r="DJ718" s="27" t="s">
        <v>7</v>
      </c>
      <c r="DK718" s="27" t="s">
        <v>8</v>
      </c>
      <c r="DL718" s="27" t="s">
        <v>7</v>
      </c>
    </row>
    <row r="719" spans="1:117" x14ac:dyDescent="0.25">
      <c r="A719" s="7">
        <v>7.3244889378503E-2</v>
      </c>
      <c r="B719"/>
      <c r="C719"/>
      <c r="D719"/>
      <c r="E719"/>
      <c r="R719" s="27" t="s">
        <v>7</v>
      </c>
      <c r="S719" s="27" t="s">
        <v>8</v>
      </c>
      <c r="CJ719" s="27" t="s">
        <v>7</v>
      </c>
      <c r="CK719" s="27" t="s">
        <v>8</v>
      </c>
      <c r="CL719" s="27" t="s">
        <v>7</v>
      </c>
      <c r="CM719" s="27" t="s">
        <v>8</v>
      </c>
      <c r="CO719" s="27" t="s">
        <v>8</v>
      </c>
      <c r="CP719" s="27" t="s">
        <v>7</v>
      </c>
      <c r="CQ719" s="27" t="s">
        <v>8</v>
      </c>
      <c r="CT719" s="27" t="s">
        <v>7</v>
      </c>
      <c r="CU719" s="27" t="s">
        <v>8</v>
      </c>
      <c r="CV719" s="27" t="s">
        <v>7</v>
      </c>
      <c r="CW719" s="27" t="s">
        <v>8</v>
      </c>
      <c r="CX719" s="27" t="s">
        <v>7</v>
      </c>
      <c r="DA719" s="27" t="s">
        <v>8</v>
      </c>
      <c r="DC719" s="27" t="s">
        <v>8</v>
      </c>
      <c r="DD719" s="27" t="s">
        <v>7</v>
      </c>
      <c r="DE719" s="27" t="s">
        <v>8</v>
      </c>
      <c r="DH719" s="27" t="s">
        <v>7</v>
      </c>
      <c r="DJ719" s="27" t="s">
        <v>7</v>
      </c>
      <c r="DK719" s="27" t="s">
        <v>8</v>
      </c>
      <c r="DL719" s="27" t="s">
        <v>7</v>
      </c>
    </row>
    <row r="720" spans="1:117" x14ac:dyDescent="0.25">
      <c r="A720" s="7">
        <v>7.1808715076963722E-2</v>
      </c>
      <c r="B720"/>
      <c r="C720"/>
      <c r="D720"/>
      <c r="E720"/>
      <c r="R720" s="27" t="s">
        <v>7</v>
      </c>
      <c r="S720" s="27" t="s">
        <v>8</v>
      </c>
      <c r="CJ720" s="27" t="s">
        <v>7</v>
      </c>
      <c r="CK720" s="27" t="s">
        <v>8</v>
      </c>
      <c r="CL720" s="27" t="s">
        <v>7</v>
      </c>
      <c r="CM720" s="27" t="s">
        <v>8</v>
      </c>
      <c r="CN720" s="27" t="s">
        <v>7</v>
      </c>
      <c r="CO720" s="27" t="s">
        <v>8</v>
      </c>
      <c r="CP720" s="27" t="s">
        <v>7</v>
      </c>
      <c r="CQ720" s="27" t="s">
        <v>8</v>
      </c>
      <c r="CT720" s="27" t="s">
        <v>7</v>
      </c>
      <c r="CU720" s="27" t="s">
        <v>8</v>
      </c>
      <c r="CV720" s="27" t="s">
        <v>7</v>
      </c>
      <c r="CW720" s="27" t="s">
        <v>8</v>
      </c>
      <c r="CX720" s="27" t="s">
        <v>7</v>
      </c>
      <c r="DA720" s="27" t="s">
        <v>8</v>
      </c>
      <c r="DB720" s="27" t="s">
        <v>7</v>
      </c>
      <c r="DC720" s="27" t="s">
        <v>8</v>
      </c>
      <c r="DD720" s="27" t="s">
        <v>7</v>
      </c>
      <c r="DE720" s="27" t="s">
        <v>8</v>
      </c>
      <c r="DJ720" s="27" t="s">
        <v>7</v>
      </c>
      <c r="DK720" s="27" t="s">
        <v>8</v>
      </c>
      <c r="DL720" s="27" t="s">
        <v>7</v>
      </c>
      <c r="DM720" s="27" t="s">
        <v>8</v>
      </c>
    </row>
    <row r="721" spans="1:126" x14ac:dyDescent="0.25">
      <c r="A721" s="7">
        <v>7.0400701055846782E-2</v>
      </c>
      <c r="B721"/>
      <c r="C721"/>
      <c r="D721"/>
      <c r="E721"/>
      <c r="R721" s="27" t="s">
        <v>7</v>
      </c>
      <c r="S721" s="27" t="s">
        <v>8</v>
      </c>
      <c r="CJ721" s="27" t="s">
        <v>7</v>
      </c>
      <c r="CK721" s="27" t="s">
        <v>8</v>
      </c>
      <c r="CL721" s="27" t="s">
        <v>7</v>
      </c>
      <c r="CM721" s="27" t="s">
        <v>8</v>
      </c>
      <c r="CN721" s="27" t="s">
        <v>7</v>
      </c>
      <c r="CO721" s="27" t="s">
        <v>8</v>
      </c>
      <c r="CP721" s="27" t="s">
        <v>7</v>
      </c>
      <c r="CQ721" s="27" t="s">
        <v>8</v>
      </c>
      <c r="CT721" s="27" t="s">
        <v>7</v>
      </c>
      <c r="CV721" s="27" t="s">
        <v>7</v>
      </c>
      <c r="CX721" s="27" t="s">
        <v>7</v>
      </c>
      <c r="CY721" s="27" t="s">
        <v>8</v>
      </c>
      <c r="DA721" s="27" t="s">
        <v>8</v>
      </c>
      <c r="DB721" s="27" t="s">
        <v>7</v>
      </c>
      <c r="DC721" s="27" t="s">
        <v>8</v>
      </c>
      <c r="DD721" s="27" t="s">
        <v>7</v>
      </c>
      <c r="DE721" s="27" t="s">
        <v>8</v>
      </c>
      <c r="DJ721" s="27" t="s">
        <v>7</v>
      </c>
      <c r="DL721" s="27" t="s">
        <v>7</v>
      </c>
      <c r="DM721" s="27" t="s">
        <v>8</v>
      </c>
      <c r="DN721" s="27" t="s">
        <v>7</v>
      </c>
    </row>
    <row r="722" spans="1:126" x14ac:dyDescent="0.25">
      <c r="A722" s="7">
        <v>6.9020295152790956E-2</v>
      </c>
      <c r="B722"/>
      <c r="C722"/>
      <c r="D722"/>
      <c r="E722"/>
      <c r="R722" s="27" t="s">
        <v>7</v>
      </c>
      <c r="S722" s="27" t="s">
        <v>8</v>
      </c>
      <c r="CJ722" s="27" t="s">
        <v>7</v>
      </c>
      <c r="CK722" s="27" t="s">
        <v>8</v>
      </c>
      <c r="CL722" s="27" t="s">
        <v>7</v>
      </c>
      <c r="CN722" s="27" t="s">
        <v>7</v>
      </c>
      <c r="CO722" s="27" t="s">
        <v>8</v>
      </c>
      <c r="CP722" s="27" t="s">
        <v>7</v>
      </c>
      <c r="CQ722" s="27" t="s">
        <v>8</v>
      </c>
      <c r="CX722" s="27" t="s">
        <v>7</v>
      </c>
      <c r="CY722" s="27" t="s">
        <v>8</v>
      </c>
      <c r="CZ722" s="27" t="s">
        <v>7</v>
      </c>
      <c r="DA722" s="27" t="s">
        <v>8</v>
      </c>
      <c r="DB722" s="27" t="s">
        <v>7</v>
      </c>
      <c r="DC722" s="27" t="s">
        <v>8</v>
      </c>
      <c r="DD722" s="27" t="s">
        <v>7</v>
      </c>
      <c r="DE722" s="27" t="s">
        <v>8</v>
      </c>
      <c r="DL722" s="27" t="s">
        <v>7</v>
      </c>
      <c r="DM722" s="27" t="s">
        <v>8</v>
      </c>
      <c r="DN722" s="27" t="s">
        <v>7</v>
      </c>
    </row>
    <row r="723" spans="1:126" x14ac:dyDescent="0.25">
      <c r="A723" s="7">
        <v>6.7666956032147993E-2</v>
      </c>
      <c r="B723"/>
      <c r="C723"/>
      <c r="D723"/>
      <c r="E723"/>
      <c r="R723" s="27" t="s">
        <v>7</v>
      </c>
      <c r="S723" s="27" t="s">
        <v>8</v>
      </c>
      <c r="CJ723" s="27" t="s">
        <v>7</v>
      </c>
      <c r="CK723" s="27" t="s">
        <v>8</v>
      </c>
      <c r="CN723" s="27" t="s">
        <v>7</v>
      </c>
      <c r="CO723" s="27" t="s">
        <v>8</v>
      </c>
      <c r="CP723" s="27" t="s">
        <v>7</v>
      </c>
      <c r="CQ723" s="27" t="s">
        <v>8</v>
      </c>
      <c r="CX723" s="27" t="s">
        <v>7</v>
      </c>
      <c r="CY723" s="27" t="s">
        <v>8</v>
      </c>
      <c r="CZ723" s="27" t="s">
        <v>7</v>
      </c>
      <c r="DA723" s="27" t="s">
        <v>8</v>
      </c>
      <c r="DB723" s="27" t="s">
        <v>7</v>
      </c>
      <c r="DC723" s="27" t="s">
        <v>8</v>
      </c>
      <c r="DD723" s="27" t="s">
        <v>7</v>
      </c>
      <c r="DE723" s="27" t="s">
        <v>8</v>
      </c>
      <c r="DL723" s="27" t="s">
        <v>7</v>
      </c>
      <c r="DM723" s="27" t="s">
        <v>8</v>
      </c>
      <c r="DN723" s="27" t="s">
        <v>7</v>
      </c>
      <c r="DO723" s="27" t="s">
        <v>8</v>
      </c>
    </row>
    <row r="724" spans="1:126" x14ac:dyDescent="0.25">
      <c r="A724" s="7">
        <v>6.6340152972694105E-2</v>
      </c>
      <c r="B724"/>
      <c r="C724"/>
      <c r="D724"/>
      <c r="E724"/>
      <c r="R724" s="27" t="s">
        <v>7</v>
      </c>
      <c r="S724" s="27" t="s">
        <v>8</v>
      </c>
      <c r="CJ724" s="27" t="s">
        <v>7</v>
      </c>
      <c r="CK724" s="27" t="s">
        <v>8</v>
      </c>
      <c r="CN724" s="27" t="s">
        <v>7</v>
      </c>
      <c r="CO724" s="27" t="s">
        <v>8</v>
      </c>
      <c r="CP724" s="27" t="s">
        <v>7</v>
      </c>
      <c r="CQ724" s="27" t="s">
        <v>8</v>
      </c>
      <c r="CX724" s="27" t="s">
        <v>7</v>
      </c>
      <c r="CZ724" s="27" t="s">
        <v>7</v>
      </c>
      <c r="DA724" s="27" t="s">
        <v>8</v>
      </c>
      <c r="DB724" s="27" t="s">
        <v>7</v>
      </c>
      <c r="DC724" s="27" t="s">
        <v>8</v>
      </c>
      <c r="DD724" s="27" t="s">
        <v>7</v>
      </c>
      <c r="DE724" s="27" t="s">
        <v>8</v>
      </c>
      <c r="DL724" s="27" t="s">
        <v>7</v>
      </c>
      <c r="DM724" s="27" t="s">
        <v>8</v>
      </c>
      <c r="DN724" s="27" t="s">
        <v>7</v>
      </c>
      <c r="DO724" s="27" t="s">
        <v>8</v>
      </c>
      <c r="DP724" s="27" t="s">
        <v>7</v>
      </c>
    </row>
    <row r="725" spans="1:126" x14ac:dyDescent="0.25">
      <c r="A725" s="7">
        <v>6.5039365659504023E-2</v>
      </c>
      <c r="B725"/>
      <c r="C725"/>
      <c r="D725"/>
      <c r="E725"/>
      <c r="R725" s="27" t="s">
        <v>7</v>
      </c>
      <c r="S725" s="27" t="s">
        <v>8</v>
      </c>
      <c r="CJ725" s="27" t="s">
        <v>7</v>
      </c>
      <c r="CK725" s="27" t="s">
        <v>8</v>
      </c>
      <c r="CN725" s="27" t="s">
        <v>7</v>
      </c>
      <c r="CO725" s="27" t="s">
        <v>8</v>
      </c>
      <c r="CP725" s="27" t="s">
        <v>7</v>
      </c>
      <c r="CQ725" s="27" t="s">
        <v>8</v>
      </c>
      <c r="CZ725" s="27" t="s">
        <v>7</v>
      </c>
      <c r="DA725" s="27" t="s">
        <v>8</v>
      </c>
      <c r="DB725" s="27" t="s">
        <v>7</v>
      </c>
      <c r="DC725" s="27" t="s">
        <v>8</v>
      </c>
      <c r="DD725" s="27" t="s">
        <v>7</v>
      </c>
      <c r="DL725" s="27" t="s">
        <v>7</v>
      </c>
      <c r="DM725" s="27" t="s">
        <v>8</v>
      </c>
      <c r="DN725" s="27" t="s">
        <v>7</v>
      </c>
      <c r="DO725" s="27" t="s">
        <v>8</v>
      </c>
      <c r="DP725" s="27" t="s">
        <v>7</v>
      </c>
    </row>
    <row r="726" spans="1:126" x14ac:dyDescent="0.25">
      <c r="A726" s="7">
        <v>6.3764083979905906E-2</v>
      </c>
      <c r="B726"/>
      <c r="C726"/>
      <c r="D726"/>
      <c r="E726"/>
      <c r="R726" s="27" t="s">
        <v>7</v>
      </c>
      <c r="S726" s="27" t="s">
        <v>8</v>
      </c>
      <c r="CJ726" s="27" t="s">
        <v>7</v>
      </c>
      <c r="CK726" s="27" t="s">
        <v>8</v>
      </c>
      <c r="CN726" s="27" t="s">
        <v>7</v>
      </c>
      <c r="CO726" s="27" t="s">
        <v>8</v>
      </c>
      <c r="CP726" s="27" t="s">
        <v>7</v>
      </c>
      <c r="CQ726" s="27" t="s">
        <v>8</v>
      </c>
      <c r="CZ726" s="27" t="s">
        <v>7</v>
      </c>
      <c r="DB726" s="27" t="s">
        <v>7</v>
      </c>
      <c r="DC726" s="27" t="s">
        <v>8</v>
      </c>
      <c r="DL726" s="27" t="s">
        <v>7</v>
      </c>
      <c r="DM726" s="27" t="s">
        <v>8</v>
      </c>
      <c r="DN726" s="27" t="s">
        <v>7</v>
      </c>
      <c r="DO726" s="27" t="s">
        <v>8</v>
      </c>
      <c r="DP726" s="27" t="s">
        <v>7</v>
      </c>
    </row>
    <row r="727" spans="1:126" x14ac:dyDescent="0.25">
      <c r="A727" s="7">
        <v>6.251380782343717E-2</v>
      </c>
      <c r="B727"/>
      <c r="C727"/>
      <c r="D727"/>
      <c r="E727"/>
      <c r="R727" s="27" t="s">
        <v>7</v>
      </c>
      <c r="CJ727" s="27" t="s">
        <v>7</v>
      </c>
      <c r="CK727" s="27" t="s">
        <v>8</v>
      </c>
      <c r="CN727" s="27" t="s">
        <v>7</v>
      </c>
      <c r="CO727" s="27" t="s">
        <v>8</v>
      </c>
      <c r="CP727" s="27" t="s">
        <v>7</v>
      </c>
      <c r="CQ727" s="27" t="s">
        <v>8</v>
      </c>
      <c r="DB727" s="27" t="s">
        <v>7</v>
      </c>
      <c r="DC727" s="27" t="s">
        <v>8</v>
      </c>
      <c r="DL727" s="27" t="s">
        <v>7</v>
      </c>
      <c r="DM727" s="27" t="s">
        <v>8</v>
      </c>
      <c r="DN727" s="27" t="s">
        <v>7</v>
      </c>
      <c r="DP727" s="27" t="s">
        <v>7</v>
      </c>
    </row>
    <row r="728" spans="1:126" x14ac:dyDescent="0.25">
      <c r="A728" s="7">
        <v>6.1288046885722716E-2</v>
      </c>
      <c r="B728"/>
      <c r="C728"/>
      <c r="D728"/>
      <c r="E728"/>
      <c r="CJ728" s="27" t="s">
        <v>7</v>
      </c>
      <c r="CK728" s="27" t="s">
        <v>8</v>
      </c>
      <c r="CN728" s="27" t="s">
        <v>7</v>
      </c>
      <c r="CO728" s="27" t="s">
        <v>8</v>
      </c>
      <c r="CP728" s="27" t="s">
        <v>7</v>
      </c>
      <c r="DB728" s="27" t="s">
        <v>7</v>
      </c>
      <c r="DC728" s="27" t="s">
        <v>8</v>
      </c>
      <c r="DL728" s="27" t="s">
        <v>7</v>
      </c>
      <c r="DP728" s="27" t="s">
        <v>7</v>
      </c>
      <c r="DQ728" s="27" t="s">
        <v>8</v>
      </c>
    </row>
    <row r="729" spans="1:126" x14ac:dyDescent="0.25">
      <c r="A729" s="7">
        <v>6.0086320476198739E-2</v>
      </c>
      <c r="B729"/>
      <c r="C729"/>
      <c r="D729"/>
      <c r="E729"/>
      <c r="CJ729" s="27" t="s">
        <v>7</v>
      </c>
      <c r="CK729" s="27" t="s">
        <v>8</v>
      </c>
      <c r="CN729" s="27" t="s">
        <v>7</v>
      </c>
      <c r="DB729" s="27" t="s">
        <v>7</v>
      </c>
      <c r="DP729" s="27" t="s">
        <v>7</v>
      </c>
      <c r="DQ729" s="27" t="s">
        <v>8</v>
      </c>
      <c r="DR729" s="27" t="s">
        <v>7</v>
      </c>
    </row>
    <row r="730" spans="1:126" x14ac:dyDescent="0.25">
      <c r="A730" s="7">
        <v>5.8908157329606609E-2</v>
      </c>
      <c r="B730"/>
      <c r="C730"/>
      <c r="D730"/>
      <c r="E730"/>
      <c r="CJ730" s="27" t="s">
        <v>7</v>
      </c>
      <c r="CK730" s="27" t="s">
        <v>8</v>
      </c>
      <c r="DP730" s="27" t="s">
        <v>7</v>
      </c>
      <c r="DQ730" s="27" t="s">
        <v>8</v>
      </c>
      <c r="DR730" s="27" t="s">
        <v>7</v>
      </c>
    </row>
    <row r="731" spans="1:126" x14ac:dyDescent="0.25">
      <c r="A731" s="7">
        <v>5.7753095421182947E-2</v>
      </c>
      <c r="B731"/>
      <c r="C731"/>
      <c r="D731"/>
      <c r="E731"/>
      <c r="CJ731" s="27" t="s">
        <v>7</v>
      </c>
      <c r="CK731" s="27" t="s">
        <v>8</v>
      </c>
      <c r="DP731" s="27" t="s">
        <v>7</v>
      </c>
      <c r="DQ731" s="27" t="s">
        <v>8</v>
      </c>
      <c r="DR731" s="27" t="s">
        <v>7</v>
      </c>
    </row>
    <row r="732" spans="1:126" x14ac:dyDescent="0.25">
      <c r="A732" s="7">
        <v>5.6620681785473484E-2</v>
      </c>
      <c r="B732"/>
      <c r="C732"/>
      <c r="D732"/>
      <c r="E732"/>
      <c r="CJ732" s="27" t="s">
        <v>7</v>
      </c>
      <c r="CK732" s="27" t="s">
        <v>8</v>
      </c>
      <c r="DP732" s="27" t="s">
        <v>7</v>
      </c>
      <c r="DQ732" s="27" t="s">
        <v>8</v>
      </c>
      <c r="DR732" s="27" t="s">
        <v>7</v>
      </c>
    </row>
    <row r="733" spans="1:126" x14ac:dyDescent="0.25">
      <c r="A733" s="7">
        <v>5.5510472338699497E-2</v>
      </c>
      <c r="B733"/>
      <c r="C733"/>
      <c r="D733"/>
      <c r="E733"/>
      <c r="CJ733" s="27" t="s">
        <v>7</v>
      </c>
      <c r="DP733" s="27" t="s">
        <v>7</v>
      </c>
      <c r="DQ733" s="27" t="s">
        <v>8</v>
      </c>
      <c r="DR733" s="27" t="s">
        <v>7</v>
      </c>
    </row>
    <row r="734" spans="1:126" x14ac:dyDescent="0.25">
      <c r="A734" s="7">
        <v>5.4422031704607354E-2</v>
      </c>
      <c r="B734"/>
      <c r="C734"/>
      <c r="D734"/>
      <c r="E734"/>
      <c r="DP734" s="27" t="s">
        <v>7</v>
      </c>
      <c r="DR734" s="27" t="s">
        <v>7</v>
      </c>
    </row>
    <row r="735" spans="1:126" x14ac:dyDescent="0.25">
      <c r="A735" s="7">
        <v>5.3354933043732705E-2</v>
      </c>
      <c r="B735"/>
      <c r="C735"/>
      <c r="D735"/>
      <c r="E735"/>
      <c r="DR735" s="27" t="s">
        <v>7</v>
      </c>
      <c r="DU735" s="27" t="s">
        <v>8</v>
      </c>
    </row>
    <row r="736" spans="1:126" x14ac:dyDescent="0.25">
      <c r="A736" s="7">
        <v>5.2308757886012455E-2</v>
      </c>
      <c r="B736"/>
      <c r="C736"/>
      <c r="D736"/>
      <c r="E736"/>
      <c r="DR736" s="27" t="s">
        <v>7</v>
      </c>
      <c r="DU736" s="27" t="s">
        <v>8</v>
      </c>
      <c r="DV736" s="27" t="s">
        <v>7</v>
      </c>
    </row>
    <row r="737" spans="1:128" x14ac:dyDescent="0.25">
      <c r="A737" s="7">
        <v>5.1283095966678877E-2</v>
      </c>
      <c r="B737"/>
      <c r="C737"/>
      <c r="D737"/>
      <c r="E737"/>
      <c r="DR737" s="27" t="s">
        <v>7</v>
      </c>
      <c r="DU737" s="27" t="s">
        <v>8</v>
      </c>
      <c r="DV737" s="27" t="s">
        <v>7</v>
      </c>
    </row>
    <row r="738" spans="1:128" x14ac:dyDescent="0.25">
      <c r="A738" s="7">
        <v>5.0277545065371444E-2</v>
      </c>
      <c r="B738"/>
      <c r="C738"/>
      <c r="D738"/>
      <c r="E738"/>
      <c r="DR738" s="27" t="s">
        <v>7</v>
      </c>
      <c r="DU738" s="27" t="s">
        <v>8</v>
      </c>
      <c r="DV738" s="27" t="s">
        <v>7</v>
      </c>
    </row>
    <row r="739" spans="1:128" x14ac:dyDescent="0.25">
      <c r="A739" s="7">
        <v>4.9291710848403378E-2</v>
      </c>
      <c r="B739"/>
      <c r="C739"/>
      <c r="D739"/>
      <c r="E739"/>
      <c r="DR739" s="27" t="s">
        <v>7</v>
      </c>
      <c r="DU739" s="27" t="s">
        <v>8</v>
      </c>
      <c r="DV739" s="27" t="s">
        <v>7</v>
      </c>
    </row>
    <row r="740" spans="1:128" x14ac:dyDescent="0.25">
      <c r="A740" s="7">
        <v>4.8325206714120959E-2</v>
      </c>
      <c r="B740"/>
      <c r="C740"/>
      <c r="D740"/>
      <c r="E740"/>
      <c r="DR740" s="27" t="s">
        <v>7</v>
      </c>
      <c r="DU740" s="27" t="s">
        <v>8</v>
      </c>
      <c r="DV740" s="27" t="s">
        <v>7</v>
      </c>
    </row>
    <row r="741" spans="1:128" x14ac:dyDescent="0.25">
      <c r="A741" s="7">
        <v>4.7377653641295057E-2</v>
      </c>
      <c r="B741"/>
      <c r="C741"/>
      <c r="D741"/>
      <c r="E741"/>
      <c r="DR741" s="27" t="s">
        <v>7</v>
      </c>
      <c r="DU741" s="27" t="s">
        <v>8</v>
      </c>
      <c r="DV741" s="27" t="s">
        <v>7</v>
      </c>
    </row>
    <row r="742" spans="1:128" x14ac:dyDescent="0.25">
      <c r="A742" s="7">
        <v>4.644868004048535E-2</v>
      </c>
      <c r="B742"/>
      <c r="C742"/>
      <c r="D742"/>
      <c r="E742"/>
      <c r="DR742" s="27" t="s">
        <v>7</v>
      </c>
      <c r="DU742" s="27" t="s">
        <v>8</v>
      </c>
      <c r="DV742" s="27" t="s">
        <v>7</v>
      </c>
    </row>
    <row r="743" spans="1:128" x14ac:dyDescent="0.25">
      <c r="A743" s="7">
        <v>4.5537921608318974E-2</v>
      </c>
      <c r="B743"/>
      <c r="C743"/>
      <c r="D743"/>
      <c r="E743"/>
      <c r="DR743" s="27" t="s">
        <v>7</v>
      </c>
      <c r="DU743" s="27" t="s">
        <v>8</v>
      </c>
      <c r="DV743" s="27" t="s">
        <v>7</v>
      </c>
    </row>
    <row r="744" spans="1:128" x14ac:dyDescent="0.25">
      <c r="A744" s="7">
        <v>4.4645021184626446E-2</v>
      </c>
      <c r="B744"/>
      <c r="C744"/>
      <c r="D744"/>
      <c r="E744"/>
      <c r="DR744" s="27" t="s">
        <v>7</v>
      </c>
      <c r="DU744" s="27" t="s">
        <v>8</v>
      </c>
      <c r="DV744" s="27" t="s">
        <v>7</v>
      </c>
    </row>
    <row r="745" spans="1:128" x14ac:dyDescent="0.25">
      <c r="A745" s="7">
        <v>4.3769628612378868E-2</v>
      </c>
      <c r="B745"/>
      <c r="C745"/>
      <c r="D745"/>
      <c r="E745"/>
      <c r="DR745" s="27" t="s">
        <v>7</v>
      </c>
      <c r="DU745" s="27" t="s">
        <v>8</v>
      </c>
      <c r="DV745" s="27" t="s">
        <v>7</v>
      </c>
    </row>
    <row r="746" spans="1:128" x14ac:dyDescent="0.25">
      <c r="A746" s="7">
        <v>4.2911400600371442E-2</v>
      </c>
      <c r="B746"/>
      <c r="C746"/>
      <c r="D746"/>
      <c r="E746"/>
      <c r="DR746" s="27" t="s">
        <v>7</v>
      </c>
      <c r="DS746" s="27" t="s">
        <v>8</v>
      </c>
      <c r="DU746" s="27" t="s">
        <v>8</v>
      </c>
      <c r="DV746" s="27" t="s">
        <v>7</v>
      </c>
    </row>
    <row r="747" spans="1:128" x14ac:dyDescent="0.25">
      <c r="A747" s="7">
        <v>4.2070000588599457E-2</v>
      </c>
      <c r="B747"/>
      <c r="C747"/>
      <c r="D747"/>
      <c r="E747"/>
      <c r="DR747" s="27" t="s">
        <v>7</v>
      </c>
      <c r="DS747" s="27" t="s">
        <v>8</v>
      </c>
      <c r="DT747" s="27" t="s">
        <v>7</v>
      </c>
      <c r="DU747" s="27" t="s">
        <v>8</v>
      </c>
      <c r="DV747" s="27" t="s">
        <v>7</v>
      </c>
    </row>
    <row r="748" spans="1:128" x14ac:dyDescent="0.25">
      <c r="A748" s="7">
        <v>4.1245098616273977E-2</v>
      </c>
      <c r="B748"/>
      <c r="C748"/>
      <c r="D748"/>
      <c r="E748"/>
      <c r="DR748" s="27" t="s">
        <v>7</v>
      </c>
      <c r="DS748" s="27" t="s">
        <v>8</v>
      </c>
      <c r="DT748" s="27" t="s">
        <v>7</v>
      </c>
      <c r="DU748" s="27" t="s">
        <v>8</v>
      </c>
      <c r="DV748" s="27" t="s">
        <v>7</v>
      </c>
    </row>
    <row r="749" spans="1:128" x14ac:dyDescent="0.25">
      <c r="A749" s="7">
        <v>4.043637119242547E-2</v>
      </c>
      <c r="B749"/>
      <c r="C749"/>
      <c r="D749"/>
      <c r="E749"/>
      <c r="DR749" s="27" t="s">
        <v>7</v>
      </c>
      <c r="DS749" s="27" t="s">
        <v>8</v>
      </c>
      <c r="DT749" s="27" t="s">
        <v>7</v>
      </c>
      <c r="DU749" s="27" t="s">
        <v>8</v>
      </c>
      <c r="DV749" s="27" t="s">
        <v>7</v>
      </c>
    </row>
    <row r="750" spans="1:128" x14ac:dyDescent="0.25">
      <c r="A750" s="7">
        <v>3.9643501169044582E-2</v>
      </c>
      <c r="B750"/>
      <c r="C750"/>
      <c r="D750"/>
      <c r="E750"/>
      <c r="DR750" s="27" t="s">
        <v>7</v>
      </c>
      <c r="DS750" s="27" t="s">
        <v>8</v>
      </c>
      <c r="DT750" s="27" t="s">
        <v>7</v>
      </c>
      <c r="DU750" s="27" t="s">
        <v>8</v>
      </c>
      <c r="DV750" s="27" t="s">
        <v>7</v>
      </c>
    </row>
    <row r="751" spans="1:128" x14ac:dyDescent="0.25">
      <c r="A751" s="7">
        <v>3.8866177616710372E-2</v>
      </c>
      <c r="B751"/>
      <c r="C751"/>
      <c r="D751"/>
      <c r="E751"/>
      <c r="DR751" s="27" t="s">
        <v>7</v>
      </c>
      <c r="DS751" s="27" t="s">
        <v>8</v>
      </c>
      <c r="DT751" s="27" t="s">
        <v>7</v>
      </c>
      <c r="DU751" s="27" t="s">
        <v>8</v>
      </c>
      <c r="DV751" s="27" t="s">
        <v>7</v>
      </c>
      <c r="DW751" s="27" t="s">
        <v>8</v>
      </c>
    </row>
    <row r="752" spans="1:128" x14ac:dyDescent="0.25">
      <c r="A752" s="7">
        <v>3.8104095702657229E-2</v>
      </c>
      <c r="B752"/>
      <c r="C752"/>
      <c r="D752"/>
      <c r="E752"/>
      <c r="DR752" s="27" t="s">
        <v>7</v>
      </c>
      <c r="DS752" s="27" t="s">
        <v>8</v>
      </c>
      <c r="DT752" s="27" t="s">
        <v>7</v>
      </c>
      <c r="DU752" s="27" t="s">
        <v>8</v>
      </c>
      <c r="DV752" s="27" t="s">
        <v>7</v>
      </c>
      <c r="DW752" s="27" t="s">
        <v>8</v>
      </c>
      <c r="DX752" s="27" t="s">
        <v>7</v>
      </c>
    </row>
    <row r="753" spans="1:136" x14ac:dyDescent="0.25">
      <c r="A753" s="7">
        <v>3.7356956571232579E-2</v>
      </c>
      <c r="B753"/>
      <c r="C753"/>
      <c r="D753"/>
      <c r="E753"/>
      <c r="DR753" s="27" t="s">
        <v>7</v>
      </c>
      <c r="DS753" s="27" t="s">
        <v>8</v>
      </c>
      <c r="DT753" s="27" t="s">
        <v>7</v>
      </c>
      <c r="DU753" s="27" t="s">
        <v>8</v>
      </c>
      <c r="DV753" s="27" t="s">
        <v>7</v>
      </c>
      <c r="DW753" s="27" t="s">
        <v>8</v>
      </c>
      <c r="DX753" s="27" t="s">
        <v>7</v>
      </c>
    </row>
    <row r="754" spans="1:136" x14ac:dyDescent="0.25">
      <c r="A754" s="7">
        <v>3.6624467226698605E-2</v>
      </c>
      <c r="B754"/>
      <c r="C754"/>
      <c r="D754"/>
      <c r="E754"/>
      <c r="DR754" s="27" t="s">
        <v>7</v>
      </c>
      <c r="DS754" s="27" t="s">
        <v>8</v>
      </c>
      <c r="DT754" s="27" t="s">
        <v>7</v>
      </c>
      <c r="DU754" s="27" t="s">
        <v>8</v>
      </c>
      <c r="DV754" s="27" t="s">
        <v>7</v>
      </c>
      <c r="DW754" s="27" t="s">
        <v>8</v>
      </c>
      <c r="DX754" s="27" t="s">
        <v>7</v>
      </c>
    </row>
    <row r="755" spans="1:136" x14ac:dyDescent="0.25">
      <c r="A755" s="7">
        <v>3.5906340418331961E-2</v>
      </c>
      <c r="B755"/>
      <c r="C755"/>
      <c r="D755"/>
      <c r="E755"/>
      <c r="DR755" s="27" t="s">
        <v>7</v>
      </c>
      <c r="DS755" s="27" t="s">
        <v>8</v>
      </c>
      <c r="DT755" s="27" t="s">
        <v>7</v>
      </c>
      <c r="DU755" s="27" t="s">
        <v>8</v>
      </c>
      <c r="DV755" s="27" t="s">
        <v>7</v>
      </c>
      <c r="DX755" s="27" t="s">
        <v>7</v>
      </c>
    </row>
    <row r="756" spans="1:136" x14ac:dyDescent="0.25">
      <c r="A756" s="7">
        <v>3.5202294527776436E-2</v>
      </c>
      <c r="B756"/>
      <c r="C756"/>
      <c r="D756"/>
      <c r="E756"/>
      <c r="DR756" s="27" t="s">
        <v>7</v>
      </c>
      <c r="DS756" s="27" t="s">
        <v>8</v>
      </c>
      <c r="DT756" s="27" t="s">
        <v>7</v>
      </c>
      <c r="DU756" s="27" t="s">
        <v>8</v>
      </c>
      <c r="DX756" s="27" t="s">
        <v>7</v>
      </c>
      <c r="DY756" s="27" t="s">
        <v>8</v>
      </c>
    </row>
    <row r="757" spans="1:136" x14ac:dyDescent="0.25">
      <c r="A757" s="7">
        <v>3.451205345860435E-2</v>
      </c>
      <c r="B757"/>
      <c r="C757"/>
      <c r="D757"/>
      <c r="E757"/>
      <c r="DR757" s="27" t="s">
        <v>7</v>
      </c>
      <c r="DS757" s="27" t="s">
        <v>8</v>
      </c>
      <c r="DT757" s="27" t="s">
        <v>7</v>
      </c>
      <c r="DX757" s="27" t="s">
        <v>7</v>
      </c>
      <c r="DY757" s="27" t="s">
        <v>8</v>
      </c>
      <c r="DZ757" s="27" t="s">
        <v>7</v>
      </c>
    </row>
    <row r="758" spans="1:136" x14ac:dyDescent="0.25">
      <c r="A758" s="7">
        <v>3.3835346528043479E-2</v>
      </c>
      <c r="B758"/>
      <c r="C758"/>
      <c r="D758"/>
      <c r="E758"/>
      <c r="DR758" s="27" t="s">
        <v>7</v>
      </c>
      <c r="DX758" s="27" t="s">
        <v>7</v>
      </c>
      <c r="DY758" s="27" t="s">
        <v>8</v>
      </c>
      <c r="DZ758" s="27" t="s">
        <v>7</v>
      </c>
    </row>
    <row r="759" spans="1:136" x14ac:dyDescent="0.25">
      <c r="A759" s="7">
        <v>3.3171908360826938E-2</v>
      </c>
      <c r="B759"/>
      <c r="C759"/>
      <c r="D759"/>
      <c r="E759"/>
      <c r="DX759" s="27" t="s">
        <v>7</v>
      </c>
      <c r="DY759" s="27" t="s">
        <v>8</v>
      </c>
      <c r="DZ759" s="27" t="s">
        <v>7</v>
      </c>
      <c r="EA759" s="27" t="s">
        <v>8</v>
      </c>
      <c r="EC759" s="27" t="s">
        <v>8</v>
      </c>
      <c r="EE759" s="27" t="s">
        <v>8</v>
      </c>
    </row>
    <row r="760" spans="1:136" x14ac:dyDescent="0.25">
      <c r="A760" s="7">
        <v>3.2521478785124451E-2</v>
      </c>
      <c r="B760"/>
      <c r="C760"/>
      <c r="D760"/>
      <c r="E760"/>
      <c r="DX760" s="27" t="s">
        <v>7</v>
      </c>
      <c r="DZ760" s="27" t="s">
        <v>7</v>
      </c>
      <c r="EA760" s="27" t="s">
        <v>8</v>
      </c>
      <c r="EB760" s="27" t="s">
        <v>7</v>
      </c>
      <c r="EC760" s="27" t="s">
        <v>8</v>
      </c>
      <c r="ED760" s="27" t="s">
        <v>7</v>
      </c>
      <c r="EE760" s="27" t="s">
        <v>8</v>
      </c>
      <c r="EF760" s="27" t="s">
        <v>7</v>
      </c>
    </row>
    <row r="761" spans="1:136" x14ac:dyDescent="0.25">
      <c r="A761" s="7">
        <v>3.1883802730514173E-2</v>
      </c>
      <c r="B761"/>
      <c r="C761"/>
      <c r="D761"/>
      <c r="E761"/>
      <c r="DZ761" s="27" t="s">
        <v>7</v>
      </c>
      <c r="EA761" s="27" t="s">
        <v>8</v>
      </c>
      <c r="EB761" s="27" t="s">
        <v>7</v>
      </c>
      <c r="EC761" s="27" t="s">
        <v>8</v>
      </c>
      <c r="ED761" s="27" t="s">
        <v>7</v>
      </c>
      <c r="EE761" s="27" t="s">
        <v>8</v>
      </c>
      <c r="EF761" s="27" t="s">
        <v>7</v>
      </c>
    </row>
    <row r="762" spans="1:136" x14ac:dyDescent="0.25">
      <c r="A762" s="7">
        <v>3.1258630127955073E-2</v>
      </c>
      <c r="B762"/>
      <c r="C762"/>
      <c r="D762"/>
      <c r="E762"/>
      <c r="DZ762" s="27" t="s">
        <v>7</v>
      </c>
      <c r="EB762" s="27" t="s">
        <v>7</v>
      </c>
      <c r="EC762" s="27" t="s">
        <v>8</v>
      </c>
      <c r="ED762" s="27" t="s">
        <v>7</v>
      </c>
      <c r="EE762" s="27" t="s">
        <v>8</v>
      </c>
      <c r="EF762" s="27" t="s">
        <v>7</v>
      </c>
    </row>
    <row r="763" spans="1:136" x14ac:dyDescent="0.25">
      <c r="A763" s="7">
        <v>3.064571581172066E-2</v>
      </c>
      <c r="B763"/>
      <c r="C763"/>
      <c r="D763"/>
      <c r="E763"/>
      <c r="EB763" s="27" t="s">
        <v>7</v>
      </c>
      <c r="EC763" s="27" t="s">
        <v>8</v>
      </c>
      <c r="ED763" s="27" t="s">
        <v>7</v>
      </c>
      <c r="EE763" s="27" t="s">
        <v>8</v>
      </c>
      <c r="EF763" s="27" t="s">
        <v>7</v>
      </c>
    </row>
    <row r="764" spans="1:136" x14ac:dyDescent="0.25">
      <c r="A764" s="7">
        <v>3.0044819423255549E-2</v>
      </c>
      <c r="B764"/>
      <c r="C764"/>
      <c r="D764"/>
      <c r="E764"/>
      <c r="EB764" s="27" t="s">
        <v>7</v>
      </c>
      <c r="EC764" s="27" t="s">
        <v>8</v>
      </c>
      <c r="ED764" s="27" t="s">
        <v>7</v>
      </c>
      <c r="EF764" s="27" t="s">
        <v>7</v>
      </c>
    </row>
    <row r="765" spans="1:136" x14ac:dyDescent="0.25">
      <c r="A765" s="7">
        <v>2.9455705316917203E-2</v>
      </c>
      <c r="B765"/>
      <c r="C765"/>
      <c r="D765"/>
      <c r="E765"/>
      <c r="EB765" s="27" t="s">
        <v>7</v>
      </c>
      <c r="EC765" s="27" t="s">
        <v>8</v>
      </c>
      <c r="EF765" s="27" t="s">
        <v>7</v>
      </c>
    </row>
    <row r="766" spans="1:136" x14ac:dyDescent="0.25">
      <c r="A766" s="7">
        <v>2.8878142467565884E-2</v>
      </c>
      <c r="B766"/>
      <c r="C766"/>
      <c r="D766"/>
      <c r="E766"/>
      <c r="EB766" s="27" t="s">
        <v>7</v>
      </c>
      <c r="EF766" s="27" t="s">
        <v>7</v>
      </c>
    </row>
    <row r="767" spans="1:136" x14ac:dyDescent="0.25">
      <c r="A767" s="7">
        <v>2.8311904379966554E-2</v>
      </c>
      <c r="B767"/>
      <c r="C767"/>
      <c r="D767"/>
      <c r="E767"/>
      <c r="EF767" s="27" t="s">
        <v>7</v>
      </c>
    </row>
    <row r="768" spans="1:136" x14ac:dyDescent="0.25">
      <c r="A768" s="7">
        <v>2.7756768999967207E-2</v>
      </c>
      <c r="B768"/>
      <c r="C768"/>
      <c r="D768"/>
      <c r="E768"/>
      <c r="EF768" s="27" t="s">
        <v>7</v>
      </c>
    </row>
    <row r="769" spans="1:140" x14ac:dyDescent="0.25">
      <c r="A769" s="7">
        <v>2.7212518627418834E-2</v>
      </c>
      <c r="B769"/>
      <c r="C769"/>
      <c r="D769"/>
      <c r="E769"/>
      <c r="EF769" s="27" t="s">
        <v>7</v>
      </c>
    </row>
    <row r="770" spans="1:140" x14ac:dyDescent="0.25">
      <c r="A770" s="7">
        <v>2.6678939830802779E-2</v>
      </c>
      <c r="B770"/>
      <c r="C770"/>
      <c r="D770"/>
      <c r="E770"/>
      <c r="EF770" s="27" t="s">
        <v>7</v>
      </c>
    </row>
    <row r="771" spans="1:140" x14ac:dyDescent="0.25">
      <c r="A771" s="7">
        <v>2.615582336353214E-2</v>
      </c>
      <c r="B771"/>
      <c r="C771"/>
      <c r="D771"/>
      <c r="E771"/>
      <c r="EF771" s="27" t="s">
        <v>7</v>
      </c>
    </row>
    <row r="772" spans="1:140" x14ac:dyDescent="0.25">
      <c r="A772" s="7">
        <v>2.5642964081894253E-2</v>
      </c>
      <c r="B772"/>
      <c r="C772"/>
      <c r="D772"/>
      <c r="E772"/>
      <c r="EF772" s="27" t="s">
        <v>7</v>
      </c>
    </row>
    <row r="773" spans="1:140" x14ac:dyDescent="0.25">
      <c r="A773" s="7">
        <v>2.5140160864602207E-2</v>
      </c>
      <c r="B773"/>
      <c r="C773"/>
      <c r="D773"/>
      <c r="E773"/>
      <c r="EF773" s="27" t="s">
        <v>7</v>
      </c>
    </row>
    <row r="774" spans="1:140" x14ac:dyDescent="0.25">
      <c r="A774" s="7">
        <v>2.4647216533923735E-2</v>
      </c>
      <c r="B774"/>
      <c r="C774"/>
      <c r="D774"/>
      <c r="E774"/>
      <c r="EF774" s="27" t="s">
        <v>7</v>
      </c>
    </row>
    <row r="775" spans="1:140" x14ac:dyDescent="0.25">
      <c r="A775" s="7">
        <v>2.4163937778356601E-2</v>
      </c>
      <c r="B775"/>
      <c r="C775"/>
      <c r="D775"/>
      <c r="E775"/>
      <c r="EF775" s="27" t="s">
        <v>7</v>
      </c>
    </row>
    <row r="776" spans="1:140" x14ac:dyDescent="0.25">
      <c r="A776" s="7">
        <v>2.3690135076820197E-2</v>
      </c>
      <c r="B776"/>
      <c r="C776"/>
      <c r="D776"/>
      <c r="E776"/>
      <c r="EF776" s="27" t="s">
        <v>7</v>
      </c>
    </row>
    <row r="777" spans="1:140" x14ac:dyDescent="0.25">
      <c r="A777" s="7">
        <v>2.3225622624333527E-2</v>
      </c>
      <c r="B777"/>
      <c r="C777"/>
      <c r="D777"/>
      <c r="E777"/>
      <c r="EF777" s="27" t="s">
        <v>7</v>
      </c>
    </row>
    <row r="778" spans="1:140" x14ac:dyDescent="0.25">
      <c r="A778" s="7">
        <v>2.2770218259150519E-2</v>
      </c>
      <c r="B778"/>
      <c r="C778"/>
      <c r="D778"/>
      <c r="E778"/>
      <c r="EF778" s="27" t="s">
        <v>7</v>
      </c>
    </row>
    <row r="779" spans="1:140" x14ac:dyDescent="0.25">
      <c r="A779" s="7">
        <v>2.2323743391324039E-2</v>
      </c>
      <c r="B779"/>
      <c r="C779"/>
      <c r="D779"/>
      <c r="E779"/>
      <c r="EF779" s="27" t="s">
        <v>7</v>
      </c>
    </row>
    <row r="780" spans="1:140" x14ac:dyDescent="0.25">
      <c r="A780" s="7">
        <v>2.188602293267063E-2</v>
      </c>
      <c r="B780"/>
      <c r="C780"/>
      <c r="D780"/>
      <c r="E780"/>
      <c r="EF780" s="27" t="s">
        <v>7</v>
      </c>
    </row>
    <row r="781" spans="1:140" x14ac:dyDescent="0.25">
      <c r="A781" s="7">
        <v>2.1456885228108461E-2</v>
      </c>
      <c r="B781"/>
      <c r="C781"/>
      <c r="D781"/>
      <c r="E781"/>
      <c r="EF781" s="27" t="s">
        <v>7</v>
      </c>
      <c r="EI781" s="27" t="s">
        <v>8</v>
      </c>
    </row>
    <row r="782" spans="1:140" x14ac:dyDescent="0.25">
      <c r="A782" s="7">
        <v>2.1036161988341632E-2</v>
      </c>
      <c r="B782"/>
      <c r="C782"/>
      <c r="D782"/>
      <c r="E782"/>
      <c r="EF782" s="27" t="s">
        <v>7</v>
      </c>
      <c r="EI782" s="27" t="s">
        <v>8</v>
      </c>
      <c r="EJ782" s="27" t="s">
        <v>7</v>
      </c>
    </row>
    <row r="783" spans="1:140" x14ac:dyDescent="0.25">
      <c r="A783" s="7">
        <v>2.0623688223864345E-2</v>
      </c>
      <c r="B783"/>
      <c r="C783"/>
      <c r="D783"/>
      <c r="E783"/>
      <c r="EF783" s="27" t="s">
        <v>7</v>
      </c>
      <c r="EI783" s="27" t="s">
        <v>8</v>
      </c>
      <c r="EJ783" s="27" t="s">
        <v>7</v>
      </c>
    </row>
    <row r="784" spans="1:140" x14ac:dyDescent="0.25">
      <c r="A784" s="7">
        <v>2.021930218025916E-2</v>
      </c>
      <c r="B784"/>
      <c r="C784"/>
      <c r="D784"/>
      <c r="E784"/>
      <c r="EF784" s="27" t="s">
        <v>7</v>
      </c>
      <c r="EI784" s="27" t="s">
        <v>8</v>
      </c>
      <c r="EJ784" s="27" t="s">
        <v>7</v>
      </c>
    </row>
    <row r="785" spans="1:140" x14ac:dyDescent="0.25">
      <c r="A785" s="7">
        <v>1.9822845274763884E-2</v>
      </c>
      <c r="B785"/>
      <c r="C785"/>
      <c r="D785"/>
      <c r="E785"/>
      <c r="EF785" s="27" t="s">
        <v>7</v>
      </c>
      <c r="EI785" s="27" t="s">
        <v>8</v>
      </c>
      <c r="EJ785" s="27" t="s">
        <v>7</v>
      </c>
    </row>
    <row r="786" spans="1:140" x14ac:dyDescent="0.25">
      <c r="A786" s="7">
        <v>1.9434162034082238E-2</v>
      </c>
      <c r="B786"/>
      <c r="C786"/>
      <c r="D786"/>
      <c r="E786"/>
      <c r="EF786" s="27" t="s">
        <v>7</v>
      </c>
      <c r="EI786" s="27" t="s">
        <v>8</v>
      </c>
      <c r="EJ786" s="27" t="s">
        <v>7</v>
      </c>
    </row>
    <row r="787" spans="1:140" x14ac:dyDescent="0.25">
      <c r="A787" s="7">
        <v>1.9053100033413959E-2</v>
      </c>
      <c r="B787"/>
      <c r="C787"/>
      <c r="D787"/>
      <c r="E787"/>
      <c r="EF787" s="27" t="s">
        <v>7</v>
      </c>
      <c r="EG787" s="27" t="s">
        <v>8</v>
      </c>
      <c r="EI787" s="27" t="s">
        <v>8</v>
      </c>
      <c r="EJ787" s="27" t="s">
        <v>7</v>
      </c>
    </row>
    <row r="788" spans="1:140" x14ac:dyDescent="0.25">
      <c r="A788" s="7">
        <v>1.867950983668035E-2</v>
      </c>
      <c r="B788"/>
      <c r="C788"/>
      <c r="D788"/>
      <c r="E788"/>
      <c r="EF788" s="27" t="s">
        <v>7</v>
      </c>
      <c r="EG788" s="27" t="s">
        <v>8</v>
      </c>
      <c r="EH788" s="27" t="s">
        <v>7</v>
      </c>
      <c r="EI788" s="27" t="s">
        <v>8</v>
      </c>
      <c r="EJ788" s="27" t="s">
        <v>7</v>
      </c>
    </row>
    <row r="789" spans="1:140" x14ac:dyDescent="0.25">
      <c r="A789" s="7">
        <v>1.8313244937921913E-2</v>
      </c>
      <c r="B789"/>
      <c r="C789"/>
      <c r="D789"/>
      <c r="E789"/>
      <c r="EF789" s="27" t="s">
        <v>7</v>
      </c>
      <c r="EG789" s="27" t="s">
        <v>8</v>
      </c>
      <c r="EH789" s="27" t="s">
        <v>7</v>
      </c>
      <c r="EI789" s="27" t="s">
        <v>8</v>
      </c>
      <c r="EJ789" s="27" t="s">
        <v>7</v>
      </c>
    </row>
    <row r="790" spans="1:140" x14ac:dyDescent="0.25">
      <c r="A790" s="7">
        <v>1.7954161703845013E-2</v>
      </c>
      <c r="B790"/>
      <c r="C790"/>
      <c r="D790"/>
      <c r="E790"/>
      <c r="EF790" s="27" t="s">
        <v>7</v>
      </c>
      <c r="EG790" s="27" t="s">
        <v>8</v>
      </c>
      <c r="EH790" s="27" t="s">
        <v>7</v>
      </c>
      <c r="EI790" s="27" t="s">
        <v>8</v>
      </c>
      <c r="EJ790" s="27" t="s">
        <v>7</v>
      </c>
    </row>
    <row r="791" spans="1:140" x14ac:dyDescent="0.25">
      <c r="A791" s="7">
        <v>1.7602119317495109E-2</v>
      </c>
      <c r="B791"/>
      <c r="C791"/>
      <c r="D791"/>
      <c r="E791"/>
      <c r="EF791" s="27" t="s">
        <v>7</v>
      </c>
      <c r="EG791" s="27" t="s">
        <v>8</v>
      </c>
      <c r="EH791" s="27" t="s">
        <v>7</v>
      </c>
      <c r="EJ791" s="27" t="s">
        <v>7</v>
      </c>
    </row>
    <row r="792" spans="1:140" x14ac:dyDescent="0.25">
      <c r="A792" s="7">
        <v>1.7256979723034419E-2</v>
      </c>
      <c r="B792"/>
      <c r="C792"/>
      <c r="D792"/>
      <c r="E792"/>
      <c r="EF792" s="27" t="s">
        <v>7</v>
      </c>
      <c r="EJ792" s="27" t="s">
        <v>7</v>
      </c>
    </row>
    <row r="793" spans="1:140" x14ac:dyDescent="0.25">
      <c r="A793" s="7">
        <v>1.6918607571602372E-2</v>
      </c>
      <c r="B793"/>
      <c r="C793"/>
      <c r="D793"/>
      <c r="E793"/>
      <c r="EJ793" s="27" t="s">
        <v>7</v>
      </c>
    </row>
    <row r="794" spans="1:140" x14ac:dyDescent="0.25">
      <c r="A794" s="7">
        <v>1.6586870168237622E-2</v>
      </c>
      <c r="B794"/>
      <c r="C794"/>
      <c r="D794"/>
      <c r="E794"/>
      <c r="EJ794" s="27" t="s">
        <v>7</v>
      </c>
    </row>
    <row r="795" spans="1:140" x14ac:dyDescent="0.25">
      <c r="A795" s="7">
        <v>1.6261637419840807E-2</v>
      </c>
      <c r="B795"/>
      <c r="C795"/>
      <c r="D795"/>
      <c r="E795"/>
      <c r="EJ795" s="27" t="s">
        <v>7</v>
      </c>
    </row>
    <row r="796" spans="1:140" x14ac:dyDescent="0.25">
      <c r="A796" s="7">
        <v>1.5942781784157655E-2</v>
      </c>
      <c r="B796"/>
      <c r="C796"/>
      <c r="D796"/>
      <c r="E796"/>
      <c r="EJ796" s="27" t="s">
        <v>7</v>
      </c>
    </row>
    <row r="797" spans="1:140" x14ac:dyDescent="0.25">
      <c r="A797" s="7">
        <v>1.5630178219762408E-2</v>
      </c>
      <c r="B797"/>
      <c r="C797"/>
      <c r="D797"/>
      <c r="E797"/>
      <c r="EJ797" s="27" t="s">
        <v>7</v>
      </c>
    </row>
    <row r="798" spans="1:140" x14ac:dyDescent="0.25">
      <c r="A798" s="7">
        <v>1.5323704137021967E-2</v>
      </c>
      <c r="B798"/>
      <c r="C798"/>
      <c r="D798"/>
      <c r="E798"/>
      <c r="EJ798" s="27" t="s">
        <v>7</v>
      </c>
    </row>
    <row r="799" spans="1:140" x14ac:dyDescent="0.25">
      <c r="A799" s="7">
        <v>1.5023239350021535E-2</v>
      </c>
      <c r="B799"/>
      <c r="C799"/>
      <c r="D799"/>
      <c r="E799"/>
      <c r="EJ799" s="27" t="s">
        <v>7</v>
      </c>
    </row>
    <row r="800" spans="1:140" x14ac:dyDescent="0.25">
      <c r="A800" s="7">
        <v>1.4728666029432878E-2</v>
      </c>
      <c r="B800"/>
      <c r="C800"/>
      <c r="D800"/>
      <c r="E800"/>
      <c r="EJ800" s="27" t="s">
        <v>7</v>
      </c>
    </row>
    <row r="801" spans="1:144" x14ac:dyDescent="0.25">
      <c r="A801" s="7">
        <v>1.4439868656306743E-2</v>
      </c>
      <c r="B801"/>
      <c r="C801"/>
      <c r="D801"/>
      <c r="E801"/>
      <c r="EJ801" s="27" t="s">
        <v>7</v>
      </c>
    </row>
    <row r="802" spans="1:144" x14ac:dyDescent="0.25">
      <c r="A802" s="7">
        <v>1.4156733976771318E-2</v>
      </c>
      <c r="B802"/>
      <c r="C802"/>
      <c r="D802"/>
      <c r="E802"/>
      <c r="EJ802" s="27" t="s">
        <v>7</v>
      </c>
    </row>
    <row r="803" spans="1:144" x14ac:dyDescent="0.25">
      <c r="A803" s="7">
        <v>1.3879150957618939E-2</v>
      </c>
      <c r="B803"/>
      <c r="C803"/>
      <c r="D803"/>
      <c r="E803"/>
      <c r="EJ803" s="27" t="s">
        <v>7</v>
      </c>
    </row>
    <row r="804" spans="1:144" x14ac:dyDescent="0.25">
      <c r="A804" s="7">
        <v>1.3607010742763666E-2</v>
      </c>
      <c r="B804"/>
      <c r="C804"/>
      <c r="D804"/>
      <c r="E804"/>
      <c r="EJ804" s="27" t="s">
        <v>7</v>
      </c>
    </row>
    <row r="805" spans="1:144" x14ac:dyDescent="0.25">
      <c r="A805" s="7">
        <v>1.3340206610552614E-2</v>
      </c>
      <c r="B805"/>
      <c r="C805"/>
      <c r="D805"/>
      <c r="E805"/>
      <c r="EJ805" s="27" t="s">
        <v>7</v>
      </c>
      <c r="EK805" s="27" t="s">
        <v>8</v>
      </c>
    </row>
    <row r="806" spans="1:144" x14ac:dyDescent="0.25">
      <c r="A806" s="7">
        <v>1.3078633931914328E-2</v>
      </c>
      <c r="B806"/>
      <c r="C806"/>
      <c r="D806"/>
      <c r="E806"/>
      <c r="EJ806" s="27" t="s">
        <v>7</v>
      </c>
      <c r="EK806" s="27" t="s">
        <v>8</v>
      </c>
      <c r="EL806" s="27" t="s">
        <v>7</v>
      </c>
    </row>
    <row r="807" spans="1:144" x14ac:dyDescent="0.25">
      <c r="A807" s="7">
        <v>1.2822190129327771E-2</v>
      </c>
      <c r="B807"/>
      <c r="C807"/>
      <c r="D807"/>
      <c r="E807"/>
      <c r="EJ807" s="27" t="s">
        <v>7</v>
      </c>
      <c r="EK807" s="27" t="s">
        <v>8</v>
      </c>
      <c r="EL807" s="27" t="s">
        <v>7</v>
      </c>
    </row>
    <row r="808" spans="1:144" x14ac:dyDescent="0.25">
      <c r="A808" s="7">
        <v>1.2570774636595854E-2</v>
      </c>
      <c r="B808"/>
      <c r="C808"/>
      <c r="D808"/>
      <c r="E808"/>
      <c r="EJ808" s="27" t="s">
        <v>7</v>
      </c>
      <c r="EK808" s="27" t="s">
        <v>8</v>
      </c>
      <c r="EL808" s="27" t="s">
        <v>7</v>
      </c>
      <c r="EM808" s="27" t="s">
        <v>8</v>
      </c>
    </row>
    <row r="809" spans="1:144" x14ac:dyDescent="0.25">
      <c r="A809" s="7">
        <v>1.23242888594077E-2</v>
      </c>
      <c r="B809"/>
      <c r="C809"/>
      <c r="D809"/>
      <c r="E809"/>
      <c r="EJ809" s="27" t="s">
        <v>7</v>
      </c>
      <c r="EK809" s="27" t="s">
        <v>8</v>
      </c>
      <c r="EL809" s="27" t="s">
        <v>7</v>
      </c>
      <c r="EM809" s="27" t="s">
        <v>8</v>
      </c>
      <c r="EN809" s="27" t="s">
        <v>7</v>
      </c>
    </row>
    <row r="810" spans="1:144" x14ac:dyDescent="0.25">
      <c r="A810" s="7">
        <v>1.2082636136674216E-2</v>
      </c>
      <c r="B810"/>
      <c r="C810"/>
      <c r="D810"/>
      <c r="E810"/>
      <c r="EJ810" s="27" t="s">
        <v>7</v>
      </c>
      <c r="EK810" s="27" t="s">
        <v>8</v>
      </c>
      <c r="EL810" s="27" t="s">
        <v>7</v>
      </c>
      <c r="EM810" s="27" t="s">
        <v>8</v>
      </c>
      <c r="EN810" s="27" t="s">
        <v>7</v>
      </c>
    </row>
    <row r="811" spans="1:144" x14ac:dyDescent="0.25">
      <c r="A811" s="7">
        <v>1.184572170262178E-2</v>
      </c>
      <c r="B811"/>
      <c r="C811"/>
      <c r="D811"/>
      <c r="E811"/>
      <c r="EJ811" s="27" t="s">
        <v>7</v>
      </c>
      <c r="EK811" s="27" t="s">
        <v>8</v>
      </c>
      <c r="EL811" s="27" t="s">
        <v>7</v>
      </c>
      <c r="EM811" s="27" t="s">
        <v>8</v>
      </c>
      <c r="EN811" s="27" t="s">
        <v>7</v>
      </c>
    </row>
    <row r="812" spans="1:144" x14ac:dyDescent="0.25">
      <c r="A812" s="7">
        <v>1.1613452649629196E-2</v>
      </c>
      <c r="B812"/>
      <c r="C812"/>
      <c r="D812"/>
      <c r="E812"/>
      <c r="EJ812" s="27" t="s">
        <v>7</v>
      </c>
      <c r="EK812" s="27" t="s">
        <v>8</v>
      </c>
      <c r="EL812" s="27" t="s">
        <v>7</v>
      </c>
      <c r="EM812" s="27" t="s">
        <v>8</v>
      </c>
      <c r="EN812" s="27" t="s">
        <v>7</v>
      </c>
    </row>
    <row r="813" spans="1:144" x14ac:dyDescent="0.25">
      <c r="A813" s="7">
        <v>1.138573789179333E-2</v>
      </c>
      <c r="B813"/>
      <c r="C813"/>
      <c r="D813"/>
      <c r="E813"/>
      <c r="EJ813" s="27" t="s">
        <v>7</v>
      </c>
      <c r="EK813" s="27" t="s">
        <v>8</v>
      </c>
      <c r="EL813" s="27" t="s">
        <v>7</v>
      </c>
      <c r="EM813" s="27" t="s">
        <v>8</v>
      </c>
      <c r="EN813" s="27" t="s">
        <v>7</v>
      </c>
    </row>
    <row r="814" spans="1:144" x14ac:dyDescent="0.25">
      <c r="A814" s="7">
        <v>1.1162488129209149E-2</v>
      </c>
      <c r="B814"/>
      <c r="C814"/>
      <c r="D814"/>
      <c r="E814"/>
      <c r="EJ814" s="27" t="s">
        <v>7</v>
      </c>
      <c r="EK814" s="27" t="s">
        <v>8</v>
      </c>
      <c r="EL814" s="27" t="s">
        <v>7</v>
      </c>
      <c r="EM814" s="27" t="s">
        <v>8</v>
      </c>
      <c r="EN814" s="27" t="s">
        <v>7</v>
      </c>
    </row>
    <row r="815" spans="1:144" x14ac:dyDescent="0.25">
      <c r="A815" s="7">
        <v>1.0943615812950145E-2</v>
      </c>
      <c r="B815"/>
      <c r="C815"/>
      <c r="D815"/>
      <c r="E815"/>
      <c r="EJ815" s="27" t="s">
        <v>7</v>
      </c>
      <c r="EK815" s="27" t="s">
        <v>8</v>
      </c>
      <c r="EL815" s="27" t="s">
        <v>7</v>
      </c>
      <c r="EM815" s="27" t="s">
        <v>8</v>
      </c>
    </row>
    <row r="816" spans="1:144" x14ac:dyDescent="0.25">
      <c r="A816" s="7">
        <v>1.0729035110735436E-2</v>
      </c>
      <c r="B816"/>
      <c r="C816"/>
      <c r="D816"/>
      <c r="E816"/>
      <c r="EJ816" s="27" t="s">
        <v>7</v>
      </c>
      <c r="EK816" s="27" t="s">
        <v>8</v>
      </c>
      <c r="EL816" s="27" t="s">
        <v>7</v>
      </c>
      <c r="EM816" s="27" t="s">
        <v>8</v>
      </c>
    </row>
    <row r="817" spans="1:142" x14ac:dyDescent="0.25">
      <c r="A817" s="7">
        <v>1.0518661873270036E-2</v>
      </c>
      <c r="B817"/>
      <c r="C817"/>
      <c r="D817"/>
      <c r="E817"/>
      <c r="EJ817" s="27" t="s">
        <v>7</v>
      </c>
      <c r="EL817" s="27" t="s">
        <v>7</v>
      </c>
    </row>
    <row r="818" spans="1:142" x14ac:dyDescent="0.25">
      <c r="A818" s="7">
        <v>1.0312413601245135E-2</v>
      </c>
      <c r="B818"/>
      <c r="C818"/>
      <c r="D818"/>
      <c r="E818"/>
    </row>
    <row r="819" spans="1:142" x14ac:dyDescent="0.25">
      <c r="A819" s="7">
        <v>1.0110209412985426E-2</v>
      </c>
      <c r="B819"/>
      <c r="C819"/>
      <c r="D819"/>
      <c r="E819"/>
    </row>
    <row r="820" spans="1:142" x14ac:dyDescent="0.25">
      <c r="A820" s="7">
        <v>9.9119700127308103E-3</v>
      </c>
      <c r="B820"/>
      <c r="C820"/>
      <c r="D820"/>
      <c r="E820"/>
    </row>
    <row r="821" spans="1:142" x14ac:dyDescent="0.25">
      <c r="A821" s="7">
        <v>9.717617659540009E-3</v>
      </c>
      <c r="B821"/>
      <c r="C821"/>
      <c r="D821"/>
      <c r="E821"/>
    </row>
    <row r="822" spans="1:142" x14ac:dyDescent="0.25">
      <c r="A822" s="7">
        <v>9.5270761368039299E-3</v>
      </c>
      <c r="B822"/>
      <c r="C822"/>
      <c r="D822"/>
      <c r="E822"/>
    </row>
    <row r="823" spans="1:142" x14ac:dyDescent="0.25">
      <c r="A823" s="7">
        <v>9.3402707223567936E-3</v>
      </c>
      <c r="B823"/>
      <c r="C823"/>
      <c r="D823"/>
      <c r="E823"/>
    </row>
    <row r="824" spans="1:142" x14ac:dyDescent="0.25">
      <c r="A824" s="7">
        <v>9.1571281591733261E-3</v>
      </c>
      <c r="B824"/>
      <c r="C824"/>
      <c r="D824"/>
      <c r="E824"/>
    </row>
    <row r="825" spans="1:142" x14ac:dyDescent="0.25">
      <c r="A825" s="7">
        <v>8.9775766266405148E-3</v>
      </c>
      <c r="B825"/>
      <c r="C825"/>
      <c r="D825"/>
      <c r="E825"/>
    </row>
    <row r="826" spans="1:142" x14ac:dyDescent="0.25">
      <c r="A826" s="7">
        <v>8.8015457123926614E-3</v>
      </c>
      <c r="B826"/>
      <c r="C826"/>
      <c r="D826"/>
      <c r="E826"/>
    </row>
    <row r="827" spans="1:142" x14ac:dyDescent="0.25">
      <c r="A827" s="7">
        <v>8.6289663846986879E-3</v>
      </c>
      <c r="B827"/>
      <c r="C827"/>
      <c r="D827"/>
      <c r="E827"/>
    </row>
    <row r="828" spans="1:142" x14ac:dyDescent="0.25">
      <c r="A828" s="7">
        <v>8.4597709653908715E-3</v>
      </c>
      <c r="B828"/>
      <c r="C828"/>
      <c r="D828"/>
      <c r="E828"/>
    </row>
    <row r="829" spans="1:142" x14ac:dyDescent="0.25">
      <c r="A829" s="7">
        <v>8.2938931033243839E-3</v>
      </c>
      <c r="B829"/>
      <c r="C829"/>
      <c r="D829"/>
      <c r="E829"/>
    </row>
    <row r="830" spans="1:142" x14ac:dyDescent="0.25">
      <c r="A830" s="7">
        <v>8.1312677483572383E-3</v>
      </c>
      <c r="B830"/>
      <c r="C830"/>
      <c r="D830"/>
      <c r="E830"/>
    </row>
    <row r="831" spans="1:142" x14ac:dyDescent="0.25">
      <c r="A831" s="7">
        <v>7.9718311258404305E-3</v>
      </c>
      <c r="B831"/>
      <c r="C831"/>
      <c r="D831"/>
      <c r="E831"/>
    </row>
    <row r="832" spans="1:142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78" operator="equal">
      <formula>$U$1</formula>
    </cfRule>
    <cfRule type="cellIs" dxfId="89" priority="679" operator="equal">
      <formula>$S$1</formula>
    </cfRule>
  </conditionalFormatting>
  <conditionalFormatting sqref="D27">
    <cfRule type="cellIs" dxfId="88" priority="676" operator="equal">
      <formula>$S$1</formula>
    </cfRule>
    <cfRule type="cellIs" dxfId="87" priority="677" operator="equal">
      <formula>$U$1</formula>
    </cfRule>
  </conditionalFormatting>
  <conditionalFormatting sqref="C164">
    <cfRule type="cellIs" dxfId="86" priority="674" operator="equal">
      <formula>$U$1</formula>
    </cfRule>
    <cfRule type="cellIs" dxfId="85" priority="675" operator="equal">
      <formula>$S$1</formula>
    </cfRule>
  </conditionalFormatting>
  <conditionalFormatting sqref="D164">
    <cfRule type="cellIs" dxfId="84" priority="672" operator="equal">
      <formula>$S$1</formula>
    </cfRule>
    <cfRule type="cellIs" dxfId="83" priority="673" operator="equal">
      <formula>$U$1</formula>
    </cfRule>
  </conditionalFormatting>
  <conditionalFormatting sqref="C55">
    <cfRule type="cellIs" dxfId="82" priority="670" operator="equal">
      <formula>$U$1</formula>
    </cfRule>
    <cfRule type="cellIs" dxfId="81" priority="671" operator="equal">
      <formula>$S$1</formula>
    </cfRule>
  </conditionalFormatting>
  <conditionalFormatting sqref="D55">
    <cfRule type="cellIs" dxfId="80" priority="668" operator="equal">
      <formula>$S$1</formula>
    </cfRule>
    <cfRule type="cellIs" dxfId="79" priority="669" operator="equal">
      <formula>$U$1</formula>
    </cfRule>
  </conditionalFormatting>
  <conditionalFormatting sqref="C89">
    <cfRule type="cellIs" dxfId="78" priority="666" operator="equal">
      <formula>$U$1</formula>
    </cfRule>
    <cfRule type="cellIs" dxfId="77" priority="667" operator="equal">
      <formula>$S$1</formula>
    </cfRule>
  </conditionalFormatting>
  <conditionalFormatting sqref="D89">
    <cfRule type="cellIs" dxfId="76" priority="664" operator="equal">
      <formula>$S$1</formula>
    </cfRule>
    <cfRule type="cellIs" dxfId="75" priority="665" operator="equal">
      <formula>$U$1</formula>
    </cfRule>
  </conditionalFormatting>
  <conditionalFormatting sqref="C136">
    <cfRule type="cellIs" dxfId="74" priority="662" operator="equal">
      <formula>$U$1</formula>
    </cfRule>
    <cfRule type="cellIs" dxfId="73" priority="663" operator="equal">
      <formula>$S$1</formula>
    </cfRule>
  </conditionalFormatting>
  <conditionalFormatting sqref="D136">
    <cfRule type="cellIs" dxfId="72" priority="660" operator="equal">
      <formula>$S$1</formula>
    </cfRule>
    <cfRule type="cellIs" dxfId="71" priority="661" operator="equal">
      <formula>$U$1</formula>
    </cfRule>
  </conditionalFormatting>
  <conditionalFormatting sqref="C1">
    <cfRule type="cellIs" dxfId="70" priority="65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CA330" sqref="CA33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$A$329</v>
      </c>
      <c r="D111" s="1" t="str">
        <f>ADDRESS(C121-1,D121,1,1)</f>
        <v>$CA$329</v>
      </c>
      <c r="E111"/>
    </row>
    <row r="112" spans="1:5" x14ac:dyDescent="0.25">
      <c r="A112" s="30">
        <v>515.50191262726139</v>
      </c>
      <c r="C112" s="1" t="str">
        <f>ADDRESS(C121,1,1,1)</f>
        <v>$A$330</v>
      </c>
      <c r="D112" s="1" t="str">
        <f>ADDRESS(C121,D121-1,1,1)</f>
        <v>$BZ$330</v>
      </c>
      <c r="E112"/>
    </row>
    <row r="113" spans="1:5" x14ac:dyDescent="0.25">
      <c r="A113" s="30">
        <v>490.95420250215363</v>
      </c>
      <c r="C113" s="1" t="str">
        <f>ADDRESS(C121+1,1,1,1)</f>
        <v>$A$331</v>
      </c>
      <c r="D113" s="1" t="str">
        <f>ADDRESS(C121-1,D121+1,1,1)</f>
        <v>$CB$329</v>
      </c>
    </row>
    <row r="114" spans="1:5" x14ac:dyDescent="0.25">
      <c r="A114" s="30">
        <v>467.57543095443202</v>
      </c>
      <c r="C114" s="1" t="str">
        <f>ADDRESS(C121,D121,1,1)</f>
        <v>$CA$330</v>
      </c>
      <c r="D114" s="1" t="str">
        <f>ADDRESS(C121+1,D121+1,1,1)</f>
        <v>$CB$331</v>
      </c>
    </row>
    <row r="115" spans="1:5" x14ac:dyDescent="0.25">
      <c r="A115" s="30">
        <v>445.30993424231622</v>
      </c>
      <c r="C115" s="1" t="str">
        <f>ADDRESS(C121+1,D121,1,1)</f>
        <v>$CA$331</v>
      </c>
    </row>
    <row r="116" spans="1:5" x14ac:dyDescent="0.25">
      <c r="A116" s="30">
        <v>424.10469927839637</v>
      </c>
      <c r="C116" s="1">
        <f>C117-1</f>
        <v>329</v>
      </c>
    </row>
    <row r="117" spans="1:5" x14ac:dyDescent="0.25">
      <c r="A117" s="30">
        <v>403.9092374079965</v>
      </c>
      <c r="C117" s="1">
        <f>C121</f>
        <v>330</v>
      </c>
      <c r="D117" s="1">
        <f>D121</f>
        <v>79</v>
      </c>
    </row>
    <row r="118" spans="1:5" x14ac:dyDescent="0.25">
      <c r="A118" s="30">
        <v>384.6754641980919</v>
      </c>
      <c r="C118" s="1">
        <f>C117+1</f>
        <v>331</v>
      </c>
      <c r="D118" s="1">
        <f>D117+1</f>
        <v>80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330</v>
      </c>
      <c r="D121" s="19">
        <v>79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R330</v>
      </c>
      <c r="D123" s="1" t="str">
        <f>"C"&amp;D121</f>
        <v>C79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1.2386912896918512E-2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46" x14ac:dyDescent="0.25">
      <c r="A257" s="30">
        <v>0.43629668761085438</v>
      </c>
      <c r="B257"/>
      <c r="C257"/>
      <c r="D257"/>
      <c r="E257"/>
      <c r="F257" s="27" t="s">
        <v>7</v>
      </c>
    </row>
    <row r="258" spans="1:46" x14ac:dyDescent="0.25">
      <c r="A258" s="30">
        <v>0.41552065486748019</v>
      </c>
      <c r="B258"/>
      <c r="C258"/>
      <c r="D258"/>
      <c r="E258"/>
      <c r="F258" s="27" t="s">
        <v>7</v>
      </c>
    </row>
    <row r="259" spans="1:46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AI259" s="27" t="s">
        <v>8</v>
      </c>
    </row>
    <row r="260" spans="1:46" x14ac:dyDescent="0.25">
      <c r="A260" s="30">
        <v>0.37688948287299762</v>
      </c>
      <c r="B260"/>
      <c r="C260"/>
      <c r="D260"/>
      <c r="E260"/>
      <c r="F260" s="27" t="s">
        <v>7</v>
      </c>
      <c r="G260" s="27" t="s">
        <v>8</v>
      </c>
      <c r="H260" s="27" t="s">
        <v>7</v>
      </c>
      <c r="AI260" s="27" t="s">
        <v>8</v>
      </c>
      <c r="AJ260" s="27" t="s">
        <v>7</v>
      </c>
      <c r="AK260" s="27" t="s">
        <v>8</v>
      </c>
    </row>
    <row r="261" spans="1:46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H261" s="27" t="s">
        <v>7</v>
      </c>
      <c r="AI261" s="27" t="s">
        <v>8</v>
      </c>
      <c r="AJ261" s="27" t="s">
        <v>7</v>
      </c>
      <c r="AK261" s="27" t="s">
        <v>8</v>
      </c>
      <c r="AL261" s="27" t="s">
        <v>7</v>
      </c>
    </row>
    <row r="262" spans="1:46" x14ac:dyDescent="0.25">
      <c r="A262" s="30">
        <v>0.34184987108661891</v>
      </c>
      <c r="B262"/>
      <c r="C262"/>
      <c r="D262"/>
      <c r="E262"/>
      <c r="F262" s="27" t="s">
        <v>7</v>
      </c>
      <c r="G262" s="27" t="s">
        <v>8</v>
      </c>
      <c r="H262" s="27" t="s">
        <v>7</v>
      </c>
      <c r="O262" s="27" t="s">
        <v>8</v>
      </c>
      <c r="AI262" s="27" t="s">
        <v>8</v>
      </c>
      <c r="AJ262" s="27" t="s">
        <v>7</v>
      </c>
      <c r="AK262" s="27" t="s">
        <v>8</v>
      </c>
      <c r="AL262" s="27" t="s">
        <v>7</v>
      </c>
      <c r="AO262" s="27" t="s">
        <v>8</v>
      </c>
    </row>
    <row r="263" spans="1:46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H263" s="27" t="s">
        <v>7</v>
      </c>
      <c r="O263" s="27" t="s">
        <v>8</v>
      </c>
      <c r="P263" s="27" t="s">
        <v>7</v>
      </c>
      <c r="AI263" s="27" t="s">
        <v>8</v>
      </c>
      <c r="AJ263" s="27" t="s">
        <v>7</v>
      </c>
      <c r="AK263" s="27" t="s">
        <v>8</v>
      </c>
      <c r="AL263" s="27" t="s">
        <v>7</v>
      </c>
      <c r="AO263" s="27" t="s">
        <v>8</v>
      </c>
      <c r="AP263" s="27" t="s">
        <v>7</v>
      </c>
      <c r="AQ263" s="27" t="s">
        <v>8</v>
      </c>
    </row>
    <row r="264" spans="1:46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H264" s="27" t="s">
        <v>7</v>
      </c>
      <c r="I264" s="27" t="s">
        <v>8</v>
      </c>
      <c r="O264" s="27" t="s">
        <v>8</v>
      </c>
      <c r="P264" s="27" t="s">
        <v>7</v>
      </c>
      <c r="AI264" s="27" t="s">
        <v>8</v>
      </c>
      <c r="AJ264" s="27" t="s">
        <v>7</v>
      </c>
      <c r="AK264" s="27" t="s">
        <v>8</v>
      </c>
      <c r="AL264" s="27" t="s">
        <v>7</v>
      </c>
      <c r="AO264" s="27" t="s">
        <v>8</v>
      </c>
      <c r="AP264" s="27" t="s">
        <v>7</v>
      </c>
      <c r="AQ264" s="27" t="s">
        <v>8</v>
      </c>
      <c r="AR264" s="27" t="s">
        <v>7</v>
      </c>
    </row>
    <row r="265" spans="1:46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  <c r="H265" s="27" t="s">
        <v>7</v>
      </c>
      <c r="I265" s="27" t="s">
        <v>8</v>
      </c>
      <c r="J265" s="27" t="s">
        <v>7</v>
      </c>
      <c r="O265" s="27" t="s">
        <v>8</v>
      </c>
      <c r="P265" s="27" t="s">
        <v>7</v>
      </c>
      <c r="AI265" s="27" t="s">
        <v>8</v>
      </c>
      <c r="AJ265" s="27" t="s">
        <v>7</v>
      </c>
      <c r="AL265" s="27" t="s">
        <v>7</v>
      </c>
      <c r="AM265" s="27" t="s">
        <v>8</v>
      </c>
      <c r="AO265" s="27" t="s">
        <v>8</v>
      </c>
      <c r="AP265" s="27" t="s">
        <v>7</v>
      </c>
      <c r="AQ265" s="27" t="s">
        <v>8</v>
      </c>
      <c r="AR265" s="27" t="s">
        <v>7</v>
      </c>
    </row>
    <row r="266" spans="1:46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H266" s="27" t="s">
        <v>7</v>
      </c>
      <c r="I266" s="27" t="s">
        <v>8</v>
      </c>
      <c r="J266" s="27" t="s">
        <v>7</v>
      </c>
      <c r="O266" s="27" t="s">
        <v>8</v>
      </c>
      <c r="P266" s="27" t="s">
        <v>7</v>
      </c>
      <c r="AI266" s="27" t="s">
        <v>8</v>
      </c>
      <c r="AL266" s="27" t="s">
        <v>7</v>
      </c>
      <c r="AM266" s="27" t="s">
        <v>8</v>
      </c>
      <c r="AN266" s="27" t="s">
        <v>7</v>
      </c>
      <c r="AO266" s="27" t="s">
        <v>8</v>
      </c>
      <c r="AP266" s="27" t="s">
        <v>7</v>
      </c>
      <c r="AQ266" s="27" t="s">
        <v>8</v>
      </c>
      <c r="AR266" s="27" t="s">
        <v>7</v>
      </c>
    </row>
    <row r="267" spans="1:46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H267" s="27" t="s">
        <v>7</v>
      </c>
      <c r="I267" s="27" t="s">
        <v>8</v>
      </c>
      <c r="J267" s="27" t="s">
        <v>7</v>
      </c>
      <c r="K267" s="27" t="s">
        <v>8</v>
      </c>
      <c r="O267" s="27" t="s">
        <v>8</v>
      </c>
      <c r="P267" s="27" t="s">
        <v>7</v>
      </c>
      <c r="AI267" s="27" t="s">
        <v>8</v>
      </c>
      <c r="AL267" s="27" t="s">
        <v>7</v>
      </c>
      <c r="AM267" s="27" t="s">
        <v>8</v>
      </c>
      <c r="AN267" s="27" t="s">
        <v>7</v>
      </c>
      <c r="AO267" s="27" t="s">
        <v>8</v>
      </c>
      <c r="AP267" s="27" t="s">
        <v>7</v>
      </c>
      <c r="AR267" s="27" t="s">
        <v>7</v>
      </c>
    </row>
    <row r="268" spans="1:46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H268" s="27" t="s">
        <v>7</v>
      </c>
      <c r="J268" s="27" t="s">
        <v>7</v>
      </c>
      <c r="K268" s="27" t="s">
        <v>8</v>
      </c>
      <c r="L268" s="27" t="s">
        <v>7</v>
      </c>
      <c r="O268" s="27" t="s">
        <v>8</v>
      </c>
      <c r="P268" s="27" t="s">
        <v>7</v>
      </c>
      <c r="AI268" s="27" t="s">
        <v>8</v>
      </c>
      <c r="AL268" s="27" t="s">
        <v>7</v>
      </c>
      <c r="AM268" s="27" t="s">
        <v>8</v>
      </c>
      <c r="AN268" s="27" t="s">
        <v>7</v>
      </c>
      <c r="AO268" s="27" t="s">
        <v>8</v>
      </c>
      <c r="AR268" s="27" t="s">
        <v>7</v>
      </c>
    </row>
    <row r="269" spans="1:46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J269" s="27" t="s">
        <v>7</v>
      </c>
      <c r="K269" s="27" t="s">
        <v>8</v>
      </c>
      <c r="L269" s="27" t="s">
        <v>7</v>
      </c>
      <c r="M269" s="27" t="s">
        <v>8</v>
      </c>
      <c r="O269" s="27" t="s">
        <v>8</v>
      </c>
      <c r="P269" s="27" t="s">
        <v>7</v>
      </c>
      <c r="S269" s="27" t="s">
        <v>8</v>
      </c>
      <c r="AG269" s="27" t="s">
        <v>8</v>
      </c>
      <c r="AI269" s="27" t="s">
        <v>8</v>
      </c>
      <c r="AL269" s="27" t="s">
        <v>7</v>
      </c>
      <c r="AN269" s="18" t="s">
        <v>7</v>
      </c>
      <c r="AO269" s="27" t="s">
        <v>8</v>
      </c>
      <c r="AR269" s="27" t="s">
        <v>7</v>
      </c>
    </row>
    <row r="270" spans="1:46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J270" s="27" t="s">
        <v>7</v>
      </c>
      <c r="K270" s="27" t="s">
        <v>8</v>
      </c>
      <c r="L270" s="27" t="s">
        <v>7</v>
      </c>
      <c r="M270" s="27" t="s">
        <v>8</v>
      </c>
      <c r="N270" s="27" t="s">
        <v>7</v>
      </c>
      <c r="O270" s="27" t="s">
        <v>8</v>
      </c>
      <c r="P270" s="27" t="s">
        <v>7</v>
      </c>
      <c r="S270" s="27" t="s">
        <v>8</v>
      </c>
      <c r="T270" s="27" t="s">
        <v>7</v>
      </c>
      <c r="AG270" s="27" t="s">
        <v>8</v>
      </c>
      <c r="AH270" s="27" t="s">
        <v>7</v>
      </c>
      <c r="AI270" s="27" t="s">
        <v>8</v>
      </c>
      <c r="AN270" s="27" t="s">
        <v>7</v>
      </c>
      <c r="AO270" s="27" t="s">
        <v>8</v>
      </c>
      <c r="AR270" s="27" t="s">
        <v>7</v>
      </c>
    </row>
    <row r="271" spans="1:46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  <c r="J271" s="27" t="s">
        <v>7</v>
      </c>
      <c r="L271" s="27" t="s">
        <v>7</v>
      </c>
      <c r="M271" s="27" t="s">
        <v>8</v>
      </c>
      <c r="N271" s="27" t="s">
        <v>7</v>
      </c>
      <c r="O271" s="27" t="s">
        <v>8</v>
      </c>
      <c r="P271" s="27" t="s">
        <v>7</v>
      </c>
      <c r="S271" s="27" t="s">
        <v>8</v>
      </c>
      <c r="T271" s="27" t="s">
        <v>7</v>
      </c>
      <c r="AG271" s="27" t="s">
        <v>8</v>
      </c>
      <c r="AH271" s="27" t="s">
        <v>7</v>
      </c>
      <c r="AI271" s="27" t="s">
        <v>8</v>
      </c>
      <c r="AN271" s="27" t="s">
        <v>7</v>
      </c>
      <c r="AR271" s="27" t="s">
        <v>7</v>
      </c>
      <c r="AS271" s="27" t="s">
        <v>8</v>
      </c>
    </row>
    <row r="272" spans="1:46" x14ac:dyDescent="0.25">
      <c r="A272" s="30">
        <v>0.20986616658127455</v>
      </c>
      <c r="B272"/>
      <c r="C272"/>
      <c r="D272"/>
      <c r="E272"/>
      <c r="F272" s="27" t="s">
        <v>7</v>
      </c>
      <c r="L272" s="27" t="s">
        <v>7</v>
      </c>
      <c r="M272" s="27" t="s">
        <v>8</v>
      </c>
      <c r="N272" s="27" t="s">
        <v>7</v>
      </c>
      <c r="O272" s="27" t="s">
        <v>8</v>
      </c>
      <c r="P272" s="27" t="s">
        <v>7</v>
      </c>
      <c r="S272" s="27" t="s">
        <v>8</v>
      </c>
      <c r="T272" s="27" t="s">
        <v>7</v>
      </c>
      <c r="AG272" s="27" t="s">
        <v>8</v>
      </c>
      <c r="AH272" s="27" t="s">
        <v>7</v>
      </c>
      <c r="AI272" s="27" t="s">
        <v>8</v>
      </c>
      <c r="AR272" s="27" t="s">
        <v>7</v>
      </c>
      <c r="AS272" s="27" t="s">
        <v>8</v>
      </c>
      <c r="AT272" s="27" t="s">
        <v>7</v>
      </c>
    </row>
    <row r="273" spans="1:68" x14ac:dyDescent="0.25">
      <c r="A273" s="30">
        <v>0.19987253960121379</v>
      </c>
      <c r="B273"/>
      <c r="C273"/>
      <c r="D273"/>
      <c r="E273"/>
      <c r="L273" s="27" t="s">
        <v>7</v>
      </c>
      <c r="M273" s="27" t="s">
        <v>8</v>
      </c>
      <c r="N273" s="27" t="s">
        <v>7</v>
      </c>
      <c r="O273" s="27" t="s">
        <v>8</v>
      </c>
      <c r="P273" s="27" t="s">
        <v>7</v>
      </c>
      <c r="S273" s="27" t="s">
        <v>8</v>
      </c>
      <c r="T273" s="27" t="s">
        <v>7</v>
      </c>
      <c r="AG273" s="27" t="s">
        <v>8</v>
      </c>
      <c r="AH273" s="27" t="s">
        <v>7</v>
      </c>
      <c r="AI273" s="27" t="s">
        <v>8</v>
      </c>
      <c r="AR273" s="27" t="s">
        <v>7</v>
      </c>
      <c r="AS273" s="27" t="s">
        <v>8</v>
      </c>
      <c r="AT273" s="27" t="s">
        <v>7</v>
      </c>
    </row>
    <row r="274" spans="1:68" x14ac:dyDescent="0.25">
      <c r="A274" s="30">
        <v>0.19035479962020352</v>
      </c>
      <c r="B274"/>
      <c r="C274"/>
      <c r="D274"/>
      <c r="E274"/>
      <c r="L274" s="27" t="s">
        <v>7</v>
      </c>
      <c r="M274" s="27" t="s">
        <v>8</v>
      </c>
      <c r="N274" s="27" t="s">
        <v>7</v>
      </c>
      <c r="O274" s="27" t="s">
        <v>8</v>
      </c>
      <c r="P274" s="27" t="s">
        <v>7</v>
      </c>
      <c r="S274" s="27" t="s">
        <v>8</v>
      </c>
      <c r="T274" s="27" t="s">
        <v>7</v>
      </c>
      <c r="AG274" s="27" t="s">
        <v>8</v>
      </c>
      <c r="AH274" s="27" t="s">
        <v>7</v>
      </c>
      <c r="AI274" s="27" t="s">
        <v>8</v>
      </c>
      <c r="AR274" s="27" t="s">
        <v>7</v>
      </c>
      <c r="AS274" s="27" t="s">
        <v>8</v>
      </c>
      <c r="AT274" s="27" t="s">
        <v>7</v>
      </c>
    </row>
    <row r="275" spans="1:68" x14ac:dyDescent="0.25">
      <c r="A275" s="30">
        <v>0.18129028535257471</v>
      </c>
      <c r="B275"/>
      <c r="C275"/>
      <c r="D275"/>
      <c r="E275"/>
      <c r="L275" s="27" t="s">
        <v>7</v>
      </c>
      <c r="M275" s="27" t="s">
        <v>8</v>
      </c>
      <c r="N275" s="27" t="s">
        <v>7</v>
      </c>
      <c r="O275" s="27" t="s">
        <v>8</v>
      </c>
      <c r="P275" s="27" t="s">
        <v>7</v>
      </c>
      <c r="Q275" s="27" t="s">
        <v>8</v>
      </c>
      <c r="S275" s="27" t="s">
        <v>8</v>
      </c>
      <c r="T275" s="27" t="s">
        <v>7</v>
      </c>
      <c r="AE275" s="27" t="s">
        <v>8</v>
      </c>
      <c r="AG275" s="27" t="s">
        <v>8</v>
      </c>
      <c r="AH275" s="27" t="s">
        <v>7</v>
      </c>
      <c r="AR275" s="27" t="s">
        <v>7</v>
      </c>
      <c r="AS275" s="27" t="s">
        <v>8</v>
      </c>
      <c r="AT275" s="27" t="s">
        <v>7</v>
      </c>
    </row>
    <row r="276" spans="1:68" x14ac:dyDescent="0.25">
      <c r="A276" s="30">
        <v>0.17265741462149967</v>
      </c>
      <c r="B276"/>
      <c r="C276"/>
      <c r="D276"/>
      <c r="E276"/>
      <c r="L276" s="27" t="s">
        <v>7</v>
      </c>
      <c r="M276" s="27" t="s">
        <v>8</v>
      </c>
      <c r="N276" s="27" t="s">
        <v>7</v>
      </c>
      <c r="P276" s="27" t="s">
        <v>7</v>
      </c>
      <c r="Q276" s="27" t="s">
        <v>8</v>
      </c>
      <c r="R276" s="27" t="s">
        <v>7</v>
      </c>
      <c r="S276" s="27" t="s">
        <v>8</v>
      </c>
      <c r="T276" s="27" t="s">
        <v>7</v>
      </c>
      <c r="AE276" s="27" t="s">
        <v>8</v>
      </c>
      <c r="AF276" s="27" t="s">
        <v>7</v>
      </c>
      <c r="AG276" s="27" t="s">
        <v>8</v>
      </c>
      <c r="AR276" s="27" t="s">
        <v>7</v>
      </c>
      <c r="AT276" s="27" t="s">
        <v>7</v>
      </c>
    </row>
    <row r="277" spans="1:68" x14ac:dyDescent="0.25">
      <c r="A277" s="30">
        <v>0.16443563297285677</v>
      </c>
      <c r="B277"/>
      <c r="C277"/>
      <c r="D277"/>
      <c r="E277"/>
      <c r="L277" s="27" t="s">
        <v>7</v>
      </c>
      <c r="M277" s="27" t="s">
        <v>8</v>
      </c>
      <c r="P277" s="27" t="s">
        <v>7</v>
      </c>
      <c r="Q277" s="27" t="s">
        <v>8</v>
      </c>
      <c r="R277" s="27" t="s">
        <v>7</v>
      </c>
      <c r="S277" s="27" t="s">
        <v>8</v>
      </c>
      <c r="T277" s="27" t="s">
        <v>7</v>
      </c>
      <c r="AA277" s="27" t="s">
        <v>8</v>
      </c>
      <c r="AE277" s="27" t="s">
        <v>8</v>
      </c>
      <c r="AF277" s="27" t="s">
        <v>7</v>
      </c>
      <c r="AG277" s="27" t="s">
        <v>8</v>
      </c>
      <c r="AT277" s="27" t="s">
        <v>7</v>
      </c>
    </row>
    <row r="278" spans="1:68" x14ac:dyDescent="0.25">
      <c r="A278" s="30">
        <v>0.15660536473605399</v>
      </c>
      <c r="B278"/>
      <c r="C278"/>
      <c r="D278"/>
      <c r="E278"/>
      <c r="L278" s="27" t="s">
        <v>7</v>
      </c>
      <c r="M278" s="27" t="s">
        <v>8</v>
      </c>
      <c r="P278" s="27" t="s">
        <v>7</v>
      </c>
      <c r="Q278" s="27" t="s">
        <v>8</v>
      </c>
      <c r="R278" s="27" t="s">
        <v>7</v>
      </c>
      <c r="S278" s="27" t="s">
        <v>8</v>
      </c>
      <c r="T278" s="27" t="s">
        <v>7</v>
      </c>
      <c r="U278" s="27" t="s">
        <v>8</v>
      </c>
      <c r="AA278" s="27" t="s">
        <v>8</v>
      </c>
      <c r="AB278" s="27" t="s">
        <v>7</v>
      </c>
      <c r="AE278" s="27" t="s">
        <v>8</v>
      </c>
      <c r="AF278" s="27" t="s">
        <v>7</v>
      </c>
      <c r="AT278" s="27" t="s">
        <v>7</v>
      </c>
      <c r="AU278" s="27" t="s">
        <v>8</v>
      </c>
    </row>
    <row r="279" spans="1:68" x14ac:dyDescent="0.25">
      <c r="A279" s="30">
        <v>0.14914796641528946</v>
      </c>
      <c r="B279"/>
      <c r="C279"/>
      <c r="D279"/>
      <c r="E279"/>
      <c r="L279" s="27" t="s">
        <v>7</v>
      </c>
      <c r="M279" s="27" t="s">
        <v>8</v>
      </c>
      <c r="P279" s="27" t="s">
        <v>7</v>
      </c>
      <c r="Q279" s="27" t="s">
        <v>8</v>
      </c>
      <c r="R279" s="27" t="s">
        <v>7</v>
      </c>
      <c r="S279" s="27" t="s">
        <v>8</v>
      </c>
      <c r="T279" s="27" t="s">
        <v>7</v>
      </c>
      <c r="U279" s="27" t="s">
        <v>8</v>
      </c>
      <c r="V279" s="27" t="s">
        <v>7</v>
      </c>
      <c r="W279" s="27" t="s">
        <v>8</v>
      </c>
      <c r="AA279" s="27" t="s">
        <v>8</v>
      </c>
      <c r="AB279" s="27" t="s">
        <v>7</v>
      </c>
      <c r="AE279" s="27" t="s">
        <v>8</v>
      </c>
      <c r="AT279" s="27" t="s">
        <v>7</v>
      </c>
      <c r="AU279" s="27" t="s">
        <v>8</v>
      </c>
      <c r="AV279" s="27" t="s">
        <v>7</v>
      </c>
      <c r="AW279" s="27" t="s">
        <v>8</v>
      </c>
    </row>
    <row r="280" spans="1:68" x14ac:dyDescent="0.25">
      <c r="A280" s="30">
        <v>0.14204568230027562</v>
      </c>
      <c r="B280"/>
      <c r="C280"/>
      <c r="D280"/>
      <c r="E280"/>
      <c r="L280" s="27" t="s">
        <v>7</v>
      </c>
      <c r="M280" s="27" t="s">
        <v>8</v>
      </c>
      <c r="P280" s="27" t="s">
        <v>7</v>
      </c>
      <c r="Q280" s="27" t="s">
        <v>8</v>
      </c>
      <c r="R280" s="27" t="s">
        <v>7</v>
      </c>
      <c r="S280" s="27" t="s">
        <v>8</v>
      </c>
      <c r="T280" s="27" t="s">
        <v>7</v>
      </c>
      <c r="U280" s="27" t="s">
        <v>8</v>
      </c>
      <c r="V280" s="27" t="s">
        <v>7</v>
      </c>
      <c r="W280" s="27" t="s">
        <v>8</v>
      </c>
      <c r="X280" s="27" t="s">
        <v>7</v>
      </c>
      <c r="Y280" s="27" t="s">
        <v>8</v>
      </c>
      <c r="AA280" s="27" t="s">
        <v>8</v>
      </c>
      <c r="AB280" s="27" t="s">
        <v>7</v>
      </c>
      <c r="AC280" s="27" t="s">
        <v>8</v>
      </c>
      <c r="AE280" s="27" t="s">
        <v>8</v>
      </c>
      <c r="AT280" s="27" t="s">
        <v>7</v>
      </c>
      <c r="AU280" s="27" t="s">
        <v>8</v>
      </c>
      <c r="AV280" s="27" t="s">
        <v>7</v>
      </c>
      <c r="AW280" s="27" t="s">
        <v>8</v>
      </c>
      <c r="AX280" s="27" t="s">
        <v>7</v>
      </c>
    </row>
    <row r="281" spans="1:68" x14ac:dyDescent="0.25">
      <c r="A281" s="30">
        <v>0.13528160219073862</v>
      </c>
      <c r="B281"/>
      <c r="C281"/>
      <c r="D281"/>
      <c r="E281"/>
      <c r="L281" s="27" t="s">
        <v>7</v>
      </c>
      <c r="P281" s="27" t="s">
        <v>7</v>
      </c>
      <c r="Q281" s="27" t="s">
        <v>8</v>
      </c>
      <c r="R281" s="27" t="s">
        <v>7</v>
      </c>
      <c r="S281" s="27" t="s">
        <v>8</v>
      </c>
      <c r="T281" s="27" t="s">
        <v>7</v>
      </c>
      <c r="U281" s="27" t="s">
        <v>8</v>
      </c>
      <c r="V281" s="27" t="s">
        <v>7</v>
      </c>
      <c r="W281" s="27" t="s">
        <v>8</v>
      </c>
      <c r="X281" s="27" t="s">
        <v>7</v>
      </c>
      <c r="Y281" s="27" t="s">
        <v>8</v>
      </c>
      <c r="Z281" s="27" t="s">
        <v>7</v>
      </c>
      <c r="AA281" s="27" t="s">
        <v>8</v>
      </c>
      <c r="AB281" s="27" t="s">
        <v>7</v>
      </c>
      <c r="AC281" s="27" t="s">
        <v>8</v>
      </c>
      <c r="AD281" s="27" t="s">
        <v>7</v>
      </c>
      <c r="AE281" s="27" t="s">
        <v>8</v>
      </c>
      <c r="AT281" s="27" t="s">
        <v>7</v>
      </c>
      <c r="AU281" s="27" t="s">
        <v>8</v>
      </c>
      <c r="AV281" s="27" t="s">
        <v>7</v>
      </c>
      <c r="AW281" s="27" t="s">
        <v>8</v>
      </c>
      <c r="AX281" s="27" t="s">
        <v>7</v>
      </c>
      <c r="BO281" s="27" t="s">
        <v>8</v>
      </c>
    </row>
    <row r="282" spans="1:68" x14ac:dyDescent="0.25">
      <c r="A282" s="30">
        <v>0.12883962113403674</v>
      </c>
      <c r="B282"/>
      <c r="C282"/>
      <c r="D282"/>
      <c r="E282"/>
      <c r="P282" s="27" t="s">
        <v>7</v>
      </c>
      <c r="Q282" s="27" t="s">
        <v>8</v>
      </c>
      <c r="R282" s="27" t="s">
        <v>7</v>
      </c>
      <c r="S282" s="27" t="s">
        <v>8</v>
      </c>
      <c r="T282" s="27" t="s">
        <v>7</v>
      </c>
      <c r="V282" s="27" t="s">
        <v>7</v>
      </c>
      <c r="X282" s="27" t="s">
        <v>7</v>
      </c>
      <c r="Y282" s="27" t="s">
        <v>8</v>
      </c>
      <c r="Z282" s="27" t="s">
        <v>7</v>
      </c>
      <c r="AA282" s="27" t="s">
        <v>8</v>
      </c>
      <c r="AB282" s="27" t="s">
        <v>7</v>
      </c>
      <c r="AC282" s="27" t="s">
        <v>8</v>
      </c>
      <c r="AD282" s="27" t="s">
        <v>7</v>
      </c>
      <c r="AE282" s="27" t="s">
        <v>8</v>
      </c>
      <c r="AT282" s="27" t="s">
        <v>7</v>
      </c>
      <c r="AV282" s="27" t="s">
        <v>7</v>
      </c>
      <c r="AW282" s="27" t="s">
        <v>8</v>
      </c>
      <c r="AX282" s="27" t="s">
        <v>7</v>
      </c>
      <c r="BO282" s="27" t="s">
        <v>8</v>
      </c>
      <c r="BP282" s="27" t="s">
        <v>7</v>
      </c>
    </row>
    <row r="283" spans="1:68" x14ac:dyDescent="0.25">
      <c r="A283" s="30">
        <v>0.12270440108003494</v>
      </c>
      <c r="B283"/>
      <c r="C283"/>
      <c r="D283"/>
      <c r="E283"/>
      <c r="P283" s="27" t="s">
        <v>7</v>
      </c>
      <c r="R283" s="27" t="s">
        <v>7</v>
      </c>
      <c r="S283" s="27" t="s">
        <v>8</v>
      </c>
      <c r="X283" s="27" t="s">
        <v>7</v>
      </c>
      <c r="Y283" s="27" t="s">
        <v>8</v>
      </c>
      <c r="Z283" s="27" t="s">
        <v>7</v>
      </c>
      <c r="AB283" s="27" t="s">
        <v>7</v>
      </c>
      <c r="AD283" s="27" t="s">
        <v>7</v>
      </c>
      <c r="AE283" s="27" t="s">
        <v>8</v>
      </c>
      <c r="AV283" s="27" t="s">
        <v>7</v>
      </c>
      <c r="AW283" s="27" t="s">
        <v>8</v>
      </c>
      <c r="AX283" s="27" t="s">
        <v>7</v>
      </c>
      <c r="BO283" s="27" t="s">
        <v>8</v>
      </c>
      <c r="BP283" s="27" t="s">
        <v>7</v>
      </c>
    </row>
    <row r="284" spans="1:68" x14ac:dyDescent="0.25">
      <c r="A284" s="30">
        <v>0.11686133436193799</v>
      </c>
      <c r="B284"/>
      <c r="C284"/>
      <c r="D284"/>
      <c r="E284"/>
      <c r="R284" s="27" t="s">
        <v>7</v>
      </c>
      <c r="S284" s="27" t="s">
        <v>8</v>
      </c>
      <c r="X284" s="27" t="s">
        <v>7</v>
      </c>
      <c r="Y284" s="27" t="s">
        <v>8</v>
      </c>
      <c r="AD284" s="27" t="s">
        <v>7</v>
      </c>
      <c r="AE284" s="27" t="s">
        <v>8</v>
      </c>
      <c r="AV284" s="27" t="s">
        <v>7</v>
      </c>
      <c r="AW284" s="27" t="s">
        <v>8</v>
      </c>
      <c r="AX284" s="27" t="s">
        <v>7</v>
      </c>
      <c r="BO284" s="27" t="s">
        <v>8</v>
      </c>
      <c r="BP284" s="27" t="s">
        <v>7</v>
      </c>
    </row>
    <row r="285" spans="1:68" x14ac:dyDescent="0.25">
      <c r="A285" s="30">
        <v>0.11129650891613138</v>
      </c>
      <c r="B285"/>
      <c r="C285"/>
      <c r="D285"/>
      <c r="E285"/>
      <c r="R285" s="27" t="s">
        <v>7</v>
      </c>
      <c r="S285" s="27" t="s">
        <v>8</v>
      </c>
      <c r="X285" s="27" t="s">
        <v>7</v>
      </c>
      <c r="Y285" s="27" t="s">
        <v>8</v>
      </c>
      <c r="AD285" s="27" t="s">
        <v>7</v>
      </c>
      <c r="AE285" s="27" t="s">
        <v>8</v>
      </c>
      <c r="AV285" s="27" t="s">
        <v>7</v>
      </c>
      <c r="AX285" s="27" t="s">
        <v>7</v>
      </c>
      <c r="BO285" s="27" t="s">
        <v>8</v>
      </c>
      <c r="BP285" s="27" t="s">
        <v>7</v>
      </c>
    </row>
    <row r="286" spans="1:68" x14ac:dyDescent="0.25">
      <c r="A286" s="30">
        <v>0.10599667515822032</v>
      </c>
      <c r="B286"/>
      <c r="C286"/>
      <c r="D286"/>
      <c r="E286"/>
      <c r="R286" s="27" t="s">
        <v>7</v>
      </c>
      <c r="S286" s="27" t="s">
        <v>8</v>
      </c>
      <c r="X286" s="27" t="s">
        <v>7</v>
      </c>
      <c r="Y286" s="27" t="s">
        <v>8</v>
      </c>
      <c r="AD286" s="27" t="s">
        <v>7</v>
      </c>
      <c r="AX286" s="27" t="s">
        <v>7</v>
      </c>
      <c r="AY286" s="27" t="s">
        <v>8</v>
      </c>
      <c r="BO286" s="27" t="s">
        <v>8</v>
      </c>
      <c r="BP286" s="27" t="s">
        <v>7</v>
      </c>
    </row>
    <row r="287" spans="1:68" x14ac:dyDescent="0.25">
      <c r="A287" s="30">
        <v>0.10094921443640027</v>
      </c>
      <c r="B287"/>
      <c r="C287"/>
      <c r="D287"/>
      <c r="E287"/>
      <c r="R287" s="27" t="s">
        <v>7</v>
      </c>
      <c r="S287" s="27" t="s">
        <v>8</v>
      </c>
      <c r="X287" s="27" t="s">
        <v>7</v>
      </c>
      <c r="AX287" s="27" t="s">
        <v>7</v>
      </c>
      <c r="AY287" s="27" t="s">
        <v>8</v>
      </c>
      <c r="AZ287" s="27" t="s">
        <v>7</v>
      </c>
      <c r="BG287" s="27" t="s">
        <v>8</v>
      </c>
      <c r="BO287" s="27" t="s">
        <v>8</v>
      </c>
      <c r="BP287" s="27" t="s">
        <v>7</v>
      </c>
    </row>
    <row r="288" spans="1:68" x14ac:dyDescent="0.25">
      <c r="A288" s="30">
        <v>9.6142108987047836E-2</v>
      </c>
      <c r="B288"/>
      <c r="C288"/>
      <c r="D288"/>
      <c r="E288"/>
      <c r="R288" s="27" t="s">
        <v>7</v>
      </c>
      <c r="S288" s="27" t="s">
        <v>8</v>
      </c>
      <c r="AX288" s="27" t="s">
        <v>7</v>
      </c>
      <c r="AY288" s="27" t="s">
        <v>8</v>
      </c>
      <c r="AZ288" s="27" t="s">
        <v>7</v>
      </c>
      <c r="BA288" s="27" t="s">
        <v>8</v>
      </c>
      <c r="BG288" s="27" t="s">
        <v>8</v>
      </c>
      <c r="BH288" s="27" t="s">
        <v>7</v>
      </c>
      <c r="BO288" s="27" t="s">
        <v>8</v>
      </c>
      <c r="BP288" s="27" t="s">
        <v>7</v>
      </c>
    </row>
    <row r="289" spans="1:74" x14ac:dyDescent="0.25">
      <c r="A289" s="30">
        <v>9.1563913320997906E-2</v>
      </c>
      <c r="B289"/>
      <c r="C289"/>
      <c r="D289"/>
      <c r="E289"/>
      <c r="R289" s="27" t="s">
        <v>7</v>
      </c>
      <c r="S289" s="27" t="s">
        <v>8</v>
      </c>
      <c r="AX289" s="27" t="s">
        <v>7</v>
      </c>
      <c r="AY289" s="27" t="s">
        <v>8</v>
      </c>
      <c r="AZ289" s="27" t="s">
        <v>7</v>
      </c>
      <c r="BA289" s="27" t="s">
        <v>8</v>
      </c>
      <c r="BB289" s="27" t="s">
        <v>7</v>
      </c>
      <c r="BC289" s="27" t="s">
        <v>8</v>
      </c>
      <c r="BG289" s="27" t="s">
        <v>8</v>
      </c>
      <c r="BH289" s="27" t="s">
        <v>7</v>
      </c>
      <c r="BI289" s="27" t="s">
        <v>8</v>
      </c>
      <c r="BO289" s="27" t="s">
        <v>8</v>
      </c>
      <c r="BP289" s="27" t="s">
        <v>7</v>
      </c>
    </row>
    <row r="290" spans="1:74" x14ac:dyDescent="0.25">
      <c r="A290" s="30">
        <v>8.7203726972378923E-2</v>
      </c>
      <c r="B290"/>
      <c r="C290"/>
      <c r="D290"/>
      <c r="E290"/>
      <c r="R290" s="27" t="s">
        <v>7</v>
      </c>
      <c r="S290" s="27" t="s">
        <v>8</v>
      </c>
      <c r="AX290" s="27" t="s">
        <v>7</v>
      </c>
      <c r="AY290" s="27" t="s">
        <v>8</v>
      </c>
      <c r="AZ290" s="27" t="s">
        <v>7</v>
      </c>
      <c r="BA290" s="27" t="s">
        <v>8</v>
      </c>
      <c r="BB290" s="27" t="s">
        <v>7</v>
      </c>
      <c r="BC290" s="27" t="s">
        <v>8</v>
      </c>
      <c r="BD290" s="27" t="s">
        <v>7</v>
      </c>
      <c r="BG290" s="27" t="s">
        <v>8</v>
      </c>
      <c r="BH290" s="27" t="s">
        <v>7</v>
      </c>
      <c r="BI290" s="27" t="s">
        <v>8</v>
      </c>
      <c r="BJ290" s="27" t="s">
        <v>7</v>
      </c>
      <c r="BO290" s="27" t="s">
        <v>8</v>
      </c>
      <c r="BP290" s="27" t="s">
        <v>7</v>
      </c>
    </row>
    <row r="291" spans="1:74" x14ac:dyDescent="0.25">
      <c r="A291" s="30">
        <v>8.3051168545122747E-2</v>
      </c>
      <c r="B291"/>
      <c r="C291"/>
      <c r="D291"/>
      <c r="E291"/>
      <c r="R291" s="27" t="s">
        <v>7</v>
      </c>
      <c r="S291" s="27" t="s">
        <v>8</v>
      </c>
      <c r="AX291" s="27" t="s">
        <v>7</v>
      </c>
      <c r="AZ291" s="27" t="s">
        <v>7</v>
      </c>
      <c r="BA291" s="27" t="s">
        <v>8</v>
      </c>
      <c r="BB291" s="27" t="s">
        <v>7</v>
      </c>
      <c r="BC291" s="27" t="s">
        <v>8</v>
      </c>
      <c r="BD291" s="27" t="s">
        <v>7</v>
      </c>
      <c r="BG291" s="27" t="s">
        <v>8</v>
      </c>
      <c r="BH291" s="27" t="s">
        <v>7</v>
      </c>
      <c r="BI291" s="27" t="s">
        <v>8</v>
      </c>
      <c r="BJ291" s="27" t="s">
        <v>7</v>
      </c>
      <c r="BK291" s="27" t="s">
        <v>8</v>
      </c>
      <c r="BM291" s="27" t="s">
        <v>8</v>
      </c>
      <c r="BO291" s="27" t="s">
        <v>8</v>
      </c>
      <c r="BP291" s="27" t="s">
        <v>7</v>
      </c>
    </row>
    <row r="292" spans="1:74" x14ac:dyDescent="0.25">
      <c r="A292" s="30">
        <v>7.9096350995354961E-2</v>
      </c>
      <c r="B292"/>
      <c r="C292"/>
      <c r="D292"/>
      <c r="E292"/>
      <c r="R292" s="27" t="s">
        <v>7</v>
      </c>
      <c r="S292" s="27" t="s">
        <v>8</v>
      </c>
      <c r="AZ292" s="27" t="s">
        <v>7</v>
      </c>
      <c r="BB292" s="27" t="s">
        <v>7</v>
      </c>
      <c r="BC292" s="27" t="s">
        <v>8</v>
      </c>
      <c r="BD292" s="27" t="s">
        <v>7</v>
      </c>
      <c r="BG292" s="27" t="s">
        <v>8</v>
      </c>
      <c r="BH292" s="27" t="s">
        <v>7</v>
      </c>
      <c r="BJ292" s="27" t="s">
        <v>7</v>
      </c>
      <c r="BK292" s="27" t="s">
        <v>8</v>
      </c>
      <c r="BL292" s="27" t="s">
        <v>7</v>
      </c>
      <c r="BM292" s="27" t="s">
        <v>8</v>
      </c>
      <c r="BN292" s="27" t="s">
        <v>7</v>
      </c>
      <c r="BO292" s="27" t="s">
        <v>8</v>
      </c>
      <c r="BP292" s="27" t="s">
        <v>7</v>
      </c>
    </row>
    <row r="293" spans="1:74" x14ac:dyDescent="0.25">
      <c r="A293" s="30">
        <v>7.5329858090814217E-2</v>
      </c>
      <c r="B293"/>
      <c r="C293"/>
      <c r="D293"/>
      <c r="E293"/>
      <c r="R293" s="27" t="s">
        <v>7</v>
      </c>
      <c r="S293" s="27" t="s">
        <v>8</v>
      </c>
      <c r="BB293" s="27" t="s">
        <v>7</v>
      </c>
      <c r="BC293" s="27" t="s">
        <v>8</v>
      </c>
      <c r="BD293" s="27" t="s">
        <v>7</v>
      </c>
      <c r="BE293" s="27" t="s">
        <v>8</v>
      </c>
      <c r="BG293" s="27" t="s">
        <v>8</v>
      </c>
      <c r="BJ293" s="27" t="s">
        <v>7</v>
      </c>
      <c r="BK293" s="27" t="s">
        <v>8</v>
      </c>
      <c r="BL293" s="27" t="s">
        <v>7</v>
      </c>
      <c r="BM293" s="27" t="s">
        <v>8</v>
      </c>
      <c r="BN293" s="27" t="s">
        <v>7</v>
      </c>
      <c r="BO293" s="27" t="s">
        <v>8</v>
      </c>
      <c r="BP293" s="27" t="s">
        <v>7</v>
      </c>
    </row>
    <row r="294" spans="1:74" x14ac:dyDescent="0.25">
      <c r="A294" s="30">
        <v>7.1742721991251604E-2</v>
      </c>
      <c r="B294"/>
      <c r="C294"/>
      <c r="D294"/>
      <c r="E294"/>
      <c r="R294" s="27" t="s">
        <v>7</v>
      </c>
      <c r="S294" s="27" t="s">
        <v>8</v>
      </c>
      <c r="BB294" s="27" t="s">
        <v>7</v>
      </c>
      <c r="BC294" s="27" t="s">
        <v>8</v>
      </c>
      <c r="BD294" s="27" t="s">
        <v>7</v>
      </c>
      <c r="BE294" s="27" t="s">
        <v>8</v>
      </c>
      <c r="BF294" s="27" t="s">
        <v>7</v>
      </c>
      <c r="BG294" s="27" t="s">
        <v>8</v>
      </c>
      <c r="BJ294" s="27" t="s">
        <v>7</v>
      </c>
      <c r="BL294" s="27" t="s">
        <v>7</v>
      </c>
      <c r="BM294" s="27" t="s">
        <v>8</v>
      </c>
      <c r="BN294" s="27" t="s">
        <v>7</v>
      </c>
      <c r="BO294" s="27" t="s">
        <v>8</v>
      </c>
      <c r="BP294" s="27" t="s">
        <v>7</v>
      </c>
      <c r="BQ294" s="27" t="s">
        <v>8</v>
      </c>
    </row>
    <row r="295" spans="1:74" x14ac:dyDescent="0.25">
      <c r="A295" s="30">
        <v>6.8326401896430078E-2</v>
      </c>
      <c r="B295"/>
      <c r="C295"/>
      <c r="D295"/>
      <c r="E295"/>
      <c r="R295" s="27" t="s">
        <v>7</v>
      </c>
      <c r="S295" s="27" t="s">
        <v>8</v>
      </c>
      <c r="BB295" s="27" t="s">
        <v>7</v>
      </c>
      <c r="BC295" s="27" t="s">
        <v>8</v>
      </c>
      <c r="BD295" s="27" t="s">
        <v>7</v>
      </c>
      <c r="BE295" s="27" t="s">
        <v>8</v>
      </c>
      <c r="BF295" s="27" t="s">
        <v>7</v>
      </c>
      <c r="BG295" s="27" t="s">
        <v>8</v>
      </c>
      <c r="BL295" s="27" t="s">
        <v>7</v>
      </c>
      <c r="BM295" s="27" t="s">
        <v>8</v>
      </c>
      <c r="BN295" s="27" t="s">
        <v>7</v>
      </c>
      <c r="BO295" s="27" t="s">
        <v>8</v>
      </c>
      <c r="BP295" s="27" t="s">
        <v>7</v>
      </c>
      <c r="BQ295" s="27" t="s">
        <v>8</v>
      </c>
      <c r="BR295" s="27" t="s">
        <v>7</v>
      </c>
    </row>
    <row r="296" spans="1:74" x14ac:dyDescent="0.25">
      <c r="A296" s="30">
        <v>6.5072763710885759E-2</v>
      </c>
      <c r="B296"/>
      <c r="C296"/>
      <c r="D296"/>
      <c r="E296"/>
      <c r="R296" s="27" t="s">
        <v>7</v>
      </c>
      <c r="S296" s="27" t="s">
        <v>8</v>
      </c>
      <c r="BB296" s="27" t="s">
        <v>7</v>
      </c>
      <c r="BC296" s="27" t="s">
        <v>8</v>
      </c>
      <c r="BD296" s="27" t="s">
        <v>7</v>
      </c>
      <c r="BE296" s="27" t="s">
        <v>8</v>
      </c>
      <c r="BF296" s="27" t="s">
        <v>7</v>
      </c>
      <c r="BG296" s="27" t="s">
        <v>8</v>
      </c>
      <c r="BL296" s="27" t="s">
        <v>7</v>
      </c>
      <c r="BM296" s="27" t="s">
        <v>8</v>
      </c>
      <c r="BN296" s="27" t="s">
        <v>7</v>
      </c>
      <c r="BP296" s="27" t="s">
        <v>7</v>
      </c>
      <c r="BQ296" s="27" t="s">
        <v>8</v>
      </c>
      <c r="BR296" s="27" t="s">
        <v>7</v>
      </c>
    </row>
    <row r="297" spans="1:74" x14ac:dyDescent="0.25">
      <c r="A297" s="30">
        <v>6.197406067703403E-2</v>
      </c>
      <c r="B297"/>
      <c r="C297"/>
      <c r="D297"/>
      <c r="E297"/>
      <c r="R297" s="27" t="s">
        <v>7</v>
      </c>
      <c r="BB297" s="27" t="s">
        <v>7</v>
      </c>
      <c r="BC297" s="27" t="s">
        <v>8</v>
      </c>
      <c r="BD297" s="27" t="s">
        <v>7</v>
      </c>
      <c r="BF297" s="27" t="s">
        <v>7</v>
      </c>
      <c r="BL297" s="27" t="s">
        <v>7</v>
      </c>
      <c r="BM297" s="27" t="s">
        <v>8</v>
      </c>
      <c r="BP297" s="27" t="s">
        <v>7</v>
      </c>
      <c r="BR297" s="27" t="s">
        <v>7</v>
      </c>
    </row>
    <row r="298" spans="1:74" x14ac:dyDescent="0.25">
      <c r="A298" s="30">
        <v>5.9022914930508576E-2</v>
      </c>
      <c r="B298"/>
      <c r="C298"/>
      <c r="D298"/>
      <c r="E298"/>
      <c r="BB298" s="27" t="s">
        <v>7</v>
      </c>
      <c r="BC298" s="27" t="s">
        <v>8</v>
      </c>
      <c r="BL298" s="27" t="s">
        <v>7</v>
      </c>
      <c r="BR298" s="27" t="s">
        <v>7</v>
      </c>
    </row>
    <row r="299" spans="1:74" x14ac:dyDescent="0.25">
      <c r="A299" s="30">
        <v>5.6212299933817669E-2</v>
      </c>
      <c r="B299"/>
      <c r="C299"/>
      <c r="D299"/>
      <c r="E299"/>
      <c r="BB299" s="27" t="s">
        <v>7</v>
      </c>
      <c r="BR299" s="27" t="s">
        <v>7</v>
      </c>
    </row>
    <row r="300" spans="1:74" x14ac:dyDescent="0.25">
      <c r="A300" s="30">
        <v>5.3535523746492994E-2</v>
      </c>
      <c r="B300"/>
      <c r="C300"/>
      <c r="D300"/>
      <c r="E300"/>
      <c r="BR300" s="27" t="s">
        <v>7</v>
      </c>
      <c r="BU300" s="27" t="s">
        <v>8</v>
      </c>
    </row>
    <row r="301" spans="1:74" x14ac:dyDescent="0.25">
      <c r="A301" s="30">
        <v>5.0986213091898068E-2</v>
      </c>
      <c r="B301"/>
      <c r="C301"/>
      <c r="D301"/>
      <c r="E301"/>
      <c r="BR301" s="27" t="s">
        <v>7</v>
      </c>
      <c r="BU301" s="27" t="s">
        <v>8</v>
      </c>
      <c r="BV301" s="27" t="s">
        <v>7</v>
      </c>
    </row>
    <row r="302" spans="1:74" x14ac:dyDescent="0.25">
      <c r="A302" s="30">
        <v>4.8558298182760043E-2</v>
      </c>
      <c r="B302"/>
      <c r="C302"/>
      <c r="D302"/>
      <c r="E302"/>
      <c r="BR302" s="27" t="s">
        <v>7</v>
      </c>
      <c r="BU302" s="27" t="s">
        <v>8</v>
      </c>
      <c r="BV302" s="27" t="s">
        <v>7</v>
      </c>
    </row>
    <row r="303" spans="1:74" x14ac:dyDescent="0.25">
      <c r="A303" s="30">
        <v>4.6245998269295263E-2</v>
      </c>
      <c r="B303"/>
      <c r="C303"/>
      <c r="D303"/>
      <c r="E303"/>
      <c r="BR303" s="27" t="s">
        <v>7</v>
      </c>
      <c r="BU303" s="27" t="s">
        <v>8</v>
      </c>
      <c r="BV303" s="27" t="s">
        <v>7</v>
      </c>
    </row>
    <row r="304" spans="1:74" x14ac:dyDescent="0.25">
      <c r="A304" s="30">
        <v>4.4043807875519279E-2</v>
      </c>
      <c r="B304"/>
      <c r="C304"/>
      <c r="D304"/>
      <c r="E304"/>
      <c r="BR304" s="27" t="s">
        <v>7</v>
      </c>
      <c r="BU304" s="27" t="s">
        <v>8</v>
      </c>
      <c r="BV304" s="27" t="s">
        <v>7</v>
      </c>
    </row>
    <row r="305" spans="1:76" x14ac:dyDescent="0.25">
      <c r="A305" s="30">
        <v>4.1946483690970725E-2</v>
      </c>
      <c r="B305"/>
      <c r="C305"/>
      <c r="D305"/>
      <c r="E305"/>
      <c r="BR305" s="27" t="s">
        <v>7</v>
      </c>
      <c r="BS305" s="27" t="s">
        <v>8</v>
      </c>
      <c r="BU305" s="27" t="s">
        <v>8</v>
      </c>
      <c r="BV305" s="27" t="s">
        <v>7</v>
      </c>
    </row>
    <row r="306" spans="1:76" x14ac:dyDescent="0.25">
      <c r="A306" s="30">
        <v>3.9949032086638768E-2</v>
      </c>
      <c r="B306"/>
      <c r="C306"/>
      <c r="D306"/>
      <c r="E306"/>
      <c r="BR306" s="27" t="s">
        <v>7</v>
      </c>
      <c r="BS306" s="27" t="s">
        <v>8</v>
      </c>
      <c r="BT306" s="27" t="s">
        <v>7</v>
      </c>
      <c r="BU306" s="27" t="s">
        <v>8</v>
      </c>
      <c r="BV306" s="27" t="s">
        <v>7</v>
      </c>
    </row>
    <row r="307" spans="1:76" x14ac:dyDescent="0.25">
      <c r="A307" s="30">
        <v>3.8046697225370241E-2</v>
      </c>
      <c r="B307"/>
      <c r="C307"/>
      <c r="D307"/>
      <c r="E307"/>
      <c r="BR307" s="27" t="s">
        <v>7</v>
      </c>
      <c r="BS307" s="27" t="s">
        <v>8</v>
      </c>
      <c r="BT307" s="27" t="s">
        <v>7</v>
      </c>
      <c r="BU307" s="27" t="s">
        <v>8</v>
      </c>
      <c r="BV307" s="27" t="s">
        <v>7</v>
      </c>
    </row>
    <row r="308" spans="1:76" x14ac:dyDescent="0.25">
      <c r="A308" s="30">
        <v>3.6234949738447833E-2</v>
      </c>
      <c r="B308"/>
      <c r="C308"/>
      <c r="D308"/>
      <c r="E308"/>
      <c r="BR308" s="27" t="s">
        <v>7</v>
      </c>
      <c r="BS308" s="27" t="s">
        <v>8</v>
      </c>
      <c r="BT308" s="27" t="s">
        <v>7</v>
      </c>
      <c r="BU308" s="27" t="s">
        <v>8</v>
      </c>
      <c r="BV308" s="27" t="s">
        <v>7</v>
      </c>
    </row>
    <row r="309" spans="1:76" x14ac:dyDescent="0.25">
      <c r="A309" s="30">
        <v>3.4509475941378875E-2</v>
      </c>
      <c r="B309"/>
      <c r="C309"/>
      <c r="D309"/>
      <c r="E309"/>
      <c r="BR309" s="27" t="s">
        <v>7</v>
      </c>
      <c r="BT309" s="27" t="s">
        <v>7</v>
      </c>
      <c r="BV309" s="27" t="s">
        <v>7</v>
      </c>
    </row>
    <row r="310" spans="1:76" x14ac:dyDescent="0.25">
      <c r="A310" s="30">
        <v>3.286616756321796E-2</v>
      </c>
      <c r="B310"/>
      <c r="C310"/>
      <c r="D310"/>
      <c r="E310"/>
      <c r="BV310" s="27" t="s">
        <v>7</v>
      </c>
    </row>
    <row r="311" spans="1:76" x14ac:dyDescent="0.25">
      <c r="A311" s="30">
        <v>3.1301111964969472E-2</v>
      </c>
      <c r="B311"/>
      <c r="C311"/>
      <c r="D311"/>
      <c r="E311"/>
      <c r="BV311" s="27" t="s">
        <v>7</v>
      </c>
    </row>
    <row r="312" spans="1:76" x14ac:dyDescent="0.25">
      <c r="A312" s="30">
        <v>2.9810582823780438E-2</v>
      </c>
      <c r="B312"/>
      <c r="C312"/>
      <c r="D312"/>
      <c r="E312"/>
      <c r="BV312" s="27" t="s">
        <v>7</v>
      </c>
    </row>
    <row r="313" spans="1:76" x14ac:dyDescent="0.25">
      <c r="A313" s="30">
        <v>2.8391031260743264E-2</v>
      </c>
      <c r="B313"/>
      <c r="C313"/>
      <c r="D313"/>
      <c r="E313"/>
      <c r="BV313" s="27" t="s">
        <v>7</v>
      </c>
    </row>
    <row r="314" spans="1:76" x14ac:dyDescent="0.25">
      <c r="A314" s="30">
        <v>2.7039077391184052E-2</v>
      </c>
      <c r="B314"/>
      <c r="C314"/>
      <c r="D314"/>
      <c r="E314"/>
      <c r="BV314" s="27" t="s">
        <v>7</v>
      </c>
    </row>
    <row r="315" spans="1:76" x14ac:dyDescent="0.25">
      <c r="A315" s="30">
        <v>2.5751502277318133E-2</v>
      </c>
      <c r="B315"/>
      <c r="C315"/>
      <c r="D315"/>
      <c r="E315"/>
      <c r="BV315" s="27" t="s">
        <v>7</v>
      </c>
    </row>
    <row r="316" spans="1:76" x14ac:dyDescent="0.25">
      <c r="A316" s="30">
        <v>2.4525240264112496E-2</v>
      </c>
      <c r="B316"/>
      <c r="C316"/>
      <c r="D316"/>
      <c r="E316"/>
      <c r="BV316" s="27" t="s">
        <v>7</v>
      </c>
    </row>
    <row r="317" spans="1:76" x14ac:dyDescent="0.25">
      <c r="A317" s="30">
        <v>2.3357371680107129E-2</v>
      </c>
      <c r="B317"/>
      <c r="C317"/>
      <c r="D317"/>
      <c r="E317"/>
      <c r="BV317" s="27" t="s">
        <v>7</v>
      </c>
    </row>
    <row r="318" spans="1:76" x14ac:dyDescent="0.25">
      <c r="A318" s="30">
        <v>2.2245115885816305E-2</v>
      </c>
      <c r="B318"/>
      <c r="C318"/>
      <c r="D318"/>
      <c r="E318"/>
      <c r="BV318" s="27" t="s">
        <v>7</v>
      </c>
    </row>
    <row r="319" spans="1:76" x14ac:dyDescent="0.25">
      <c r="A319" s="30">
        <v>2.1185824653158377E-2</v>
      </c>
      <c r="B319"/>
      <c r="C319"/>
      <c r="D319"/>
      <c r="E319"/>
      <c r="BV319" s="27" t="s">
        <v>7</v>
      </c>
      <c r="BW319" s="27" t="s">
        <v>8</v>
      </c>
    </row>
    <row r="320" spans="1:76" x14ac:dyDescent="0.25">
      <c r="A320" s="30">
        <v>2.0176975860150829E-2</v>
      </c>
      <c r="B320"/>
      <c r="C320"/>
      <c r="D320"/>
      <c r="E320"/>
      <c r="BV320" s="27" t="s">
        <v>7</v>
      </c>
      <c r="BW320" s="27" t="s">
        <v>8</v>
      </c>
      <c r="BX320" s="27" t="s">
        <v>7</v>
      </c>
    </row>
    <row r="321" spans="1:79" x14ac:dyDescent="0.25">
      <c r="A321" s="30">
        <v>1.9216167485857926E-2</v>
      </c>
      <c r="B321"/>
      <c r="C321"/>
      <c r="D321"/>
      <c r="E321"/>
      <c r="BV321" s="27" t="s">
        <v>7</v>
      </c>
      <c r="BW321" s="27" t="s">
        <v>8</v>
      </c>
      <c r="BX321" s="27" t="s">
        <v>7</v>
      </c>
    </row>
    <row r="322" spans="1:79" x14ac:dyDescent="0.25">
      <c r="A322" s="30">
        <v>1.8301111891293256E-2</v>
      </c>
      <c r="B322"/>
      <c r="C322"/>
      <c r="D322"/>
      <c r="E322"/>
      <c r="BV322" s="27" t="s">
        <v>7</v>
      </c>
      <c r="BW322" s="27" t="s">
        <v>8</v>
      </c>
      <c r="BX322" s="27" t="s">
        <v>7</v>
      </c>
    </row>
    <row r="323" spans="1:79" x14ac:dyDescent="0.25">
      <c r="A323" s="30">
        <v>1.7429630372660238E-2</v>
      </c>
      <c r="B323"/>
      <c r="C323"/>
      <c r="D323"/>
      <c r="E323"/>
      <c r="BV323" s="27" t="s">
        <v>7</v>
      </c>
      <c r="BX323" s="27" t="s">
        <v>7</v>
      </c>
    </row>
    <row r="324" spans="1:79" x14ac:dyDescent="0.25">
      <c r="A324" s="30">
        <v>1.6599647973962125E-2</v>
      </c>
      <c r="B324"/>
      <c r="C324"/>
      <c r="D324"/>
      <c r="E324"/>
      <c r="BX324" s="27" t="s">
        <v>7</v>
      </c>
    </row>
    <row r="325" spans="1:79" x14ac:dyDescent="0.25">
      <c r="A325" s="30">
        <v>1.580918854663059E-2</v>
      </c>
      <c r="B325"/>
      <c r="C325"/>
      <c r="D325"/>
      <c r="E325"/>
      <c r="BX325" s="27" t="s">
        <v>7</v>
      </c>
    </row>
    <row r="326" spans="1:79" x14ac:dyDescent="0.25">
      <c r="A326" s="30">
        <v>1.5056370044410079E-2</v>
      </c>
      <c r="B326"/>
      <c r="C326"/>
      <c r="D326"/>
      <c r="E326"/>
      <c r="BX326" s="27" t="s">
        <v>7</v>
      </c>
    </row>
    <row r="327" spans="1:79" x14ac:dyDescent="0.25">
      <c r="A327" s="30">
        <v>1.4339400042295308E-2</v>
      </c>
      <c r="B327"/>
      <c r="C327"/>
      <c r="D327"/>
      <c r="E327"/>
      <c r="BX327" s="27" t="s">
        <v>7</v>
      </c>
    </row>
    <row r="328" spans="1:79" x14ac:dyDescent="0.25">
      <c r="A328" s="30">
        <v>1.365657146885267E-2</v>
      </c>
      <c r="B328"/>
      <c r="C328"/>
      <c r="D328"/>
      <c r="E328"/>
      <c r="BX328" s="27" t="s">
        <v>7</v>
      </c>
    </row>
    <row r="329" spans="1:79" x14ac:dyDescent="0.25">
      <c r="A329" s="30">
        <v>1.3006258541764442E-2</v>
      </c>
      <c r="B329"/>
      <c r="C329"/>
      <c r="D329"/>
      <c r="E329"/>
      <c r="BX329" s="27" t="s">
        <v>7</v>
      </c>
      <c r="BY329" s="27" t="s">
        <v>8</v>
      </c>
    </row>
    <row r="330" spans="1:79" x14ac:dyDescent="0.25">
      <c r="A330" s="30">
        <v>1.2386912896918512E-2</v>
      </c>
      <c r="B330"/>
      <c r="C330"/>
      <c r="D330"/>
      <c r="E330"/>
      <c r="BX330" s="27" t="s">
        <v>7</v>
      </c>
      <c r="BY330" s="27" t="s">
        <v>8</v>
      </c>
      <c r="BZ330" s="27" t="s">
        <v>7</v>
      </c>
      <c r="CA330" s="27" t="s">
        <v>8</v>
      </c>
    </row>
    <row r="331" spans="1:79" x14ac:dyDescent="0.25">
      <c r="A331" s="30">
        <v>1.179705990182715E-2</v>
      </c>
      <c r="B331"/>
      <c r="C331"/>
      <c r="D331"/>
      <c r="E331"/>
      <c r="BX331" s="27" t="s">
        <v>7</v>
      </c>
      <c r="BY331" s="27" t="s">
        <v>8</v>
      </c>
      <c r="BZ331" s="27" t="s">
        <v>7</v>
      </c>
      <c r="CA331" s="27" t="s">
        <v>8</v>
      </c>
    </row>
    <row r="332" spans="1:79" x14ac:dyDescent="0.25">
      <c r="A332" s="30">
        <v>1.1235295144597281E-2</v>
      </c>
      <c r="B332"/>
      <c r="C332"/>
      <c r="D332"/>
      <c r="E332"/>
      <c r="BX332" s="27" t="s">
        <v>7</v>
      </c>
      <c r="BY332" s="27" t="s">
        <v>8</v>
      </c>
      <c r="BZ332" s="27" t="s">
        <v>7</v>
      </c>
      <c r="CA332" s="27" t="s">
        <v>8</v>
      </c>
    </row>
    <row r="333" spans="1:79" x14ac:dyDescent="0.25">
      <c r="A333" s="30">
        <v>1.0700281090092644E-2</v>
      </c>
      <c r="B333"/>
      <c r="C333"/>
      <c r="D333"/>
      <c r="E333"/>
      <c r="BX333" s="27" t="s">
        <v>7</v>
      </c>
      <c r="BZ333" s="27" t="s">
        <v>7</v>
      </c>
    </row>
    <row r="334" spans="1:79" x14ac:dyDescent="0.25">
      <c r="A334" s="30">
        <v>1.0190743895326324E-2</v>
      </c>
      <c r="B334"/>
      <c r="C334"/>
      <c r="D334"/>
      <c r="E334"/>
    </row>
    <row r="335" spans="1:79" x14ac:dyDescent="0.25">
      <c r="A335" s="30">
        <v>9.7054703765012563E-3</v>
      </c>
      <c r="B335"/>
      <c r="C335"/>
      <c r="D335"/>
      <c r="E335"/>
    </row>
    <row r="336" spans="1:79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93" operator="equal">
      <formula>$U$1</formula>
    </cfRule>
    <cfRule type="cellIs" dxfId="67" priority="694" operator="equal">
      <formula>$S$1</formula>
    </cfRule>
  </conditionalFormatting>
  <conditionalFormatting sqref="D136">
    <cfRule type="cellIs" dxfId="66" priority="691" operator="equal">
      <formula>$S$1</formula>
    </cfRule>
    <cfRule type="cellIs" dxfId="65" priority="692" operator="equal">
      <formula>$U$1</formula>
    </cfRule>
  </conditionalFormatting>
  <conditionalFormatting sqref="C162">
    <cfRule type="cellIs" dxfId="64" priority="689" operator="equal">
      <formula>$U$1</formula>
    </cfRule>
    <cfRule type="cellIs" dxfId="63" priority="690" operator="equal">
      <formula>$S$1</formula>
    </cfRule>
  </conditionalFormatting>
  <conditionalFormatting sqref="D162">
    <cfRule type="cellIs" dxfId="62" priority="687" operator="equal">
      <formula>$S$1</formula>
    </cfRule>
    <cfRule type="cellIs" dxfId="61" priority="688" operator="equal">
      <formula>$U$1</formula>
    </cfRule>
  </conditionalFormatting>
  <conditionalFormatting sqref="C187">
    <cfRule type="cellIs" dxfId="60" priority="685" operator="equal">
      <formula>$U$1</formula>
    </cfRule>
    <cfRule type="cellIs" dxfId="59" priority="686" operator="equal">
      <formula>$S$1</formula>
    </cfRule>
  </conditionalFormatting>
  <conditionalFormatting sqref="D187">
    <cfRule type="cellIs" dxfId="58" priority="683" operator="equal">
      <formula>$S$1</formula>
    </cfRule>
    <cfRule type="cellIs" dxfId="57" priority="684" operator="equal">
      <formula>$U$1</formula>
    </cfRule>
  </conditionalFormatting>
  <conditionalFormatting sqref="C212">
    <cfRule type="cellIs" dxfId="56" priority="681" operator="equal">
      <formula>$U$1</formula>
    </cfRule>
    <cfRule type="cellIs" dxfId="55" priority="682" operator="equal">
      <formula>$S$1</formula>
    </cfRule>
  </conditionalFormatting>
  <conditionalFormatting sqref="D212">
    <cfRule type="cellIs" dxfId="54" priority="679" operator="equal">
      <formula>$S$1</formula>
    </cfRule>
    <cfRule type="cellIs" dxfId="53" priority="680" operator="equal">
      <formula>$U$1</formula>
    </cfRule>
  </conditionalFormatting>
  <conditionalFormatting sqref="C237">
    <cfRule type="cellIs" dxfId="52" priority="677" operator="equal">
      <formula>$U$1</formula>
    </cfRule>
    <cfRule type="cellIs" dxfId="51" priority="678" operator="equal">
      <formula>$S$1</formula>
    </cfRule>
  </conditionalFormatting>
  <conditionalFormatting sqref="D237">
    <cfRule type="cellIs" dxfId="50" priority="675" operator="equal">
      <formula>$S$1</formula>
    </cfRule>
    <cfRule type="cellIs" dxfId="49" priority="676" operator="equal">
      <formula>$U$1</formula>
    </cfRule>
  </conditionalFormatting>
  <conditionalFormatting sqref="C106">
    <cfRule type="cellIs" dxfId="48" priority="673" operator="equal">
      <formula>$U$1</formula>
    </cfRule>
    <cfRule type="cellIs" dxfId="47" priority="674" operator="equal">
      <formula>$S$1</formula>
    </cfRule>
  </conditionalFormatting>
  <conditionalFormatting sqref="D106">
    <cfRule type="cellIs" dxfId="46" priority="671" operator="equal">
      <formula>$S$1</formula>
    </cfRule>
    <cfRule type="cellIs" dxfId="45" priority="672" operator="equal">
      <formula>$U$1</formula>
    </cfRule>
  </conditionalFormatting>
  <conditionalFormatting sqref="C81">
    <cfRule type="cellIs" dxfId="44" priority="669" operator="equal">
      <formula>$U$1</formula>
    </cfRule>
    <cfRule type="cellIs" dxfId="43" priority="670" operator="equal">
      <formula>$S$1</formula>
    </cfRule>
  </conditionalFormatting>
  <conditionalFormatting sqref="D81">
    <cfRule type="cellIs" dxfId="42" priority="667" operator="equal">
      <formula>$S$1</formula>
    </cfRule>
    <cfRule type="cellIs" dxfId="41" priority="668" operator="equal">
      <formula>$U$1</formula>
    </cfRule>
  </conditionalFormatting>
  <conditionalFormatting sqref="C56">
    <cfRule type="cellIs" dxfId="40" priority="665" operator="equal">
      <formula>$U$1</formula>
    </cfRule>
    <cfRule type="cellIs" dxfId="39" priority="666" operator="equal">
      <formula>$S$1</formula>
    </cfRule>
  </conditionalFormatting>
  <conditionalFormatting sqref="D56">
    <cfRule type="cellIs" dxfId="38" priority="663" operator="equal">
      <formula>$S$1</formula>
    </cfRule>
    <cfRule type="cellIs" dxfId="37" priority="664" operator="equal">
      <formula>$U$1</formula>
    </cfRule>
  </conditionalFormatting>
  <conditionalFormatting sqref="C31">
    <cfRule type="cellIs" dxfId="36" priority="661" operator="equal">
      <formula>$U$1</formula>
    </cfRule>
    <cfRule type="cellIs" dxfId="35" priority="662" operator="equal">
      <formula>$S$1</formula>
    </cfRule>
  </conditionalFormatting>
  <conditionalFormatting sqref="D31">
    <cfRule type="cellIs" dxfId="34" priority="659" operator="equal">
      <formula>$S$1</formula>
    </cfRule>
    <cfRule type="cellIs" dxfId="33" priority="66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H168" sqref="AH16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$A$167</v>
      </c>
      <c r="D111" s="1" t="str">
        <f>ADDRESS(C121-1,D121,1,1)</f>
        <v>$AH$167</v>
      </c>
      <c r="E111"/>
    </row>
    <row r="112" spans="1:5" x14ac:dyDescent="0.25">
      <c r="A112" s="30">
        <v>2.3579476910000019</v>
      </c>
      <c r="C112" s="1" t="str">
        <f>ADDRESS(C121,1,1,1)</f>
        <v>$A$168</v>
      </c>
      <c r="D112" s="1" t="str">
        <f>ADDRESS(C121,D121-1,1,1)</f>
        <v>$AG$168</v>
      </c>
      <c r="E112"/>
    </row>
    <row r="113" spans="1:6" x14ac:dyDescent="0.25">
      <c r="A113" s="30">
        <v>2.1435888100000016</v>
      </c>
      <c r="C113" s="1" t="str">
        <f>ADDRESS(C121+1,1,1,1)</f>
        <v>$A$169</v>
      </c>
      <c r="D113" s="1" t="str">
        <f>ADDRESS(C121-1,D121+1,1,1)</f>
        <v>$AI$167</v>
      </c>
    </row>
    <row r="114" spans="1:6" x14ac:dyDescent="0.25">
      <c r="A114" s="30">
        <v>1.9487171000000014</v>
      </c>
      <c r="C114" s="1" t="str">
        <f>ADDRESS(C121,D121,1,1)</f>
        <v>$AH$168</v>
      </c>
      <c r="D114" s="1" t="str">
        <f>ADDRESS(C121+1,D121+1,1,1)</f>
        <v>$AI$169</v>
      </c>
    </row>
    <row r="115" spans="1:6" x14ac:dyDescent="0.25">
      <c r="A115" s="30">
        <v>1.7715610000000011</v>
      </c>
      <c r="C115" s="1" t="str">
        <f>ADDRESS(C121+1,D121,1,1)</f>
        <v>$AH$169</v>
      </c>
    </row>
    <row r="116" spans="1:6" x14ac:dyDescent="0.25">
      <c r="A116" s="30">
        <v>1.6105100000000008</v>
      </c>
      <c r="C116" s="1">
        <f>C117-1</f>
        <v>167</v>
      </c>
    </row>
    <row r="117" spans="1:6" x14ac:dyDescent="0.25">
      <c r="A117" s="30">
        <v>1.4641000000000006</v>
      </c>
      <c r="C117" s="1">
        <f>C121</f>
        <v>168</v>
      </c>
      <c r="D117" s="1">
        <f>D121</f>
        <v>34</v>
      </c>
    </row>
    <row r="118" spans="1:6" x14ac:dyDescent="0.25">
      <c r="A118" s="30">
        <v>1.3310000000000004</v>
      </c>
      <c r="C118" s="1">
        <f>C117+1</f>
        <v>169</v>
      </c>
      <c r="D118" s="1">
        <f>D117+1</f>
        <v>35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168</v>
      </c>
      <c r="D121" s="19">
        <v>34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R168</v>
      </c>
      <c r="D123" s="1" t="str">
        <f>"C"&amp;D121</f>
        <v>C34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1.1338191753015267E-2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3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32" x14ac:dyDescent="0.25">
      <c r="A130" s="30">
        <v>0.42409761837248428</v>
      </c>
      <c r="C130" s="6"/>
      <c r="D130" s="6"/>
      <c r="E130"/>
      <c r="F130" s="27" t="s">
        <v>7</v>
      </c>
    </row>
    <row r="131" spans="1:32" x14ac:dyDescent="0.25">
      <c r="A131" s="30">
        <v>0.38554328942953109</v>
      </c>
      <c r="E131"/>
      <c r="F131" s="27" t="s">
        <v>7</v>
      </c>
      <c r="G131" s="27" t="s">
        <v>8</v>
      </c>
      <c r="U131" s="27" t="s">
        <v>8</v>
      </c>
    </row>
    <row r="132" spans="1:32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U132" s="27" t="s">
        <v>8</v>
      </c>
      <c r="V132" s="27" t="s">
        <v>7</v>
      </c>
      <c r="W132" s="27" t="s">
        <v>8</v>
      </c>
    </row>
    <row r="133" spans="1:32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K133" s="27" t="s">
        <v>8</v>
      </c>
      <c r="U133" s="27" t="s">
        <v>8</v>
      </c>
      <c r="V133" s="27" t="s">
        <v>7</v>
      </c>
      <c r="W133" s="27" t="s">
        <v>8</v>
      </c>
      <c r="X133" s="27" t="s">
        <v>7</v>
      </c>
    </row>
    <row r="134" spans="1:32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K134" s="27" t="s">
        <v>8</v>
      </c>
      <c r="L134" s="27" t="s">
        <v>7</v>
      </c>
      <c r="U134" s="27" t="s">
        <v>8</v>
      </c>
      <c r="V134" s="27" t="s">
        <v>7</v>
      </c>
      <c r="W134" s="27" t="s">
        <v>8</v>
      </c>
      <c r="X134" s="27" t="s">
        <v>7</v>
      </c>
    </row>
    <row r="135" spans="1:32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27" t="s">
        <v>7</v>
      </c>
      <c r="K135" s="27" t="s">
        <v>8</v>
      </c>
      <c r="L135" s="27" t="s">
        <v>7</v>
      </c>
      <c r="U135" s="27" t="s">
        <v>8</v>
      </c>
      <c r="V135" s="27" t="s">
        <v>7</v>
      </c>
      <c r="W135" s="27" t="s">
        <v>8</v>
      </c>
      <c r="X135" s="27" t="s">
        <v>7</v>
      </c>
    </row>
    <row r="136" spans="1:3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H136" s="27" t="s">
        <v>7</v>
      </c>
      <c r="I136" s="27" t="s">
        <v>8</v>
      </c>
      <c r="K136" s="27" t="s">
        <v>8</v>
      </c>
      <c r="L136" s="27" t="s">
        <v>7</v>
      </c>
      <c r="O136" s="27" t="s">
        <v>8</v>
      </c>
      <c r="S136" s="27" t="s">
        <v>8</v>
      </c>
      <c r="U136" s="27" t="s">
        <v>8</v>
      </c>
      <c r="V136" s="18" t="s">
        <v>7</v>
      </c>
      <c r="W136" s="27" t="s">
        <v>8</v>
      </c>
      <c r="X136" s="27" t="s">
        <v>7</v>
      </c>
    </row>
    <row r="137" spans="1:32" x14ac:dyDescent="0.25">
      <c r="A137" s="30">
        <v>0.2176291357901482</v>
      </c>
      <c r="E137"/>
      <c r="F137" s="27" t="s">
        <v>7</v>
      </c>
      <c r="H137" s="27" t="s">
        <v>7</v>
      </c>
      <c r="I137" s="27" t="s">
        <v>8</v>
      </c>
      <c r="J137" s="27" t="s">
        <v>7</v>
      </c>
      <c r="K137" s="27" t="s">
        <v>8</v>
      </c>
      <c r="L137" s="27" t="s">
        <v>7</v>
      </c>
      <c r="O137" s="27" t="s">
        <v>8</v>
      </c>
      <c r="P137" s="27" t="s">
        <v>7</v>
      </c>
      <c r="S137" s="27" t="s">
        <v>8</v>
      </c>
      <c r="T137" s="27" t="s">
        <v>7</v>
      </c>
      <c r="U137" s="27" t="s">
        <v>8</v>
      </c>
      <c r="V137" s="27" t="s">
        <v>7</v>
      </c>
      <c r="X137" s="27" t="s">
        <v>7</v>
      </c>
    </row>
    <row r="138" spans="1:3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H138" s="27" t="s">
        <v>7</v>
      </c>
      <c r="I138" s="27" t="s">
        <v>8</v>
      </c>
      <c r="J138" s="27" t="s">
        <v>7</v>
      </c>
      <c r="K138" s="27" t="s">
        <v>8</v>
      </c>
      <c r="L138" s="27" t="s">
        <v>7</v>
      </c>
      <c r="O138" s="27" t="s">
        <v>8</v>
      </c>
      <c r="P138" s="27" t="s">
        <v>7</v>
      </c>
      <c r="S138" s="27" t="s">
        <v>8</v>
      </c>
      <c r="T138" s="27" t="s">
        <v>7</v>
      </c>
      <c r="U138" s="27" t="s">
        <v>8</v>
      </c>
      <c r="X138" s="27" t="s">
        <v>7</v>
      </c>
    </row>
    <row r="139" spans="1:32" x14ac:dyDescent="0.25">
      <c r="A139" s="30">
        <v>0.17985878990921333</v>
      </c>
      <c r="E139"/>
      <c r="H139" s="27" t="s">
        <v>7</v>
      </c>
      <c r="I139" s="27" t="s">
        <v>8</v>
      </c>
      <c r="J139" s="27" t="s">
        <v>7</v>
      </c>
      <c r="L139" s="27" t="s">
        <v>7</v>
      </c>
      <c r="M139" s="27" t="s">
        <v>8</v>
      </c>
      <c r="O139" s="27" t="s">
        <v>8</v>
      </c>
      <c r="P139" s="27" t="s">
        <v>7</v>
      </c>
      <c r="S139" s="27" t="s">
        <v>8</v>
      </c>
      <c r="T139" s="27" t="s">
        <v>7</v>
      </c>
      <c r="X139" s="27" t="s">
        <v>7</v>
      </c>
    </row>
    <row r="140" spans="1:32" x14ac:dyDescent="0.25">
      <c r="A140" s="30">
        <v>0.16350799082655756</v>
      </c>
      <c r="C140" s="1">
        <v>0</v>
      </c>
      <c r="E140"/>
      <c r="H140" s="27" t="s">
        <v>7</v>
      </c>
      <c r="I140" s="27" t="s">
        <v>8</v>
      </c>
      <c r="L140" s="27" t="s">
        <v>7</v>
      </c>
      <c r="M140" s="27" t="s">
        <v>8</v>
      </c>
      <c r="N140" s="27" t="s">
        <v>7</v>
      </c>
      <c r="O140" s="27" t="s">
        <v>8</v>
      </c>
      <c r="P140" s="27" t="s">
        <v>7</v>
      </c>
      <c r="Q140" s="27" t="s">
        <v>8</v>
      </c>
      <c r="S140" s="27" t="s">
        <v>8</v>
      </c>
      <c r="X140" s="27" t="s">
        <v>7</v>
      </c>
    </row>
    <row r="141" spans="1:32" x14ac:dyDescent="0.25">
      <c r="A141" s="30">
        <v>0.14864362802414322</v>
      </c>
      <c r="C141" s="1">
        <v>1</v>
      </c>
      <c r="E141"/>
      <c r="H141" s="27" t="s">
        <v>7</v>
      </c>
      <c r="I141" s="27" t="s">
        <v>8</v>
      </c>
      <c r="L141" s="27" t="s">
        <v>7</v>
      </c>
      <c r="M141" s="27" t="s">
        <v>8</v>
      </c>
      <c r="N141" s="27" t="s">
        <v>7</v>
      </c>
      <c r="O141" s="27" t="s">
        <v>8</v>
      </c>
      <c r="P141" s="27" t="s">
        <v>7</v>
      </c>
      <c r="Q141" s="27" t="s">
        <v>8</v>
      </c>
      <c r="R141" s="27" t="s">
        <v>7</v>
      </c>
      <c r="S141" s="27" t="s">
        <v>8</v>
      </c>
      <c r="X141" s="27" t="s">
        <v>7</v>
      </c>
      <c r="Y141" s="27" t="s">
        <v>8</v>
      </c>
    </row>
    <row r="142" spans="1:32" x14ac:dyDescent="0.25">
      <c r="A142" s="30">
        <v>0.13513057093103928</v>
      </c>
      <c r="C142" s="1">
        <v>2</v>
      </c>
      <c r="E142"/>
      <c r="H142" s="27" t="s">
        <v>7</v>
      </c>
      <c r="L142" s="27" t="s">
        <v>7</v>
      </c>
      <c r="M142" s="27" t="s">
        <v>8</v>
      </c>
      <c r="N142" s="27" t="s">
        <v>7</v>
      </c>
      <c r="O142" s="27" t="s">
        <v>8</v>
      </c>
      <c r="P142" s="27" t="s">
        <v>7</v>
      </c>
      <c r="Q142" s="27" t="s">
        <v>8</v>
      </c>
      <c r="R142" s="27" t="s">
        <v>7</v>
      </c>
      <c r="S142" s="27" t="s">
        <v>8</v>
      </c>
      <c r="X142" s="27" t="s">
        <v>7</v>
      </c>
      <c r="Y142" s="27" t="s">
        <v>8</v>
      </c>
      <c r="Z142" s="27" t="s">
        <v>7</v>
      </c>
      <c r="AE142" s="27" t="s">
        <v>8</v>
      </c>
    </row>
    <row r="143" spans="1:32" x14ac:dyDescent="0.25">
      <c r="A143" s="30">
        <v>0.12284597357367205</v>
      </c>
      <c r="C143" s="1">
        <v>3</v>
      </c>
      <c r="E143"/>
      <c r="L143" s="27" t="s">
        <v>7</v>
      </c>
      <c r="N143" s="27" t="s">
        <v>7</v>
      </c>
      <c r="O143" s="27" t="s">
        <v>8</v>
      </c>
      <c r="P143" s="27" t="s">
        <v>7</v>
      </c>
      <c r="Q143" s="27" t="s">
        <v>8</v>
      </c>
      <c r="R143" s="27" t="s">
        <v>7</v>
      </c>
      <c r="S143" s="27" t="s">
        <v>8</v>
      </c>
      <c r="X143" s="27" t="s">
        <v>7</v>
      </c>
      <c r="Y143" s="27" t="s">
        <v>8</v>
      </c>
      <c r="Z143" s="27" t="s">
        <v>7</v>
      </c>
      <c r="AE143" s="27" t="s">
        <v>8</v>
      </c>
      <c r="AF143" s="27" t="s">
        <v>7</v>
      </c>
    </row>
    <row r="144" spans="1:32" x14ac:dyDescent="0.25">
      <c r="A144" s="30">
        <v>0.11167815779424731</v>
      </c>
      <c r="C144" s="1">
        <v>4</v>
      </c>
      <c r="E144"/>
      <c r="N144" s="27" t="s">
        <v>7</v>
      </c>
      <c r="O144" s="27" t="s">
        <v>8</v>
      </c>
      <c r="P144" s="27" t="s">
        <v>7</v>
      </c>
      <c r="Q144" s="27" t="s">
        <v>8</v>
      </c>
      <c r="R144" s="27" t="s">
        <v>7</v>
      </c>
      <c r="X144" s="27" t="s">
        <v>7</v>
      </c>
      <c r="Z144" s="27" t="s">
        <v>7</v>
      </c>
      <c r="AE144" s="27" t="s">
        <v>8</v>
      </c>
      <c r="AF144" s="27" t="s">
        <v>7</v>
      </c>
    </row>
    <row r="145" spans="1:34" x14ac:dyDescent="0.25">
      <c r="A145" s="30">
        <v>0.10152559799477026</v>
      </c>
      <c r="B145"/>
      <c r="C145"/>
      <c r="D145"/>
      <c r="E145"/>
      <c r="N145" s="27" t="s">
        <v>7</v>
      </c>
      <c r="O145" s="27" t="s">
        <v>8</v>
      </c>
      <c r="P145" s="27" t="s">
        <v>7</v>
      </c>
      <c r="Z145" s="27" t="s">
        <v>7</v>
      </c>
      <c r="AC145" s="27" t="s">
        <v>8</v>
      </c>
      <c r="AE145" s="27" t="s">
        <v>8</v>
      </c>
      <c r="AF145" s="27" t="s">
        <v>7</v>
      </c>
    </row>
    <row r="146" spans="1:34" x14ac:dyDescent="0.25">
      <c r="A146" s="30">
        <v>9.2295998177063854E-2</v>
      </c>
      <c r="B146"/>
      <c r="C146"/>
      <c r="D146"/>
      <c r="E146"/>
      <c r="N146" s="27" t="s">
        <v>7</v>
      </c>
      <c r="O146" s="27" t="s">
        <v>8</v>
      </c>
      <c r="Z146" s="27" t="s">
        <v>7</v>
      </c>
      <c r="AA146" s="27" t="s">
        <v>8</v>
      </c>
      <c r="AC146" s="27" t="s">
        <v>8</v>
      </c>
      <c r="AD146" s="27" t="s">
        <v>7</v>
      </c>
      <c r="AE146" s="27" t="s">
        <v>8</v>
      </c>
      <c r="AF146" s="27" t="s">
        <v>7</v>
      </c>
    </row>
    <row r="147" spans="1:34" x14ac:dyDescent="0.25">
      <c r="A147" s="30">
        <v>8.3905452888239848E-2</v>
      </c>
      <c r="B147"/>
      <c r="C147"/>
      <c r="D147"/>
      <c r="E147"/>
      <c r="N147" s="27" t="s">
        <v>7</v>
      </c>
      <c r="O147" s="27" t="s">
        <v>8</v>
      </c>
      <c r="Z147" s="27" t="s">
        <v>7</v>
      </c>
      <c r="AA147" s="27" t="s">
        <v>8</v>
      </c>
      <c r="AB147" s="27" t="s">
        <v>7</v>
      </c>
      <c r="AC147" s="27" t="s">
        <v>8</v>
      </c>
      <c r="AD147" s="27" t="s">
        <v>7</v>
      </c>
      <c r="AE147" s="27" t="s">
        <v>8</v>
      </c>
      <c r="AF147" s="27" t="s">
        <v>7</v>
      </c>
    </row>
    <row r="148" spans="1:34" x14ac:dyDescent="0.25">
      <c r="A148" s="30">
        <v>7.6277684443854396E-2</v>
      </c>
      <c r="B148"/>
      <c r="C148"/>
      <c r="D148"/>
      <c r="E148"/>
      <c r="N148" s="27" t="s">
        <v>7</v>
      </c>
      <c r="O148" s="27" t="s">
        <v>8</v>
      </c>
      <c r="Z148" s="27" t="s">
        <v>7</v>
      </c>
      <c r="AA148" s="27" t="s">
        <v>8</v>
      </c>
      <c r="AB148" s="27" t="s">
        <v>7</v>
      </c>
      <c r="AC148" s="27" t="s">
        <v>8</v>
      </c>
      <c r="AD148" s="27" t="s">
        <v>7</v>
      </c>
      <c r="AE148" s="27" t="s">
        <v>8</v>
      </c>
      <c r="AF148" s="27" t="s">
        <v>7</v>
      </c>
    </row>
    <row r="149" spans="1:34" x14ac:dyDescent="0.25">
      <c r="A149" s="30">
        <v>6.9343349494413078E-2</v>
      </c>
      <c r="B149"/>
      <c r="C149"/>
      <c r="D149"/>
      <c r="E149"/>
      <c r="N149" s="27" t="s">
        <v>7</v>
      </c>
      <c r="O149" s="27" t="s">
        <v>8</v>
      </c>
      <c r="Z149" s="27" t="s">
        <v>7</v>
      </c>
      <c r="AA149" s="27" t="s">
        <v>8</v>
      </c>
      <c r="AB149" s="27" t="s">
        <v>7</v>
      </c>
      <c r="AC149" s="27" t="s">
        <v>8</v>
      </c>
      <c r="AD149" s="27" t="s">
        <v>7</v>
      </c>
      <c r="AE149" s="27" t="s">
        <v>8</v>
      </c>
      <c r="AF149" s="27" t="s">
        <v>7</v>
      </c>
    </row>
    <row r="150" spans="1:34" x14ac:dyDescent="0.25">
      <c r="A150" s="30">
        <v>6.3039408631284613E-2</v>
      </c>
      <c r="B150"/>
      <c r="C150"/>
      <c r="D150"/>
      <c r="E150"/>
      <c r="N150" s="27" t="s">
        <v>7</v>
      </c>
      <c r="Z150" s="27" t="s">
        <v>7</v>
      </c>
      <c r="AA150" s="27" t="s">
        <v>8</v>
      </c>
      <c r="AB150" s="27" t="s">
        <v>7</v>
      </c>
      <c r="AD150" s="27" t="s">
        <v>7</v>
      </c>
      <c r="AF150" s="27" t="s">
        <v>7</v>
      </c>
    </row>
    <row r="151" spans="1:34" x14ac:dyDescent="0.25">
      <c r="A151" s="30">
        <v>5.7308553301167818E-2</v>
      </c>
      <c r="B151"/>
      <c r="C151"/>
      <c r="D151"/>
      <c r="E151"/>
      <c r="Z151" s="27" t="s">
        <v>7</v>
      </c>
      <c r="AF151" s="27" t="s">
        <v>7</v>
      </c>
    </row>
    <row r="152" spans="1:34" x14ac:dyDescent="0.25">
      <c r="A152" s="30">
        <v>5.2098684819243464E-2</v>
      </c>
      <c r="B152"/>
      <c r="C152"/>
      <c r="D152"/>
      <c r="E152"/>
      <c r="AF152" s="27" t="s">
        <v>7</v>
      </c>
      <c r="AG152" s="27" t="s">
        <v>8</v>
      </c>
    </row>
    <row r="153" spans="1:34" x14ac:dyDescent="0.25">
      <c r="A153" s="30">
        <v>4.7362440744766775E-2</v>
      </c>
      <c r="B153"/>
      <c r="C153"/>
      <c r="D153"/>
      <c r="E153"/>
      <c r="AF153" s="27" t="s">
        <v>7</v>
      </c>
      <c r="AG153" s="27" t="s">
        <v>8</v>
      </c>
      <c r="AH153" s="27" t="s">
        <v>7</v>
      </c>
    </row>
    <row r="154" spans="1:34" x14ac:dyDescent="0.25">
      <c r="A154" s="30">
        <v>4.3056764313424332E-2</v>
      </c>
      <c r="B154"/>
      <c r="C154"/>
      <c r="D154"/>
      <c r="E154"/>
      <c r="AF154" s="27" t="s">
        <v>7</v>
      </c>
      <c r="AG154" s="27" t="s">
        <v>8</v>
      </c>
      <c r="AH154" s="27" t="s">
        <v>7</v>
      </c>
    </row>
    <row r="155" spans="1:34" x14ac:dyDescent="0.25">
      <c r="A155" s="30">
        <v>3.9142513012203929E-2</v>
      </c>
      <c r="B155"/>
      <c r="C155"/>
      <c r="D155"/>
      <c r="E155"/>
      <c r="AF155" s="27" t="s">
        <v>7</v>
      </c>
      <c r="AG155" s="27" t="s">
        <v>8</v>
      </c>
      <c r="AH155" s="27" t="s">
        <v>7</v>
      </c>
    </row>
    <row r="156" spans="1:34" x14ac:dyDescent="0.25">
      <c r="A156" s="30">
        <v>3.55841027383672E-2</v>
      </c>
      <c r="B156"/>
      <c r="C156"/>
      <c r="D156"/>
      <c r="E156"/>
      <c r="AF156" s="27" t="s">
        <v>7</v>
      </c>
      <c r="AH156" s="27" t="s">
        <v>7</v>
      </c>
    </row>
    <row r="157" spans="1:34" x14ac:dyDescent="0.25">
      <c r="A157" s="30">
        <v>3.2349184307606541E-2</v>
      </c>
      <c r="B157"/>
      <c r="C157"/>
      <c r="D157"/>
      <c r="E157"/>
      <c r="AH157" s="27" t="s">
        <v>7</v>
      </c>
    </row>
    <row r="158" spans="1:34" x14ac:dyDescent="0.25">
      <c r="A158" s="30">
        <v>2.9408349370551395E-2</v>
      </c>
      <c r="B158"/>
      <c r="C158"/>
      <c r="D158"/>
      <c r="E158"/>
      <c r="AH158" s="27" t="s">
        <v>7</v>
      </c>
    </row>
    <row r="159" spans="1:34" x14ac:dyDescent="0.25">
      <c r="A159" s="30">
        <v>2.6734863064137627E-2</v>
      </c>
      <c r="B159"/>
      <c r="C159"/>
      <c r="D159"/>
      <c r="E159"/>
      <c r="AH159" s="27" t="s">
        <v>7</v>
      </c>
    </row>
    <row r="160" spans="1:34" x14ac:dyDescent="0.25">
      <c r="A160" s="30">
        <v>2.4304420967397839E-2</v>
      </c>
      <c r="B160"/>
      <c r="C160"/>
      <c r="D160"/>
      <c r="E160"/>
      <c r="AH160" s="27" t="s">
        <v>7</v>
      </c>
    </row>
    <row r="161" spans="1:34" x14ac:dyDescent="0.25">
      <c r="A161" s="30">
        <v>2.2094928152179852E-2</v>
      </c>
      <c r="B161"/>
      <c r="C161"/>
      <c r="D161"/>
      <c r="E161"/>
      <c r="AH161" s="27" t="s">
        <v>7</v>
      </c>
    </row>
    <row r="162" spans="1:34" x14ac:dyDescent="0.25">
      <c r="A162" s="30">
        <v>2.0086298320163499E-2</v>
      </c>
      <c r="B162"/>
      <c r="C162"/>
      <c r="D162"/>
      <c r="E162"/>
      <c r="AH162" s="27" t="s">
        <v>7</v>
      </c>
    </row>
    <row r="163" spans="1:34" x14ac:dyDescent="0.25">
      <c r="A163" s="30">
        <v>1.8260271200148632E-2</v>
      </c>
      <c r="B163"/>
      <c r="C163"/>
      <c r="D163"/>
      <c r="E163"/>
      <c r="AH163" s="27" t="s">
        <v>7</v>
      </c>
    </row>
    <row r="164" spans="1:34" x14ac:dyDescent="0.25">
      <c r="A164" s="30">
        <v>1.6600246545589663E-2</v>
      </c>
      <c r="B164"/>
      <c r="C164"/>
      <c r="D164"/>
      <c r="E164"/>
      <c r="AH164" s="27" t="s">
        <v>7</v>
      </c>
    </row>
    <row r="165" spans="1:34" x14ac:dyDescent="0.25">
      <c r="A165" s="30">
        <v>1.5091133223263328E-2</v>
      </c>
      <c r="B165"/>
      <c r="C165"/>
      <c r="D165"/>
      <c r="E165"/>
      <c r="AH165" s="27" t="s">
        <v>7</v>
      </c>
    </row>
    <row r="166" spans="1:34" x14ac:dyDescent="0.25">
      <c r="A166" s="30">
        <v>1.3719212021148477E-2</v>
      </c>
      <c r="B166"/>
      <c r="C166"/>
      <c r="D166"/>
      <c r="E166"/>
      <c r="AH166" s="27" t="s">
        <v>7</v>
      </c>
    </row>
    <row r="167" spans="1:34" x14ac:dyDescent="0.25">
      <c r="A167" s="30">
        <v>1.2472010928316795E-2</v>
      </c>
      <c r="B167"/>
      <c r="C167"/>
      <c r="D167"/>
      <c r="E167"/>
      <c r="AH167" s="27" t="s">
        <v>7</v>
      </c>
    </row>
    <row r="168" spans="1:34" x14ac:dyDescent="0.25">
      <c r="A168" s="30">
        <v>1.1338191753015267E-2</v>
      </c>
      <c r="B168"/>
      <c r="C168"/>
      <c r="D168"/>
      <c r="E168"/>
      <c r="AH168" s="27" t="s">
        <v>7</v>
      </c>
    </row>
    <row r="169" spans="1:34" x14ac:dyDescent="0.25">
      <c r="A169" s="30">
        <v>1.0307447048195697E-2</v>
      </c>
      <c r="B169"/>
      <c r="C169"/>
      <c r="D169"/>
      <c r="E169"/>
    </row>
    <row r="170" spans="1:34" x14ac:dyDescent="0.25">
      <c r="A170" s="30">
        <v>9.3704064074506318E-3</v>
      </c>
      <c r="B170"/>
      <c r="C170"/>
      <c r="D170"/>
      <c r="E170"/>
    </row>
    <row r="171" spans="1:34" x14ac:dyDescent="0.25">
      <c r="A171" s="30">
        <v>8.5185512795005747E-3</v>
      </c>
    </row>
    <row r="172" spans="1:34" x14ac:dyDescent="0.25">
      <c r="A172" s="30">
        <v>7.744137526818704E-3</v>
      </c>
    </row>
    <row r="173" spans="1:34" x14ac:dyDescent="0.25">
      <c r="A173" s="30">
        <v>7.0401250243806394E-3</v>
      </c>
    </row>
    <row r="174" spans="1:34" x14ac:dyDescent="0.25">
      <c r="A174" s="30">
        <v>6.4001136585278536E-3</v>
      </c>
    </row>
    <row r="175" spans="1:34" x14ac:dyDescent="0.25">
      <c r="A175" s="30">
        <v>5.8182851441162305E-3</v>
      </c>
    </row>
    <row r="176" spans="1:34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77" operator="equal">
      <formula>$U$1</formula>
    </cfRule>
    <cfRule type="cellIs" dxfId="30" priority="678" operator="equal">
      <formula>$S$1</formula>
    </cfRule>
  </conditionalFormatting>
  <conditionalFormatting sqref="D136">
    <cfRule type="cellIs" dxfId="29" priority="675" operator="equal">
      <formula>$S$1</formula>
    </cfRule>
    <cfRule type="cellIs" dxfId="28" priority="676" operator="equal">
      <formula>$U$1</formula>
    </cfRule>
  </conditionalFormatting>
  <conditionalFormatting sqref="C102">
    <cfRule type="cellIs" dxfId="27" priority="673" operator="equal">
      <formula>$U$1</formula>
    </cfRule>
    <cfRule type="cellIs" dxfId="26" priority="674" operator="equal">
      <formula>$S$1</formula>
    </cfRule>
  </conditionalFormatting>
  <conditionalFormatting sqref="D102">
    <cfRule type="cellIs" dxfId="25" priority="671" operator="equal">
      <formula>$S$1</formula>
    </cfRule>
    <cfRule type="cellIs" dxfId="24" priority="672" operator="equal">
      <formula>$U$1</formula>
    </cfRule>
  </conditionalFormatting>
  <conditionalFormatting sqref="C77">
    <cfRule type="cellIs" dxfId="23" priority="669" operator="equal">
      <formula>$U$1</formula>
    </cfRule>
    <cfRule type="cellIs" dxfId="22" priority="670" operator="equal">
      <formula>$S$1</formula>
    </cfRule>
  </conditionalFormatting>
  <conditionalFormatting sqref="D77">
    <cfRule type="cellIs" dxfId="21" priority="667" operator="equal">
      <formula>$S$1</formula>
    </cfRule>
    <cfRule type="cellIs" dxfId="20" priority="668" operator="equal">
      <formula>$U$1</formula>
    </cfRule>
  </conditionalFormatting>
  <conditionalFormatting sqref="C52">
    <cfRule type="cellIs" dxfId="19" priority="665" operator="equal">
      <formula>$U$1</formula>
    </cfRule>
    <cfRule type="cellIs" dxfId="18" priority="666" operator="equal">
      <formula>$S$1</formula>
    </cfRule>
  </conditionalFormatting>
  <conditionalFormatting sqref="D52">
    <cfRule type="cellIs" dxfId="17" priority="663" operator="equal">
      <formula>$S$1</formula>
    </cfRule>
    <cfRule type="cellIs" dxfId="16" priority="664" operator="equal">
      <formula>$U$1</formula>
    </cfRule>
  </conditionalFormatting>
  <conditionalFormatting sqref="C26">
    <cfRule type="cellIs" dxfId="15" priority="661" operator="equal">
      <formula>$U$1</formula>
    </cfRule>
    <cfRule type="cellIs" dxfId="14" priority="662" operator="equal">
      <formula>$S$1</formula>
    </cfRule>
  </conditionalFormatting>
  <conditionalFormatting sqref="D26">
    <cfRule type="cellIs" dxfId="13" priority="659" operator="equal">
      <formula>$S$1</formula>
    </cfRule>
    <cfRule type="cellIs" dxfId="12" priority="66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2022-01-28T01:21:19Z</dcterms:modified>
</cp:coreProperties>
</file>