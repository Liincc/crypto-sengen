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002CC1A-B829-4D5F-AC9F-976DDA5C429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22" i="3"/>
  <c r="C133" i="3" s="1"/>
  <c r="C116" i="3"/>
  <c r="C118" i="5"/>
  <c r="C102" i="5"/>
  <c r="C118" i="3"/>
  <c r="D31" i="4"/>
  <c r="C122" i="4"/>
  <c r="C133" i="4" s="1"/>
  <c r="M3" i="6"/>
  <c r="C81" i="4"/>
  <c r="C52" i="5"/>
  <c r="C118" i="2"/>
  <c r="C116" i="2"/>
  <c r="K3" i="6"/>
  <c r="D26" i="5"/>
  <c r="C122" i="5"/>
  <c r="C133" i="5" s="1"/>
  <c r="C56" i="4"/>
  <c r="C118" i="4"/>
  <c r="C116" i="4"/>
  <c r="D136" i="2"/>
  <c r="C136" i="2"/>
  <c r="C138" i="2"/>
  <c r="C2" i="1" l="1"/>
  <c r="D2" i="1"/>
  <c r="R765" i="1"/>
  <c r="S765" i="1" s="1"/>
  <c r="T765" i="1" s="1"/>
  <c r="D136" i="5"/>
  <c r="C136" i="5"/>
  <c r="C136" i="4"/>
  <c r="D136" i="4"/>
  <c r="D136" i="3"/>
  <c r="C136" i="3"/>
  <c r="R764" i="1" l="1"/>
  <c r="C138" i="4"/>
  <c r="C138" i="5"/>
  <c r="C138" i="3"/>
  <c r="S764" i="1" l="1"/>
  <c r="T764" i="1" s="1"/>
  <c r="R763" i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R756" i="1" l="1"/>
  <c r="S757" i="1"/>
  <c r="T757" i="1" s="1"/>
  <c r="S756" i="1" l="1"/>
  <c r="T756" i="1" s="1"/>
  <c r="R755" i="1"/>
  <c r="S755" i="1" l="1"/>
  <c r="T755" i="1" s="1"/>
  <c r="R754" i="1"/>
  <c r="S754" i="1" l="1"/>
  <c r="T754" i="1" s="1"/>
  <c r="R753" i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S746" i="1" l="1"/>
  <c r="T746" i="1" s="1"/>
  <c r="R745" i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R718" i="1" l="1"/>
  <c r="S719" i="1"/>
  <c r="T719" i="1" s="1"/>
  <c r="S718" i="1" l="1"/>
  <c r="T718" i="1" s="1"/>
  <c r="R717" i="1"/>
  <c r="R716" i="1" l="1"/>
  <c r="S717" i="1"/>
  <c r="T717" i="1" s="1"/>
  <c r="S716" i="1" l="1"/>
  <c r="T716" i="1" s="1"/>
  <c r="R715" i="1"/>
  <c r="S715" i="1" l="1"/>
  <c r="T715" i="1" s="1"/>
  <c r="R714" i="1"/>
  <c r="S714" i="1" l="1"/>
  <c r="T714" i="1" s="1"/>
  <c r="R713" i="1"/>
  <c r="S713" i="1" l="1"/>
  <c r="T713" i="1" s="1"/>
  <c r="R712" i="1"/>
  <c r="S712" i="1" l="1"/>
  <c r="T712" i="1" s="1"/>
  <c r="R711" i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S705" i="1" l="1"/>
  <c r="T705" i="1" s="1"/>
  <c r="R704" i="1"/>
  <c r="S704" i="1" l="1"/>
  <c r="T704" i="1" s="1"/>
  <c r="R703" i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S694" i="1" l="1"/>
  <c r="T694" i="1" s="1"/>
  <c r="R693" i="1"/>
  <c r="S693" i="1" l="1"/>
  <c r="T693" i="1" s="1"/>
  <c r="R692" i="1"/>
  <c r="S692" i="1" l="1"/>
  <c r="T692" i="1" s="1"/>
  <c r="R691" i="1"/>
  <c r="R690" i="1" l="1"/>
  <c r="S691" i="1"/>
  <c r="T691" i="1" s="1"/>
  <c r="S690" i="1" l="1"/>
  <c r="T690" i="1" s="1"/>
  <c r="R689" i="1"/>
  <c r="R688" i="1" l="1"/>
  <c r="S689" i="1"/>
  <c r="T689" i="1" s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S677" i="1" l="1"/>
  <c r="T677" i="1" s="1"/>
  <c r="R676" i="1"/>
  <c r="R675" i="1" l="1"/>
  <c r="S676" i="1"/>
  <c r="T676" i="1" s="1"/>
  <c r="S675" i="1" l="1"/>
  <c r="T675" i="1" s="1"/>
  <c r="R674" i="1"/>
  <c r="S674" i="1" l="1"/>
  <c r="T674" i="1" s="1"/>
  <c r="R673" i="1"/>
  <c r="S673" i="1" l="1"/>
  <c r="T673" i="1" s="1"/>
  <c r="R672" i="1"/>
  <c r="S672" i="1" l="1"/>
  <c r="T672" i="1" s="1"/>
  <c r="R671" i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R662" i="1" l="1"/>
  <c r="S663" i="1"/>
  <c r="T663" i="1" s="1"/>
  <c r="S662" i="1" l="1"/>
  <c r="T662" i="1" s="1"/>
  <c r="R661" i="1"/>
  <c r="S661" i="1" l="1"/>
  <c r="T661" i="1" s="1"/>
  <c r="R660" i="1"/>
  <c r="S660" i="1" l="1"/>
  <c r="T660" i="1" s="1"/>
  <c r="R659" i="1"/>
  <c r="S659" i="1" l="1"/>
  <c r="T659" i="1" s="1"/>
  <c r="R658" i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S651" i="1" l="1"/>
  <c r="T651" i="1" s="1"/>
  <c r="R650" i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S646" i="1" l="1"/>
  <c r="T646" i="1" s="1"/>
  <c r="R645" i="1"/>
  <c r="R644" i="1" l="1"/>
  <c r="S645" i="1"/>
  <c r="T645" i="1" s="1"/>
  <c r="S644" i="1" l="1"/>
  <c r="T644" i="1" s="1"/>
  <c r="R643" i="1"/>
  <c r="R642" i="1" l="1"/>
  <c r="S643" i="1"/>
  <c r="T643" i="1" s="1"/>
  <c r="S642" i="1" l="1"/>
  <c r="T642" i="1" s="1"/>
  <c r="R641" i="1"/>
  <c r="R640" i="1" l="1"/>
  <c r="S641" i="1"/>
  <c r="T641" i="1" s="1"/>
  <c r="S640" i="1" l="1"/>
  <c r="T640" i="1" s="1"/>
  <c r="R639" i="1"/>
  <c r="S639" i="1" l="1"/>
  <c r="T639" i="1" s="1"/>
  <c r="R638" i="1"/>
  <c r="S638" i="1" l="1"/>
  <c r="T638" i="1" s="1"/>
  <c r="R637" i="1"/>
  <c r="R636" i="1" l="1"/>
  <c r="S637" i="1"/>
  <c r="T637" i="1" s="1"/>
  <c r="S636" i="1" l="1"/>
  <c r="T636" i="1" s="1"/>
  <c r="R635" i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R630" i="1" l="1"/>
  <c r="S631" i="1"/>
  <c r="T631" i="1" s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S626" i="1" l="1"/>
  <c r="T626" i="1" s="1"/>
  <c r="R625" i="1"/>
  <c r="R624" i="1" l="1"/>
  <c r="S625" i="1"/>
  <c r="T625" i="1" s="1"/>
  <c r="R623" i="1" l="1"/>
  <c r="S624" i="1"/>
  <c r="T624" i="1" s="1"/>
  <c r="S623" i="1" l="1"/>
  <c r="T623" i="1" s="1"/>
  <c r="R622" i="1"/>
  <c r="S622" i="1" l="1"/>
  <c r="T622" i="1" s="1"/>
  <c r="R621" i="1"/>
  <c r="S621" i="1" l="1"/>
  <c r="T621" i="1" s="1"/>
  <c r="R620" i="1"/>
  <c r="R619" i="1" l="1"/>
  <c r="S620" i="1"/>
  <c r="T620" i="1" s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S611" i="1" l="1"/>
  <c r="T611" i="1" s="1"/>
  <c r="R610" i="1"/>
  <c r="R609" i="1" l="1"/>
  <c r="S610" i="1"/>
  <c r="T610" i="1" s="1"/>
  <c r="R608" i="1" l="1"/>
  <c r="S609" i="1"/>
  <c r="T609" i="1" s="1"/>
  <c r="S608" i="1" l="1"/>
  <c r="T608" i="1" s="1"/>
  <c r="R607" i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S600" i="1" l="1"/>
  <c r="T600" i="1" s="1"/>
  <c r="R599" i="1"/>
  <c r="S599" i="1" l="1"/>
  <c r="T599" i="1" s="1"/>
  <c r="R598" i="1"/>
  <c r="S598" i="1" l="1"/>
  <c r="T598" i="1" s="1"/>
  <c r="R597" i="1"/>
  <c r="S597" i="1" l="1"/>
  <c r="T597" i="1" s="1"/>
  <c r="R596" i="1"/>
  <c r="R595" i="1" l="1"/>
  <c r="S596" i="1"/>
  <c r="T596" i="1" s="1"/>
  <c r="S595" i="1" l="1"/>
  <c r="T595" i="1" s="1"/>
  <c r="R594" i="1"/>
  <c r="S594" i="1" l="1"/>
  <c r="T594" i="1" s="1"/>
  <c r="R593" i="1"/>
  <c r="S593" i="1" l="1"/>
  <c r="T593" i="1" s="1"/>
  <c r="R592" i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S586" i="1" l="1"/>
  <c r="T586" i="1" s="1"/>
  <c r="R585" i="1"/>
  <c r="S585" i="1" l="1"/>
  <c r="T585" i="1" s="1"/>
  <c r="R584" i="1"/>
  <c r="S584" i="1" l="1"/>
  <c r="T584" i="1" s="1"/>
  <c r="R583" i="1"/>
  <c r="S583" i="1" l="1"/>
  <c r="T583" i="1" s="1"/>
  <c r="R582" i="1"/>
  <c r="R581" i="1" l="1"/>
  <c r="S582" i="1"/>
  <c r="T582" i="1" s="1"/>
  <c r="S581" i="1" l="1"/>
  <c r="T581" i="1" s="1"/>
  <c r="R580" i="1"/>
  <c r="S580" i="1" l="1"/>
  <c r="T580" i="1" s="1"/>
  <c r="R579" i="1"/>
  <c r="R578" i="1" l="1"/>
  <c r="S579" i="1"/>
  <c r="T579" i="1" s="1"/>
  <c r="S578" i="1" l="1"/>
  <c r="T578" i="1" s="1"/>
  <c r="R577" i="1"/>
  <c r="R576" i="1" l="1"/>
  <c r="S577" i="1"/>
  <c r="T577" i="1" s="1"/>
  <c r="S576" i="1" l="1"/>
  <c r="T576" i="1" s="1"/>
  <c r="R575" i="1"/>
  <c r="R574" i="1" l="1"/>
  <c r="S575" i="1"/>
  <c r="T575" i="1" s="1"/>
  <c r="S574" i="1" l="1"/>
  <c r="T574" i="1" s="1"/>
  <c r="R573" i="1"/>
  <c r="R572" i="1" l="1"/>
  <c r="S573" i="1"/>
  <c r="T573" i="1" s="1"/>
  <c r="S572" i="1" l="1"/>
  <c r="T572" i="1" s="1"/>
  <c r="R571" i="1"/>
  <c r="S571" i="1" l="1"/>
  <c r="T571" i="1" s="1"/>
  <c r="R570" i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S562" i="1" l="1"/>
  <c r="T562" i="1" s="1"/>
  <c r="R561" i="1"/>
  <c r="R560" i="1" l="1"/>
  <c r="S561" i="1"/>
  <c r="T561" i="1" s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S554" i="1" l="1"/>
  <c r="T554" i="1" s="1"/>
  <c r="R553" i="1"/>
  <c r="S553" i="1" l="1"/>
  <c r="T553" i="1" s="1"/>
  <c r="R552" i="1"/>
  <c r="S552" i="1" l="1"/>
  <c r="T552" i="1" s="1"/>
  <c r="R551" i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S545" i="1" l="1"/>
  <c r="T545" i="1" s="1"/>
  <c r="R544" i="1"/>
  <c r="S544" i="1" l="1"/>
  <c r="T544" i="1" s="1"/>
  <c r="R543" i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S539" i="1" l="1"/>
  <c r="T539" i="1" s="1"/>
  <c r="R538" i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S531" i="1" l="1"/>
  <c r="T531" i="1" s="1"/>
  <c r="R530" i="1"/>
  <c r="S530" i="1" l="1"/>
  <c r="T530" i="1" s="1"/>
  <c r="R529" i="1"/>
  <c r="S529" i="1" l="1"/>
  <c r="T529" i="1" s="1"/>
  <c r="R528" i="1"/>
  <c r="S528" i="1" l="1"/>
  <c r="T528" i="1" s="1"/>
  <c r="R527" i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S499" i="1" l="1"/>
  <c r="T499" i="1" s="1"/>
  <c r="R498" i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S490" i="1" l="1"/>
  <c r="T490" i="1" s="1"/>
  <c r="R489" i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R469" i="1" l="1"/>
  <c r="S470" i="1"/>
  <c r="T470" i="1" s="1"/>
  <c r="S469" i="1" l="1"/>
  <c r="T469" i="1" s="1"/>
  <c r="R468" i="1"/>
  <c r="R467" i="1" l="1"/>
  <c r="S468" i="1"/>
  <c r="T468" i="1" s="1"/>
  <c r="S467" i="1" l="1"/>
  <c r="T467" i="1" s="1"/>
  <c r="R466" i="1"/>
  <c r="R465" i="1" l="1"/>
  <c r="S466" i="1"/>
  <c r="T466" i="1" s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S461" i="1" l="1"/>
  <c r="T461" i="1" s="1"/>
  <c r="R460" i="1"/>
  <c r="R459" i="1" l="1"/>
  <c r="S460" i="1"/>
  <c r="T460" i="1" s="1"/>
  <c r="S459" i="1" l="1"/>
  <c r="T459" i="1" s="1"/>
  <c r="R458" i="1"/>
  <c r="S458" i="1" l="1"/>
  <c r="T458" i="1" s="1"/>
  <c r="R457" i="1"/>
  <c r="S457" i="1" l="1"/>
  <c r="T457" i="1" s="1"/>
  <c r="R456" i="1"/>
  <c r="S456" i="1" l="1"/>
  <c r="T456" i="1" s="1"/>
  <c r="R455" i="1"/>
  <c r="S455" i="1" l="1"/>
  <c r="T455" i="1" s="1"/>
  <c r="R454" i="1"/>
  <c r="R453" i="1" l="1"/>
  <c r="S454" i="1"/>
  <c r="T454" i="1" s="1"/>
  <c r="S453" i="1" l="1"/>
  <c r="T453" i="1" s="1"/>
  <c r="R452" i="1"/>
  <c r="R451" i="1" l="1"/>
  <c r="S452" i="1"/>
  <c r="T452" i="1" s="1"/>
  <c r="S451" i="1" l="1"/>
  <c r="T451" i="1" s="1"/>
  <c r="R450" i="1"/>
  <c r="S450" i="1" l="1"/>
  <c r="T450" i="1" s="1"/>
  <c r="R449" i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S445" i="1" l="1"/>
  <c r="T445" i="1" s="1"/>
  <c r="R444" i="1"/>
  <c r="S444" i="1" l="1"/>
  <c r="T444" i="1" s="1"/>
  <c r="R443" i="1"/>
  <c r="R442" i="1" l="1"/>
  <c r="S443" i="1"/>
  <c r="T443" i="1" s="1"/>
  <c r="S442" i="1" l="1"/>
  <c r="T442" i="1" s="1"/>
  <c r="R441" i="1"/>
  <c r="R440" i="1" l="1"/>
  <c r="S441" i="1"/>
  <c r="T441" i="1" s="1"/>
  <c r="S440" i="1" l="1"/>
  <c r="T440" i="1" s="1"/>
  <c r="R439" i="1"/>
  <c r="S439" i="1" l="1"/>
  <c r="T439" i="1" s="1"/>
  <c r="R438" i="1"/>
  <c r="S438" i="1" l="1"/>
  <c r="T438" i="1" s="1"/>
  <c r="R437" i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S426" i="1" l="1"/>
  <c r="T426" i="1" s="1"/>
  <c r="R425" i="1"/>
  <c r="S425" i="1" l="1"/>
  <c r="T425" i="1" s="1"/>
  <c r="R424" i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S420" i="1" l="1"/>
  <c r="T420" i="1" s="1"/>
  <c r="R419" i="1"/>
  <c r="S419" i="1" l="1"/>
  <c r="T419" i="1" s="1"/>
  <c r="R418" i="1"/>
  <c r="S418" i="1" l="1"/>
  <c r="T418" i="1" s="1"/>
  <c r="R417" i="1"/>
  <c r="S417" i="1" l="1"/>
  <c r="T417" i="1" s="1"/>
  <c r="R416" i="1"/>
  <c r="S416" i="1" l="1"/>
  <c r="T416" i="1" s="1"/>
  <c r="R415" i="1"/>
  <c r="R414" i="1" l="1"/>
  <c r="S415" i="1"/>
  <c r="T415" i="1" s="1"/>
  <c r="R413" i="1" l="1"/>
  <c r="S414" i="1"/>
  <c r="T414" i="1" s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S407" i="1" l="1"/>
  <c r="T407" i="1" s="1"/>
  <c r="R406" i="1"/>
  <c r="S406" i="1" l="1"/>
  <c r="T406" i="1" s="1"/>
  <c r="R405" i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S398" i="1" l="1"/>
  <c r="T398" i="1" s="1"/>
  <c r="R397" i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S393" i="1" l="1"/>
  <c r="T393" i="1" s="1"/>
  <c r="R392" i="1"/>
  <c r="S392" i="1" l="1"/>
  <c r="T392" i="1" s="1"/>
  <c r="R391" i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S386" i="1" l="1"/>
  <c r="T386" i="1" s="1"/>
  <c r="R385" i="1"/>
  <c r="S385" i="1" l="1"/>
  <c r="T385" i="1" s="1"/>
  <c r="R384" i="1"/>
  <c r="S384" i="1" l="1"/>
  <c r="T384" i="1" s="1"/>
  <c r="R383" i="1"/>
  <c r="S383" i="1" l="1"/>
  <c r="T383" i="1" s="1"/>
  <c r="R382" i="1"/>
  <c r="R381" i="1" l="1"/>
  <c r="S382" i="1"/>
  <c r="T382" i="1" s="1"/>
  <c r="R380" i="1" l="1"/>
  <c r="S381" i="1"/>
  <c r="T381" i="1" s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S374" i="1" l="1"/>
  <c r="T374" i="1" s="1"/>
  <c r="R373" i="1"/>
  <c r="S373" i="1" l="1"/>
  <c r="T373" i="1" s="1"/>
  <c r="R372" i="1"/>
  <c r="S372" i="1" l="1"/>
  <c r="T372" i="1" s="1"/>
  <c r="R371" i="1"/>
  <c r="S371" i="1" l="1"/>
  <c r="T371" i="1" s="1"/>
  <c r="R370" i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S348" i="1" l="1"/>
  <c r="T348" i="1" s="1"/>
  <c r="R347" i="1"/>
  <c r="S347" i="1" l="1"/>
  <c r="T347" i="1" s="1"/>
  <c r="R346" i="1"/>
  <c r="S346" i="1" l="1"/>
  <c r="T346" i="1" s="1"/>
  <c r="R345" i="1"/>
  <c r="S345" i="1" l="1"/>
  <c r="T345" i="1" s="1"/>
  <c r="R344" i="1"/>
  <c r="S344" i="1" l="1"/>
  <c r="T344" i="1" s="1"/>
  <c r="R343" i="1"/>
  <c r="R342" i="1" l="1"/>
  <c r="S343" i="1"/>
  <c r="T343" i="1" s="1"/>
  <c r="R341" i="1" l="1"/>
  <c r="S342" i="1"/>
  <c r="T342" i="1" s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S323" i="1" l="1"/>
  <c r="T323" i="1" s="1"/>
  <c r="R322" i="1"/>
  <c r="S322" i="1" l="1"/>
  <c r="T322" i="1" s="1"/>
  <c r="R321" i="1"/>
  <c r="S321" i="1" l="1"/>
  <c r="T321" i="1" s="1"/>
  <c r="R320" i="1"/>
  <c r="S320" i="1" l="1"/>
  <c r="T320" i="1" s="1"/>
  <c r="R319" i="1"/>
  <c r="S319" i="1" l="1"/>
  <c r="T319" i="1" s="1"/>
  <c r="R318" i="1"/>
  <c r="S318" i="1" l="1"/>
  <c r="T318" i="1" s="1"/>
  <c r="R317" i="1"/>
  <c r="S317" i="1" l="1"/>
  <c r="T317" i="1" s="1"/>
  <c r="R316" i="1"/>
  <c r="R315" i="1" l="1"/>
  <c r="S316" i="1"/>
  <c r="T316" i="1" s="1"/>
  <c r="S315" i="1" l="1"/>
  <c r="T315" i="1" s="1"/>
  <c r="R314" i="1"/>
  <c r="R313" i="1" l="1"/>
  <c r="S314" i="1"/>
  <c r="T314" i="1" s="1"/>
  <c r="S313" i="1" l="1"/>
  <c r="T313" i="1" s="1"/>
  <c r="R312" i="1"/>
  <c r="S312" i="1" l="1"/>
  <c r="T312" i="1" s="1"/>
  <c r="R311" i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S304" i="1" l="1"/>
  <c r="T304" i="1" s="1"/>
  <c r="R303" i="1"/>
  <c r="S303" i="1" l="1"/>
  <c r="T303" i="1" s="1"/>
  <c r="R302" i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S243" i="1" l="1"/>
  <c r="T243" i="1" s="1"/>
  <c r="R242" i="1"/>
  <c r="S242" i="1" l="1"/>
  <c r="T242" i="1" s="1"/>
  <c r="R241" i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R220" i="1" l="1"/>
  <c r="S221" i="1"/>
  <c r="T221" i="1" s="1"/>
  <c r="R219" i="1" l="1"/>
  <c r="S220" i="1"/>
  <c r="T220" i="1" s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S197" i="1" l="1"/>
  <c r="T197" i="1" s="1"/>
  <c r="R196" i="1"/>
  <c r="S196" i="1" l="1"/>
  <c r="T196" i="1" s="1"/>
  <c r="R195" i="1"/>
  <c r="R194" i="1" l="1"/>
  <c r="S195" i="1"/>
  <c r="T195" i="1" s="1"/>
  <c r="S194" i="1" l="1"/>
  <c r="T194" i="1" s="1"/>
  <c r="R193" i="1"/>
  <c r="S193" i="1" l="1"/>
  <c r="T193" i="1" s="1"/>
  <c r="R192" i="1"/>
  <c r="S192" i="1" l="1"/>
  <c r="T192" i="1" s="1"/>
  <c r="R191" i="1"/>
  <c r="R190" i="1" l="1"/>
  <c r="S191" i="1"/>
  <c r="T191" i="1" s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S185" i="1" l="1"/>
  <c r="T185" i="1" s="1"/>
  <c r="R184" i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S176" i="1" l="1"/>
  <c r="T176" i="1" s="1"/>
  <c r="R175" i="1"/>
  <c r="S175" i="1" l="1"/>
  <c r="T175" i="1" s="1"/>
  <c r="R174" i="1"/>
  <c r="S174" i="1" l="1"/>
  <c r="T174" i="1" s="1"/>
  <c r="R173" i="1"/>
  <c r="S173" i="1" l="1"/>
  <c r="T173" i="1" s="1"/>
  <c r="R172" i="1"/>
  <c r="S172" i="1" l="1"/>
  <c r="T172" i="1" s="1"/>
  <c r="R171" i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S127" i="1" l="1"/>
  <c r="T127" i="1" s="1"/>
  <c r="R126" i="1"/>
  <c r="S126" i="1" l="1"/>
  <c r="T126" i="1" s="1"/>
  <c r="R125" i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S118" i="1" l="1"/>
  <c r="T118" i="1" s="1"/>
  <c r="R117" i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R67" i="1" l="1"/>
  <c r="S68" i="1"/>
  <c r="T68" i="1" s="1"/>
  <c r="S67" i="1" l="1"/>
  <c r="T67" i="1" s="1"/>
  <c r="R66" i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R49" i="1" l="1"/>
  <c r="S50" i="1"/>
  <c r="T50" i="1" s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R20" i="1" l="1"/>
  <c r="S21" i="1"/>
  <c r="T21" i="1" s="1"/>
  <c r="R19" i="1" l="1"/>
  <c r="S20" i="1"/>
  <c r="T20" i="1" s="1"/>
  <c r="R18" i="1" l="1"/>
  <c r="S19" i="1"/>
  <c r="T19" i="1" s="1"/>
  <c r="R17" i="1" l="1"/>
  <c r="S18" i="1"/>
  <c r="T18" i="1" s="1"/>
  <c r="R16" i="1" l="1"/>
  <c r="S17" i="1"/>
  <c r="T17" i="1" s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<sst xmlns="http://schemas.openxmlformats.org/spreadsheetml/2006/main" count="2370" uniqueCount="34">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</sst>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1826</c:v>
                </c:pt>
                <c:pt idx="1">
                  <c:v>1832</c:v>
                </c:pt>
                <c:pt idx="2">
                  <c:v>1855</c:v>
                </c:pt>
                <c:pt idx="3">
                  <c:v>1849</c:v>
                </c:pt>
                <c:pt idx="4">
                  <c:v>1844</c:v>
                </c:pt>
                <c:pt idx="5">
                  <c:v>1840</c:v>
                </c:pt>
                <c:pt idx="6">
                  <c:v>1842</c:v>
                </c:pt>
                <c:pt idx="7">
                  <c:v>1845</c:v>
                </c:pt>
                <c:pt idx="8">
                  <c:v>1846</c:v>
                </c:pt>
                <c:pt idx="9">
                  <c:v>1821</c:v>
                </c:pt>
                <c:pt idx="10">
                  <c:v>1821</c:v>
                </c:pt>
                <c:pt idx="11">
                  <c:v>1825</c:v>
                </c:pt>
                <c:pt idx="12">
                  <c:v>1826</c:v>
                </c:pt>
                <c:pt idx="13">
                  <c:v>1825</c:v>
                </c:pt>
                <c:pt idx="14">
                  <c:v>1825</c:v>
                </c:pt>
                <c:pt idx="15">
                  <c:v>1833</c:v>
                </c:pt>
                <c:pt idx="16">
                  <c:v>1822</c:v>
                </c:pt>
                <c:pt idx="17">
                  <c:v>1804</c:v>
                </c:pt>
                <c:pt idx="18">
                  <c:v>1797</c:v>
                </c:pt>
                <c:pt idx="19">
                  <c:v>1798</c:v>
                </c:pt>
                <c:pt idx="20">
                  <c:v>1805</c:v>
                </c:pt>
                <c:pt idx="21">
                  <c:v>1797</c:v>
                </c:pt>
                <c:pt idx="22">
                  <c:v>1816</c:v>
                </c:pt>
                <c:pt idx="23">
                  <c:v>1817</c:v>
                </c:pt>
                <c:pt idx="24">
                  <c:v>1809</c:v>
                </c:pt>
                <c:pt idx="25">
                  <c:v>1835</c:v>
                </c:pt>
                <c:pt idx="26">
                  <c:v>1837</c:v>
                </c:pt>
                <c:pt idx="27">
                  <c:v>1835</c:v>
                </c:pt>
                <c:pt idx="28">
                  <c:v>1824</c:v>
                </c:pt>
                <c:pt idx="29">
                  <c:v>1812</c:v>
                </c:pt>
                <c:pt idx="30">
                  <c:v>1812</c:v>
                </c:pt>
                <c:pt idx="31">
                  <c:v>1819</c:v>
                </c:pt>
                <c:pt idx="32">
                  <c:v>1814</c:v>
                </c:pt>
                <c:pt idx="33">
                  <c:v>1816</c:v>
                </c:pt>
                <c:pt idx="34">
                  <c:v>1817</c:v>
                </c:pt>
                <c:pt idx="35">
                  <c:v>1815</c:v>
                </c:pt>
                <c:pt idx="36">
                  <c:v>1807</c:v>
                </c:pt>
                <c:pt idx="37">
                  <c:v>1796</c:v>
                </c:pt>
                <c:pt idx="38">
                  <c:v>1799</c:v>
                </c:pt>
                <c:pt idx="39">
                  <c:v>1804</c:v>
                </c:pt>
                <c:pt idx="40">
                  <c:v>1803</c:v>
                </c:pt>
                <c:pt idx="41">
                  <c:v>1804</c:v>
                </c:pt>
                <c:pt idx="42">
                  <c:v>1800</c:v>
                </c:pt>
                <c:pt idx="43">
                  <c:v>1779</c:v>
                </c:pt>
                <c:pt idx="44">
                  <c:v>1775</c:v>
                </c:pt>
                <c:pt idx="45">
                  <c:v>1789</c:v>
                </c:pt>
                <c:pt idx="46">
                  <c:v>1784</c:v>
                </c:pt>
                <c:pt idx="47">
                  <c:v>1785</c:v>
                </c:pt>
                <c:pt idx="48">
                  <c:v>1783</c:v>
                </c:pt>
                <c:pt idx="49">
                  <c:v>1774</c:v>
                </c:pt>
                <c:pt idx="50">
                  <c:v>1785</c:v>
                </c:pt>
                <c:pt idx="51">
                  <c:v>1789</c:v>
                </c:pt>
                <c:pt idx="52">
                  <c:v>1785</c:v>
                </c:pt>
                <c:pt idx="53">
                  <c:v>1783</c:v>
                </c:pt>
                <c:pt idx="54">
                  <c:v>1781</c:v>
                </c:pt>
                <c:pt idx="55">
                  <c:v>1781</c:v>
                </c:pt>
                <c:pt idx="56">
                  <c:v>1772</c:v>
                </c:pt>
                <c:pt idx="57">
                  <c:v>1784</c:v>
                </c:pt>
                <c:pt idx="58">
                  <c:v>1776</c:v>
                </c:pt>
                <c:pt idx="59">
                  <c:v>1789</c:v>
                </c:pt>
                <c:pt idx="60">
                  <c:v>1794</c:v>
                </c:pt>
                <c:pt idx="61">
                  <c:v>1792</c:v>
                </c:pt>
                <c:pt idx="62">
                  <c:v>1795</c:v>
                </c:pt>
                <c:pt idx="63">
                  <c:v>1796</c:v>
                </c:pt>
                <c:pt idx="64">
                  <c:v>1796</c:v>
                </c:pt>
                <c:pt idx="65">
                  <c:v>1792</c:v>
                </c:pt>
                <c:pt idx="66">
                  <c:v>1811</c:v>
                </c:pt>
                <c:pt idx="67">
                  <c:v>1843</c:v>
                </c:pt>
                <c:pt idx="68">
                  <c:v>1843</c:v>
                </c:pt>
                <c:pt idx="69">
                  <c:v>1846</c:v>
                </c:pt>
                <c:pt idx="70">
                  <c:v>1859</c:v>
                </c:pt>
                <c:pt idx="71">
                  <c:v>1868</c:v>
                </c:pt>
                <c:pt idx="72">
                  <c:v>1857</c:v>
                </c:pt>
                <c:pt idx="73">
                  <c:v>1869</c:v>
                </c:pt>
                <c:pt idx="74">
                  <c:v>1872</c:v>
                </c:pt>
                <c:pt idx="75">
                  <c:v>1872</c:v>
                </c:pt>
                <c:pt idx="76">
                  <c:v>1871</c:v>
                </c:pt>
                <c:pt idx="77">
                  <c:v>1862</c:v>
                </c:pt>
                <c:pt idx="78">
                  <c:v>1852</c:v>
                </c:pt>
                <c:pt idx="79">
                  <c:v>1832</c:v>
                </c:pt>
                <c:pt idx="80">
                  <c:v>1826</c:v>
                </c:pt>
                <c:pt idx="81">
                  <c:v>1817</c:v>
                </c:pt>
                <c:pt idx="82">
                  <c:v>1819</c:v>
                </c:pt>
                <c:pt idx="83">
                  <c:v>1817</c:v>
                </c:pt>
                <c:pt idx="84">
                  <c:v>1792</c:v>
                </c:pt>
                <c:pt idx="85">
                  <c:v>1778</c:v>
                </c:pt>
                <c:pt idx="86">
                  <c:v>1789</c:v>
                </c:pt>
                <c:pt idx="87">
                  <c:v>1791</c:v>
                </c:pt>
                <c:pt idx="88">
                  <c:v>1779</c:v>
                </c:pt>
                <c:pt idx="89">
                  <c:v>1786</c:v>
                </c:pt>
                <c:pt idx="90">
                  <c:v>1782</c:v>
                </c:pt>
                <c:pt idx="91">
                  <c:v>1802</c:v>
                </c:pt>
                <c:pt idx="92">
                  <c:v>1802</c:v>
                </c:pt>
                <c:pt idx="93">
                  <c:v>1795</c:v>
                </c:pt>
                <c:pt idx="94">
                  <c:v>1812</c:v>
                </c:pt>
                <c:pt idx="95">
                  <c:v>1801</c:v>
                </c:pt>
                <c:pt idx="96">
                  <c:v>1799</c:v>
                </c:pt>
                <c:pt idx="97">
                  <c:v>1797</c:v>
                </c:pt>
                <c:pt idx="98">
                  <c:v>1787</c:v>
                </c:pt>
                <c:pt idx="99">
                  <c:v>1783</c:v>
                </c:pt>
                <c:pt idx="100">
                  <c:v>1776</c:v>
                </c:pt>
                <c:pt idx="101">
                  <c:v>1770</c:v>
                </c:pt>
                <c:pt idx="102">
                  <c:v>1776</c:v>
                </c:pt>
                <c:pt idx="103">
                  <c:v>1771</c:v>
                </c:pt>
                <c:pt idx="104">
                  <c:v>1775</c:v>
                </c:pt>
                <c:pt idx="105">
                  <c:v>1800</c:v>
                </c:pt>
                <c:pt idx="106">
                  <c:v>1796</c:v>
                </c:pt>
                <c:pt idx="107">
                  <c:v>1764</c:v>
                </c:pt>
                <c:pt idx="108">
                  <c:v>1760</c:v>
                </c:pt>
                <c:pt idx="109">
                  <c:v>1758</c:v>
                </c:pt>
                <c:pt idx="110">
                  <c:v>1762</c:v>
                </c:pt>
                <c:pt idx="111">
                  <c:v>1762</c:v>
                </c:pt>
                <c:pt idx="112">
                  <c:v>1759</c:v>
                </c:pt>
                <c:pt idx="113">
                  <c:v>1765</c:v>
                </c:pt>
                <c:pt idx="114">
                  <c:v>1764</c:v>
                </c:pt>
                <c:pt idx="115">
                  <c:v>1773</c:v>
                </c:pt>
                <c:pt idx="116">
                  <c:v>1771</c:v>
                </c:pt>
                <c:pt idx="117">
                  <c:v>1764</c:v>
                </c:pt>
                <c:pt idx="118">
                  <c:v>1765</c:v>
                </c:pt>
                <c:pt idx="119">
                  <c:v>1763</c:v>
                </c:pt>
                <c:pt idx="120">
                  <c:v>1739</c:v>
                </c:pt>
                <c:pt idx="121">
                  <c:v>1745</c:v>
                </c:pt>
                <c:pt idx="122">
                  <c:v>1758</c:v>
                </c:pt>
                <c:pt idx="123">
                  <c:v>1757</c:v>
                </c:pt>
                <c:pt idx="124">
                  <c:v>1756</c:v>
                </c:pt>
                <c:pt idx="125">
                  <c:v>1759</c:v>
                </c:pt>
                <c:pt idx="126">
                  <c:v>1756</c:v>
                </c:pt>
                <c:pt idx="127">
                  <c:v>1770</c:v>
                </c:pt>
                <c:pt idx="128">
                  <c:v>1783</c:v>
                </c:pt>
                <c:pt idx="129">
                  <c:v>1768</c:v>
                </c:pt>
                <c:pt idx="130">
                  <c:v>1764</c:v>
                </c:pt>
                <c:pt idx="131">
                  <c:v>1768</c:v>
                </c:pt>
                <c:pt idx="132">
                  <c:v>1765</c:v>
                </c:pt>
                <c:pt idx="133">
                  <c:v>1764</c:v>
                </c:pt>
                <c:pt idx="134">
                  <c:v>1798</c:v>
                </c:pt>
                <c:pt idx="135">
                  <c:v>1805</c:v>
                </c:pt>
                <c:pt idx="136">
                  <c:v>1799</c:v>
                </c:pt>
                <c:pt idx="137">
                  <c:v>1793</c:v>
                </c:pt>
                <c:pt idx="138">
                  <c:v>1798</c:v>
                </c:pt>
                <c:pt idx="139">
                  <c:v>1794</c:v>
                </c:pt>
                <c:pt idx="140">
                  <c:v>1796</c:v>
                </c:pt>
                <c:pt idx="141">
                  <c:v>1789</c:v>
                </c:pt>
                <c:pt idx="142">
                  <c:v>1791</c:v>
                </c:pt>
                <c:pt idx="143">
                  <c:v>1826</c:v>
                </c:pt>
                <c:pt idx="144">
                  <c:v>1828</c:v>
                </c:pt>
                <c:pt idx="145">
                  <c:v>1824</c:v>
                </c:pt>
                <c:pt idx="146">
                  <c:v>1830</c:v>
                </c:pt>
                <c:pt idx="147">
                  <c:v>1816</c:v>
                </c:pt>
                <c:pt idx="148">
                  <c:v>1820</c:v>
                </c:pt>
                <c:pt idx="149">
                  <c:v>1816</c:v>
                </c:pt>
                <c:pt idx="150">
                  <c:v>1814</c:v>
                </c:pt>
                <c:pt idx="151">
                  <c:v>1819</c:v>
                </c:pt>
                <c:pt idx="152">
                  <c:v>1820</c:v>
                </c:pt>
                <c:pt idx="153">
                  <c:v>1822</c:v>
                </c:pt>
                <c:pt idx="154">
                  <c:v>1798</c:v>
                </c:pt>
                <c:pt idx="155">
                  <c:v>1797.46</c:v>
                </c:pt>
                <c:pt idx="156">
                  <c:v>1802.71</c:v>
                </c:pt>
                <c:pt idx="157">
                  <c:v>1806.06</c:v>
                </c:pt>
                <c:pt idx="158">
                  <c:v>1782.9</c:v>
                </c:pt>
                <c:pt idx="159">
                  <c:v>1787.57</c:v>
                </c:pt>
                <c:pt idx="160">
                  <c:v>1785.39</c:v>
                </c:pt>
                <c:pt idx="161">
                  <c:v>1783.47</c:v>
                </c:pt>
                <c:pt idx="162">
                  <c:v>1789.72</c:v>
                </c:pt>
                <c:pt idx="163">
                  <c:v>1785.57</c:v>
                </c:pt>
                <c:pt idx="164">
                  <c:v>1791.48</c:v>
                </c:pt>
                <c:pt idx="165">
                  <c:v>1779.79</c:v>
                </c:pt>
                <c:pt idx="166">
                  <c:v>1774.94</c:v>
                </c:pt>
                <c:pt idx="167">
                  <c:v>1782.99</c:v>
                </c:pt>
                <c:pt idx="168">
                  <c:v>1759.81</c:v>
                </c:pt>
                <c:pt idx="169">
                  <c:v>1756.72</c:v>
                </c:pt>
                <c:pt idx="170">
                  <c:v>1738.02</c:v>
                </c:pt>
                <c:pt idx="171">
                  <c:v>1743.25</c:v>
                </c:pt>
                <c:pt idx="172">
                  <c:v>1731.66</c:v>
                </c:pt>
                <c:pt idx="173">
                  <c:v>1774.09</c:v>
                </c:pt>
                <c:pt idx="174">
                  <c:v>1770.01</c:v>
                </c:pt>
                <c:pt idx="175">
                  <c:v>1808.43</c:v>
                </c:pt>
                <c:pt idx="176">
                  <c:v>1818.34</c:v>
                </c:pt>
                <c:pt idx="177">
                  <c:v>1812.7</c:v>
                </c:pt>
                <c:pt idx="178">
                  <c:v>1818.44</c:v>
                </c:pt>
                <c:pt idx="179">
                  <c:v>1814.13</c:v>
                </c:pt>
                <c:pt idx="180">
                  <c:v>1818.55</c:v>
                </c:pt>
                <c:pt idx="181">
                  <c:v>1822.85</c:v>
                </c:pt>
                <c:pt idx="182">
                  <c:v>1834.36</c:v>
                </c:pt>
                <c:pt idx="183">
                  <c:v>1812.51</c:v>
                </c:pt>
                <c:pt idx="184">
                  <c:v>1808.99</c:v>
                </c:pt>
                <c:pt idx="185">
                  <c:v>1802.98</c:v>
                </c:pt>
                <c:pt idx="186">
                  <c:v>1810.17</c:v>
                </c:pt>
                <c:pt idx="187">
                  <c:v>1812.53</c:v>
                </c:pt>
                <c:pt idx="188">
                  <c:v>1812.38</c:v>
                </c:pt>
                <c:pt idx="189">
                  <c:v>1807.32</c:v>
                </c:pt>
                <c:pt idx="190">
                  <c:v>1807.12</c:v>
                </c:pt>
                <c:pt idx="191">
                  <c:v>1809.83</c:v>
                </c:pt>
                <c:pt idx="192">
                  <c:v>1818.52</c:v>
                </c:pt>
                <c:pt idx="193">
                  <c:v>1817.43</c:v>
                </c:pt>
                <c:pt idx="194">
                  <c:v>1813.74</c:v>
                </c:pt>
                <c:pt idx="195">
                  <c:v>1812.23</c:v>
                </c:pt>
                <c:pt idx="196">
                  <c:v>1837.52</c:v>
                </c:pt>
                <c:pt idx="197">
                  <c:v>1832.06</c:v>
                </c:pt>
                <c:pt idx="198">
                  <c:v>1810.37</c:v>
                </c:pt>
                <c:pt idx="199">
                  <c:v>1808.72</c:v>
                </c:pt>
                <c:pt idx="200">
                  <c:v>1811.69</c:v>
                </c:pt>
                <c:pt idx="201">
                  <c:v>1810.18</c:v>
                </c:pt>
                <c:pt idx="202">
                  <c:v>1815.8</c:v>
                </c:pt>
                <c:pt idx="203">
                  <c:v>1812.63</c:v>
                </c:pt>
                <c:pt idx="204">
                  <c:v>1806.19</c:v>
                </c:pt>
                <c:pt idx="205">
                  <c:v>1800.25</c:v>
                </c:pt>
                <c:pt idx="206">
                  <c:v>1792.02</c:v>
                </c:pt>
                <c:pt idx="207">
                  <c:v>1795.44</c:v>
                </c:pt>
                <c:pt idx="208">
                  <c:v>1792.79</c:v>
                </c:pt>
                <c:pt idx="209">
                  <c:v>1792.59</c:v>
                </c:pt>
                <c:pt idx="210">
                  <c:v>1776.9</c:v>
                </c:pt>
                <c:pt idx="211">
                  <c:v>1777.22</c:v>
                </c:pt>
                <c:pt idx="212">
                  <c:v>1767.58</c:v>
                </c:pt>
                <c:pt idx="213">
                  <c:v>1785.61</c:v>
                </c:pt>
                <c:pt idx="214">
                  <c:v>1790.49</c:v>
                </c:pt>
                <c:pt idx="215">
                  <c:v>1780.85</c:v>
                </c:pt>
                <c:pt idx="216">
                  <c:v>1778.36</c:v>
                </c:pt>
                <c:pt idx="217">
                  <c:v>1777.46</c:v>
                </c:pt>
                <c:pt idx="218">
                  <c:v>1781.69</c:v>
                </c:pt>
                <c:pt idx="219">
                  <c:v>1780.41</c:v>
                </c:pt>
                <c:pt idx="220">
                  <c:v>1787.52</c:v>
                </c:pt>
                <c:pt idx="221">
                  <c:v>1778</c:v>
                </c:pt>
                <c:pt idx="222">
                  <c:v>1771.44</c:v>
                </c:pt>
                <c:pt idx="223">
                  <c:v>1774.28</c:v>
                </c:pt>
                <c:pt idx="224">
                  <c:v>1790.86</c:v>
                </c:pt>
                <c:pt idx="225">
                  <c:v>1825</c:v>
                </c:pt>
                <c:pt idx="226">
                  <c:v>1859.23</c:v>
                </c:pt>
                <c:pt idx="227">
                  <c:v>1872.69</c:v>
                </c:pt>
                <c:pt idx="228">
                  <c:v>1881.06</c:v>
                </c:pt>
                <c:pt idx="229">
                  <c:v>1889.8</c:v>
                </c:pt>
                <c:pt idx="230">
                  <c:v>1887.64</c:v>
                </c:pt>
                <c:pt idx="231">
                  <c:v>1899</c:v>
                </c:pt>
                <c:pt idx="232">
                  <c:v>1893.01</c:v>
                </c:pt>
                <c:pt idx="233">
                  <c:v>1894.2</c:v>
                </c:pt>
                <c:pt idx="234">
                  <c:v>1897.14</c:v>
                </c:pt>
                <c:pt idx="235">
                  <c:v>1898.54</c:v>
                </c:pt>
                <c:pt idx="236">
                  <c:v>1903.63</c:v>
                </c:pt>
                <c:pt idx="237">
                  <c:v>1902.04</c:v>
                </c:pt>
                <c:pt idx="238">
                  <c:v>1878.92</c:v>
                </c:pt>
                <c:pt idx="239">
                  <c:v>1911.92</c:v>
                </c:pt>
                <c:pt idx="240">
                  <c:v>1912.49</c:v>
                </c:pt>
                <c:pt idx="241">
                  <c:v>1916.9</c:v>
                </c:pt>
                <c:pt idx="242">
                  <c:v>1914.16</c:v>
                </c:pt>
                <c:pt idx="243">
                  <c:v>1932.83</c:v>
                </c:pt>
                <c:pt idx="244">
                  <c:v>1922.41</c:v>
                </c:pt>
                <c:pt idx="245">
                  <c:v>1904.37</c:v>
                </c:pt>
                <c:pt idx="246">
                  <c:v>1904.08</c:v>
                </c:pt>
                <c:pt idx="247">
                  <c:v>1898.24</c:v>
                </c:pt>
                <c:pt idx="248">
                  <c:v>1881.36</c:v>
                </c:pt>
                <c:pt idx="249">
                  <c:v>1894.6</c:v>
                </c:pt>
                <c:pt idx="250">
                  <c:v>1900.8</c:v>
                </c:pt>
                <c:pt idx="251">
                  <c:v>1899.87</c:v>
                </c:pt>
                <c:pt idx="252">
                  <c:v>1879.67</c:v>
                </c:pt>
                <c:pt idx="253">
                  <c:v>1867.63</c:v>
                </c:pt>
                <c:pt idx="254">
                  <c:v>1879.42</c:v>
                </c:pt>
                <c:pt idx="255">
                  <c:v>1899.22</c:v>
                </c:pt>
                <c:pt idx="256">
                  <c:v>1944.81</c:v>
                </c:pt>
                <c:pt idx="257">
                  <c:v>1882.3</c:v>
                </c:pt>
                <c:pt idx="258">
                  <c:v>1870.08</c:v>
                </c:pt>
                <c:pt idx="259">
                  <c:v>1858.93</c:v>
                </c:pt>
                <c:pt idx="260">
                  <c:v>1826.58</c:v>
                </c:pt>
                <c:pt idx="261">
                  <c:v>1861.46</c:v>
                </c:pt>
                <c:pt idx="262">
                  <c:v>1878.77</c:v>
                </c:pt>
                <c:pt idx="263">
                  <c:v>1891.67</c:v>
                </c:pt>
                <c:pt idx="264">
                  <c:v>1865.68</c:v>
                </c:pt>
                <c:pt idx="265">
                  <c:v>1860</c:v>
                </c:pt>
                <c:pt idx="266">
                  <c:v>1835.79</c:v>
                </c:pt>
                <c:pt idx="267">
                  <c:v>1798.94</c:v>
                </c:pt>
                <c:pt idx="268">
                  <c:v>1786.03</c:v>
                </c:pt>
                <c:pt idx="269">
                  <c:v>1801.42</c:v>
                </c:pt>
                <c:pt idx="270">
                  <c:v>1785.98</c:v>
                </c:pt>
                <c:pt idx="271">
                  <c:v>1790</c:v>
                </c:pt>
                <c:pt idx="272">
                  <c:v>1784.38</c:v>
                </c:pt>
                <c:pt idx="273">
                  <c:v>1786.93</c:v>
                </c:pt>
                <c:pt idx="274">
                  <c:v>1797.19</c:v>
                </c:pt>
                <c:pt idx="275">
                  <c:v>1791.17</c:v>
                </c:pt>
                <c:pt idx="276">
                  <c:v>1794.34</c:v>
                </c:pt>
                <c:pt idx="277">
                  <c:v>1781.65</c:v>
                </c:pt>
                <c:pt idx="278">
                  <c:v>1788.65</c:v>
                </c:pt>
                <c:pt idx="279">
                  <c:v>1806.54</c:v>
                </c:pt>
                <c:pt idx="280">
                  <c:v>1796.12</c:v>
                </c:pt>
                <c:pt idx="281">
                  <c:v>1816.33</c:v>
                </c:pt>
                <c:pt idx="282">
                  <c:v>1789.39</c:v>
                </c:pt>
                <c:pt idx="283">
                  <c:v>1783.44</c:v>
                </c:pt>
                <c:pt idx="284">
                  <c:v>1799.95</c:v>
                </c:pt>
                <c:pt idx="285">
                  <c:v>1789.61</c:v>
                </c:pt>
                <c:pt idx="286">
                  <c:v>1787.61</c:v>
                </c:pt>
                <c:pt idx="287">
                  <c:v>1770</c:v>
                </c:pt>
                <c:pt idx="288">
                  <c:v>1751.14</c:v>
                </c:pt>
                <c:pt idx="289">
                  <c:v>1751.03</c:v>
                </c:pt>
                <c:pt idx="290">
                  <c:v>1746.8</c:v>
                </c:pt>
                <c:pt idx="291">
                  <c:v>1755.46</c:v>
                </c:pt>
                <c:pt idx="292">
                  <c:v>1756.28</c:v>
                </c:pt>
                <c:pt idx="293">
                  <c:v>1752.9</c:v>
                </c:pt>
                <c:pt idx="294">
                  <c:v>1769.62</c:v>
                </c:pt>
                <c:pt idx="295">
                  <c:v>1754.97</c:v>
                </c:pt>
                <c:pt idx="296">
                  <c:v>1756.41</c:v>
                </c:pt>
                <c:pt idx="297">
                  <c:v>1743.7</c:v>
                </c:pt>
                <c:pt idx="298">
                  <c:v>1747.87</c:v>
                </c:pt>
                <c:pt idx="299">
                  <c:v>1734.27</c:v>
                </c:pt>
                <c:pt idx="300">
                  <c:v>1738.86</c:v>
                </c:pt>
                <c:pt idx="301">
                  <c:v>1741.6</c:v>
                </c:pt>
                <c:pt idx="302">
                  <c:v>1713.55</c:v>
                </c:pt>
                <c:pt idx="303">
                  <c:v>1701.14</c:v>
                </c:pt>
                <c:pt idx="304">
                  <c:v>1724.69</c:v>
                </c:pt>
                <c:pt idx="305">
                  <c:v>1746.57</c:v>
                </c:pt>
                <c:pt idx="306">
                  <c:v>1732.78</c:v>
                </c:pt>
                <c:pt idx="307">
                  <c:v>1740.57</c:v>
                </c:pt>
                <c:pt idx="308">
                  <c:v>1727.59</c:v>
                </c:pt>
                <c:pt idx="309">
                  <c:v>1737.78</c:v>
                </c:pt>
                <c:pt idx="310">
                  <c:v>1740</c:v>
                </c:pt>
                <c:pt idx="311">
                  <c:v>1740.72</c:v>
                </c:pt>
                <c:pt idx="312">
                  <c:v>1746.58</c:v>
                </c:pt>
                <c:pt idx="313">
                  <c:v>1754.66</c:v>
                </c:pt>
                <c:pt idx="314">
                  <c:v>1757.82</c:v>
                </c:pt>
                <c:pt idx="315">
                  <c:v>1741.57</c:v>
                </c:pt>
                <c:pt idx="316">
                  <c:v>1758.63</c:v>
                </c:pt>
                <c:pt idx="317">
                  <c:v>1745.52</c:v>
                </c:pt>
                <c:pt idx="318">
                  <c:v>1734.72</c:v>
                </c:pt>
                <c:pt idx="319">
                  <c:v>1734.93</c:v>
                </c:pt>
                <c:pt idx="320">
                  <c:v>1745.03</c:v>
                </c:pt>
                <c:pt idx="321">
                  <c:v>1739.16</c:v>
                </c:pt>
                <c:pt idx="322">
                  <c:v>1743</c:v>
                </c:pt>
                <c:pt idx="323">
                  <c:v>1739.56</c:v>
                </c:pt>
                <c:pt idx="324">
                  <c:v>1729.2</c:v>
                </c:pt>
                <c:pt idx="325">
                  <c:v>1705.97</c:v>
                </c:pt>
                <c:pt idx="326">
                  <c:v>1717.2</c:v>
                </c:pt>
                <c:pt idx="327">
                  <c:v>1713.98</c:v>
                </c:pt>
                <c:pt idx="328">
                  <c:v>1708.49</c:v>
                </c:pt>
                <c:pt idx="329">
                  <c:v>1705.88</c:v>
                </c:pt>
                <c:pt idx="330">
                  <c:v>1717.35</c:v>
                </c:pt>
                <c:pt idx="331">
                  <c:v>1750.02</c:v>
                </c:pt>
                <c:pt idx="332">
                  <c:v>1727.23</c:v>
                </c:pt>
                <c:pt idx="333">
                  <c:v>1744.61</c:v>
                </c:pt>
                <c:pt idx="334">
                  <c:v>1750.24</c:v>
                </c:pt>
                <c:pt idx="335">
                  <c:v>1748.67</c:v>
                </c:pt>
                <c:pt idx="336">
                  <c:v>1775.14</c:v>
                </c:pt>
                <c:pt idx="337">
                  <c:v>1811.71</c:v>
                </c:pt>
                <c:pt idx="338">
                  <c:v>1820.38</c:v>
                </c:pt>
                <c:pt idx="339">
                  <c:v>1823.8</c:v>
                </c:pt>
                <c:pt idx="340">
                  <c:v>1823.04</c:v>
                </c:pt>
                <c:pt idx="341">
                  <c:v>1813.81</c:v>
                </c:pt>
                <c:pt idx="342">
                  <c:v>1807.07</c:v>
                </c:pt>
                <c:pt idx="343">
                  <c:v>1783.58</c:v>
                </c:pt>
                <c:pt idx="344">
                  <c:v>1796.08</c:v>
                </c:pt>
                <c:pt idx="345">
                  <c:v>1814.6</c:v>
                </c:pt>
                <c:pt idx="346">
                  <c:v>1833.22</c:v>
                </c:pt>
                <c:pt idx="347">
                  <c:v>1839.29</c:v>
                </c:pt>
                <c:pt idx="348">
                  <c:v>1845.45</c:v>
                </c:pt>
                <c:pt idx="349">
                  <c:v>1840.64</c:v>
                </c:pt>
                <c:pt idx="350">
                  <c:v>1835.16</c:v>
                </c:pt>
                <c:pt idx="351">
                  <c:v>1855.13</c:v>
                </c:pt>
                <c:pt idx="352">
                  <c:v>1852.18</c:v>
                </c:pt>
                <c:pt idx="353">
                  <c:v>1846.12</c:v>
                </c:pt>
                <c:pt idx="354">
                  <c:v>1836.06</c:v>
                </c:pt>
                <c:pt idx="355">
                  <c:v>1834.62</c:v>
                </c:pt>
                <c:pt idx="356">
                  <c:v>1832.17</c:v>
                </c:pt>
                <c:pt idx="357">
                  <c:v>1809.6</c:v>
                </c:pt>
                <c:pt idx="358">
                  <c:v>1847.95</c:v>
                </c:pt>
                <c:pt idx="359">
                  <c:v>1850.42</c:v>
                </c:pt>
                <c:pt idx="360">
                  <c:v>1868.04</c:v>
                </c:pt>
                <c:pt idx="361">
                  <c:v>1878.12</c:v>
                </c:pt>
                <c:pt idx="362">
                  <c:v>1865.71</c:v>
                </c:pt>
                <c:pt idx="363">
                  <c:v>1868.2</c:v>
                </c:pt>
                <c:pt idx="364">
                  <c:v>1853.83</c:v>
                </c:pt>
                <c:pt idx="365">
                  <c:v>1847.66</c:v>
                </c:pt>
                <c:pt idx="366">
                  <c:v>1864.98</c:v>
                </c:pt>
                <c:pt idx="367">
                  <c:v>1859.85</c:v>
                </c:pt>
                <c:pt idx="368">
                  <c:v>1858.99</c:v>
                </c:pt>
                <c:pt idx="369">
                  <c:v>1867.61</c:v>
                </c:pt>
                <c:pt idx="370">
                  <c:v>1863.75</c:v>
                </c:pt>
                <c:pt idx="371">
                  <c:v>1882.13</c:v>
                </c:pt>
                <c:pt idx="372">
                  <c:v>1883.97</c:v>
                </c:pt>
                <c:pt idx="373">
                  <c:v>1852</c:v>
                </c:pt>
                <c:pt idx="374">
                  <c:v>1852.79</c:v>
                </c:pt>
                <c:pt idx="375">
                  <c:v>1837.39</c:v>
                </c:pt>
                <c:pt idx="376">
                  <c:v>1850</c:v>
                </c:pt>
                <c:pt idx="377">
                  <c:v>1839.37</c:v>
                </c:pt>
                <c:pt idx="378">
                  <c:v>1869.06</c:v>
                </c:pt>
                <c:pt idx="379">
                  <c:v>1857.24</c:v>
                </c:pt>
                <c:pt idx="380">
                  <c:v>1866</c:v>
                </c:pt>
                <c:pt idx="381">
                  <c:v>1861.19</c:v>
                </c:pt>
                <c:pt idx="382">
                  <c:v>1879.53</c:v>
                </c:pt>
                <c:pt idx="383">
                  <c:v>1870.05</c:v>
                </c:pt>
                <c:pt idx="384">
                  <c:v>1871.6</c:v>
                </c:pt>
                <c:pt idx="385">
                  <c:v>1955.4</c:v>
                </c:pt>
                <c:pt idx="386">
                  <c:v>1960.73</c:v>
                </c:pt>
                <c:pt idx="387">
                  <c:v>2027.63</c:v>
                </c:pt>
                <c:pt idx="388">
                  <c:v>2009.22</c:v>
                </c:pt>
                <c:pt idx="389">
                  <c:v>1963.5</c:v>
                </c:pt>
                <c:pt idx="390">
                  <c:v>1967.39</c:v>
                </c:pt>
                <c:pt idx="391">
                  <c:v>1942.13</c:v>
                </c:pt>
                <c:pt idx="392">
                  <c:v>1932.98</c:v>
                </c:pt>
                <c:pt idx="393">
                  <c:v>1921.3</c:v>
                </c:pt>
                <c:pt idx="394">
                  <c:v>1917.33</c:v>
                </c:pt>
                <c:pt idx="395">
                  <c:v>1918.14</c:v>
                </c:pt>
                <c:pt idx="396">
                  <c:v>1932.68</c:v>
                </c:pt>
                <c:pt idx="397">
                  <c:v>1915.05</c:v>
                </c:pt>
                <c:pt idx="398">
                  <c:v>1904.88</c:v>
                </c:pt>
                <c:pt idx="399">
                  <c:v>1891.87</c:v>
                </c:pt>
                <c:pt idx="400">
                  <c:v>1884.43</c:v>
                </c:pt>
                <c:pt idx="401">
                  <c:v>1882.65</c:v>
                </c:pt>
                <c:pt idx="402">
                  <c:v>1898.61</c:v>
                </c:pt>
                <c:pt idx="403">
                  <c:v>1900.37</c:v>
                </c:pt>
                <c:pt idx="404">
                  <c:v>1892</c:v>
                </c:pt>
                <c:pt idx="405">
                  <c:v>1896.39</c:v>
                </c:pt>
                <c:pt idx="406">
                  <c:v>1902.02</c:v>
                </c:pt>
                <c:pt idx="407">
                  <c:v>1869.4</c:v>
                </c:pt>
                <c:pt idx="408">
                  <c:v>1861.99</c:v>
                </c:pt>
                <c:pt idx="409">
                  <c:v>1841.5</c:v>
                </c:pt>
                <c:pt idx="410">
                  <c:v>1850.63</c:v>
                </c:pt>
                <c:pt idx="411">
                  <c:v>1850.58</c:v>
                </c:pt>
                <c:pt idx="412">
                  <c:v>1846.19</c:v>
                </c:pt>
                <c:pt idx="413">
                  <c:v>1847.1</c:v>
                </c:pt>
                <c:pt idx="414">
                  <c:v>1847.82</c:v>
                </c:pt>
                <c:pt idx="415">
                  <c:v>1876.48</c:v>
                </c:pt>
                <c:pt idx="416">
                  <c:v>1879.19</c:v>
                </c:pt>
                <c:pt idx="417">
                  <c:v>1840.79</c:v>
                </c:pt>
                <c:pt idx="418">
                  <c:v>1850.38</c:v>
                </c:pt>
                <c:pt idx="419">
                  <c:v>1843.03</c:v>
                </c:pt>
                <c:pt idx="420">
                  <c:v>1857</c:v>
                </c:pt>
                <c:pt idx="421">
                  <c:v>1843.7</c:v>
                </c:pt>
                <c:pt idx="422">
                  <c:v>1839.32</c:v>
                </c:pt>
                <c:pt idx="423">
                  <c:v>1797.62</c:v>
                </c:pt>
                <c:pt idx="424">
                  <c:v>1799.72</c:v>
                </c:pt>
                <c:pt idx="425">
                  <c:v>1797.1</c:v>
                </c:pt>
                <c:pt idx="426">
                  <c:v>1800.15</c:v>
                </c:pt>
                <c:pt idx="427">
                  <c:v>1825.87</c:v>
                </c:pt>
                <c:pt idx="428">
                  <c:v>1823</c:v>
                </c:pt>
                <c:pt idx="429">
                  <c:v>1825.06</c:v>
                </c:pt>
                <c:pt idx="430">
                  <c:v>1854.55</c:v>
                </c:pt>
                <c:pt idx="431">
                  <c:v>1880.14</c:v>
                </c:pt>
                <c:pt idx="432">
                  <c:v>1883.86</c:v>
                </c:pt>
                <c:pt idx="433">
                  <c:v>1883.34</c:v>
                </c:pt>
                <c:pt idx="434">
                  <c:v>1870.28</c:v>
                </c:pt>
                <c:pt idx="435">
                  <c:v>1881.73</c:v>
                </c:pt>
                <c:pt idx="436">
                  <c:v>1901.04</c:v>
                </c:pt>
                <c:pt idx="437">
                  <c:v>1905.35</c:v>
                </c:pt>
                <c:pt idx="438">
                  <c:v>1900.07</c:v>
                </c:pt>
                <c:pt idx="439">
                  <c:v>1900.38</c:v>
                </c:pt>
                <c:pt idx="440">
                  <c:v>1903</c:v>
                </c:pt>
                <c:pt idx="441">
                  <c:v>1893.91</c:v>
                </c:pt>
                <c:pt idx="442">
                  <c:v>1879.3</c:v>
                </c:pt>
                <c:pt idx="443">
                  <c:v>1894</c:v>
                </c:pt>
                <c:pt idx="444">
                  <c:v>1879.47</c:v>
                </c:pt>
                <c:pt idx="445">
                  <c:v>1968.13</c:v>
                </c:pt>
                <c:pt idx="446">
                  <c:v>1961.21</c:v>
                </c:pt>
                <c:pt idx="447">
                  <c:v>1954.28</c:v>
                </c:pt>
                <c:pt idx="448">
                  <c:v>1958.72</c:v>
                </c:pt>
                <c:pt idx="449">
                  <c:v>1917.26</c:v>
                </c:pt>
                <c:pt idx="450">
                  <c:v>1925.77</c:v>
                </c:pt>
                <c:pt idx="451">
                  <c:v>1911.59</c:v>
                </c:pt>
                <c:pt idx="452">
                  <c:v>1889.01</c:v>
                </c:pt>
                <c:pt idx="453">
                  <c:v>1895.55</c:v>
                </c:pt>
                <c:pt idx="454">
                  <c:v>1894.91</c:v>
                </c:pt>
                <c:pt idx="455">
                  <c:v>1874.51</c:v>
                </c:pt>
                <c:pt idx="456">
                  <c:v>1896.66</c:v>
                </c:pt>
                <c:pt idx="457">
                  <c:v>1915.83</c:v>
                </c:pt>
                <c:pt idx="458">
                  <c:v>1907.45</c:v>
                </c:pt>
                <c:pt idx="459">
                  <c:v>1909.39</c:v>
                </c:pt>
                <c:pt idx="460">
                  <c:v>1916</c:v>
                </c:pt>
                <c:pt idx="461">
                  <c:v>1904.46</c:v>
                </c:pt>
                <c:pt idx="462">
                  <c:v>1909</c:v>
                </c:pt>
                <c:pt idx="463">
                  <c:v>1930.99</c:v>
                </c:pt>
                <c:pt idx="464">
                  <c:v>1919.83</c:v>
                </c:pt>
                <c:pt idx="465">
                  <c:v>1906.01</c:v>
                </c:pt>
                <c:pt idx="466">
                  <c:v>1910</c:v>
                </c:pt>
                <c:pt idx="467">
                  <c:v>1915.95</c:v>
                </c:pt>
                <c:pt idx="468">
                  <c:v>1915.45</c:v>
                </c:pt>
                <c:pt idx="469">
                  <c:v>1922.88</c:v>
                </c:pt>
                <c:pt idx="470">
                  <c:v>1911.98</c:v>
                </c:pt>
                <c:pt idx="471">
                  <c:v>1910.48</c:v>
                </c:pt>
                <c:pt idx="472">
                  <c:v>1931.16</c:v>
                </c:pt>
                <c:pt idx="473">
                  <c:v>1940.64</c:v>
                </c:pt>
                <c:pt idx="474">
                  <c:v>1935.55</c:v>
                </c:pt>
                <c:pt idx="475">
                  <c:v>1939.01</c:v>
                </c:pt>
                <c:pt idx="476">
                  <c:v>1905.42</c:v>
                </c:pt>
                <c:pt idx="477">
                  <c:v>1895.46</c:v>
                </c:pt>
                <c:pt idx="478">
                  <c:v>1887.01</c:v>
                </c:pt>
                <c:pt idx="479">
                  <c:v>1921.03</c:v>
                </c:pt>
                <c:pt idx="480">
                  <c:v>1917.54</c:v>
                </c:pt>
                <c:pt idx="481">
                  <c:v>1907.59</c:v>
                </c:pt>
                <c:pt idx="482">
                  <c:v>1914.92</c:v>
                </c:pt>
                <c:pt idx="483">
                  <c:v>1912.99</c:v>
                </c:pt>
                <c:pt idx="484">
                  <c:v>1901.34</c:v>
                </c:pt>
                <c:pt idx="485">
                  <c:v>1913.12</c:v>
                </c:pt>
                <c:pt idx="486">
                  <c:v>1895.54</c:v>
                </c:pt>
                <c:pt idx="487">
                  <c:v>1870.11</c:v>
                </c:pt>
                <c:pt idx="488">
                  <c:v>1870.98</c:v>
                </c:pt>
                <c:pt idx="489">
                  <c:v>1874</c:v>
                </c:pt>
                <c:pt idx="490">
                  <c:v>1888.2</c:v>
                </c:pt>
                <c:pt idx="491">
                  <c:v>1870.71</c:v>
                </c:pt>
                <c:pt idx="492">
                  <c:v>1905.91</c:v>
                </c:pt>
                <c:pt idx="493">
                  <c:v>1920.28</c:v>
                </c:pt>
                <c:pt idx="494">
                  <c:v>1962</c:v>
                </c:pt>
                <c:pt idx="495">
                  <c:v>1965.48</c:v>
                </c:pt>
                <c:pt idx="496">
                  <c:v>1959.12</c:v>
                </c:pt>
                <c:pt idx="497">
                  <c:v>1963.33</c:v>
                </c:pt>
                <c:pt idx="498">
                  <c:v>1968.97</c:v>
                </c:pt>
                <c:pt idx="499">
                  <c:v>1960.23</c:v>
                </c:pt>
                <c:pt idx="500">
                  <c:v>1964.21</c:v>
                </c:pt>
                <c:pt idx="501">
                  <c:v>1948.2</c:v>
                </c:pt>
                <c:pt idx="502">
                  <c:v>1950</c:v>
                </c:pt>
                <c:pt idx="503">
                  <c:v>1947.69</c:v>
                </c:pt>
                <c:pt idx="504">
                  <c:v>1955.49</c:v>
                </c:pt>
                <c:pt idx="505">
                  <c:v>1954.08</c:v>
                </c:pt>
                <c:pt idx="506">
                  <c:v>1934.92</c:v>
                </c:pt>
                <c:pt idx="507">
                  <c:v>1939.45</c:v>
                </c:pt>
                <c:pt idx="508">
                  <c:v>1933</c:v>
                </c:pt>
                <c:pt idx="509">
                  <c:v>1938</c:v>
                </c:pt>
                <c:pt idx="510">
                  <c:v>1930.13</c:v>
                </c:pt>
                <c:pt idx="511">
                  <c:v>1925</c:v>
                </c:pt>
                <c:pt idx="512">
                  <c:v>1957.64</c:v>
                </c:pt>
                <c:pt idx="513">
                  <c:v>1981.25</c:v>
                </c:pt>
                <c:pt idx="514">
                  <c:v>1971.48</c:v>
                </c:pt>
                <c:pt idx="515">
                  <c:v>1982.1</c:v>
                </c:pt>
                <c:pt idx="516">
                  <c:v>1964.34</c:v>
                </c:pt>
                <c:pt idx="517">
                  <c:v>1977.99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2-4182-A1BF-9968337BCB7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-4.486692299458729E-4</c:v>
                </c:pt>
                <c:pt idx="1">
                  <c:v>-4.4689904941253955E-4</c:v>
                </c:pt>
                <c:pt idx="2">
                  <c:v>-4.0133631620201322E-4</c:v>
                </c:pt>
                <c:pt idx="3">
                  <c:v>-4.1105761453534648E-4</c:v>
                </c:pt>
                <c:pt idx="4">
                  <c:v>-4.3331151809090213E-4</c:v>
                </c:pt>
                <c:pt idx="5">
                  <c:v>-4.5579865184090204E-4</c:v>
                </c:pt>
                <c:pt idx="6">
                  <c:v>-4.5579865184090204E-4</c:v>
                </c:pt>
                <c:pt idx="7">
                  <c:v>-4.498451343964576E-4</c:v>
                </c:pt>
                <c:pt idx="8">
                  <c:v>-4.4285957070414994E-4</c:v>
                </c:pt>
                <c:pt idx="9">
                  <c:v>-4.5314569148192772E-4</c:v>
                </c:pt>
                <c:pt idx="10">
                  <c:v>-4.5240450253455927E-4</c:v>
                </c:pt>
                <c:pt idx="11">
                  <c:v>-4.4518739944365019E-4</c:v>
                </c:pt>
                <c:pt idx="12">
                  <c:v>-4.4518739944365019E-4</c:v>
                </c:pt>
                <c:pt idx="13">
                  <c:v>-4.4798519194365024E-4</c:v>
                </c:pt>
                <c:pt idx="14">
                  <c:v>-4.4241732521031686E-4</c:v>
                </c:pt>
                <c:pt idx="15">
                  <c:v>-4.4527849721031688E-4</c:v>
                </c:pt>
                <c:pt idx="16">
                  <c:v>-4.5653392737031689E-4</c:v>
                </c:pt>
                <c:pt idx="17">
                  <c:v>-4.6484070814809464E-4</c:v>
                </c:pt>
                <c:pt idx="18">
                  <c:v>-4.7503836304809463E-4</c:v>
                </c:pt>
                <c:pt idx="19">
                  <c:v>-4.7625419277536735E-4</c:v>
                </c:pt>
                <c:pt idx="20">
                  <c:v>-4.7383021744203395E-4</c:v>
                </c:pt>
                <c:pt idx="21">
                  <c:v>-4.9813581660870061E-4</c:v>
                </c:pt>
                <c:pt idx="22">
                  <c:v>-4.6394000722725729E-4</c:v>
                </c:pt>
                <c:pt idx="23">
                  <c:v>-4.4484379925710803E-4</c:v>
                </c:pt>
                <c:pt idx="24">
                  <c:v>-4.5104421946763433E-4</c:v>
                </c:pt>
                <c:pt idx="25">
                  <c:v>-4.4180129288868696E-4</c:v>
                </c:pt>
                <c:pt idx="26">
                  <c:v>-4.394752171386869E-4</c:v>
                </c:pt>
                <c:pt idx="27">
                  <c:v>-4.394752171386869E-4</c:v>
                </c:pt>
                <c:pt idx="28">
                  <c:v>-4.4775329893868691E-4</c:v>
                </c:pt>
                <c:pt idx="29">
                  <c:v>-4.6233246060535359E-4</c:v>
                </c:pt>
                <c:pt idx="30">
                  <c:v>-4.6922729151444454E-4</c:v>
                </c:pt>
                <c:pt idx="31">
                  <c:v>-4.5718475818111117E-4</c:v>
                </c:pt>
                <c:pt idx="32">
                  <c:v>-4.6069363700464058E-4</c:v>
                </c:pt>
                <c:pt idx="33">
                  <c:v>-4.5887156833797387E-4</c:v>
                </c:pt>
                <c:pt idx="34">
                  <c:v>-4.6031686213797392E-4</c:v>
                </c:pt>
                <c:pt idx="35">
                  <c:v>-4.7846908913797389E-4</c:v>
                </c:pt>
                <c:pt idx="36">
                  <c:v>-4.8949558525562093E-4</c:v>
                </c:pt>
                <c:pt idx="37">
                  <c:v>-5.0417011361045966E-4</c:v>
                </c:pt>
                <c:pt idx="38">
                  <c:v>-5.0534817384855477E-4</c:v>
                </c:pt>
                <c:pt idx="39">
                  <c:v>-4.9578477856284048E-4</c:v>
                </c:pt>
                <c:pt idx="40">
                  <c:v>-4.9789971041998336E-4</c:v>
                </c:pt>
                <c:pt idx="41">
                  <c:v>-4.9311173175331665E-4</c:v>
                </c:pt>
                <c:pt idx="42">
                  <c:v>-4.648824931533167E-4</c:v>
                </c:pt>
                <c:pt idx="43">
                  <c:v>-4.8089459522474525E-4</c:v>
                </c:pt>
                <c:pt idx="44">
                  <c:v>-4.9230237379617383E-4</c:v>
                </c:pt>
                <c:pt idx="45">
                  <c:v>-4.7621396979617388E-4</c:v>
                </c:pt>
                <c:pt idx="46">
                  <c:v>-4.7621396979617388E-4</c:v>
                </c:pt>
                <c:pt idx="47">
                  <c:v>-4.7972182579617391E-4</c:v>
                </c:pt>
                <c:pt idx="48">
                  <c:v>-4.8043263312950725E-4</c:v>
                </c:pt>
                <c:pt idx="49">
                  <c:v>-4.8128785054330029E-4</c:v>
                </c:pt>
                <c:pt idx="50">
                  <c:v>-4.6490001532590897E-4</c:v>
                </c:pt>
                <c:pt idx="51">
                  <c:v>-4.5619166182590896E-4</c:v>
                </c:pt>
                <c:pt idx="52">
                  <c:v>-4.5963735062590894E-4</c:v>
                </c:pt>
                <c:pt idx="53">
                  <c:v>-4.5266463214764806E-4</c:v>
                </c:pt>
                <c:pt idx="54">
                  <c:v>-4.618590471476481E-4</c:v>
                </c:pt>
                <c:pt idx="55">
                  <c:v>-4.9409993294075158E-4</c:v>
                </c:pt>
                <c:pt idx="56">
                  <c:v>-5.0711676394075153E-4</c:v>
                </c:pt>
                <c:pt idx="57">
                  <c:v>-5.0618849486075152E-4</c:v>
                </c:pt>
                <c:pt idx="58">
                  <c:v>-5.0514814557503724E-4</c:v>
                </c:pt>
                <c:pt idx="59">
                  <c:v>-4.873244559083706E-4</c:v>
                </c:pt>
                <c:pt idx="60">
                  <c:v>-4.8363799590837061E-4</c:v>
                </c:pt>
                <c:pt idx="61">
                  <c:v>-4.9167465126131169E-4</c:v>
                </c:pt>
                <c:pt idx="62">
                  <c:v>-4.8851024689767542E-4</c:v>
                </c:pt>
                <c:pt idx="63">
                  <c:v>-4.7409429526910397E-4</c:v>
                </c:pt>
                <c:pt idx="64">
                  <c:v>-4.8218768445092218E-4</c:v>
                </c:pt>
                <c:pt idx="65">
                  <c:v>-4.8298504465092213E-4</c:v>
                </c:pt>
                <c:pt idx="66">
                  <c:v>-4.6834039765092215E-4</c:v>
                </c:pt>
                <c:pt idx="67">
                  <c:v>-4.5708164738776424E-4</c:v>
                </c:pt>
                <c:pt idx="68">
                  <c:v>-4.506009243877642E-4</c:v>
                </c:pt>
                <c:pt idx="69">
                  <c:v>-4.4803951954161043E-4</c:v>
                </c:pt>
                <c:pt idx="70">
                  <c:v>-4.3853351714161042E-4</c:v>
                </c:pt>
                <c:pt idx="71">
                  <c:v>-4.2873171830161042E-4</c:v>
                </c:pt>
                <c:pt idx="72">
                  <c:v>-4.4534136284706503E-4</c:v>
                </c:pt>
                <c:pt idx="73">
                  <c:v>-4.1988234931524682E-4</c:v>
                </c:pt>
                <c:pt idx="74">
                  <c:v>-4.1896932937407038E-4</c:v>
                </c:pt>
                <c:pt idx="75">
                  <c:v>-4.2175315070740372E-4</c:v>
                </c:pt>
                <c:pt idx="76">
                  <c:v>-4.2334544185026085E-4</c:v>
                </c:pt>
                <c:pt idx="77">
                  <c:v>-4.3895819204380928E-4</c:v>
                </c:pt>
                <c:pt idx="78">
                  <c:v>-4.4605207081304006E-4</c:v>
                </c:pt>
                <c:pt idx="79">
                  <c:v>-4.5978903075485829E-4</c:v>
                </c:pt>
                <c:pt idx="80">
                  <c:v>-4.6629264040191708E-4</c:v>
                </c:pt>
                <c:pt idx="81">
                  <c:v>-4.7268084777033815E-4</c:v>
                </c:pt>
                <c:pt idx="82">
                  <c:v>-4.7452820610367145E-4</c:v>
                </c:pt>
                <c:pt idx="83">
                  <c:v>-4.7932892653224291E-4</c:v>
                </c:pt>
                <c:pt idx="84">
                  <c:v>-4.8981995781429419E-4</c:v>
                </c:pt>
                <c:pt idx="85">
                  <c:v>-4.9905511781429422E-4</c:v>
                </c:pt>
                <c:pt idx="86">
                  <c:v>-5.0190176753843203E-4</c:v>
                </c:pt>
                <c:pt idx="87">
                  <c:v>-5.0082470993843213E-4</c:v>
                </c:pt>
                <c:pt idx="88">
                  <c:v>-5.0646314793843219E-4</c:v>
                </c:pt>
                <c:pt idx="89">
                  <c:v>-5.0051156373843216E-4</c:v>
                </c:pt>
                <c:pt idx="90">
                  <c:v>-5.0397504153843224E-4</c:v>
                </c:pt>
                <c:pt idx="91">
                  <c:v>-4.9260330660509883E-4</c:v>
                </c:pt>
                <c:pt idx="92">
                  <c:v>-4.8700449985509886E-4</c:v>
                </c:pt>
                <c:pt idx="93">
                  <c:v>-4.9249893585509889E-4</c:v>
                </c:pt>
                <c:pt idx="94">
                  <c:v>-4.8520741114921648E-4</c:v>
                </c:pt>
                <c:pt idx="95">
                  <c:v>-4.9262132614921652E-4</c:v>
                </c:pt>
                <c:pt idx="96">
                  <c:v>-5.007393335128528E-4</c:v>
                </c:pt>
                <c:pt idx="97">
                  <c:v>-5.0359317391285286E-4</c:v>
                </c:pt>
                <c:pt idx="98">
                  <c:v>-4.9719569257951942E-4</c:v>
                </c:pt>
                <c:pt idx="99">
                  <c:v>-4.9719569257951942E-4</c:v>
                </c:pt>
                <c:pt idx="100">
                  <c:v>-4.9572731636899313E-4</c:v>
                </c:pt>
                <c:pt idx="101">
                  <c:v>-4.9185067517851688E-4</c:v>
                </c:pt>
                <c:pt idx="102">
                  <c:v>-4.8741051042851697E-4</c:v>
                </c:pt>
                <c:pt idx="103">
                  <c:v>-4.9324692909518363E-4</c:v>
                </c:pt>
                <c:pt idx="104">
                  <c:v>-4.8119182689518363E-4</c:v>
                </c:pt>
                <c:pt idx="105">
                  <c:v>-4.6619150494781519E-4</c:v>
                </c:pt>
                <c:pt idx="106">
                  <c:v>-4.673706504932697E-4</c:v>
                </c:pt>
                <c:pt idx="107">
                  <c:v>-4.8225992046762868E-4</c:v>
                </c:pt>
                <c:pt idx="108">
                  <c:v>-4.7918688529115808E-4</c:v>
                </c:pt>
                <c:pt idx="109">
                  <c:v>-4.7572154079115813E-4</c:v>
                </c:pt>
                <c:pt idx="110">
                  <c:v>-4.6844550979115813E-4</c:v>
                </c:pt>
                <c:pt idx="111">
                  <c:v>-4.6497666421972954E-4</c:v>
                </c:pt>
                <c:pt idx="112">
                  <c:v>-4.5998383355306296E-4</c:v>
                </c:pt>
                <c:pt idx="113">
                  <c:v>-4.5197626497411555E-4</c:v>
                </c:pt>
                <c:pt idx="114">
                  <c:v>-4.6224982497411552E-4</c:v>
                </c:pt>
                <c:pt idx="115">
                  <c:v>-4.6033667468840122E-4</c:v>
                </c:pt>
                <c:pt idx="116">
                  <c:v>-4.8099353532105434E-4</c:v>
                </c:pt>
                <c:pt idx="117">
                  <c:v>-4.8607745682105431E-4</c:v>
                </c:pt>
                <c:pt idx="118">
                  <c:v>-4.8285710148772095E-4</c:v>
                </c:pt>
                <c:pt idx="119">
                  <c:v>-4.9505809198772087E-4</c:v>
                </c:pt>
                <c:pt idx="120">
                  <c:v>-5.1392116020522081E-4</c:v>
                </c:pt>
                <c:pt idx="121">
                  <c:v>-5.0728096847855422E-4</c:v>
                </c:pt>
                <c:pt idx="122">
                  <c:v>-5.001491070118875E-4</c:v>
                </c:pt>
                <c:pt idx="123">
                  <c:v>-4.9286689336482874E-4</c:v>
                </c:pt>
                <c:pt idx="124">
                  <c:v>-4.9605237553149541E-4</c:v>
                </c:pt>
                <c:pt idx="125">
                  <c:v>-4.9296123460841851E-4</c:v>
                </c:pt>
                <c:pt idx="126">
                  <c:v>-5.0058193223999749E-4</c:v>
                </c:pt>
                <c:pt idx="127">
                  <c:v>-4.8906923365578696E-4</c:v>
                </c:pt>
                <c:pt idx="128">
                  <c:v>-4.514440016557869E-4</c:v>
                </c:pt>
                <c:pt idx="129">
                  <c:v>-4.8099395418912028E-4</c:v>
                </c:pt>
                <c:pt idx="130">
                  <c:v>-4.9364276521662029E-4</c:v>
                </c:pt>
                <c:pt idx="131">
                  <c:v>-4.8949468471662025E-4</c:v>
                </c:pt>
                <c:pt idx="132">
                  <c:v>-4.951252995916203E-4</c:v>
                </c:pt>
                <c:pt idx="133">
                  <c:v>-4.9324736913707479E-4</c:v>
                </c:pt>
                <c:pt idx="134">
                  <c:v>-4.7331066447750043E-4</c:v>
                </c:pt>
                <c:pt idx="135">
                  <c:v>-4.6422827497750042E-4</c:v>
                </c:pt>
                <c:pt idx="136">
                  <c:v>-4.7509285469178613E-4</c:v>
                </c:pt>
                <c:pt idx="137">
                  <c:v>-4.8258653469178614E-4</c:v>
                </c:pt>
                <c:pt idx="138">
                  <c:v>-4.7907250433884498E-4</c:v>
                </c:pt>
                <c:pt idx="139">
                  <c:v>-4.814905705153156E-4</c:v>
                </c:pt>
                <c:pt idx="140">
                  <c:v>-4.722936071819822E-4</c:v>
                </c:pt>
                <c:pt idx="141">
                  <c:v>-4.7508069368198226E-4</c:v>
                </c:pt>
                <c:pt idx="142">
                  <c:v>-4.7283964443198224E-4</c:v>
                </c:pt>
                <c:pt idx="143">
                  <c:v>-4.4596167613786459E-4</c:v>
                </c:pt>
                <c:pt idx="144">
                  <c:v>-4.2432675953214143E-4</c:v>
                </c:pt>
                <c:pt idx="145">
                  <c:v>-4.2073255485544967E-4</c:v>
                </c:pt>
                <c:pt idx="146">
                  <c:v>-4.122792190221164E-4</c:v>
                </c:pt>
                <c:pt idx="147">
                  <c:v>-4.264258326672776E-4</c:v>
                </c:pt>
                <c:pt idx="148">
                  <c:v>-4.273962687339443E-4</c:v>
                </c:pt>
                <c:pt idx="149">
                  <c:v>-4.3223374496471358E-4</c:v>
                </c:pt>
                <c:pt idx="150">
                  <c:v>-4.3586048060107726E-4</c:v>
                </c:pt>
                <c:pt idx="151">
                  <c:v>-4.302808521725058E-4</c:v>
                </c:pt>
                <c:pt idx="152">
                  <c:v>-4.2952834926341489E-4</c:v>
                </c:pt>
                <c:pt idx="153">
                  <c:v>-4.2952834926341489E-4</c:v>
                </c:pt>
                <c:pt idx="154">
                  <c:v>-4.5665439476028985E-4</c:v>
                </c:pt>
                <c:pt idx="155">
                  <c:v>-4.6267328248210805E-4</c:v>
                </c:pt>
                <c:pt idx="156">
                  <c:v>-4.6383293100550914E-4</c:v>
                </c:pt>
                <c:pt idx="157">
                  <c:v>-4.5835173481483004E-4</c:v>
                </c:pt>
                <c:pt idx="158">
                  <c:v>-4.7244560871205862E-4</c:v>
                </c:pt>
                <c:pt idx="159">
                  <c:v>-4.7157735344719083E-4</c:v>
                </c:pt>
                <c:pt idx="160">
                  <c:v>-4.7310340088542105E-4</c:v>
                </c:pt>
                <c:pt idx="161">
                  <c:v>-4.7286077961554136E-4</c:v>
                </c:pt>
                <c:pt idx="162">
                  <c:v>-4.795245867064774E-4</c:v>
                </c:pt>
                <c:pt idx="163">
                  <c:v>-4.9531522757223468E-4</c:v>
                </c:pt>
                <c:pt idx="164">
                  <c:v>-4.8381350219492495E-4</c:v>
                </c:pt>
                <c:pt idx="165">
                  <c:v>-5.0234648978824152E-4</c:v>
                </c:pt>
                <c:pt idx="166">
                  <c:v>-5.1238063173533407E-4</c:v>
                </c:pt>
                <c:pt idx="167">
                  <c:v>-5.1048264046573994E-4</c:v>
                </c:pt>
                <c:pt idx="168">
                  <c:v>-5.233873386457056E-4</c:v>
                </c:pt>
                <c:pt idx="169">
                  <c:v>-5.3958046789785198E-4</c:v>
                </c:pt>
                <c:pt idx="170">
                  <c:v>-5.5246747981666032E-4</c:v>
                </c:pt>
                <c:pt idx="171">
                  <c:v>-5.5071411029143451E-4</c:v>
                </c:pt>
                <c:pt idx="172">
                  <c:v>-5.599218951239292E-4</c:v>
                </c:pt>
                <c:pt idx="173">
                  <c:v>-5.4726473530010672E-4</c:v>
                </c:pt>
                <c:pt idx="174">
                  <c:v>-5.5342636444397748E-4</c:v>
                </c:pt>
                <c:pt idx="175">
                  <c:v>-5.1148837593687391E-4</c:v>
                </c:pt>
                <c:pt idx="176">
                  <c:v>-5.0171667837526691E-4</c:v>
                </c:pt>
                <c:pt idx="177">
                  <c:v>-4.9290382243404344E-4</c:v>
                </c:pt>
                <c:pt idx="178">
                  <c:v>-4.9338742012744116E-4</c:v>
                </c:pt>
                <c:pt idx="179">
                  <c:v>-5.0146610970473228E-4</c:v>
                </c:pt>
                <c:pt idx="180">
                  <c:v>-4.965718907971033E-4</c:v>
                </c:pt>
                <c:pt idx="181">
                  <c:v>-4.9310711490629857E-4</c:v>
                </c:pt>
                <c:pt idx="182">
                  <c:v>-4.9784777931146187E-4</c:v>
                </c:pt>
                <c:pt idx="183">
                  <c:v>-5.147513162291848E-4</c:v>
                </c:pt>
                <c:pt idx="184">
                  <c:v>-5.2406235464512018E-4</c:v>
                </c:pt>
                <c:pt idx="185">
                  <c:v>-5.4313074121092452E-4</c:v>
                </c:pt>
                <c:pt idx="186">
                  <c:v>-5.1903658097731396E-4</c:v>
                </c:pt>
                <c:pt idx="187">
                  <c:v>-5.2085365753238634E-4</c:v>
                </c:pt>
                <c:pt idx="188">
                  <c:v>-5.2849841710605127E-4</c:v>
                </c:pt>
                <c:pt idx="189">
                  <c:v>-5.5004331443193682E-4</c:v>
                </c:pt>
                <c:pt idx="190">
                  <c:v>-5.5068962294441723E-4</c:v>
                </c:pt>
                <c:pt idx="191">
                  <c:v>-5.3455754863795946E-4</c:v>
                </c:pt>
                <c:pt idx="192">
                  <c:v>-5.0318804084129433E-4</c:v>
                </c:pt>
                <c:pt idx="193">
                  <c:v>-5.302270798580275E-4</c:v>
                </c:pt>
                <c:pt idx="194">
                  <c:v>-5.346670757445022E-4</c:v>
                </c:pt>
                <c:pt idx="195">
                  <c:v>-5.2981069308498483E-4</c:v>
                </c:pt>
                <c:pt idx="196">
                  <c:v>-4.9707618284220996E-4</c:v>
                </c:pt>
                <c:pt idx="197">
                  <c:v>-5.2239434063845746E-4</c:v>
                </c:pt>
                <c:pt idx="198">
                  <c:v>-5.6510918781396073E-4</c:v>
                </c:pt>
                <c:pt idx="199">
                  <c:v>-5.6307554926689782E-4</c:v>
                </c:pt>
                <c:pt idx="200">
                  <c:v>-5.7011945286068592E-4</c:v>
                </c:pt>
                <c:pt idx="201">
                  <c:v>-5.6624007977678942E-4</c:v>
                </c:pt>
                <c:pt idx="202">
                  <c:v>-5.6067465153441436E-4</c:v>
                </c:pt>
                <c:pt idx="203">
                  <c:v>-5.7430989344785721E-4</c:v>
                </c:pt>
                <c:pt idx="204">
                  <c:v>-5.6555038533708803E-4</c:v>
                </c:pt>
                <c:pt idx="205">
                  <c:v>-5.6823884152787006E-4</c:v>
                </c:pt>
                <c:pt idx="206">
                  <c:v>-5.6195169736089905E-4</c:v>
                </c:pt>
                <c:pt idx="207">
                  <c:v>-5.4592302561512636E-4</c:v>
                </c:pt>
                <c:pt idx="208">
                  <c:v>-5.4639494368146984E-4</c:v>
                </c:pt>
                <c:pt idx="209">
                  <c:v>-5.396063629228054E-4</c:v>
                </c:pt>
                <c:pt idx="210">
                  <c:v>-5.5592438818842212E-4</c:v>
                </c:pt>
                <c:pt idx="211">
                  <c:v>-5.4953221969589151E-4</c:v>
                </c:pt>
                <c:pt idx="212">
                  <c:v>-5.3123063884953842E-4</c:v>
                </c:pt>
                <c:pt idx="213">
                  <c:v>-5.0976820542427911E-4</c:v>
                </c:pt>
                <c:pt idx="214">
                  <c:v>-5.1264003806677301E-4</c:v>
                </c:pt>
                <c:pt idx="215">
                  <c:v>-5.2186746457497763E-4</c:v>
                </c:pt>
                <c:pt idx="216">
                  <c:v>-5.3581043491679134E-4</c:v>
                </c:pt>
                <c:pt idx="217">
                  <c:v>-5.0840922299954388E-4</c:v>
                </c:pt>
                <c:pt idx="218">
                  <c:v>-4.9810785004379601E-4</c:v>
                </c:pt>
                <c:pt idx="219">
                  <c:v>-4.7658209579734139E-4</c:v>
                </c:pt>
                <c:pt idx="220">
                  <c:v>-4.5218972051204421E-4</c:v>
                </c:pt>
                <c:pt idx="221">
                  <c:v>-4.7935696818195725E-4</c:v>
                </c:pt>
                <c:pt idx="222">
                  <c:v>-5.0311053727082893E-4</c:v>
                </c:pt>
                <c:pt idx="223">
                  <c:v>-4.9692337649581708E-4</c:v>
                </c:pt>
                <c:pt idx="224">
                  <c:v>-4.6927409365100041E-4</c:v>
                </c:pt>
                <c:pt idx="225">
                  <c:v>-4.4877377762787932E-4</c:v>
                </c:pt>
                <c:pt idx="226">
                  <c:v>-4.216411554971386E-4</c:v>
                </c:pt>
                <c:pt idx="227">
                  <c:v>-4.0717417428500532E-4</c:v>
                </c:pt>
                <c:pt idx="228">
                  <c:v>-4.199053035272696E-4</c:v>
                </c:pt>
                <c:pt idx="229">
                  <c:v>-4.0418328546307409E-4</c:v>
                </c:pt>
                <c:pt idx="230">
                  <c:v>-4.0788650561307381E-4</c:v>
                </c:pt>
                <c:pt idx="231">
                  <c:v>-3.8624053064713652E-4</c:v>
                </c:pt>
                <c:pt idx="232">
                  <c:v>-3.7847620336409308E-4</c:v>
                </c:pt>
                <c:pt idx="233">
                  <c:v>-3.4562307936703175E-4</c:v>
                </c:pt>
                <c:pt idx="234">
                  <c:v>-3.4014257691616581E-4</c:v>
                </c:pt>
                <c:pt idx="235">
                  <c:v>-3.4874903589688857E-4</c:v>
                </c:pt>
                <c:pt idx="236">
                  <c:v>-3.3776100698843572E-4</c:v>
                </c:pt>
                <c:pt idx="237">
                  <c:v>-3.6249058751996257E-4</c:v>
                </c:pt>
                <c:pt idx="238">
                  <c:v>-3.9652717797712629E-4</c:v>
                </c:pt>
                <c:pt idx="239">
                  <c:v>-3.5636524771195537E-4</c:v>
                </c:pt>
                <c:pt idx="240">
                  <c:v>-3.7846400323035572E-4</c:v>
                </c:pt>
                <c:pt idx="241">
                  <c:v>-3.896214395879016E-4</c:v>
                </c:pt>
                <c:pt idx="242">
                  <c:v>-3.771840936459305E-4</c:v>
                </c:pt>
                <c:pt idx="243">
                  <c:v>-3.3413197438615671E-4</c:v>
                </c:pt>
                <c:pt idx="244">
                  <c:v>-3.6965612779270356E-4</c:v>
                </c:pt>
                <c:pt idx="245">
                  <c:v>-4.396109004325928E-4</c:v>
                </c:pt>
                <c:pt idx="246">
                  <c:v>-4.327792720785756E-4</c:v>
                </c:pt>
                <c:pt idx="247">
                  <c:v>-4.1973638629660607E-4</c:v>
                </c:pt>
                <c:pt idx="248">
                  <c:v>-4.6929371622650158E-4</c:v>
                </c:pt>
                <c:pt idx="249">
                  <c:v>-4.2482113167453768E-4</c:v>
                </c:pt>
                <c:pt idx="250">
                  <c:v>-4.4955621710137452E-4</c:v>
                </c:pt>
                <c:pt idx="251">
                  <c:v>-4.4514170985905226E-4</c:v>
                </c:pt>
                <c:pt idx="252">
                  <c:v>-4.9460072351682164E-4</c:v>
                </c:pt>
                <c:pt idx="253">
                  <c:v>-4.7023978064646707E-4</c:v>
                </c:pt>
                <c:pt idx="254">
                  <c:v>-3.0318246422252027E-4</c:v>
                </c:pt>
                <c:pt idx="255">
                  <c:v>-2.6060514417881002E-4</c:v>
                </c:pt>
                <c:pt idx="256">
                  <c:v>-1.4447551525485839E-4</c:v>
                </c:pt>
                <c:pt idx="257">
                  <c:v>-1.2771181501313673E-4</c:v>
                </c:pt>
                <c:pt idx="258">
                  <c:v>-1.0744202837468016E-4</c:v>
                </c:pt>
                <c:pt idx="259">
                  <c:v>-1.3021229121444516E-4</c:v>
                </c:pt>
                <c:pt idx="260">
                  <c:v>-1.9343225483574642E-4</c:v>
                </c:pt>
                <c:pt idx="261">
                  <c:v>-1.5918397185671045E-4</c:v>
                </c:pt>
                <c:pt idx="262">
                  <c:v>-1.3588887245196283E-4</c:v>
                </c:pt>
                <c:pt idx="263">
                  <c:v>-1.4140236427429218E-4</c:v>
                </c:pt>
                <c:pt idx="264">
                  <c:v>-1.5699092838167994E-4</c:v>
                </c:pt>
                <c:pt idx="265">
                  <c:v>-1.6920344819284112E-4</c:v>
                </c:pt>
                <c:pt idx="266">
                  <c:v>-1.9044936444639126E-4</c:v>
                </c:pt>
                <c:pt idx="267">
                  <c:v>-2.2348871050996359E-4</c:v>
                </c:pt>
                <c:pt idx="268">
                  <c:v>-2.3976377626901948E-4</c:v>
                </c:pt>
                <c:pt idx="269">
                  <c:v>-2.1210882653824989E-4</c:v>
                </c:pt>
                <c:pt idx="270">
                  <c:v>-2.253628503068175E-4</c:v>
                </c:pt>
                <c:pt idx="271">
                  <c:v>-2.2600175738595455E-4</c:v>
                </c:pt>
                <c:pt idx="272">
                  <c:v>-2.2631843651935651E-4</c:v>
                </c:pt>
                <c:pt idx="273">
                  <c:v>-2.2812602957523955E-4</c:v>
                </c:pt>
                <c:pt idx="274">
                  <c:v>-2.1798588828788183E-4</c:v>
                </c:pt>
                <c:pt idx="275">
                  <c:v>-2.4561518361580932E-4</c:v>
                </c:pt>
                <c:pt idx="276">
                  <c:v>-2.4031256876915638E-4</c:v>
                </c:pt>
                <c:pt idx="277">
                  <c:v>-2.6690698026807171E-4</c:v>
                </c:pt>
                <c:pt idx="278">
                  <c:v>-2.4827502226081456E-4</c:v>
                </c:pt>
                <c:pt idx="279">
                  <c:v>-2.2974490233718806E-4</c:v>
                </c:pt>
                <c:pt idx="280">
                  <c:v>-2.2783091358021871E-4</c:v>
                </c:pt>
                <c:pt idx="281">
                  <c:v>-1.8105277263217494E-4</c:v>
                </c:pt>
                <c:pt idx="282">
                  <c:v>-2.3340021666486997E-4</c:v>
                </c:pt>
                <c:pt idx="283">
                  <c:v>-2.3535658915213345E-4</c:v>
                </c:pt>
                <c:pt idx="284">
                  <c:v>-2.1022734834985016E-4</c:v>
                </c:pt>
                <c:pt idx="285">
                  <c:v>-2.5751196522591513E-4</c:v>
                </c:pt>
                <c:pt idx="286">
                  <c:v>-2.4941753653510003E-4</c:v>
                </c:pt>
                <c:pt idx="287">
                  <c:v>-2.6296279794143856E-4</c:v>
                </c:pt>
                <c:pt idx="288">
                  <c:v>-2.7103168373343849E-4</c:v>
                </c:pt>
                <c:pt idx="289">
                  <c:v>-2.722691466550612E-4</c:v>
                </c:pt>
                <c:pt idx="290">
                  <c:v>-2.699443135529825E-4</c:v>
                </c:pt>
                <c:pt idx="291">
                  <c:v>-2.6250398525487847E-4</c:v>
                </c:pt>
                <c:pt idx="292">
                  <c:v>-2.578737155044577E-4</c:v>
                </c:pt>
                <c:pt idx="293">
                  <c:v>-2.5492465734356095E-4</c:v>
                </c:pt>
                <c:pt idx="294">
                  <c:v>-2.4959829945500806E-4</c:v>
                </c:pt>
                <c:pt idx="295">
                  <c:v>-2.516846926856152E-4</c:v>
                </c:pt>
                <c:pt idx="296">
                  <c:v>-2.5221487514412758E-4</c:v>
                </c:pt>
                <c:pt idx="297">
                  <c:v>-2.6164068615463045E-4</c:v>
                </c:pt>
                <c:pt idx="298">
                  <c:v>-2.5566831580867106E-4</c:v>
                </c:pt>
                <c:pt idx="299">
                  <c:v>-2.4495360877554003E-4</c:v>
                </c:pt>
                <c:pt idx="300">
                  <c:v>-2.3444767046870143E-4</c:v>
                </c:pt>
                <c:pt idx="301">
                  <c:v>-2.3888795887276222E-4</c:v>
                </c:pt>
                <c:pt idx="302">
                  <c:v>-2.5247866204973225E-4</c:v>
                </c:pt>
                <c:pt idx="303">
                  <c:v>-2.5852704426942671E-4</c:v>
                </c:pt>
                <c:pt idx="304">
                  <c:v>-2.4209139894364106E-4</c:v>
                </c:pt>
                <c:pt idx="305">
                  <c:v>-2.2608786147295794E-4</c:v>
                </c:pt>
                <c:pt idx="306">
                  <c:v>-2.1866362286004765E-4</c:v>
                </c:pt>
                <c:pt idx="307">
                  <c:v>-2.2259499954400044E-4</c:v>
                </c:pt>
                <c:pt idx="308">
                  <c:v>-2.3197654400096337E-4</c:v>
                </c:pt>
                <c:pt idx="309">
                  <c:v>-2.170022591072507E-4</c:v>
                </c:pt>
                <c:pt idx="310">
                  <c:v>-2.1559057491499781E-4</c:v>
                </c:pt>
                <c:pt idx="311">
                  <c:v>-2.1126890606528988E-4</c:v>
                </c:pt>
                <c:pt idx="312">
                  <c:v>-2.0265868562818108E-4</c:v>
                </c:pt>
                <c:pt idx="313">
                  <c:v>-1.9835047042107703E-4</c:v>
                </c:pt>
                <c:pt idx="314">
                  <c:v>-2.0212486379697135E-4</c:v>
                </c:pt>
                <c:pt idx="315">
                  <c:v>-2.0849475820553458E-4</c:v>
                </c:pt>
                <c:pt idx="316">
                  <c:v>-2.0117899443268457E-4</c:v>
                </c:pt>
                <c:pt idx="317">
                  <c:v>-2.1468165695128212E-4</c:v>
                </c:pt>
                <c:pt idx="318">
                  <c:v>-2.1784830069660564E-4</c:v>
                </c:pt>
                <c:pt idx="319">
                  <c:v>-2.1113404337180349E-4</c:v>
                </c:pt>
                <c:pt idx="320">
                  <c:v>-2.0418940015167416E-4</c:v>
                </c:pt>
                <c:pt idx="321">
                  <c:v>-2.0973699665581612E-4</c:v>
                </c:pt>
                <c:pt idx="322">
                  <c:v>-2.2050285313089901E-4</c:v>
                </c:pt>
                <c:pt idx="323">
                  <c:v>-2.2301292260352372E-4</c:v>
                </c:pt>
                <c:pt idx="324">
                  <c:v>-2.361007881229338E-4</c:v>
                </c:pt>
                <c:pt idx="325">
                  <c:v>-2.4168320671302365E-4</c:v>
                </c:pt>
                <c:pt idx="326">
                  <c:v>-2.2967854726165042E-4</c:v>
                </c:pt>
                <c:pt idx="327">
                  <c:v>-2.2887757521665583E-4</c:v>
                </c:pt>
                <c:pt idx="328">
                  <c:v>-2.3349891100452467E-4</c:v>
                </c:pt>
                <c:pt idx="329">
                  <c:v>-2.4118271554505945E-4</c:v>
                </c:pt>
                <c:pt idx="330">
                  <c:v>-2.2449988566005107E-4</c:v>
                </c:pt>
                <c:pt idx="331">
                  <c:v>-2.0797539850652213E-4</c:v>
                </c:pt>
                <c:pt idx="332">
                  <c:v>-2.2721670979644845E-4</c:v>
                </c:pt>
                <c:pt idx="333">
                  <c:v>-2.0742976288713483E-4</c:v>
                </c:pt>
                <c:pt idx="334">
                  <c:v>-2.0690499224444513E-4</c:v>
                </c:pt>
                <c:pt idx="335">
                  <c:v>-2.1106022435288829E-4</c:v>
                </c:pt>
                <c:pt idx="336">
                  <c:v>-1.9258193833312899E-4</c:v>
                </c:pt>
                <c:pt idx="337">
                  <c:v>-1.6971445002540882E-4</c:v>
                </c:pt>
                <c:pt idx="338">
                  <c:v>-1.639623754808246E-4</c:v>
                </c:pt>
                <c:pt idx="339">
                  <c:v>-1.5244123257153672E-4</c:v>
                </c:pt>
                <c:pt idx="340">
                  <c:v>-1.6857181200031433E-4</c:v>
                </c:pt>
                <c:pt idx="341">
                  <c:v>-1.7032791430596824E-4</c:v>
                </c:pt>
                <c:pt idx="342">
                  <c:v>-1.5628580392967E-4</c:v>
                </c:pt>
                <c:pt idx="343">
                  <c:v>-1.7936919008832241E-4</c:v>
                </c:pt>
                <c:pt idx="344">
                  <c:v>-1.6061716561832244E-4</c:v>
                </c:pt>
                <c:pt idx="345">
                  <c:v>-1.4146426508922238E-4</c:v>
                </c:pt>
                <c:pt idx="346">
                  <c:v>-1.3041500903039876E-4</c:v>
                </c:pt>
                <c:pt idx="347">
                  <c:v>-1.2060062974031449E-4</c:v>
                </c:pt>
                <c:pt idx="348">
                  <c:v>-1.0997530931250916E-4</c:v>
                </c:pt>
                <c:pt idx="349">
                  <c:v>-1.1068192508987878E-4</c:v>
                </c:pt>
                <c:pt idx="350">
                  <c:v>-1.2679247784612901E-4</c:v>
                </c:pt>
                <c:pt idx="351">
                  <c:v>-1.1439546148532119E-4</c:v>
                </c:pt>
                <c:pt idx="352">
                  <c:v>-1.0617909753380268E-4</c:v>
                </c:pt>
                <c:pt idx="353">
                  <c:v>-9.9893091806578128E-5</c:v>
                </c:pt>
                <c:pt idx="354">
                  <c:v>-9.6960803075521373E-5</c:v>
                </c:pt>
                <c:pt idx="355">
                  <c:v>-9.7653045263714687E-5</c:v>
                </c:pt>
                <c:pt idx="356">
                  <c:v>-1.0805224056692196E-4</c:v>
                </c:pt>
                <c:pt idx="357">
                  <c:v>-1.2515814550506128E-4</c:v>
                </c:pt>
                <c:pt idx="358">
                  <c:v>-1.069512524067452E-4</c:v>
                </c:pt>
                <c:pt idx="359">
                  <c:v>-1.0415751495369232E-4</c:v>
                </c:pt>
                <c:pt idx="360">
                  <c:v>-1.0016930890707206E-4</c:v>
                </c:pt>
                <c:pt idx="361">
                  <c:v>-9.4449712345461131E-5</c:v>
                </c:pt>
                <c:pt idx="362">
                  <c:v>-9.8939355639220719E-5</c:v>
                </c:pt>
                <c:pt idx="363">
                  <c:v>-9.4517550743954595E-5</c:v>
                </c:pt>
                <c:pt idx="364">
                  <c:v>-9.8921052759964444E-5</c:v>
                </c:pt>
                <c:pt idx="365">
                  <c:v>-9.7414072026731096E-5</c:v>
                </c:pt>
                <c:pt idx="366">
                  <c:v>-9.2011487917883028E-5</c:v>
                </c:pt>
                <c:pt idx="367">
                  <c:v>-9.4783767941677551E-5</c:v>
                </c:pt>
                <c:pt idx="368">
                  <c:v>-9.1973612424349713E-5</c:v>
                </c:pt>
                <c:pt idx="369">
                  <c:v>-8.7824392970761988E-5</c:v>
                </c:pt>
                <c:pt idx="370">
                  <c:v>-9.0053322921967053E-5</c:v>
                </c:pt>
                <c:pt idx="371">
                  <c:v>-8.4847608977101923E-5</c:v>
                </c:pt>
                <c:pt idx="372">
                  <c:v>-7.5950002688722633E-5</c:v>
                </c:pt>
                <c:pt idx="373">
                  <c:v>-8.9583944455639102E-5</c:v>
                </c:pt>
                <c:pt idx="374">
                  <c:v>-8.2842355163524191E-5</c:v>
                </c:pt>
                <c:pt idx="375">
                  <c:v>-8.6941024029774162E-5</c:v>
                </c:pt>
                <c:pt idx="376">
                  <c:v>-7.9523905678011676E-5</c:v>
                </c:pt>
                <c:pt idx="377">
                  <c:v>-7.7554797405481255E-5</c:v>
                </c:pt>
                <c:pt idx="378">
                  <c:v>-6.7556325709154053E-5</c:v>
                </c:pt>
                <c:pt idx="379">
                  <c:v>-6.9593385405377787E-5</c:v>
                </c:pt>
                <c:pt idx="380">
                  <c:v>-5.8988332278177783E-5</c:v>
                </c:pt>
                <c:pt idx="381">
                  <c:v>-5.9687395521177787E-5</c:v>
                </c:pt>
                <c:pt idx="382">
                  <c:v>-6.1766615251880399E-5</c:v>
                </c:pt>
                <c:pt idx="383">
                  <c:v>-5.000971970148038E-5</c:v>
                </c:pt>
                <c:pt idx="384">
                  <c:v>-4.7374381376215999E-5</c:v>
                </c:pt>
                <c:pt idx="385">
                  <c:v>-3.2425499743175914E-5</c:v>
                </c:pt>
                <c:pt idx="386">
                  <c:v>-2.9098568664934211E-5</c:v>
                </c:pt>
                <c:pt idx="387">
                  <c:v>-2.1258911212232817E-5</c:v>
                </c:pt>
                <c:pt idx="388">
                  <c:v>-1.6720370482931706E-5</c:v>
                </c:pt>
                <c:pt idx="389">
                  <c:v>-1.5719031832887976E-5</c:v>
                </c:pt>
                <c:pt idx="390">
                  <c:v>-1.4025959722242811E-5</c:v>
                </c:pt>
                <c:pt idx="391">
                  <c:v>-1.6089767707967121E-5</c:v>
                </c:pt>
                <c:pt idx="392">
                  <c:v>-1.7957298705946297E-5</c:v>
                </c:pt>
                <c:pt idx="393">
                  <c:v>-1.9151545210472919E-5</c:v>
                </c:pt>
                <c:pt idx="394">
                  <c:v>-2.0242083931240366E-5</c:v>
                </c:pt>
                <c:pt idx="395">
                  <c:v>-2.1140061314529999E-5</c:v>
                </c:pt>
                <c:pt idx="396">
                  <c:v>-1.9440619921570038E-5</c:v>
                </c:pt>
                <c:pt idx="397">
                  <c:v>-2.0155093629401645E-5</c:v>
                </c:pt>
                <c:pt idx="398">
                  <c:v>-2.1623896661901619E-5</c:v>
                </c:pt>
                <c:pt idx="399">
                  <c:v>-2.175417190835325E-5</c:v>
                </c:pt>
                <c:pt idx="400">
                  <c:v>-2.0412350478956089E-5</c:v>
                </c:pt>
                <c:pt idx="401">
                  <c:v>-2.0562206438277884E-5</c:v>
                </c:pt>
                <c:pt idx="402">
                  <c:v>-1.9149141838944563E-5</c:v>
                </c:pt>
                <c:pt idx="403">
                  <c:v>-1.8171842398092369E-5</c:v>
                </c:pt>
                <c:pt idx="404">
                  <c:v>-1.9897586956174226E-5</c:v>
                </c:pt>
                <c:pt idx="405">
                  <c:v>-1.9998250135626344E-5</c:v>
                </c:pt>
                <c:pt idx="406">
                  <c:v>-1.9241534560472189E-5</c:v>
                </c:pt>
                <c:pt idx="407">
                  <c:v>-2.1696777999630635E-5</c:v>
                </c:pt>
                <c:pt idx="408">
                  <c:v>-2.2437383541054353E-5</c:v>
                </c:pt>
                <c:pt idx="409">
                  <c:v>-2.3209648764011013E-5</c:v>
                </c:pt>
                <c:pt idx="410">
                  <c:v>-2.2924504980513733E-5</c:v>
                </c:pt>
                <c:pt idx="411">
                  <c:v>-2.3218093322879572E-5</c:v>
                </c:pt>
                <c:pt idx="412">
                  <c:v>-2.3821056537206013E-5</c:v>
                </c:pt>
                <c:pt idx="413">
                  <c:v>-2.3006628267339435E-5</c:v>
                </c:pt>
                <c:pt idx="414">
                  <c:v>-2.1087182298740742E-5</c:v>
                </c:pt>
                <c:pt idx="415">
                  <c:v>-1.7702271637611341E-5</c:v>
                </c:pt>
                <c:pt idx="416">
                  <c:v>-1.7731937404278024E-5</c:v>
                </c:pt>
                <c:pt idx="417">
                  <c:v>-1.9679219000009488E-5</c:v>
                </c:pt>
                <c:pt idx="418">
                  <c:v>-1.7680937166031932E-5</c:v>
                </c:pt>
                <c:pt idx="419">
                  <c:v>-1.7469331031358383E-5</c:v>
                </c:pt>
                <c:pt idx="420">
                  <c:v>-1.5180898253558371E-5</c:v>
                </c:pt>
                <c:pt idx="421">
                  <c:v>-1.789835102654562E-5</c:v>
                </c:pt>
                <c:pt idx="422">
                  <c:v>-1.8480672397699476E-5</c:v>
                </c:pt>
                <c:pt idx="423">
                  <c:v>-2.042709171826948E-5</c:v>
                </c:pt>
                <c:pt idx="424">
                  <c:v>-1.9899156628997448E-5</c:v>
                </c:pt>
                <c:pt idx="425">
                  <c:v>-2.0484861363366876E-5</c:v>
                </c:pt>
                <c:pt idx="426">
                  <c:v>-1.9755410071251603E-5</c:v>
                </c:pt>
                <c:pt idx="427">
                  <c:v>-1.8618794119132164E-5</c:v>
                </c:pt>
                <c:pt idx="428">
                  <c:v>-1.3155808444432122E-5</c:v>
                </c:pt>
                <c:pt idx="429">
                  <c:v>-1.174744623479932E-5</c:v>
                </c:pt>
                <c:pt idx="430">
                  <c:v>-7.4714646863368629E-6</c:v>
                </c:pt>
                <c:pt idx="431">
                  <c:v>-5.6148772464345076E-6</c:v>
                </c:pt>
                <c:pt idx="432">
                  <c:v>-4.4386642021343563E-6</c:v>
                </c:pt>
                <c:pt idx="433">
                  <c:v>-4.4965461917441519E-6</c:v>
                </c:pt>
                <c:pt idx="434">
                  <c:v>-4.5908877047018886E-6</c:v>
                </c:pt>
                <c:pt idx="435">
                  <c:v>-3.1706352776029182E-6</c:v>
                </c:pt>
                <c:pt idx="436">
                  <c:v>-1.3542769204552699E-6</c:v>
                </c:pt>
                <c:pt idx="437">
                  <c:v>-1.4990798579695913E-6</c:v>
                </c:pt>
                <c:pt idx="438">
                  <c:v>-3.6193636830685666E-6</c:v>
                </c:pt>
                <c:pt idx="439">
                  <c:v>-3.2755762463786234E-6</c:v>
                </c:pt>
                <c:pt idx="440">
                  <c:v>-1.6706306841337504E-6</c:v>
                </c:pt>
                <c:pt idx="441">
                  <c:v>-2.5423570439076053E-6</c:v>
                </c:pt>
                <c:pt idx="442">
                  <c:v>-3.4961867598896912E-6</c:v>
                </c:pt>
                <c:pt idx="443">
                  <c:v>-3.7546471483718385E-6</c:v>
                </c:pt>
                <c:pt idx="444">
                  <c:v>-2.9902130360631294E-6</c:v>
                </c:pt>
                <c:pt idx="445">
                  <c:v>1.9370821900674747E-6</c:v>
                </c:pt>
                <c:pt idx="446">
                  <c:v>5.7005522006747457E-7</c:v>
                </c:pt>
                <c:pt idx="447">
                  <c:v>-2.6024399828800762E-7</c:v>
                </c:pt>
                <c:pt idx="448">
                  <c:v>-2.0637839621338968E-8</c:v>
                </c:pt>
                <c:pt idx="449">
                  <c:v>-1.7232670355431349E-6</c:v>
                </c:pt>
                <c:pt idx="450">
                  <c:v>-2.275128300729332E-6</c:v>
                </c:pt>
                <c:pt idx="451">
                  <c:v>-3.0423202577533127E-6</c:v>
                </c:pt>
                <c:pt idx="452">
                  <c:v>-4.4160942497749756E-6</c:v>
                </c:pt>
                <c:pt idx="453">
                  <c:v>-4.0417854421865907E-6</c:v>
                </c:pt>
                <c:pt idx="454">
                  <c:v>-4.4116272808839086E-6</c:v>
                </c:pt>
                <c:pt idx="455">
                  <c:v>-4.8951432254769553E-6</c:v>
                </c:pt>
                <c:pt idx="456">
                  <c:v>-3.7328192646046829E-6</c:v>
                </c:pt>
                <c:pt idx="457">
                  <c:v>-3.2427588804678494E-6</c:v>
                </c:pt>
                <c:pt idx="458">
                  <c:v>-3.189284555293757E-6</c:v>
                </c:pt>
                <c:pt idx="459">
                  <c:v>-2.6198986815115358E-6</c:v>
                </c:pt>
                <c:pt idx="460">
                  <c:v>-2.3856951313082519E-6</c:v>
                </c:pt>
                <c:pt idx="461">
                  <c:v>-2.8843933028586317E-6</c:v>
                </c:pt>
                <c:pt idx="462">
                  <c:v>-1.9715039228586315E-6</c:v>
                </c:pt>
                <c:pt idx="463">
                  <c:v>-1.0895898394734558E-6</c:v>
                </c:pt>
                <c:pt idx="464">
                  <c:v>-1.9470744554123231E-6</c:v>
                </c:pt>
                <c:pt idx="465">
                  <c:v>-2.4175307631384772E-6</c:v>
                </c:pt>
                <c:pt idx="466">
                  <c:v>-1.707270519172799E-6</c:v>
                </c:pt>
                <c:pt idx="467">
                  <c:v>-1.2873697291727989E-6</c:v>
                </c:pt>
                <c:pt idx="468">
                  <c:v>-1.5703953868193426E-6</c:v>
                </c:pt>
                <c:pt idx="469">
                  <c:v>-1.5824742845965327E-6</c:v>
                </c:pt>
                <c:pt idx="470">
                  <c:v>-1.8664802185129581E-6</c:v>
                </c:pt>
                <c:pt idx="471">
                  <c:v>-1.9356958958357039E-6</c:v>
                </c:pt>
                <c:pt idx="472">
                  <c:v>-1.4416593836330557E-6</c:v>
                </c:pt>
                <c:pt idx="473">
                  <c:v>-1.2926141733920975E-6</c:v>
                </c:pt>
                <c:pt idx="474">
                  <c:v>-1.1290342320587697E-6</c:v>
                </c:pt>
                <c:pt idx="475">
                  <c:v>-8.0908377747713877E-7</c:v>
                </c:pt>
                <c:pt idx="476">
                  <c:v>-1.2640771204482279E-6</c:v>
                </c:pt>
                <c:pt idx="477">
                  <c:v>-1.6091834754372465E-6</c:v>
                </c:pt>
                <c:pt idx="478">
                  <c:v>-1.6079713574259367E-6</c:v>
                </c:pt>
                <c:pt idx="479">
                  <c:v>-9.4254252742593663E-7</c:v>
                </c:pt>
                <c:pt idx="480">
                  <c:v>-1.3933178361415313E-6</c:v>
                </c:pt>
                <c:pt idx="481">
                  <c:v>-1.677020729680853E-6</c:v>
                </c:pt>
                <c:pt idx="482">
                  <c:v>-1.5765592732663578E-6</c:v>
                </c:pt>
                <c:pt idx="483">
                  <c:v>-9.8059691251453927E-7</c:v>
                </c:pt>
                <c:pt idx="484">
                  <c:v>-1.1440662184069219E-6</c:v>
                </c:pt>
                <c:pt idx="485">
                  <c:v>-1.1229328932457749E-6</c:v>
                </c:pt>
                <c:pt idx="486">
                  <c:v>-1.3929867730053363E-6</c:v>
                </c:pt>
                <c:pt idx="487">
                  <c:v>-1.9865300585182431E-6</c:v>
                </c:pt>
                <c:pt idx="488">
                  <c:v>-1.9591955803696429E-6</c:v>
                </c:pt>
                <c:pt idx="489">
                  <c:v>-1.8262500475792678E-6</c:v>
                </c:pt>
                <c:pt idx="490">
                  <c:v>-1.7960799541980439E-6</c:v>
                </c:pt>
                <c:pt idx="491">
                  <c:v>-2.2560733795183642E-6</c:v>
                </c:pt>
                <c:pt idx="492">
                  <c:v>-1.4828536246433623E-6</c:v>
                </c:pt>
                <c:pt idx="493">
                  <c:v>-1.0442049371017233E-6</c:v>
                </c:pt>
                <c:pt idx="494">
                  <c:v>-6.6416244013141456E-7</c:v>
                </c:pt>
                <c:pt idx="495">
                  <c:v>-6.3475894927817102E-7</c:v>
                </c:pt>
                <c:pt idx="496">
                  <c:v>-4.3244481494632E-7</c:v>
                </c:pt>
                <c:pt idx="497">
                  <c:v>-8.4527935789603651E-7</c:v>
                </c:pt>
                <c:pt idx="498">
                  <c:v>-5.8229459113132736E-7</c:v>
                </c:pt>
                <c:pt idx="499">
                  <c:v>-5.5097334140405733E-7</c:v>
                </c:pt>
                <c:pt idx="500">
                  <c:v>-4.0342872729801588E-7</c:v>
                </c:pt>
                <c:pt idx="501">
                  <c:v>-6.4831051917301711E-7</c:v>
                </c:pt>
                <c:pt idx="502">
                  <c:v>1.0231565198400046E-7</c:v>
                </c:pt>
                <c:pt idx="503">
                  <c:v>1.7963317141161647E-7</c:v>
                </c:pt>
                <c:pt idx="504">
                  <c:v>1.6490859188153941E-7</c:v>
                </c:pt>
                <c:pt idx="505">
                  <c:v>5.999022290293304E-8</c:v>
                </c:pt>
                <c:pt idx="506">
                  <c:v>-3.6026095926606232E-7</c:v>
                </c:pt>
                <c:pt idx="507">
                  <c:v>-7.1428274919116081E-7</c:v>
                </c:pt>
                <c:pt idx="508">
                  <c:v>-1.8947092143176001E-6</c:v>
                </c:pt>
                <c:pt idx="509">
                  <c:v>-1.1289279656740396E-6</c:v>
                </c:pt>
                <c:pt idx="510">
                  <c:v>-1.1631394787649489E-6</c:v>
                </c:pt>
                <c:pt idx="511">
                  <c:v>-5.4945557201591647E-7</c:v>
                </c:pt>
                <c:pt idx="512">
                  <c:v>7.0952006281495092E-7</c:v>
                </c:pt>
                <c:pt idx="513">
                  <c:v>8.0074239852109009E-7</c:v>
                </c:pt>
                <c:pt idx="514">
                  <c:v>1.4154279537288497E-6</c:v>
                </c:pt>
                <c:pt idx="515">
                  <c:v>1.762670844673824E-6</c:v>
                </c:pt>
                <c:pt idx="516">
                  <c:v>-4.5064846865949649E-7</c:v>
                </c:pt>
                <c:pt idx="517">
                  <c:v>-4.0297783187391639E-7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2-4182-A1BF-9968337BC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374080"/>
        <c:axId val="542372416"/>
      </c:lineChart>
      <c:dateAx>
        <c:axId val="542374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72416"/>
        <c:crosses val="autoZero"/>
        <c:auto val="1"/>
        <c:lblOffset val="100"/>
        <c:baseTimeUnit val="days"/>
      </c:dateAx>
      <c:valAx>
        <c:axId val="54237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7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AEAB18-DBAF-44E1-ACD0-B5D671264188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357AB1-7CFB-4E75-83B3-EF5C55D34FC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2100.85</v>
      </c>
      <c r="D2" s="4">
        <f>MIN(D3:D1912)</f>
        <v>1687.57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7</v>
      </c>
      <c r="N4" t="s">
        <v>8</v>
      </c>
    </row>
    <row r="5" spans="1:20" x14ac:dyDescent="0.25">
      <c r="A5" s="5">
        <v>44588</v>
      </c>
      <c r="B5">
        <v>1833</v>
      </c>
      <c r="C5">
        <v>1840</v>
      </c>
      <c r="D5">
        <v>1825</v>
      </c>
      <c r="E5">
        <v>1826</v>
      </c>
      <c r="F5">
        <v>204.2516</v>
      </c>
      <c r="G5">
        <v>1826</v>
      </c>
      <c r="L5" t="s">
        <v>8</v>
      </c>
      <c r="M5" t="s">
        <v>7</v>
      </c>
      <c r="N5" t="s">
        <v>8</v>
      </c>
      <c r="P5">
        <f t="shared" ref="P5" si="0">IF(C5=D5,0,((E5-D5)-(C5-E5))/(C5-D5))</f>
        <v>-0.8666666666666667</v>
      </c>
      <c r="Q5">
        <f t="shared" ref="Q5" si="1">F5*P5</f>
        <v>-177.01805333333334</v>
      </c>
      <c r="R5">
        <f t="shared" ref="R5" si="2">R6+Q5</f>
        <v>-44866.922994587287</v>
      </c>
      <c r="S5">
        <f t="shared" ref="S5" si="3">R5/100000</f>
        <v>-0.44866922994587288</v>
      </c>
      <c r="T5">
        <f t="shared" ref="T5" si="4">S5/1000</f>
        <v>-4.486692299458729E-4</v>
      </c>
    </row>
    <row r="6" spans="1:20" x14ac:dyDescent="0.25">
      <c r="A6" s="5">
        <v>44587</v>
      </c>
      <c r="B6">
        <v>1858</v>
      </c>
      <c r="C6">
        <v>1864</v>
      </c>
      <c r="D6">
        <v>1826</v>
      </c>
      <c r="E6">
        <v>1832</v>
      </c>
      <c r="F6">
        <v>6659.1687000000002</v>
      </c>
      <c r="G6">
        <v>1832</v>
      </c>
      <c r="L6" t="s">
        <v>8</v>
      </c>
      <c r="M6" t="s">
        <v>7</v>
      </c>
      <c r="N6" t="s">
        <v>8</v>
      </c>
      <c r="P6">
        <f t="shared" ref="P6" si="5">IF(C6=D6,0,((E6-D6)-(C6-E6))/(C6-D6))</f>
        <v>-0.68421052631578949</v>
      </c>
      <c r="Q6">
        <f t="shared" ref="Q6" si="6">F6*P6</f>
        <v>-4556.2733210526321</v>
      </c>
      <c r="R6">
        <f t="shared" ref="R6" si="7">R7+Q6</f>
        <v>-44689.904941253953</v>
      </c>
      <c r="S6">
        <f t="shared" ref="S6" si="8">R6/100000</f>
        <v>-0.44689904941253955</v>
      </c>
      <c r="T6">
        <f t="shared" ref="T6" si="9">S6/1000</f>
        <v>-4.4689904941253955E-4</v>
      </c>
    </row>
    <row r="7" spans="1:20" x14ac:dyDescent="0.25">
      <c r="A7" s="5">
        <v>44586</v>
      </c>
      <c r="B7">
        <v>1848</v>
      </c>
      <c r="C7">
        <v>1863</v>
      </c>
      <c r="D7">
        <v>1839</v>
      </c>
      <c r="E7">
        <v>1855</v>
      </c>
      <c r="F7">
        <v>2916.3895000000002</v>
      </c>
      <c r="G7">
        <v>1855</v>
      </c>
      <c r="L7" t="s">
        <v>8</v>
      </c>
      <c r="M7" t="s">
        <v>7</v>
      </c>
      <c r="N7" t="s">
        <v>8</v>
      </c>
      <c r="P7">
        <f t="shared" ref="P7" si="10">IF(C7=D7,0,((E7-D7)-(C7-E7))/(C7-D7))</f>
        <v>0.33333333333333331</v>
      </c>
      <c r="Q7">
        <f t="shared" ref="Q7" si="11">F7*P7</f>
        <v>972.12983333333341</v>
      </c>
      <c r="R7">
        <f t="shared" ref="R7" si="12">R8+Q7</f>
        <v>-40133.631620201319</v>
      </c>
      <c r="S7">
        <f t="shared" ref="S7" si="13">R7/100000</f>
        <v>-0.40133631620201321</v>
      </c>
      <c r="T7">
        <f t="shared" ref="T7" si="14">S7/1000</f>
        <v>-4.0133631620201322E-4</v>
      </c>
    </row>
    <row r="8" spans="1:20" x14ac:dyDescent="0.25">
      <c r="A8" s="5">
        <v>44585</v>
      </c>
      <c r="B8">
        <v>1843</v>
      </c>
      <c r="C8">
        <v>1854</v>
      </c>
      <c r="D8">
        <v>1836</v>
      </c>
      <c r="E8">
        <v>1849</v>
      </c>
      <c r="F8">
        <v>5007.1283000000003</v>
      </c>
      <c r="G8">
        <v>1849</v>
      </c>
      <c r="L8" t="s">
        <v>8</v>
      </c>
      <c r="M8" t="s">
        <v>7</v>
      </c>
      <c r="N8" t="s">
        <v>8</v>
      </c>
      <c r="P8">
        <f t="shared" ref="P8" si="15">IF(C8=D8,0,((E8-D8)-(C8-E8))/(C8-D8))</f>
        <v>0.44444444444444442</v>
      </c>
      <c r="Q8">
        <f t="shared" ref="Q8" si="16">F8*P8</f>
        <v>2225.3903555555557</v>
      </c>
      <c r="R8">
        <f t="shared" ref="R8" si="17">R9+Q8</f>
        <v>-41105.761453534651</v>
      </c>
      <c r="S8">
        <f t="shared" ref="S8" si="18">R8/100000</f>
        <v>-0.4110576145353465</v>
      </c>
      <c r="T8">
        <f t="shared" ref="T8" si="19">S8/1000</f>
        <v>-4.1105761453534648E-4</v>
      </c>
    </row>
    <row r="9" spans="1:20" x14ac:dyDescent="0.25">
      <c r="A9" s="5">
        <v>44584</v>
      </c>
      <c r="B9">
        <v>1840</v>
      </c>
      <c r="C9">
        <v>1846</v>
      </c>
      <c r="D9">
        <v>1830</v>
      </c>
      <c r="E9">
        <v>1844</v>
      </c>
      <c r="F9">
        <v>2998.2845000000002</v>
      </c>
      <c r="G9">
        <v>1844</v>
      </c>
      <c r="L9" t="s">
        <v>8</v>
      </c>
      <c r="M9" t="s">
        <v>7</v>
      </c>
      <c r="N9" t="s">
        <v>8</v>
      </c>
      <c r="P9">
        <f t="shared" ref="P9" si="20">IF(C9=D9,0,((E9-D9)-(C9-E9))/(C9-D9))</f>
        <v>0.75</v>
      </c>
      <c r="Q9">
        <f t="shared" ref="Q9" si="21">F9*P9</f>
        <v>2248.7133750000003</v>
      </c>
      <c r="R9">
        <f t="shared" ref="R9" si="22">R10+Q9</f>
        <v>-43331.15180909021</v>
      </c>
      <c r="S9">
        <f t="shared" ref="S9" si="23">R9/100000</f>
        <v>-0.43331151809090213</v>
      </c>
      <c r="T9">
        <f t="shared" ref="T9" si="24">S9/1000</f>
        <v>-4.3331151809090213E-4</v>
      </c>
    </row>
    <row r="10" spans="1:20" x14ac:dyDescent="0.25">
      <c r="A10" s="5">
        <v>44583</v>
      </c>
      <c r="B10">
        <v>1843</v>
      </c>
      <c r="C10">
        <v>1850</v>
      </c>
      <c r="D10">
        <v>1830</v>
      </c>
      <c r="E10">
        <v>1840</v>
      </c>
      <c r="F10">
        <v>4788.5707000000002</v>
      </c>
      <c r="G10">
        <v>1840</v>
      </c>
      <c r="L10" t="s">
        <v>8</v>
      </c>
      <c r="M10" t="s">
        <v>7</v>
      </c>
      <c r="N10" t="s">
        <v>8</v>
      </c>
      <c r="P10">
        <f t="shared" ref="P10" si="25">IF(C10=D10,0,((E10-D10)-(C10-E10))/(C10-D10))</f>
        <v>0</v>
      </c>
      <c r="Q10">
        <f t="shared" ref="Q10" si="26">F10*P10</f>
        <v>0</v>
      </c>
      <c r="R10">
        <f t="shared" ref="R10" si="27">R11+Q10</f>
        <v>-45579.865184090209</v>
      </c>
      <c r="S10">
        <f t="shared" ref="S10" si="28">R10/100000</f>
        <v>-0.45579865184090207</v>
      </c>
      <c r="T10">
        <f t="shared" ref="T10" si="29">S10/1000</f>
        <v>-4.5579865184090204E-4</v>
      </c>
    </row>
    <row r="11" spans="1:20" x14ac:dyDescent="0.25">
      <c r="A11" s="5">
        <v>44582</v>
      </c>
      <c r="B11">
        <v>1845</v>
      </c>
      <c r="C11">
        <v>1857</v>
      </c>
      <c r="D11">
        <v>1830</v>
      </c>
      <c r="E11">
        <v>1842</v>
      </c>
      <c r="F11">
        <v>5358.1656999999996</v>
      </c>
      <c r="G11">
        <v>1842</v>
      </c>
      <c r="L11" t="s">
        <v>8</v>
      </c>
      <c r="M11" t="s">
        <v>7</v>
      </c>
      <c r="N11" t="s">
        <v>8</v>
      </c>
      <c r="P11">
        <f t="shared" ref="P11" si="30">IF(C11=D11,0,((E11-D11)-(C11-E11))/(C11-D11))</f>
        <v>-0.1111111111111111</v>
      </c>
      <c r="Q11">
        <f t="shared" ref="Q11" si="31">F11*P11</f>
        <v>-595.35174444444431</v>
      </c>
      <c r="R11">
        <f t="shared" ref="R11" si="32">R12+Q11</f>
        <v>-45579.865184090209</v>
      </c>
      <c r="S11">
        <f t="shared" ref="S11" si="33">R11/100000</f>
        <v>-0.45579865184090207</v>
      </c>
      <c r="T11">
        <f t="shared" ref="T11" si="34">S11/1000</f>
        <v>-4.5579865184090204E-4</v>
      </c>
    </row>
    <row r="12" spans="1:20" x14ac:dyDescent="0.25">
      <c r="A12" s="5">
        <v>44581</v>
      </c>
      <c r="B12">
        <v>1847</v>
      </c>
      <c r="C12">
        <v>1862</v>
      </c>
      <c r="D12">
        <v>1836</v>
      </c>
      <c r="E12">
        <v>1845</v>
      </c>
      <c r="F12">
        <v>2270.3081999999999</v>
      </c>
      <c r="G12">
        <v>1845</v>
      </c>
      <c r="L12" t="s">
        <v>8</v>
      </c>
      <c r="M12" t="s">
        <v>7</v>
      </c>
      <c r="N12" t="s">
        <v>8</v>
      </c>
      <c r="P12">
        <f t="shared" ref="P12" si="35">IF(C12=D12,0,((E12-D12)-(C12-E12))/(C12-D12))</f>
        <v>-0.30769230769230771</v>
      </c>
      <c r="Q12">
        <f t="shared" ref="Q12" si="36">F12*P12</f>
        <v>-698.55636923076929</v>
      </c>
      <c r="R12">
        <f t="shared" ref="R12" si="37">R13+Q12</f>
        <v>-44984.513439645765</v>
      </c>
      <c r="S12">
        <f t="shared" ref="S12" si="38">R12/100000</f>
        <v>-0.44984513439645762</v>
      </c>
      <c r="T12">
        <f t="shared" ref="T12" si="39">S12/1000</f>
        <v>-4.498451343964576E-4</v>
      </c>
    </row>
    <row r="13" spans="1:20" x14ac:dyDescent="0.25">
      <c r="A13" s="5">
        <v>44580</v>
      </c>
      <c r="B13">
        <v>1822</v>
      </c>
      <c r="C13">
        <v>1859</v>
      </c>
      <c r="D13">
        <v>1814</v>
      </c>
      <c r="E13">
        <v>1846</v>
      </c>
      <c r="F13">
        <v>2436.1864999999998</v>
      </c>
      <c r="G13">
        <v>1846</v>
      </c>
      <c r="L13" t="s">
        <v>8</v>
      </c>
      <c r="M13" t="s">
        <v>7</v>
      </c>
      <c r="N13" t="s">
        <v>8</v>
      </c>
      <c r="P13">
        <f t="shared" ref="P13" si="40">IF(C13=D13,0,((E13-D13)-(C13-E13))/(C13-D13))</f>
        <v>0.42222222222222222</v>
      </c>
      <c r="Q13">
        <f t="shared" ref="Q13" si="41">F13*P13</f>
        <v>1028.6120777777776</v>
      </c>
      <c r="R13">
        <f t="shared" ref="R13" si="42">R14+Q13</f>
        <v>-44285.957070414996</v>
      </c>
      <c r="S13">
        <f t="shared" ref="S13" si="43">R13/100000</f>
        <v>-0.44285957070414994</v>
      </c>
      <c r="T13">
        <f t="shared" ref="T13" si="44">S13/1000</f>
        <v>-4.4285957070414994E-4</v>
      </c>
    </row>
    <row r="14" spans="1:20" x14ac:dyDescent="0.25">
      <c r="A14" s="5">
        <v>44579</v>
      </c>
      <c r="B14">
        <v>1822</v>
      </c>
      <c r="C14">
        <v>1831</v>
      </c>
      <c r="D14">
        <v>1812</v>
      </c>
      <c r="E14">
        <v>1821</v>
      </c>
      <c r="F14">
        <v>1408.259</v>
      </c>
      <c r="G14">
        <v>1821</v>
      </c>
      <c r="L14" t="s">
        <v>8</v>
      </c>
      <c r="M14" t="s">
        <v>7</v>
      </c>
      <c r="N14" t="s">
        <v>8</v>
      </c>
      <c r="P14">
        <f t="shared" ref="P14" si="45">IF(C14=D14,0,((E14-D14)-(C14-E14))/(C14-D14))</f>
        <v>-5.2631578947368418E-2</v>
      </c>
      <c r="Q14">
        <f t="shared" ref="Q14" si="46">F14*P14</f>
        <v>-74.118894736842108</v>
      </c>
      <c r="R14">
        <f t="shared" ref="R14" si="47">R15+Q14</f>
        <v>-45314.569148192772</v>
      </c>
      <c r="S14">
        <f t="shared" ref="S14" si="48">R14/100000</f>
        <v>-0.45314569148192774</v>
      </c>
      <c r="T14">
        <f t="shared" ref="T14" si="49">S14/1000</f>
        <v>-4.5314569148192772E-4</v>
      </c>
    </row>
    <row r="15" spans="1:20" x14ac:dyDescent="0.25">
      <c r="A15" s="5">
        <v>44578</v>
      </c>
      <c r="B15">
        <v>1824</v>
      </c>
      <c r="C15">
        <v>1830</v>
      </c>
      <c r="D15">
        <v>1819</v>
      </c>
      <c r="E15">
        <v>1821</v>
      </c>
      <c r="F15">
        <v>1134.1161999999999</v>
      </c>
      <c r="G15">
        <v>1821</v>
      </c>
      <c r="L15" t="s">
        <v>8</v>
      </c>
      <c r="M15" t="s">
        <v>7</v>
      </c>
      <c r="N15" t="s">
        <v>8</v>
      </c>
      <c r="P15">
        <f t="shared" ref="P15" si="50">IF(C15=D15,0,((E15-D15)-(C15-E15))/(C15-D15))</f>
        <v>-0.63636363636363635</v>
      </c>
      <c r="Q15">
        <f t="shared" ref="Q15" si="51">F15*P15</f>
        <v>-721.71030909090905</v>
      </c>
      <c r="R15">
        <f t="shared" ref="R15" si="52">R16+Q15</f>
        <v>-45240.450253455929</v>
      </c>
      <c r="S15">
        <f t="shared" ref="S15" si="53">R15/100000</f>
        <v>-0.45240450253455927</v>
      </c>
      <c r="T15">
        <f t="shared" ref="T15" si="54">S15/1000</f>
        <v>-4.5240450253455927E-4</v>
      </c>
    </row>
    <row r="16" spans="1:20" x14ac:dyDescent="0.25">
      <c r="A16" s="5">
        <v>44577</v>
      </c>
      <c r="B16">
        <v>1826</v>
      </c>
      <c r="C16">
        <v>1827</v>
      </c>
      <c r="D16">
        <v>1823</v>
      </c>
      <c r="E16">
        <v>1825</v>
      </c>
      <c r="F16">
        <v>434.2063</v>
      </c>
      <c r="G16">
        <v>1825</v>
      </c>
      <c r="L16" t="s">
        <v>8</v>
      </c>
      <c r="M16" t="s">
        <v>7</v>
      </c>
      <c r="N16" t="s">
        <v>8</v>
      </c>
      <c r="P16">
        <f t="shared" ref="P16" si="55">IF(C16=D16,0,((E16-D16)-(C16-E16))/(C16-D16))</f>
        <v>0</v>
      </c>
      <c r="Q16">
        <f t="shared" ref="Q16" si="56">F16*P16</f>
        <v>0</v>
      </c>
      <c r="R16">
        <f t="shared" ref="R16" si="57">R17+Q16</f>
        <v>-44518.739944365021</v>
      </c>
      <c r="S16">
        <f t="shared" ref="S16" si="58">R16/100000</f>
        <v>-0.44518739944365021</v>
      </c>
      <c r="T16">
        <f t="shared" ref="T16" si="59">S16/1000</f>
        <v>-4.4518739944365019E-4</v>
      </c>
    </row>
    <row r="17" spans="1:20" x14ac:dyDescent="0.25">
      <c r="A17" s="5">
        <v>44576</v>
      </c>
      <c r="B17">
        <v>1825</v>
      </c>
      <c r="C17">
        <v>1828</v>
      </c>
      <c r="D17">
        <v>1820</v>
      </c>
      <c r="E17">
        <v>1826</v>
      </c>
      <c r="F17">
        <v>559.55849999999998</v>
      </c>
      <c r="G17">
        <v>1826</v>
      </c>
      <c r="L17" t="s">
        <v>8</v>
      </c>
      <c r="M17" t="s">
        <v>7</v>
      </c>
      <c r="N17" t="s">
        <v>8</v>
      </c>
      <c r="P17">
        <f t="shared" ref="P17" si="60">IF(C17=D17,0,((E17-D17)-(C17-E17))/(C17-D17))</f>
        <v>0.5</v>
      </c>
      <c r="Q17">
        <f t="shared" ref="Q17" si="61">F17*P17</f>
        <v>279.77924999999999</v>
      </c>
      <c r="R17">
        <f t="shared" ref="R17" si="62">R18+Q17</f>
        <v>-44518.739944365021</v>
      </c>
      <c r="S17">
        <f t="shared" ref="S17" si="63">R17/100000</f>
        <v>-0.44518739944365021</v>
      </c>
      <c r="T17">
        <f t="shared" ref="T17" si="64">S17/1000</f>
        <v>-4.4518739944365019E-4</v>
      </c>
    </row>
    <row r="18" spans="1:20" x14ac:dyDescent="0.25">
      <c r="A18" s="5">
        <v>44575</v>
      </c>
      <c r="B18">
        <v>1826</v>
      </c>
      <c r="C18">
        <v>1836</v>
      </c>
      <c r="D18">
        <v>1821</v>
      </c>
      <c r="E18">
        <v>1825</v>
      </c>
      <c r="F18">
        <v>1193.1143</v>
      </c>
      <c r="G18">
        <v>1825</v>
      </c>
      <c r="L18" t="s">
        <v>8</v>
      </c>
      <c r="M18" t="s">
        <v>7</v>
      </c>
      <c r="N18" t="s">
        <v>8</v>
      </c>
      <c r="P18">
        <f t="shared" ref="P18" si="65">IF(C18=D18,0,((E18-D18)-(C18-E18))/(C18-D18))</f>
        <v>-0.46666666666666667</v>
      </c>
      <c r="Q18">
        <f t="shared" ref="Q18" si="66">F18*P18</f>
        <v>-556.78667333333328</v>
      </c>
      <c r="R18">
        <f t="shared" ref="R18" si="67">R19+Q18</f>
        <v>-44798.519194365021</v>
      </c>
      <c r="S18">
        <f t="shared" ref="S18" si="68">R18/100000</f>
        <v>-0.44798519194365022</v>
      </c>
      <c r="T18">
        <f t="shared" ref="T18" si="69">S18/1000</f>
        <v>-4.4798519194365024E-4</v>
      </c>
    </row>
    <row r="19" spans="1:20" x14ac:dyDescent="0.25">
      <c r="A19" s="5">
        <v>44574</v>
      </c>
      <c r="B19">
        <v>1833</v>
      </c>
      <c r="C19">
        <v>1836</v>
      </c>
      <c r="D19">
        <v>1810</v>
      </c>
      <c r="E19">
        <v>1825</v>
      </c>
      <c r="F19">
        <v>1859.7618</v>
      </c>
      <c r="G19">
        <v>1825</v>
      </c>
      <c r="L19" t="s">
        <v>8</v>
      </c>
      <c r="M19" t="s">
        <v>7</v>
      </c>
      <c r="N19" t="s">
        <v>8</v>
      </c>
      <c r="P19">
        <f t="shared" ref="P19" si="70">IF(C19=D19,0,((E19-D19)-(C19-E19))/(C19-D19))</f>
        <v>0.15384615384615385</v>
      </c>
      <c r="Q19">
        <f t="shared" ref="Q19" si="71">F19*P19</f>
        <v>286.11720000000003</v>
      </c>
      <c r="R19">
        <f t="shared" ref="R19" si="72">R20+Q19</f>
        <v>-44241.732521031685</v>
      </c>
      <c r="S19">
        <f t="shared" ref="S19" si="73">R19/100000</f>
        <v>-0.44241732521031685</v>
      </c>
      <c r="T19">
        <f t="shared" ref="T19" si="74">S19/1000</f>
        <v>-4.4241732521031686E-4</v>
      </c>
    </row>
    <row r="20" spans="1:20" x14ac:dyDescent="0.25">
      <c r="A20" s="5">
        <v>44573</v>
      </c>
      <c r="B20">
        <v>1823</v>
      </c>
      <c r="C20">
        <v>1839</v>
      </c>
      <c r="D20">
        <v>1814</v>
      </c>
      <c r="E20">
        <v>1833</v>
      </c>
      <c r="F20">
        <v>2164.5057999999999</v>
      </c>
      <c r="G20">
        <v>1833</v>
      </c>
      <c r="L20" t="s">
        <v>8</v>
      </c>
      <c r="M20" t="s">
        <v>7</v>
      </c>
      <c r="N20" t="s">
        <v>8</v>
      </c>
      <c r="P20">
        <f t="shared" ref="P20" si="75">IF(C20=D20,0,((E20-D20)-(C20-E20))/(C20-D20))</f>
        <v>0.52</v>
      </c>
      <c r="Q20">
        <f t="shared" ref="Q20" si="76">F20*P20</f>
        <v>1125.5430160000001</v>
      </c>
      <c r="R20">
        <f t="shared" ref="R20" si="77">R21+Q20</f>
        <v>-44527.849721031685</v>
      </c>
      <c r="S20">
        <f t="shared" ref="S20" si="78">R20/100000</f>
        <v>-0.44527849721031687</v>
      </c>
      <c r="T20">
        <f t="shared" ref="T20" si="79">S20/1000</f>
        <v>-4.4527849721031688E-4</v>
      </c>
    </row>
    <row r="21" spans="1:20" x14ac:dyDescent="0.25">
      <c r="A21" s="5">
        <v>44572</v>
      </c>
      <c r="B21">
        <v>1804</v>
      </c>
      <c r="C21">
        <v>1830</v>
      </c>
      <c r="D21">
        <v>1803</v>
      </c>
      <c r="E21">
        <v>1822</v>
      </c>
      <c r="F21">
        <v>2038.9371000000001</v>
      </c>
      <c r="G21">
        <v>1822</v>
      </c>
      <c r="L21" t="s">
        <v>8</v>
      </c>
      <c r="M21" t="s">
        <v>7</v>
      </c>
      <c r="N21" t="s">
        <v>8</v>
      </c>
      <c r="P21">
        <f t="shared" ref="P21" si="80">IF(C21=D21,0,((E21-D21)-(C21-E21))/(C21-D21))</f>
        <v>0.40740740740740738</v>
      </c>
      <c r="Q21">
        <f t="shared" ref="Q21" si="81">F21*P21</f>
        <v>830.67807777777773</v>
      </c>
      <c r="R21">
        <f t="shared" ref="R21" si="82">R22+Q21</f>
        <v>-45653.392737031689</v>
      </c>
      <c r="S21">
        <f t="shared" ref="S21" si="83">R21/100000</f>
        <v>-0.45653392737031689</v>
      </c>
      <c r="T21">
        <f t="shared" ref="T21" si="84">S21/1000</f>
        <v>-4.5653392737031689E-4</v>
      </c>
    </row>
    <row r="22" spans="1:20" x14ac:dyDescent="0.25">
      <c r="A22" s="5">
        <v>44571</v>
      </c>
      <c r="B22">
        <v>1797</v>
      </c>
      <c r="C22">
        <v>1811</v>
      </c>
      <c r="D22">
        <v>1791</v>
      </c>
      <c r="E22">
        <v>1804</v>
      </c>
      <c r="F22">
        <v>3399.2183</v>
      </c>
      <c r="G22">
        <v>1804</v>
      </c>
      <c r="L22" t="s">
        <v>8</v>
      </c>
      <c r="M22" t="s">
        <v>7</v>
      </c>
      <c r="N22" t="s">
        <v>8</v>
      </c>
      <c r="P22">
        <f t="shared" ref="P22" si="85">IF(C22=D22,0,((E22-D22)-(C22-E22))/(C22-D22))</f>
        <v>0.3</v>
      </c>
      <c r="Q22">
        <f t="shared" ref="Q22" si="86">F22*P22</f>
        <v>1019.76549</v>
      </c>
      <c r="R22">
        <f t="shared" ref="R22" si="87">R23+Q22</f>
        <v>-46484.070814809464</v>
      </c>
      <c r="S22">
        <f t="shared" ref="S22" si="88">R22/100000</f>
        <v>-0.46484070814809464</v>
      </c>
      <c r="T22">
        <f t="shared" ref="T22" si="89">S22/1000</f>
        <v>-4.6484070814809464E-4</v>
      </c>
    </row>
    <row r="23" spans="1:20" x14ac:dyDescent="0.25">
      <c r="A23" s="5">
        <v>44570</v>
      </c>
      <c r="B23">
        <v>1798</v>
      </c>
      <c r="C23">
        <v>1802</v>
      </c>
      <c r="D23">
        <v>1791</v>
      </c>
      <c r="E23">
        <v>1797</v>
      </c>
      <c r="F23">
        <v>1337.4127000000001</v>
      </c>
      <c r="G23">
        <v>1797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9.0909090909090912E-2</v>
      </c>
      <c r="Q23">
        <f t="shared" ref="Q23" si="91">F23*P23</f>
        <v>121.58297272727273</v>
      </c>
      <c r="R23">
        <f t="shared" ref="R23" si="92">R24+Q23</f>
        <v>-47503.836304809462</v>
      </c>
      <c r="S23">
        <f t="shared" ref="S23" si="93">R23/100000</f>
        <v>-0.4750383630480946</v>
      </c>
      <c r="T23">
        <f t="shared" ref="T23" si="94">S23/1000</f>
        <v>-4.7503836304809463E-4</v>
      </c>
    </row>
    <row r="24" spans="1:20" x14ac:dyDescent="0.25">
      <c r="A24" s="5">
        <v>44569</v>
      </c>
      <c r="B24">
        <v>1805</v>
      </c>
      <c r="C24">
        <v>1805</v>
      </c>
      <c r="D24">
        <v>1793</v>
      </c>
      <c r="E24">
        <v>1798</v>
      </c>
      <c r="F24">
        <v>1454.3851999999999</v>
      </c>
      <c r="G24">
        <v>1798</v>
      </c>
      <c r="L24" t="s">
        <v>8</v>
      </c>
      <c r="M24" t="s">
        <v>7</v>
      </c>
      <c r="N24" t="s">
        <v>8</v>
      </c>
      <c r="P24">
        <f t="shared" ref="P24" si="95">IF(C24=D24,0,((E24-D24)-(C24-E24))/(C24-D24))</f>
        <v>-0.16666666666666666</v>
      </c>
      <c r="Q24">
        <f t="shared" ref="Q24" si="96">F24*P24</f>
        <v>-242.39753333333331</v>
      </c>
      <c r="R24">
        <f t="shared" ref="R24" si="97">R25+Q24</f>
        <v>-47625.419277536734</v>
      </c>
      <c r="S24">
        <f t="shared" ref="S24" si="98">R24/100000</f>
        <v>-0.47625419277536735</v>
      </c>
      <c r="T24">
        <f t="shared" ref="T24" si="99">S24/1000</f>
        <v>-4.7625419277536735E-4</v>
      </c>
    </row>
    <row r="25" spans="1:20" x14ac:dyDescent="0.25">
      <c r="A25" s="5">
        <v>44568</v>
      </c>
      <c r="B25">
        <v>1797</v>
      </c>
      <c r="C25">
        <v>1807</v>
      </c>
      <c r="D25">
        <v>1783</v>
      </c>
      <c r="E25">
        <v>1805</v>
      </c>
      <c r="F25">
        <v>2916.6718999999998</v>
      </c>
      <c r="G25">
        <v>1805</v>
      </c>
      <c r="L25" t="s">
        <v>8</v>
      </c>
      <c r="M25" t="s">
        <v>7</v>
      </c>
      <c r="N25" t="s">
        <v>8</v>
      </c>
      <c r="P25">
        <f t="shared" ref="P25" si="100">IF(C25=D25,0,((E25-D25)-(C25-E25))/(C25-D25))</f>
        <v>0.83333333333333337</v>
      </c>
      <c r="Q25">
        <f t="shared" ref="Q25" si="101">F25*P25</f>
        <v>2430.5599166666666</v>
      </c>
      <c r="R25">
        <f t="shared" ref="R25" si="102">R26+Q25</f>
        <v>-47383.021744203397</v>
      </c>
      <c r="S25">
        <f t="shared" ref="S25" si="103">R25/100000</f>
        <v>-0.47383021744203396</v>
      </c>
      <c r="T25">
        <f t="shared" ref="T25" si="104">S25/1000</f>
        <v>-4.7383021744203395E-4</v>
      </c>
    </row>
    <row r="26" spans="1:20" x14ac:dyDescent="0.25">
      <c r="A26" s="5">
        <v>44567</v>
      </c>
      <c r="B26">
        <v>1816</v>
      </c>
      <c r="C26">
        <v>1869</v>
      </c>
      <c r="D26">
        <v>1772</v>
      </c>
      <c r="E26">
        <v>1797</v>
      </c>
      <c r="F26">
        <v>7057.433</v>
      </c>
      <c r="G26">
        <v>1797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-0.4845360824742268</v>
      </c>
      <c r="Q26">
        <f t="shared" ref="Q26" si="106">F26*P26</f>
        <v>-3419.58093814433</v>
      </c>
      <c r="R26">
        <f t="shared" ref="R26" si="107">R27+Q26</f>
        <v>-49813.581660870062</v>
      </c>
      <c r="S26">
        <f t="shared" ref="S26" si="108">R26/100000</f>
        <v>-0.4981358166087006</v>
      </c>
      <c r="T26">
        <f t="shared" ref="T26" si="109">S26/1000</f>
        <v>-4.9813581660870061E-4</v>
      </c>
    </row>
    <row r="27" spans="1:20" x14ac:dyDescent="0.25">
      <c r="A27" s="5">
        <v>44566</v>
      </c>
      <c r="B27">
        <v>1818</v>
      </c>
      <c r="C27">
        <v>1869</v>
      </c>
      <c r="D27">
        <v>1802</v>
      </c>
      <c r="E27">
        <v>1816</v>
      </c>
      <c r="F27">
        <v>3280.6306</v>
      </c>
      <c r="G27">
        <v>1816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-0.58208955223880599</v>
      </c>
      <c r="Q27">
        <f t="shared" ref="Q27" si="111">F27*P27</f>
        <v>-1909.6207970149253</v>
      </c>
      <c r="R27">
        <f t="shared" ref="R27" si="112">R28+Q27</f>
        <v>-46394.00072272573</v>
      </c>
      <c r="S27">
        <f t="shared" ref="S27" si="113">R27/100000</f>
        <v>-0.46394000722725731</v>
      </c>
      <c r="T27">
        <f t="shared" ref="T27" si="114">S27/1000</f>
        <v>-4.6394000722725729E-4</v>
      </c>
    </row>
    <row r="28" spans="1:20" x14ac:dyDescent="0.25">
      <c r="A28" s="5">
        <v>44565</v>
      </c>
      <c r="B28">
        <v>1810</v>
      </c>
      <c r="C28">
        <v>1822</v>
      </c>
      <c r="D28">
        <v>1803</v>
      </c>
      <c r="E28">
        <v>1817</v>
      </c>
      <c r="F28">
        <v>1308.9775999999999</v>
      </c>
      <c r="G28">
        <v>1817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0.47368421052631576</v>
      </c>
      <c r="Q28">
        <f t="shared" ref="Q28" si="116">F28*P28</f>
        <v>620.04202105263153</v>
      </c>
      <c r="R28">
        <f t="shared" ref="R28" si="117">R29+Q28</f>
        <v>-44484.379925710804</v>
      </c>
      <c r="S28">
        <f t="shared" ref="S28" si="118">R28/100000</f>
        <v>-0.44484379925710804</v>
      </c>
      <c r="T28">
        <f t="shared" ref="T28" si="119">S28/1000</f>
        <v>-4.4484379925710803E-4</v>
      </c>
    </row>
    <row r="29" spans="1:20" x14ac:dyDescent="0.25">
      <c r="A29" s="5">
        <v>44564</v>
      </c>
      <c r="B29">
        <v>1836</v>
      </c>
      <c r="C29">
        <v>1839</v>
      </c>
      <c r="D29">
        <v>1801</v>
      </c>
      <c r="E29">
        <v>1809</v>
      </c>
      <c r="F29">
        <v>1596.5055</v>
      </c>
      <c r="G29">
        <v>1809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-0.57894736842105265</v>
      </c>
      <c r="Q29">
        <f t="shared" ref="Q29" si="121">F29*P29</f>
        <v>-924.29265789473686</v>
      </c>
      <c r="R29">
        <f t="shared" ref="R29" si="122">R30+Q29</f>
        <v>-45104.421946763432</v>
      </c>
      <c r="S29">
        <f t="shared" ref="S29" si="123">R29/100000</f>
        <v>-0.45104421946763434</v>
      </c>
      <c r="T29">
        <f t="shared" ref="T29" si="124">S29/1000</f>
        <v>-4.5104421946763433E-4</v>
      </c>
    </row>
    <row r="30" spans="1:20" x14ac:dyDescent="0.25">
      <c r="A30" s="5">
        <v>44563</v>
      </c>
      <c r="B30">
        <v>1837</v>
      </c>
      <c r="C30">
        <v>1840</v>
      </c>
      <c r="D30">
        <v>1832</v>
      </c>
      <c r="E30">
        <v>1835</v>
      </c>
      <c r="F30">
        <v>930.43029999999999</v>
      </c>
      <c r="G30">
        <v>1835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-0.25</v>
      </c>
      <c r="Q30">
        <f t="shared" ref="Q30" si="126">F30*P30</f>
        <v>-232.607575</v>
      </c>
      <c r="R30">
        <f t="shared" ref="R30" si="127">R31+Q30</f>
        <v>-44180.129288868695</v>
      </c>
      <c r="S30">
        <f t="shared" ref="S30" si="128">R30/100000</f>
        <v>-0.44180129288868697</v>
      </c>
      <c r="T30">
        <f t="shared" ref="T30" si="129">S30/1000</f>
        <v>-4.4180129288868696E-4</v>
      </c>
    </row>
    <row r="31" spans="1:20" x14ac:dyDescent="0.25">
      <c r="A31" s="5">
        <v>44562</v>
      </c>
      <c r="B31">
        <v>1835</v>
      </c>
      <c r="C31">
        <v>1843</v>
      </c>
      <c r="D31">
        <v>1831</v>
      </c>
      <c r="E31">
        <v>1837</v>
      </c>
      <c r="F31">
        <v>927.45730000000003</v>
      </c>
      <c r="G31">
        <v>1837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</v>
      </c>
      <c r="Q31">
        <f t="shared" ref="Q31" si="131">F31*P31</f>
        <v>0</v>
      </c>
      <c r="R31">
        <f t="shared" ref="R31" si="132">R32+Q31</f>
        <v>-43947.521713868693</v>
      </c>
      <c r="S31">
        <f t="shared" ref="S31" si="133">R31/100000</f>
        <v>-0.43947521713868692</v>
      </c>
      <c r="T31">
        <f t="shared" ref="T31" si="134">S31/1000</f>
        <v>-4.394752171386869E-4</v>
      </c>
    </row>
    <row r="32" spans="1:20" x14ac:dyDescent="0.25">
      <c r="A32" s="5">
        <v>44561</v>
      </c>
      <c r="B32">
        <v>1824</v>
      </c>
      <c r="C32">
        <v>1839</v>
      </c>
      <c r="D32">
        <v>1819</v>
      </c>
      <c r="E32">
        <v>1835</v>
      </c>
      <c r="F32">
        <v>1379.6803</v>
      </c>
      <c r="G32">
        <v>1835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0.6</v>
      </c>
      <c r="Q32">
        <f t="shared" ref="Q32" si="136">F32*P32</f>
        <v>827.80817999999999</v>
      </c>
      <c r="R32">
        <f t="shared" ref="R32" si="137">R33+Q32</f>
        <v>-43947.521713868693</v>
      </c>
      <c r="S32">
        <f t="shared" ref="S32" si="138">R32/100000</f>
        <v>-0.43947521713868692</v>
      </c>
      <c r="T32">
        <f t="shared" ref="T32" si="139">S32/1000</f>
        <v>-4.394752171386869E-4</v>
      </c>
    </row>
    <row r="33" spans="1:20" x14ac:dyDescent="0.25">
      <c r="A33" s="5">
        <v>44560</v>
      </c>
      <c r="B33">
        <v>1812</v>
      </c>
      <c r="C33">
        <v>1826</v>
      </c>
      <c r="D33">
        <v>1802</v>
      </c>
      <c r="E33">
        <v>1824</v>
      </c>
      <c r="F33">
        <v>1749.4993999999999</v>
      </c>
      <c r="G33">
        <v>1824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0.83333333333333337</v>
      </c>
      <c r="Q33">
        <f t="shared" ref="Q33" si="141">F33*P33</f>
        <v>1457.9161666666666</v>
      </c>
      <c r="R33">
        <f t="shared" ref="R33" si="142">R34+Q33</f>
        <v>-44775.329893868693</v>
      </c>
      <c r="S33">
        <f t="shared" ref="S33" si="143">R33/100000</f>
        <v>-0.44775329893868693</v>
      </c>
      <c r="T33">
        <f t="shared" ref="T33" si="144">S33/1000</f>
        <v>-4.4775329893868691E-4</v>
      </c>
    </row>
    <row r="34" spans="1:20" x14ac:dyDescent="0.25">
      <c r="A34" s="5">
        <v>44559</v>
      </c>
      <c r="B34">
        <v>1812</v>
      </c>
      <c r="C34">
        <v>1819</v>
      </c>
      <c r="D34">
        <v>1797</v>
      </c>
      <c r="E34">
        <v>1812</v>
      </c>
      <c r="F34">
        <v>1896.0785000000001</v>
      </c>
      <c r="G34">
        <v>1812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0.36363636363636365</v>
      </c>
      <c r="Q34">
        <f t="shared" ref="Q34" si="146">F34*P34</f>
        <v>689.48309090909095</v>
      </c>
      <c r="R34">
        <f t="shared" ref="R34" si="147">R35+Q34</f>
        <v>-46233.246060535363</v>
      </c>
      <c r="S34">
        <f t="shared" ref="S34" si="148">R34/100000</f>
        <v>-0.4623324606053536</v>
      </c>
      <c r="T34">
        <f t="shared" ref="T34" si="149">S34/1000</f>
        <v>-4.6233246060535359E-4</v>
      </c>
    </row>
    <row r="35" spans="1:20" x14ac:dyDescent="0.25">
      <c r="A35" s="5">
        <v>44558</v>
      </c>
      <c r="B35">
        <v>1818</v>
      </c>
      <c r="C35">
        <v>1826</v>
      </c>
      <c r="D35">
        <v>1808</v>
      </c>
      <c r="E35">
        <v>1812</v>
      </c>
      <c r="F35">
        <v>2167.6559999999999</v>
      </c>
      <c r="G35">
        <v>1812</v>
      </c>
      <c r="L35" t="s">
        <v>8</v>
      </c>
      <c r="M35" t="s">
        <v>7</v>
      </c>
      <c r="N35" t="s">
        <v>8</v>
      </c>
      <c r="P35">
        <f t="shared" ref="P35" si="150">IF(C35=D35,0,((E35-D35)-(C35-E35))/(C35-D35))</f>
        <v>-0.55555555555555558</v>
      </c>
      <c r="Q35">
        <f t="shared" ref="Q35" si="151">F35*P35</f>
        <v>-1204.2533333333333</v>
      </c>
      <c r="R35">
        <f t="shared" ref="R35" si="152">R36+Q35</f>
        <v>-46922.729151444451</v>
      </c>
      <c r="S35">
        <f t="shared" ref="S35" si="153">R35/100000</f>
        <v>-0.46922729151444453</v>
      </c>
      <c r="T35">
        <f t="shared" ref="T35" si="154">S35/1000</f>
        <v>-4.6922729151444454E-4</v>
      </c>
    </row>
    <row r="36" spans="1:20" x14ac:dyDescent="0.25">
      <c r="A36" s="5">
        <v>44557</v>
      </c>
      <c r="B36">
        <v>1814</v>
      </c>
      <c r="C36">
        <v>1825</v>
      </c>
      <c r="D36">
        <v>1808</v>
      </c>
      <c r="E36">
        <v>1819</v>
      </c>
      <c r="F36">
        <v>1193.0188000000001</v>
      </c>
      <c r="G36">
        <v>1819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0.29411764705882354</v>
      </c>
      <c r="Q36">
        <f t="shared" ref="Q36" si="156">F36*P36</f>
        <v>350.88788235294118</v>
      </c>
      <c r="R36">
        <f t="shared" ref="R36" si="157">R37+Q36</f>
        <v>-45718.475818111117</v>
      </c>
      <c r="S36">
        <f t="shared" ref="S36" si="158">R36/100000</f>
        <v>-0.45718475818111115</v>
      </c>
      <c r="T36">
        <f t="shared" ref="T36" si="159">S36/1000</f>
        <v>-4.5718475818111117E-4</v>
      </c>
    </row>
    <row r="37" spans="1:20" x14ac:dyDescent="0.25">
      <c r="A37" s="5">
        <v>44556</v>
      </c>
      <c r="B37">
        <v>1817</v>
      </c>
      <c r="C37">
        <v>1821</v>
      </c>
      <c r="D37">
        <v>1809</v>
      </c>
      <c r="E37">
        <v>1814</v>
      </c>
      <c r="F37">
        <v>1093.2411999999999</v>
      </c>
      <c r="G37">
        <v>1814</v>
      </c>
      <c r="L37" t="s">
        <v>8</v>
      </c>
      <c r="M37" t="s">
        <v>7</v>
      </c>
      <c r="N37" t="s">
        <v>8</v>
      </c>
      <c r="P37">
        <f t="shared" ref="P37" si="160">IF(C37=D37,0,((E37-D37)-(C37-E37))/(C37-D37))</f>
        <v>-0.16666666666666666</v>
      </c>
      <c r="Q37">
        <f t="shared" ref="Q37" si="161">F37*P37</f>
        <v>-182.20686666666666</v>
      </c>
      <c r="R37">
        <f t="shared" ref="R37" si="162">R38+Q37</f>
        <v>-46069.363700464055</v>
      </c>
      <c r="S37">
        <f t="shared" ref="S37" si="163">R37/100000</f>
        <v>-0.46069363700464055</v>
      </c>
      <c r="T37">
        <f t="shared" ref="T37" si="164">S37/1000</f>
        <v>-4.6069363700464058E-4</v>
      </c>
    </row>
    <row r="38" spans="1:20" x14ac:dyDescent="0.25">
      <c r="A38" s="5">
        <v>44555</v>
      </c>
      <c r="B38">
        <v>1817</v>
      </c>
      <c r="C38">
        <v>1818</v>
      </c>
      <c r="D38">
        <v>1813</v>
      </c>
      <c r="E38">
        <v>1816</v>
      </c>
      <c r="F38">
        <v>722.64689999999996</v>
      </c>
      <c r="G38">
        <v>1816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0.2</v>
      </c>
      <c r="Q38">
        <f t="shared" ref="Q38" si="166">F38*P38</f>
        <v>144.52938</v>
      </c>
      <c r="R38">
        <f t="shared" ref="R38" si="167">R39+Q38</f>
        <v>-45887.156833797388</v>
      </c>
      <c r="S38">
        <f t="shared" ref="S38" si="168">R38/100000</f>
        <v>-0.45887156833797388</v>
      </c>
      <c r="T38">
        <f t="shared" ref="T38" si="169">S38/1000</f>
        <v>-4.5887156833797387E-4</v>
      </c>
    </row>
    <row r="39" spans="1:20" x14ac:dyDescent="0.25">
      <c r="A39" s="5">
        <v>44554</v>
      </c>
      <c r="B39">
        <v>1816</v>
      </c>
      <c r="C39">
        <v>1817</v>
      </c>
      <c r="D39">
        <v>1804</v>
      </c>
      <c r="E39">
        <v>1817</v>
      </c>
      <c r="F39">
        <v>1815.2227</v>
      </c>
      <c r="G39">
        <v>1817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1</v>
      </c>
      <c r="Q39">
        <f t="shared" ref="Q39" si="171">F39*P39</f>
        <v>1815.2227</v>
      </c>
      <c r="R39">
        <f t="shared" ref="R39" si="172">R40+Q39</f>
        <v>-46031.686213797388</v>
      </c>
      <c r="S39">
        <f t="shared" ref="S39" si="173">R39/100000</f>
        <v>-0.4603168621379739</v>
      </c>
      <c r="T39">
        <f t="shared" ref="T39" si="174">S39/1000</f>
        <v>-4.6031686213797392E-4</v>
      </c>
    </row>
    <row r="40" spans="1:20" x14ac:dyDescent="0.25">
      <c r="A40" s="5">
        <v>44553</v>
      </c>
      <c r="B40">
        <v>1806</v>
      </c>
      <c r="C40">
        <v>1819</v>
      </c>
      <c r="D40">
        <v>1802</v>
      </c>
      <c r="E40">
        <v>1815</v>
      </c>
      <c r="F40">
        <v>2082.7826</v>
      </c>
      <c r="G40">
        <v>1815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0.52941176470588236</v>
      </c>
      <c r="Q40">
        <f t="shared" ref="Q40" si="176">F40*P40</f>
        <v>1102.6496117647059</v>
      </c>
      <c r="R40">
        <f t="shared" ref="R40" si="177">R41+Q40</f>
        <v>-47846.908913797386</v>
      </c>
      <c r="S40">
        <f t="shared" ref="S40" si="178">R40/100000</f>
        <v>-0.47846908913797387</v>
      </c>
      <c r="T40">
        <f t="shared" ref="T40" si="179">S40/1000</f>
        <v>-4.7846908913797389E-4</v>
      </c>
    </row>
    <row r="41" spans="1:20" x14ac:dyDescent="0.25">
      <c r="A41" s="5">
        <v>44552</v>
      </c>
      <c r="B41">
        <v>1794</v>
      </c>
      <c r="C41">
        <v>1812</v>
      </c>
      <c r="D41">
        <v>1781</v>
      </c>
      <c r="E41">
        <v>1807</v>
      </c>
      <c r="F41">
        <v>2166.2399</v>
      </c>
      <c r="G41">
        <v>1807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0.67741935483870963</v>
      </c>
      <c r="Q41">
        <f t="shared" ref="Q41" si="181">F41*P41</f>
        <v>1467.4528354838708</v>
      </c>
      <c r="R41">
        <f t="shared" ref="R41" si="182">R42+Q41</f>
        <v>-48949.55852556209</v>
      </c>
      <c r="S41">
        <f t="shared" ref="S41" si="183">R41/100000</f>
        <v>-0.48949558525562092</v>
      </c>
      <c r="T41">
        <f t="shared" ref="T41" si="184">S41/1000</f>
        <v>-4.8949558525562093E-4</v>
      </c>
    </row>
    <row r="42" spans="1:20" x14ac:dyDescent="0.25">
      <c r="A42" s="5">
        <v>44551</v>
      </c>
      <c r="B42">
        <v>1800</v>
      </c>
      <c r="C42">
        <v>1806</v>
      </c>
      <c r="D42">
        <v>1785</v>
      </c>
      <c r="E42">
        <v>1796</v>
      </c>
      <c r="F42">
        <v>2473.9265</v>
      </c>
      <c r="G42">
        <v>1796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4.7619047619047616E-2</v>
      </c>
      <c r="Q42">
        <f t="shared" ref="Q42" si="186">F42*P42</f>
        <v>117.80602380952381</v>
      </c>
      <c r="R42">
        <f t="shared" ref="R42" si="187">R43+Q42</f>
        <v>-50417.011361045959</v>
      </c>
      <c r="S42">
        <f t="shared" ref="S42" si="188">R42/100000</f>
        <v>-0.5041701136104596</v>
      </c>
      <c r="T42">
        <f t="shared" ref="T42" si="189">S42/1000</f>
        <v>-5.0417011361045966E-4</v>
      </c>
    </row>
    <row r="43" spans="1:20" x14ac:dyDescent="0.25">
      <c r="A43" s="5">
        <v>44550</v>
      </c>
      <c r="B43">
        <v>1803</v>
      </c>
      <c r="C43">
        <v>1814</v>
      </c>
      <c r="D43">
        <v>1793</v>
      </c>
      <c r="E43">
        <v>1799</v>
      </c>
      <c r="F43">
        <v>2231.4589000000001</v>
      </c>
      <c r="G43">
        <v>1799</v>
      </c>
      <c r="L43" t="s">
        <v>8</v>
      </c>
      <c r="M43" t="s">
        <v>7</v>
      </c>
      <c r="N43" t="s">
        <v>8</v>
      </c>
      <c r="P43">
        <f t="shared" ref="P43" si="190">IF(C43=D43,0,((E43-D43)-(C43-E43))/(C43-D43))</f>
        <v>-0.42857142857142855</v>
      </c>
      <c r="Q43">
        <f t="shared" ref="Q43" si="191">F43*P43</f>
        <v>-956.33952857142856</v>
      </c>
      <c r="R43">
        <f t="shared" ref="R43" si="192">R44+Q43</f>
        <v>-50534.81738485548</v>
      </c>
      <c r="S43">
        <f t="shared" ref="S43" si="193">R43/100000</f>
        <v>-0.50534817384855479</v>
      </c>
      <c r="T43">
        <f t="shared" ref="T43" si="194">S43/1000</f>
        <v>-5.0534817384855477E-4</v>
      </c>
    </row>
    <row r="44" spans="1:20" x14ac:dyDescent="0.25">
      <c r="A44" s="5">
        <v>44549</v>
      </c>
      <c r="B44">
        <v>1803</v>
      </c>
      <c r="C44">
        <v>1810</v>
      </c>
      <c r="D44">
        <v>1796</v>
      </c>
      <c r="E44">
        <v>1804</v>
      </c>
      <c r="F44">
        <v>1480.4522999999999</v>
      </c>
      <c r="G44">
        <v>1804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0.14285714285714285</v>
      </c>
      <c r="Q44">
        <f t="shared" ref="Q44" si="196">F44*P44</f>
        <v>211.49318571428569</v>
      </c>
      <c r="R44">
        <f t="shared" ref="R44" si="197">R45+Q44</f>
        <v>-49578.477856284051</v>
      </c>
      <c r="S44">
        <f t="shared" ref="S44" si="198">R44/100000</f>
        <v>-0.49578477856284053</v>
      </c>
      <c r="T44">
        <f t="shared" ref="T44" si="199">S44/1000</f>
        <v>-4.9578477856284048E-4</v>
      </c>
    </row>
    <row r="45" spans="1:20" x14ac:dyDescent="0.25">
      <c r="A45" s="5">
        <v>44548</v>
      </c>
      <c r="B45">
        <v>1804</v>
      </c>
      <c r="C45">
        <v>1811</v>
      </c>
      <c r="D45">
        <v>1799</v>
      </c>
      <c r="E45">
        <v>1803</v>
      </c>
      <c r="F45">
        <v>1436.3936000000001</v>
      </c>
      <c r="G45">
        <v>1803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-0.33333333333333331</v>
      </c>
      <c r="Q45">
        <f t="shared" ref="Q45" si="201">F45*P45</f>
        <v>-478.79786666666666</v>
      </c>
      <c r="R45">
        <f t="shared" ref="R45" si="202">R46+Q45</f>
        <v>-49789.971041998338</v>
      </c>
      <c r="S45">
        <f t="shared" ref="S45" si="203">R45/100000</f>
        <v>-0.49789971041998338</v>
      </c>
      <c r="T45">
        <f t="shared" ref="T45" si="204">S45/1000</f>
        <v>-4.9789971041998336E-4</v>
      </c>
    </row>
    <row r="46" spans="1:20" x14ac:dyDescent="0.25">
      <c r="A46" s="5">
        <v>44547</v>
      </c>
      <c r="B46">
        <v>1800</v>
      </c>
      <c r="C46">
        <v>1828</v>
      </c>
      <c r="D46">
        <v>1798</v>
      </c>
      <c r="E46">
        <v>1804</v>
      </c>
      <c r="F46">
        <v>4704.8730999999998</v>
      </c>
      <c r="G46">
        <v>1804</v>
      </c>
      <c r="L46" t="s">
        <v>8</v>
      </c>
      <c r="M46" t="s">
        <v>7</v>
      </c>
      <c r="N46" t="s">
        <v>8</v>
      </c>
      <c r="P46">
        <f t="shared" ref="P46" si="205">IF(C46=D46,0,((E46-D46)-(C46-E46))/(C46-D46))</f>
        <v>-0.6</v>
      </c>
      <c r="Q46">
        <f t="shared" ref="Q46" si="206">F46*P46</f>
        <v>-2822.9238599999999</v>
      </c>
      <c r="R46">
        <f t="shared" ref="R46" si="207">R47+Q46</f>
        <v>-49311.173175331671</v>
      </c>
      <c r="S46">
        <f t="shared" ref="S46" si="208">R46/100000</f>
        <v>-0.49311173175331668</v>
      </c>
      <c r="T46">
        <f t="shared" ref="T46" si="209">S46/1000</f>
        <v>-4.9311173175331665E-4</v>
      </c>
    </row>
    <row r="47" spans="1:20" x14ac:dyDescent="0.25">
      <c r="A47" s="5">
        <v>44546</v>
      </c>
      <c r="B47">
        <v>1779</v>
      </c>
      <c r="C47">
        <v>1803</v>
      </c>
      <c r="D47">
        <v>1775</v>
      </c>
      <c r="E47">
        <v>1800</v>
      </c>
      <c r="F47">
        <v>2037.9039</v>
      </c>
      <c r="G47">
        <v>1800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0.7857142857142857</v>
      </c>
      <c r="Q47">
        <f t="shared" ref="Q47" si="211">F47*P47</f>
        <v>1601.2102071428571</v>
      </c>
      <c r="R47">
        <f t="shared" ref="R47" si="212">R48+Q47</f>
        <v>-46488.249315331668</v>
      </c>
      <c r="S47">
        <f t="shared" ref="S47" si="213">R47/100000</f>
        <v>-0.4648824931533167</v>
      </c>
      <c r="T47">
        <f t="shared" ref="T47" si="214">S47/1000</f>
        <v>-4.648824931533167E-4</v>
      </c>
    </row>
    <row r="48" spans="1:20" x14ac:dyDescent="0.25">
      <c r="A48" s="5">
        <v>44545</v>
      </c>
      <c r="B48">
        <v>1775</v>
      </c>
      <c r="C48">
        <v>1787</v>
      </c>
      <c r="D48">
        <v>1759</v>
      </c>
      <c r="E48">
        <v>1779</v>
      </c>
      <c r="F48">
        <v>2661.8150000000001</v>
      </c>
      <c r="G48">
        <v>1779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0.42857142857142855</v>
      </c>
      <c r="Q48">
        <f t="shared" ref="Q48" si="216">F48*P48</f>
        <v>1140.7778571428571</v>
      </c>
      <c r="R48">
        <f t="shared" ref="R48" si="217">R49+Q48</f>
        <v>-48089.459522474528</v>
      </c>
      <c r="S48">
        <f t="shared" ref="S48" si="218">R48/100000</f>
        <v>-0.48089459522474526</v>
      </c>
      <c r="T48">
        <f t="shared" ref="T48" si="219">S48/1000</f>
        <v>-4.8089459522474525E-4</v>
      </c>
    </row>
    <row r="49" spans="1:20" x14ac:dyDescent="0.25">
      <c r="A49" s="5">
        <v>44544</v>
      </c>
      <c r="B49">
        <v>1789</v>
      </c>
      <c r="C49">
        <v>1797</v>
      </c>
      <c r="D49">
        <v>1769</v>
      </c>
      <c r="E49">
        <v>1775</v>
      </c>
      <c r="F49">
        <v>2815.4706999999999</v>
      </c>
      <c r="G49">
        <v>1775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-0.5714285714285714</v>
      </c>
      <c r="Q49">
        <f t="shared" ref="Q49" si="221">F49*P49</f>
        <v>-1608.8403999999998</v>
      </c>
      <c r="R49">
        <f t="shared" ref="R49" si="222">R50+Q49</f>
        <v>-49230.237379617385</v>
      </c>
      <c r="S49">
        <f t="shared" ref="S49" si="223">R49/100000</f>
        <v>-0.49230237379617386</v>
      </c>
      <c r="T49">
        <f t="shared" ref="T49" si="224">S49/1000</f>
        <v>-4.9230237379617383E-4</v>
      </c>
    </row>
    <row r="50" spans="1:20" x14ac:dyDescent="0.25">
      <c r="A50" s="5">
        <v>44543</v>
      </c>
      <c r="B50">
        <v>1784</v>
      </c>
      <c r="C50">
        <v>1796</v>
      </c>
      <c r="D50">
        <v>1782</v>
      </c>
      <c r="E50">
        <v>1789</v>
      </c>
      <c r="F50">
        <v>2280.9279999999999</v>
      </c>
      <c r="G50">
        <v>1789</v>
      </c>
      <c r="L50" t="s">
        <v>8</v>
      </c>
      <c r="M50" t="s">
        <v>7</v>
      </c>
      <c r="N50" t="s">
        <v>8</v>
      </c>
      <c r="P50">
        <f t="shared" ref="P50" si="225">IF(C50=D50,0,((E50-D50)-(C50-E50))/(C50-D50))</f>
        <v>0</v>
      </c>
      <c r="Q50">
        <f t="shared" ref="Q50" si="226">F50*P50</f>
        <v>0</v>
      </c>
      <c r="R50">
        <f t="shared" ref="R50" si="227">R51+Q50</f>
        <v>-47621.396979617384</v>
      </c>
      <c r="S50">
        <f t="shared" ref="S50" si="228">R50/100000</f>
        <v>-0.47621396979617386</v>
      </c>
      <c r="T50">
        <f t="shared" ref="T50" si="229">S50/1000</f>
        <v>-4.7621396979617388E-4</v>
      </c>
    </row>
    <row r="51" spans="1:20" x14ac:dyDescent="0.25">
      <c r="A51" s="5">
        <v>44542</v>
      </c>
      <c r="B51">
        <v>1784</v>
      </c>
      <c r="C51">
        <v>1786</v>
      </c>
      <c r="D51">
        <v>1778</v>
      </c>
      <c r="E51">
        <v>1784</v>
      </c>
      <c r="F51">
        <v>701.57119999999998</v>
      </c>
      <c r="G51">
        <v>1784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0.5</v>
      </c>
      <c r="Q51">
        <f t="shared" ref="Q51" si="231">F51*P51</f>
        <v>350.78559999999999</v>
      </c>
      <c r="R51">
        <f t="shared" ref="R51" si="232">R52+Q51</f>
        <v>-47621.396979617384</v>
      </c>
      <c r="S51">
        <f t="shared" ref="S51" si="233">R51/100000</f>
        <v>-0.47621396979617386</v>
      </c>
      <c r="T51">
        <f t="shared" ref="T51" si="234">S51/1000</f>
        <v>-4.7621396979617388E-4</v>
      </c>
    </row>
    <row r="52" spans="1:20" x14ac:dyDescent="0.25">
      <c r="A52" s="5">
        <v>44541</v>
      </c>
      <c r="B52">
        <v>1783</v>
      </c>
      <c r="C52">
        <v>1786</v>
      </c>
      <c r="D52">
        <v>1780</v>
      </c>
      <c r="E52">
        <v>1785</v>
      </c>
      <c r="F52">
        <v>106.6211</v>
      </c>
      <c r="G52">
        <v>1785</v>
      </c>
      <c r="L52" t="s">
        <v>8</v>
      </c>
      <c r="M52" t="s">
        <v>7</v>
      </c>
      <c r="N52" t="s">
        <v>8</v>
      </c>
      <c r="P52">
        <f t="shared" ref="P52" si="235">IF(C52=D52,0,((E52-D52)-(C52-E52))/(C52-D52))</f>
        <v>0.66666666666666663</v>
      </c>
      <c r="Q52">
        <f t="shared" ref="Q52" si="236">F52*P52</f>
        <v>71.080733333333328</v>
      </c>
      <c r="R52">
        <f t="shared" ref="R52" si="237">R53+Q52</f>
        <v>-47972.182579617387</v>
      </c>
      <c r="S52">
        <f t="shared" ref="S52" si="238">R52/100000</f>
        <v>-0.4797218257961739</v>
      </c>
      <c r="T52">
        <f t="shared" ref="T52" si="239">S52/1000</f>
        <v>-4.7972182579617391E-4</v>
      </c>
    </row>
    <row r="53" spans="1:20" x14ac:dyDescent="0.25">
      <c r="A53" s="5">
        <v>44540</v>
      </c>
      <c r="B53">
        <v>1774</v>
      </c>
      <c r="C53">
        <v>1797</v>
      </c>
      <c r="D53">
        <v>1768</v>
      </c>
      <c r="E53">
        <v>1783</v>
      </c>
      <c r="F53">
        <v>2480.1305000000002</v>
      </c>
      <c r="G53">
        <v>1783</v>
      </c>
      <c r="L53" t="s">
        <v>8</v>
      </c>
      <c r="M53" t="s">
        <v>7</v>
      </c>
      <c r="N53" t="s">
        <v>8</v>
      </c>
      <c r="P53">
        <f t="shared" ref="P53" si="240">IF(C53=D53,0,((E53-D53)-(C53-E53))/(C53-D53))</f>
        <v>3.4482758620689655E-2</v>
      </c>
      <c r="Q53">
        <f t="shared" ref="Q53" si="241">F53*P53</f>
        <v>85.521741379310356</v>
      </c>
      <c r="R53">
        <f t="shared" ref="R53" si="242">R54+Q53</f>
        <v>-48043.263312950723</v>
      </c>
      <c r="S53">
        <f t="shared" ref="S53" si="243">R53/100000</f>
        <v>-0.48043263312950724</v>
      </c>
      <c r="T53">
        <f t="shared" ref="T53" si="244">S53/1000</f>
        <v>-4.8043263312950725E-4</v>
      </c>
    </row>
    <row r="54" spans="1:20" x14ac:dyDescent="0.25">
      <c r="A54" s="5">
        <v>44539</v>
      </c>
      <c r="B54">
        <v>1786</v>
      </c>
      <c r="C54">
        <v>1793</v>
      </c>
      <c r="D54">
        <v>1770</v>
      </c>
      <c r="E54">
        <v>1774</v>
      </c>
      <c r="F54">
        <v>2512.8013999999998</v>
      </c>
      <c r="G54">
        <v>1774</v>
      </c>
      <c r="L54" t="s">
        <v>8</v>
      </c>
      <c r="M54" t="s">
        <v>7</v>
      </c>
      <c r="N54" t="s">
        <v>8</v>
      </c>
      <c r="P54">
        <f t="shared" ref="P54" si="245">IF(C54=D54,0,((E54-D54)-(C54-E54))/(C54-D54))</f>
        <v>-0.65217391304347827</v>
      </c>
      <c r="Q54">
        <f t="shared" ref="Q54" si="246">F54*P54</f>
        <v>-1638.7835217391303</v>
      </c>
      <c r="R54">
        <f t="shared" ref="R54" si="247">R55+Q54</f>
        <v>-48128.78505433003</v>
      </c>
      <c r="S54">
        <f t="shared" ref="S54" si="248">R54/100000</f>
        <v>-0.48128785054330031</v>
      </c>
      <c r="T54">
        <f t="shared" ref="T54" si="249">S54/1000</f>
        <v>-4.8128785054330029E-4</v>
      </c>
    </row>
    <row r="55" spans="1:20" x14ac:dyDescent="0.25">
      <c r="A55" s="5">
        <v>44538</v>
      </c>
      <c r="B55">
        <v>1789</v>
      </c>
      <c r="C55">
        <v>1800</v>
      </c>
      <c r="D55">
        <v>1780</v>
      </c>
      <c r="E55">
        <v>1785</v>
      </c>
      <c r="F55">
        <v>1741.6706999999999</v>
      </c>
      <c r="G55">
        <v>1785</v>
      </c>
      <c r="L55" t="s">
        <v>8</v>
      </c>
      <c r="M55" t="s">
        <v>7</v>
      </c>
      <c r="N55" t="s">
        <v>8</v>
      </c>
      <c r="P55">
        <f t="shared" ref="P55" si="250">IF(C55=D55,0,((E55-D55)-(C55-E55))/(C55-D55))</f>
        <v>-0.5</v>
      </c>
      <c r="Q55">
        <f t="shared" ref="Q55" si="251">F55*P55</f>
        <v>-870.83534999999995</v>
      </c>
      <c r="R55">
        <f t="shared" ref="R55" si="252">R56+Q55</f>
        <v>-46490.001532590897</v>
      </c>
      <c r="S55">
        <f t="shared" ref="S55" si="253">R55/100000</f>
        <v>-0.46490001532590897</v>
      </c>
      <c r="T55">
        <f t="shared" ref="T55" si="254">S55/1000</f>
        <v>-4.6490001532590897E-4</v>
      </c>
    </row>
    <row r="56" spans="1:20" x14ac:dyDescent="0.25">
      <c r="A56" s="5">
        <v>44537</v>
      </c>
      <c r="B56">
        <v>1783</v>
      </c>
      <c r="C56">
        <v>1799</v>
      </c>
      <c r="D56">
        <v>1774</v>
      </c>
      <c r="E56">
        <v>1789</v>
      </c>
      <c r="F56">
        <v>1722.8444</v>
      </c>
      <c r="G56">
        <v>1789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0.2</v>
      </c>
      <c r="Q56">
        <f t="shared" ref="Q56" si="256">F56*P56</f>
        <v>344.56888000000004</v>
      </c>
      <c r="R56">
        <f t="shared" ref="R56" si="257">R57+Q56</f>
        <v>-45619.166182590896</v>
      </c>
      <c r="S56">
        <f t="shared" ref="S56" si="258">R56/100000</f>
        <v>-0.45619166182590898</v>
      </c>
      <c r="T56">
        <f t="shared" ref="T56" si="259">S56/1000</f>
        <v>-4.5619166182590896E-4</v>
      </c>
    </row>
    <row r="57" spans="1:20" x14ac:dyDescent="0.25">
      <c r="A57" s="5">
        <v>44536</v>
      </c>
      <c r="B57">
        <v>1784</v>
      </c>
      <c r="C57">
        <v>1799</v>
      </c>
      <c r="D57">
        <v>1776</v>
      </c>
      <c r="E57">
        <v>1785</v>
      </c>
      <c r="F57">
        <v>3207.4504999999999</v>
      </c>
      <c r="G57">
        <v>1785</v>
      </c>
      <c r="L57" t="s">
        <v>8</v>
      </c>
      <c r="M57" t="s">
        <v>7</v>
      </c>
      <c r="N57" t="s">
        <v>8</v>
      </c>
      <c r="P57">
        <f t="shared" ref="P57" si="260">IF(C57=D57,0,((E57-D57)-(C57-E57))/(C57-D57))</f>
        <v>-0.21739130434782608</v>
      </c>
      <c r="Q57">
        <f t="shared" ref="Q57" si="261">F57*P57</f>
        <v>-697.27184782608697</v>
      </c>
      <c r="R57">
        <f t="shared" ref="R57" si="262">R58+Q57</f>
        <v>-45963.735062590895</v>
      </c>
      <c r="S57">
        <f t="shared" ref="S57" si="263">R57/100000</f>
        <v>-0.45963735062590894</v>
      </c>
      <c r="T57">
        <f t="shared" ref="T57" si="264">S57/1000</f>
        <v>-4.5963735062590894E-4</v>
      </c>
    </row>
    <row r="58" spans="1:20" x14ac:dyDescent="0.25">
      <c r="A58" s="5">
        <v>44535</v>
      </c>
      <c r="B58">
        <v>1780</v>
      </c>
      <c r="C58">
        <v>1790</v>
      </c>
      <c r="D58">
        <v>1770</v>
      </c>
      <c r="E58">
        <v>1783</v>
      </c>
      <c r="F58">
        <v>3064.8049999999998</v>
      </c>
      <c r="G58">
        <v>1783</v>
      </c>
      <c r="L58" t="s">
        <v>8</v>
      </c>
      <c r="M58" t="s">
        <v>7</v>
      </c>
      <c r="N58" t="s">
        <v>8</v>
      </c>
      <c r="P58">
        <f t="shared" ref="P58" si="265">IF(C58=D58,0,((E58-D58)-(C58-E58))/(C58-D58))</f>
        <v>0.3</v>
      </c>
      <c r="Q58">
        <f t="shared" ref="Q58" si="266">F58*P58</f>
        <v>919.44149999999991</v>
      </c>
      <c r="R58">
        <f t="shared" ref="R58" si="267">R59+Q58</f>
        <v>-45266.463214764808</v>
      </c>
      <c r="S58">
        <f t="shared" ref="S58" si="268">R58/100000</f>
        <v>-0.45266463214764807</v>
      </c>
      <c r="T58">
        <f t="shared" ref="T58" si="269">S58/1000</f>
        <v>-4.5266463214764806E-4</v>
      </c>
    </row>
    <row r="59" spans="1:20" x14ac:dyDescent="0.25">
      <c r="A59" s="5">
        <v>44534</v>
      </c>
      <c r="B59">
        <v>1782</v>
      </c>
      <c r="C59">
        <v>1789</v>
      </c>
      <c r="D59">
        <v>1760</v>
      </c>
      <c r="E59">
        <v>1781</v>
      </c>
      <c r="F59">
        <v>7192.1976000000004</v>
      </c>
      <c r="G59">
        <v>1781</v>
      </c>
      <c r="L59" t="s">
        <v>8</v>
      </c>
      <c r="M59" t="s">
        <v>7</v>
      </c>
      <c r="N59" t="s">
        <v>8</v>
      </c>
      <c r="P59">
        <f t="shared" ref="P59" si="270">IF(C59=D59,0,((E59-D59)-(C59-E59))/(C59-D59))</f>
        <v>0.44827586206896552</v>
      </c>
      <c r="Q59">
        <f t="shared" ref="Q59" si="271">F59*P59</f>
        <v>3224.0885793103453</v>
      </c>
      <c r="R59">
        <f t="shared" ref="R59" si="272">R60+Q59</f>
        <v>-46185.904714764809</v>
      </c>
      <c r="S59">
        <f t="shared" ref="S59" si="273">R59/100000</f>
        <v>-0.46185904714764808</v>
      </c>
      <c r="T59">
        <f t="shared" ref="T59" si="274">S59/1000</f>
        <v>-4.618590471476481E-4</v>
      </c>
    </row>
    <row r="60" spans="1:20" x14ac:dyDescent="0.25">
      <c r="A60" s="5">
        <v>44533</v>
      </c>
      <c r="B60">
        <v>1773</v>
      </c>
      <c r="C60">
        <v>1790</v>
      </c>
      <c r="D60">
        <v>1763</v>
      </c>
      <c r="E60">
        <v>1781</v>
      </c>
      <c r="F60">
        <v>3905.0493000000001</v>
      </c>
      <c r="G60">
        <v>1781</v>
      </c>
      <c r="L60" t="s">
        <v>8</v>
      </c>
      <c r="M60" t="s">
        <v>7</v>
      </c>
      <c r="N60" t="s">
        <v>8</v>
      </c>
      <c r="P60">
        <f t="shared" ref="P60" si="275">IF(C60=D60,0,((E60-D60)-(C60-E60))/(C60-D60))</f>
        <v>0.33333333333333331</v>
      </c>
      <c r="Q60">
        <f t="shared" ref="Q60" si="276">F60*P60</f>
        <v>1301.6831</v>
      </c>
      <c r="R60">
        <f t="shared" ref="R60" si="277">R61+Q60</f>
        <v>-49409.993294075153</v>
      </c>
      <c r="S60">
        <f t="shared" ref="S60" si="278">R60/100000</f>
        <v>-0.49409993294075155</v>
      </c>
      <c r="T60">
        <f t="shared" ref="T60" si="279">S60/1000</f>
        <v>-4.9409993294075158E-4</v>
      </c>
    </row>
    <row r="61" spans="1:20" x14ac:dyDescent="0.25">
      <c r="A61" s="5">
        <v>44532</v>
      </c>
      <c r="B61">
        <v>1784</v>
      </c>
      <c r="C61">
        <v>1785</v>
      </c>
      <c r="D61">
        <v>1760</v>
      </c>
      <c r="E61">
        <v>1772</v>
      </c>
      <c r="F61">
        <v>2320.6727000000001</v>
      </c>
      <c r="G61">
        <v>1772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-0.04</v>
      </c>
      <c r="Q61">
        <f t="shared" ref="Q61" si="281">F61*P61</f>
        <v>-92.826908000000003</v>
      </c>
      <c r="R61">
        <f t="shared" ref="R61" si="282">R62+Q61</f>
        <v>-50711.676394075155</v>
      </c>
      <c r="S61">
        <f t="shared" ref="S61" si="283">R61/100000</f>
        <v>-0.50711676394075156</v>
      </c>
      <c r="T61">
        <f t="shared" ref="T61" si="284">S61/1000</f>
        <v>-5.0711676394075153E-4</v>
      </c>
    </row>
    <row r="62" spans="1:20" x14ac:dyDescent="0.25">
      <c r="A62" s="5">
        <v>44531</v>
      </c>
      <c r="B62">
        <v>1776</v>
      </c>
      <c r="C62">
        <v>1795</v>
      </c>
      <c r="D62">
        <v>1774</v>
      </c>
      <c r="E62">
        <v>1784</v>
      </c>
      <c r="F62">
        <v>2184.7334999999998</v>
      </c>
      <c r="G62">
        <v>1784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-4.7619047619047616E-2</v>
      </c>
      <c r="Q62">
        <f t="shared" ref="Q62" si="286">F62*P62</f>
        <v>-104.03492857142855</v>
      </c>
      <c r="R62">
        <f t="shared" ref="R62" si="287">R63+Q62</f>
        <v>-50618.849486075153</v>
      </c>
      <c r="S62">
        <f t="shared" ref="S62" si="288">R62/100000</f>
        <v>-0.50618849486075157</v>
      </c>
      <c r="T62">
        <f t="shared" ref="T62" si="289">S62/1000</f>
        <v>-5.0618849486075152E-4</v>
      </c>
    </row>
    <row r="63" spans="1:20" x14ac:dyDescent="0.25">
      <c r="A63" s="5">
        <v>44530</v>
      </c>
      <c r="B63">
        <v>1789</v>
      </c>
      <c r="C63">
        <v>1817</v>
      </c>
      <c r="D63">
        <v>1769</v>
      </c>
      <c r="E63">
        <v>1776</v>
      </c>
      <c r="F63">
        <v>2516.2856000000002</v>
      </c>
      <c r="G63">
        <v>1776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-0.70833333333333337</v>
      </c>
      <c r="Q63">
        <f t="shared" ref="Q63" si="291">F63*P63</f>
        <v>-1782.3689666666669</v>
      </c>
      <c r="R63">
        <f t="shared" ref="R63" si="292">R64+Q63</f>
        <v>-50514.814557503727</v>
      </c>
      <c r="S63">
        <f t="shared" ref="S63" si="293">R63/100000</f>
        <v>-0.50514814557503729</v>
      </c>
      <c r="T63">
        <f t="shared" ref="T63" si="294">S63/1000</f>
        <v>-5.0514814557503724E-4</v>
      </c>
    </row>
    <row r="64" spans="1:20" x14ac:dyDescent="0.25">
      <c r="A64" s="5">
        <v>44529</v>
      </c>
      <c r="B64">
        <v>1794</v>
      </c>
      <c r="C64">
        <v>1799</v>
      </c>
      <c r="D64">
        <v>1783</v>
      </c>
      <c r="E64">
        <v>1789</v>
      </c>
      <c r="F64">
        <v>1474.5840000000001</v>
      </c>
      <c r="G64">
        <v>1789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-0.25</v>
      </c>
      <c r="Q64">
        <f t="shared" ref="Q64" si="296">F64*P64</f>
        <v>-368.64600000000002</v>
      </c>
      <c r="R64">
        <f t="shared" ref="R64" si="297">R65+Q64</f>
        <v>-48732.445590837058</v>
      </c>
      <c r="S64">
        <f t="shared" ref="S64" si="298">R64/100000</f>
        <v>-0.48732445590837059</v>
      </c>
      <c r="T64">
        <f t="shared" ref="T64" si="299">S64/1000</f>
        <v>-4.873244559083706E-4</v>
      </c>
    </row>
    <row r="65" spans="1:20" x14ac:dyDescent="0.25">
      <c r="A65" s="5">
        <v>44528</v>
      </c>
      <c r="B65">
        <v>1791</v>
      </c>
      <c r="C65">
        <v>1798</v>
      </c>
      <c r="D65">
        <v>1781</v>
      </c>
      <c r="E65">
        <v>1794</v>
      </c>
      <c r="F65">
        <v>1518.0349000000001</v>
      </c>
      <c r="G65">
        <v>1794</v>
      </c>
      <c r="L65" t="s">
        <v>8</v>
      </c>
      <c r="M65" t="s">
        <v>7</v>
      </c>
      <c r="N65" t="s">
        <v>8</v>
      </c>
      <c r="P65">
        <f t="shared" ref="P65" si="300">IF(C65=D65,0,((E65-D65)-(C65-E65))/(C65-D65))</f>
        <v>0.52941176470588236</v>
      </c>
      <c r="Q65">
        <f t="shared" ref="Q65" si="301">F65*P65</f>
        <v>803.66553529411772</v>
      </c>
      <c r="R65">
        <f t="shared" ref="R65" si="302">R66+Q65</f>
        <v>-48363.799590837058</v>
      </c>
      <c r="S65">
        <f t="shared" ref="S65" si="303">R65/100000</f>
        <v>-0.48363799590837059</v>
      </c>
      <c r="T65">
        <f t="shared" ref="T65" si="304">S65/1000</f>
        <v>-4.8363799590837061E-4</v>
      </c>
    </row>
    <row r="66" spans="1:20" x14ac:dyDescent="0.25">
      <c r="A66" s="5">
        <v>44527</v>
      </c>
      <c r="B66">
        <v>1795</v>
      </c>
      <c r="C66">
        <v>1799</v>
      </c>
      <c r="D66">
        <v>1788</v>
      </c>
      <c r="E66">
        <v>1792</v>
      </c>
      <c r="F66">
        <v>1160.2816</v>
      </c>
      <c r="G66">
        <v>1792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-0.27272727272727271</v>
      </c>
      <c r="Q66">
        <f t="shared" ref="Q66" si="306">F66*P66</f>
        <v>-316.44043636363637</v>
      </c>
      <c r="R66">
        <f t="shared" ref="R66" si="307">R67+Q66</f>
        <v>-49167.465126131174</v>
      </c>
      <c r="S66">
        <f t="shared" ref="S66" si="308">R66/100000</f>
        <v>-0.49167465126131171</v>
      </c>
      <c r="T66">
        <f t="shared" ref="T66" si="309">S66/1000</f>
        <v>-4.9167465126131169E-4</v>
      </c>
    </row>
    <row r="67" spans="1:20" x14ac:dyDescent="0.25">
      <c r="A67" s="5">
        <v>44526</v>
      </c>
      <c r="B67">
        <v>1796</v>
      </c>
      <c r="C67">
        <v>1818</v>
      </c>
      <c r="D67">
        <v>1783</v>
      </c>
      <c r="E67">
        <v>1795</v>
      </c>
      <c r="F67">
        <v>4586.8936999999996</v>
      </c>
      <c r="G67">
        <v>1795</v>
      </c>
      <c r="L67" t="s">
        <v>8</v>
      </c>
      <c r="M67" t="s">
        <v>7</v>
      </c>
      <c r="N67" t="s">
        <v>8</v>
      </c>
      <c r="P67">
        <f t="shared" ref="P67" si="310">IF(C67=D67,0,((E67-D67)-(C67-E67))/(C67-D67))</f>
        <v>-0.31428571428571428</v>
      </c>
      <c r="Q67">
        <f t="shared" ref="Q67" si="311">F67*P67</f>
        <v>-1441.5951628571427</v>
      </c>
      <c r="R67">
        <f t="shared" ref="R67" si="312">R68+Q67</f>
        <v>-48851.024689767539</v>
      </c>
      <c r="S67">
        <f t="shared" ref="S67" si="313">R67/100000</f>
        <v>-0.48851024689767542</v>
      </c>
      <c r="T67">
        <f t="shared" ref="T67" si="314">S67/1000</f>
        <v>-4.8851024689767542E-4</v>
      </c>
    </row>
    <row r="68" spans="1:20" x14ac:dyDescent="0.25">
      <c r="A68" s="5">
        <v>44525</v>
      </c>
      <c r="B68">
        <v>1792</v>
      </c>
      <c r="C68">
        <v>1798</v>
      </c>
      <c r="D68">
        <v>1787</v>
      </c>
      <c r="E68">
        <v>1796</v>
      </c>
      <c r="F68">
        <v>1271.8182999999999</v>
      </c>
      <c r="G68">
        <v>1796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0.63636363636363635</v>
      </c>
      <c r="Q68">
        <f t="shared" ref="Q68" si="316">F68*P68</f>
        <v>809.33891818181814</v>
      </c>
      <c r="R68">
        <f t="shared" ref="R68" si="317">R69+Q68</f>
        <v>-47409.429526910397</v>
      </c>
      <c r="S68">
        <f t="shared" ref="S68" si="318">R68/100000</f>
        <v>-0.47409429526910396</v>
      </c>
      <c r="T68">
        <f t="shared" ref="T68" si="319">S68/1000</f>
        <v>-4.7409429526910397E-4</v>
      </c>
    </row>
    <row r="69" spans="1:20" x14ac:dyDescent="0.25">
      <c r="A69" s="5">
        <v>44524</v>
      </c>
      <c r="B69">
        <v>1792</v>
      </c>
      <c r="C69">
        <v>1800</v>
      </c>
      <c r="D69">
        <v>1790</v>
      </c>
      <c r="E69">
        <v>1796</v>
      </c>
      <c r="F69">
        <v>398.68009999999998</v>
      </c>
      <c r="G69">
        <v>1796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0.2</v>
      </c>
      <c r="Q69">
        <f t="shared" ref="Q69" si="321">F69*P69</f>
        <v>79.736019999999996</v>
      </c>
      <c r="R69">
        <f t="shared" ref="R69" si="322">R70+Q69</f>
        <v>-48218.768445092217</v>
      </c>
      <c r="S69">
        <f t="shared" ref="S69" si="323">R69/100000</f>
        <v>-0.48218768445092219</v>
      </c>
      <c r="T69">
        <f t="shared" ref="T69" si="324">S69/1000</f>
        <v>-4.8218768445092218E-4</v>
      </c>
    </row>
    <row r="70" spans="1:20" x14ac:dyDescent="0.25">
      <c r="A70" s="5">
        <v>44523</v>
      </c>
      <c r="B70">
        <v>1811</v>
      </c>
      <c r="C70">
        <v>1819</v>
      </c>
      <c r="D70">
        <v>1783</v>
      </c>
      <c r="E70">
        <v>1792</v>
      </c>
      <c r="F70">
        <v>2928.9294</v>
      </c>
      <c r="G70">
        <v>1792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-0.5</v>
      </c>
      <c r="Q70">
        <f t="shared" ref="Q70" si="326">F70*P70</f>
        <v>-1464.4647</v>
      </c>
      <c r="R70">
        <f t="shared" ref="R70" si="327">R71+Q70</f>
        <v>-48298.504465092214</v>
      </c>
      <c r="S70">
        <f t="shared" ref="S70" si="328">R70/100000</f>
        <v>-0.48298504465092212</v>
      </c>
      <c r="T70">
        <f t="shared" ref="T70" si="329">S70/1000</f>
        <v>-4.8298504465092213E-4</v>
      </c>
    </row>
    <row r="71" spans="1:20" x14ac:dyDescent="0.25">
      <c r="A71" s="5">
        <v>44522</v>
      </c>
      <c r="B71">
        <v>1844</v>
      </c>
      <c r="C71">
        <v>1850</v>
      </c>
      <c r="D71">
        <v>1793</v>
      </c>
      <c r="E71">
        <v>1811</v>
      </c>
      <c r="F71">
        <v>3055.9465</v>
      </c>
      <c r="G71">
        <v>1811</v>
      </c>
      <c r="L71" t="s">
        <v>8</v>
      </c>
      <c r="M71" t="s">
        <v>7</v>
      </c>
      <c r="N71" t="s">
        <v>8</v>
      </c>
      <c r="P71">
        <f t="shared" ref="P71" si="330">IF(C71=D71,0,((E71-D71)-(C71-E71))/(C71-D71))</f>
        <v>-0.36842105263157893</v>
      </c>
      <c r="Q71">
        <f t="shared" ref="Q71" si="331">F71*P71</f>
        <v>-1125.8750263157895</v>
      </c>
      <c r="R71">
        <f t="shared" ref="R71" si="332">R72+Q71</f>
        <v>-46834.039765092217</v>
      </c>
      <c r="S71">
        <f t="shared" ref="S71" si="333">R71/100000</f>
        <v>-0.46834039765092217</v>
      </c>
      <c r="T71">
        <f t="shared" ref="T71" si="334">S71/1000</f>
        <v>-4.6834039765092215E-4</v>
      </c>
    </row>
    <row r="72" spans="1:20" x14ac:dyDescent="0.25">
      <c r="A72" s="5">
        <v>44521</v>
      </c>
      <c r="B72">
        <v>1844</v>
      </c>
      <c r="C72">
        <v>1852</v>
      </c>
      <c r="D72">
        <v>1840</v>
      </c>
      <c r="E72">
        <v>1843</v>
      </c>
      <c r="F72">
        <v>1296.1446000000001</v>
      </c>
      <c r="G72">
        <v>1843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-0.5</v>
      </c>
      <c r="Q72">
        <f t="shared" ref="Q72" si="336">F72*P72</f>
        <v>-648.07230000000004</v>
      </c>
      <c r="R72">
        <f t="shared" ref="R72" si="337">R73+Q72</f>
        <v>-45708.164738776424</v>
      </c>
      <c r="S72">
        <f t="shared" ref="S72" si="338">R72/100000</f>
        <v>-0.45708164738776424</v>
      </c>
      <c r="T72">
        <f t="shared" ref="T72" si="339">S72/1000</f>
        <v>-4.5708164738776424E-4</v>
      </c>
    </row>
    <row r="73" spans="1:20" x14ac:dyDescent="0.25">
      <c r="A73" s="5">
        <v>44520</v>
      </c>
      <c r="B73">
        <v>1845</v>
      </c>
      <c r="C73">
        <v>1851</v>
      </c>
      <c r="D73">
        <v>1838</v>
      </c>
      <c r="E73">
        <v>1843</v>
      </c>
      <c r="F73">
        <v>1109.9421</v>
      </c>
      <c r="G73">
        <v>1843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-0.23076923076923078</v>
      </c>
      <c r="Q73">
        <f t="shared" ref="Q73" si="341">F73*P73</f>
        <v>-256.14048461538465</v>
      </c>
      <c r="R73">
        <f t="shared" ref="R73" si="342">R74+Q73</f>
        <v>-45060.092438776424</v>
      </c>
      <c r="S73">
        <f t="shared" ref="S73" si="343">R73/100000</f>
        <v>-0.45060092438776422</v>
      </c>
      <c r="T73">
        <f t="shared" ref="T73" si="344">S73/1000</f>
        <v>-4.506009243877642E-4</v>
      </c>
    </row>
    <row r="74" spans="1:20" x14ac:dyDescent="0.25">
      <c r="A74" s="5">
        <v>44519</v>
      </c>
      <c r="B74">
        <v>1859</v>
      </c>
      <c r="C74">
        <v>1867</v>
      </c>
      <c r="D74">
        <v>1837</v>
      </c>
      <c r="E74">
        <v>1846</v>
      </c>
      <c r="F74">
        <v>2376.5005999999998</v>
      </c>
      <c r="G74">
        <v>1846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-0.4</v>
      </c>
      <c r="Q74">
        <f t="shared" ref="Q74" si="346">F74*P74</f>
        <v>-950.60023999999999</v>
      </c>
      <c r="R74">
        <f t="shared" ref="R74" si="347">R75+Q74</f>
        <v>-44803.951954161043</v>
      </c>
      <c r="S74">
        <f t="shared" ref="S74" si="348">R74/100000</f>
        <v>-0.44803951954161042</v>
      </c>
      <c r="T74">
        <f t="shared" ref="T74" si="349">S74/1000</f>
        <v>-4.4803951954161043E-4</v>
      </c>
    </row>
    <row r="75" spans="1:20" x14ac:dyDescent="0.25">
      <c r="A75" s="5">
        <v>44518</v>
      </c>
      <c r="B75">
        <v>1868</v>
      </c>
      <c r="C75">
        <v>1876</v>
      </c>
      <c r="D75">
        <v>1851</v>
      </c>
      <c r="E75">
        <v>1859</v>
      </c>
      <c r="F75">
        <v>2722.7219</v>
      </c>
      <c r="G75">
        <v>1859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-0.36</v>
      </c>
      <c r="Q75">
        <f t="shared" ref="Q75" si="351">F75*P75</f>
        <v>-980.17988400000002</v>
      </c>
      <c r="R75">
        <f t="shared" ref="R75" si="352">R76+Q75</f>
        <v>-43853.351714161043</v>
      </c>
      <c r="S75">
        <f t="shared" ref="S75" si="353">R75/100000</f>
        <v>-0.43853351714161043</v>
      </c>
      <c r="T75">
        <f t="shared" ref="T75" si="354">S75/1000</f>
        <v>-4.3853351714161042E-4</v>
      </c>
    </row>
    <row r="76" spans="1:20" x14ac:dyDescent="0.25">
      <c r="A76" s="5">
        <v>44517</v>
      </c>
      <c r="B76">
        <v>1857</v>
      </c>
      <c r="C76">
        <v>1872</v>
      </c>
      <c r="D76">
        <v>1850</v>
      </c>
      <c r="E76">
        <v>1868</v>
      </c>
      <c r="F76">
        <v>2610.087</v>
      </c>
      <c r="G76">
        <v>1868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0.63636363636363635</v>
      </c>
      <c r="Q76">
        <f t="shared" ref="Q76" si="356">F76*P76</f>
        <v>1660.9644545454546</v>
      </c>
      <c r="R76">
        <f t="shared" ref="R76" si="357">R77+Q76</f>
        <v>-42873.171830161045</v>
      </c>
      <c r="S76">
        <f t="shared" ref="S76" si="358">R76/100000</f>
        <v>-0.42873171830161044</v>
      </c>
      <c r="T76">
        <f t="shared" ref="T76" si="359">S76/1000</f>
        <v>-4.2873171830161042E-4</v>
      </c>
    </row>
    <row r="77" spans="1:20" x14ac:dyDescent="0.25">
      <c r="A77" s="5">
        <v>44516</v>
      </c>
      <c r="B77">
        <v>1869</v>
      </c>
      <c r="C77">
        <v>1885</v>
      </c>
      <c r="D77">
        <v>1852</v>
      </c>
      <c r="E77">
        <v>1857</v>
      </c>
      <c r="F77">
        <v>3652.814985</v>
      </c>
      <c r="G77">
        <v>1857</v>
      </c>
      <c r="L77" t="s">
        <v>8</v>
      </c>
      <c r="M77" t="s">
        <v>7</v>
      </c>
      <c r="N77" t="s">
        <v>8</v>
      </c>
      <c r="P77">
        <f t="shared" ref="P77" si="360">IF(C77=D77,0,((E77-D77)-(C77-E77))/(C77-D77))</f>
        <v>-0.69696969696969702</v>
      </c>
      <c r="Q77">
        <f t="shared" ref="Q77" si="361">F77*P77</f>
        <v>-2545.9013531818182</v>
      </c>
      <c r="R77">
        <f t="shared" ref="R77" si="362">R78+Q77</f>
        <v>-44534.136284706503</v>
      </c>
      <c r="S77">
        <f t="shared" ref="S77" si="363">R77/100000</f>
        <v>-0.44534136284706505</v>
      </c>
      <c r="T77">
        <f t="shared" ref="T77" si="364">S77/1000</f>
        <v>-4.4534136284706503E-4</v>
      </c>
    </row>
    <row r="78" spans="1:20" x14ac:dyDescent="0.25">
      <c r="A78" s="5">
        <v>44515</v>
      </c>
      <c r="B78">
        <v>1873</v>
      </c>
      <c r="C78">
        <v>1878</v>
      </c>
      <c r="D78">
        <v>1861</v>
      </c>
      <c r="E78">
        <v>1869</v>
      </c>
      <c r="F78">
        <v>1552.1339</v>
      </c>
      <c r="G78">
        <v>1869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-5.8823529411764705E-2</v>
      </c>
      <c r="Q78">
        <f t="shared" ref="Q78" si="366">F78*P78</f>
        <v>-91.301994117647055</v>
      </c>
      <c r="R78">
        <f t="shared" ref="R78" si="367">R79+Q78</f>
        <v>-41988.234931524683</v>
      </c>
      <c r="S78">
        <f t="shared" ref="S78" si="368">R78/100000</f>
        <v>-0.41988234931524682</v>
      </c>
      <c r="T78">
        <f t="shared" ref="T78" si="369">S78/1000</f>
        <v>-4.1988234931524682E-4</v>
      </c>
    </row>
    <row r="79" spans="1:20" x14ac:dyDescent="0.25">
      <c r="A79" s="5">
        <v>44514</v>
      </c>
      <c r="B79">
        <v>1873</v>
      </c>
      <c r="C79">
        <v>1875</v>
      </c>
      <c r="D79">
        <v>1866</v>
      </c>
      <c r="E79">
        <v>1872</v>
      </c>
      <c r="F79">
        <v>835.14639999999997</v>
      </c>
      <c r="G79">
        <v>1872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0.33333333333333331</v>
      </c>
      <c r="Q79">
        <f t="shared" ref="Q79" si="371">F79*P79</f>
        <v>278.38213333333329</v>
      </c>
      <c r="R79">
        <f t="shared" ref="R79" si="372">R80+Q79</f>
        <v>-41896.932937407037</v>
      </c>
      <c r="S79">
        <f t="shared" ref="S79" si="373">R79/100000</f>
        <v>-0.41896932937407039</v>
      </c>
      <c r="T79">
        <f t="shared" ref="T79" si="374">S79/1000</f>
        <v>-4.1896932937407038E-4</v>
      </c>
    </row>
    <row r="80" spans="1:20" x14ac:dyDescent="0.25">
      <c r="A80" s="5">
        <v>44513</v>
      </c>
      <c r="B80">
        <v>1871</v>
      </c>
      <c r="C80">
        <v>1875</v>
      </c>
      <c r="D80">
        <v>1868</v>
      </c>
      <c r="E80">
        <v>1872</v>
      </c>
      <c r="F80">
        <v>1114.6038000000001</v>
      </c>
      <c r="G80">
        <v>1872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0.14285714285714285</v>
      </c>
      <c r="Q80">
        <f t="shared" ref="Q80" si="376">F80*P80</f>
        <v>159.2291142857143</v>
      </c>
      <c r="R80">
        <f t="shared" ref="R80" si="377">R81+Q80</f>
        <v>-42175.315070740369</v>
      </c>
      <c r="S80">
        <f t="shared" ref="S80" si="378">R80/100000</f>
        <v>-0.42175315070740371</v>
      </c>
      <c r="T80">
        <f t="shared" ref="T80" si="379">S80/1000</f>
        <v>-4.2175315070740372E-4</v>
      </c>
    </row>
    <row r="81" spans="1:20" x14ac:dyDescent="0.25">
      <c r="A81" s="5">
        <v>44512</v>
      </c>
      <c r="B81">
        <v>1862</v>
      </c>
      <c r="C81">
        <v>1875</v>
      </c>
      <c r="D81">
        <v>1844</v>
      </c>
      <c r="E81">
        <v>1871</v>
      </c>
      <c r="F81">
        <v>2104.3272000000002</v>
      </c>
      <c r="G81">
        <v>1871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0.74193548387096775</v>
      </c>
      <c r="Q81">
        <f t="shared" ref="Q81" si="381">F81*P81</f>
        <v>1561.2750193548388</v>
      </c>
      <c r="R81">
        <f t="shared" ref="R81" si="382">R82+Q81</f>
        <v>-42334.544185026083</v>
      </c>
      <c r="S81">
        <f t="shared" ref="S81" si="383">R81/100000</f>
        <v>-0.42334544185026085</v>
      </c>
      <c r="T81">
        <f t="shared" ref="T81" si="384">S81/1000</f>
        <v>-4.2334544185026085E-4</v>
      </c>
    </row>
    <row r="82" spans="1:20" x14ac:dyDescent="0.25">
      <c r="A82" s="5">
        <v>44511</v>
      </c>
      <c r="B82">
        <v>1852</v>
      </c>
      <c r="C82">
        <v>1871</v>
      </c>
      <c r="D82">
        <v>1845</v>
      </c>
      <c r="E82">
        <v>1862</v>
      </c>
      <c r="F82">
        <v>2305.5106000000001</v>
      </c>
      <c r="G82">
        <v>1862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0.30769230769230771</v>
      </c>
      <c r="Q82">
        <f t="shared" ref="Q82" si="386">F82*P82</f>
        <v>709.38787692307699</v>
      </c>
      <c r="R82">
        <f t="shared" ref="R82" si="387">R83+Q82</f>
        <v>-43895.819204380925</v>
      </c>
      <c r="S82">
        <f t="shared" ref="S82" si="388">R82/100000</f>
        <v>-0.43895819204380926</v>
      </c>
      <c r="T82">
        <f t="shared" ref="T82" si="389">S82/1000</f>
        <v>-4.3895819204380928E-4</v>
      </c>
    </row>
    <row r="83" spans="1:20" x14ac:dyDescent="0.25">
      <c r="A83" s="5">
        <v>44510</v>
      </c>
      <c r="B83">
        <v>1832</v>
      </c>
      <c r="C83">
        <v>1866</v>
      </c>
      <c r="D83">
        <v>1822</v>
      </c>
      <c r="E83">
        <v>1852</v>
      </c>
      <c r="F83">
        <v>3777.6639839999998</v>
      </c>
      <c r="G83">
        <v>1852</v>
      </c>
      <c r="L83" t="s">
        <v>8</v>
      </c>
      <c r="M83" t="s">
        <v>7</v>
      </c>
      <c r="N83" t="s">
        <v>8</v>
      </c>
      <c r="P83">
        <f t="shared" ref="P83" si="390">IF(C83=D83,0,((E83-D83)-(C83-E83))/(C83-D83))</f>
        <v>0.36363636363636365</v>
      </c>
      <c r="Q83">
        <f t="shared" ref="Q83" si="391">F83*P83</f>
        <v>1373.6959941818182</v>
      </c>
      <c r="R83">
        <f t="shared" ref="R83" si="392">R84+Q83</f>
        <v>-44605.207081304005</v>
      </c>
      <c r="S83">
        <f t="shared" ref="S83" si="393">R83/100000</f>
        <v>-0.44605207081304005</v>
      </c>
      <c r="T83">
        <f t="shared" ref="T83" si="394">S83/1000</f>
        <v>-4.4605207081304006E-4</v>
      </c>
    </row>
    <row r="84" spans="1:20" x14ac:dyDescent="0.25">
      <c r="A84" s="5">
        <v>44509</v>
      </c>
      <c r="B84">
        <v>1826</v>
      </c>
      <c r="C84">
        <v>1839</v>
      </c>
      <c r="D84">
        <v>1822</v>
      </c>
      <c r="E84">
        <v>1832</v>
      </c>
      <c r="F84">
        <v>3685.3788</v>
      </c>
      <c r="G84">
        <v>1832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0.17647058823529413</v>
      </c>
      <c r="Q84">
        <f t="shared" ref="Q84" si="396">F84*P84</f>
        <v>650.36096470588234</v>
      </c>
      <c r="R84">
        <f t="shared" ref="R84" si="397">R85+Q84</f>
        <v>-45978.903075485825</v>
      </c>
      <c r="S84">
        <f t="shared" ref="S84" si="398">R84/100000</f>
        <v>-0.45978903075485827</v>
      </c>
      <c r="T84">
        <f t="shared" ref="T84" si="399">S84/1000</f>
        <v>-4.5978903075485829E-4</v>
      </c>
    </row>
    <row r="85" spans="1:20" x14ac:dyDescent="0.25">
      <c r="A85" s="5">
        <v>44508</v>
      </c>
      <c r="B85">
        <v>1817</v>
      </c>
      <c r="C85">
        <v>1832</v>
      </c>
      <c r="D85">
        <v>1813</v>
      </c>
      <c r="E85">
        <v>1826</v>
      </c>
      <c r="F85">
        <v>1733.942</v>
      </c>
      <c r="G85">
        <v>1826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0.36842105263157893</v>
      </c>
      <c r="Q85">
        <f t="shared" ref="Q85" si="401">F85*P85</f>
        <v>638.82073684210525</v>
      </c>
      <c r="R85">
        <f t="shared" ref="R85" si="402">R86+Q85</f>
        <v>-46629.264040191709</v>
      </c>
      <c r="S85">
        <f t="shared" ref="S85" si="403">R85/100000</f>
        <v>-0.46629264040191709</v>
      </c>
      <c r="T85">
        <f t="shared" ref="T85" si="404">S85/1000</f>
        <v>-4.6629264040191708E-4</v>
      </c>
    </row>
    <row r="86" spans="1:20" x14ac:dyDescent="0.25">
      <c r="A86" s="5">
        <v>44507</v>
      </c>
      <c r="B86">
        <v>1820</v>
      </c>
      <c r="C86">
        <v>1822</v>
      </c>
      <c r="D86">
        <v>1810</v>
      </c>
      <c r="E86">
        <v>1817</v>
      </c>
      <c r="F86">
        <v>1108.415</v>
      </c>
      <c r="G86">
        <v>1817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0.16666666666666666</v>
      </c>
      <c r="Q86">
        <f t="shared" ref="Q86" si="406">F86*P86</f>
        <v>184.73583333333332</v>
      </c>
      <c r="R86">
        <f t="shared" ref="R86" si="407">R87+Q86</f>
        <v>-47268.084777033815</v>
      </c>
      <c r="S86">
        <f t="shared" ref="S86" si="408">R86/100000</f>
        <v>-0.47268084777033814</v>
      </c>
      <c r="T86">
        <f t="shared" ref="T86" si="409">S86/1000</f>
        <v>-4.7268084777033815E-4</v>
      </c>
    </row>
    <row r="87" spans="1:20" x14ac:dyDescent="0.25">
      <c r="A87" s="5">
        <v>44506</v>
      </c>
      <c r="B87">
        <v>1818</v>
      </c>
      <c r="C87">
        <v>1823</v>
      </c>
      <c r="D87">
        <v>1809</v>
      </c>
      <c r="E87">
        <v>1819</v>
      </c>
      <c r="F87">
        <v>1120.1681000000001</v>
      </c>
      <c r="G87">
        <v>1819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0.42857142857142855</v>
      </c>
      <c r="Q87">
        <f t="shared" ref="Q87" si="411">F87*P87</f>
        <v>480.07204285714289</v>
      </c>
      <c r="R87">
        <f t="shared" ref="R87" si="412">R88+Q87</f>
        <v>-47452.820610367147</v>
      </c>
      <c r="S87">
        <f t="shared" ref="S87" si="413">R87/100000</f>
        <v>-0.47452820610367147</v>
      </c>
      <c r="T87">
        <f t="shared" ref="T87" si="414">S87/1000</f>
        <v>-4.7452820610367145E-4</v>
      </c>
    </row>
    <row r="88" spans="1:20" x14ac:dyDescent="0.25">
      <c r="A88" s="5">
        <v>44505</v>
      </c>
      <c r="B88">
        <v>1791</v>
      </c>
      <c r="C88">
        <v>1825</v>
      </c>
      <c r="D88">
        <v>1786</v>
      </c>
      <c r="E88">
        <v>1817</v>
      </c>
      <c r="F88">
        <v>1778.914</v>
      </c>
      <c r="G88">
        <v>1817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0.58974358974358976</v>
      </c>
      <c r="Q88">
        <f t="shared" ref="Q88" si="416">F88*P88</f>
        <v>1049.1031282051283</v>
      </c>
      <c r="R88">
        <f t="shared" ref="R88" si="417">R89+Q88</f>
        <v>-47932.892653224291</v>
      </c>
      <c r="S88">
        <f t="shared" ref="S88" si="418">R88/100000</f>
        <v>-0.4793289265322429</v>
      </c>
      <c r="T88">
        <f t="shared" ref="T88" si="419">S88/1000</f>
        <v>-4.7932892653224291E-4</v>
      </c>
    </row>
    <row r="89" spans="1:20" x14ac:dyDescent="0.25">
      <c r="A89" s="5">
        <v>44504</v>
      </c>
      <c r="B89">
        <v>1778</v>
      </c>
      <c r="C89">
        <v>1797</v>
      </c>
      <c r="D89">
        <v>1771</v>
      </c>
      <c r="E89">
        <v>1792</v>
      </c>
      <c r="F89">
        <v>1500.7135000000001</v>
      </c>
      <c r="G89">
        <v>1792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0.61538461538461542</v>
      </c>
      <c r="Q89">
        <f t="shared" ref="Q89" si="421">F89*P89</f>
        <v>923.51600000000008</v>
      </c>
      <c r="R89">
        <f t="shared" ref="R89" si="422">R90+Q89</f>
        <v>-48981.995781429418</v>
      </c>
      <c r="S89">
        <f t="shared" ref="S89" si="423">R89/100000</f>
        <v>-0.48981995781429416</v>
      </c>
      <c r="T89">
        <f t="shared" ref="T89" si="424">S89/1000</f>
        <v>-4.8981995781429419E-4</v>
      </c>
    </row>
    <row r="90" spans="1:20" x14ac:dyDescent="0.25">
      <c r="A90" s="5">
        <v>44503</v>
      </c>
      <c r="B90">
        <v>1789</v>
      </c>
      <c r="C90">
        <v>1791</v>
      </c>
      <c r="D90">
        <v>1762</v>
      </c>
      <c r="E90">
        <v>1778</v>
      </c>
      <c r="F90">
        <v>2751.7613999999999</v>
      </c>
      <c r="G90">
        <v>1778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0.10344827586206896</v>
      </c>
      <c r="Q90">
        <f t="shared" ref="Q90" si="426">F90*P90</f>
        <v>284.66497241379307</v>
      </c>
      <c r="R90">
        <f t="shared" ref="R90" si="427">R91+Q90</f>
        <v>-49905.511781429421</v>
      </c>
      <c r="S90">
        <f t="shared" ref="S90" si="428">R90/100000</f>
        <v>-0.49905511781429424</v>
      </c>
      <c r="T90">
        <f t="shared" ref="T90" si="429">S90/1000</f>
        <v>-4.9905511781429422E-4</v>
      </c>
    </row>
    <row r="91" spans="1:20" x14ac:dyDescent="0.25">
      <c r="A91" s="5">
        <v>44502</v>
      </c>
      <c r="B91">
        <v>1791</v>
      </c>
      <c r="C91">
        <v>1797</v>
      </c>
      <c r="D91">
        <v>1782</v>
      </c>
      <c r="E91">
        <v>1789</v>
      </c>
      <c r="F91">
        <v>1615.5863999999999</v>
      </c>
      <c r="G91">
        <v>1789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-6.6666666666666666E-2</v>
      </c>
      <c r="Q91">
        <f t="shared" ref="Q91" si="431">F91*P91</f>
        <v>-107.70576</v>
      </c>
      <c r="R91">
        <f t="shared" ref="R91" si="432">R92+Q91</f>
        <v>-50190.17675384321</v>
      </c>
      <c r="S91">
        <f t="shared" ref="S91" si="433">R91/100000</f>
        <v>-0.50190176753843208</v>
      </c>
      <c r="T91">
        <f t="shared" ref="T91" si="434">S91/1000</f>
        <v>-5.0190176753843203E-4</v>
      </c>
    </row>
    <row r="92" spans="1:20" x14ac:dyDescent="0.25">
      <c r="A92" s="5">
        <v>44501</v>
      </c>
      <c r="B92">
        <v>1779</v>
      </c>
      <c r="C92">
        <v>1797</v>
      </c>
      <c r="D92">
        <v>1777</v>
      </c>
      <c r="E92">
        <v>1791</v>
      </c>
      <c r="F92">
        <v>1409.6095</v>
      </c>
      <c r="G92">
        <v>1791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0.4</v>
      </c>
      <c r="Q92">
        <f t="shared" ref="Q92" si="436">F92*P92</f>
        <v>563.84379999999999</v>
      </c>
      <c r="R92">
        <f t="shared" ref="R92" si="437">R93+Q92</f>
        <v>-50082.470993843213</v>
      </c>
      <c r="S92">
        <f t="shared" ref="S92" si="438">R92/100000</f>
        <v>-0.50082470993843209</v>
      </c>
      <c r="T92">
        <f t="shared" ref="T92" si="439">S92/1000</f>
        <v>-5.0082470993843213E-4</v>
      </c>
    </row>
    <row r="93" spans="1:20" x14ac:dyDescent="0.25">
      <c r="A93" s="5">
        <v>44500</v>
      </c>
      <c r="B93">
        <v>1785</v>
      </c>
      <c r="C93">
        <v>1787</v>
      </c>
      <c r="D93">
        <v>1777</v>
      </c>
      <c r="E93">
        <v>1779</v>
      </c>
      <c r="F93">
        <v>991.9307</v>
      </c>
      <c r="G93">
        <v>1779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-0.6</v>
      </c>
      <c r="Q93">
        <f t="shared" ref="Q93" si="441">F93*P93</f>
        <v>-595.15841999999998</v>
      </c>
      <c r="R93">
        <f t="shared" ref="R93" si="442">R94+Q93</f>
        <v>-50646.314793843216</v>
      </c>
      <c r="S93">
        <f t="shared" ref="S93" si="443">R93/100000</f>
        <v>-0.50646314793843217</v>
      </c>
      <c r="T93">
        <f t="shared" ref="T93" si="444">S93/1000</f>
        <v>-5.0646314793843219E-4</v>
      </c>
    </row>
    <row r="94" spans="1:20" x14ac:dyDescent="0.25">
      <c r="A94" s="5">
        <v>44499</v>
      </c>
      <c r="B94">
        <v>1783</v>
      </c>
      <c r="C94">
        <v>1792</v>
      </c>
      <c r="D94">
        <v>1777</v>
      </c>
      <c r="E94">
        <v>1786</v>
      </c>
      <c r="F94">
        <v>1731.7389000000001</v>
      </c>
      <c r="G94">
        <v>1786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0.2</v>
      </c>
      <c r="Q94">
        <f t="shared" ref="Q94" si="446">F94*P94</f>
        <v>346.34778000000006</v>
      </c>
      <c r="R94">
        <f t="shared" ref="R94" si="447">R95+Q94</f>
        <v>-50051.156373843216</v>
      </c>
      <c r="S94">
        <f t="shared" ref="S94" si="448">R94/100000</f>
        <v>-0.5005115637384322</v>
      </c>
      <c r="T94">
        <f t="shared" ref="T94" si="449">S94/1000</f>
        <v>-5.0051156373843216E-4</v>
      </c>
    </row>
    <row r="95" spans="1:20" x14ac:dyDescent="0.25">
      <c r="A95" s="5">
        <v>44498</v>
      </c>
      <c r="B95">
        <v>1802</v>
      </c>
      <c r="C95">
        <v>1805</v>
      </c>
      <c r="D95">
        <v>1775</v>
      </c>
      <c r="E95">
        <v>1782</v>
      </c>
      <c r="F95">
        <v>2132.2003</v>
      </c>
      <c r="G95">
        <v>1782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-0.53333333333333333</v>
      </c>
      <c r="Q95">
        <f t="shared" ref="Q95" si="451">F95*P95</f>
        <v>-1137.1734933333332</v>
      </c>
      <c r="R95">
        <f t="shared" ref="R95" si="452">R96+Q95</f>
        <v>-50397.50415384322</v>
      </c>
      <c r="S95">
        <f t="shared" ref="S95" si="453">R95/100000</f>
        <v>-0.5039750415384322</v>
      </c>
      <c r="T95">
        <f t="shared" ref="T95" si="454">S95/1000</f>
        <v>-5.0397504153843224E-4</v>
      </c>
    </row>
    <row r="96" spans="1:20" x14ac:dyDescent="0.25">
      <c r="A96" s="5">
        <v>44497</v>
      </c>
      <c r="B96">
        <v>1802</v>
      </c>
      <c r="C96">
        <v>1812</v>
      </c>
      <c r="D96">
        <v>1796</v>
      </c>
      <c r="E96">
        <v>1802</v>
      </c>
      <c r="F96">
        <v>2239.5227</v>
      </c>
      <c r="G96">
        <v>1802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-0.25</v>
      </c>
      <c r="Q96">
        <f t="shared" ref="Q96" si="456">F96*P96</f>
        <v>-559.880675</v>
      </c>
      <c r="R96">
        <f t="shared" ref="R96" si="457">R97+Q96</f>
        <v>-49260.330660509884</v>
      </c>
      <c r="S96">
        <f t="shared" ref="S96" si="458">R96/100000</f>
        <v>-0.49260330660509882</v>
      </c>
      <c r="T96">
        <f t="shared" ref="T96" si="459">S96/1000</f>
        <v>-4.9260330660509883E-4</v>
      </c>
    </row>
    <row r="97" spans="1:20" x14ac:dyDescent="0.25">
      <c r="A97" s="5">
        <v>44496</v>
      </c>
      <c r="B97">
        <v>1795</v>
      </c>
      <c r="C97">
        <v>1809</v>
      </c>
      <c r="D97">
        <v>1788</v>
      </c>
      <c r="E97">
        <v>1802</v>
      </c>
      <c r="F97">
        <v>1648.3308</v>
      </c>
      <c r="G97">
        <v>1802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0.33333333333333331</v>
      </c>
      <c r="Q97">
        <f t="shared" ref="Q97" si="461">F97*P97</f>
        <v>549.44359999999995</v>
      </c>
      <c r="R97">
        <f t="shared" ref="R97" si="462">R98+Q97</f>
        <v>-48700.449985509884</v>
      </c>
      <c r="S97">
        <f t="shared" ref="S97" si="463">R97/100000</f>
        <v>-0.48700449985509886</v>
      </c>
      <c r="T97">
        <f t="shared" ref="T97" si="464">S97/1000</f>
        <v>-4.8700449985509886E-4</v>
      </c>
    </row>
    <row r="98" spans="1:20" x14ac:dyDescent="0.25">
      <c r="A98" s="5">
        <v>44495</v>
      </c>
      <c r="B98">
        <v>1813</v>
      </c>
      <c r="C98">
        <v>1820</v>
      </c>
      <c r="D98">
        <v>1786</v>
      </c>
      <c r="E98">
        <v>1795</v>
      </c>
      <c r="F98">
        <v>1549.4490000000001</v>
      </c>
      <c r="G98">
        <v>1795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-0.47058823529411764</v>
      </c>
      <c r="Q98">
        <f t="shared" ref="Q98" si="466">F98*P98</f>
        <v>-729.15247058823536</v>
      </c>
      <c r="R98">
        <f t="shared" ref="R98" si="467">R99+Q98</f>
        <v>-49249.893585509883</v>
      </c>
      <c r="S98">
        <f t="shared" ref="S98" si="468">R98/100000</f>
        <v>-0.49249893585509885</v>
      </c>
      <c r="T98">
        <f t="shared" ref="T98" si="469">S98/1000</f>
        <v>-4.9249893585509889E-4</v>
      </c>
    </row>
    <row r="99" spans="1:20" x14ac:dyDescent="0.25">
      <c r="A99" s="5">
        <v>44494</v>
      </c>
      <c r="B99">
        <v>1802</v>
      </c>
      <c r="C99">
        <v>1818</v>
      </c>
      <c r="D99">
        <v>1791</v>
      </c>
      <c r="E99">
        <v>1812</v>
      </c>
      <c r="F99">
        <v>1334.5047</v>
      </c>
      <c r="G99">
        <v>1812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0.55555555555555558</v>
      </c>
      <c r="Q99">
        <f t="shared" ref="Q99" si="471">F99*P99</f>
        <v>741.39150000000006</v>
      </c>
      <c r="R99">
        <f t="shared" ref="R99" si="472">R100+Q99</f>
        <v>-48520.74111492165</v>
      </c>
      <c r="S99">
        <f t="shared" ref="S99" si="473">R99/100000</f>
        <v>-0.48520741114921651</v>
      </c>
      <c r="T99">
        <f t="shared" ref="T99" si="474">S99/1000</f>
        <v>-4.8520741114921648E-4</v>
      </c>
    </row>
    <row r="100" spans="1:20" x14ac:dyDescent="0.25">
      <c r="A100" s="5">
        <v>44493</v>
      </c>
      <c r="B100">
        <v>1800</v>
      </c>
      <c r="C100">
        <v>1802</v>
      </c>
      <c r="D100">
        <v>1791</v>
      </c>
      <c r="E100">
        <v>1801</v>
      </c>
      <c r="F100">
        <v>992.20090000000005</v>
      </c>
      <c r="G100">
        <v>1801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0.81818181818181823</v>
      </c>
      <c r="Q100">
        <f t="shared" ref="Q100" si="476">F100*P100</f>
        <v>811.80073636363647</v>
      </c>
      <c r="R100">
        <f t="shared" ref="R100" si="477">R101+Q100</f>
        <v>-49262.132614921647</v>
      </c>
      <c r="S100">
        <f t="shared" ref="S100" si="478">R100/100000</f>
        <v>-0.4926213261492165</v>
      </c>
      <c r="T100">
        <f t="shared" ref="T100" si="479">S100/1000</f>
        <v>-4.9262132614921652E-4</v>
      </c>
    </row>
    <row r="101" spans="1:20" x14ac:dyDescent="0.25">
      <c r="A101" s="5">
        <v>44492</v>
      </c>
      <c r="B101">
        <v>1798</v>
      </c>
      <c r="C101">
        <v>1802</v>
      </c>
      <c r="D101">
        <v>1792</v>
      </c>
      <c r="E101">
        <v>1799</v>
      </c>
      <c r="F101">
        <v>713.46010000000001</v>
      </c>
      <c r="G101">
        <v>1799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0.4</v>
      </c>
      <c r="Q101">
        <f t="shared" ref="Q101" si="481">F101*P101</f>
        <v>285.38404000000003</v>
      </c>
      <c r="R101">
        <f t="shared" ref="R101" si="482">R102+Q101</f>
        <v>-50073.933351285283</v>
      </c>
      <c r="S101">
        <f t="shared" ref="S101" si="483">R101/100000</f>
        <v>-0.50073933351285282</v>
      </c>
      <c r="T101">
        <f t="shared" ref="T101" si="484">S101/1000</f>
        <v>-5.007393335128528E-4</v>
      </c>
    </row>
    <row r="102" spans="1:20" x14ac:dyDescent="0.25">
      <c r="A102" s="5">
        <v>44491</v>
      </c>
      <c r="B102">
        <v>1787</v>
      </c>
      <c r="C102">
        <v>1819</v>
      </c>
      <c r="D102">
        <v>1786</v>
      </c>
      <c r="E102">
        <v>1797</v>
      </c>
      <c r="F102">
        <v>1919.2444</v>
      </c>
      <c r="G102">
        <v>1797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-0.33333333333333331</v>
      </c>
      <c r="Q102">
        <f t="shared" ref="Q102" si="486">F102*P102</f>
        <v>-639.74813333333327</v>
      </c>
      <c r="R102">
        <f t="shared" ref="R102" si="487">R103+Q102</f>
        <v>-50359.31739128528</v>
      </c>
      <c r="S102">
        <f t="shared" ref="S102" si="488">R102/100000</f>
        <v>-0.50359317391285285</v>
      </c>
      <c r="T102">
        <f t="shared" ref="T102" si="489">S102/1000</f>
        <v>-5.0359317391285286E-4</v>
      </c>
    </row>
    <row r="103" spans="1:20" x14ac:dyDescent="0.25">
      <c r="A103" s="5">
        <v>44490</v>
      </c>
      <c r="B103">
        <v>1783</v>
      </c>
      <c r="C103">
        <v>1795</v>
      </c>
      <c r="D103">
        <v>1779</v>
      </c>
      <c r="E103">
        <v>1787</v>
      </c>
      <c r="F103">
        <v>2028.7529</v>
      </c>
      <c r="G103">
        <v>1787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0</v>
      </c>
      <c r="Q103">
        <f t="shared" ref="Q103" si="491">F103*P103</f>
        <v>0</v>
      </c>
      <c r="R103">
        <f t="shared" ref="R103" si="492">R104+Q103</f>
        <v>-49719.569257951945</v>
      </c>
      <c r="S103">
        <f t="shared" ref="S103" si="493">R103/100000</f>
        <v>-0.49719569257951945</v>
      </c>
      <c r="T103">
        <f t="shared" ref="T103" si="494">S103/1000</f>
        <v>-4.9719569257951942E-4</v>
      </c>
    </row>
    <row r="104" spans="1:20" x14ac:dyDescent="0.25">
      <c r="A104" s="5">
        <v>44489</v>
      </c>
      <c r="B104">
        <v>1778</v>
      </c>
      <c r="C104">
        <v>1793</v>
      </c>
      <c r="D104">
        <v>1774</v>
      </c>
      <c r="E104">
        <v>1783</v>
      </c>
      <c r="F104">
        <v>2789.9148</v>
      </c>
      <c r="G104">
        <v>1783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-5.2631578947368418E-2</v>
      </c>
      <c r="Q104">
        <f t="shared" ref="Q104" si="496">F104*P104</f>
        <v>-146.83762105263156</v>
      </c>
      <c r="R104">
        <f t="shared" ref="R104" si="497">R105+Q104</f>
        <v>-49719.569257951945</v>
      </c>
      <c r="S104">
        <f t="shared" ref="S104" si="498">R104/100000</f>
        <v>-0.49719569257951945</v>
      </c>
      <c r="T104">
        <f t="shared" ref="T104" si="499">S104/1000</f>
        <v>-4.9719569257951942E-4</v>
      </c>
    </row>
    <row r="105" spans="1:20" x14ac:dyDescent="0.25">
      <c r="A105" s="5">
        <v>44488</v>
      </c>
      <c r="B105">
        <v>1770</v>
      </c>
      <c r="C105">
        <v>1789</v>
      </c>
      <c r="D105">
        <v>1768</v>
      </c>
      <c r="E105">
        <v>1776</v>
      </c>
      <c r="F105">
        <v>1628.1893</v>
      </c>
      <c r="G105">
        <v>1776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-0.23809523809523808</v>
      </c>
      <c r="Q105">
        <f t="shared" ref="Q105" si="501">F105*P105</f>
        <v>-387.66411904761901</v>
      </c>
      <c r="R105">
        <f t="shared" ref="R105" si="502">R106+Q105</f>
        <v>-49572.731636899312</v>
      </c>
      <c r="S105">
        <f t="shared" ref="S105" si="503">R105/100000</f>
        <v>-0.49572731636899314</v>
      </c>
      <c r="T105">
        <f t="shared" ref="T105" si="504">S105/1000</f>
        <v>-4.9572731636899313E-4</v>
      </c>
    </row>
    <row r="106" spans="1:20" x14ac:dyDescent="0.25">
      <c r="A106" s="5">
        <v>44487</v>
      </c>
      <c r="B106">
        <v>1776</v>
      </c>
      <c r="C106">
        <v>1780</v>
      </c>
      <c r="D106">
        <v>1764</v>
      </c>
      <c r="E106">
        <v>1770</v>
      </c>
      <c r="F106">
        <v>1776.0659000000001</v>
      </c>
      <c r="G106">
        <v>1770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-0.25</v>
      </c>
      <c r="Q106">
        <f t="shared" ref="Q106" si="506">F106*P106</f>
        <v>-444.01647500000001</v>
      </c>
      <c r="R106">
        <f t="shared" ref="R106" si="507">R107+Q106</f>
        <v>-49185.06751785169</v>
      </c>
      <c r="S106">
        <f t="shared" ref="S106" si="508">R106/100000</f>
        <v>-0.49185067517851688</v>
      </c>
      <c r="T106">
        <f t="shared" ref="T106" si="509">S106/1000</f>
        <v>-4.9185067517851688E-4</v>
      </c>
    </row>
    <row r="107" spans="1:20" x14ac:dyDescent="0.25">
      <c r="A107" s="5">
        <v>44486</v>
      </c>
      <c r="B107">
        <v>1771</v>
      </c>
      <c r="C107">
        <v>1780</v>
      </c>
      <c r="D107">
        <v>1768</v>
      </c>
      <c r="E107">
        <v>1776</v>
      </c>
      <c r="F107">
        <v>1750.9256</v>
      </c>
      <c r="G107">
        <v>1776</v>
      </c>
      <c r="L107" t="s">
        <v>8</v>
      </c>
      <c r="M107" t="s">
        <v>7</v>
      </c>
      <c r="N107" t="s">
        <v>8</v>
      </c>
      <c r="P107">
        <f t="shared" ref="P107" si="510">IF(C107=D107,0,((E107-D107)-(C107-E107))/(C107-D107))</f>
        <v>0.33333333333333331</v>
      </c>
      <c r="Q107">
        <f t="shared" ref="Q107" si="511">F107*P107</f>
        <v>583.6418666666666</v>
      </c>
      <c r="R107">
        <f t="shared" ref="R107" si="512">R108+Q107</f>
        <v>-48741.051042851694</v>
      </c>
      <c r="S107">
        <f t="shared" ref="S107" si="513">R107/100000</f>
        <v>-0.48741051042851696</v>
      </c>
      <c r="T107">
        <f t="shared" ref="T107" si="514">S107/1000</f>
        <v>-4.8741051042851697E-4</v>
      </c>
    </row>
    <row r="108" spans="1:20" x14ac:dyDescent="0.25">
      <c r="A108" s="5">
        <v>44485</v>
      </c>
      <c r="B108">
        <v>1774</v>
      </c>
      <c r="C108">
        <v>1783</v>
      </c>
      <c r="D108">
        <v>1768</v>
      </c>
      <c r="E108">
        <v>1771</v>
      </c>
      <c r="F108">
        <v>2009.1837</v>
      </c>
      <c r="G108">
        <v>1771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-0.6</v>
      </c>
      <c r="Q108">
        <f t="shared" ref="Q108" si="516">F108*P108</f>
        <v>-1205.5102199999999</v>
      </c>
      <c r="R108">
        <f t="shared" ref="R108" si="517">R109+Q108</f>
        <v>-49324.692909518359</v>
      </c>
      <c r="S108">
        <f t="shared" ref="S108" si="518">R108/100000</f>
        <v>-0.49324692909518358</v>
      </c>
      <c r="T108">
        <f t="shared" ref="T108" si="519">S108/1000</f>
        <v>-4.9324692909518363E-4</v>
      </c>
    </row>
    <row r="109" spans="1:20" x14ac:dyDescent="0.25">
      <c r="A109" s="5">
        <v>44484</v>
      </c>
      <c r="B109">
        <v>1801</v>
      </c>
      <c r="C109">
        <v>1805</v>
      </c>
      <c r="D109">
        <v>1767</v>
      </c>
      <c r="E109">
        <v>1775</v>
      </c>
      <c r="F109">
        <v>2590.9647</v>
      </c>
      <c r="G109">
        <v>1775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-0.57894736842105265</v>
      </c>
      <c r="Q109">
        <f t="shared" ref="Q109" si="521">F109*P109</f>
        <v>-1500.0321947368423</v>
      </c>
      <c r="R109">
        <f t="shared" ref="R109" si="522">R110+Q109</f>
        <v>-48119.182689518362</v>
      </c>
      <c r="S109">
        <f t="shared" ref="S109" si="523">R109/100000</f>
        <v>-0.48119182689518364</v>
      </c>
      <c r="T109">
        <f t="shared" ref="T109" si="524">S109/1000</f>
        <v>-4.8119182689518363E-4</v>
      </c>
    </row>
    <row r="110" spans="1:20" x14ac:dyDescent="0.25">
      <c r="A110" s="5">
        <v>44483</v>
      </c>
      <c r="B110">
        <v>1796</v>
      </c>
      <c r="C110">
        <v>1810</v>
      </c>
      <c r="D110">
        <v>1788</v>
      </c>
      <c r="E110">
        <v>1800</v>
      </c>
      <c r="F110">
        <v>1297.0600999999999</v>
      </c>
      <c r="G110">
        <v>1800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9.0909090909090912E-2</v>
      </c>
      <c r="Q110">
        <f t="shared" ref="Q110" si="526">F110*P110</f>
        <v>117.91455454545454</v>
      </c>
      <c r="R110">
        <f t="shared" ref="R110" si="527">R111+Q110</f>
        <v>-46619.150494781519</v>
      </c>
      <c r="S110">
        <f t="shared" ref="S110" si="528">R110/100000</f>
        <v>-0.46619150494781519</v>
      </c>
      <c r="T110">
        <f t="shared" ref="T110" si="529">S110/1000</f>
        <v>-4.6619150494781519E-4</v>
      </c>
    </row>
    <row r="111" spans="1:20" x14ac:dyDescent="0.25">
      <c r="A111" s="5">
        <v>44482</v>
      </c>
      <c r="B111">
        <v>1765</v>
      </c>
      <c r="C111">
        <v>1801</v>
      </c>
      <c r="D111">
        <v>1762</v>
      </c>
      <c r="E111">
        <v>1796</v>
      </c>
      <c r="F111">
        <v>2002.3501000000001</v>
      </c>
      <c r="G111">
        <v>1796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0.74358974358974361</v>
      </c>
      <c r="Q111">
        <f t="shared" ref="Q111" si="531">F111*P111</f>
        <v>1488.9269974358976</v>
      </c>
      <c r="R111">
        <f t="shared" ref="R111" si="532">R112+Q111</f>
        <v>-46737.065049326971</v>
      </c>
      <c r="S111">
        <f t="shared" ref="S111" si="533">R111/100000</f>
        <v>-0.4673706504932697</v>
      </c>
      <c r="T111">
        <f t="shared" ref="T111" si="534">S111/1000</f>
        <v>-4.673706504932697E-4</v>
      </c>
    </row>
    <row r="112" spans="1:20" x14ac:dyDescent="0.25">
      <c r="A112" s="5">
        <v>44481</v>
      </c>
      <c r="B112">
        <v>1760</v>
      </c>
      <c r="C112">
        <v>1774</v>
      </c>
      <c r="D112">
        <v>1757</v>
      </c>
      <c r="E112">
        <v>1764</v>
      </c>
      <c r="F112">
        <v>1741.3866</v>
      </c>
      <c r="G112">
        <v>1764</v>
      </c>
      <c r="L112" t="s">
        <v>8</v>
      </c>
      <c r="M112" t="s">
        <v>7</v>
      </c>
      <c r="N112" t="s">
        <v>8</v>
      </c>
      <c r="P112">
        <f t="shared" ref="P112" si="535">IF(C112=D112,0,((E112-D112)-(C112-E112))/(C112-D112))</f>
        <v>-0.17647058823529413</v>
      </c>
      <c r="Q112">
        <f t="shared" ref="Q112" si="536">F112*P112</f>
        <v>-307.30351764705887</v>
      </c>
      <c r="R112">
        <f t="shared" ref="R112" si="537">R113+Q112</f>
        <v>-48225.992046762869</v>
      </c>
      <c r="S112">
        <f t="shared" ref="S112" si="538">R112/100000</f>
        <v>-0.48225992046762867</v>
      </c>
      <c r="T112">
        <f t="shared" ref="T112" si="539">S112/1000</f>
        <v>-4.8225992046762868E-4</v>
      </c>
    </row>
    <row r="113" spans="1:20" x14ac:dyDescent="0.25">
      <c r="A113" s="5">
        <v>44480</v>
      </c>
      <c r="B113">
        <v>1759</v>
      </c>
      <c r="C113">
        <v>1767</v>
      </c>
      <c r="D113">
        <v>1755</v>
      </c>
      <c r="E113">
        <v>1760</v>
      </c>
      <c r="F113">
        <v>2079.2067000000002</v>
      </c>
      <c r="G113">
        <v>1760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-0.16666666666666666</v>
      </c>
      <c r="Q113">
        <f t="shared" ref="Q113" si="541">F113*P113</f>
        <v>-346.53444999999999</v>
      </c>
      <c r="R113">
        <f t="shared" ref="R113" si="542">R114+Q113</f>
        <v>-47918.688529115811</v>
      </c>
      <c r="S113">
        <f t="shared" ref="S113" si="543">R113/100000</f>
        <v>-0.4791868852911581</v>
      </c>
      <c r="T113">
        <f t="shared" ref="T113" si="544">S113/1000</f>
        <v>-4.7918688529115808E-4</v>
      </c>
    </row>
    <row r="114" spans="1:20" x14ac:dyDescent="0.25">
      <c r="A114" s="5">
        <v>44479</v>
      </c>
      <c r="B114">
        <v>1763</v>
      </c>
      <c r="C114">
        <v>1766</v>
      </c>
      <c r="D114">
        <v>1757</v>
      </c>
      <c r="E114">
        <v>1758</v>
      </c>
      <c r="F114">
        <v>935.48969999999997</v>
      </c>
      <c r="G114">
        <v>1758</v>
      </c>
      <c r="L114" t="s">
        <v>8</v>
      </c>
      <c r="M114" t="s">
        <v>7</v>
      </c>
      <c r="N114" t="s">
        <v>8</v>
      </c>
      <c r="P114">
        <f t="shared" ref="P114" si="545">IF(C114=D114,0,((E114-D114)-(C114-E114))/(C114-D114))</f>
        <v>-0.77777777777777779</v>
      </c>
      <c r="Q114">
        <f t="shared" ref="Q114" si="546">F114*P114</f>
        <v>-727.60310000000004</v>
      </c>
      <c r="R114">
        <f t="shared" ref="R114" si="547">R115+Q114</f>
        <v>-47572.154079115811</v>
      </c>
      <c r="S114">
        <f t="shared" ref="S114" si="548">R114/100000</f>
        <v>-0.47572154079115814</v>
      </c>
      <c r="T114">
        <f t="shared" ref="T114" si="549">S114/1000</f>
        <v>-4.7572154079115813E-4</v>
      </c>
    </row>
    <row r="115" spans="1:20" x14ac:dyDescent="0.25">
      <c r="A115" s="5">
        <v>44478</v>
      </c>
      <c r="B115">
        <v>1762</v>
      </c>
      <c r="C115">
        <v>1767</v>
      </c>
      <c r="D115">
        <v>1760</v>
      </c>
      <c r="E115">
        <v>1762</v>
      </c>
      <c r="F115">
        <v>809.39729999999997</v>
      </c>
      <c r="G115">
        <v>1762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-0.42857142857142855</v>
      </c>
      <c r="Q115">
        <f t="shared" ref="Q115" si="551">F115*P115</f>
        <v>-346.88455714285709</v>
      </c>
      <c r="R115">
        <f t="shared" ref="R115" si="552">R116+Q115</f>
        <v>-46844.550979115811</v>
      </c>
      <c r="S115">
        <f t="shared" ref="S115" si="553">R115/100000</f>
        <v>-0.46844550979115812</v>
      </c>
      <c r="T115">
        <f t="shared" ref="T115" si="554">S115/1000</f>
        <v>-4.6844550979115813E-4</v>
      </c>
    </row>
    <row r="116" spans="1:20" x14ac:dyDescent="0.25">
      <c r="A116" s="5">
        <v>44477</v>
      </c>
      <c r="B116">
        <v>1760</v>
      </c>
      <c r="C116">
        <v>1784</v>
      </c>
      <c r="D116">
        <v>1748</v>
      </c>
      <c r="E116">
        <v>1762</v>
      </c>
      <c r="F116">
        <v>2246.7737999999999</v>
      </c>
      <c r="G116">
        <v>1762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-0.22222222222222221</v>
      </c>
      <c r="Q116">
        <f t="shared" ref="Q116" si="556">F116*P116</f>
        <v>-499.28306666666663</v>
      </c>
      <c r="R116">
        <f t="shared" ref="R116" si="557">R117+Q116</f>
        <v>-46497.666421972957</v>
      </c>
      <c r="S116">
        <f t="shared" ref="S116" si="558">R116/100000</f>
        <v>-0.46497666421972955</v>
      </c>
      <c r="T116">
        <f t="shared" ref="T116" si="559">S116/1000</f>
        <v>-4.6497666421972954E-4</v>
      </c>
    </row>
    <row r="117" spans="1:20" x14ac:dyDescent="0.25">
      <c r="A117" s="5">
        <v>44476</v>
      </c>
      <c r="B117">
        <v>1765</v>
      </c>
      <c r="C117">
        <v>1773</v>
      </c>
      <c r="D117">
        <v>1754</v>
      </c>
      <c r="E117">
        <v>1759</v>
      </c>
      <c r="F117">
        <v>1690.4866999999999</v>
      </c>
      <c r="G117">
        <v>1759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-0.47368421052631576</v>
      </c>
      <c r="Q117">
        <f t="shared" ref="Q117" si="561">F117*P117</f>
        <v>-800.75685789473675</v>
      </c>
      <c r="R117">
        <f t="shared" ref="R117" si="562">R118+Q117</f>
        <v>-45998.383355306294</v>
      </c>
      <c r="S117">
        <f t="shared" ref="S117" si="563">R117/100000</f>
        <v>-0.45998383355306294</v>
      </c>
      <c r="T117">
        <f t="shared" ref="T117" si="564">S117/1000</f>
        <v>-4.5998383355306296E-4</v>
      </c>
    </row>
    <row r="118" spans="1:20" x14ac:dyDescent="0.25">
      <c r="A118" s="5">
        <v>44475</v>
      </c>
      <c r="B118">
        <v>1763</v>
      </c>
      <c r="C118">
        <v>1771</v>
      </c>
      <c r="D118">
        <v>1750</v>
      </c>
      <c r="E118">
        <v>1765</v>
      </c>
      <c r="F118">
        <v>2397.1640000000002</v>
      </c>
      <c r="G118">
        <v>1765</v>
      </c>
      <c r="L118" t="s">
        <v>8</v>
      </c>
      <c r="M118" t="s">
        <v>7</v>
      </c>
      <c r="N118" t="s">
        <v>8</v>
      </c>
      <c r="P118">
        <f t="shared" ref="P118" si="565">IF(C118=D118,0,((E118-D118)-(C118-E118))/(C118-D118))</f>
        <v>0.42857142857142855</v>
      </c>
      <c r="Q118">
        <f t="shared" ref="Q118" si="566">F118*P118</f>
        <v>1027.356</v>
      </c>
      <c r="R118">
        <f t="shared" ref="R118" si="567">R119+Q118</f>
        <v>-45197.626497411555</v>
      </c>
      <c r="S118">
        <f t="shared" ref="S118" si="568">R118/100000</f>
        <v>-0.45197626497411553</v>
      </c>
      <c r="T118">
        <f t="shared" ref="T118" si="569">S118/1000</f>
        <v>-4.5197626497411555E-4</v>
      </c>
    </row>
    <row r="119" spans="1:20" x14ac:dyDescent="0.25">
      <c r="A119" s="5">
        <v>44474</v>
      </c>
      <c r="B119">
        <v>1773</v>
      </c>
      <c r="C119">
        <v>1776</v>
      </c>
      <c r="D119">
        <v>1755</v>
      </c>
      <c r="E119">
        <v>1764</v>
      </c>
      <c r="F119">
        <v>1339.2052000000001</v>
      </c>
      <c r="G119">
        <v>1764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-0.14285714285714285</v>
      </c>
      <c r="Q119">
        <f t="shared" ref="Q119" si="571">F119*P119</f>
        <v>-191.31502857142857</v>
      </c>
      <c r="R119">
        <f t="shared" ref="R119" si="572">R120+Q119</f>
        <v>-46224.982497411555</v>
      </c>
      <c r="S119">
        <f t="shared" ref="S119" si="573">R119/100000</f>
        <v>-0.46224982497411554</v>
      </c>
      <c r="T119">
        <f t="shared" ref="T119" si="574">S119/1000</f>
        <v>-4.6224982497411552E-4</v>
      </c>
    </row>
    <row r="120" spans="1:20" x14ac:dyDescent="0.25">
      <c r="A120" s="5">
        <v>44473</v>
      </c>
      <c r="B120">
        <v>1772</v>
      </c>
      <c r="C120">
        <v>1779</v>
      </c>
      <c r="D120">
        <v>1730</v>
      </c>
      <c r="E120">
        <v>1773</v>
      </c>
      <c r="F120">
        <v>2735.6383000000001</v>
      </c>
      <c r="G120">
        <v>1773</v>
      </c>
      <c r="L120" t="s">
        <v>8</v>
      </c>
      <c r="M120" t="s">
        <v>7</v>
      </c>
      <c r="N120" t="s">
        <v>8</v>
      </c>
      <c r="P120">
        <f t="shared" ref="P120" si="575">IF(C120=D120,0,((E120-D120)-(C120-E120))/(C120-D120))</f>
        <v>0.75510204081632648</v>
      </c>
      <c r="Q120">
        <f t="shared" ref="Q120" si="576">F120*P120</f>
        <v>2065.6860632653061</v>
      </c>
      <c r="R120">
        <f t="shared" ref="R120" si="577">R121+Q120</f>
        <v>-46033.667468840125</v>
      </c>
      <c r="S120">
        <f t="shared" ref="S120" si="578">R120/100000</f>
        <v>-0.46033667468840123</v>
      </c>
      <c r="T120">
        <f t="shared" ref="T120" si="579">S120/1000</f>
        <v>-4.6033667468840122E-4</v>
      </c>
    </row>
    <row r="121" spans="1:20" x14ac:dyDescent="0.25">
      <c r="A121" s="5">
        <v>44472</v>
      </c>
      <c r="B121">
        <v>1764</v>
      </c>
      <c r="C121">
        <v>1774</v>
      </c>
      <c r="D121">
        <v>1762</v>
      </c>
      <c r="E121">
        <v>1771</v>
      </c>
      <c r="F121">
        <v>1016.7843</v>
      </c>
      <c r="G121">
        <v>1771</v>
      </c>
      <c r="L121" t="s">
        <v>8</v>
      </c>
      <c r="M121" t="s">
        <v>7</v>
      </c>
      <c r="N121" t="s">
        <v>8</v>
      </c>
      <c r="P121">
        <f t="shared" ref="P121" si="580">IF(C121=D121,0,((E121-D121)-(C121-E121))/(C121-D121))</f>
        <v>0.5</v>
      </c>
      <c r="Q121">
        <f t="shared" ref="Q121" si="581">F121*P121</f>
        <v>508.39215000000002</v>
      </c>
      <c r="R121">
        <f t="shared" ref="R121" si="582">R122+Q121</f>
        <v>-48099.35353210543</v>
      </c>
      <c r="S121">
        <f t="shared" ref="S121" si="583">R121/100000</f>
        <v>-0.48099353532105432</v>
      </c>
      <c r="T121">
        <f t="shared" ref="T121" si="584">S121/1000</f>
        <v>-4.8099353532105434E-4</v>
      </c>
    </row>
    <row r="122" spans="1:20" x14ac:dyDescent="0.25">
      <c r="A122" s="5">
        <v>44471</v>
      </c>
      <c r="B122">
        <v>1765</v>
      </c>
      <c r="C122">
        <v>1770</v>
      </c>
      <c r="D122">
        <v>1761</v>
      </c>
      <c r="E122">
        <v>1764</v>
      </c>
      <c r="F122">
        <v>966.10659999999996</v>
      </c>
      <c r="G122">
        <v>1764</v>
      </c>
      <c r="L122" t="s">
        <v>8</v>
      </c>
      <c r="M122" t="s">
        <v>7</v>
      </c>
      <c r="N122" t="s">
        <v>8</v>
      </c>
      <c r="P122">
        <f t="shared" ref="P122" si="585">IF(C122=D122,0,((E122-D122)-(C122-E122))/(C122-D122))</f>
        <v>-0.33333333333333331</v>
      </c>
      <c r="Q122">
        <f t="shared" ref="Q122" si="586">F122*P122</f>
        <v>-322.03553333333332</v>
      </c>
      <c r="R122">
        <f t="shared" ref="R122" si="587">R123+Q122</f>
        <v>-48607.745682105429</v>
      </c>
      <c r="S122">
        <f t="shared" ref="S122" si="588">R122/100000</f>
        <v>-0.4860774568210543</v>
      </c>
      <c r="T122">
        <f t="shared" ref="T122" si="589">S122/1000</f>
        <v>-4.8607745682105431E-4</v>
      </c>
    </row>
    <row r="123" spans="1:20" x14ac:dyDescent="0.25">
      <c r="A123" s="5">
        <v>44470</v>
      </c>
      <c r="B123">
        <v>1762</v>
      </c>
      <c r="C123">
        <v>1770</v>
      </c>
      <c r="D123">
        <v>1750</v>
      </c>
      <c r="E123">
        <v>1765</v>
      </c>
      <c r="F123">
        <v>2440.1981000000001</v>
      </c>
      <c r="G123">
        <v>1765</v>
      </c>
      <c r="L123" t="s">
        <v>8</v>
      </c>
      <c r="M123" t="s">
        <v>7</v>
      </c>
      <c r="N123" t="s">
        <v>8</v>
      </c>
      <c r="P123">
        <f t="shared" ref="P123" si="590">IF(C123=D123,0,((E123-D123)-(C123-E123))/(C123-D123))</f>
        <v>0.5</v>
      </c>
      <c r="Q123">
        <f t="shared" ref="Q123" si="591">F123*P123</f>
        <v>1220.09905</v>
      </c>
      <c r="R123">
        <f t="shared" ref="R123" si="592">R124+Q123</f>
        <v>-48285.710148772094</v>
      </c>
      <c r="S123">
        <f t="shared" ref="S123" si="593">R123/100000</f>
        <v>-0.48285710148772093</v>
      </c>
      <c r="T123">
        <f t="shared" ref="T123" si="594">S123/1000</f>
        <v>-4.8285710148772095E-4</v>
      </c>
    </row>
    <row r="124" spans="1:20" x14ac:dyDescent="0.25">
      <c r="A124" s="5">
        <v>44469</v>
      </c>
      <c r="B124">
        <v>1739</v>
      </c>
      <c r="C124">
        <v>1770</v>
      </c>
      <c r="D124">
        <v>1730</v>
      </c>
      <c r="E124">
        <v>1763</v>
      </c>
      <c r="F124">
        <v>2902.010495</v>
      </c>
      <c r="G124">
        <v>1763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0.65</v>
      </c>
      <c r="Q124">
        <f t="shared" ref="Q124" si="596">F124*P124</f>
        <v>1886.3068217500002</v>
      </c>
      <c r="R124">
        <f t="shared" ref="R124" si="597">R125+Q124</f>
        <v>-49505.809198772091</v>
      </c>
      <c r="S124">
        <f t="shared" ref="S124" si="598">R124/100000</f>
        <v>-0.49505809198772088</v>
      </c>
      <c r="T124">
        <f t="shared" ref="T124" si="599">S124/1000</f>
        <v>-4.9505809198772087E-4</v>
      </c>
    </row>
    <row r="125" spans="1:20" x14ac:dyDescent="0.25">
      <c r="A125" s="5">
        <v>44468</v>
      </c>
      <c r="B125">
        <v>1745</v>
      </c>
      <c r="C125">
        <v>1755</v>
      </c>
      <c r="D125">
        <v>1731</v>
      </c>
      <c r="E125">
        <v>1739</v>
      </c>
      <c r="F125">
        <v>1992.0575180000001</v>
      </c>
      <c r="G125">
        <v>1739</v>
      </c>
      <c r="L125" t="s">
        <v>8</v>
      </c>
      <c r="M125" t="s">
        <v>7</v>
      </c>
      <c r="N125" t="s">
        <v>8</v>
      </c>
      <c r="P125">
        <f t="shared" ref="P125" si="600">IF(C125=D125,0,((E125-D125)-(C125-E125))/(C125-D125))</f>
        <v>-0.33333333333333331</v>
      </c>
      <c r="Q125">
        <f t="shared" ref="Q125" si="601">F125*P125</f>
        <v>-664.01917266666669</v>
      </c>
      <c r="R125">
        <f t="shared" ref="R125" si="602">R126+Q125</f>
        <v>-51392.116020522088</v>
      </c>
      <c r="S125">
        <f t="shared" ref="S125" si="603">R125/100000</f>
        <v>-0.51392116020522083</v>
      </c>
      <c r="T125">
        <f t="shared" ref="T125" si="604">S125/1000</f>
        <v>-5.1392116020522081E-4</v>
      </c>
    </row>
    <row r="126" spans="1:20" x14ac:dyDescent="0.25">
      <c r="A126" s="5">
        <v>44467</v>
      </c>
      <c r="B126">
        <v>1759</v>
      </c>
      <c r="C126">
        <v>1762</v>
      </c>
      <c r="D126">
        <v>1738</v>
      </c>
      <c r="E126">
        <v>1745</v>
      </c>
      <c r="F126">
        <v>1711.6467520000001</v>
      </c>
      <c r="G126">
        <v>1745</v>
      </c>
      <c r="L126" t="s">
        <v>8</v>
      </c>
      <c r="M126" t="s">
        <v>7</v>
      </c>
      <c r="N126" t="s">
        <v>8</v>
      </c>
      <c r="P126">
        <f t="shared" ref="P126" si="605">IF(C126=D126,0,((E126-D126)-(C126-E126))/(C126-D126))</f>
        <v>-0.41666666666666669</v>
      </c>
      <c r="Q126">
        <f t="shared" ref="Q126" si="606">F126*P126</f>
        <v>-713.18614666666679</v>
      </c>
      <c r="R126">
        <f t="shared" ref="R126" si="607">R127+Q126</f>
        <v>-50728.09684785542</v>
      </c>
      <c r="S126">
        <f t="shared" ref="S126" si="608">R126/100000</f>
        <v>-0.5072809684785542</v>
      </c>
      <c r="T126">
        <f t="shared" ref="T126" si="609">S126/1000</f>
        <v>-5.0728096847855422E-4</v>
      </c>
    </row>
    <row r="127" spans="1:20" x14ac:dyDescent="0.25">
      <c r="A127" s="5">
        <v>44466</v>
      </c>
      <c r="B127">
        <v>1757</v>
      </c>
      <c r="C127">
        <v>1770</v>
      </c>
      <c r="D127">
        <v>1753</v>
      </c>
      <c r="E127">
        <v>1758</v>
      </c>
      <c r="F127">
        <v>1768.5376000000001</v>
      </c>
      <c r="G127">
        <v>1758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-0.41176470588235292</v>
      </c>
      <c r="Q127">
        <f t="shared" ref="Q127" si="611">F127*P127</f>
        <v>-728.22136470588237</v>
      </c>
      <c r="R127">
        <f t="shared" ref="R127" si="612">R128+Q127</f>
        <v>-50014.910701188754</v>
      </c>
      <c r="S127">
        <f t="shared" ref="S127" si="613">R127/100000</f>
        <v>-0.50014910701188753</v>
      </c>
      <c r="T127">
        <f t="shared" ref="T127" si="614">S127/1000</f>
        <v>-5.001491070118875E-4</v>
      </c>
    </row>
    <row r="128" spans="1:20" x14ac:dyDescent="0.25">
      <c r="A128" s="5">
        <v>44465</v>
      </c>
      <c r="B128">
        <v>1757</v>
      </c>
      <c r="C128">
        <v>1762</v>
      </c>
      <c r="D128">
        <v>1750</v>
      </c>
      <c r="E128">
        <v>1757</v>
      </c>
      <c r="F128">
        <v>1911.2892999999999</v>
      </c>
      <c r="G128">
        <v>1757</v>
      </c>
      <c r="L128" t="s">
        <v>8</v>
      </c>
      <c r="M128" t="s">
        <v>7</v>
      </c>
      <c r="N128" t="s">
        <v>8</v>
      </c>
      <c r="P128">
        <f t="shared" ref="P128" si="615">IF(C128=D128,0,((E128-D128)-(C128-E128))/(C128-D128))</f>
        <v>0.16666666666666666</v>
      </c>
      <c r="Q128">
        <f t="shared" ref="Q128" si="616">F128*P128</f>
        <v>318.54821666666663</v>
      </c>
      <c r="R128">
        <f t="shared" ref="R128" si="617">R129+Q128</f>
        <v>-49286.689336482872</v>
      </c>
      <c r="S128">
        <f t="shared" ref="S128" si="618">R128/100000</f>
        <v>-0.4928668933648287</v>
      </c>
      <c r="T128">
        <f t="shared" ref="T128" si="619">S128/1000</f>
        <v>-4.9286689336482874E-4</v>
      </c>
    </row>
    <row r="129" spans="1:20" x14ac:dyDescent="0.25">
      <c r="A129" s="5">
        <v>44464</v>
      </c>
      <c r="B129">
        <v>1759</v>
      </c>
      <c r="C129">
        <v>1764</v>
      </c>
      <c r="D129">
        <v>1751</v>
      </c>
      <c r="E129">
        <v>1756</v>
      </c>
      <c r="F129">
        <v>1339.4944</v>
      </c>
      <c r="G129">
        <v>1756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-0.23076923076923078</v>
      </c>
      <c r="Q129">
        <f t="shared" ref="Q129" si="621">F129*P129</f>
        <v>-309.11409230769232</v>
      </c>
      <c r="R129">
        <f t="shared" ref="R129" si="622">R130+Q129</f>
        <v>-49605.237553149542</v>
      </c>
      <c r="S129">
        <f t="shared" ref="S129" si="623">R129/100000</f>
        <v>-0.49605237553149539</v>
      </c>
      <c r="T129">
        <f t="shared" ref="T129" si="624">S129/1000</f>
        <v>-4.9605237553149541E-4</v>
      </c>
    </row>
    <row r="130" spans="1:20" x14ac:dyDescent="0.25">
      <c r="A130" s="5">
        <v>44463</v>
      </c>
      <c r="B130">
        <v>1756</v>
      </c>
      <c r="C130">
        <v>1766</v>
      </c>
      <c r="D130">
        <v>1747</v>
      </c>
      <c r="E130">
        <v>1759</v>
      </c>
      <c r="F130">
        <v>2895.8651</v>
      </c>
      <c r="G130">
        <v>1759</v>
      </c>
      <c r="L130" t="s">
        <v>8</v>
      </c>
      <c r="M130" t="s">
        <v>7</v>
      </c>
      <c r="N130" t="s">
        <v>8</v>
      </c>
      <c r="P130">
        <f t="shared" ref="P130" si="625">IF(C130=D130,0,((E130-D130)-(C130-E130))/(C130-D130))</f>
        <v>0.26315789473684209</v>
      </c>
      <c r="Q130">
        <f t="shared" ref="Q130" si="626">F130*P130</f>
        <v>762.06976315789473</v>
      </c>
      <c r="R130">
        <f t="shared" ref="R130" si="627">R131+Q130</f>
        <v>-49296.123460841853</v>
      </c>
      <c r="S130">
        <f t="shared" ref="S130" si="628">R130/100000</f>
        <v>-0.49296123460841851</v>
      </c>
      <c r="T130">
        <f t="shared" ref="T130" si="629">S130/1000</f>
        <v>-4.9296123460841851E-4</v>
      </c>
    </row>
    <row r="131" spans="1:20" x14ac:dyDescent="0.25">
      <c r="A131" s="5">
        <v>44462</v>
      </c>
      <c r="B131">
        <v>1771</v>
      </c>
      <c r="C131">
        <v>1782</v>
      </c>
      <c r="D131">
        <v>1744</v>
      </c>
      <c r="E131">
        <v>1756</v>
      </c>
      <c r="F131">
        <v>3124.8753299999998</v>
      </c>
      <c r="G131">
        <v>1756</v>
      </c>
      <c r="L131" t="s">
        <v>8</v>
      </c>
      <c r="M131" t="s">
        <v>7</v>
      </c>
      <c r="N131" t="s">
        <v>8</v>
      </c>
      <c r="P131">
        <f t="shared" ref="P131" si="630">IF(C131=D131,0,((E131-D131)-(C131-E131))/(C131-D131))</f>
        <v>-0.36842105263157893</v>
      </c>
      <c r="Q131">
        <f t="shared" ref="Q131" si="631">F131*P131</f>
        <v>-1151.2698584210525</v>
      </c>
      <c r="R131">
        <f t="shared" ref="R131" si="632">R132+Q131</f>
        <v>-50058.193223999748</v>
      </c>
      <c r="S131">
        <f t="shared" ref="S131" si="633">R131/100000</f>
        <v>-0.50058193223999747</v>
      </c>
      <c r="T131">
        <f t="shared" ref="T131" si="634">S131/1000</f>
        <v>-5.0058193223999749E-4</v>
      </c>
    </row>
    <row r="132" spans="1:20" x14ac:dyDescent="0.25">
      <c r="A132" s="5">
        <v>44461</v>
      </c>
      <c r="B132">
        <v>1783</v>
      </c>
      <c r="C132">
        <v>1792</v>
      </c>
      <c r="D132">
        <v>1770</v>
      </c>
      <c r="E132">
        <v>1770</v>
      </c>
      <c r="F132">
        <v>3762.5232000000001</v>
      </c>
      <c r="G132">
        <v>1770</v>
      </c>
      <c r="L132" t="s">
        <v>8</v>
      </c>
      <c r="M132" t="s">
        <v>7</v>
      </c>
      <c r="N132" t="s">
        <v>8</v>
      </c>
      <c r="P132">
        <f t="shared" ref="P132" si="635">IF(C132=D132,0,((E132-D132)-(C132-E132))/(C132-D132))</f>
        <v>-1</v>
      </c>
      <c r="Q132">
        <f t="shared" ref="Q132" si="636">F132*P132</f>
        <v>-3762.5232000000001</v>
      </c>
      <c r="R132">
        <f t="shared" ref="R132" si="637">R133+Q132</f>
        <v>-48906.923365578696</v>
      </c>
      <c r="S132">
        <f t="shared" ref="S132" si="638">R132/100000</f>
        <v>-0.48906923365578697</v>
      </c>
      <c r="T132">
        <f t="shared" ref="T132" si="639">S132/1000</f>
        <v>-4.8906923365578696E-4</v>
      </c>
    </row>
    <row r="133" spans="1:20" x14ac:dyDescent="0.25">
      <c r="A133" s="5">
        <v>44460</v>
      </c>
      <c r="B133">
        <v>1777</v>
      </c>
      <c r="C133">
        <v>1790</v>
      </c>
      <c r="D133">
        <v>1760</v>
      </c>
      <c r="E133">
        <v>1783</v>
      </c>
      <c r="F133">
        <v>5540.6161000000002</v>
      </c>
      <c r="G133">
        <v>1783</v>
      </c>
      <c r="L133" t="s">
        <v>8</v>
      </c>
      <c r="M133" t="s">
        <v>7</v>
      </c>
      <c r="N133" t="s">
        <v>8</v>
      </c>
      <c r="P133">
        <f t="shared" ref="P133" si="640">IF(C133=D133,0,((E133-D133)-(C133-E133))/(C133-D133))</f>
        <v>0.53333333333333333</v>
      </c>
      <c r="Q133">
        <f t="shared" ref="Q133" si="641">F133*P133</f>
        <v>2954.9952533333335</v>
      </c>
      <c r="R133">
        <f t="shared" ref="R133" si="642">R134+Q133</f>
        <v>-45144.400165578692</v>
      </c>
      <c r="S133">
        <f t="shared" ref="S133" si="643">R133/100000</f>
        <v>-0.45144400165578691</v>
      </c>
      <c r="T133">
        <f t="shared" ref="T133" si="644">S133/1000</f>
        <v>-4.514440016557869E-4</v>
      </c>
    </row>
    <row r="134" spans="1:20" x14ac:dyDescent="0.25">
      <c r="A134" s="5">
        <v>44459</v>
      </c>
      <c r="B134">
        <v>1764</v>
      </c>
      <c r="C134">
        <v>1771</v>
      </c>
      <c r="D134">
        <v>1747</v>
      </c>
      <c r="E134">
        <v>1768</v>
      </c>
      <c r="F134">
        <v>1686.508137</v>
      </c>
      <c r="G134">
        <v>1768</v>
      </c>
      <c r="L134" t="s">
        <v>8</v>
      </c>
      <c r="M134" t="s">
        <v>7</v>
      </c>
      <c r="N134" t="s">
        <v>8</v>
      </c>
      <c r="P134">
        <f t="shared" ref="P134" si="645">IF(C134=D134,0,((E134-D134)-(C134-E134))/(C134-D134))</f>
        <v>0.75</v>
      </c>
      <c r="Q134">
        <f t="shared" ref="Q134" si="646">F134*P134</f>
        <v>1264.8811027500001</v>
      </c>
      <c r="R134">
        <f t="shared" ref="R134" si="647">R135+Q134</f>
        <v>-48099.395418912027</v>
      </c>
      <c r="S134">
        <f t="shared" ref="S134" si="648">R134/100000</f>
        <v>-0.48099395418912028</v>
      </c>
      <c r="T134">
        <f t="shared" ref="T134" si="649">S134/1000</f>
        <v>-4.8099395418912028E-4</v>
      </c>
    </row>
    <row r="135" spans="1:20" x14ac:dyDescent="0.25">
      <c r="A135" s="5">
        <v>44458</v>
      </c>
      <c r="B135">
        <v>1768</v>
      </c>
      <c r="C135">
        <v>1775</v>
      </c>
      <c r="D135">
        <v>1759</v>
      </c>
      <c r="E135">
        <v>1764</v>
      </c>
      <c r="F135">
        <v>1106.1548</v>
      </c>
      <c r="G135">
        <v>1764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-0.375</v>
      </c>
      <c r="Q135">
        <f t="shared" ref="Q135" si="651">F135*P135</f>
        <v>-414.80804999999998</v>
      </c>
      <c r="R135">
        <f t="shared" ref="R135" si="652">R136+Q135</f>
        <v>-49364.276521662025</v>
      </c>
      <c r="S135">
        <f t="shared" ref="S135" si="653">R135/100000</f>
        <v>-0.49364276521662026</v>
      </c>
      <c r="T135">
        <f t="shared" ref="T135" si="654">S135/1000</f>
        <v>-4.9364276521662029E-4</v>
      </c>
    </row>
    <row r="136" spans="1:20" x14ac:dyDescent="0.25">
      <c r="A136" s="5">
        <v>44457</v>
      </c>
      <c r="B136">
        <v>1765</v>
      </c>
      <c r="C136">
        <v>1773</v>
      </c>
      <c r="D136">
        <v>1757</v>
      </c>
      <c r="E136">
        <v>1768</v>
      </c>
      <c r="F136">
        <v>1501.4973</v>
      </c>
      <c r="G136">
        <v>1768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0.375</v>
      </c>
      <c r="Q136">
        <f t="shared" ref="Q136" si="656">F136*P136</f>
        <v>563.0614875</v>
      </c>
      <c r="R136">
        <f t="shared" ref="R136" si="657">R137+Q136</f>
        <v>-48949.468471662025</v>
      </c>
      <c r="S136">
        <f t="shared" ref="S136" si="658">R136/100000</f>
        <v>-0.48949468471662028</v>
      </c>
      <c r="T136">
        <f t="shared" ref="T136" si="659">S136/1000</f>
        <v>-4.8949468471662025E-4</v>
      </c>
    </row>
    <row r="137" spans="1:20" x14ac:dyDescent="0.25">
      <c r="A137" s="5">
        <v>44456</v>
      </c>
      <c r="B137">
        <v>1764</v>
      </c>
      <c r="C137">
        <v>1777</v>
      </c>
      <c r="D137">
        <v>1755</v>
      </c>
      <c r="E137">
        <v>1765</v>
      </c>
      <c r="F137">
        <v>2065.7235000000001</v>
      </c>
      <c r="G137">
        <v>1765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-9.0909090909090912E-2</v>
      </c>
      <c r="Q137">
        <f t="shared" ref="Q137" si="661">F137*P137</f>
        <v>-187.79304545454548</v>
      </c>
      <c r="R137">
        <f t="shared" ref="R137" si="662">R138+Q137</f>
        <v>-49512.529959162028</v>
      </c>
      <c r="S137">
        <f t="shared" ref="S137" si="663">R137/100000</f>
        <v>-0.49512529959162027</v>
      </c>
      <c r="T137">
        <f t="shared" ref="T137" si="664">S137/1000</f>
        <v>-4.951252995916203E-4</v>
      </c>
    </row>
    <row r="138" spans="1:20" x14ac:dyDescent="0.25">
      <c r="A138" s="5">
        <v>44455</v>
      </c>
      <c r="B138">
        <v>1798</v>
      </c>
      <c r="C138">
        <v>1802</v>
      </c>
      <c r="D138">
        <v>1755</v>
      </c>
      <c r="E138">
        <v>1764</v>
      </c>
      <c r="F138">
        <v>3231.1210999999998</v>
      </c>
      <c r="G138">
        <v>1764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-0.61702127659574468</v>
      </c>
      <c r="Q138">
        <f t="shared" ref="Q138" si="666">F138*P138</f>
        <v>-1993.6704659574468</v>
      </c>
      <c r="R138">
        <f t="shared" ref="R138" si="667">R139+Q138</f>
        <v>-49324.736913707486</v>
      </c>
      <c r="S138">
        <f t="shared" ref="S138" si="668">R138/100000</f>
        <v>-0.49324736913707484</v>
      </c>
      <c r="T138">
        <f t="shared" ref="T138" si="669">S138/1000</f>
        <v>-4.9324736913707479E-4</v>
      </c>
    </row>
    <row r="139" spans="1:20" x14ac:dyDescent="0.25">
      <c r="A139" s="5">
        <v>44454</v>
      </c>
      <c r="B139">
        <v>1805</v>
      </c>
      <c r="C139">
        <v>1810</v>
      </c>
      <c r="D139">
        <v>1794</v>
      </c>
      <c r="E139">
        <v>1798</v>
      </c>
      <c r="F139">
        <v>1816.4779000000001</v>
      </c>
      <c r="G139">
        <v>1798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-0.5</v>
      </c>
      <c r="Q139">
        <f t="shared" ref="Q139" si="671">F139*P139</f>
        <v>-908.23895000000005</v>
      </c>
      <c r="R139">
        <f t="shared" ref="R139" si="672">R140+Q139</f>
        <v>-47331.06644775004</v>
      </c>
      <c r="S139">
        <f t="shared" ref="S139" si="673">R139/100000</f>
        <v>-0.47331066447750042</v>
      </c>
      <c r="T139">
        <f t="shared" ref="T139" si="674">S139/1000</f>
        <v>-4.7331066447750043E-4</v>
      </c>
    </row>
    <row r="140" spans="1:20" x14ac:dyDescent="0.25">
      <c r="A140" s="5">
        <v>44453</v>
      </c>
      <c r="B140">
        <v>1800</v>
      </c>
      <c r="C140">
        <v>1813</v>
      </c>
      <c r="D140">
        <v>1785</v>
      </c>
      <c r="E140">
        <v>1805</v>
      </c>
      <c r="F140">
        <v>2535.0686000000001</v>
      </c>
      <c r="G140">
        <v>1805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0.42857142857142855</v>
      </c>
      <c r="Q140">
        <f t="shared" ref="Q140" si="676">F140*P140</f>
        <v>1086.4579714285715</v>
      </c>
      <c r="R140">
        <f t="shared" ref="R140" si="677">R141+Q140</f>
        <v>-46422.82749775004</v>
      </c>
      <c r="S140">
        <f t="shared" ref="S140" si="678">R140/100000</f>
        <v>-0.46422827497750041</v>
      </c>
      <c r="T140">
        <f t="shared" ref="T140" si="679">S140/1000</f>
        <v>-4.6422827497750042E-4</v>
      </c>
    </row>
    <row r="141" spans="1:20" x14ac:dyDescent="0.25">
      <c r="A141" s="5">
        <v>44452</v>
      </c>
      <c r="B141">
        <v>1794</v>
      </c>
      <c r="C141">
        <v>1807</v>
      </c>
      <c r="D141">
        <v>1786</v>
      </c>
      <c r="E141">
        <v>1799</v>
      </c>
      <c r="F141">
        <v>3147.3456000000001</v>
      </c>
      <c r="G141">
        <v>1799</v>
      </c>
      <c r="L141" t="s">
        <v>8</v>
      </c>
      <c r="M141" t="s">
        <v>7</v>
      </c>
      <c r="N141" t="s">
        <v>8</v>
      </c>
      <c r="P141">
        <f t="shared" ref="P141" si="680">IF(C141=D141,0,((E141-D141)-(C141-E141))/(C141-D141))</f>
        <v>0.23809523809523808</v>
      </c>
      <c r="Q141">
        <f t="shared" ref="Q141" si="681">F141*P141</f>
        <v>749.36799999999994</v>
      </c>
      <c r="R141">
        <f t="shared" ref="R141" si="682">R142+Q141</f>
        <v>-47509.285469178612</v>
      </c>
      <c r="S141">
        <f t="shared" ref="S141" si="683">R141/100000</f>
        <v>-0.47509285469178614</v>
      </c>
      <c r="T141">
        <f t="shared" ref="T141" si="684">S141/1000</f>
        <v>-4.7509285469178613E-4</v>
      </c>
    </row>
    <row r="142" spans="1:20" x14ac:dyDescent="0.25">
      <c r="A142" s="5">
        <v>44451</v>
      </c>
      <c r="B142">
        <v>1799</v>
      </c>
      <c r="C142">
        <v>1812</v>
      </c>
      <c r="D142">
        <v>1778</v>
      </c>
      <c r="E142">
        <v>1793</v>
      </c>
      <c r="F142">
        <v>2986.9258</v>
      </c>
      <c r="G142">
        <v>1793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-0.11764705882352941</v>
      </c>
      <c r="Q142">
        <f t="shared" ref="Q142" si="686">F142*P142</f>
        <v>-351.40303529411761</v>
      </c>
      <c r="R142">
        <f t="shared" ref="R142" si="687">R143+Q142</f>
        <v>-48258.653469178615</v>
      </c>
      <c r="S142">
        <f t="shared" ref="S142" si="688">R142/100000</f>
        <v>-0.48258653469178614</v>
      </c>
      <c r="T142">
        <f t="shared" ref="T142" si="689">S142/1000</f>
        <v>-4.8258653469178614E-4</v>
      </c>
    </row>
    <row r="143" spans="1:20" x14ac:dyDescent="0.25">
      <c r="A143" s="5">
        <v>44450</v>
      </c>
      <c r="B143">
        <v>1793</v>
      </c>
      <c r="C143">
        <v>1805</v>
      </c>
      <c r="D143">
        <v>1788</v>
      </c>
      <c r="E143">
        <v>1798</v>
      </c>
      <c r="F143">
        <v>1370.2375</v>
      </c>
      <c r="G143">
        <v>1798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0.17647058823529413</v>
      </c>
      <c r="Q143">
        <f t="shared" ref="Q143" si="691">F143*P143</f>
        <v>241.80661764705883</v>
      </c>
      <c r="R143">
        <f t="shared" ref="R143" si="692">R144+Q143</f>
        <v>-47907.250433884496</v>
      </c>
      <c r="S143">
        <f t="shared" ref="S143" si="693">R143/100000</f>
        <v>-0.47907250433884496</v>
      </c>
      <c r="T143">
        <f t="shared" ref="T143" si="694">S143/1000</f>
        <v>-4.7907250433884498E-4</v>
      </c>
    </row>
    <row r="144" spans="1:20" x14ac:dyDescent="0.25">
      <c r="A144" s="5">
        <v>44449</v>
      </c>
      <c r="B144">
        <v>1796</v>
      </c>
      <c r="C144">
        <v>1806</v>
      </c>
      <c r="D144">
        <v>1788</v>
      </c>
      <c r="E144">
        <v>1794</v>
      </c>
      <c r="F144">
        <v>2759.0889999999999</v>
      </c>
      <c r="G144">
        <v>1794</v>
      </c>
      <c r="L144" t="s">
        <v>8</v>
      </c>
      <c r="M144" t="s">
        <v>7</v>
      </c>
      <c r="N144" t="s">
        <v>8</v>
      </c>
      <c r="P144">
        <f t="shared" ref="P144" si="695">IF(C144=D144,0,((E144-D144)-(C144-E144))/(C144-D144))</f>
        <v>-0.33333333333333331</v>
      </c>
      <c r="Q144">
        <f t="shared" ref="Q144" si="696">F144*P144</f>
        <v>-919.69633333333331</v>
      </c>
      <c r="R144">
        <f t="shared" ref="R144" si="697">R145+Q144</f>
        <v>-48149.057051531556</v>
      </c>
      <c r="S144">
        <f t="shared" ref="S144" si="698">R144/100000</f>
        <v>-0.48149057051531557</v>
      </c>
      <c r="T144">
        <f t="shared" ref="T144" si="699">S144/1000</f>
        <v>-4.814905705153156E-4</v>
      </c>
    </row>
    <row r="145" spans="1:20" x14ac:dyDescent="0.25">
      <c r="A145" s="5">
        <v>44448</v>
      </c>
      <c r="B145">
        <v>1789</v>
      </c>
      <c r="C145">
        <v>1803</v>
      </c>
      <c r="D145">
        <v>1787</v>
      </c>
      <c r="E145">
        <v>1796</v>
      </c>
      <c r="F145">
        <v>2229.6691999999998</v>
      </c>
      <c r="G145">
        <v>1796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0.125</v>
      </c>
      <c r="Q145">
        <f t="shared" ref="Q145" si="701">F145*P145</f>
        <v>278.70864999999998</v>
      </c>
      <c r="R145">
        <f t="shared" ref="R145" si="702">R146+Q145</f>
        <v>-47229.360718198222</v>
      </c>
      <c r="S145">
        <f t="shared" ref="S145" si="703">R145/100000</f>
        <v>-0.47229360718198221</v>
      </c>
      <c r="T145">
        <f t="shared" ref="T145" si="704">S145/1000</f>
        <v>-4.722936071819822E-4</v>
      </c>
    </row>
    <row r="146" spans="1:20" x14ac:dyDescent="0.25">
      <c r="A146" s="5">
        <v>44447</v>
      </c>
      <c r="B146">
        <v>1793</v>
      </c>
      <c r="C146">
        <v>1802</v>
      </c>
      <c r="D146">
        <v>1778</v>
      </c>
      <c r="E146">
        <v>1789</v>
      </c>
      <c r="F146">
        <v>2689.2591000000002</v>
      </c>
      <c r="G146">
        <v>1789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-8.3333333333333329E-2</v>
      </c>
      <c r="Q146">
        <f t="shared" ref="Q146" si="706">F146*P146</f>
        <v>-224.10492500000001</v>
      </c>
      <c r="R146">
        <f t="shared" ref="R146" si="707">R147+Q146</f>
        <v>-47508.069368198223</v>
      </c>
      <c r="S146">
        <f t="shared" ref="S146" si="708">R146/100000</f>
        <v>-0.47508069368198225</v>
      </c>
      <c r="T146">
        <f t="shared" ref="T146" si="709">S146/1000</f>
        <v>-4.7508069368198226E-4</v>
      </c>
    </row>
    <row r="147" spans="1:20" x14ac:dyDescent="0.25">
      <c r="A147" s="5">
        <v>44446</v>
      </c>
      <c r="B147">
        <v>1827</v>
      </c>
      <c r="C147">
        <v>1832</v>
      </c>
      <c r="D147">
        <v>1781</v>
      </c>
      <c r="E147">
        <v>1791</v>
      </c>
      <c r="F147">
        <v>4421.8593000000001</v>
      </c>
      <c r="G147">
        <v>1791</v>
      </c>
      <c r="L147" t="s">
        <v>8</v>
      </c>
      <c r="M147" t="s">
        <v>7</v>
      </c>
      <c r="N147" t="s">
        <v>8</v>
      </c>
      <c r="P147">
        <f t="shared" ref="P147" si="710">IF(C147=D147,0,((E147-D147)-(C147-E147))/(C147-D147))</f>
        <v>-0.60784313725490191</v>
      </c>
      <c r="Q147">
        <f t="shared" ref="Q147" si="711">F147*P147</f>
        <v>-2687.7968294117645</v>
      </c>
      <c r="R147">
        <f t="shared" ref="R147" si="712">R148+Q147</f>
        <v>-47283.964443198223</v>
      </c>
      <c r="S147">
        <f t="shared" ref="S147" si="713">R147/100000</f>
        <v>-0.47283964443198223</v>
      </c>
      <c r="T147">
        <f t="shared" ref="T147" si="714">S147/1000</f>
        <v>-4.7283964443198224E-4</v>
      </c>
    </row>
    <row r="148" spans="1:20" x14ac:dyDescent="0.25">
      <c r="A148" s="5">
        <v>44445</v>
      </c>
      <c r="B148">
        <v>1829</v>
      </c>
      <c r="C148">
        <v>1847.31</v>
      </c>
      <c r="D148">
        <v>1820</v>
      </c>
      <c r="E148">
        <v>1826</v>
      </c>
      <c r="F148">
        <v>3859.2395329999999</v>
      </c>
      <c r="G148">
        <v>1826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-0.56060051263273436</v>
      </c>
      <c r="Q148">
        <f t="shared" ref="Q148" si="716">F148*P148</f>
        <v>-2163.4916605723142</v>
      </c>
      <c r="R148">
        <f t="shared" ref="R148" si="717">R149+Q148</f>
        <v>-44596.167613786456</v>
      </c>
      <c r="S148">
        <f t="shared" ref="S148" si="718">R148/100000</f>
        <v>-0.44596167613786458</v>
      </c>
      <c r="T148">
        <f t="shared" ref="T148" si="719">S148/1000</f>
        <v>-4.4596167613786459E-4</v>
      </c>
    </row>
    <row r="149" spans="1:20" x14ac:dyDescent="0.25">
      <c r="A149" s="5">
        <v>44444</v>
      </c>
      <c r="B149">
        <v>1825</v>
      </c>
      <c r="C149">
        <v>1837.96</v>
      </c>
      <c r="D149">
        <v>1822</v>
      </c>
      <c r="E149">
        <v>1828</v>
      </c>
      <c r="F149">
        <v>1448.5734</v>
      </c>
      <c r="G149">
        <v>1828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-0.24812030075188141</v>
      </c>
      <c r="Q149">
        <f t="shared" ref="Q149" si="721">F149*P149</f>
        <v>-359.42046766917542</v>
      </c>
      <c r="R149">
        <f t="shared" ref="R149" si="722">R150+Q149</f>
        <v>-42432.675953214144</v>
      </c>
      <c r="S149">
        <f t="shared" ref="S149" si="723">R149/100000</f>
        <v>-0.42432675953214144</v>
      </c>
      <c r="T149">
        <f t="shared" ref="T149" si="724">S149/1000</f>
        <v>-4.2432675953214143E-4</v>
      </c>
    </row>
    <row r="150" spans="1:20" x14ac:dyDescent="0.25">
      <c r="A150" s="5">
        <v>44443</v>
      </c>
      <c r="B150">
        <v>1830</v>
      </c>
      <c r="C150">
        <v>1835</v>
      </c>
      <c r="D150">
        <v>1823</v>
      </c>
      <c r="E150">
        <v>1824</v>
      </c>
      <c r="F150">
        <v>1014.4003</v>
      </c>
      <c r="G150">
        <v>1824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-0.83333333333333337</v>
      </c>
      <c r="Q150">
        <f t="shared" ref="Q150" si="726">F150*P150</f>
        <v>-845.33358333333342</v>
      </c>
      <c r="R150">
        <f t="shared" ref="R150" si="727">R151+Q150</f>
        <v>-42073.255485544971</v>
      </c>
      <c r="S150">
        <f t="shared" ref="S150" si="728">R150/100000</f>
        <v>-0.42073255485544969</v>
      </c>
      <c r="T150">
        <f t="shared" ref="T150" si="729">S150/1000</f>
        <v>-4.2073255485544967E-4</v>
      </c>
    </row>
    <row r="151" spans="1:20" x14ac:dyDescent="0.25">
      <c r="A151" s="5">
        <v>44442</v>
      </c>
      <c r="B151">
        <v>1815</v>
      </c>
      <c r="C151">
        <v>1836</v>
      </c>
      <c r="D151">
        <v>1805</v>
      </c>
      <c r="E151">
        <v>1830</v>
      </c>
      <c r="F151">
        <v>2308.1316999999999</v>
      </c>
      <c r="G151">
        <v>1830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0.61290322580645162</v>
      </c>
      <c r="Q151">
        <f t="shared" ref="Q151" si="731">F151*P151</f>
        <v>1414.661364516129</v>
      </c>
      <c r="R151">
        <f t="shared" ref="R151" si="732">R152+Q151</f>
        <v>-41227.921902211638</v>
      </c>
      <c r="S151">
        <f t="shared" ref="S151" si="733">R151/100000</f>
        <v>-0.41227921902211639</v>
      </c>
      <c r="T151">
        <f t="shared" ref="T151" si="734">S151/1000</f>
        <v>-4.122792190221164E-4</v>
      </c>
    </row>
    <row r="152" spans="1:20" x14ac:dyDescent="0.25">
      <c r="A152" s="5">
        <v>44441</v>
      </c>
      <c r="B152">
        <v>1820</v>
      </c>
      <c r="C152">
        <v>1823</v>
      </c>
      <c r="D152">
        <v>1808</v>
      </c>
      <c r="E152">
        <v>1816</v>
      </c>
      <c r="F152">
        <v>1455.6541</v>
      </c>
      <c r="G152">
        <v>1816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6.6666666666666666E-2</v>
      </c>
      <c r="Q152">
        <f t="shared" ref="Q152" si="736">F152*P152</f>
        <v>97.043606666666662</v>
      </c>
      <c r="R152">
        <f t="shared" ref="R152" si="737">R153+Q152</f>
        <v>-42642.583266727765</v>
      </c>
      <c r="S152">
        <f t="shared" ref="S152" si="738">R152/100000</f>
        <v>-0.42642583266727763</v>
      </c>
      <c r="T152">
        <f t="shared" ref="T152" si="739">S152/1000</f>
        <v>-4.264258326672776E-4</v>
      </c>
    </row>
    <row r="153" spans="1:20" x14ac:dyDescent="0.25">
      <c r="A153" s="5">
        <v>44440</v>
      </c>
      <c r="B153">
        <v>1817</v>
      </c>
      <c r="C153">
        <v>1825</v>
      </c>
      <c r="D153">
        <v>1812</v>
      </c>
      <c r="E153">
        <v>1820</v>
      </c>
      <c r="F153">
        <v>2096.2397000000001</v>
      </c>
      <c r="G153">
        <v>1820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0.23076923076923078</v>
      </c>
      <c r="Q153">
        <f t="shared" ref="Q153" si="741">F153*P153</f>
        <v>483.74762307692311</v>
      </c>
      <c r="R153">
        <f t="shared" ref="R153" si="742">R154+Q153</f>
        <v>-42739.626873394431</v>
      </c>
      <c r="S153">
        <f t="shared" ref="S153" si="743">R153/100000</f>
        <v>-0.42739626873394432</v>
      </c>
      <c r="T153">
        <f t="shared" ref="T153" si="744">S153/1000</f>
        <v>-4.273962687339443E-4</v>
      </c>
    </row>
    <row r="154" spans="1:20" x14ac:dyDescent="0.25">
      <c r="A154" s="5">
        <v>44439</v>
      </c>
      <c r="B154">
        <v>1815</v>
      </c>
      <c r="C154">
        <v>1825</v>
      </c>
      <c r="D154">
        <v>1803</v>
      </c>
      <c r="E154">
        <v>1816</v>
      </c>
      <c r="F154">
        <v>1994.7046</v>
      </c>
      <c r="G154">
        <v>1816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0.18181818181818182</v>
      </c>
      <c r="Q154">
        <f t="shared" ref="Q154" si="746">F154*P154</f>
        <v>362.67356363636367</v>
      </c>
      <c r="R154">
        <f t="shared" ref="R154" si="747">R155+Q154</f>
        <v>-43223.374496471355</v>
      </c>
      <c r="S154">
        <f t="shared" ref="S154" si="748">R154/100000</f>
        <v>-0.43223374496471356</v>
      </c>
      <c r="T154">
        <f t="shared" ref="T154" si="749">S154/1000</f>
        <v>-4.3223374496471358E-4</v>
      </c>
    </row>
    <row r="155" spans="1:20" x14ac:dyDescent="0.25">
      <c r="A155" s="5">
        <v>44438</v>
      </c>
      <c r="B155">
        <v>1819</v>
      </c>
      <c r="C155">
        <v>1824</v>
      </c>
      <c r="D155">
        <v>1810</v>
      </c>
      <c r="E155">
        <v>1814</v>
      </c>
      <c r="F155">
        <v>1301.9132999999999</v>
      </c>
      <c r="G155">
        <v>1814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-0.42857142857142855</v>
      </c>
      <c r="Q155">
        <f t="shared" ref="Q155" si="751">F155*P155</f>
        <v>-557.96284285714285</v>
      </c>
      <c r="R155">
        <f t="shared" ref="R155" si="752">R156+Q155</f>
        <v>-43586.048060107722</v>
      </c>
      <c r="S155">
        <f t="shared" ref="S155" si="753">R155/100000</f>
        <v>-0.43586048060107724</v>
      </c>
      <c r="T155">
        <f t="shared" ref="T155" si="754">S155/1000</f>
        <v>-4.3586048060107726E-4</v>
      </c>
    </row>
    <row r="156" spans="1:20" x14ac:dyDescent="0.25">
      <c r="A156" s="5">
        <v>44437</v>
      </c>
      <c r="B156">
        <v>1820</v>
      </c>
      <c r="C156">
        <v>1825</v>
      </c>
      <c r="D156">
        <v>1814</v>
      </c>
      <c r="E156">
        <v>1819</v>
      </c>
      <c r="F156">
        <v>827.75319999999999</v>
      </c>
      <c r="G156">
        <v>1819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-9.0909090909090912E-2</v>
      </c>
      <c r="Q156">
        <f t="shared" ref="Q156" si="756">F156*P156</f>
        <v>-75.250290909090907</v>
      </c>
      <c r="R156">
        <f t="shared" ref="R156" si="757">R157+Q156</f>
        <v>-43028.085217250577</v>
      </c>
      <c r="S156">
        <f t="shared" ref="S156" si="758">R156/100000</f>
        <v>-0.43028085217250578</v>
      </c>
      <c r="T156">
        <f t="shared" ref="T156" si="759">S156/1000</f>
        <v>-4.302808521725058E-4</v>
      </c>
    </row>
    <row r="157" spans="1:20" x14ac:dyDescent="0.25">
      <c r="A157" s="5">
        <v>44436</v>
      </c>
      <c r="B157">
        <v>1822</v>
      </c>
      <c r="C157">
        <v>1824</v>
      </c>
      <c r="D157">
        <v>1816</v>
      </c>
      <c r="E157">
        <v>1820</v>
      </c>
      <c r="F157">
        <v>586.70069999999998</v>
      </c>
      <c r="G157">
        <v>1820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</v>
      </c>
      <c r="Q157">
        <f t="shared" ref="Q157" si="761">F157*P157</f>
        <v>0</v>
      </c>
      <c r="R157">
        <f t="shared" ref="R157" si="762">R158+Q157</f>
        <v>-42952.834926341486</v>
      </c>
      <c r="S157">
        <f t="shared" ref="S157" si="763">R157/100000</f>
        <v>-0.42952834926341488</v>
      </c>
      <c r="T157">
        <f t="shared" ref="T157" si="764">S157/1000</f>
        <v>-4.2952834926341489E-4</v>
      </c>
    </row>
    <row r="158" spans="1:20" x14ac:dyDescent="0.25">
      <c r="A158" s="5">
        <v>44435</v>
      </c>
      <c r="B158">
        <v>1799</v>
      </c>
      <c r="C158">
        <v>1823</v>
      </c>
      <c r="D158">
        <v>1791</v>
      </c>
      <c r="E158">
        <v>1822</v>
      </c>
      <c r="F158">
        <v>2893.444853</v>
      </c>
      <c r="G158">
        <v>1822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0.9375</v>
      </c>
      <c r="Q158">
        <f t="shared" ref="Q158" si="766">F158*P158</f>
        <v>2712.6045496874999</v>
      </c>
      <c r="R158">
        <f t="shared" ref="R158" si="767">R159+Q158</f>
        <v>-42952.834926341486</v>
      </c>
      <c r="S158">
        <f t="shared" ref="S158" si="768">R158/100000</f>
        <v>-0.42952834926341488</v>
      </c>
      <c r="T158">
        <f t="shared" ref="T158" si="769">S158/1000</f>
        <v>-4.2952834926341489E-4</v>
      </c>
    </row>
    <row r="159" spans="1:20" x14ac:dyDescent="0.25">
      <c r="A159" s="5">
        <v>44434</v>
      </c>
      <c r="B159">
        <v>1797.34</v>
      </c>
      <c r="C159">
        <v>1806</v>
      </c>
      <c r="D159">
        <v>1784</v>
      </c>
      <c r="E159">
        <v>1798</v>
      </c>
      <c r="F159">
        <v>2206.9254980000001</v>
      </c>
      <c r="G159">
        <v>1798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0.27272727272727271</v>
      </c>
      <c r="Q159">
        <f t="shared" ref="Q159" si="771">F159*P159</f>
        <v>601.88877218181813</v>
      </c>
      <c r="R159">
        <f t="shared" ref="R159" si="772">R160+Q159</f>
        <v>-45665.439476028987</v>
      </c>
      <c r="S159">
        <f t="shared" ref="S159" si="773">R159/100000</f>
        <v>-0.45665439476028985</v>
      </c>
      <c r="T159">
        <f t="shared" ref="T159" si="774">S159/1000</f>
        <v>-4.5665439476028985E-4</v>
      </c>
    </row>
    <row r="160" spans="1:20" x14ac:dyDescent="0.25">
      <c r="A160" s="5">
        <v>44433</v>
      </c>
      <c r="B160">
        <v>1801.4</v>
      </c>
      <c r="C160">
        <v>1805</v>
      </c>
      <c r="D160">
        <v>1788.27</v>
      </c>
      <c r="E160">
        <v>1797.46</v>
      </c>
      <c r="F160">
        <v>1175.8133210000001</v>
      </c>
      <c r="G160">
        <v>1797.46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9.8625224148242027E-2</v>
      </c>
      <c r="Q160">
        <f t="shared" ref="Q160" si="776">F160*P160</f>
        <v>115.96485234011386</v>
      </c>
      <c r="R160">
        <f t="shared" ref="R160" si="777">R161+Q160</f>
        <v>-46267.328248210804</v>
      </c>
      <c r="S160">
        <f t="shared" ref="S160" si="778">R160/100000</f>
        <v>-0.46267328248210804</v>
      </c>
      <c r="T160">
        <f t="shared" ref="T160" si="779">S160/1000</f>
        <v>-4.6267328248210805E-4</v>
      </c>
    </row>
    <row r="161" spans="1:20" x14ac:dyDescent="0.25">
      <c r="A161" s="5">
        <v>44432</v>
      </c>
      <c r="B161">
        <v>1805.16</v>
      </c>
      <c r="C161">
        <v>1811.19</v>
      </c>
      <c r="D161">
        <v>1800</v>
      </c>
      <c r="E161">
        <v>1802.71</v>
      </c>
      <c r="F161">
        <v>1062.9910809999999</v>
      </c>
      <c r="G161">
        <v>1802.71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-0.51563896336013881</v>
      </c>
      <c r="Q161">
        <f t="shared" ref="Q161" si="781">F161*P161</f>
        <v>-548.11961906791328</v>
      </c>
      <c r="R161">
        <f t="shared" ref="R161" si="782">R162+Q161</f>
        <v>-46383.293100550916</v>
      </c>
      <c r="S161">
        <f t="shared" ref="S161" si="783">R161/100000</f>
        <v>-0.46383293100550915</v>
      </c>
      <c r="T161">
        <f t="shared" ref="T161" si="784">S161/1000</f>
        <v>-4.6383293100550914E-4</v>
      </c>
    </row>
    <row r="162" spans="1:20" x14ac:dyDescent="0.25">
      <c r="A162" s="5">
        <v>44431</v>
      </c>
      <c r="B162">
        <v>1781.59</v>
      </c>
      <c r="C162">
        <v>1809.5</v>
      </c>
      <c r="D162">
        <v>1780.85</v>
      </c>
      <c r="E162">
        <v>1806.06</v>
      </c>
      <c r="F162">
        <v>1854.797828</v>
      </c>
      <c r="G162">
        <v>1806.06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0.75986038394415056</v>
      </c>
      <c r="Q162">
        <f t="shared" ref="Q162" si="786">F162*P162</f>
        <v>1409.3873897228566</v>
      </c>
      <c r="R162">
        <f t="shared" ref="R162" si="787">R163+Q162</f>
        <v>-45835.173481483005</v>
      </c>
      <c r="S162">
        <f t="shared" ref="S162" si="788">R162/100000</f>
        <v>-0.45835173481483005</v>
      </c>
      <c r="T162">
        <f t="shared" ref="T162" si="789">S162/1000</f>
        <v>-4.5835173481483004E-4</v>
      </c>
    </row>
    <row r="163" spans="1:20" x14ac:dyDescent="0.25">
      <c r="A163" s="5">
        <v>44430</v>
      </c>
      <c r="B163">
        <v>1786.64</v>
      </c>
      <c r="C163">
        <v>1788.63</v>
      </c>
      <c r="D163">
        <v>1782.2</v>
      </c>
      <c r="E163">
        <v>1782.9</v>
      </c>
      <c r="F163">
        <v>110.991677</v>
      </c>
      <c r="G163">
        <v>1782.9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-0.78227060653186986</v>
      </c>
      <c r="Q163">
        <f t="shared" ref="Q163" si="791">F163*P163</f>
        <v>-86.825526486779381</v>
      </c>
      <c r="R163">
        <f t="shared" ref="R163" si="792">R164+Q163</f>
        <v>-47244.56087120586</v>
      </c>
      <c r="S163">
        <f t="shared" ref="S163" si="793">R163/100000</f>
        <v>-0.4724456087120586</v>
      </c>
      <c r="T163">
        <f t="shared" ref="T163" si="794">S163/1000</f>
        <v>-4.7244560871205862E-4</v>
      </c>
    </row>
    <row r="164" spans="1:20" x14ac:dyDescent="0.25">
      <c r="A164" s="5">
        <v>44429</v>
      </c>
      <c r="B164">
        <v>1785.39</v>
      </c>
      <c r="C164">
        <v>1792.5</v>
      </c>
      <c r="D164">
        <v>1780.86</v>
      </c>
      <c r="E164">
        <v>1787.57</v>
      </c>
      <c r="F164">
        <v>997.93214499999999</v>
      </c>
      <c r="G164">
        <v>1787.57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0.15292096219930906</v>
      </c>
      <c r="Q164">
        <f t="shared" ref="Q164" si="796">F164*P164</f>
        <v>152.60474382302041</v>
      </c>
      <c r="R164">
        <f t="shared" ref="R164" si="797">R165+Q164</f>
        <v>-47157.735344719084</v>
      </c>
      <c r="S164">
        <f t="shared" ref="S164" si="798">R164/100000</f>
        <v>-0.47157735344719082</v>
      </c>
      <c r="T164">
        <f t="shared" ref="T164" si="799">S164/1000</f>
        <v>-4.7157735344719083E-4</v>
      </c>
    </row>
    <row r="165" spans="1:20" x14ac:dyDescent="0.25">
      <c r="A165" s="5">
        <v>44428</v>
      </c>
      <c r="B165">
        <v>1783.4</v>
      </c>
      <c r="C165">
        <v>1793</v>
      </c>
      <c r="D165">
        <v>1778</v>
      </c>
      <c r="E165">
        <v>1785.39</v>
      </c>
      <c r="F165">
        <v>1654.2359309999999</v>
      </c>
      <c r="G165">
        <v>1785.39</v>
      </c>
      <c r="L165" t="s">
        <v>7</v>
      </c>
      <c r="M165" t="s">
        <v>7</v>
      </c>
      <c r="N165" t="s">
        <v>8</v>
      </c>
      <c r="P165">
        <f t="shared" ref="P165" si="800">IF(C165=D165,0,((E165-D165)-(C165-E165))/(C165-D165))</f>
        <v>-1.4666666666653328E-2</v>
      </c>
      <c r="Q165">
        <f t="shared" ref="Q165" si="801">F165*P165</f>
        <v>-24.262126987977933</v>
      </c>
      <c r="R165">
        <f t="shared" ref="R165" si="802">R166+Q165</f>
        <v>-47310.340088542107</v>
      </c>
      <c r="S165">
        <f t="shared" ref="S165" si="803">R165/100000</f>
        <v>-0.47310340088542108</v>
      </c>
      <c r="T165">
        <f t="shared" ref="T165" si="804">S165/1000</f>
        <v>-4.7310340088542105E-4</v>
      </c>
    </row>
    <row r="166" spans="1:20" x14ac:dyDescent="0.25">
      <c r="A166" s="5">
        <v>44427</v>
      </c>
      <c r="B166">
        <v>1791.21</v>
      </c>
      <c r="C166">
        <v>1793</v>
      </c>
      <c r="D166">
        <v>1763.3</v>
      </c>
      <c r="E166">
        <v>1783.47</v>
      </c>
      <c r="F166">
        <v>1860.104047</v>
      </c>
      <c r="G166">
        <v>1783.47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0.35824915824916109</v>
      </c>
      <c r="Q166">
        <f t="shared" ref="Q166" si="806">F166*P166</f>
        <v>666.38070909360795</v>
      </c>
      <c r="R166">
        <f t="shared" ref="R166" si="807">R167+Q166</f>
        <v>-47286.077961554132</v>
      </c>
      <c r="S166">
        <f t="shared" ref="S166" si="808">R166/100000</f>
        <v>-0.47286077961554135</v>
      </c>
      <c r="T166">
        <f t="shared" ref="T166" si="809">S166/1000</f>
        <v>-4.7286077961554136E-4</v>
      </c>
    </row>
    <row r="167" spans="1:20" x14ac:dyDescent="0.25">
      <c r="A167" s="5">
        <v>44426</v>
      </c>
      <c r="B167">
        <v>1785.57</v>
      </c>
      <c r="C167">
        <v>1802</v>
      </c>
      <c r="D167">
        <v>1753.47</v>
      </c>
      <c r="E167">
        <v>1789.72</v>
      </c>
      <c r="F167">
        <v>3196.9954160000002</v>
      </c>
      <c r="G167">
        <v>1789.72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0.4939212858025972</v>
      </c>
      <c r="Q167">
        <f t="shared" ref="Q167" si="811">F167*P167</f>
        <v>1579.0640865757293</v>
      </c>
      <c r="R167">
        <f t="shared" ref="R167" si="812">R168+Q167</f>
        <v>-47952.458670647742</v>
      </c>
      <c r="S167">
        <f t="shared" ref="S167" si="813">R167/100000</f>
        <v>-0.47952458670647741</v>
      </c>
      <c r="T167">
        <f t="shared" ref="T167" si="814">S167/1000</f>
        <v>-4.795245867064774E-4</v>
      </c>
    </row>
    <row r="168" spans="1:20" x14ac:dyDescent="0.25">
      <c r="A168" s="5">
        <v>44425</v>
      </c>
      <c r="B168">
        <v>1791.47</v>
      </c>
      <c r="C168">
        <v>1800.46</v>
      </c>
      <c r="D168">
        <v>1780.09</v>
      </c>
      <c r="E168">
        <v>1785.57</v>
      </c>
      <c r="F168">
        <v>2489.799638</v>
      </c>
      <c r="G168">
        <v>1785.57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-0.46195385370643238</v>
      </c>
      <c r="Q168">
        <f t="shared" ref="Q168" si="816">F168*P168</f>
        <v>-1150.1725377309804</v>
      </c>
      <c r="R168">
        <f t="shared" ref="R168" si="817">R169+Q168</f>
        <v>-49531.522757223473</v>
      </c>
      <c r="S168">
        <f t="shared" ref="S168" si="818">R168/100000</f>
        <v>-0.49531522757223473</v>
      </c>
      <c r="T168">
        <f t="shared" ref="T168" si="819">S168/1000</f>
        <v>-4.9531522757223468E-4</v>
      </c>
    </row>
    <row r="169" spans="1:20" x14ac:dyDescent="0.25">
      <c r="A169" s="5">
        <v>44424</v>
      </c>
      <c r="B169">
        <v>1779.79</v>
      </c>
      <c r="C169">
        <v>1792.75</v>
      </c>
      <c r="D169">
        <v>1767</v>
      </c>
      <c r="E169">
        <v>1791.48</v>
      </c>
      <c r="F169">
        <v>2056.1155990000002</v>
      </c>
      <c r="G169">
        <v>1791.48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0.90135922330097229</v>
      </c>
      <c r="Q169">
        <f t="shared" ref="Q169" si="821">F169*P169</f>
        <v>1853.2987593316536</v>
      </c>
      <c r="R169">
        <f t="shared" ref="R169" si="822">R170+Q169</f>
        <v>-48381.350219492495</v>
      </c>
      <c r="S169">
        <f t="shared" ref="S169" si="823">R169/100000</f>
        <v>-0.48381350219492497</v>
      </c>
      <c r="T169">
        <f t="shared" ref="T169" si="824">S169/1000</f>
        <v>-4.8381350219492495E-4</v>
      </c>
    </row>
    <row r="170" spans="1:20" x14ac:dyDescent="0.25">
      <c r="A170" s="5">
        <v>44423</v>
      </c>
      <c r="B170">
        <v>1775.94</v>
      </c>
      <c r="C170">
        <v>1782</v>
      </c>
      <c r="D170">
        <v>1767.76</v>
      </c>
      <c r="E170">
        <v>1779.79</v>
      </c>
      <c r="F170">
        <v>1455.0527629999999</v>
      </c>
      <c r="G170">
        <v>1779.79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0.68960674157302881</v>
      </c>
      <c r="Q170">
        <f t="shared" ref="Q170" si="826">F170*P170</f>
        <v>1003.4141947092625</v>
      </c>
      <c r="R170">
        <f t="shared" ref="R170" si="827">R171+Q170</f>
        <v>-50234.648978824145</v>
      </c>
      <c r="S170">
        <f t="shared" ref="S170" si="828">R170/100000</f>
        <v>-0.50234648978824148</v>
      </c>
      <c r="T170">
        <f t="shared" ref="T170" si="829">S170/1000</f>
        <v>-5.0234648978824152E-4</v>
      </c>
    </row>
    <row r="171" spans="1:20" x14ac:dyDescent="0.25">
      <c r="A171" s="5">
        <v>44422</v>
      </c>
      <c r="B171">
        <v>1782.99</v>
      </c>
      <c r="C171">
        <v>1785.06</v>
      </c>
      <c r="D171">
        <v>1767.07</v>
      </c>
      <c r="E171">
        <v>1774.94</v>
      </c>
      <c r="F171">
        <v>1517.5494639999999</v>
      </c>
      <c r="G171">
        <v>1774.94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-0.12506948304612403</v>
      </c>
      <c r="Q171">
        <f t="shared" ref="Q171" si="831">F171*P171</f>
        <v>-189.7991269594026</v>
      </c>
      <c r="R171">
        <f t="shared" ref="R171" si="832">R172+Q171</f>
        <v>-51238.06317353341</v>
      </c>
      <c r="S171">
        <f t="shared" ref="S171" si="833">R171/100000</f>
        <v>-0.5123806317353341</v>
      </c>
      <c r="T171">
        <f t="shared" ref="T171" si="834">S171/1000</f>
        <v>-5.1238063173533407E-4</v>
      </c>
    </row>
    <row r="172" spans="1:20" x14ac:dyDescent="0.25">
      <c r="A172" s="5">
        <v>44421</v>
      </c>
      <c r="B172">
        <v>1759.6</v>
      </c>
      <c r="C172">
        <v>1790</v>
      </c>
      <c r="D172">
        <v>1755.1</v>
      </c>
      <c r="E172">
        <v>1782.99</v>
      </c>
      <c r="F172">
        <v>2156.9634409999999</v>
      </c>
      <c r="G172">
        <v>1782.99</v>
      </c>
      <c r="L172" t="s">
        <v>7</v>
      </c>
      <c r="M172" t="s">
        <v>7</v>
      </c>
      <c r="N172" t="s">
        <v>8</v>
      </c>
      <c r="P172">
        <f t="shared" ref="P172" si="835">IF(C172=D172,0,((E172-D172)-(C172-E172))/(C172-D172))</f>
        <v>0.59828080229226521</v>
      </c>
      <c r="Q172">
        <f t="shared" ref="Q172" si="836">F172*P172</f>
        <v>1290.4698179965651</v>
      </c>
      <c r="R172">
        <f t="shared" ref="R172" si="837">R173+Q172</f>
        <v>-51048.264046574004</v>
      </c>
      <c r="S172">
        <f t="shared" ref="S172" si="838">R172/100000</f>
        <v>-0.51048264046573999</v>
      </c>
      <c r="T172">
        <f t="shared" ref="T172" si="839">S172/1000</f>
        <v>-5.1048264046573994E-4</v>
      </c>
    </row>
    <row r="173" spans="1:20" x14ac:dyDescent="0.25">
      <c r="A173" s="5">
        <v>44420</v>
      </c>
      <c r="B173">
        <v>1756.72</v>
      </c>
      <c r="C173">
        <v>1763.47</v>
      </c>
      <c r="D173">
        <v>1746</v>
      </c>
      <c r="E173">
        <v>1759.81</v>
      </c>
      <c r="F173">
        <v>2787.1326899999999</v>
      </c>
      <c r="G173">
        <v>1759.81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0.58099599313107309</v>
      </c>
      <c r="Q173">
        <f t="shared" ref="Q173" si="841">F173*P173</f>
        <v>1619.3129252146291</v>
      </c>
      <c r="R173">
        <f t="shared" ref="R173" si="842">R174+Q173</f>
        <v>-52338.733864570568</v>
      </c>
      <c r="S173">
        <f t="shared" ref="S173" si="843">R173/100000</f>
        <v>-0.52338733864570564</v>
      </c>
      <c r="T173">
        <f t="shared" ref="T173" si="844">S173/1000</f>
        <v>-5.233873386457056E-4</v>
      </c>
    </row>
    <row r="174" spans="1:20" x14ac:dyDescent="0.25">
      <c r="A174" s="5">
        <v>44419</v>
      </c>
      <c r="B174">
        <v>1738.02</v>
      </c>
      <c r="C174">
        <v>1764.69</v>
      </c>
      <c r="D174">
        <v>1729.78</v>
      </c>
      <c r="E174">
        <v>1756.72</v>
      </c>
      <c r="F174">
        <v>2371.5634479999999</v>
      </c>
      <c r="G174">
        <v>1756.72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0.54339730736178693</v>
      </c>
      <c r="Q174">
        <f t="shared" ref="Q174" si="846">F174*P174</f>
        <v>1288.701191880835</v>
      </c>
      <c r="R174">
        <f t="shared" ref="R174" si="847">R175+Q174</f>
        <v>-53958.0467897852</v>
      </c>
      <c r="S174">
        <f t="shared" ref="S174" si="848">R174/100000</f>
        <v>-0.53958046789785197</v>
      </c>
      <c r="T174">
        <f t="shared" ref="T174" si="849">S174/1000</f>
        <v>-5.3958046789785198E-4</v>
      </c>
    </row>
    <row r="175" spans="1:20" x14ac:dyDescent="0.25">
      <c r="A175" s="5">
        <v>44418</v>
      </c>
      <c r="B175">
        <v>1742.73</v>
      </c>
      <c r="C175">
        <v>1749.9</v>
      </c>
      <c r="D175">
        <v>1727.97</v>
      </c>
      <c r="E175">
        <v>1738.02</v>
      </c>
      <c r="F175">
        <v>2101.169054</v>
      </c>
      <c r="G175">
        <v>1738.02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-8.3447332421347442E-2</v>
      </c>
      <c r="Q175">
        <f t="shared" ref="Q175" si="851">F175*P175</f>
        <v>-175.33695252258613</v>
      </c>
      <c r="R175">
        <f t="shared" ref="R175" si="852">R176+Q175</f>
        <v>-55246.747981666034</v>
      </c>
      <c r="S175">
        <f t="shared" ref="S175" si="853">R175/100000</f>
        <v>-0.55246747981666033</v>
      </c>
      <c r="T175">
        <f t="shared" ref="T175" si="854">S175/1000</f>
        <v>-5.5246747981666032E-4</v>
      </c>
    </row>
    <row r="176" spans="1:20" x14ac:dyDescent="0.25">
      <c r="A176" s="5">
        <v>44417</v>
      </c>
      <c r="B176">
        <v>1731.66</v>
      </c>
      <c r="C176">
        <v>1760</v>
      </c>
      <c r="D176">
        <v>1718.11</v>
      </c>
      <c r="E176">
        <v>1743.25</v>
      </c>
      <c r="F176">
        <v>4597.3075879999997</v>
      </c>
      <c r="G176">
        <v>1743.25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0.20028646455001384</v>
      </c>
      <c r="Q176">
        <f t="shared" ref="Q176" si="856">F176*P176</f>
        <v>920.77848324947161</v>
      </c>
      <c r="R176">
        <f t="shared" ref="R176" si="857">R177+Q176</f>
        <v>-55071.411029143448</v>
      </c>
      <c r="S176">
        <f t="shared" ref="S176" si="858">R176/100000</f>
        <v>-0.55071411029143447</v>
      </c>
      <c r="T176">
        <f t="shared" ref="T176" si="859">S176/1000</f>
        <v>-5.5071411029143451E-4</v>
      </c>
    </row>
    <row r="177" spans="1:20" x14ac:dyDescent="0.25">
      <c r="A177" s="5">
        <v>44416</v>
      </c>
      <c r="B177">
        <v>1775.47</v>
      </c>
      <c r="C177">
        <v>1782.5</v>
      </c>
      <c r="D177">
        <v>1700.36</v>
      </c>
      <c r="E177">
        <v>1731.66</v>
      </c>
      <c r="F177">
        <v>5320.6709719999999</v>
      </c>
      <c r="G177">
        <v>1731.66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-0.23788653518382899</v>
      </c>
      <c r="Q177">
        <f t="shared" ref="Q177" si="861">F177*P177</f>
        <v>-1265.7159823822556</v>
      </c>
      <c r="R177">
        <f t="shared" ref="R177" si="862">R178+Q177</f>
        <v>-55992.189512392921</v>
      </c>
      <c r="S177">
        <f t="shared" ref="S177" si="863">R177/100000</f>
        <v>-0.5599218951239292</v>
      </c>
      <c r="T177">
        <f t="shared" ref="T177" si="864">S177/1000</f>
        <v>-5.599218951239292E-4</v>
      </c>
    </row>
    <row r="178" spans="1:20" x14ac:dyDescent="0.25">
      <c r="A178" s="5">
        <v>44415</v>
      </c>
      <c r="B178">
        <v>1771.56</v>
      </c>
      <c r="C178">
        <v>1778.81</v>
      </c>
      <c r="D178">
        <v>1766.1</v>
      </c>
      <c r="E178">
        <v>1774.09</v>
      </c>
      <c r="F178">
        <v>2394.932918</v>
      </c>
      <c r="G178">
        <v>1774.09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0.25727773406766108</v>
      </c>
      <c r="Q178">
        <f t="shared" ref="Q178" si="866">F178*P178</f>
        <v>616.16291438709152</v>
      </c>
      <c r="R178">
        <f t="shared" ref="R178" si="867">R179+Q178</f>
        <v>-54726.473530010662</v>
      </c>
      <c r="S178">
        <f t="shared" ref="S178" si="868">R178/100000</f>
        <v>-0.54726473530010666</v>
      </c>
      <c r="T178">
        <f t="shared" ref="T178" si="869">S178/1000</f>
        <v>-5.4726473530010672E-4</v>
      </c>
    </row>
    <row r="179" spans="1:20" x14ac:dyDescent="0.25">
      <c r="A179" s="5">
        <v>44414</v>
      </c>
      <c r="B179">
        <v>1809.42</v>
      </c>
      <c r="C179">
        <v>1822.12</v>
      </c>
      <c r="D179">
        <v>1765.53</v>
      </c>
      <c r="E179">
        <v>1770.01</v>
      </c>
      <c r="F179">
        <v>4982.7225900000003</v>
      </c>
      <c r="G179">
        <v>1770.01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-0.84166813924721595</v>
      </c>
      <c r="Q179">
        <f t="shared" ref="Q179" si="871">F179*P179</f>
        <v>-4193.7988507103692</v>
      </c>
      <c r="R179">
        <f t="shared" ref="R179" si="872">R180+Q179</f>
        <v>-55342.636444397751</v>
      </c>
      <c r="S179">
        <f t="shared" ref="S179" si="873">R179/100000</f>
        <v>-0.55342636444397753</v>
      </c>
      <c r="T179">
        <f t="shared" ref="T179" si="874">S179/1000</f>
        <v>-5.5342636444397748E-4</v>
      </c>
    </row>
    <row r="180" spans="1:20" x14ac:dyDescent="0.25">
      <c r="A180" s="5">
        <v>44413</v>
      </c>
      <c r="B180">
        <v>1818.35</v>
      </c>
      <c r="C180">
        <v>1818.45</v>
      </c>
      <c r="D180">
        <v>1805.01</v>
      </c>
      <c r="E180">
        <v>1808.43</v>
      </c>
      <c r="F180">
        <v>1989.8729579999999</v>
      </c>
      <c r="G180">
        <v>1808.43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-0.49107142857141983</v>
      </c>
      <c r="Q180">
        <f t="shared" ref="Q180" si="876">F180*P180</f>
        <v>-977.16975616069681</v>
      </c>
      <c r="R180">
        <f t="shared" ref="R180" si="877">R181+Q180</f>
        <v>-51148.837593687385</v>
      </c>
      <c r="S180">
        <f t="shared" ref="S180" si="878">R180/100000</f>
        <v>-0.51148837593687391</v>
      </c>
      <c r="T180">
        <f t="shared" ref="T180" si="879">S180/1000</f>
        <v>-5.1148837593687391E-4</v>
      </c>
    </row>
    <row r="181" spans="1:20" x14ac:dyDescent="0.25">
      <c r="A181" s="5">
        <v>44412</v>
      </c>
      <c r="B181">
        <v>1812.7</v>
      </c>
      <c r="C181">
        <v>1835.93</v>
      </c>
      <c r="D181">
        <v>1810.75</v>
      </c>
      <c r="E181">
        <v>1818.34</v>
      </c>
      <c r="F181">
        <v>2219.0771260000001</v>
      </c>
      <c r="G181">
        <v>1818.34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-0.39714058776807792</v>
      </c>
      <c r="Q181">
        <f t="shared" ref="Q181" si="881">F181*P181</f>
        <v>-881.28559412233722</v>
      </c>
      <c r="R181">
        <f t="shared" ref="R181" si="882">R182+Q181</f>
        <v>-50171.667837526686</v>
      </c>
      <c r="S181">
        <f t="shared" ref="S181" si="883">R181/100000</f>
        <v>-0.5017166783752669</v>
      </c>
      <c r="T181">
        <f t="shared" ref="T181" si="884">S181/1000</f>
        <v>-5.0171667837526691E-4</v>
      </c>
    </row>
    <row r="182" spans="1:20" x14ac:dyDescent="0.25">
      <c r="A182" s="5">
        <v>44411</v>
      </c>
      <c r="B182">
        <v>1817.94</v>
      </c>
      <c r="C182">
        <v>1818.94</v>
      </c>
      <c r="D182">
        <v>1805.99</v>
      </c>
      <c r="E182">
        <v>1812.7</v>
      </c>
      <c r="F182">
        <v>1332.465985</v>
      </c>
      <c r="G182">
        <v>1812.7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3.6293436293438272E-2</v>
      </c>
      <c r="Q182">
        <f t="shared" ref="Q182" si="886">F182*P182</f>
        <v>48.359769339770978</v>
      </c>
      <c r="R182">
        <f t="shared" ref="R182" si="887">R183+Q182</f>
        <v>-49290.382243404347</v>
      </c>
      <c r="S182">
        <f t="shared" ref="S182" si="888">R182/100000</f>
        <v>-0.49290382243404346</v>
      </c>
      <c r="T182">
        <f t="shared" ref="T182" si="889">S182/1000</f>
        <v>-4.9290382243404344E-4</v>
      </c>
    </row>
    <row r="183" spans="1:20" x14ac:dyDescent="0.25">
      <c r="A183" s="5">
        <v>44410</v>
      </c>
      <c r="B183">
        <v>1814.71</v>
      </c>
      <c r="C183">
        <v>1824</v>
      </c>
      <c r="D183">
        <v>1804.03</v>
      </c>
      <c r="E183">
        <v>1818.44</v>
      </c>
      <c r="F183">
        <v>1822.954021</v>
      </c>
      <c r="G183">
        <v>1818.44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0.44316474712068726</v>
      </c>
      <c r="Q183">
        <f t="shared" ref="Q183" si="891">F183*P183</f>
        <v>807.86895772910498</v>
      </c>
      <c r="R183">
        <f t="shared" ref="R183" si="892">R184+Q183</f>
        <v>-49338.742012744115</v>
      </c>
      <c r="S183">
        <f t="shared" ref="S183" si="893">R183/100000</f>
        <v>-0.49338742012744113</v>
      </c>
      <c r="T183">
        <f t="shared" ref="T183" si="894">S183/1000</f>
        <v>-4.9338742012744116E-4</v>
      </c>
    </row>
    <row r="184" spans="1:20" x14ac:dyDescent="0.25">
      <c r="A184" s="5">
        <v>44409</v>
      </c>
      <c r="B184">
        <v>1819.28</v>
      </c>
      <c r="C184">
        <v>1824.1</v>
      </c>
      <c r="D184">
        <v>1809</v>
      </c>
      <c r="E184">
        <v>1814.13</v>
      </c>
      <c r="F184">
        <v>1526.915403</v>
      </c>
      <c r="G184">
        <v>1814.13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-0.32052980132448478</v>
      </c>
      <c r="Q184">
        <f t="shared" ref="Q184" si="896">F184*P184</f>
        <v>-489.4218907628856</v>
      </c>
      <c r="R184">
        <f t="shared" ref="R184" si="897">R185+Q184</f>
        <v>-50146.610970473223</v>
      </c>
      <c r="S184">
        <f t="shared" ref="S184" si="898">R184/100000</f>
        <v>-0.50146610970473227</v>
      </c>
      <c r="T184">
        <f t="shared" ref="T184" si="899">S184/1000</f>
        <v>-5.0146610970473228E-4</v>
      </c>
    </row>
    <row r="185" spans="1:20" x14ac:dyDescent="0.25">
      <c r="A185" s="5">
        <v>44408</v>
      </c>
      <c r="B185">
        <v>1823.96</v>
      </c>
      <c r="C185">
        <v>1826.18</v>
      </c>
      <c r="D185">
        <v>1814</v>
      </c>
      <c r="E185">
        <v>1818.55</v>
      </c>
      <c r="F185">
        <v>1370.1613749999999</v>
      </c>
      <c r="G185">
        <v>1818.55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-0.25287356321840215</v>
      </c>
      <c r="Q185">
        <f t="shared" ref="Q185" si="901">F185*P185</f>
        <v>-346.4775890804753</v>
      </c>
      <c r="R185">
        <f t="shared" ref="R185" si="902">R186+Q185</f>
        <v>-49657.189079710333</v>
      </c>
      <c r="S185">
        <f t="shared" ref="S185" si="903">R185/100000</f>
        <v>-0.49657189079710334</v>
      </c>
      <c r="T185">
        <f t="shared" ref="T185" si="904">S185/1000</f>
        <v>-4.965718907971033E-4</v>
      </c>
    </row>
    <row r="186" spans="1:20" x14ac:dyDescent="0.25">
      <c r="A186" s="5">
        <v>44407</v>
      </c>
      <c r="B186">
        <v>1833.53</v>
      </c>
      <c r="C186">
        <v>1838.58</v>
      </c>
      <c r="D186">
        <v>1800</v>
      </c>
      <c r="E186">
        <v>1822.85</v>
      </c>
      <c r="F186">
        <v>2568.7476510000001</v>
      </c>
      <c r="G186">
        <v>1822.85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0.18455158113011674</v>
      </c>
      <c r="Q186">
        <f t="shared" ref="Q186" si="906">F186*P186</f>
        <v>474.06644051632333</v>
      </c>
      <c r="R186">
        <f t="shared" ref="R186" si="907">R187+Q186</f>
        <v>-49310.711490629859</v>
      </c>
      <c r="S186">
        <f t="shared" ref="S186" si="908">R186/100000</f>
        <v>-0.4931071149062986</v>
      </c>
      <c r="T186">
        <f t="shared" ref="T186" si="909">S186/1000</f>
        <v>-4.9310711490629857E-4</v>
      </c>
    </row>
    <row r="187" spans="1:20" x14ac:dyDescent="0.25">
      <c r="A187" s="5">
        <v>44406</v>
      </c>
      <c r="B187">
        <v>1813.04</v>
      </c>
      <c r="C187">
        <v>1840</v>
      </c>
      <c r="D187">
        <v>1801</v>
      </c>
      <c r="E187">
        <v>1834.36</v>
      </c>
      <c r="F187">
        <v>2378.203246</v>
      </c>
      <c r="G187">
        <v>1834.36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0.7107692307692256</v>
      </c>
      <c r="Q187">
        <f t="shared" ref="Q187" si="911">F187*P187</f>
        <v>1690.3536917722954</v>
      </c>
      <c r="R187">
        <f t="shared" ref="R187" si="912">R188+Q187</f>
        <v>-49784.777931146185</v>
      </c>
      <c r="S187">
        <f t="shared" ref="S187" si="913">R187/100000</f>
        <v>-0.49784777931146185</v>
      </c>
      <c r="T187">
        <f t="shared" ref="T187" si="914">S187/1000</f>
        <v>-4.9784777931146187E-4</v>
      </c>
    </row>
    <row r="188" spans="1:20" x14ac:dyDescent="0.25">
      <c r="A188" s="5">
        <v>44405</v>
      </c>
      <c r="B188">
        <v>1808.98</v>
      </c>
      <c r="C188">
        <v>1817.96</v>
      </c>
      <c r="D188">
        <v>1800</v>
      </c>
      <c r="E188">
        <v>1812.51</v>
      </c>
      <c r="F188">
        <v>2368.643767</v>
      </c>
      <c r="G188">
        <v>1812.51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0.39309576837416099</v>
      </c>
      <c r="Q188">
        <f t="shared" ref="Q188" si="916">F188*P188</f>
        <v>931.10384159353214</v>
      </c>
      <c r="R188">
        <f t="shared" ref="R188" si="917">R189+Q188</f>
        <v>-51475.131622918481</v>
      </c>
      <c r="S188">
        <f t="shared" ref="S188" si="918">R188/100000</f>
        <v>-0.5147513162291848</v>
      </c>
      <c r="T188">
        <f t="shared" ref="T188" si="919">S188/1000</f>
        <v>-5.147513162291848E-4</v>
      </c>
    </row>
    <row r="189" spans="1:20" x14ac:dyDescent="0.25">
      <c r="A189" s="5">
        <v>44404</v>
      </c>
      <c r="B189">
        <v>1801.93</v>
      </c>
      <c r="C189">
        <v>1810.33</v>
      </c>
      <c r="D189">
        <v>1799.51</v>
      </c>
      <c r="E189">
        <v>1808.99</v>
      </c>
      <c r="F189">
        <v>2534.6430300000002</v>
      </c>
      <c r="G189">
        <v>1808.99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0.75231053604437592</v>
      </c>
      <c r="Q189">
        <f t="shared" ref="Q189" si="921">F189*P189</f>
        <v>1906.8386565804412</v>
      </c>
      <c r="R189">
        <f t="shared" ref="R189" si="922">R190+Q189</f>
        <v>-52406.235464512014</v>
      </c>
      <c r="S189">
        <f t="shared" ref="S189" si="923">R189/100000</f>
        <v>-0.52406235464512019</v>
      </c>
      <c r="T189">
        <f t="shared" ref="T189" si="924">S189/1000</f>
        <v>-5.2406235464512018E-4</v>
      </c>
    </row>
    <row r="190" spans="1:20" x14ac:dyDescent="0.25">
      <c r="A190" s="5">
        <v>44403</v>
      </c>
      <c r="B190">
        <v>1810.44</v>
      </c>
      <c r="C190">
        <v>1821.92</v>
      </c>
      <c r="D190">
        <v>1796.88</v>
      </c>
      <c r="E190">
        <v>1802.98</v>
      </c>
      <c r="F190">
        <v>4698.7365440000003</v>
      </c>
      <c r="G190">
        <v>1802.98</v>
      </c>
      <c r="L190" t="s">
        <v>7</v>
      </c>
      <c r="M190" t="s">
        <v>8</v>
      </c>
      <c r="N190" t="s">
        <v>8</v>
      </c>
      <c r="P190">
        <f t="shared" ref="P190" si="925">IF(C190=D190,0,((E190-D190)-(C190-E190))/(C190-D190))</f>
        <v>-0.51277955271566156</v>
      </c>
      <c r="Q190">
        <f t="shared" ref="Q190" si="926">F190*P190</f>
        <v>-2409.4160233610537</v>
      </c>
      <c r="R190">
        <f t="shared" ref="R190" si="927">R191+Q190</f>
        <v>-54313.074121092453</v>
      </c>
      <c r="S190">
        <f t="shared" ref="S190" si="928">R190/100000</f>
        <v>-0.54313074121092453</v>
      </c>
      <c r="T190">
        <f t="shared" ref="T190" si="929">S190/1000</f>
        <v>-5.4313074121092452E-4</v>
      </c>
    </row>
    <row r="191" spans="1:20" x14ac:dyDescent="0.25">
      <c r="A191" s="5">
        <v>44402</v>
      </c>
      <c r="B191">
        <v>1812.5</v>
      </c>
      <c r="C191">
        <v>1814.41</v>
      </c>
      <c r="D191">
        <v>1804.02</v>
      </c>
      <c r="E191">
        <v>1810.17</v>
      </c>
      <c r="F191">
        <v>988.45159200000001</v>
      </c>
      <c r="G191">
        <v>1810.17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0.18383060635226789</v>
      </c>
      <c r="Q191">
        <f t="shared" ref="Q191" si="931">F191*P191</f>
        <v>181.7076555072245</v>
      </c>
      <c r="R191">
        <f t="shared" ref="R191" si="932">R192+Q191</f>
        <v>-51903.658097731401</v>
      </c>
      <c r="S191">
        <f t="shared" ref="S191" si="933">R191/100000</f>
        <v>-0.51903658097731398</v>
      </c>
      <c r="T191">
        <f t="shared" ref="T191:T197" si="934">S191/1000</f>
        <v>-5.1903658097731396E-4</v>
      </c>
    </row>
    <row r="192" spans="1:20" x14ac:dyDescent="0.25">
      <c r="A192" s="5">
        <v>44401</v>
      </c>
      <c r="B192">
        <v>1812.98</v>
      </c>
      <c r="C192">
        <v>1814.66</v>
      </c>
      <c r="D192">
        <v>1803.31</v>
      </c>
      <c r="E192">
        <v>1812.53</v>
      </c>
      <c r="F192">
        <v>1223.808479</v>
      </c>
      <c r="G192">
        <v>1812.53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0.6246696035242143</v>
      </c>
      <c r="Q192">
        <f t="shared" ref="Q192" si="936">F192*P192</f>
        <v>764.4759573665018</v>
      </c>
      <c r="R192">
        <f t="shared" ref="R192" si="937">R193+Q192</f>
        <v>-52085.365753238628</v>
      </c>
      <c r="S192">
        <f t="shared" ref="S192" si="938">R192/100000</f>
        <v>-0.52085365753238633</v>
      </c>
      <c r="T192">
        <f t="shared" si="934"/>
        <v>-5.2085365753238634E-4</v>
      </c>
    </row>
    <row r="193" spans="1:20" x14ac:dyDescent="0.25">
      <c r="A193" s="5">
        <v>44400</v>
      </c>
      <c r="B193">
        <v>1808.53</v>
      </c>
      <c r="C193">
        <v>1815.67</v>
      </c>
      <c r="D193">
        <v>1785.46</v>
      </c>
      <c r="E193">
        <v>1812.38</v>
      </c>
      <c r="F193">
        <v>2754.42805</v>
      </c>
      <c r="G193">
        <v>1812.38</v>
      </c>
      <c r="L193" t="s">
        <v>7</v>
      </c>
      <c r="M193" t="s">
        <v>8</v>
      </c>
      <c r="N193" t="s">
        <v>8</v>
      </c>
      <c r="P193">
        <f t="shared" ref="P193" si="939">IF(C193=D193,0,((E193-D193)-(C193-E193))/(C193-D193))</f>
        <v>0.78219132737504404</v>
      </c>
      <c r="Q193">
        <f t="shared" ref="Q193" si="940">F193*P193</f>
        <v>2154.489732588554</v>
      </c>
      <c r="R193">
        <f t="shared" ref="R193" si="941">R194+Q193</f>
        <v>-52849.841710605127</v>
      </c>
      <c r="S193">
        <f t="shared" ref="S193" si="942">R193/100000</f>
        <v>-0.52849841710605128</v>
      </c>
      <c r="T193">
        <f t="shared" si="934"/>
        <v>-5.2849841710605127E-4</v>
      </c>
    </row>
    <row r="194" spans="1:20" x14ac:dyDescent="0.25">
      <c r="A194" s="5">
        <v>44399</v>
      </c>
      <c r="B194">
        <v>1807.15</v>
      </c>
      <c r="C194">
        <v>1816.56</v>
      </c>
      <c r="D194">
        <v>1797.33</v>
      </c>
      <c r="E194">
        <v>1807.32</v>
      </c>
      <c r="F194">
        <v>1657.1350259999999</v>
      </c>
      <c r="G194">
        <v>1807.32</v>
      </c>
      <c r="L194" t="s">
        <v>7</v>
      </c>
      <c r="M194" t="s">
        <v>8</v>
      </c>
      <c r="N194" t="s">
        <v>8</v>
      </c>
      <c r="P194">
        <f t="shared" ref="P194" si="943">IF(C194=D194,0,((E194-D194)-(C194-E194))/(C194-D194))</f>
        <v>3.9001560062402456E-2</v>
      </c>
      <c r="Q194">
        <f t="shared" ref="Q194" si="944">F194*P194</f>
        <v>64.630851248049851</v>
      </c>
      <c r="R194">
        <f t="shared" ref="R194" si="945">R195+Q194</f>
        <v>-55004.331443193681</v>
      </c>
      <c r="S194">
        <f t="shared" ref="S194" si="946">R194/100000</f>
        <v>-0.55004331443193677</v>
      </c>
      <c r="T194">
        <f t="shared" si="934"/>
        <v>-5.5004331443193682E-4</v>
      </c>
    </row>
    <row r="195" spans="1:20" x14ac:dyDescent="0.25">
      <c r="A195" s="5">
        <v>44398</v>
      </c>
      <c r="B195">
        <v>1809.83</v>
      </c>
      <c r="C195">
        <v>1820.15</v>
      </c>
      <c r="D195">
        <v>1802</v>
      </c>
      <c r="E195">
        <v>1807.12</v>
      </c>
      <c r="F195">
        <v>3701.607442</v>
      </c>
      <c r="G195">
        <v>1807.12</v>
      </c>
      <c r="L195" t="s">
        <v>7</v>
      </c>
      <c r="M195" t="s">
        <v>8</v>
      </c>
      <c r="N195" t="s">
        <v>8</v>
      </c>
      <c r="P195">
        <f t="shared" ref="P195" si="947">IF(C195=D195,0,((E195-D195)-(C195-E195))/(C195-D195))</f>
        <v>-0.43581267217632341</v>
      </c>
      <c r="Q195">
        <f t="shared" ref="Q195" si="948">F195*P195</f>
        <v>-1613.2074306457851</v>
      </c>
      <c r="R195">
        <f t="shared" ref="R195" si="949">R196+Q195</f>
        <v>-55068.962294441728</v>
      </c>
      <c r="S195">
        <f t="shared" ref="S195" si="950">R195/100000</f>
        <v>-0.55068962294441726</v>
      </c>
      <c r="T195">
        <f t="shared" si="934"/>
        <v>-5.5068962294441723E-4</v>
      </c>
    </row>
    <row r="196" spans="1:20" x14ac:dyDescent="0.25">
      <c r="A196" s="5">
        <v>44397</v>
      </c>
      <c r="B196">
        <v>1818.56</v>
      </c>
      <c r="C196">
        <v>1834.74</v>
      </c>
      <c r="D196">
        <v>1799</v>
      </c>
      <c r="E196">
        <v>1809.83</v>
      </c>
      <c r="F196">
        <v>7962.6861410000001</v>
      </c>
      <c r="G196">
        <v>1809.83</v>
      </c>
      <c r="L196" t="s">
        <v>7</v>
      </c>
      <c r="M196" t="s">
        <v>8</v>
      </c>
      <c r="N196" t="s">
        <v>8</v>
      </c>
      <c r="P196">
        <f t="shared" ref="P196" si="951">IF(C196=D196,0,((E196-D196)-(C196-E196))/(C196-D196))</f>
        <v>-0.39395635142697683</v>
      </c>
      <c r="Q196">
        <f t="shared" ref="Q196" si="952">F196*P196</f>
        <v>-3136.9507796665139</v>
      </c>
      <c r="R196">
        <f t="shared" ref="R196" si="953">R197+Q196</f>
        <v>-53455.754863795941</v>
      </c>
      <c r="S196">
        <f t="shared" ref="S196" si="954">R196/100000</f>
        <v>-0.53455754863795946</v>
      </c>
      <c r="T196">
        <f t="shared" si="934"/>
        <v>-5.3455754863795946E-4</v>
      </c>
    </row>
    <row r="197" spans="1:20" x14ac:dyDescent="0.25">
      <c r="A197" s="5">
        <v>44396</v>
      </c>
      <c r="B197">
        <v>1818.56</v>
      </c>
      <c r="C197">
        <v>1821</v>
      </c>
      <c r="D197">
        <v>1797</v>
      </c>
      <c r="E197">
        <v>1818.52</v>
      </c>
      <c r="F197">
        <v>3408.2822289999999</v>
      </c>
      <c r="G197">
        <v>0</v>
      </c>
      <c r="L197" t="s">
        <v>7</v>
      </c>
      <c r="M197" t="s">
        <v>8</v>
      </c>
      <c r="N197" t="s">
        <v>8</v>
      </c>
      <c r="P197">
        <f t="shared" ref="P197" si="955">IF(C197=D197,0,((E197-D197)-(C197-E197))/(C197-D197))</f>
        <v>0.79333333333333178</v>
      </c>
      <c r="Q197">
        <f t="shared" ref="Q197" si="956">F197*P197</f>
        <v>2703.9039016733282</v>
      </c>
      <c r="R197">
        <f t="shared" ref="R197" si="957">R198+Q197</f>
        <v>-50318.804084129428</v>
      </c>
      <c r="S197">
        <f t="shared" ref="S197" si="958">R197/100000</f>
        <v>-0.50318804084129432</v>
      </c>
      <c r="T197">
        <f t="shared" si="934"/>
        <v>-5.0318804084129433E-4</v>
      </c>
    </row>
    <row r="198" spans="1:20" x14ac:dyDescent="0.25">
      <c r="A198" s="5">
        <v>44395</v>
      </c>
      <c r="B198">
        <v>1813.74</v>
      </c>
      <c r="C198">
        <v>1820.5</v>
      </c>
      <c r="D198">
        <v>1811.48</v>
      </c>
      <c r="E198">
        <v>1817.43</v>
      </c>
      <c r="F198">
        <v>1390.5820450000001</v>
      </c>
      <c r="G198">
        <v>0</v>
      </c>
      <c r="L198" t="s">
        <v>7</v>
      </c>
      <c r="M198" t="s">
        <v>8</v>
      </c>
      <c r="N198" t="s">
        <v>8</v>
      </c>
      <c r="P198">
        <f t="shared" ref="P198:P261" si="959">IF(C198=D198,0,((E198-D198)-(C198-E198))/(C198-D198))</f>
        <v>0.3192904656319418</v>
      </c>
      <c r="Q198">
        <f t="shared" ref="Q198:Q261" si="960">F198*P198</f>
        <v>443.99958864746787</v>
      </c>
      <c r="R198">
        <f t="shared" ref="R198:R261" si="961">R199+Q198</f>
        <v>-53022.707985802757</v>
      </c>
      <c r="S198">
        <f t="shared" ref="S198:S261" si="962">R198/100000</f>
        <v>-0.53022707985802753</v>
      </c>
      <c r="T198">
        <f t="shared" ref="T198:T261" si="963">S198/1000</f>
        <v>-5.302270798580275E-4</v>
      </c>
    </row>
    <row r="199" spans="1:20" x14ac:dyDescent="0.25">
      <c r="A199" s="5">
        <v>44394</v>
      </c>
      <c r="B199">
        <v>1812.1</v>
      </c>
      <c r="C199">
        <v>1820.12</v>
      </c>
      <c r="D199">
        <v>1811</v>
      </c>
      <c r="E199">
        <v>1813.74</v>
      </c>
      <c r="F199">
        <v>1216.764007</v>
      </c>
      <c r="G199">
        <v>0</v>
      </c>
      <c r="L199" t="s">
        <v>7</v>
      </c>
      <c r="M199" t="s">
        <v>8</v>
      </c>
      <c r="N199" t="s">
        <v>8</v>
      </c>
      <c r="P199">
        <f t="shared" si="959"/>
        <v>-0.39912280701753466</v>
      </c>
      <c r="Q199">
        <f t="shared" si="960"/>
        <v>-485.63826595174322</v>
      </c>
      <c r="R199">
        <f t="shared" si="961"/>
        <v>-53466.707574450222</v>
      </c>
      <c r="S199">
        <f t="shared" si="962"/>
        <v>-0.53466707574450223</v>
      </c>
      <c r="T199">
        <f t="shared" si="963"/>
        <v>-5.346670757445022E-4</v>
      </c>
    </row>
    <row r="200" spans="1:20" x14ac:dyDescent="0.25">
      <c r="A200" s="5">
        <v>44393</v>
      </c>
      <c r="B200">
        <v>1837.65</v>
      </c>
      <c r="C200">
        <v>1839.1</v>
      </c>
      <c r="D200">
        <v>1812</v>
      </c>
      <c r="E200">
        <v>1812.23</v>
      </c>
      <c r="F200">
        <v>3329.9745779999998</v>
      </c>
      <c r="G200">
        <v>0</v>
      </c>
      <c r="L200" t="s">
        <v>7</v>
      </c>
      <c r="M200" t="s">
        <v>8</v>
      </c>
      <c r="N200" t="s">
        <v>8</v>
      </c>
      <c r="P200">
        <f t="shared" si="959"/>
        <v>-0.98302583025830115</v>
      </c>
      <c r="Q200">
        <f t="shared" si="960"/>
        <v>-3273.4510242774859</v>
      </c>
      <c r="R200">
        <f t="shared" si="961"/>
        <v>-52981.069308498481</v>
      </c>
      <c r="S200">
        <f t="shared" si="962"/>
        <v>-0.52981069308498485</v>
      </c>
      <c r="T200">
        <f t="shared" si="963"/>
        <v>-5.2981069308498483E-4</v>
      </c>
    </row>
    <row r="201" spans="1:20" x14ac:dyDescent="0.25">
      <c r="A201" s="5">
        <v>44392</v>
      </c>
      <c r="B201">
        <v>1832.48</v>
      </c>
      <c r="C201">
        <v>1841</v>
      </c>
      <c r="D201">
        <v>1825.01</v>
      </c>
      <c r="E201">
        <v>1837.52</v>
      </c>
      <c r="F201">
        <v>4483.2485399999996</v>
      </c>
      <c r="G201">
        <v>0</v>
      </c>
      <c r="L201" t="s">
        <v>7</v>
      </c>
      <c r="M201" t="s">
        <v>8</v>
      </c>
      <c r="N201" t="s">
        <v>8</v>
      </c>
      <c r="P201">
        <f t="shared" si="959"/>
        <v>0.56472795497185535</v>
      </c>
      <c r="Q201">
        <f t="shared" si="960"/>
        <v>2531.815779624756</v>
      </c>
      <c r="R201">
        <f t="shared" si="961"/>
        <v>-49707.618284220996</v>
      </c>
      <c r="S201">
        <f t="shared" si="962"/>
        <v>-0.49707618284220995</v>
      </c>
      <c r="T201">
        <f t="shared" si="963"/>
        <v>-4.9707618284220996E-4</v>
      </c>
    </row>
    <row r="202" spans="1:20" x14ac:dyDescent="0.25">
      <c r="A202" s="5">
        <v>44391</v>
      </c>
      <c r="B202">
        <v>1810.37</v>
      </c>
      <c r="C202">
        <v>1837.4</v>
      </c>
      <c r="D202">
        <v>1804.04</v>
      </c>
      <c r="E202">
        <v>1832.06</v>
      </c>
      <c r="F202">
        <v>6282.9246110000004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0.67985611510790611</v>
      </c>
      <c r="Q202">
        <f t="shared" si="960"/>
        <v>4271.4847175503128</v>
      </c>
      <c r="R202">
        <f t="shared" si="961"/>
        <v>-52239.434063845751</v>
      </c>
      <c r="S202">
        <f t="shared" si="962"/>
        <v>-0.52239434063845747</v>
      </c>
      <c r="T202">
        <f t="shared" si="963"/>
        <v>-5.2239434063845746E-4</v>
      </c>
    </row>
    <row r="203" spans="1:20" x14ac:dyDescent="0.25">
      <c r="A203" s="5">
        <v>44390</v>
      </c>
      <c r="B203">
        <v>1808.72</v>
      </c>
      <c r="C203">
        <v>1818.99</v>
      </c>
      <c r="D203">
        <v>1803.33</v>
      </c>
      <c r="E203">
        <v>1810.37</v>
      </c>
      <c r="F203">
        <v>2015.6189649999999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-0.10089399744573092</v>
      </c>
      <c r="Q203">
        <f t="shared" si="960"/>
        <v>-203.36385470627678</v>
      </c>
      <c r="R203">
        <f t="shared" si="961"/>
        <v>-56510.918781396067</v>
      </c>
      <c r="S203">
        <f t="shared" si="962"/>
        <v>-0.56510918781396069</v>
      </c>
      <c r="T203">
        <f t="shared" si="963"/>
        <v>-5.6510918781396073E-4</v>
      </c>
    </row>
    <row r="204" spans="1:20" x14ac:dyDescent="0.25">
      <c r="A204" s="5">
        <v>44389</v>
      </c>
      <c r="B204">
        <v>1811.69</v>
      </c>
      <c r="C204">
        <v>1814.49</v>
      </c>
      <c r="D204">
        <v>1797.33</v>
      </c>
      <c r="E204">
        <v>1808.72</v>
      </c>
      <c r="F204">
        <v>2150.7719870000001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0.32750582750583285</v>
      </c>
      <c r="Q204">
        <f t="shared" si="960"/>
        <v>704.39035937879942</v>
      </c>
      <c r="R204">
        <f t="shared" si="961"/>
        <v>-56307.554926689787</v>
      </c>
      <c r="S204">
        <f t="shared" si="962"/>
        <v>-0.56307554926689785</v>
      </c>
      <c r="T204">
        <f t="shared" si="963"/>
        <v>-5.6307554926689782E-4</v>
      </c>
    </row>
    <row r="205" spans="1:20" x14ac:dyDescent="0.25">
      <c r="A205" s="5">
        <v>44388</v>
      </c>
      <c r="B205">
        <v>1810.56</v>
      </c>
      <c r="C205">
        <v>1819.01</v>
      </c>
      <c r="D205">
        <v>1808</v>
      </c>
      <c r="E205">
        <v>1811.69</v>
      </c>
      <c r="F205">
        <v>1176.636299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-0.32970027247955358</v>
      </c>
      <c r="Q205">
        <f t="shared" si="960"/>
        <v>-387.93730838963347</v>
      </c>
      <c r="R205">
        <f t="shared" si="961"/>
        <v>-57011.945286068585</v>
      </c>
      <c r="S205">
        <f t="shared" si="962"/>
        <v>-0.57011945286068588</v>
      </c>
      <c r="T205">
        <f t="shared" si="963"/>
        <v>-5.7011945286068592E-4</v>
      </c>
    </row>
    <row r="206" spans="1:20" x14ac:dyDescent="0.25">
      <c r="A206" s="5">
        <v>44387</v>
      </c>
      <c r="B206">
        <v>1817.15</v>
      </c>
      <c r="C206">
        <v>1821.33</v>
      </c>
      <c r="D206">
        <v>1804.49</v>
      </c>
      <c r="E206">
        <v>1810.18</v>
      </c>
      <c r="F206">
        <v>1716.5166959999999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-0.3242280285035532</v>
      </c>
      <c r="Q206">
        <f t="shared" si="960"/>
        <v>-556.54282423751295</v>
      </c>
      <c r="R206">
        <f t="shared" si="961"/>
        <v>-56624.00797767895</v>
      </c>
      <c r="S206">
        <f t="shared" si="962"/>
        <v>-0.56624007977678947</v>
      </c>
      <c r="T206">
        <f t="shared" si="963"/>
        <v>-5.6624007977678942E-4</v>
      </c>
    </row>
    <row r="207" spans="1:20" x14ac:dyDescent="0.25">
      <c r="A207" s="5">
        <v>44386</v>
      </c>
      <c r="B207">
        <v>1812.8</v>
      </c>
      <c r="C207">
        <v>1817.91</v>
      </c>
      <c r="D207">
        <v>1803.33</v>
      </c>
      <c r="E207">
        <v>1815.8</v>
      </c>
      <c r="F207">
        <v>1918.936555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0.71056241426610356</v>
      </c>
      <c r="Q207">
        <f t="shared" si="960"/>
        <v>1363.5241913442796</v>
      </c>
      <c r="R207">
        <f t="shared" si="961"/>
        <v>-56067.465153441437</v>
      </c>
      <c r="S207">
        <f t="shared" si="962"/>
        <v>-0.56067465153441431</v>
      </c>
      <c r="T207">
        <f t="shared" si="963"/>
        <v>-5.6067465153441436E-4</v>
      </c>
    </row>
    <row r="208" spans="1:20" x14ac:dyDescent="0.25">
      <c r="A208" s="5">
        <v>44385</v>
      </c>
      <c r="B208">
        <v>1806.35</v>
      </c>
      <c r="C208">
        <v>1831.36</v>
      </c>
      <c r="D208">
        <v>1799.65</v>
      </c>
      <c r="E208">
        <v>1812.63</v>
      </c>
      <c r="F208">
        <v>4830.6782990000002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-0.18133081046987723</v>
      </c>
      <c r="Q208">
        <f t="shared" si="960"/>
        <v>-875.95081107691794</v>
      </c>
      <c r="R208">
        <f t="shared" si="961"/>
        <v>-57430.989344785718</v>
      </c>
      <c r="S208">
        <f t="shared" si="962"/>
        <v>-0.57430989344785721</v>
      </c>
      <c r="T208">
        <f t="shared" si="963"/>
        <v>-5.7430989344785721E-4</v>
      </c>
    </row>
    <row r="209" spans="1:20" x14ac:dyDescent="0.25">
      <c r="A209" s="5">
        <v>44384</v>
      </c>
      <c r="B209">
        <v>1801.5</v>
      </c>
      <c r="C209">
        <v>1813.33</v>
      </c>
      <c r="D209">
        <v>1796.96</v>
      </c>
      <c r="E209">
        <v>1806.19</v>
      </c>
      <c r="F209">
        <v>2105.7429590000002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0.12767257177765176</v>
      </c>
      <c r="Q209">
        <f t="shared" si="960"/>
        <v>268.84561907821234</v>
      </c>
      <c r="R209">
        <f t="shared" si="961"/>
        <v>-56555.038533708801</v>
      </c>
      <c r="S209">
        <f t="shared" si="962"/>
        <v>-0.56555038533708801</v>
      </c>
      <c r="T209">
        <f t="shared" si="963"/>
        <v>-5.6555038533708803E-4</v>
      </c>
    </row>
    <row r="210" spans="1:20" x14ac:dyDescent="0.25">
      <c r="A210" s="5">
        <v>44383</v>
      </c>
      <c r="B210">
        <v>1792.02</v>
      </c>
      <c r="C210">
        <v>1815</v>
      </c>
      <c r="D210">
        <v>1790.9</v>
      </c>
      <c r="E210">
        <v>1800.25</v>
      </c>
      <c r="F210">
        <v>2805.9291560000001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-0.22406639004149839</v>
      </c>
      <c r="Q210">
        <f t="shared" si="960"/>
        <v>-628.71441669710839</v>
      </c>
      <c r="R210">
        <f t="shared" si="961"/>
        <v>-56823.88415278701</v>
      </c>
      <c r="S210">
        <f t="shared" si="962"/>
        <v>-0.56823884152787008</v>
      </c>
      <c r="T210">
        <f t="shared" si="963"/>
        <v>-5.6823884152787006E-4</v>
      </c>
    </row>
    <row r="211" spans="1:20" x14ac:dyDescent="0.25">
      <c r="A211" s="5">
        <v>44382</v>
      </c>
      <c r="B211">
        <v>1795.13</v>
      </c>
      <c r="C211">
        <v>1803.47</v>
      </c>
      <c r="D211">
        <v>1788</v>
      </c>
      <c r="E211">
        <v>1792.02</v>
      </c>
      <c r="F211">
        <v>3337.3290969999998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-0.48028442146089534</v>
      </c>
      <c r="Q211">
        <f t="shared" si="960"/>
        <v>-1602.8671745772572</v>
      </c>
      <c r="R211">
        <f t="shared" si="961"/>
        <v>-56195.169736089898</v>
      </c>
      <c r="S211">
        <f t="shared" si="962"/>
        <v>-0.56195169736089901</v>
      </c>
      <c r="T211">
        <f t="shared" si="963"/>
        <v>-5.6195169736089905E-4</v>
      </c>
    </row>
    <row r="212" spans="1:20" x14ac:dyDescent="0.25">
      <c r="A212" s="5">
        <v>44381</v>
      </c>
      <c r="B212">
        <v>1792.79</v>
      </c>
      <c r="C212">
        <v>1801.49</v>
      </c>
      <c r="D212">
        <v>1789.02</v>
      </c>
      <c r="E212">
        <v>1795.44</v>
      </c>
      <c r="F212">
        <v>1590.4914289999999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2.9671210906184235E-2</v>
      </c>
      <c r="Q212">
        <f t="shared" si="960"/>
        <v>47.191806634337347</v>
      </c>
      <c r="R212">
        <f t="shared" si="961"/>
        <v>-54592.302561512639</v>
      </c>
      <c r="S212">
        <f t="shared" si="962"/>
        <v>-0.5459230256151264</v>
      </c>
      <c r="T212">
        <f t="shared" si="963"/>
        <v>-5.4592302561512636E-4</v>
      </c>
    </row>
    <row r="213" spans="1:20" x14ac:dyDescent="0.25">
      <c r="A213" s="5">
        <v>44380</v>
      </c>
      <c r="B213">
        <v>1792.98</v>
      </c>
      <c r="C213">
        <v>1808.63</v>
      </c>
      <c r="D213">
        <v>1787.22</v>
      </c>
      <c r="E213">
        <v>1792.79</v>
      </c>
      <c r="F213">
        <v>1415.2240899999999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-0.47968239140589303</v>
      </c>
      <c r="Q213">
        <f t="shared" si="960"/>
        <v>-678.85807586642875</v>
      </c>
      <c r="R213">
        <f t="shared" si="961"/>
        <v>-54639.494368146974</v>
      </c>
      <c r="S213">
        <f t="shared" si="962"/>
        <v>-0.54639494368146979</v>
      </c>
      <c r="T213">
        <f t="shared" si="963"/>
        <v>-5.4639494368146984E-4</v>
      </c>
    </row>
    <row r="214" spans="1:20" x14ac:dyDescent="0.25">
      <c r="A214" s="5">
        <v>44379</v>
      </c>
      <c r="B214">
        <v>1776.88</v>
      </c>
      <c r="C214">
        <v>1796.66</v>
      </c>
      <c r="D214">
        <v>1776.08</v>
      </c>
      <c r="E214">
        <v>1792.59</v>
      </c>
      <c r="F214">
        <v>2699.5575560000002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0.60447035957238748</v>
      </c>
      <c r="Q214">
        <f t="shared" si="960"/>
        <v>1631.8025265616757</v>
      </c>
      <c r="R214">
        <f t="shared" si="961"/>
        <v>-53960.636292280542</v>
      </c>
      <c r="S214">
        <f t="shared" si="962"/>
        <v>-0.53960636292280539</v>
      </c>
      <c r="T214">
        <f t="shared" si="963"/>
        <v>-5.396063629228054E-4</v>
      </c>
    </row>
    <row r="215" spans="1:20" x14ac:dyDescent="0.25">
      <c r="A215" s="5">
        <v>44378</v>
      </c>
      <c r="B215">
        <v>1777.88</v>
      </c>
      <c r="C215">
        <v>1786.38</v>
      </c>
      <c r="D215">
        <v>1771.01</v>
      </c>
      <c r="E215">
        <v>1776.9</v>
      </c>
      <c r="F215">
        <v>2736.7027779999999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-0.23357189329862657</v>
      </c>
      <c r="Q215">
        <f t="shared" si="960"/>
        <v>-639.2168492530709</v>
      </c>
      <c r="R215">
        <f t="shared" si="961"/>
        <v>-55592.438818842216</v>
      </c>
      <c r="S215">
        <f t="shared" si="962"/>
        <v>-0.55592438818842216</v>
      </c>
      <c r="T215">
        <f t="shared" si="963"/>
        <v>-5.5592438818842212E-4</v>
      </c>
    </row>
    <row r="216" spans="1:20" x14ac:dyDescent="0.25">
      <c r="A216" s="5">
        <v>44377</v>
      </c>
      <c r="B216">
        <v>1767.58</v>
      </c>
      <c r="C216">
        <v>1815</v>
      </c>
      <c r="D216">
        <v>1757.58</v>
      </c>
      <c r="E216">
        <v>1777.22</v>
      </c>
      <c r="F216">
        <v>5793.1464839999999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-0.31591779867641673</v>
      </c>
      <c r="Q216">
        <f t="shared" si="960"/>
        <v>-1830.1580846353033</v>
      </c>
      <c r="R216">
        <f t="shared" si="961"/>
        <v>-54953.221969589147</v>
      </c>
      <c r="S216">
        <f t="shared" si="962"/>
        <v>-0.5495322196958915</v>
      </c>
      <c r="T216">
        <f t="shared" si="963"/>
        <v>-5.4953221969589151E-4</v>
      </c>
    </row>
    <row r="217" spans="1:20" x14ac:dyDescent="0.25">
      <c r="A217" s="5">
        <v>44376</v>
      </c>
      <c r="B217">
        <v>1785.61</v>
      </c>
      <c r="C217">
        <v>1790.9</v>
      </c>
      <c r="D217">
        <v>1760.02</v>
      </c>
      <c r="E217">
        <v>1767.58</v>
      </c>
      <c r="F217">
        <v>4205.3295950000002</v>
      </c>
      <c r="G217">
        <v>0</v>
      </c>
      <c r="L217" t="s">
        <v>7</v>
      </c>
      <c r="M217" t="s">
        <v>8</v>
      </c>
      <c r="N217" t="s">
        <v>8</v>
      </c>
      <c r="P217">
        <f t="shared" si="959"/>
        <v>-0.51036269430052339</v>
      </c>
      <c r="Q217">
        <f t="shared" si="960"/>
        <v>-2146.2433425259287</v>
      </c>
      <c r="R217">
        <f t="shared" si="961"/>
        <v>-53123.063884953845</v>
      </c>
      <c r="S217">
        <f t="shared" si="962"/>
        <v>-0.53123063884953847</v>
      </c>
      <c r="T217">
        <f t="shared" si="963"/>
        <v>-5.3123063884953842E-4</v>
      </c>
    </row>
    <row r="218" spans="1:20" x14ac:dyDescent="0.25">
      <c r="A218" s="5">
        <v>44375</v>
      </c>
      <c r="B218">
        <v>1791.74</v>
      </c>
      <c r="C218">
        <v>1795.68</v>
      </c>
      <c r="D218">
        <v>1773.75</v>
      </c>
      <c r="E218">
        <v>1785.61</v>
      </c>
      <c r="F218">
        <v>3518.3960809999999</v>
      </c>
      <c r="G218">
        <v>0</v>
      </c>
      <c r="L218" t="s">
        <v>7</v>
      </c>
      <c r="M218" t="s">
        <v>8</v>
      </c>
      <c r="N218" t="s">
        <v>8</v>
      </c>
      <c r="P218">
        <f t="shared" si="959"/>
        <v>8.1623347013211625E-2</v>
      </c>
      <c r="Q218">
        <f t="shared" si="960"/>
        <v>287.18326424938681</v>
      </c>
      <c r="R218">
        <f t="shared" si="961"/>
        <v>-50976.820542427915</v>
      </c>
      <c r="S218">
        <f t="shared" si="962"/>
        <v>-0.50976820542427914</v>
      </c>
      <c r="T218">
        <f t="shared" si="963"/>
        <v>-5.0976820542427911E-4</v>
      </c>
    </row>
    <row r="219" spans="1:20" x14ac:dyDescent="0.25">
      <c r="A219" s="5">
        <v>44374</v>
      </c>
      <c r="B219">
        <v>1782.36</v>
      </c>
      <c r="C219">
        <v>1799</v>
      </c>
      <c r="D219">
        <v>1772.6</v>
      </c>
      <c r="E219">
        <v>1790.49</v>
      </c>
      <c r="F219">
        <v>2597.058207</v>
      </c>
      <c r="G219">
        <v>0</v>
      </c>
      <c r="L219" t="s">
        <v>7</v>
      </c>
      <c r="M219" t="s">
        <v>8</v>
      </c>
      <c r="N219" t="s">
        <v>8</v>
      </c>
      <c r="P219">
        <f t="shared" si="959"/>
        <v>0.35530303030303323</v>
      </c>
      <c r="Q219">
        <f t="shared" si="960"/>
        <v>922.74265082046213</v>
      </c>
      <c r="R219">
        <f t="shared" si="961"/>
        <v>-51264.003806677305</v>
      </c>
      <c r="S219">
        <f t="shared" si="962"/>
        <v>-0.51264003806677305</v>
      </c>
      <c r="T219">
        <f t="shared" si="963"/>
        <v>-5.1264003806677301E-4</v>
      </c>
    </row>
    <row r="220" spans="1:20" x14ac:dyDescent="0.25">
      <c r="A220" s="5">
        <v>44373</v>
      </c>
      <c r="B220">
        <v>1779.09</v>
      </c>
      <c r="C220">
        <v>1783.67</v>
      </c>
      <c r="D220">
        <v>1770</v>
      </c>
      <c r="E220">
        <v>1780.85</v>
      </c>
      <c r="F220">
        <v>2373.6040419999999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0.58741770299924667</v>
      </c>
      <c r="Q220">
        <f t="shared" si="960"/>
        <v>1394.2970341813673</v>
      </c>
      <c r="R220">
        <f t="shared" si="961"/>
        <v>-52186.746457497764</v>
      </c>
      <c r="S220">
        <f t="shared" si="962"/>
        <v>-0.52186746457497768</v>
      </c>
      <c r="T220">
        <f t="shared" si="963"/>
        <v>-5.2186746457497763E-4</v>
      </c>
    </row>
    <row r="221" spans="1:20" x14ac:dyDescent="0.25">
      <c r="A221" s="5">
        <v>44372</v>
      </c>
      <c r="B221">
        <v>1777.07</v>
      </c>
      <c r="C221">
        <v>1792</v>
      </c>
      <c r="D221">
        <v>1775</v>
      </c>
      <c r="E221">
        <v>1778.36</v>
      </c>
      <c r="F221">
        <v>4531.3288190000003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-0.60470588235295297</v>
      </c>
      <c r="Q221">
        <f t="shared" si="960"/>
        <v>-2740.1211917247597</v>
      </c>
      <c r="R221">
        <f t="shared" si="961"/>
        <v>-53581.043491679135</v>
      </c>
      <c r="S221">
        <f t="shared" si="962"/>
        <v>-0.53581043491679137</v>
      </c>
      <c r="T221">
        <f t="shared" si="963"/>
        <v>-5.3581043491679134E-4</v>
      </c>
    </row>
    <row r="222" spans="1:20" x14ac:dyDescent="0.25">
      <c r="A222" s="5">
        <v>44371</v>
      </c>
      <c r="B222">
        <v>1781.95</v>
      </c>
      <c r="C222">
        <v>1792.2</v>
      </c>
      <c r="D222">
        <v>1770</v>
      </c>
      <c r="E222">
        <v>1777.46</v>
      </c>
      <c r="F222">
        <v>3141.352742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-0.32792792792792602</v>
      </c>
      <c r="Q222">
        <f t="shared" si="960"/>
        <v>-1030.1372955747688</v>
      </c>
      <c r="R222">
        <f t="shared" si="961"/>
        <v>-50840.922299954378</v>
      </c>
      <c r="S222">
        <f t="shared" si="962"/>
        <v>-0.50840922299954383</v>
      </c>
      <c r="T222">
        <f t="shared" si="963"/>
        <v>-5.0840922299954388E-4</v>
      </c>
    </row>
    <row r="223" spans="1:20" x14ac:dyDescent="0.25">
      <c r="A223" s="5">
        <v>44370</v>
      </c>
      <c r="B223">
        <v>1780.37</v>
      </c>
      <c r="C223">
        <v>1797.99</v>
      </c>
      <c r="D223">
        <v>1777.4</v>
      </c>
      <c r="E223">
        <v>1781.69</v>
      </c>
      <c r="F223">
        <v>3690.3853450000001</v>
      </c>
      <c r="G223">
        <v>0</v>
      </c>
      <c r="L223" t="s">
        <v>7</v>
      </c>
      <c r="M223" t="s">
        <v>8</v>
      </c>
      <c r="N223" t="s">
        <v>8</v>
      </c>
      <c r="P223">
        <f t="shared" si="959"/>
        <v>-0.5832928606119494</v>
      </c>
      <c r="Q223">
        <f t="shared" si="960"/>
        <v>-2152.5754246454658</v>
      </c>
      <c r="R223">
        <f t="shared" si="961"/>
        <v>-49810.785004379606</v>
      </c>
      <c r="S223">
        <f t="shared" si="962"/>
        <v>-0.49810785004379604</v>
      </c>
      <c r="T223">
        <f t="shared" si="963"/>
        <v>-4.9810785004379601E-4</v>
      </c>
    </row>
    <row r="224" spans="1:20" x14ac:dyDescent="0.25">
      <c r="A224" s="5">
        <v>44369</v>
      </c>
      <c r="B224">
        <v>1785.86</v>
      </c>
      <c r="C224">
        <v>1802.71</v>
      </c>
      <c r="D224">
        <v>1767.75</v>
      </c>
      <c r="E224">
        <v>1780.41</v>
      </c>
      <c r="F224">
        <v>8846.0315350000001</v>
      </c>
      <c r="G224">
        <v>0</v>
      </c>
      <c r="L224" t="s">
        <v>7</v>
      </c>
      <c r="M224" t="s">
        <v>8</v>
      </c>
      <c r="N224" t="s">
        <v>8</v>
      </c>
      <c r="P224">
        <f t="shared" si="959"/>
        <v>-0.27574370709381757</v>
      </c>
      <c r="Q224">
        <f t="shared" si="960"/>
        <v>-2439.2375285297135</v>
      </c>
      <c r="R224">
        <f t="shared" si="961"/>
        <v>-47658.209579734139</v>
      </c>
      <c r="S224">
        <f t="shared" si="962"/>
        <v>-0.4765820957973414</v>
      </c>
      <c r="T224">
        <f t="shared" si="963"/>
        <v>-4.7658209579734139E-4</v>
      </c>
    </row>
    <row r="225" spans="1:20" x14ac:dyDescent="0.25">
      <c r="A225" s="5">
        <v>44368</v>
      </c>
      <c r="B225">
        <v>1778</v>
      </c>
      <c r="C225">
        <v>1799</v>
      </c>
      <c r="D225">
        <v>1766.8</v>
      </c>
      <c r="E225">
        <v>1787.52</v>
      </c>
      <c r="F225">
        <v>9467.3741879999998</v>
      </c>
      <c r="G225">
        <v>0</v>
      </c>
      <c r="L225" t="s">
        <v>7</v>
      </c>
      <c r="M225" t="s">
        <v>8</v>
      </c>
      <c r="N225" t="s">
        <v>8</v>
      </c>
      <c r="P225">
        <f t="shared" si="959"/>
        <v>0.28695652173913033</v>
      </c>
      <c r="Q225">
        <f t="shared" si="960"/>
        <v>2716.7247669913031</v>
      </c>
      <c r="R225">
        <f t="shared" si="961"/>
        <v>-45218.972051204422</v>
      </c>
      <c r="S225">
        <f t="shared" si="962"/>
        <v>-0.4521897205120442</v>
      </c>
      <c r="T225">
        <f t="shared" si="963"/>
        <v>-4.5218972051204421E-4</v>
      </c>
    </row>
    <row r="226" spans="1:20" x14ac:dyDescent="0.25">
      <c r="A226" s="5">
        <v>44367</v>
      </c>
      <c r="B226">
        <v>1771.28</v>
      </c>
      <c r="C226">
        <v>1778.97</v>
      </c>
      <c r="D226">
        <v>1766.03</v>
      </c>
      <c r="E226">
        <v>1778</v>
      </c>
      <c r="F226">
        <v>2794.2834910000001</v>
      </c>
      <c r="G226">
        <v>0</v>
      </c>
      <c r="L226" t="s">
        <v>7</v>
      </c>
      <c r="M226" t="s">
        <v>8</v>
      </c>
      <c r="N226" t="s">
        <v>8</v>
      </c>
      <c r="P226">
        <f t="shared" si="959"/>
        <v>0.8500772797527012</v>
      </c>
      <c r="Q226">
        <f t="shared" si="960"/>
        <v>2375.3569088871618</v>
      </c>
      <c r="R226">
        <f t="shared" si="961"/>
        <v>-47935.696818195727</v>
      </c>
      <c r="S226">
        <f t="shared" si="962"/>
        <v>-0.47935696818195728</v>
      </c>
      <c r="T226">
        <f t="shared" si="963"/>
        <v>-4.7935696818195725E-4</v>
      </c>
    </row>
    <row r="227" spans="1:20" x14ac:dyDescent="0.25">
      <c r="A227" s="5">
        <v>44366</v>
      </c>
      <c r="B227">
        <v>1773.61</v>
      </c>
      <c r="C227">
        <v>1779.35</v>
      </c>
      <c r="D227">
        <v>1767</v>
      </c>
      <c r="E227">
        <v>1771.44</v>
      </c>
      <c r="F227">
        <v>2202.0586619999999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-0.28097165991901418</v>
      </c>
      <c r="Q227">
        <f t="shared" si="960"/>
        <v>-618.71607750118335</v>
      </c>
      <c r="R227">
        <f t="shared" si="961"/>
        <v>-50311.053727082886</v>
      </c>
      <c r="S227">
        <f t="shared" si="962"/>
        <v>-0.50311053727082888</v>
      </c>
      <c r="T227">
        <f t="shared" si="963"/>
        <v>-5.0311053727082893E-4</v>
      </c>
    </row>
    <row r="228" spans="1:20" x14ac:dyDescent="0.25">
      <c r="A228" s="5">
        <v>44365</v>
      </c>
      <c r="B228">
        <v>1790.86</v>
      </c>
      <c r="C228">
        <v>1809.08</v>
      </c>
      <c r="D228">
        <v>1760</v>
      </c>
      <c r="E228">
        <v>1774.28</v>
      </c>
      <c r="F228">
        <v>6613.1910429999998</v>
      </c>
      <c r="G228">
        <v>0</v>
      </c>
      <c r="L228" t="s">
        <v>7</v>
      </c>
      <c r="M228" t="s">
        <v>8</v>
      </c>
      <c r="N228" t="s">
        <v>8</v>
      </c>
      <c r="P228">
        <f t="shared" si="959"/>
        <v>-0.41809290953545258</v>
      </c>
      <c r="Q228">
        <f t="shared" si="960"/>
        <v>-2764.9282844816644</v>
      </c>
      <c r="R228">
        <f t="shared" si="961"/>
        <v>-49692.337649581707</v>
      </c>
      <c r="S228">
        <f t="shared" si="962"/>
        <v>-0.49692337649581708</v>
      </c>
      <c r="T228">
        <f t="shared" si="963"/>
        <v>-4.9692337649581708E-4</v>
      </c>
    </row>
    <row r="229" spans="1:20" x14ac:dyDescent="0.25">
      <c r="A229" s="5">
        <v>44364</v>
      </c>
      <c r="B229">
        <v>1824.54</v>
      </c>
      <c r="C229">
        <v>1829.99</v>
      </c>
      <c r="D229">
        <v>1771</v>
      </c>
      <c r="E229">
        <v>1790.86</v>
      </c>
      <c r="F229">
        <v>6275.6286570000002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-0.32666553653161901</v>
      </c>
      <c r="Q229">
        <f t="shared" si="960"/>
        <v>-2050.0316023121086</v>
      </c>
      <c r="R229">
        <f t="shared" si="961"/>
        <v>-46927.409365100044</v>
      </c>
      <c r="S229">
        <f t="shared" si="962"/>
        <v>-0.46927409365100042</v>
      </c>
      <c r="T229">
        <f t="shared" si="963"/>
        <v>-4.6927409365100041E-4</v>
      </c>
    </row>
    <row r="230" spans="1:20" x14ac:dyDescent="0.25">
      <c r="A230" s="5">
        <v>44363</v>
      </c>
      <c r="B230">
        <v>1859.97</v>
      </c>
      <c r="C230">
        <v>1869</v>
      </c>
      <c r="D230">
        <v>1815</v>
      </c>
      <c r="E230">
        <v>1825</v>
      </c>
      <c r="F230">
        <v>4309.2988089999999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-0.62962962962962965</v>
      </c>
      <c r="Q230">
        <f t="shared" si="960"/>
        <v>-2713.2622130740742</v>
      </c>
      <c r="R230">
        <f t="shared" si="961"/>
        <v>-44877.377762787932</v>
      </c>
      <c r="S230">
        <f t="shared" si="962"/>
        <v>-0.44877377762787934</v>
      </c>
      <c r="T230">
        <f t="shared" si="963"/>
        <v>-4.4877377762787932E-4</v>
      </c>
    </row>
    <row r="231" spans="1:20" x14ac:dyDescent="0.25">
      <c r="A231" s="5">
        <v>44362</v>
      </c>
      <c r="B231">
        <v>1872.69</v>
      </c>
      <c r="C231">
        <v>1874</v>
      </c>
      <c r="D231">
        <v>1856</v>
      </c>
      <c r="E231">
        <v>1859.23</v>
      </c>
      <c r="F231">
        <v>2256.5481960000002</v>
      </c>
      <c r="G231">
        <v>0</v>
      </c>
      <c r="L231" t="s">
        <v>7</v>
      </c>
      <c r="M231" t="s">
        <v>8</v>
      </c>
      <c r="N231" t="s">
        <v>8</v>
      </c>
      <c r="P231">
        <f t="shared" si="959"/>
        <v>-0.64111111111110908</v>
      </c>
      <c r="Q231">
        <f t="shared" si="960"/>
        <v>-1446.6981212133289</v>
      </c>
      <c r="R231">
        <f t="shared" si="961"/>
        <v>-42164.115549713861</v>
      </c>
      <c r="S231">
        <f t="shared" si="962"/>
        <v>-0.4216411554971386</v>
      </c>
      <c r="T231">
        <f t="shared" si="963"/>
        <v>-4.216411554971386E-4</v>
      </c>
    </row>
    <row r="232" spans="1:20" x14ac:dyDescent="0.25">
      <c r="A232" s="5">
        <v>44361</v>
      </c>
      <c r="B232">
        <v>1881.99</v>
      </c>
      <c r="C232">
        <v>1883.07</v>
      </c>
      <c r="D232">
        <v>1853.39</v>
      </c>
      <c r="E232">
        <v>1872.69</v>
      </c>
      <c r="F232">
        <v>4236.0977119999998</v>
      </c>
      <c r="G232">
        <v>0</v>
      </c>
      <c r="L232" t="s">
        <v>7</v>
      </c>
      <c r="M232" t="s">
        <v>8</v>
      </c>
      <c r="N232" t="s">
        <v>8</v>
      </c>
      <c r="P232">
        <f t="shared" si="959"/>
        <v>0.30053908355795561</v>
      </c>
      <c r="Q232">
        <f t="shared" si="960"/>
        <v>1273.1129242264326</v>
      </c>
      <c r="R232">
        <f t="shared" si="961"/>
        <v>-40717.417428500528</v>
      </c>
      <c r="S232">
        <f t="shared" si="962"/>
        <v>-0.4071741742850053</v>
      </c>
      <c r="T232">
        <f t="shared" si="963"/>
        <v>-4.0717417428500532E-4</v>
      </c>
    </row>
    <row r="233" spans="1:20" x14ac:dyDescent="0.25">
      <c r="A233" s="5">
        <v>44360</v>
      </c>
      <c r="B233">
        <v>1889.79</v>
      </c>
      <c r="C233">
        <v>1895.33</v>
      </c>
      <c r="D233">
        <v>1876.5</v>
      </c>
      <c r="E233">
        <v>1881.06</v>
      </c>
      <c r="F233">
        <v>3048.8733280000001</v>
      </c>
      <c r="G233">
        <v>0</v>
      </c>
      <c r="L233" t="s">
        <v>7</v>
      </c>
      <c r="M233" t="s">
        <v>8</v>
      </c>
      <c r="N233" t="s">
        <v>8</v>
      </c>
      <c r="P233">
        <f t="shared" si="959"/>
        <v>-0.51566648964418871</v>
      </c>
      <c r="Q233">
        <f t="shared" si="960"/>
        <v>-1572.2018064195552</v>
      </c>
      <c r="R233">
        <f t="shared" si="961"/>
        <v>-41990.530352726964</v>
      </c>
      <c r="S233">
        <f t="shared" si="962"/>
        <v>-0.41990530352726962</v>
      </c>
      <c r="T233">
        <f t="shared" si="963"/>
        <v>-4.199053035272696E-4</v>
      </c>
    </row>
    <row r="234" spans="1:20" x14ac:dyDescent="0.25">
      <c r="A234" s="5">
        <v>44359</v>
      </c>
      <c r="B234">
        <v>1887.59</v>
      </c>
      <c r="C234">
        <v>1898.2</v>
      </c>
      <c r="D234">
        <v>1879</v>
      </c>
      <c r="E234">
        <v>1889.8</v>
      </c>
      <c r="F234">
        <v>2962.5761200000002</v>
      </c>
      <c r="G234">
        <v>0</v>
      </c>
      <c r="L234" t="s">
        <v>7</v>
      </c>
      <c r="M234" t="s">
        <v>8</v>
      </c>
      <c r="N234" t="s">
        <v>8</v>
      </c>
      <c r="P234">
        <f t="shared" si="959"/>
        <v>0.1249999999999926</v>
      </c>
      <c r="Q234">
        <f t="shared" si="960"/>
        <v>370.32201499997808</v>
      </c>
      <c r="R234">
        <f t="shared" si="961"/>
        <v>-40418.328546307406</v>
      </c>
      <c r="S234">
        <f t="shared" si="962"/>
        <v>-0.40418328546307408</v>
      </c>
      <c r="T234">
        <f t="shared" si="963"/>
        <v>-4.0418328546307409E-4</v>
      </c>
    </row>
    <row r="235" spans="1:20" x14ac:dyDescent="0.25">
      <c r="A235" s="5">
        <v>44358</v>
      </c>
      <c r="B235">
        <v>1900.01</v>
      </c>
      <c r="C235">
        <v>1911.99</v>
      </c>
      <c r="D235">
        <v>1879.99</v>
      </c>
      <c r="E235">
        <v>1887.64</v>
      </c>
      <c r="F235">
        <v>4147.7317300000004</v>
      </c>
      <c r="G235">
        <v>0</v>
      </c>
      <c r="L235" t="s">
        <v>7</v>
      </c>
      <c r="M235" t="s">
        <v>8</v>
      </c>
      <c r="N235" t="s">
        <v>8</v>
      </c>
      <c r="P235">
        <f t="shared" si="959"/>
        <v>-0.52187499999999432</v>
      </c>
      <c r="Q235">
        <f t="shared" si="960"/>
        <v>-2164.5974965937266</v>
      </c>
      <c r="R235">
        <f t="shared" si="961"/>
        <v>-40788.650561307382</v>
      </c>
      <c r="S235">
        <f t="shared" si="962"/>
        <v>-0.40788650561307382</v>
      </c>
      <c r="T235">
        <f t="shared" si="963"/>
        <v>-4.0788650561307381E-4</v>
      </c>
    </row>
    <row r="236" spans="1:20" x14ac:dyDescent="0.25">
      <c r="A236" s="5">
        <v>44357</v>
      </c>
      <c r="B236">
        <v>1893.01</v>
      </c>
      <c r="C236">
        <v>1925</v>
      </c>
      <c r="D236">
        <v>1879</v>
      </c>
      <c r="E236">
        <v>1899</v>
      </c>
      <c r="F236">
        <v>5952.6509169999999</v>
      </c>
      <c r="G236">
        <v>0</v>
      </c>
      <c r="L236" t="s">
        <v>7</v>
      </c>
      <c r="M236" t="s">
        <v>8</v>
      </c>
      <c r="N236" t="s">
        <v>8</v>
      </c>
      <c r="P236">
        <f t="shared" si="959"/>
        <v>-0.13043478260869565</v>
      </c>
      <c r="Q236">
        <f t="shared" si="960"/>
        <v>-776.43272830434785</v>
      </c>
      <c r="R236">
        <f t="shared" si="961"/>
        <v>-38624.053064713655</v>
      </c>
      <c r="S236">
        <f t="shared" si="962"/>
        <v>-0.38624053064713654</v>
      </c>
      <c r="T236">
        <f t="shared" si="963"/>
        <v>-3.8624053064713652E-4</v>
      </c>
    </row>
    <row r="237" spans="1:20" x14ac:dyDescent="0.25">
      <c r="A237" s="5">
        <v>44356</v>
      </c>
      <c r="B237">
        <v>1894.96</v>
      </c>
      <c r="C237">
        <v>1907</v>
      </c>
      <c r="D237">
        <v>1890.94</v>
      </c>
      <c r="E237">
        <v>1893.01</v>
      </c>
      <c r="F237">
        <v>4426.3521090000004</v>
      </c>
      <c r="G237">
        <v>0</v>
      </c>
      <c r="L237" t="s">
        <v>7</v>
      </c>
      <c r="M237" t="s">
        <v>8</v>
      </c>
      <c r="N237" t="s">
        <v>8</v>
      </c>
      <c r="P237">
        <f t="shared" si="959"/>
        <v>-0.74221668742217395</v>
      </c>
      <c r="Q237">
        <f t="shared" si="960"/>
        <v>-3285.3123997061339</v>
      </c>
      <c r="R237">
        <f t="shared" si="961"/>
        <v>-37847.620336409309</v>
      </c>
      <c r="S237">
        <f t="shared" si="962"/>
        <v>-0.3784762033640931</v>
      </c>
      <c r="T237">
        <f t="shared" si="963"/>
        <v>-3.7847620336409308E-4</v>
      </c>
    </row>
    <row r="238" spans="1:20" x14ac:dyDescent="0.25">
      <c r="A238" s="5">
        <v>44355</v>
      </c>
      <c r="B238">
        <v>1899.51</v>
      </c>
      <c r="C238">
        <v>1907.36</v>
      </c>
      <c r="D238">
        <v>1883.36</v>
      </c>
      <c r="E238">
        <v>1894.2</v>
      </c>
      <c r="F238">
        <v>5669.4852940000001</v>
      </c>
      <c r="G238">
        <v>0</v>
      </c>
      <c r="L238" t="s">
        <v>7</v>
      </c>
      <c r="M238" t="s">
        <v>8</v>
      </c>
      <c r="N238" t="s">
        <v>8</v>
      </c>
      <c r="P238">
        <f t="shared" si="959"/>
        <v>-9.6666666666654535E-2</v>
      </c>
      <c r="Q238">
        <f t="shared" si="960"/>
        <v>-548.0502450865979</v>
      </c>
      <c r="R238">
        <f t="shared" si="961"/>
        <v>-34562.307936703175</v>
      </c>
      <c r="S238">
        <f t="shared" si="962"/>
        <v>-0.34562307936703174</v>
      </c>
      <c r="T238">
        <f t="shared" si="963"/>
        <v>-3.4562307936703175E-4</v>
      </c>
    </row>
    <row r="239" spans="1:20" x14ac:dyDescent="0.25">
      <c r="A239" s="5">
        <v>44354</v>
      </c>
      <c r="B239">
        <v>1898.71</v>
      </c>
      <c r="C239">
        <v>1905.49</v>
      </c>
      <c r="D239">
        <v>1885</v>
      </c>
      <c r="E239">
        <v>1897.14</v>
      </c>
      <c r="F239">
        <v>4652.9378500000003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0.18496827720840359</v>
      </c>
      <c r="Q239">
        <f t="shared" si="960"/>
        <v>860.64589807227344</v>
      </c>
      <c r="R239">
        <f t="shared" si="961"/>
        <v>-34014.257691616578</v>
      </c>
      <c r="S239">
        <f t="shared" si="962"/>
        <v>-0.34014257691616578</v>
      </c>
      <c r="T239">
        <f t="shared" si="963"/>
        <v>-3.4014257691616581E-4</v>
      </c>
    </row>
    <row r="240" spans="1:20" x14ac:dyDescent="0.25">
      <c r="A240" s="5">
        <v>44353</v>
      </c>
      <c r="B240">
        <v>1903.68</v>
      </c>
      <c r="C240">
        <v>1907.99</v>
      </c>
      <c r="D240">
        <v>1895</v>
      </c>
      <c r="E240">
        <v>1898.54</v>
      </c>
      <c r="F240">
        <v>2415.1352879999999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-0.4549653579676734</v>
      </c>
      <c r="Q240">
        <f t="shared" si="960"/>
        <v>-1098.80289084528</v>
      </c>
      <c r="R240">
        <f t="shared" si="961"/>
        <v>-34874.903589688853</v>
      </c>
      <c r="S240">
        <f t="shared" si="962"/>
        <v>-0.34874903589688855</v>
      </c>
      <c r="T240">
        <f t="shared" si="963"/>
        <v>-3.4874903589688857E-4</v>
      </c>
    </row>
    <row r="241" spans="1:20" x14ac:dyDescent="0.25">
      <c r="A241" s="5">
        <v>44352</v>
      </c>
      <c r="B241">
        <v>1902.06</v>
      </c>
      <c r="C241">
        <v>1908.6</v>
      </c>
      <c r="D241">
        <v>1882</v>
      </c>
      <c r="E241">
        <v>1903.63</v>
      </c>
      <c r="F241">
        <v>3948.4204209999998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0.62631578947369793</v>
      </c>
      <c r="Q241">
        <f t="shared" si="960"/>
        <v>2472.9580531526858</v>
      </c>
      <c r="R241">
        <f t="shared" si="961"/>
        <v>-33776.100698843569</v>
      </c>
      <c r="S241">
        <f t="shared" si="962"/>
        <v>-0.3377610069884357</v>
      </c>
      <c r="T241">
        <f t="shared" si="963"/>
        <v>-3.3776100698843572E-4</v>
      </c>
    </row>
    <row r="242" spans="1:20" x14ac:dyDescent="0.25">
      <c r="A242" s="5">
        <v>44351</v>
      </c>
      <c r="B242">
        <v>1878.81</v>
      </c>
      <c r="C242">
        <v>1905.48</v>
      </c>
      <c r="D242">
        <v>1867.26</v>
      </c>
      <c r="E242">
        <v>1902.04</v>
      </c>
      <c r="F242">
        <v>4150.8566920000003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0.81998953427524579</v>
      </c>
      <c r="Q242">
        <f t="shared" si="960"/>
        <v>3403.6590457163675</v>
      </c>
      <c r="R242">
        <f t="shared" si="961"/>
        <v>-36249.058751996257</v>
      </c>
      <c r="S242">
        <f t="shared" si="962"/>
        <v>-0.36249058751996255</v>
      </c>
      <c r="T242">
        <f t="shared" si="963"/>
        <v>-3.6249058751996257E-4</v>
      </c>
    </row>
    <row r="243" spans="1:20" x14ac:dyDescent="0.25">
      <c r="A243" s="5">
        <v>44350</v>
      </c>
      <c r="B243">
        <v>1911.92</v>
      </c>
      <c r="C243">
        <v>1914.34</v>
      </c>
      <c r="D243">
        <v>1875.45</v>
      </c>
      <c r="E243">
        <v>1878.92</v>
      </c>
      <c r="F243">
        <v>4888.5679749999999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-0.82154795577269024</v>
      </c>
      <c r="Q243">
        <f t="shared" si="960"/>
        <v>-4016.1930265170899</v>
      </c>
      <c r="R243">
        <f t="shared" si="961"/>
        <v>-39652.717797712627</v>
      </c>
      <c r="S243">
        <f t="shared" si="962"/>
        <v>-0.39652717797712628</v>
      </c>
      <c r="T243">
        <f t="shared" si="963"/>
        <v>-3.9652717797712629E-4</v>
      </c>
    </row>
    <row r="244" spans="1:20" x14ac:dyDescent="0.25">
      <c r="A244" s="5">
        <v>44349</v>
      </c>
      <c r="B244">
        <v>1910.6</v>
      </c>
      <c r="C244">
        <v>1914</v>
      </c>
      <c r="D244">
        <v>1901</v>
      </c>
      <c r="E244">
        <v>1911.92</v>
      </c>
      <c r="F244">
        <v>3249.816988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0.68000000000001115</v>
      </c>
      <c r="Q244">
        <f t="shared" si="960"/>
        <v>2209.8755518400362</v>
      </c>
      <c r="R244">
        <f t="shared" si="961"/>
        <v>-35636.524771195538</v>
      </c>
      <c r="S244">
        <f t="shared" si="962"/>
        <v>-0.35636524771195538</v>
      </c>
      <c r="T244">
        <f t="shared" si="963"/>
        <v>-3.5636524771195537E-4</v>
      </c>
    </row>
    <row r="245" spans="1:20" x14ac:dyDescent="0.25">
      <c r="A245" s="5">
        <v>44348</v>
      </c>
      <c r="B245">
        <v>1916.9</v>
      </c>
      <c r="C245">
        <v>1921.96</v>
      </c>
      <c r="D245">
        <v>1898</v>
      </c>
      <c r="E245">
        <v>1912.49</v>
      </c>
      <c r="F245">
        <v>5325.3421340000004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0.20951585976627604</v>
      </c>
      <c r="Q245">
        <f t="shared" si="960"/>
        <v>1115.7436357545853</v>
      </c>
      <c r="R245">
        <f t="shared" si="961"/>
        <v>-37846.400323035574</v>
      </c>
      <c r="S245">
        <f t="shared" si="962"/>
        <v>-0.37846400323035573</v>
      </c>
      <c r="T245">
        <f t="shared" si="963"/>
        <v>-3.7846400323035572E-4</v>
      </c>
    </row>
    <row r="246" spans="1:20" x14ac:dyDescent="0.25">
      <c r="A246" s="5">
        <v>44347</v>
      </c>
      <c r="B246">
        <v>1914.49</v>
      </c>
      <c r="C246">
        <v>1930</v>
      </c>
      <c r="D246">
        <v>1908.39</v>
      </c>
      <c r="E246">
        <v>1916.9</v>
      </c>
      <c r="F246">
        <v>5855.57834</v>
      </c>
      <c r="G246">
        <v>0</v>
      </c>
      <c r="L246" t="s">
        <v>7</v>
      </c>
      <c r="M246" t="s">
        <v>8</v>
      </c>
      <c r="N246" t="s">
        <v>8</v>
      </c>
      <c r="P246">
        <f t="shared" si="959"/>
        <v>-0.21240166589541598</v>
      </c>
      <c r="Q246">
        <f t="shared" si="960"/>
        <v>-1243.7345941971146</v>
      </c>
      <c r="R246">
        <f t="shared" si="961"/>
        <v>-38962.143958790162</v>
      </c>
      <c r="S246">
        <f t="shared" si="962"/>
        <v>-0.38962143958790163</v>
      </c>
      <c r="T246">
        <f t="shared" si="963"/>
        <v>-3.896214395879016E-4</v>
      </c>
    </row>
    <row r="247" spans="1:20" x14ac:dyDescent="0.25">
      <c r="A247" s="5">
        <v>44346</v>
      </c>
      <c r="B247">
        <v>1932.83</v>
      </c>
      <c r="C247">
        <v>1938</v>
      </c>
      <c r="D247">
        <v>1914.14</v>
      </c>
      <c r="E247">
        <v>1914.16</v>
      </c>
      <c r="F247">
        <v>4312.4415010000002</v>
      </c>
      <c r="G247">
        <v>0</v>
      </c>
      <c r="L247" t="s">
        <v>7</v>
      </c>
      <c r="M247" t="s">
        <v>8</v>
      </c>
      <c r="N247" t="s">
        <v>8</v>
      </c>
      <c r="P247">
        <f t="shared" si="959"/>
        <v>-0.99832355406538287</v>
      </c>
      <c r="Q247">
        <f t="shared" si="960"/>
        <v>-4305.2119259773744</v>
      </c>
      <c r="R247">
        <f t="shared" si="961"/>
        <v>-37718.409364593048</v>
      </c>
      <c r="S247">
        <f t="shared" si="962"/>
        <v>-0.37718409364593047</v>
      </c>
      <c r="T247">
        <f t="shared" si="963"/>
        <v>-3.771840936459305E-4</v>
      </c>
    </row>
    <row r="248" spans="1:20" x14ac:dyDescent="0.25">
      <c r="A248" s="5">
        <v>44345</v>
      </c>
      <c r="B248">
        <v>1922.41</v>
      </c>
      <c r="C248">
        <v>1939.5</v>
      </c>
      <c r="D248">
        <v>1907.15</v>
      </c>
      <c r="E248">
        <v>1932.83</v>
      </c>
      <c r="F248">
        <v>6045.2728180000004</v>
      </c>
      <c r="G248">
        <v>0</v>
      </c>
      <c r="L248" t="s">
        <v>7</v>
      </c>
      <c r="M248" t="s">
        <v>8</v>
      </c>
      <c r="N248" t="s">
        <v>8</v>
      </c>
      <c r="P248">
        <f t="shared" si="959"/>
        <v>0.58763523956722774</v>
      </c>
      <c r="Q248">
        <f t="shared" si="960"/>
        <v>3552.4153406546802</v>
      </c>
      <c r="R248">
        <f t="shared" si="961"/>
        <v>-33413.197438615673</v>
      </c>
      <c r="S248">
        <f t="shared" si="962"/>
        <v>-0.33413197438615672</v>
      </c>
      <c r="T248">
        <f t="shared" si="963"/>
        <v>-3.3413197438615671E-4</v>
      </c>
    </row>
    <row r="249" spans="1:20" x14ac:dyDescent="0.25">
      <c r="A249" s="5">
        <v>44344</v>
      </c>
      <c r="B249">
        <v>1904.37</v>
      </c>
      <c r="C249">
        <v>1925.01</v>
      </c>
      <c r="D249">
        <v>1889.01</v>
      </c>
      <c r="E249">
        <v>1922.41</v>
      </c>
      <c r="F249">
        <v>8176.5318669999997</v>
      </c>
      <c r="G249">
        <v>0</v>
      </c>
      <c r="L249" t="s">
        <v>7</v>
      </c>
      <c r="M249" t="s">
        <v>8</v>
      </c>
      <c r="N249" t="s">
        <v>8</v>
      </c>
      <c r="P249">
        <f t="shared" si="959"/>
        <v>0.85555555555556062</v>
      </c>
      <c r="Q249">
        <f t="shared" si="960"/>
        <v>6995.4772639889297</v>
      </c>
      <c r="R249">
        <f t="shared" si="961"/>
        <v>-36965.612779270356</v>
      </c>
      <c r="S249">
        <f t="shared" si="962"/>
        <v>-0.36965612779270357</v>
      </c>
      <c r="T249">
        <f t="shared" si="963"/>
        <v>-3.6965612779270356E-4</v>
      </c>
    </row>
    <row r="250" spans="1:20" x14ac:dyDescent="0.25">
      <c r="A250" s="5">
        <v>44343</v>
      </c>
      <c r="B250">
        <v>1902.7</v>
      </c>
      <c r="C250">
        <v>1919</v>
      </c>
      <c r="D250">
        <v>1893.11</v>
      </c>
      <c r="E250">
        <v>1904.37</v>
      </c>
      <c r="F250">
        <v>5248.3934149999995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-0.13016608729239496</v>
      </c>
      <c r="Q250">
        <f t="shared" si="960"/>
        <v>-683.16283540172083</v>
      </c>
      <c r="R250">
        <f t="shared" si="961"/>
        <v>-43961.090043259283</v>
      </c>
      <c r="S250">
        <f t="shared" si="962"/>
        <v>-0.43961090043259282</v>
      </c>
      <c r="T250">
        <f t="shared" si="963"/>
        <v>-4.396109004325928E-4</v>
      </c>
    </row>
    <row r="251" spans="1:20" x14ac:dyDescent="0.25">
      <c r="A251" s="5">
        <v>44342</v>
      </c>
      <c r="B251">
        <v>1898.95</v>
      </c>
      <c r="C251">
        <v>1920</v>
      </c>
      <c r="D251">
        <v>1894</v>
      </c>
      <c r="E251">
        <v>1904.08</v>
      </c>
      <c r="F251">
        <v>5806.7642180000003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-0.22461538461539021</v>
      </c>
      <c r="Q251">
        <f t="shared" si="960"/>
        <v>-1304.2885781969555</v>
      </c>
      <c r="R251">
        <f t="shared" si="961"/>
        <v>-43277.92720785756</v>
      </c>
      <c r="S251">
        <f t="shared" si="962"/>
        <v>-0.43277927207857558</v>
      </c>
      <c r="T251">
        <f t="shared" si="963"/>
        <v>-4.327792720785756E-4</v>
      </c>
    </row>
    <row r="252" spans="1:20" x14ac:dyDescent="0.25">
      <c r="A252" s="5">
        <v>44341</v>
      </c>
      <c r="B252">
        <v>1881.36</v>
      </c>
      <c r="C252">
        <v>1908.06</v>
      </c>
      <c r="D252">
        <v>1872.77</v>
      </c>
      <c r="E252">
        <v>1898.24</v>
      </c>
      <c r="F252">
        <v>11174.940404000001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0.44346840464721188</v>
      </c>
      <c r="Q252">
        <f t="shared" si="960"/>
        <v>4955.7329929895495</v>
      </c>
      <c r="R252">
        <f t="shared" si="961"/>
        <v>-41973.638629660607</v>
      </c>
      <c r="S252">
        <f t="shared" si="962"/>
        <v>-0.41973638629660609</v>
      </c>
      <c r="T252">
        <f t="shared" si="963"/>
        <v>-4.1973638629660607E-4</v>
      </c>
    </row>
    <row r="253" spans="1:20" x14ac:dyDescent="0.25">
      <c r="A253" s="5">
        <v>44340</v>
      </c>
      <c r="B253">
        <v>1894.48</v>
      </c>
      <c r="C253">
        <v>1898.41</v>
      </c>
      <c r="D253">
        <v>1873.64</v>
      </c>
      <c r="E253">
        <v>1881.36</v>
      </c>
      <c r="F253">
        <v>11806.923037</v>
      </c>
      <c r="G253">
        <v>0</v>
      </c>
      <c r="L253" t="s">
        <v>7</v>
      </c>
      <c r="M253" t="s">
        <v>8</v>
      </c>
      <c r="N253" t="s">
        <v>8</v>
      </c>
      <c r="P253">
        <f t="shared" si="959"/>
        <v>-0.37666532095278116</v>
      </c>
      <c r="Q253">
        <f t="shared" si="960"/>
        <v>-4447.258455196391</v>
      </c>
      <c r="R253">
        <f t="shared" si="961"/>
        <v>-46929.371622650156</v>
      </c>
      <c r="S253">
        <f t="shared" si="962"/>
        <v>-0.46929371622650157</v>
      </c>
      <c r="T253">
        <f t="shared" si="963"/>
        <v>-4.6929371622650158E-4</v>
      </c>
    </row>
    <row r="254" spans="1:20" x14ac:dyDescent="0.25">
      <c r="A254" s="5">
        <v>44339</v>
      </c>
      <c r="B254">
        <v>1900.8</v>
      </c>
      <c r="C254">
        <v>1908.8</v>
      </c>
      <c r="D254">
        <v>1874.02</v>
      </c>
      <c r="E254">
        <v>1894.6</v>
      </c>
      <c r="F254">
        <v>13484.110833000001</v>
      </c>
      <c r="G254">
        <v>0</v>
      </c>
      <c r="L254" t="s">
        <v>7</v>
      </c>
      <c r="M254" t="s">
        <v>8</v>
      </c>
      <c r="N254" t="s">
        <v>8</v>
      </c>
      <c r="P254">
        <f t="shared" si="959"/>
        <v>0.18343875790683975</v>
      </c>
      <c r="Q254">
        <f t="shared" si="960"/>
        <v>2473.5085426836822</v>
      </c>
      <c r="R254">
        <f t="shared" si="961"/>
        <v>-42482.113167453768</v>
      </c>
      <c r="S254">
        <f t="shared" si="962"/>
        <v>-0.42482113167453767</v>
      </c>
      <c r="T254">
        <f t="shared" si="963"/>
        <v>-4.2482113167453768E-4</v>
      </c>
    </row>
    <row r="255" spans="1:20" x14ac:dyDescent="0.25">
      <c r="A255" s="5">
        <v>44338</v>
      </c>
      <c r="B255">
        <v>1900.65</v>
      </c>
      <c r="C255">
        <v>1916.66</v>
      </c>
      <c r="D255">
        <v>1886.6</v>
      </c>
      <c r="E255">
        <v>1900.8</v>
      </c>
      <c r="F255">
        <v>7993.9811870000003</v>
      </c>
      <c r="G255">
        <v>0</v>
      </c>
      <c r="L255" t="s">
        <v>7</v>
      </c>
      <c r="M255" t="s">
        <v>8</v>
      </c>
      <c r="N255" t="s">
        <v>8</v>
      </c>
      <c r="P255">
        <f t="shared" si="959"/>
        <v>-5.5222887558219302E-2</v>
      </c>
      <c r="Q255">
        <f t="shared" si="960"/>
        <v>-441.45072423222149</v>
      </c>
      <c r="R255">
        <f t="shared" si="961"/>
        <v>-44955.62171013745</v>
      </c>
      <c r="S255">
        <f t="shared" si="962"/>
        <v>-0.4495562171013745</v>
      </c>
      <c r="T255">
        <f t="shared" si="963"/>
        <v>-4.4955621710137452E-4</v>
      </c>
    </row>
    <row r="256" spans="1:20" x14ac:dyDescent="0.25">
      <c r="A256" s="5">
        <v>44337</v>
      </c>
      <c r="B256">
        <v>1879.71</v>
      </c>
      <c r="C256">
        <v>1920</v>
      </c>
      <c r="D256">
        <v>1860.81</v>
      </c>
      <c r="E256">
        <v>1899.87</v>
      </c>
      <c r="F256">
        <v>15464.759738000001</v>
      </c>
      <c r="G256">
        <v>0</v>
      </c>
      <c r="L256" t="s">
        <v>7</v>
      </c>
      <c r="M256" t="s">
        <v>8</v>
      </c>
      <c r="N256" t="s">
        <v>8</v>
      </c>
      <c r="P256">
        <f t="shared" si="959"/>
        <v>0.31981753674606889</v>
      </c>
      <c r="Q256">
        <f t="shared" si="960"/>
        <v>4945.9013657769419</v>
      </c>
      <c r="R256">
        <f t="shared" si="961"/>
        <v>-44514.170985905228</v>
      </c>
      <c r="S256">
        <f t="shared" si="962"/>
        <v>-0.44514170985905227</v>
      </c>
      <c r="T256">
        <f t="shared" si="963"/>
        <v>-4.4514170985905226E-4</v>
      </c>
    </row>
    <row r="257" spans="1:20" x14ac:dyDescent="0.25">
      <c r="A257" s="5">
        <v>44336</v>
      </c>
      <c r="B257">
        <v>1866.69</v>
      </c>
      <c r="C257">
        <v>1900</v>
      </c>
      <c r="D257">
        <v>1864.56</v>
      </c>
      <c r="E257">
        <v>1879.67</v>
      </c>
      <c r="F257">
        <v>16539.306807000001</v>
      </c>
      <c r="G257">
        <v>0</v>
      </c>
      <c r="L257" t="s">
        <v>7</v>
      </c>
      <c r="M257" t="s">
        <v>8</v>
      </c>
      <c r="N257" t="s">
        <v>8</v>
      </c>
      <c r="P257">
        <f t="shared" si="959"/>
        <v>-0.14729119638825597</v>
      </c>
      <c r="Q257">
        <f t="shared" si="960"/>
        <v>-2436.0942870354561</v>
      </c>
      <c r="R257">
        <f t="shared" si="961"/>
        <v>-49460.072351682167</v>
      </c>
      <c r="S257">
        <f t="shared" si="962"/>
        <v>-0.49460072351682166</v>
      </c>
      <c r="T257">
        <f t="shared" si="963"/>
        <v>-4.9460072351682164E-4</v>
      </c>
    </row>
    <row r="258" spans="1:20" x14ac:dyDescent="0.25">
      <c r="A258" s="5">
        <v>44335</v>
      </c>
      <c r="B258">
        <v>1879.43</v>
      </c>
      <c r="C258">
        <v>1962.8</v>
      </c>
      <c r="D258">
        <v>1845</v>
      </c>
      <c r="E258">
        <v>1867.63</v>
      </c>
      <c r="F258">
        <v>27128.965915000001</v>
      </c>
      <c r="G258">
        <v>0</v>
      </c>
      <c r="L258" t="s">
        <v>7</v>
      </c>
      <c r="M258" t="s">
        <v>8</v>
      </c>
      <c r="N258" t="s">
        <v>8</v>
      </c>
      <c r="P258">
        <f t="shared" si="959"/>
        <v>-0.61578947368420855</v>
      </c>
      <c r="Q258">
        <f t="shared" si="960"/>
        <v>-16705.731642394683</v>
      </c>
      <c r="R258">
        <f t="shared" si="961"/>
        <v>-47023.978064646712</v>
      </c>
      <c r="S258">
        <f t="shared" si="962"/>
        <v>-0.4702397806464671</v>
      </c>
      <c r="T258">
        <f t="shared" si="963"/>
        <v>-4.7023978064646707E-4</v>
      </c>
    </row>
    <row r="259" spans="1:20" x14ac:dyDescent="0.25">
      <c r="A259" s="5">
        <v>44334</v>
      </c>
      <c r="B259">
        <v>1899.21</v>
      </c>
      <c r="C259">
        <v>1912</v>
      </c>
      <c r="D259">
        <v>1865</v>
      </c>
      <c r="E259">
        <v>1879.42</v>
      </c>
      <c r="F259">
        <v>11019.460584</v>
      </c>
      <c r="G259">
        <v>0</v>
      </c>
      <c r="L259" t="s">
        <v>7</v>
      </c>
      <c r="M259" t="s">
        <v>8</v>
      </c>
      <c r="N259" t="s">
        <v>8</v>
      </c>
      <c r="P259">
        <f t="shared" si="959"/>
        <v>-0.38638297872340116</v>
      </c>
      <c r="Q259">
        <f t="shared" si="960"/>
        <v>-4257.7320043710297</v>
      </c>
      <c r="R259">
        <f t="shared" si="961"/>
        <v>-30318.246422252028</v>
      </c>
      <c r="S259">
        <f t="shared" si="962"/>
        <v>-0.30318246422252026</v>
      </c>
      <c r="T259">
        <f t="shared" si="963"/>
        <v>-3.0318246422252027E-4</v>
      </c>
    </row>
    <row r="260" spans="1:20" x14ac:dyDescent="0.25">
      <c r="A260" s="5">
        <v>44333</v>
      </c>
      <c r="B260">
        <v>1942.08</v>
      </c>
      <c r="C260">
        <v>2035</v>
      </c>
      <c r="D260">
        <v>1879.55</v>
      </c>
      <c r="E260">
        <v>1899.22</v>
      </c>
      <c r="F260">
        <v>15547.627952999999</v>
      </c>
      <c r="G260">
        <v>0</v>
      </c>
      <c r="L260" t="s">
        <v>7</v>
      </c>
      <c r="M260" t="s">
        <v>8</v>
      </c>
      <c r="N260" t="s">
        <v>8</v>
      </c>
      <c r="P260">
        <f t="shared" si="959"/>
        <v>-0.74692827275651252</v>
      </c>
      <c r="Q260">
        <f t="shared" si="960"/>
        <v>-11612.962892395162</v>
      </c>
      <c r="R260">
        <f t="shared" si="961"/>
        <v>-26060.514417881001</v>
      </c>
      <c r="S260">
        <f t="shared" si="962"/>
        <v>-0.26060514417881003</v>
      </c>
      <c r="T260">
        <f t="shared" si="963"/>
        <v>-2.6060514417881002E-4</v>
      </c>
    </row>
    <row r="261" spans="1:20" x14ac:dyDescent="0.25">
      <c r="A261" s="5">
        <v>44332</v>
      </c>
      <c r="B261">
        <v>1882.3</v>
      </c>
      <c r="C261">
        <v>2039.52</v>
      </c>
      <c r="D261">
        <v>1878.91</v>
      </c>
      <c r="E261">
        <v>1944.81</v>
      </c>
      <c r="F261">
        <v>9345.4283090000008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-0.17937861901500649</v>
      </c>
      <c r="Q261">
        <f t="shared" si="960"/>
        <v>-1676.3700241721674</v>
      </c>
      <c r="R261">
        <f t="shared" si="961"/>
        <v>-14447.551525485838</v>
      </c>
      <c r="S261">
        <f t="shared" si="962"/>
        <v>-0.14447551525485838</v>
      </c>
      <c r="T261">
        <f t="shared" si="963"/>
        <v>-1.4447551525485839E-4</v>
      </c>
    </row>
    <row r="262" spans="1:20" x14ac:dyDescent="0.25">
      <c r="A262" s="5">
        <v>44331</v>
      </c>
      <c r="B262">
        <v>1870.12</v>
      </c>
      <c r="C262">
        <v>1925.03</v>
      </c>
      <c r="D262">
        <v>1861.34</v>
      </c>
      <c r="E262">
        <v>1882.3</v>
      </c>
      <c r="F262">
        <v>5930.0997289999996</v>
      </c>
      <c r="G262">
        <v>0</v>
      </c>
      <c r="L262" t="s">
        <v>8</v>
      </c>
      <c r="M262" t="s">
        <v>7</v>
      </c>
      <c r="N262" t="s">
        <v>8</v>
      </c>
      <c r="P262">
        <f t="shared" ref="P262:P325" si="964">IF(C262=D262,0,((E262-D262)-(C262-E262))/(C262-D262))</f>
        <v>-0.34181190139739304</v>
      </c>
      <c r="Q262">
        <f t="shared" ref="Q262:Q325" si="965">F262*P262</f>
        <v>-2026.9786638456551</v>
      </c>
      <c r="R262">
        <f t="shared" ref="R262:R325" si="966">R263+Q262</f>
        <v>-12771.181501313671</v>
      </c>
      <c r="S262">
        <f t="shared" ref="S262:S325" si="967">R262/100000</f>
        <v>-0.12771181501313672</v>
      </c>
      <c r="T262">
        <f t="shared" ref="T262:T325" si="968">S262/1000</f>
        <v>-1.2771181501313673E-4</v>
      </c>
    </row>
    <row r="263" spans="1:20" x14ac:dyDescent="0.25">
      <c r="A263" s="5">
        <v>44330</v>
      </c>
      <c r="B263">
        <v>1860</v>
      </c>
      <c r="C263">
        <v>1878.15</v>
      </c>
      <c r="D263">
        <v>1850</v>
      </c>
      <c r="E263">
        <v>1870.08</v>
      </c>
      <c r="F263">
        <v>5337.0765940000001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0.42664298401419981</v>
      </c>
      <c r="Q263">
        <f t="shared" si="965"/>
        <v>2277.0262839765019</v>
      </c>
      <c r="R263">
        <f t="shared" si="966"/>
        <v>-10744.202837468016</v>
      </c>
      <c r="S263">
        <f t="shared" si="967"/>
        <v>-0.10744202837468016</v>
      </c>
      <c r="T263">
        <f t="shared" si="968"/>
        <v>-1.0744202837468016E-4</v>
      </c>
    </row>
    <row r="264" spans="1:20" x14ac:dyDescent="0.25">
      <c r="A264" s="5">
        <v>44329</v>
      </c>
      <c r="B264">
        <v>1826.58</v>
      </c>
      <c r="C264">
        <v>1871.98</v>
      </c>
      <c r="D264">
        <v>1804.73</v>
      </c>
      <c r="E264">
        <v>1858.93</v>
      </c>
      <c r="F264">
        <v>10331.816655000001</v>
      </c>
      <c r="G264">
        <v>0</v>
      </c>
      <c r="L264" t="s">
        <v>8</v>
      </c>
      <c r="M264" t="s">
        <v>7</v>
      </c>
      <c r="N264" t="s">
        <v>8</v>
      </c>
      <c r="P264">
        <f t="shared" si="964"/>
        <v>0.61189591078067052</v>
      </c>
      <c r="Q264">
        <f t="shared" si="965"/>
        <v>6321.9963621301258</v>
      </c>
      <c r="R264">
        <f t="shared" si="966"/>
        <v>-13021.229121444518</v>
      </c>
      <c r="S264">
        <f t="shared" si="967"/>
        <v>-0.13021229121444516</v>
      </c>
      <c r="T264">
        <f t="shared" si="968"/>
        <v>-1.3021229121444516E-4</v>
      </c>
    </row>
    <row r="265" spans="1:20" x14ac:dyDescent="0.25">
      <c r="A265" s="5">
        <v>44328</v>
      </c>
      <c r="B265">
        <v>1861.47</v>
      </c>
      <c r="C265">
        <v>1867.05</v>
      </c>
      <c r="D265">
        <v>1816.02</v>
      </c>
      <c r="E265">
        <v>1826.58</v>
      </c>
      <c r="F265">
        <v>5843.1624220000003</v>
      </c>
      <c r="G265">
        <v>0</v>
      </c>
      <c r="L265" t="s">
        <v>8</v>
      </c>
      <c r="M265" t="s">
        <v>7</v>
      </c>
      <c r="N265" t="s">
        <v>8</v>
      </c>
      <c r="P265">
        <f t="shared" si="964"/>
        <v>-0.58612580834803252</v>
      </c>
      <c r="Q265">
        <f t="shared" si="965"/>
        <v>-3424.8282979035976</v>
      </c>
      <c r="R265">
        <f t="shared" si="966"/>
        <v>-19343.225483574643</v>
      </c>
      <c r="S265">
        <f t="shared" si="967"/>
        <v>-0.19343225483574641</v>
      </c>
      <c r="T265">
        <f t="shared" si="968"/>
        <v>-1.9343225483574642E-4</v>
      </c>
    </row>
    <row r="266" spans="1:20" x14ac:dyDescent="0.25">
      <c r="A266" s="5">
        <v>44327</v>
      </c>
      <c r="B266">
        <v>1878.52</v>
      </c>
      <c r="C266">
        <v>1900</v>
      </c>
      <c r="D266">
        <v>1852.82</v>
      </c>
      <c r="E266">
        <v>1861.46</v>
      </c>
      <c r="F266">
        <v>3675.7952839999998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-0.63374311148791485</v>
      </c>
      <c r="Q266">
        <f t="shared" si="965"/>
        <v>-2329.5099404747634</v>
      </c>
      <c r="R266">
        <f t="shared" si="966"/>
        <v>-15918.397185671045</v>
      </c>
      <c r="S266">
        <f t="shared" si="967"/>
        <v>-0.15918397185671046</v>
      </c>
      <c r="T266">
        <f t="shared" si="968"/>
        <v>-1.5918397185671045E-4</v>
      </c>
    </row>
    <row r="267" spans="1:20" x14ac:dyDescent="0.25">
      <c r="A267" s="5">
        <v>44326</v>
      </c>
      <c r="B267">
        <v>1892.14</v>
      </c>
      <c r="C267">
        <v>1902.48</v>
      </c>
      <c r="D267">
        <v>1848.56</v>
      </c>
      <c r="E267">
        <v>1878.77</v>
      </c>
      <c r="F267">
        <v>4573.6535240000003</v>
      </c>
      <c r="G267">
        <v>0</v>
      </c>
      <c r="L267" t="s">
        <v>8</v>
      </c>
      <c r="M267" t="s">
        <v>7</v>
      </c>
      <c r="N267" t="s">
        <v>8</v>
      </c>
      <c r="P267">
        <f t="shared" si="964"/>
        <v>0.12054896142433218</v>
      </c>
      <c r="Q267">
        <f t="shared" si="965"/>
        <v>551.34918223293698</v>
      </c>
      <c r="R267">
        <f t="shared" si="966"/>
        <v>-13588.887245196282</v>
      </c>
      <c r="S267">
        <f t="shared" si="967"/>
        <v>-0.13588887245196282</v>
      </c>
      <c r="T267">
        <f t="shared" si="968"/>
        <v>-1.3588887245196283E-4</v>
      </c>
    </row>
    <row r="268" spans="1:20" x14ac:dyDescent="0.25">
      <c r="A268" s="5">
        <v>44325</v>
      </c>
      <c r="B268">
        <v>1862.79</v>
      </c>
      <c r="C268">
        <v>1899</v>
      </c>
      <c r="D268">
        <v>1848.24</v>
      </c>
      <c r="E268">
        <v>1891.67</v>
      </c>
      <c r="F268">
        <v>2191.8989310000002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0.71118991331757575</v>
      </c>
      <c r="Q268">
        <f t="shared" si="965"/>
        <v>1558.8564107387772</v>
      </c>
      <c r="R268">
        <f t="shared" si="966"/>
        <v>-14140.236427429218</v>
      </c>
      <c r="S268">
        <f t="shared" si="967"/>
        <v>-0.14140236427429217</v>
      </c>
      <c r="T268">
        <f t="shared" si="968"/>
        <v>-1.4140236427429218E-4</v>
      </c>
    </row>
    <row r="269" spans="1:20" x14ac:dyDescent="0.25">
      <c r="A269" s="5">
        <v>44324</v>
      </c>
      <c r="B269">
        <v>1858.48</v>
      </c>
      <c r="C269">
        <v>1874</v>
      </c>
      <c r="D269">
        <v>1839.29</v>
      </c>
      <c r="E269">
        <v>1865.68</v>
      </c>
      <c r="F269">
        <v>2345.8581220000001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0.52059925093633375</v>
      </c>
      <c r="Q269">
        <f t="shared" si="965"/>
        <v>1221.2519811161146</v>
      </c>
      <c r="R269">
        <f t="shared" si="966"/>
        <v>-15699.092838167995</v>
      </c>
      <c r="S269">
        <f t="shared" si="967"/>
        <v>-0.15699092838167994</v>
      </c>
      <c r="T269">
        <f t="shared" si="968"/>
        <v>-1.5699092838167994E-4</v>
      </c>
    </row>
    <row r="270" spans="1:20" x14ac:dyDescent="0.25">
      <c r="A270" s="5">
        <v>44323</v>
      </c>
      <c r="B270">
        <v>1836.09</v>
      </c>
      <c r="C270">
        <v>1868.14</v>
      </c>
      <c r="D270">
        <v>1827.13</v>
      </c>
      <c r="E270">
        <v>1860</v>
      </c>
      <c r="F270">
        <v>3523.2309970000001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0.60302365276761272</v>
      </c>
      <c r="Q270">
        <f t="shared" si="965"/>
        <v>2124.5916253550181</v>
      </c>
      <c r="R270">
        <f t="shared" si="966"/>
        <v>-16920.34481928411</v>
      </c>
      <c r="S270">
        <f t="shared" si="967"/>
        <v>-0.16920344819284111</v>
      </c>
      <c r="T270">
        <f t="shared" si="968"/>
        <v>-1.6920344819284112E-4</v>
      </c>
    </row>
    <row r="271" spans="1:20" x14ac:dyDescent="0.25">
      <c r="A271" s="5">
        <v>44322</v>
      </c>
      <c r="B271">
        <v>1798.94</v>
      </c>
      <c r="C271">
        <v>1839.16</v>
      </c>
      <c r="D271">
        <v>1794.01</v>
      </c>
      <c r="E271">
        <v>1835.79</v>
      </c>
      <c r="F271">
        <v>3883.6929829999999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0.85071982281284109</v>
      </c>
      <c r="Q271">
        <f t="shared" si="965"/>
        <v>3303.9346063572343</v>
      </c>
      <c r="R271">
        <f t="shared" si="966"/>
        <v>-19044.936444639126</v>
      </c>
      <c r="S271">
        <f t="shared" si="967"/>
        <v>-0.19044936444639127</v>
      </c>
      <c r="T271">
        <f t="shared" si="968"/>
        <v>-1.9044936444639126E-4</v>
      </c>
    </row>
    <row r="272" spans="1:20" x14ac:dyDescent="0.25">
      <c r="A272" s="5">
        <v>44321</v>
      </c>
      <c r="B272">
        <v>1785.5</v>
      </c>
      <c r="C272">
        <v>1802.99</v>
      </c>
      <c r="D272">
        <v>1781.28</v>
      </c>
      <c r="E272">
        <v>1798.94</v>
      </c>
      <c r="F272">
        <v>2596.1181310000002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0.62690004606172756</v>
      </c>
      <c r="Q272">
        <f t="shared" si="965"/>
        <v>1627.5065759055863</v>
      </c>
      <c r="R272">
        <f t="shared" si="966"/>
        <v>-22348.87105099636</v>
      </c>
      <c r="S272">
        <f t="shared" si="967"/>
        <v>-0.22348871050996361</v>
      </c>
      <c r="T272">
        <f t="shared" si="968"/>
        <v>-2.2348871050996359E-4</v>
      </c>
    </row>
    <row r="273" spans="1:20" x14ac:dyDescent="0.25">
      <c r="A273" s="5">
        <v>44320</v>
      </c>
      <c r="B273">
        <v>1801.42</v>
      </c>
      <c r="C273">
        <v>1805.98</v>
      </c>
      <c r="D273">
        <v>1778.68</v>
      </c>
      <c r="E273">
        <v>1786.03</v>
      </c>
      <c r="F273">
        <v>5991.9057750000002</v>
      </c>
      <c r="G273">
        <v>0</v>
      </c>
      <c r="L273" t="s">
        <v>8</v>
      </c>
      <c r="M273" t="s">
        <v>7</v>
      </c>
      <c r="N273" t="s">
        <v>8</v>
      </c>
      <c r="P273">
        <f t="shared" si="964"/>
        <v>-0.46153846153846728</v>
      </c>
      <c r="Q273">
        <f t="shared" si="965"/>
        <v>-2765.4949730769576</v>
      </c>
      <c r="R273">
        <f t="shared" si="966"/>
        <v>-23976.377626901947</v>
      </c>
      <c r="S273">
        <f t="shared" si="967"/>
        <v>-0.23976377626901949</v>
      </c>
      <c r="T273">
        <f t="shared" si="968"/>
        <v>-2.3976377626901948E-4</v>
      </c>
    </row>
    <row r="274" spans="1:20" x14ac:dyDescent="0.25">
      <c r="A274" s="5">
        <v>44319</v>
      </c>
      <c r="B274">
        <v>1784.51</v>
      </c>
      <c r="C274">
        <v>1810</v>
      </c>
      <c r="D274">
        <v>1781.24</v>
      </c>
      <c r="E274">
        <v>1801.42</v>
      </c>
      <c r="F274">
        <v>3286.0838239999998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0.40333796940195205</v>
      </c>
      <c r="Q274">
        <f t="shared" si="965"/>
        <v>1325.4023768567615</v>
      </c>
      <c r="R274">
        <f t="shared" si="966"/>
        <v>-21210.882653824989</v>
      </c>
      <c r="S274">
        <f t="shared" si="967"/>
        <v>-0.21210882653824989</v>
      </c>
      <c r="T274">
        <f t="shared" si="968"/>
        <v>-2.1210882653824989E-4</v>
      </c>
    </row>
    <row r="275" spans="1:20" x14ac:dyDescent="0.25">
      <c r="A275" s="5">
        <v>44318</v>
      </c>
      <c r="B275">
        <v>1790</v>
      </c>
      <c r="C275">
        <v>1791</v>
      </c>
      <c r="D275">
        <v>1780.34</v>
      </c>
      <c r="E275">
        <v>1785.98</v>
      </c>
      <c r="F275">
        <v>1098.5079780000001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5.816135084428832E-2</v>
      </c>
      <c r="Q275">
        <f t="shared" si="965"/>
        <v>63.890707913707764</v>
      </c>
      <c r="R275">
        <f t="shared" si="966"/>
        <v>-22536.285030681749</v>
      </c>
      <c r="S275">
        <f t="shared" si="967"/>
        <v>-0.22536285030681749</v>
      </c>
      <c r="T275">
        <f t="shared" si="968"/>
        <v>-2.253628503068175E-4</v>
      </c>
    </row>
    <row r="276" spans="1:20" x14ac:dyDescent="0.25">
      <c r="A276" s="5">
        <v>44317</v>
      </c>
      <c r="B276">
        <v>1785.19</v>
      </c>
      <c r="C276">
        <v>1799</v>
      </c>
      <c r="D276">
        <v>1780.54</v>
      </c>
      <c r="E276">
        <v>1790</v>
      </c>
      <c r="F276">
        <v>1270.847131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2.4918743228604306E-2</v>
      </c>
      <c r="Q276">
        <f t="shared" si="965"/>
        <v>31.667913340197458</v>
      </c>
      <c r="R276">
        <f t="shared" si="966"/>
        <v>-22600.175738595455</v>
      </c>
      <c r="S276">
        <f t="shared" si="967"/>
        <v>-0.22600175738595454</v>
      </c>
      <c r="T276">
        <f t="shared" si="968"/>
        <v>-2.2600175738595455E-4</v>
      </c>
    </row>
    <row r="277" spans="1:20" x14ac:dyDescent="0.25">
      <c r="A277" s="5">
        <v>44316</v>
      </c>
      <c r="B277">
        <v>1785.4</v>
      </c>
      <c r="C277">
        <v>1791</v>
      </c>
      <c r="D277">
        <v>1777.06</v>
      </c>
      <c r="E277">
        <v>1784.38</v>
      </c>
      <c r="F277">
        <v>3599.6924570000001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5.021520803445266E-2</v>
      </c>
      <c r="Q277">
        <f t="shared" si="965"/>
        <v>180.75930558830504</v>
      </c>
      <c r="R277">
        <f t="shared" si="966"/>
        <v>-22631.843651935651</v>
      </c>
      <c r="S277">
        <f t="shared" si="967"/>
        <v>-0.22631843651935651</v>
      </c>
      <c r="T277">
        <f t="shared" si="968"/>
        <v>-2.2631843651935651E-4</v>
      </c>
    </row>
    <row r="278" spans="1:20" x14ac:dyDescent="0.25">
      <c r="A278" s="5">
        <v>44315</v>
      </c>
      <c r="B278">
        <v>1797.18</v>
      </c>
      <c r="C278">
        <v>1804.68</v>
      </c>
      <c r="D278">
        <v>1777.77</v>
      </c>
      <c r="E278">
        <v>1786.93</v>
      </c>
      <c r="F278">
        <v>3176.6146920000001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-0.31921218877740215</v>
      </c>
      <c r="Q278">
        <f t="shared" si="965"/>
        <v>-1014.0141287357732</v>
      </c>
      <c r="R278">
        <f t="shared" si="966"/>
        <v>-22812.602957523955</v>
      </c>
      <c r="S278">
        <f t="shared" si="967"/>
        <v>-0.22812602957523956</v>
      </c>
      <c r="T278">
        <f t="shared" si="968"/>
        <v>-2.2812602957523955E-4</v>
      </c>
    </row>
    <row r="279" spans="1:20" x14ac:dyDescent="0.25">
      <c r="A279" s="5">
        <v>44314</v>
      </c>
      <c r="B279">
        <v>1790.6</v>
      </c>
      <c r="C279">
        <v>1799</v>
      </c>
      <c r="D279">
        <v>1774.49</v>
      </c>
      <c r="E279">
        <v>1797.19</v>
      </c>
      <c r="F279">
        <v>3241.7138749999999</v>
      </c>
      <c r="G279">
        <v>0</v>
      </c>
      <c r="L279" t="s">
        <v>8</v>
      </c>
      <c r="M279" t="s">
        <v>7</v>
      </c>
      <c r="N279" t="s">
        <v>8</v>
      </c>
      <c r="P279">
        <f t="shared" si="964"/>
        <v>0.85230518155855195</v>
      </c>
      <c r="Q279">
        <f t="shared" si="965"/>
        <v>2762.9295327927521</v>
      </c>
      <c r="R279">
        <f t="shared" si="966"/>
        <v>-21798.588828788183</v>
      </c>
      <c r="S279">
        <f t="shared" si="967"/>
        <v>-0.21798588828788182</v>
      </c>
      <c r="T279">
        <f t="shared" si="968"/>
        <v>-2.1798588828788183E-4</v>
      </c>
    </row>
    <row r="280" spans="1:20" x14ac:dyDescent="0.25">
      <c r="A280" s="5">
        <v>44313</v>
      </c>
      <c r="B280">
        <v>1793.03</v>
      </c>
      <c r="C280">
        <v>1800</v>
      </c>
      <c r="D280">
        <v>1784.85</v>
      </c>
      <c r="E280">
        <v>1791.17</v>
      </c>
      <c r="F280">
        <v>3200.5822680000001</v>
      </c>
      <c r="G280">
        <v>0</v>
      </c>
      <c r="L280" t="s">
        <v>8</v>
      </c>
      <c r="M280" t="s">
        <v>7</v>
      </c>
      <c r="N280" t="s">
        <v>8</v>
      </c>
      <c r="P280">
        <f t="shared" si="964"/>
        <v>-0.16567656765674907</v>
      </c>
      <c r="Q280">
        <f t="shared" si="965"/>
        <v>-530.26148466529344</v>
      </c>
      <c r="R280">
        <f t="shared" si="966"/>
        <v>-24561.518361580933</v>
      </c>
      <c r="S280">
        <f t="shared" si="967"/>
        <v>-0.24561518361580933</v>
      </c>
      <c r="T280">
        <f t="shared" si="968"/>
        <v>-2.4561518361580932E-4</v>
      </c>
    </row>
    <row r="281" spans="1:20" x14ac:dyDescent="0.25">
      <c r="A281" s="5">
        <v>44312</v>
      </c>
      <c r="B281">
        <v>1781.65</v>
      </c>
      <c r="C281">
        <v>1801</v>
      </c>
      <c r="D281">
        <v>1778.59</v>
      </c>
      <c r="E281">
        <v>1794.34</v>
      </c>
      <c r="F281">
        <v>6556.444023</v>
      </c>
      <c r="G281">
        <v>0</v>
      </c>
      <c r="L281" t="s">
        <v>8</v>
      </c>
      <c r="M281" t="s">
        <v>7</v>
      </c>
      <c r="N281" t="s">
        <v>8</v>
      </c>
      <c r="P281">
        <f t="shared" si="964"/>
        <v>0.40562248995983424</v>
      </c>
      <c r="Q281">
        <f t="shared" si="965"/>
        <v>2659.4411498915329</v>
      </c>
      <c r="R281">
        <f t="shared" si="966"/>
        <v>-24031.256876915639</v>
      </c>
      <c r="S281">
        <f t="shared" si="967"/>
        <v>-0.24031256876915638</v>
      </c>
      <c r="T281">
        <f t="shared" si="968"/>
        <v>-2.4031256876915638E-4</v>
      </c>
    </row>
    <row r="282" spans="1:20" x14ac:dyDescent="0.25">
      <c r="A282" s="5">
        <v>44311</v>
      </c>
      <c r="B282">
        <v>1788.65</v>
      </c>
      <c r="C282">
        <v>1799.7</v>
      </c>
      <c r="D282">
        <v>1776</v>
      </c>
      <c r="E282">
        <v>1781.65</v>
      </c>
      <c r="F282">
        <v>3561.108103</v>
      </c>
      <c r="G282">
        <v>0</v>
      </c>
      <c r="L282" t="s">
        <v>8</v>
      </c>
      <c r="M282" t="s">
        <v>7</v>
      </c>
      <c r="N282" t="s">
        <v>8</v>
      </c>
      <c r="P282">
        <f t="shared" si="964"/>
        <v>-0.5232067510548456</v>
      </c>
      <c r="Q282">
        <f t="shared" si="965"/>
        <v>-1863.1958007257144</v>
      </c>
      <c r="R282">
        <f t="shared" si="966"/>
        <v>-26690.698026807171</v>
      </c>
      <c r="S282">
        <f t="shared" si="967"/>
        <v>-0.26690698026807169</v>
      </c>
      <c r="T282">
        <f t="shared" si="968"/>
        <v>-2.6690698026807171E-4</v>
      </c>
    </row>
    <row r="283" spans="1:20" x14ac:dyDescent="0.25">
      <c r="A283" s="5">
        <v>44310</v>
      </c>
      <c r="B283">
        <v>1806.54</v>
      </c>
      <c r="C283">
        <v>1807.14</v>
      </c>
      <c r="D283">
        <v>1783.73</v>
      </c>
      <c r="E283">
        <v>1788.65</v>
      </c>
      <c r="F283">
        <v>3196.6846529999998</v>
      </c>
      <c r="G283">
        <v>0</v>
      </c>
      <c r="L283" t="s">
        <v>8</v>
      </c>
      <c r="M283" t="s">
        <v>7</v>
      </c>
      <c r="N283" t="s">
        <v>8</v>
      </c>
      <c r="P283">
        <f t="shared" si="964"/>
        <v>-0.57966680905595425</v>
      </c>
      <c r="Q283">
        <f t="shared" si="965"/>
        <v>-1853.0119923626503</v>
      </c>
      <c r="R283">
        <f t="shared" si="966"/>
        <v>-24827.502226081459</v>
      </c>
      <c r="S283">
        <f t="shared" si="967"/>
        <v>-0.24827502226081458</v>
      </c>
      <c r="T283">
        <f t="shared" si="968"/>
        <v>-2.4827502226081456E-4</v>
      </c>
    </row>
    <row r="284" spans="1:20" x14ac:dyDescent="0.25">
      <c r="A284" s="5">
        <v>44309</v>
      </c>
      <c r="B284">
        <v>1796.12</v>
      </c>
      <c r="C284">
        <v>1833</v>
      </c>
      <c r="D284">
        <v>1781</v>
      </c>
      <c r="E284">
        <v>1806.54</v>
      </c>
      <c r="F284">
        <v>10818.197322</v>
      </c>
      <c r="G284">
        <v>0</v>
      </c>
      <c r="L284" t="s">
        <v>8</v>
      </c>
      <c r="M284" t="s">
        <v>7</v>
      </c>
      <c r="N284" t="s">
        <v>8</v>
      </c>
      <c r="P284">
        <f t="shared" si="964"/>
        <v>-1.7692307692309093E-2</v>
      </c>
      <c r="Q284">
        <f t="shared" si="965"/>
        <v>-191.39887569693823</v>
      </c>
      <c r="R284">
        <f t="shared" si="966"/>
        <v>-22974.490233718807</v>
      </c>
      <c r="S284">
        <f t="shared" si="967"/>
        <v>-0.22974490233718806</v>
      </c>
      <c r="T284">
        <f t="shared" si="968"/>
        <v>-2.2974490233718806E-4</v>
      </c>
    </row>
    <row r="285" spans="1:20" x14ac:dyDescent="0.25">
      <c r="A285" s="5">
        <v>44308</v>
      </c>
      <c r="B285">
        <v>1815.96</v>
      </c>
      <c r="C285">
        <v>1828.52</v>
      </c>
      <c r="D285">
        <v>1786</v>
      </c>
      <c r="E285">
        <v>1796.12</v>
      </c>
      <c r="F285">
        <v>8927.3184610000008</v>
      </c>
      <c r="G285">
        <v>0</v>
      </c>
      <c r="L285" t="s">
        <v>8</v>
      </c>
      <c r="M285" t="s">
        <v>7</v>
      </c>
      <c r="N285" t="s">
        <v>8</v>
      </c>
      <c r="P285">
        <f t="shared" si="964"/>
        <v>-0.52398871119473678</v>
      </c>
      <c r="Q285">
        <f t="shared" si="965"/>
        <v>-4677.8140948043711</v>
      </c>
      <c r="R285">
        <f t="shared" si="966"/>
        <v>-22783.091358021869</v>
      </c>
      <c r="S285">
        <f t="shared" si="967"/>
        <v>-0.2278309135802187</v>
      </c>
      <c r="T285">
        <f t="shared" si="968"/>
        <v>-2.2783091358021871E-4</v>
      </c>
    </row>
    <row r="286" spans="1:20" x14ac:dyDescent="0.25">
      <c r="A286" s="5">
        <v>44307</v>
      </c>
      <c r="B286">
        <v>1790.23</v>
      </c>
      <c r="C286">
        <v>1817</v>
      </c>
      <c r="D286">
        <v>1784.61</v>
      </c>
      <c r="E286">
        <v>1816.33</v>
      </c>
      <c r="F286">
        <v>5460.656078</v>
      </c>
      <c r="G286">
        <v>0</v>
      </c>
      <c r="L286" t="s">
        <v>8</v>
      </c>
      <c r="M286" t="s">
        <v>7</v>
      </c>
      <c r="N286" t="s">
        <v>8</v>
      </c>
      <c r="P286">
        <f t="shared" si="964"/>
        <v>0.95862920654522565</v>
      </c>
      <c r="Q286">
        <f t="shared" si="965"/>
        <v>5234.7444032695039</v>
      </c>
      <c r="R286">
        <f t="shared" si="966"/>
        <v>-18105.277263217497</v>
      </c>
      <c r="S286">
        <f t="shared" si="967"/>
        <v>-0.18105277263217495</v>
      </c>
      <c r="T286">
        <f t="shared" si="968"/>
        <v>-1.8105277263217494E-4</v>
      </c>
    </row>
    <row r="287" spans="1:20" x14ac:dyDescent="0.25">
      <c r="A287" s="5">
        <v>44306</v>
      </c>
      <c r="B287">
        <v>1783.5</v>
      </c>
      <c r="C287">
        <v>1802.63</v>
      </c>
      <c r="D287">
        <v>1775.15</v>
      </c>
      <c r="E287">
        <v>1789.39</v>
      </c>
      <c r="F287">
        <v>5376.1115950000003</v>
      </c>
      <c r="G287">
        <v>0</v>
      </c>
      <c r="L287" t="s">
        <v>8</v>
      </c>
      <c r="M287" t="s">
        <v>7</v>
      </c>
      <c r="N287" t="s">
        <v>8</v>
      </c>
      <c r="P287">
        <f t="shared" si="964"/>
        <v>3.6390101892285275E-2</v>
      </c>
      <c r="Q287">
        <f t="shared" si="965"/>
        <v>195.63724872634631</v>
      </c>
      <c r="R287">
        <f t="shared" si="966"/>
        <v>-23340.021666486999</v>
      </c>
      <c r="S287">
        <f t="shared" si="967"/>
        <v>-0.23340021666486999</v>
      </c>
      <c r="T287">
        <f t="shared" si="968"/>
        <v>-2.3340021666486997E-4</v>
      </c>
    </row>
    <row r="288" spans="1:20" x14ac:dyDescent="0.25">
      <c r="A288" s="5">
        <v>44305</v>
      </c>
      <c r="B288">
        <v>1800.4</v>
      </c>
      <c r="C288">
        <v>1824.24</v>
      </c>
      <c r="D288">
        <v>1770.55</v>
      </c>
      <c r="E288">
        <v>1783.44</v>
      </c>
      <c r="F288">
        <v>4834.0700059999999</v>
      </c>
      <c r="G288">
        <v>0</v>
      </c>
      <c r="L288" t="s">
        <v>8</v>
      </c>
      <c r="M288" t="s">
        <v>7</v>
      </c>
      <c r="N288" t="s">
        <v>8</v>
      </c>
      <c r="P288">
        <f t="shared" si="964"/>
        <v>-0.51983609610727932</v>
      </c>
      <c r="Q288">
        <f t="shared" si="965"/>
        <v>-2512.9240802283325</v>
      </c>
      <c r="R288">
        <f t="shared" si="966"/>
        <v>-23535.658915213346</v>
      </c>
      <c r="S288">
        <f t="shared" si="967"/>
        <v>-0.23535658915213345</v>
      </c>
      <c r="T288">
        <f t="shared" si="968"/>
        <v>-2.3535658915213345E-4</v>
      </c>
    </row>
    <row r="289" spans="1:20" x14ac:dyDescent="0.25">
      <c r="A289" s="5">
        <v>44304</v>
      </c>
      <c r="B289">
        <v>1789.84</v>
      </c>
      <c r="C289">
        <v>1805.99</v>
      </c>
      <c r="D289">
        <v>1765</v>
      </c>
      <c r="E289">
        <v>1799.95</v>
      </c>
      <c r="F289">
        <v>6704.2422889999998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0.70529397414003603</v>
      </c>
      <c r="Q289">
        <f t="shared" si="965"/>
        <v>4728.461687606502</v>
      </c>
      <c r="R289">
        <f t="shared" si="966"/>
        <v>-21022.734834985014</v>
      </c>
      <c r="S289">
        <f t="shared" si="967"/>
        <v>-0.21022734834985016</v>
      </c>
      <c r="T289">
        <f t="shared" si="968"/>
        <v>-2.1022734834985016E-4</v>
      </c>
    </row>
    <row r="290" spans="1:20" x14ac:dyDescent="0.25">
      <c r="A290" s="5">
        <v>44303</v>
      </c>
      <c r="B290">
        <v>1788.64</v>
      </c>
      <c r="C290">
        <v>1804.99</v>
      </c>
      <c r="D290">
        <v>1782.78</v>
      </c>
      <c r="E290">
        <v>1789.61</v>
      </c>
      <c r="F290">
        <v>2102.6580260000001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-0.38496172895093056</v>
      </c>
      <c r="Q290">
        <f t="shared" si="965"/>
        <v>-809.44286908151071</v>
      </c>
      <c r="R290">
        <f t="shared" si="966"/>
        <v>-25751.196522591516</v>
      </c>
      <c r="S290">
        <f t="shared" si="967"/>
        <v>-0.25751196522591513</v>
      </c>
      <c r="T290">
        <f t="shared" si="968"/>
        <v>-2.5751196522591513E-4</v>
      </c>
    </row>
    <row r="291" spans="1:20" x14ac:dyDescent="0.25">
      <c r="A291" s="5">
        <v>44302</v>
      </c>
      <c r="B291">
        <v>1770.55</v>
      </c>
      <c r="C291">
        <v>1799.44</v>
      </c>
      <c r="D291">
        <v>1760</v>
      </c>
      <c r="E291">
        <v>1787.61</v>
      </c>
      <c r="F291">
        <v>3385.4569700000002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0.40010141987828912</v>
      </c>
      <c r="Q291">
        <f t="shared" si="965"/>
        <v>1354.5261406338504</v>
      </c>
      <c r="R291">
        <f t="shared" si="966"/>
        <v>-24941.753653510004</v>
      </c>
      <c r="S291">
        <f t="shared" si="967"/>
        <v>-0.24941753653510004</v>
      </c>
      <c r="T291">
        <f t="shared" si="968"/>
        <v>-2.4941753653510003E-4</v>
      </c>
    </row>
    <row r="292" spans="1:20" x14ac:dyDescent="0.25">
      <c r="A292" s="5">
        <v>44301</v>
      </c>
      <c r="B292">
        <v>1751.69</v>
      </c>
      <c r="C292">
        <v>1784.7</v>
      </c>
      <c r="D292">
        <v>1745.7</v>
      </c>
      <c r="E292">
        <v>1770</v>
      </c>
      <c r="F292">
        <v>3277.9848529999999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0.24615384615384381</v>
      </c>
      <c r="Q292">
        <f t="shared" si="965"/>
        <v>806.88857919999225</v>
      </c>
      <c r="R292">
        <f t="shared" si="966"/>
        <v>-26296.279794143855</v>
      </c>
      <c r="S292">
        <f t="shared" si="967"/>
        <v>-0.26296279794143856</v>
      </c>
      <c r="T292">
        <f t="shared" si="968"/>
        <v>-2.6296279794143856E-4</v>
      </c>
    </row>
    <row r="293" spans="1:20" x14ac:dyDescent="0.25">
      <c r="A293" s="5">
        <v>44300</v>
      </c>
      <c r="B293">
        <v>1751.84</v>
      </c>
      <c r="C293">
        <v>1760.82</v>
      </c>
      <c r="D293">
        <v>1740.48</v>
      </c>
      <c r="E293">
        <v>1751.14</v>
      </c>
      <c r="F293">
        <v>2568.3669209999998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4.8180924287131242E-2</v>
      </c>
      <c r="Q293">
        <f t="shared" si="965"/>
        <v>123.74629216227338</v>
      </c>
      <c r="R293">
        <f t="shared" si="966"/>
        <v>-27103.168373343848</v>
      </c>
      <c r="S293">
        <f t="shared" si="967"/>
        <v>-0.2710316837334385</v>
      </c>
      <c r="T293">
        <f t="shared" si="968"/>
        <v>-2.7103168373343849E-4</v>
      </c>
    </row>
    <row r="294" spans="1:20" x14ac:dyDescent="0.25">
      <c r="A294" s="5">
        <v>44299</v>
      </c>
      <c r="B294">
        <v>1747.02</v>
      </c>
      <c r="C294">
        <v>1765</v>
      </c>
      <c r="D294">
        <v>1738.83</v>
      </c>
      <c r="E294">
        <v>1751.03</v>
      </c>
      <c r="F294">
        <v>3437.337982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-6.7634696217041532E-2</v>
      </c>
      <c r="Q294">
        <f t="shared" si="965"/>
        <v>-232.48331020786858</v>
      </c>
      <c r="R294">
        <f t="shared" si="966"/>
        <v>-27226.914665506119</v>
      </c>
      <c r="S294">
        <f t="shared" si="967"/>
        <v>-0.27226914665506119</v>
      </c>
      <c r="T294">
        <f t="shared" si="968"/>
        <v>-2.722691466550612E-4</v>
      </c>
    </row>
    <row r="295" spans="1:20" x14ac:dyDescent="0.25">
      <c r="A295" s="5">
        <v>44298</v>
      </c>
      <c r="B295">
        <v>1755.53</v>
      </c>
      <c r="C295">
        <v>1763.04</v>
      </c>
      <c r="D295">
        <v>1738.83</v>
      </c>
      <c r="E295">
        <v>1746.8</v>
      </c>
      <c r="F295">
        <v>2178.1178730000001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-0.34159438248657453</v>
      </c>
      <c r="Q295">
        <f t="shared" si="965"/>
        <v>-744.03282981040627</v>
      </c>
      <c r="R295">
        <f t="shared" si="966"/>
        <v>-26994.431355298249</v>
      </c>
      <c r="S295">
        <f t="shared" si="967"/>
        <v>-0.26994431355298248</v>
      </c>
      <c r="T295">
        <f t="shared" si="968"/>
        <v>-2.699443135529825E-4</v>
      </c>
    </row>
    <row r="296" spans="1:20" x14ac:dyDescent="0.25">
      <c r="A296" s="5">
        <v>44297</v>
      </c>
      <c r="B296">
        <v>1756.29</v>
      </c>
      <c r="C296">
        <v>1772.91</v>
      </c>
      <c r="D296">
        <v>1748.19</v>
      </c>
      <c r="E296">
        <v>1755.46</v>
      </c>
      <c r="F296">
        <v>1124.3641279999999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-0.41181229773462996</v>
      </c>
      <c r="Q296">
        <f t="shared" si="965"/>
        <v>-463.02697504207356</v>
      </c>
      <c r="R296">
        <f t="shared" si="966"/>
        <v>-26250.398525487843</v>
      </c>
      <c r="S296">
        <f t="shared" si="967"/>
        <v>-0.26250398525487845</v>
      </c>
      <c r="T296">
        <f t="shared" si="968"/>
        <v>-2.6250398525487847E-4</v>
      </c>
    </row>
    <row r="297" spans="1:20" x14ac:dyDescent="0.25">
      <c r="A297" s="5">
        <v>44296</v>
      </c>
      <c r="B297">
        <v>1752.9</v>
      </c>
      <c r="C297">
        <v>1769.13</v>
      </c>
      <c r="D297">
        <v>1747.38</v>
      </c>
      <c r="E297">
        <v>1756.28</v>
      </c>
      <c r="F297">
        <v>1623.848481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-0.18160919540231141</v>
      </c>
      <c r="Q297">
        <f t="shared" si="965"/>
        <v>-294.90581608967557</v>
      </c>
      <c r="R297">
        <f t="shared" si="966"/>
        <v>-25787.371550445769</v>
      </c>
      <c r="S297">
        <f t="shared" si="967"/>
        <v>-0.2578737155044577</v>
      </c>
      <c r="T297">
        <f t="shared" si="968"/>
        <v>-2.578737155044577E-4</v>
      </c>
    </row>
    <row r="298" spans="1:20" x14ac:dyDescent="0.25">
      <c r="A298" s="5">
        <v>44295</v>
      </c>
      <c r="B298">
        <v>1768.39</v>
      </c>
      <c r="C298">
        <v>1772.08</v>
      </c>
      <c r="D298">
        <v>1740.84</v>
      </c>
      <c r="E298">
        <v>1752.9</v>
      </c>
      <c r="F298">
        <v>2337.0143320000002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-0.22791293213827341</v>
      </c>
      <c r="Q298">
        <f t="shared" si="965"/>
        <v>-532.63578885528841</v>
      </c>
      <c r="R298">
        <f t="shared" si="966"/>
        <v>-25492.465734356094</v>
      </c>
      <c r="S298">
        <f t="shared" si="967"/>
        <v>-0.25492465734356096</v>
      </c>
      <c r="T298">
        <f t="shared" si="968"/>
        <v>-2.5492465734356095E-4</v>
      </c>
    </row>
    <row r="299" spans="1:20" x14ac:dyDescent="0.25">
      <c r="A299" s="5">
        <v>44294</v>
      </c>
      <c r="B299">
        <v>1755.85</v>
      </c>
      <c r="C299">
        <v>1785</v>
      </c>
      <c r="D299">
        <v>1751.74</v>
      </c>
      <c r="E299">
        <v>1769.62</v>
      </c>
      <c r="F299">
        <v>2775.7375539999998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7.5165363800353976E-2</v>
      </c>
      <c r="Q299">
        <f t="shared" si="965"/>
        <v>208.63932306071467</v>
      </c>
      <c r="R299">
        <f t="shared" si="966"/>
        <v>-24959.829945500805</v>
      </c>
      <c r="S299">
        <f t="shared" si="967"/>
        <v>-0.24959829945500805</v>
      </c>
      <c r="T299">
        <f t="shared" si="968"/>
        <v>-2.4959829945500806E-4</v>
      </c>
    </row>
    <row r="300" spans="1:20" x14ac:dyDescent="0.25">
      <c r="A300" s="5">
        <v>44293</v>
      </c>
      <c r="B300">
        <v>1755.74</v>
      </c>
      <c r="C300">
        <v>1775.14</v>
      </c>
      <c r="D300">
        <v>1733.93</v>
      </c>
      <c r="E300">
        <v>1754.97</v>
      </c>
      <c r="F300">
        <v>2511.3585189999999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2.1111380732829171E-2</v>
      </c>
      <c r="Q300">
        <f t="shared" si="965"/>
        <v>53.018245851243002</v>
      </c>
      <c r="R300">
        <f t="shared" si="966"/>
        <v>-25168.469268561519</v>
      </c>
      <c r="S300">
        <f t="shared" si="967"/>
        <v>-0.25168469268561522</v>
      </c>
      <c r="T300">
        <f t="shared" si="968"/>
        <v>-2.516846926856152E-4</v>
      </c>
    </row>
    <row r="301" spans="1:20" x14ac:dyDescent="0.25">
      <c r="A301" s="5">
        <v>44292</v>
      </c>
      <c r="B301">
        <v>1743.67</v>
      </c>
      <c r="C301">
        <v>1762.5</v>
      </c>
      <c r="D301">
        <v>1740.22</v>
      </c>
      <c r="E301">
        <v>1756.41</v>
      </c>
      <c r="F301">
        <v>2079.2779139999998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0.45332136445243038</v>
      </c>
      <c r="Q301">
        <f t="shared" si="965"/>
        <v>942.58110105028311</v>
      </c>
      <c r="R301">
        <f t="shared" si="966"/>
        <v>-25221.487514412762</v>
      </c>
      <c r="S301">
        <f t="shared" si="967"/>
        <v>-0.2522148751441276</v>
      </c>
      <c r="T301">
        <f t="shared" si="968"/>
        <v>-2.5221487514412758E-4</v>
      </c>
    </row>
    <row r="302" spans="1:20" x14ac:dyDescent="0.25">
      <c r="A302" s="5">
        <v>44291</v>
      </c>
      <c r="B302">
        <v>1747.64</v>
      </c>
      <c r="C302">
        <v>1759.98</v>
      </c>
      <c r="D302">
        <v>1735.28</v>
      </c>
      <c r="E302">
        <v>1743.7</v>
      </c>
      <c r="F302">
        <v>1876.813582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-0.31821862348177676</v>
      </c>
      <c r="Q302">
        <f t="shared" si="965"/>
        <v>-597.23703459594276</v>
      </c>
      <c r="R302">
        <f t="shared" si="966"/>
        <v>-26164.068615463046</v>
      </c>
      <c r="S302">
        <f t="shared" si="967"/>
        <v>-0.26164068615463043</v>
      </c>
      <c r="T302">
        <f t="shared" si="968"/>
        <v>-2.6164068615463045E-4</v>
      </c>
    </row>
    <row r="303" spans="1:20" x14ac:dyDescent="0.25">
      <c r="A303" s="5">
        <v>44290</v>
      </c>
      <c r="B303">
        <v>1734.26</v>
      </c>
      <c r="C303">
        <v>1806.76</v>
      </c>
      <c r="D303">
        <v>1731</v>
      </c>
      <c r="E303">
        <v>1747.87</v>
      </c>
      <c r="F303">
        <v>1931.80915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-0.55464625131996059</v>
      </c>
      <c r="Q303">
        <f t="shared" si="965"/>
        <v>-1071.4707033130994</v>
      </c>
      <c r="R303">
        <f t="shared" si="966"/>
        <v>-25566.831580867103</v>
      </c>
      <c r="S303">
        <f t="shared" si="967"/>
        <v>-0.25566831580867105</v>
      </c>
      <c r="T303">
        <f t="shared" si="968"/>
        <v>-2.5566831580867106E-4</v>
      </c>
    </row>
    <row r="304" spans="1:20" x14ac:dyDescent="0.25">
      <c r="A304" s="5">
        <v>44289</v>
      </c>
      <c r="B304">
        <v>1738.86</v>
      </c>
      <c r="C304">
        <v>1750.74</v>
      </c>
      <c r="D304">
        <v>1732.33</v>
      </c>
      <c r="E304">
        <v>1734.27</v>
      </c>
      <c r="F304">
        <v>1331.1378130000001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-0.78924497555675766</v>
      </c>
      <c r="Q304">
        <f t="shared" si="965"/>
        <v>-1050.5938306838609</v>
      </c>
      <c r="R304">
        <f t="shared" si="966"/>
        <v>-24495.360877554005</v>
      </c>
      <c r="S304">
        <f t="shared" si="967"/>
        <v>-0.24495360877554004</v>
      </c>
      <c r="T304">
        <f t="shared" si="968"/>
        <v>-2.4495360877554003E-4</v>
      </c>
    </row>
    <row r="305" spans="1:20" x14ac:dyDescent="0.25">
      <c r="A305" s="5">
        <v>44288</v>
      </c>
      <c r="B305">
        <v>1741.6</v>
      </c>
      <c r="C305">
        <v>1745</v>
      </c>
      <c r="D305">
        <v>1727.27</v>
      </c>
      <c r="E305">
        <v>1738.86</v>
      </c>
      <c r="F305">
        <v>1444.5195120000001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0.30738860688098207</v>
      </c>
      <c r="Q305">
        <f t="shared" si="965"/>
        <v>444.02884040607609</v>
      </c>
      <c r="R305">
        <f t="shared" si="966"/>
        <v>-23444.767046870144</v>
      </c>
      <c r="S305">
        <f t="shared" si="967"/>
        <v>-0.23444767046870144</v>
      </c>
      <c r="T305">
        <f t="shared" si="968"/>
        <v>-2.3444767046870143E-4</v>
      </c>
    </row>
    <row r="306" spans="1:20" x14ac:dyDescent="0.25">
      <c r="A306" s="5">
        <v>44287</v>
      </c>
      <c r="B306">
        <v>1714.53</v>
      </c>
      <c r="C306">
        <v>1741.78</v>
      </c>
      <c r="D306">
        <v>1713</v>
      </c>
      <c r="E306">
        <v>1741.6</v>
      </c>
      <c r="F306">
        <v>1376.285846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0.98749131341208729</v>
      </c>
      <c r="Q306">
        <f t="shared" si="965"/>
        <v>1359.0703176970057</v>
      </c>
      <c r="R306">
        <f t="shared" si="966"/>
        <v>-23888.795887276221</v>
      </c>
      <c r="S306">
        <f t="shared" si="967"/>
        <v>-0.23888795887276221</v>
      </c>
      <c r="T306">
        <f t="shared" si="968"/>
        <v>-2.3888795887276222E-4</v>
      </c>
    </row>
    <row r="307" spans="1:20" x14ac:dyDescent="0.25">
      <c r="A307" s="5">
        <v>44286</v>
      </c>
      <c r="B307">
        <v>1700.12</v>
      </c>
      <c r="C307">
        <v>1725</v>
      </c>
      <c r="D307">
        <v>1689</v>
      </c>
      <c r="E307">
        <v>1713.55</v>
      </c>
      <c r="F307">
        <v>1662.1508389999999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0.36388888888888637</v>
      </c>
      <c r="Q307">
        <f t="shared" si="965"/>
        <v>604.83822196944027</v>
      </c>
      <c r="R307">
        <f t="shared" si="966"/>
        <v>-25247.866204973227</v>
      </c>
      <c r="S307">
        <f t="shared" si="967"/>
        <v>-0.25247866204973224</v>
      </c>
      <c r="T307">
        <f t="shared" si="968"/>
        <v>-2.5247866204973225E-4</v>
      </c>
    </row>
    <row r="308" spans="1:20" x14ac:dyDescent="0.25">
      <c r="A308" s="5">
        <v>44285</v>
      </c>
      <c r="B308">
        <v>1725.07</v>
      </c>
      <c r="C308">
        <v>1734</v>
      </c>
      <c r="D308">
        <v>1696.13</v>
      </c>
      <c r="E308">
        <v>1701.14</v>
      </c>
      <c r="F308">
        <v>2234.8936749999998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-0.73541061526274065</v>
      </c>
      <c r="Q308">
        <f t="shared" si="965"/>
        <v>-1643.5645325785574</v>
      </c>
      <c r="R308">
        <f t="shared" si="966"/>
        <v>-25852.704426942666</v>
      </c>
      <c r="S308">
        <f t="shared" si="967"/>
        <v>-0.25852704426942669</v>
      </c>
      <c r="T308">
        <f t="shared" si="968"/>
        <v>-2.5852704426942671E-4</v>
      </c>
    </row>
    <row r="309" spans="1:20" x14ac:dyDescent="0.25">
      <c r="A309" s="5">
        <v>44284</v>
      </c>
      <c r="B309">
        <v>1747.57</v>
      </c>
      <c r="C309">
        <v>1757.18</v>
      </c>
      <c r="D309">
        <v>1720</v>
      </c>
      <c r="E309">
        <v>1724.69</v>
      </c>
      <c r="F309">
        <v>2140.3292200000001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-0.74771382463689906</v>
      </c>
      <c r="Q309">
        <f t="shared" si="965"/>
        <v>-1600.3537470683109</v>
      </c>
      <c r="R309">
        <f t="shared" si="966"/>
        <v>-24209.139894364107</v>
      </c>
      <c r="S309">
        <f t="shared" si="967"/>
        <v>-0.24209139894364107</v>
      </c>
      <c r="T309">
        <f t="shared" si="968"/>
        <v>-2.4209139894364106E-4</v>
      </c>
    </row>
    <row r="310" spans="1:20" x14ac:dyDescent="0.25">
      <c r="A310" s="5">
        <v>44283</v>
      </c>
      <c r="B310">
        <v>1733.89</v>
      </c>
      <c r="C310">
        <v>1771.83</v>
      </c>
      <c r="D310">
        <v>1731.42</v>
      </c>
      <c r="E310">
        <v>1746.57</v>
      </c>
      <c r="F310">
        <v>2967.4924070000002</v>
      </c>
      <c r="G310">
        <v>0</v>
      </c>
      <c r="L310" t="s">
        <v>7</v>
      </c>
      <c r="M310" t="s">
        <v>7</v>
      </c>
      <c r="N310" t="s">
        <v>8</v>
      </c>
      <c r="P310">
        <f t="shared" si="964"/>
        <v>-0.25018559762435444</v>
      </c>
      <c r="Q310">
        <f t="shared" si="965"/>
        <v>-742.42386129102908</v>
      </c>
      <c r="R310">
        <f t="shared" si="966"/>
        <v>-22608.786147295796</v>
      </c>
      <c r="S310">
        <f t="shared" si="967"/>
        <v>-0.22608786147295795</v>
      </c>
      <c r="T310">
        <f t="shared" si="968"/>
        <v>-2.2608786147295794E-4</v>
      </c>
    </row>
    <row r="311" spans="1:20" x14ac:dyDescent="0.25">
      <c r="A311" s="5">
        <v>44282</v>
      </c>
      <c r="B311">
        <v>1740.65</v>
      </c>
      <c r="C311">
        <v>1742.33</v>
      </c>
      <c r="D311">
        <v>1713.54</v>
      </c>
      <c r="E311">
        <v>1732.78</v>
      </c>
      <c r="F311">
        <v>1168.0529899999999</v>
      </c>
      <c r="G311">
        <v>0</v>
      </c>
      <c r="L311" t="s">
        <v>7</v>
      </c>
      <c r="M311" t="s">
        <v>7</v>
      </c>
      <c r="N311" t="s">
        <v>8</v>
      </c>
      <c r="P311">
        <f t="shared" si="964"/>
        <v>0.33657519972212807</v>
      </c>
      <c r="Q311">
        <f t="shared" si="965"/>
        <v>393.13766839527881</v>
      </c>
      <c r="R311">
        <f t="shared" si="966"/>
        <v>-21866.362286004765</v>
      </c>
      <c r="S311">
        <f t="shared" si="967"/>
        <v>-0.21866362286004765</v>
      </c>
      <c r="T311">
        <f t="shared" si="968"/>
        <v>-2.1866362286004765E-4</v>
      </c>
    </row>
    <row r="312" spans="1:20" x14ac:dyDescent="0.25">
      <c r="A312" s="5">
        <v>44281</v>
      </c>
      <c r="B312">
        <v>1728.15</v>
      </c>
      <c r="C312">
        <v>1745</v>
      </c>
      <c r="D312">
        <v>1719.35</v>
      </c>
      <c r="E312">
        <v>1740.57</v>
      </c>
      <c r="F312">
        <v>1433.2139090000001</v>
      </c>
      <c r="G312">
        <v>0</v>
      </c>
      <c r="L312" t="s">
        <v>7</v>
      </c>
      <c r="M312" t="s">
        <v>7</v>
      </c>
      <c r="N312" t="s">
        <v>8</v>
      </c>
      <c r="P312">
        <f t="shared" si="964"/>
        <v>0.65458089668615616</v>
      </c>
      <c r="Q312">
        <f t="shared" si="965"/>
        <v>938.15444569629108</v>
      </c>
      <c r="R312">
        <f t="shared" si="966"/>
        <v>-22259.499954400046</v>
      </c>
      <c r="S312">
        <f t="shared" si="967"/>
        <v>-0.22259499954400044</v>
      </c>
      <c r="T312">
        <f t="shared" si="968"/>
        <v>-2.2259499954400044E-4</v>
      </c>
    </row>
    <row r="313" spans="1:20" x14ac:dyDescent="0.25">
      <c r="A313" s="5">
        <v>44280</v>
      </c>
      <c r="B313">
        <v>1737.8</v>
      </c>
      <c r="C313">
        <v>1748.53</v>
      </c>
      <c r="D313">
        <v>1721.81</v>
      </c>
      <c r="E313">
        <v>1727.59</v>
      </c>
      <c r="F313">
        <v>2639.2671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-0.56736526946108035</v>
      </c>
      <c r="Q313">
        <f t="shared" si="965"/>
        <v>-1497.428489371264</v>
      </c>
      <c r="R313">
        <f t="shared" si="966"/>
        <v>-23197.654400096337</v>
      </c>
      <c r="S313">
        <f t="shared" si="967"/>
        <v>-0.23197654400096338</v>
      </c>
      <c r="T313">
        <f t="shared" si="968"/>
        <v>-2.3197654400096337E-4</v>
      </c>
    </row>
    <row r="314" spans="1:20" x14ac:dyDescent="0.25">
      <c r="A314" s="5">
        <v>44279</v>
      </c>
      <c r="B314">
        <v>1740</v>
      </c>
      <c r="C314">
        <v>1746.91</v>
      </c>
      <c r="D314">
        <v>1730.13</v>
      </c>
      <c r="E314">
        <v>1737.78</v>
      </c>
      <c r="F314">
        <v>1600.5446449999999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-8.8200238379037427E-2</v>
      </c>
      <c r="Q314">
        <f t="shared" si="965"/>
        <v>-141.16841922529184</v>
      </c>
      <c r="R314">
        <f t="shared" si="966"/>
        <v>-21700.225910725072</v>
      </c>
      <c r="S314">
        <f t="shared" si="967"/>
        <v>-0.21700225910725071</v>
      </c>
      <c r="T314">
        <f t="shared" si="968"/>
        <v>-2.170022591072507E-4</v>
      </c>
    </row>
    <row r="315" spans="1:20" x14ac:dyDescent="0.25">
      <c r="A315" s="5">
        <v>44278</v>
      </c>
      <c r="B315">
        <v>1740.79</v>
      </c>
      <c r="C315">
        <v>1750.93</v>
      </c>
      <c r="D315">
        <v>1733.81</v>
      </c>
      <c r="E315">
        <v>1740</v>
      </c>
      <c r="F315">
        <v>1560.906555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-0.27686915887850327</v>
      </c>
      <c r="Q315">
        <f t="shared" si="965"/>
        <v>-432.16688497079224</v>
      </c>
      <c r="R315">
        <f t="shared" si="966"/>
        <v>-21559.057491499781</v>
      </c>
      <c r="S315">
        <f t="shared" si="967"/>
        <v>-0.21559057491499781</v>
      </c>
      <c r="T315">
        <f t="shared" si="968"/>
        <v>-2.1559057491499781E-4</v>
      </c>
    </row>
    <row r="316" spans="1:20" x14ac:dyDescent="0.25">
      <c r="A316" s="5">
        <v>44277</v>
      </c>
      <c r="B316">
        <v>1748.25</v>
      </c>
      <c r="C316">
        <v>1754</v>
      </c>
      <c r="D316">
        <v>1737.12</v>
      </c>
      <c r="E316">
        <v>1740.72</v>
      </c>
      <c r="F316">
        <v>1501.4516630000001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-0.57345971563979703</v>
      </c>
      <c r="Q316">
        <f t="shared" si="965"/>
        <v>-861.02204371088044</v>
      </c>
      <c r="R316">
        <f t="shared" si="966"/>
        <v>-21126.890606528988</v>
      </c>
      <c r="S316">
        <f t="shared" si="967"/>
        <v>-0.21126890606528989</v>
      </c>
      <c r="T316">
        <f t="shared" si="968"/>
        <v>-2.1126890606528988E-4</v>
      </c>
    </row>
    <row r="317" spans="1:20" x14ac:dyDescent="0.25">
      <c r="A317" s="5">
        <v>44276</v>
      </c>
      <c r="B317">
        <v>1753.48</v>
      </c>
      <c r="C317">
        <v>1760</v>
      </c>
      <c r="D317">
        <v>1738.73</v>
      </c>
      <c r="E317">
        <v>1746.58</v>
      </c>
      <c r="F317">
        <v>1645.165843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-0.26187118006582832</v>
      </c>
      <c r="Q317">
        <f t="shared" si="965"/>
        <v>-430.82152071040326</v>
      </c>
      <c r="R317">
        <f t="shared" si="966"/>
        <v>-20265.868562818108</v>
      </c>
      <c r="S317">
        <f t="shared" si="967"/>
        <v>-0.2026586856281811</v>
      </c>
      <c r="T317">
        <f t="shared" si="968"/>
        <v>-2.0265868562818108E-4</v>
      </c>
    </row>
    <row r="318" spans="1:20" x14ac:dyDescent="0.25">
      <c r="A318" s="5">
        <v>44275</v>
      </c>
      <c r="B318">
        <v>1757.82</v>
      </c>
      <c r="C318">
        <v>1760.1</v>
      </c>
      <c r="D318">
        <v>1745</v>
      </c>
      <c r="E318">
        <v>1754.66</v>
      </c>
      <c r="F318">
        <v>1350.5530799999999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0.27947019867551526</v>
      </c>
      <c r="Q318">
        <f t="shared" si="965"/>
        <v>377.43933758942904</v>
      </c>
      <c r="R318">
        <f t="shared" si="966"/>
        <v>-19835.047042107704</v>
      </c>
      <c r="S318">
        <f t="shared" si="967"/>
        <v>-0.19835047042107704</v>
      </c>
      <c r="T318">
        <f t="shared" si="968"/>
        <v>-1.9835047042107703E-4</v>
      </c>
    </row>
    <row r="319" spans="1:20" x14ac:dyDescent="0.25">
      <c r="A319" s="5">
        <v>44274</v>
      </c>
      <c r="B319">
        <v>1742.98</v>
      </c>
      <c r="C319">
        <v>1760.13</v>
      </c>
      <c r="D319">
        <v>1738.83</v>
      </c>
      <c r="E319">
        <v>1757.82</v>
      </c>
      <c r="F319">
        <v>813.42176800000004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0.78309859154928141</v>
      </c>
      <c r="Q319">
        <f t="shared" si="965"/>
        <v>636.98944085632638</v>
      </c>
      <c r="R319">
        <f t="shared" si="966"/>
        <v>-20212.486379697133</v>
      </c>
      <c r="S319">
        <f t="shared" si="967"/>
        <v>-0.20212486379697134</v>
      </c>
      <c r="T319">
        <f t="shared" si="968"/>
        <v>-2.0212486379697135E-4</v>
      </c>
    </row>
    <row r="320" spans="1:20" x14ac:dyDescent="0.25">
      <c r="A320" s="5">
        <v>44273</v>
      </c>
      <c r="B320">
        <v>1758.46</v>
      </c>
      <c r="C320">
        <v>1767.92</v>
      </c>
      <c r="D320">
        <v>1732.41</v>
      </c>
      <c r="E320">
        <v>1741.57</v>
      </c>
      <c r="F320">
        <v>1511.2435809999999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-0.48408898901718633</v>
      </c>
      <c r="Q320">
        <f t="shared" si="965"/>
        <v>-731.57637728500231</v>
      </c>
      <c r="R320">
        <f t="shared" si="966"/>
        <v>-20849.47582055346</v>
      </c>
      <c r="S320">
        <f t="shared" si="967"/>
        <v>-0.20849475820553459</v>
      </c>
      <c r="T320">
        <f t="shared" si="968"/>
        <v>-2.0849475820553458E-4</v>
      </c>
    </row>
    <row r="321" spans="1:20" x14ac:dyDescent="0.25">
      <c r="A321" s="5">
        <v>44272</v>
      </c>
      <c r="B321">
        <v>1744.32</v>
      </c>
      <c r="C321">
        <v>1762.38</v>
      </c>
      <c r="D321">
        <v>1735</v>
      </c>
      <c r="E321">
        <v>1758.63</v>
      </c>
      <c r="F321">
        <v>1859.672534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0.72607742878013259</v>
      </c>
      <c r="Q321">
        <f t="shared" si="965"/>
        <v>1350.2662518597538</v>
      </c>
      <c r="R321">
        <f t="shared" si="966"/>
        <v>-20117.899443268459</v>
      </c>
      <c r="S321">
        <f t="shared" si="967"/>
        <v>-0.20117899443268458</v>
      </c>
      <c r="T321">
        <f t="shared" si="968"/>
        <v>-2.0117899443268457E-4</v>
      </c>
    </row>
    <row r="322" spans="1:20" x14ac:dyDescent="0.25">
      <c r="A322" s="5">
        <v>44271</v>
      </c>
      <c r="B322">
        <v>1734.78</v>
      </c>
      <c r="C322">
        <v>1756.09</v>
      </c>
      <c r="D322">
        <v>1731.67</v>
      </c>
      <c r="E322">
        <v>1745.52</v>
      </c>
      <c r="F322">
        <v>2357.6048860000001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0.13431613431613404</v>
      </c>
      <c r="Q322">
        <f t="shared" si="965"/>
        <v>316.66437453234988</v>
      </c>
      <c r="R322">
        <f t="shared" si="966"/>
        <v>-21468.165695128213</v>
      </c>
      <c r="S322">
        <f t="shared" si="967"/>
        <v>-0.21468165695128213</v>
      </c>
      <c r="T322">
        <f t="shared" si="968"/>
        <v>-2.1468165695128212E-4</v>
      </c>
    </row>
    <row r="323" spans="1:20" x14ac:dyDescent="0.25">
      <c r="A323" s="5">
        <v>44270</v>
      </c>
      <c r="B323">
        <v>1735.9</v>
      </c>
      <c r="C323">
        <v>1750.36</v>
      </c>
      <c r="D323">
        <v>1726.33</v>
      </c>
      <c r="E323">
        <v>1734.72</v>
      </c>
      <c r="F323">
        <v>2225.4290139999998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-0.30170620058259595</v>
      </c>
      <c r="Q323">
        <f t="shared" si="965"/>
        <v>-671.42573248021267</v>
      </c>
      <c r="R323">
        <f t="shared" si="966"/>
        <v>-21784.830069660562</v>
      </c>
      <c r="S323">
        <f t="shared" si="967"/>
        <v>-0.21784830069660563</v>
      </c>
      <c r="T323">
        <f t="shared" si="968"/>
        <v>-2.1784830069660564E-4</v>
      </c>
    </row>
    <row r="324" spans="1:20" x14ac:dyDescent="0.25">
      <c r="A324" s="5">
        <v>44269</v>
      </c>
      <c r="B324">
        <v>1744.82</v>
      </c>
      <c r="C324">
        <v>1750</v>
      </c>
      <c r="D324">
        <v>1733</v>
      </c>
      <c r="E324">
        <v>1734.93</v>
      </c>
      <c r="F324">
        <v>898.46982300000002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-0.77294117647058069</v>
      </c>
      <c r="Q324">
        <f t="shared" si="965"/>
        <v>-694.46432201293442</v>
      </c>
      <c r="R324">
        <f t="shared" si="966"/>
        <v>-21113.404337180349</v>
      </c>
      <c r="S324">
        <f t="shared" si="967"/>
        <v>-0.2111340433718035</v>
      </c>
      <c r="T324">
        <f t="shared" si="968"/>
        <v>-2.1113404337180349E-4</v>
      </c>
    </row>
    <row r="325" spans="1:20" x14ac:dyDescent="0.25">
      <c r="A325" s="5">
        <v>44268</v>
      </c>
      <c r="B325">
        <v>1738.57</v>
      </c>
      <c r="C325">
        <v>1750</v>
      </c>
      <c r="D325">
        <v>1731.12</v>
      </c>
      <c r="E325">
        <v>1745.03</v>
      </c>
      <c r="F325">
        <v>1171.5729530000001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0.4735169491525425</v>
      </c>
      <c r="Q325">
        <f t="shared" si="965"/>
        <v>554.75965041419511</v>
      </c>
      <c r="R325">
        <f t="shared" si="966"/>
        <v>-20418.940015167416</v>
      </c>
      <c r="S325">
        <f t="shared" si="967"/>
        <v>-0.20418940015167417</v>
      </c>
      <c r="T325">
        <f t="shared" si="968"/>
        <v>-2.0418940015167416E-4</v>
      </c>
    </row>
    <row r="326" spans="1:20" x14ac:dyDescent="0.25">
      <c r="A326" s="5">
        <v>44267</v>
      </c>
      <c r="B326">
        <v>1743.9</v>
      </c>
      <c r="C326">
        <v>1744.17</v>
      </c>
      <c r="D326">
        <v>1711</v>
      </c>
      <c r="E326">
        <v>1739.16</v>
      </c>
      <c r="F326">
        <v>1542.563539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0.69791980705456858</v>
      </c>
      <c r="Q326">
        <f t="shared" ref="Q326:Q389" si="970">F326*P326</f>
        <v>1076.5856475082924</v>
      </c>
      <c r="R326">
        <f t="shared" ref="R326:R389" si="971">R327+Q326</f>
        <v>-20973.699665581611</v>
      </c>
      <c r="S326">
        <f t="shared" ref="S326:S389" si="972">R326/100000</f>
        <v>-0.2097369966558161</v>
      </c>
      <c r="T326">
        <f t="shared" ref="T326:T389" si="973">S326/1000</f>
        <v>-2.0973699665581612E-4</v>
      </c>
    </row>
    <row r="327" spans="1:20" x14ac:dyDescent="0.25">
      <c r="A327" s="5">
        <v>44266</v>
      </c>
      <c r="B327">
        <v>1739.7</v>
      </c>
      <c r="C327">
        <v>1753.26</v>
      </c>
      <c r="D327">
        <v>1729.79</v>
      </c>
      <c r="E327">
        <v>1743</v>
      </c>
      <c r="F327">
        <v>1996.9942550000001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0.12569237324243895</v>
      </c>
      <c r="Q327">
        <f t="shared" si="970"/>
        <v>251.00694726246633</v>
      </c>
      <c r="R327">
        <f t="shared" si="971"/>
        <v>-22050.285313089902</v>
      </c>
      <c r="S327">
        <f t="shared" si="972"/>
        <v>-0.22050285313089901</v>
      </c>
      <c r="T327">
        <f t="shared" si="973"/>
        <v>-2.2050285313089901E-4</v>
      </c>
    </row>
    <row r="328" spans="1:20" x14ac:dyDescent="0.25">
      <c r="A328" s="5">
        <v>44265</v>
      </c>
      <c r="B328">
        <v>1729.2</v>
      </c>
      <c r="C328">
        <v>1744.29</v>
      </c>
      <c r="D328">
        <v>1715.3</v>
      </c>
      <c r="E328">
        <v>1739.56</v>
      </c>
      <c r="F328">
        <v>1942.740509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0.67368057951017479</v>
      </c>
      <c r="Q328">
        <f t="shared" si="970"/>
        <v>1308.786551941012</v>
      </c>
      <c r="R328">
        <f t="shared" si="971"/>
        <v>-22301.292260352369</v>
      </c>
      <c r="S328">
        <f t="shared" si="972"/>
        <v>-0.22301292260352371</v>
      </c>
      <c r="T328">
        <f t="shared" si="973"/>
        <v>-2.2301292260352372E-4</v>
      </c>
    </row>
    <row r="329" spans="1:20" x14ac:dyDescent="0.25">
      <c r="A329" s="5">
        <v>44264</v>
      </c>
      <c r="B329">
        <v>1705.97</v>
      </c>
      <c r="C329">
        <v>1750.62</v>
      </c>
      <c r="D329">
        <v>1696.01</v>
      </c>
      <c r="E329">
        <v>1729.2</v>
      </c>
      <c r="F329">
        <v>2590.1094240000002</v>
      </c>
      <c r="G329">
        <v>0</v>
      </c>
      <c r="L329" t="s">
        <v>7</v>
      </c>
      <c r="M329" t="s">
        <v>7</v>
      </c>
      <c r="N329" t="s">
        <v>8</v>
      </c>
      <c r="P329">
        <f t="shared" si="969"/>
        <v>0.21552829152170355</v>
      </c>
      <c r="Q329">
        <f t="shared" si="970"/>
        <v>558.24185900898374</v>
      </c>
      <c r="R329">
        <f t="shared" si="971"/>
        <v>-23610.078812293381</v>
      </c>
      <c r="S329">
        <f t="shared" si="972"/>
        <v>-0.23610078812293381</v>
      </c>
      <c r="T329">
        <f t="shared" si="973"/>
        <v>-2.361007881229338E-4</v>
      </c>
    </row>
    <row r="330" spans="1:20" x14ac:dyDescent="0.25">
      <c r="A330" s="5">
        <v>44263</v>
      </c>
      <c r="B330">
        <v>1718.72</v>
      </c>
      <c r="C330">
        <v>1750.93</v>
      </c>
      <c r="D330">
        <v>1693.84</v>
      </c>
      <c r="E330">
        <v>1705.97</v>
      </c>
      <c r="F330">
        <v>2087.5601830000001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-0.57505692765808103</v>
      </c>
      <c r="Q330">
        <f t="shared" si="970"/>
        <v>-1200.4659451373213</v>
      </c>
      <c r="R330">
        <f t="shared" si="971"/>
        <v>-24168.320671302365</v>
      </c>
      <c r="S330">
        <f t="shared" si="972"/>
        <v>-0.24168320671302365</v>
      </c>
      <c r="T330">
        <f t="shared" si="973"/>
        <v>-2.4168320671302365E-4</v>
      </c>
    </row>
    <row r="331" spans="1:20" x14ac:dyDescent="0.25">
      <c r="A331" s="5">
        <v>44262</v>
      </c>
      <c r="B331">
        <v>1715.17</v>
      </c>
      <c r="C331">
        <v>1727.25</v>
      </c>
      <c r="D331">
        <v>1708.51</v>
      </c>
      <c r="E331">
        <v>1717.2</v>
      </c>
      <c r="F331">
        <v>1103.692362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-7.2572038420485555E-2</v>
      </c>
      <c r="Q331">
        <f t="shared" si="970"/>
        <v>-80.097204499460446</v>
      </c>
      <c r="R331">
        <f t="shared" si="971"/>
        <v>-22967.854726165042</v>
      </c>
      <c r="S331">
        <f t="shared" si="972"/>
        <v>-0.22967854726165041</v>
      </c>
      <c r="T331">
        <f t="shared" si="973"/>
        <v>-2.2967854726165042E-4</v>
      </c>
    </row>
    <row r="332" spans="1:20" x14ac:dyDescent="0.25">
      <c r="A332" s="5">
        <v>44261</v>
      </c>
      <c r="B332">
        <v>1709.23</v>
      </c>
      <c r="C332">
        <v>1718</v>
      </c>
      <c r="D332">
        <v>1702.14</v>
      </c>
      <c r="E332">
        <v>1713.98</v>
      </c>
      <c r="F332">
        <v>937.26835800000003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0.49306431273644297</v>
      </c>
      <c r="Q332">
        <f t="shared" si="970"/>
        <v>462.13357878688441</v>
      </c>
      <c r="R332">
        <f t="shared" si="971"/>
        <v>-22887.757521665582</v>
      </c>
      <c r="S332">
        <f t="shared" si="972"/>
        <v>-0.22887757521665583</v>
      </c>
      <c r="T332">
        <f t="shared" si="973"/>
        <v>-2.2887757521665583E-4</v>
      </c>
    </row>
    <row r="333" spans="1:20" x14ac:dyDescent="0.25">
      <c r="A333" s="5">
        <v>44260</v>
      </c>
      <c r="B333">
        <v>1705.69</v>
      </c>
      <c r="C333">
        <v>1718.42</v>
      </c>
      <c r="D333">
        <v>1687.57</v>
      </c>
      <c r="E333">
        <v>1708.49</v>
      </c>
      <c r="F333">
        <v>2156.9187449999999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0.35623987034035526</v>
      </c>
      <c r="Q333">
        <f t="shared" si="970"/>
        <v>768.3804540534818</v>
      </c>
      <c r="R333">
        <f t="shared" si="971"/>
        <v>-23349.891100452467</v>
      </c>
      <c r="S333">
        <f t="shared" si="972"/>
        <v>-0.23349891100452466</v>
      </c>
      <c r="T333">
        <f t="shared" si="973"/>
        <v>-2.3349891100452467E-4</v>
      </c>
    </row>
    <row r="334" spans="1:20" x14ac:dyDescent="0.25">
      <c r="A334" s="5">
        <v>44259</v>
      </c>
      <c r="B334">
        <v>1717.34</v>
      </c>
      <c r="C334">
        <v>1735</v>
      </c>
      <c r="D334">
        <v>1700.02</v>
      </c>
      <c r="E334">
        <v>1705.88</v>
      </c>
      <c r="F334">
        <v>2508.8795759999998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-0.66495140080045034</v>
      </c>
      <c r="Q334">
        <f t="shared" si="970"/>
        <v>-1668.2829885008398</v>
      </c>
      <c r="R334">
        <f t="shared" si="971"/>
        <v>-24118.271554505947</v>
      </c>
      <c r="S334">
        <f t="shared" si="972"/>
        <v>-0.24118271554505946</v>
      </c>
      <c r="T334">
        <f t="shared" si="973"/>
        <v>-2.4118271554505945E-4</v>
      </c>
    </row>
    <row r="335" spans="1:20" x14ac:dyDescent="0.25">
      <c r="A335" s="5">
        <v>44258</v>
      </c>
      <c r="B335">
        <v>1748.97</v>
      </c>
      <c r="C335">
        <v>1752.01</v>
      </c>
      <c r="D335">
        <v>1715.17</v>
      </c>
      <c r="E335">
        <v>1717.35</v>
      </c>
      <c r="F335">
        <v>1874.26757</v>
      </c>
      <c r="G335">
        <v>0</v>
      </c>
      <c r="L335" t="s">
        <v>7</v>
      </c>
      <c r="M335" t="s">
        <v>7</v>
      </c>
      <c r="N335" t="s">
        <v>8</v>
      </c>
      <c r="P335">
        <f t="shared" si="969"/>
        <v>-0.88165038002172413</v>
      </c>
      <c r="Q335">
        <f t="shared" si="970"/>
        <v>-1652.4487153528935</v>
      </c>
      <c r="R335">
        <f t="shared" si="971"/>
        <v>-22449.988566005108</v>
      </c>
      <c r="S335">
        <f t="shared" si="972"/>
        <v>-0.22449988566005108</v>
      </c>
      <c r="T335">
        <f t="shared" si="973"/>
        <v>-2.2449988566005107E-4</v>
      </c>
    </row>
    <row r="336" spans="1:20" x14ac:dyDescent="0.25">
      <c r="A336" s="5">
        <v>44257</v>
      </c>
      <c r="B336">
        <v>1727.23</v>
      </c>
      <c r="C336">
        <v>1753.26</v>
      </c>
      <c r="D336">
        <v>1712.55</v>
      </c>
      <c r="E336">
        <v>1750.02</v>
      </c>
      <c r="F336">
        <v>2288.3838230000001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0.84082535003684566</v>
      </c>
      <c r="Q336">
        <f t="shared" si="970"/>
        <v>1924.1311289926302</v>
      </c>
      <c r="R336">
        <f t="shared" si="971"/>
        <v>-20797.539850652214</v>
      </c>
      <c r="S336">
        <f t="shared" si="972"/>
        <v>-0.20797539850652214</v>
      </c>
      <c r="T336">
        <f t="shared" si="973"/>
        <v>-2.0797539850652213E-4</v>
      </c>
    </row>
    <row r="337" spans="1:20" x14ac:dyDescent="0.25">
      <c r="A337" s="5">
        <v>44256</v>
      </c>
      <c r="B337">
        <v>1744.61</v>
      </c>
      <c r="C337">
        <v>1768.63</v>
      </c>
      <c r="D337">
        <v>1718.8</v>
      </c>
      <c r="E337">
        <v>1727.23</v>
      </c>
      <c r="F337">
        <v>2990.5476629999998</v>
      </c>
      <c r="G337">
        <v>0</v>
      </c>
      <c r="L337" t="s">
        <v>7</v>
      </c>
      <c r="M337" t="s">
        <v>7</v>
      </c>
      <c r="N337" t="s">
        <v>8</v>
      </c>
      <c r="P337">
        <f t="shared" si="969"/>
        <v>-0.66164960866947475</v>
      </c>
      <c r="Q337">
        <f t="shared" si="970"/>
        <v>-1978.6946909313622</v>
      </c>
      <c r="R337">
        <f t="shared" si="971"/>
        <v>-22721.670979644845</v>
      </c>
      <c r="S337">
        <f t="shared" si="972"/>
        <v>-0.22721670979644845</v>
      </c>
      <c r="T337">
        <f t="shared" si="973"/>
        <v>-2.2721670979644845E-4</v>
      </c>
    </row>
    <row r="338" spans="1:20" x14ac:dyDescent="0.25">
      <c r="A338" s="5">
        <v>44255</v>
      </c>
      <c r="B338">
        <v>1749.26</v>
      </c>
      <c r="C338">
        <v>1757.33</v>
      </c>
      <c r="D338">
        <v>1732.27</v>
      </c>
      <c r="E338">
        <v>1744.61</v>
      </c>
      <c r="F338">
        <v>3460.724291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-1.516360734238268E-2</v>
      </c>
      <c r="Q338">
        <f t="shared" si="970"/>
        <v>-52.477064268969698</v>
      </c>
      <c r="R338">
        <f t="shared" si="971"/>
        <v>-20742.976288713482</v>
      </c>
      <c r="S338">
        <f t="shared" si="972"/>
        <v>-0.20742976288713483</v>
      </c>
      <c r="T338">
        <f t="shared" si="973"/>
        <v>-2.0742976288713483E-4</v>
      </c>
    </row>
    <row r="339" spans="1:20" x14ac:dyDescent="0.25">
      <c r="A339" s="5">
        <v>44254</v>
      </c>
      <c r="B339">
        <v>1749.68</v>
      </c>
      <c r="C339">
        <v>1759.72</v>
      </c>
      <c r="D339">
        <v>1736.21</v>
      </c>
      <c r="E339">
        <v>1750.24</v>
      </c>
      <c r="F339">
        <v>2147.0221289999999</v>
      </c>
      <c r="G339">
        <v>0</v>
      </c>
      <c r="L339" t="s">
        <v>7</v>
      </c>
      <c r="M339" t="s">
        <v>7</v>
      </c>
      <c r="N339" t="s">
        <v>8</v>
      </c>
      <c r="P339">
        <f t="shared" si="969"/>
        <v>0.19353466609953027</v>
      </c>
      <c r="Q339">
        <f t="shared" si="970"/>
        <v>415.52321084431759</v>
      </c>
      <c r="R339">
        <f t="shared" si="971"/>
        <v>-20690.499224444513</v>
      </c>
      <c r="S339">
        <f t="shared" si="972"/>
        <v>-0.20690499224444514</v>
      </c>
      <c r="T339">
        <f t="shared" si="973"/>
        <v>-2.0690499224444513E-4</v>
      </c>
    </row>
    <row r="340" spans="1:20" x14ac:dyDescent="0.25">
      <c r="A340" s="5">
        <v>44253</v>
      </c>
      <c r="B340">
        <v>1778.56</v>
      </c>
      <c r="C340">
        <v>1790.68</v>
      </c>
      <c r="D340">
        <v>1730</v>
      </c>
      <c r="E340">
        <v>1748.67</v>
      </c>
      <c r="F340">
        <v>4804.0376850000002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-0.38464073829927314</v>
      </c>
      <c r="Q340">
        <f t="shared" si="970"/>
        <v>-1847.8286019759312</v>
      </c>
      <c r="R340">
        <f t="shared" si="971"/>
        <v>-21106.022435288829</v>
      </c>
      <c r="S340">
        <f t="shared" si="972"/>
        <v>-0.21106022435288829</v>
      </c>
      <c r="T340">
        <f t="shared" si="973"/>
        <v>-2.1106022435288829E-4</v>
      </c>
    </row>
    <row r="341" spans="1:20" x14ac:dyDescent="0.25">
      <c r="A341" s="5">
        <v>44252</v>
      </c>
      <c r="B341">
        <v>1812.38</v>
      </c>
      <c r="C341">
        <v>1819.21</v>
      </c>
      <c r="D341">
        <v>1767.8</v>
      </c>
      <c r="E341">
        <v>1775.14</v>
      </c>
      <c r="F341">
        <v>3200.7012629999999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-0.71445244115930229</v>
      </c>
      <c r="Q341">
        <f t="shared" si="970"/>
        <v>-2286.7488307720118</v>
      </c>
      <c r="R341">
        <f t="shared" si="971"/>
        <v>-19258.193833312896</v>
      </c>
      <c r="S341">
        <f t="shared" si="972"/>
        <v>-0.19258193833312898</v>
      </c>
      <c r="T341">
        <f t="shared" si="973"/>
        <v>-1.9258193833312899E-4</v>
      </c>
    </row>
    <row r="342" spans="1:20" x14ac:dyDescent="0.25">
      <c r="A342" s="5">
        <v>44251</v>
      </c>
      <c r="B342">
        <v>1821.41</v>
      </c>
      <c r="C342">
        <v>1841</v>
      </c>
      <c r="D342">
        <v>1790</v>
      </c>
      <c r="E342">
        <v>1811.71</v>
      </c>
      <c r="F342">
        <v>3870.1293110000001</v>
      </c>
      <c r="G342">
        <v>0</v>
      </c>
      <c r="L342" t="s">
        <v>7</v>
      </c>
      <c r="M342" t="s">
        <v>8</v>
      </c>
      <c r="N342" t="s">
        <v>8</v>
      </c>
      <c r="P342">
        <f t="shared" si="969"/>
        <v>-0.14862745098039074</v>
      </c>
      <c r="Q342">
        <f t="shared" si="970"/>
        <v>-575.2074544584259</v>
      </c>
      <c r="R342">
        <f t="shared" si="971"/>
        <v>-16971.445002540884</v>
      </c>
      <c r="S342">
        <f t="shared" si="972"/>
        <v>-0.16971445002540883</v>
      </c>
      <c r="T342">
        <f t="shared" si="973"/>
        <v>-1.6971445002540882E-4</v>
      </c>
    </row>
    <row r="343" spans="1:20" x14ac:dyDescent="0.25">
      <c r="A343" s="5">
        <v>44250</v>
      </c>
      <c r="B343">
        <v>1824.62</v>
      </c>
      <c r="C343">
        <v>1850</v>
      </c>
      <c r="D343">
        <v>1796.87</v>
      </c>
      <c r="E343">
        <v>1820.38</v>
      </c>
      <c r="F343">
        <v>10018.303155</v>
      </c>
      <c r="G343">
        <v>0</v>
      </c>
      <c r="L343" t="s">
        <v>7</v>
      </c>
      <c r="M343" t="s">
        <v>8</v>
      </c>
      <c r="N343" t="s">
        <v>8</v>
      </c>
      <c r="P343">
        <f t="shared" si="969"/>
        <v>-0.11500094108789122</v>
      </c>
      <c r="Q343">
        <f t="shared" si="970"/>
        <v>-1152.1142909287896</v>
      </c>
      <c r="R343">
        <f t="shared" si="971"/>
        <v>-16396.237548082459</v>
      </c>
      <c r="S343">
        <f t="shared" si="972"/>
        <v>-0.1639623754808246</v>
      </c>
      <c r="T343">
        <f t="shared" si="973"/>
        <v>-1.639623754808246E-4</v>
      </c>
    </row>
    <row r="344" spans="1:20" x14ac:dyDescent="0.25">
      <c r="A344" s="5">
        <v>44249</v>
      </c>
      <c r="B344">
        <v>1823.05</v>
      </c>
      <c r="C344">
        <v>1833.45</v>
      </c>
      <c r="D344">
        <v>1801.87</v>
      </c>
      <c r="E344">
        <v>1823.8</v>
      </c>
      <c r="F344">
        <v>4148.2385860000004</v>
      </c>
      <c r="G344">
        <v>0</v>
      </c>
      <c r="L344" t="s">
        <v>7</v>
      </c>
      <c r="M344" t="s">
        <v>8</v>
      </c>
      <c r="N344" t="s">
        <v>8</v>
      </c>
      <c r="P344">
        <f t="shared" si="969"/>
        <v>0.38885370487650134</v>
      </c>
      <c r="Q344">
        <f t="shared" si="970"/>
        <v>1613.0579428777594</v>
      </c>
      <c r="R344">
        <f t="shared" si="971"/>
        <v>-15244.123257153671</v>
      </c>
      <c r="S344">
        <f t="shared" si="972"/>
        <v>-0.15244123257153672</v>
      </c>
      <c r="T344">
        <f t="shared" si="973"/>
        <v>-1.5244123257153672E-4</v>
      </c>
    </row>
    <row r="345" spans="1:20" x14ac:dyDescent="0.25">
      <c r="A345" s="5">
        <v>44248</v>
      </c>
      <c r="B345">
        <v>1815.16</v>
      </c>
      <c r="C345">
        <v>1839.92</v>
      </c>
      <c r="D345">
        <v>1802</v>
      </c>
      <c r="E345">
        <v>1823.04</v>
      </c>
      <c r="F345">
        <v>1600.7547939999999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0.10970464135020692</v>
      </c>
      <c r="Q345">
        <f t="shared" si="970"/>
        <v>175.61023056539437</v>
      </c>
      <c r="R345">
        <f t="shared" si="971"/>
        <v>-16857.181200031431</v>
      </c>
      <c r="S345">
        <f t="shared" si="972"/>
        <v>-0.16857181200031432</v>
      </c>
      <c r="T345">
        <f t="shared" si="973"/>
        <v>-1.6857181200031433E-4</v>
      </c>
    </row>
    <row r="346" spans="1:20" x14ac:dyDescent="0.25">
      <c r="A346" s="5">
        <v>44247</v>
      </c>
      <c r="B346">
        <v>1807.05</v>
      </c>
      <c r="C346">
        <v>1851.81</v>
      </c>
      <c r="D346">
        <v>1801.24</v>
      </c>
      <c r="E346">
        <v>1813.81</v>
      </c>
      <c r="F346">
        <v>2792.4086579999998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-0.50286731263595208</v>
      </c>
      <c r="Q346">
        <f t="shared" si="970"/>
        <v>-1404.2110376298253</v>
      </c>
      <c r="R346">
        <f t="shared" si="971"/>
        <v>-17032.791430596826</v>
      </c>
      <c r="S346">
        <f t="shared" si="972"/>
        <v>-0.17032791430596825</v>
      </c>
      <c r="T346">
        <f t="shared" si="973"/>
        <v>-1.7032791430596824E-4</v>
      </c>
    </row>
    <row r="347" spans="1:20" x14ac:dyDescent="0.25">
      <c r="A347" s="5">
        <v>44246</v>
      </c>
      <c r="B347">
        <v>1784.78</v>
      </c>
      <c r="C347">
        <v>1812</v>
      </c>
      <c r="D347">
        <v>1771.11</v>
      </c>
      <c r="E347">
        <v>1807.07</v>
      </c>
      <c r="F347">
        <v>3041.8293910000002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0.75886524822694779</v>
      </c>
      <c r="Q347">
        <f t="shared" si="970"/>
        <v>2308.3386158652406</v>
      </c>
      <c r="R347">
        <f t="shared" si="971"/>
        <v>-15628.580392967002</v>
      </c>
      <c r="S347">
        <f t="shared" si="972"/>
        <v>-0.15628580392967001</v>
      </c>
      <c r="T347">
        <f t="shared" si="973"/>
        <v>-1.5628580392967E-4</v>
      </c>
    </row>
    <row r="348" spans="1:20" x14ac:dyDescent="0.25">
      <c r="A348" s="5">
        <v>44245</v>
      </c>
      <c r="B348">
        <v>1796.08</v>
      </c>
      <c r="C348">
        <v>1813.62</v>
      </c>
      <c r="D348">
        <v>1783.58</v>
      </c>
      <c r="E348">
        <v>1783.58</v>
      </c>
      <c r="F348">
        <v>1875.2024469999999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-1</v>
      </c>
      <c r="Q348">
        <f t="shared" si="970"/>
        <v>-1875.2024469999999</v>
      </c>
      <c r="R348">
        <f t="shared" si="971"/>
        <v>-17936.919008832243</v>
      </c>
      <c r="S348">
        <f t="shared" si="972"/>
        <v>-0.17936919008832242</v>
      </c>
      <c r="T348">
        <f t="shared" si="973"/>
        <v>-1.7936919008832241E-4</v>
      </c>
    </row>
    <row r="349" spans="1:20" x14ac:dyDescent="0.25">
      <c r="A349" s="5">
        <v>44244</v>
      </c>
      <c r="B349">
        <v>1815.74</v>
      </c>
      <c r="C349">
        <v>1840</v>
      </c>
      <c r="D349">
        <v>1792</v>
      </c>
      <c r="E349">
        <v>1796.08</v>
      </c>
      <c r="F349">
        <v>2307.5783769999998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-0.83000000000000307</v>
      </c>
      <c r="Q349">
        <f t="shared" si="970"/>
        <v>-1915.290052910007</v>
      </c>
      <c r="R349">
        <f t="shared" si="971"/>
        <v>-16061.716561832243</v>
      </c>
      <c r="S349">
        <f t="shared" si="972"/>
        <v>-0.16061716561832243</v>
      </c>
      <c r="T349">
        <f t="shared" si="973"/>
        <v>-1.6061716561832244E-4</v>
      </c>
    </row>
    <row r="350" spans="1:20" x14ac:dyDescent="0.25">
      <c r="A350" s="5">
        <v>44243</v>
      </c>
      <c r="B350">
        <v>1833.22</v>
      </c>
      <c r="C350">
        <v>1845.19</v>
      </c>
      <c r="D350">
        <v>1810.51</v>
      </c>
      <c r="E350">
        <v>1814.6</v>
      </c>
      <c r="F350">
        <v>1445.9932080000001</v>
      </c>
      <c r="G350">
        <v>0</v>
      </c>
      <c r="L350" t="s">
        <v>7</v>
      </c>
      <c r="M350" t="s">
        <v>8</v>
      </c>
      <c r="N350" t="s">
        <v>8</v>
      </c>
      <c r="P350">
        <f t="shared" si="969"/>
        <v>-0.76412918108420358</v>
      </c>
      <c r="Q350">
        <f t="shared" si="970"/>
        <v>-1104.9256058823605</v>
      </c>
      <c r="R350">
        <f t="shared" si="971"/>
        <v>-14146.426508922237</v>
      </c>
      <c r="S350">
        <f t="shared" si="972"/>
        <v>-0.14146426508922239</v>
      </c>
      <c r="T350">
        <f t="shared" si="973"/>
        <v>-1.4146426508922238E-4</v>
      </c>
    </row>
    <row r="351" spans="1:20" x14ac:dyDescent="0.25">
      <c r="A351" s="5">
        <v>44242</v>
      </c>
      <c r="B351">
        <v>1839.3</v>
      </c>
      <c r="C351">
        <v>1854.54</v>
      </c>
      <c r="D351">
        <v>1827.27</v>
      </c>
      <c r="E351">
        <v>1833.22</v>
      </c>
      <c r="F351">
        <v>1741.302038</v>
      </c>
      <c r="G351">
        <v>0</v>
      </c>
      <c r="L351" t="s">
        <v>7</v>
      </c>
      <c r="M351" t="s">
        <v>8</v>
      </c>
      <c r="N351" t="s">
        <v>8</v>
      </c>
      <c r="P351">
        <f t="shared" si="969"/>
        <v>-0.56362302896955996</v>
      </c>
      <c r="Q351">
        <f t="shared" si="970"/>
        <v>-981.43792900842777</v>
      </c>
      <c r="R351">
        <f t="shared" si="971"/>
        <v>-13041.500903039876</v>
      </c>
      <c r="S351">
        <f t="shared" si="972"/>
        <v>-0.13041500903039877</v>
      </c>
      <c r="T351">
        <f t="shared" si="973"/>
        <v>-1.3041500903039876E-4</v>
      </c>
    </row>
    <row r="352" spans="1:20" x14ac:dyDescent="0.25">
      <c r="A352" s="5">
        <v>44241</v>
      </c>
      <c r="B352">
        <v>1847.37</v>
      </c>
      <c r="C352">
        <v>1861.43</v>
      </c>
      <c r="D352">
        <v>1838.01</v>
      </c>
      <c r="E352">
        <v>1839.29</v>
      </c>
      <c r="F352">
        <v>1192.9290719999999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-0.89069171648164225</v>
      </c>
      <c r="Q352">
        <f t="shared" si="970"/>
        <v>-1062.5320427805325</v>
      </c>
      <c r="R352">
        <f t="shared" si="971"/>
        <v>-12060.062974031449</v>
      </c>
      <c r="S352">
        <f t="shared" si="972"/>
        <v>-0.12060062974031449</v>
      </c>
      <c r="T352">
        <f t="shared" si="973"/>
        <v>-1.2060062974031449E-4</v>
      </c>
    </row>
    <row r="353" spans="1:20" x14ac:dyDescent="0.25">
      <c r="A353" s="5">
        <v>44240</v>
      </c>
      <c r="B353">
        <v>1839.98</v>
      </c>
      <c r="C353">
        <v>1852</v>
      </c>
      <c r="D353">
        <v>1838.01</v>
      </c>
      <c r="E353">
        <v>1845.45</v>
      </c>
      <c r="F353">
        <v>1110.736486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6.3616869192287304E-2</v>
      </c>
      <c r="Q353">
        <f t="shared" si="970"/>
        <v>70.661577736962855</v>
      </c>
      <c r="R353">
        <f t="shared" si="971"/>
        <v>-10997.530931250916</v>
      </c>
      <c r="S353">
        <f t="shared" si="972"/>
        <v>-0.10997530931250916</v>
      </c>
      <c r="T353">
        <f t="shared" si="973"/>
        <v>-1.0997530931250916E-4</v>
      </c>
    </row>
    <row r="354" spans="1:20" x14ac:dyDescent="0.25">
      <c r="A354" s="5">
        <v>44239</v>
      </c>
      <c r="B354">
        <v>1836.64</v>
      </c>
      <c r="C354">
        <v>1842.32</v>
      </c>
      <c r="D354">
        <v>1818</v>
      </c>
      <c r="E354">
        <v>1840.64</v>
      </c>
      <c r="F354">
        <v>1869.316045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0.86184210526317095</v>
      </c>
      <c r="Q354">
        <f t="shared" si="970"/>
        <v>1611.0552756250245</v>
      </c>
      <c r="R354">
        <f t="shared" si="971"/>
        <v>-11068.192508987879</v>
      </c>
      <c r="S354">
        <f t="shared" si="972"/>
        <v>-0.11068192508987879</v>
      </c>
      <c r="T354">
        <f t="shared" si="973"/>
        <v>-1.1068192508987878E-4</v>
      </c>
    </row>
    <row r="355" spans="1:20" x14ac:dyDescent="0.25">
      <c r="A355" s="5">
        <v>44238</v>
      </c>
      <c r="B355">
        <v>1855.2</v>
      </c>
      <c r="C355">
        <v>1863</v>
      </c>
      <c r="D355">
        <v>1832.8</v>
      </c>
      <c r="E355">
        <v>1835.16</v>
      </c>
      <c r="F355">
        <v>1469.3480930000001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-0.84370860927151503</v>
      </c>
      <c r="Q355">
        <f t="shared" si="970"/>
        <v>-1239.7016360807827</v>
      </c>
      <c r="R355">
        <f t="shared" si="971"/>
        <v>-12679.247784612902</v>
      </c>
      <c r="S355">
        <f t="shared" si="972"/>
        <v>-0.12679247784612901</v>
      </c>
      <c r="T355">
        <f t="shared" si="973"/>
        <v>-1.2679247784612901E-4</v>
      </c>
    </row>
    <row r="356" spans="1:20" x14ac:dyDescent="0.25">
      <c r="A356" s="5">
        <v>44237</v>
      </c>
      <c r="B356">
        <v>1852.18</v>
      </c>
      <c r="C356">
        <v>1875</v>
      </c>
      <c r="D356">
        <v>1844.71</v>
      </c>
      <c r="E356">
        <v>1855.13</v>
      </c>
      <c r="F356">
        <v>2633.5837470000001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-0.31198415318586431</v>
      </c>
      <c r="Q356">
        <f t="shared" si="970"/>
        <v>-821.63639515185059</v>
      </c>
      <c r="R356">
        <f t="shared" si="971"/>
        <v>-11439.546148532119</v>
      </c>
      <c r="S356">
        <f t="shared" si="972"/>
        <v>-0.11439546148532119</v>
      </c>
      <c r="T356">
        <f t="shared" si="973"/>
        <v>-1.1439546148532119E-4</v>
      </c>
    </row>
    <row r="357" spans="1:20" x14ac:dyDescent="0.25">
      <c r="A357" s="5">
        <v>44236</v>
      </c>
      <c r="B357">
        <v>1846.02</v>
      </c>
      <c r="C357">
        <v>1867</v>
      </c>
      <c r="D357">
        <v>1841.67</v>
      </c>
      <c r="E357">
        <v>1852.18</v>
      </c>
      <c r="F357">
        <v>3694.3045259999999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-0.17015396762731771</v>
      </c>
      <c r="Q357">
        <f t="shared" si="970"/>
        <v>-628.60057272245729</v>
      </c>
      <c r="R357">
        <f t="shared" si="971"/>
        <v>-10617.909753380269</v>
      </c>
      <c r="S357">
        <f t="shared" si="972"/>
        <v>-0.10617909753380268</v>
      </c>
      <c r="T357">
        <f t="shared" si="973"/>
        <v>-1.0617909753380268E-4</v>
      </c>
    </row>
    <row r="358" spans="1:20" x14ac:dyDescent="0.25">
      <c r="A358" s="5">
        <v>44235</v>
      </c>
      <c r="B358">
        <v>1836.04</v>
      </c>
      <c r="C358">
        <v>1875</v>
      </c>
      <c r="D358">
        <v>1822</v>
      </c>
      <c r="E358">
        <v>1846.12</v>
      </c>
      <c r="F358">
        <v>3264.9433349999999</v>
      </c>
      <c r="G358">
        <v>0</v>
      </c>
      <c r="L358" t="s">
        <v>7</v>
      </c>
      <c r="M358" t="s">
        <v>8</v>
      </c>
      <c r="N358" t="s">
        <v>8</v>
      </c>
      <c r="P358">
        <f t="shared" si="969"/>
        <v>-8.9811320754721105E-2</v>
      </c>
      <c r="Q358">
        <f t="shared" si="970"/>
        <v>-293.22887310567381</v>
      </c>
      <c r="R358">
        <f t="shared" si="971"/>
        <v>-9989.3091806578122</v>
      </c>
      <c r="S358">
        <f t="shared" si="972"/>
        <v>-9.9893091806578127E-2</v>
      </c>
      <c r="T358">
        <f t="shared" si="973"/>
        <v>-9.9893091806578128E-5</v>
      </c>
    </row>
    <row r="359" spans="1:20" x14ac:dyDescent="0.25">
      <c r="A359" s="5">
        <v>44234</v>
      </c>
      <c r="B359">
        <v>1834.86</v>
      </c>
      <c r="C359">
        <v>1851.07</v>
      </c>
      <c r="D359">
        <v>1819.63</v>
      </c>
      <c r="E359">
        <v>1836.06</v>
      </c>
      <c r="F359">
        <v>1532.6827040000001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4.5165394402030955E-2</v>
      </c>
      <c r="Q359">
        <f t="shared" si="970"/>
        <v>69.22421881933127</v>
      </c>
      <c r="R359">
        <f t="shared" si="971"/>
        <v>-9696.080307552138</v>
      </c>
      <c r="S359">
        <f t="shared" si="972"/>
        <v>-9.6960803075521379E-2</v>
      </c>
      <c r="T359">
        <f t="shared" si="973"/>
        <v>-9.6960803075521373E-5</v>
      </c>
    </row>
    <row r="360" spans="1:20" x14ac:dyDescent="0.25">
      <c r="A360" s="5">
        <v>44233</v>
      </c>
      <c r="B360">
        <v>1831.94</v>
      </c>
      <c r="C360">
        <v>1837</v>
      </c>
      <c r="D360">
        <v>1824.28</v>
      </c>
      <c r="E360">
        <v>1834.62</v>
      </c>
      <c r="F360">
        <v>1661.7809580000001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0.62578616352199623</v>
      </c>
      <c r="Q360">
        <f t="shared" si="970"/>
        <v>1039.9195303207275</v>
      </c>
      <c r="R360">
        <f t="shared" si="971"/>
        <v>-9765.3045263714685</v>
      </c>
      <c r="S360">
        <f t="shared" si="972"/>
        <v>-9.7653045263714683E-2</v>
      </c>
      <c r="T360">
        <f t="shared" si="973"/>
        <v>-9.7653045263714687E-5</v>
      </c>
    </row>
    <row r="361" spans="1:20" x14ac:dyDescent="0.25">
      <c r="A361" s="5">
        <v>44232</v>
      </c>
      <c r="B361">
        <v>1809.58</v>
      </c>
      <c r="C361">
        <v>1835</v>
      </c>
      <c r="D361">
        <v>1805.12</v>
      </c>
      <c r="E361">
        <v>1832.17</v>
      </c>
      <c r="F361">
        <v>2110.3403779999999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0.81057563587684622</v>
      </c>
      <c r="Q361">
        <f t="shared" si="970"/>
        <v>1710.590493813934</v>
      </c>
      <c r="R361">
        <f t="shared" si="971"/>
        <v>-10805.224056692196</v>
      </c>
      <c r="S361">
        <f t="shared" si="972"/>
        <v>-0.10805224056692196</v>
      </c>
      <c r="T361">
        <f t="shared" si="973"/>
        <v>-1.0805224056692196E-4</v>
      </c>
    </row>
    <row r="362" spans="1:20" x14ac:dyDescent="0.25">
      <c r="A362" s="5">
        <v>44231</v>
      </c>
      <c r="B362">
        <v>1847.96</v>
      </c>
      <c r="C362">
        <v>1849.99</v>
      </c>
      <c r="D362">
        <v>1801</v>
      </c>
      <c r="E362">
        <v>1809.6</v>
      </c>
      <c r="F362">
        <v>2805.7744349999998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-0.64890794039600297</v>
      </c>
      <c r="Q362">
        <f t="shared" si="970"/>
        <v>-1820.6893098316089</v>
      </c>
      <c r="R362">
        <f t="shared" si="971"/>
        <v>-12515.814550506129</v>
      </c>
      <c r="S362">
        <f t="shared" si="972"/>
        <v>-0.1251581455050613</v>
      </c>
      <c r="T362">
        <f t="shared" si="973"/>
        <v>-1.2515814550506128E-4</v>
      </c>
    </row>
    <row r="363" spans="1:20" x14ac:dyDescent="0.25">
      <c r="A363" s="5">
        <v>44230</v>
      </c>
      <c r="B363">
        <v>1850.84</v>
      </c>
      <c r="C363">
        <v>1855.82</v>
      </c>
      <c r="D363">
        <v>1843.57</v>
      </c>
      <c r="E363">
        <v>1847.95</v>
      </c>
      <c r="F363">
        <v>980.60985100000005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-0.28489795918365562</v>
      </c>
      <c r="Q363">
        <f t="shared" si="970"/>
        <v>-279.37374530528865</v>
      </c>
      <c r="R363">
        <f t="shared" si="971"/>
        <v>-10695.125240674521</v>
      </c>
      <c r="S363">
        <f t="shared" si="972"/>
        <v>-0.1069512524067452</v>
      </c>
      <c r="T363">
        <f t="shared" si="973"/>
        <v>-1.069512524067452E-4</v>
      </c>
    </row>
    <row r="364" spans="1:20" x14ac:dyDescent="0.25">
      <c r="A364" s="5">
        <v>44229</v>
      </c>
      <c r="B364">
        <v>1866.5</v>
      </c>
      <c r="C364">
        <v>1869.76</v>
      </c>
      <c r="D364">
        <v>1841</v>
      </c>
      <c r="E364">
        <v>1850.42</v>
      </c>
      <c r="F364">
        <v>1156.258124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-0.34492350486786677</v>
      </c>
      <c r="Q364">
        <f t="shared" si="970"/>
        <v>-398.82060466202449</v>
      </c>
      <c r="R364">
        <f t="shared" si="971"/>
        <v>-10415.751495369232</v>
      </c>
      <c r="S364">
        <f t="shared" si="972"/>
        <v>-0.10415751495369231</v>
      </c>
      <c r="T364">
        <f t="shared" si="973"/>
        <v>-1.0415751495369232E-4</v>
      </c>
    </row>
    <row r="365" spans="1:20" x14ac:dyDescent="0.25">
      <c r="A365" s="5">
        <v>44228</v>
      </c>
      <c r="B365">
        <v>1878.11</v>
      </c>
      <c r="C365">
        <v>1886.36</v>
      </c>
      <c r="D365">
        <v>1860.04</v>
      </c>
      <c r="E365">
        <v>1868.04</v>
      </c>
      <c r="F365">
        <v>1458.718813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-0.3920972644376885</v>
      </c>
      <c r="Q365">
        <f t="shared" si="970"/>
        <v>-571.95965616109208</v>
      </c>
      <c r="R365">
        <f t="shared" si="971"/>
        <v>-10016.930890707206</v>
      </c>
      <c r="S365">
        <f t="shared" si="972"/>
        <v>-0.10016930890707207</v>
      </c>
      <c r="T365">
        <f t="shared" si="973"/>
        <v>-1.0016930890707206E-4</v>
      </c>
    </row>
    <row r="366" spans="1:20" x14ac:dyDescent="0.25">
      <c r="A366" s="5">
        <v>44227</v>
      </c>
      <c r="B366">
        <v>1866.3</v>
      </c>
      <c r="C366">
        <v>1883.13</v>
      </c>
      <c r="D366">
        <v>1859.99</v>
      </c>
      <c r="E366">
        <v>1878.12</v>
      </c>
      <c r="F366">
        <v>791.84714799999995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0.56698357821951628</v>
      </c>
      <c r="Q366">
        <f t="shared" si="970"/>
        <v>448.96432937595887</v>
      </c>
      <c r="R366">
        <f t="shared" si="971"/>
        <v>-9444.9712345461139</v>
      </c>
      <c r="S366">
        <f t="shared" si="972"/>
        <v>-9.4449712345461137E-2</v>
      </c>
      <c r="T366">
        <f t="shared" si="973"/>
        <v>-9.4449712345461131E-5</v>
      </c>
    </row>
    <row r="367" spans="1:20" x14ac:dyDescent="0.25">
      <c r="A367" s="5">
        <v>44226</v>
      </c>
      <c r="B367">
        <v>1869.37</v>
      </c>
      <c r="C367">
        <v>1876</v>
      </c>
      <c r="D367">
        <v>1863.41</v>
      </c>
      <c r="E367">
        <v>1865.71</v>
      </c>
      <c r="F367">
        <v>696.75248599999998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-0.63463065925338058</v>
      </c>
      <c r="Q367">
        <f t="shared" si="970"/>
        <v>-442.18048952661178</v>
      </c>
      <c r="R367">
        <f t="shared" si="971"/>
        <v>-9893.9355639220721</v>
      </c>
      <c r="S367">
        <f t="shared" si="972"/>
        <v>-9.8939355639220725E-2</v>
      </c>
      <c r="T367">
        <f t="shared" si="973"/>
        <v>-9.8939355639220719E-5</v>
      </c>
    </row>
    <row r="368" spans="1:20" x14ac:dyDescent="0.25">
      <c r="A368" s="5">
        <v>44225</v>
      </c>
      <c r="B368">
        <v>1855.28</v>
      </c>
      <c r="C368">
        <v>1880</v>
      </c>
      <c r="D368">
        <v>1847.42</v>
      </c>
      <c r="E368">
        <v>1868.2</v>
      </c>
      <c r="F368">
        <v>1597.617992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0.27562922038060278</v>
      </c>
      <c r="Q368">
        <f t="shared" si="970"/>
        <v>440.35020160098406</v>
      </c>
      <c r="R368">
        <f t="shared" si="971"/>
        <v>-9451.7550743954598</v>
      </c>
      <c r="S368">
        <f t="shared" si="972"/>
        <v>-9.4517550743954598E-2</v>
      </c>
      <c r="T368">
        <f t="shared" si="973"/>
        <v>-9.4517550743954595E-5</v>
      </c>
    </row>
    <row r="369" spans="1:20" x14ac:dyDescent="0.25">
      <c r="A369" s="5">
        <v>44224</v>
      </c>
      <c r="B369">
        <v>1846.28</v>
      </c>
      <c r="C369">
        <v>1868.57</v>
      </c>
      <c r="D369">
        <v>1844.57</v>
      </c>
      <c r="E369">
        <v>1853.83</v>
      </c>
      <c r="F369">
        <v>659.99156200000004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-0.22833333333333408</v>
      </c>
      <c r="Q369">
        <f t="shared" si="970"/>
        <v>-150.69807332333383</v>
      </c>
      <c r="R369">
        <f t="shared" si="971"/>
        <v>-9892.1052759964441</v>
      </c>
      <c r="S369">
        <f t="shared" si="972"/>
        <v>-9.8921052759964448E-2</v>
      </c>
      <c r="T369">
        <f t="shared" si="973"/>
        <v>-9.8921052759964444E-5</v>
      </c>
    </row>
    <row r="370" spans="1:20" x14ac:dyDescent="0.25">
      <c r="A370" s="5">
        <v>44223</v>
      </c>
      <c r="B370">
        <v>1865.05</v>
      </c>
      <c r="C370">
        <v>1865.88</v>
      </c>
      <c r="D370">
        <v>1841.92</v>
      </c>
      <c r="E370">
        <v>1847.66</v>
      </c>
      <c r="F370">
        <v>1037.226885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-0.52086811352253748</v>
      </c>
      <c r="Q370">
        <f t="shared" si="970"/>
        <v>-540.25841088480797</v>
      </c>
      <c r="R370">
        <f t="shared" si="971"/>
        <v>-9741.4072026731101</v>
      </c>
      <c r="S370">
        <f t="shared" si="972"/>
        <v>-9.7414072026731094E-2</v>
      </c>
      <c r="T370">
        <f t="shared" si="973"/>
        <v>-9.7414072026731096E-5</v>
      </c>
    </row>
    <row r="371" spans="1:20" x14ac:dyDescent="0.25">
      <c r="A371" s="5">
        <v>44222</v>
      </c>
      <c r="B371">
        <v>1861.05</v>
      </c>
      <c r="C371">
        <v>1872</v>
      </c>
      <c r="D371">
        <v>1849.81</v>
      </c>
      <c r="E371">
        <v>1864.98</v>
      </c>
      <c r="F371">
        <v>754.80851199999995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0.36728255971158497</v>
      </c>
      <c r="Q371">
        <f t="shared" si="970"/>
        <v>277.22800237945256</v>
      </c>
      <c r="R371">
        <f t="shared" si="971"/>
        <v>-9201.1487917883023</v>
      </c>
      <c r="S371">
        <f t="shared" si="972"/>
        <v>-9.2011487917883023E-2</v>
      </c>
      <c r="T371">
        <f t="shared" si="973"/>
        <v>-9.2011487917883028E-5</v>
      </c>
    </row>
    <row r="372" spans="1:20" x14ac:dyDescent="0.25">
      <c r="A372" s="5">
        <v>44221</v>
      </c>
      <c r="B372">
        <v>1858.51</v>
      </c>
      <c r="C372">
        <v>1871.99</v>
      </c>
      <c r="D372">
        <v>1852.83</v>
      </c>
      <c r="E372">
        <v>1859.85</v>
      </c>
      <c r="F372">
        <v>1051.612885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-0.26722338204593404</v>
      </c>
      <c r="Q372">
        <f t="shared" si="970"/>
        <v>-281.01555173278189</v>
      </c>
      <c r="R372">
        <f t="shared" si="971"/>
        <v>-9478.3767941677543</v>
      </c>
      <c r="S372">
        <f t="shared" si="972"/>
        <v>-9.4783767941677546E-2</v>
      </c>
      <c r="T372">
        <f t="shared" si="973"/>
        <v>-9.4783767941677551E-5</v>
      </c>
    </row>
    <row r="373" spans="1:20" x14ac:dyDescent="0.25">
      <c r="A373" s="5">
        <v>44220</v>
      </c>
      <c r="B373">
        <v>1867.15</v>
      </c>
      <c r="C373">
        <v>1875.23</v>
      </c>
      <c r="D373">
        <v>1855.58</v>
      </c>
      <c r="E373">
        <v>1858.99</v>
      </c>
      <c r="F373">
        <v>635.48060999999996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-0.65292620865139273</v>
      </c>
      <c r="Q373">
        <f t="shared" si="970"/>
        <v>-414.92194535877428</v>
      </c>
      <c r="R373">
        <f t="shared" si="971"/>
        <v>-9197.3612424349722</v>
      </c>
      <c r="S373">
        <f t="shared" si="972"/>
        <v>-9.1973612424349718E-2</v>
      </c>
      <c r="T373">
        <f t="shared" si="973"/>
        <v>-9.1973612424349713E-5</v>
      </c>
    </row>
    <row r="374" spans="1:20" x14ac:dyDescent="0.25">
      <c r="A374" s="5">
        <v>44219</v>
      </c>
      <c r="B374">
        <v>1863.61</v>
      </c>
      <c r="C374">
        <v>1872.72</v>
      </c>
      <c r="D374">
        <v>1857.12</v>
      </c>
      <c r="E374">
        <v>1867.61</v>
      </c>
      <c r="F374">
        <v>646.306826</v>
      </c>
      <c r="G374">
        <v>0</v>
      </c>
      <c r="L374" t="s">
        <v>7</v>
      </c>
      <c r="M374" t="s">
        <v>8</v>
      </c>
      <c r="N374" t="s">
        <v>8</v>
      </c>
      <c r="P374">
        <f t="shared" si="969"/>
        <v>0.34487179487178427</v>
      </c>
      <c r="Q374">
        <f t="shared" si="970"/>
        <v>222.89299512050596</v>
      </c>
      <c r="R374">
        <f t="shared" si="971"/>
        <v>-8782.4392970761983</v>
      </c>
      <c r="S374">
        <f t="shared" si="972"/>
        <v>-8.7824392970761986E-2</v>
      </c>
      <c r="T374">
        <f t="shared" si="973"/>
        <v>-8.7824392970761988E-5</v>
      </c>
    </row>
    <row r="375" spans="1:20" x14ac:dyDescent="0.25">
      <c r="A375" s="5">
        <v>44218</v>
      </c>
      <c r="B375">
        <v>1882.14</v>
      </c>
      <c r="C375">
        <v>1888.56</v>
      </c>
      <c r="D375">
        <v>1850</v>
      </c>
      <c r="E375">
        <v>1863.75</v>
      </c>
      <c r="F375">
        <v>1814.9396899999999</v>
      </c>
      <c r="G375">
        <v>0</v>
      </c>
      <c r="L375" t="s">
        <v>7</v>
      </c>
      <c r="M375" t="s">
        <v>8</v>
      </c>
      <c r="N375" t="s">
        <v>8</v>
      </c>
      <c r="P375">
        <f t="shared" si="969"/>
        <v>-0.28682572614107782</v>
      </c>
      <c r="Q375">
        <f t="shared" si="970"/>
        <v>-520.57139448651265</v>
      </c>
      <c r="R375">
        <f t="shared" si="971"/>
        <v>-9005.3322921967047</v>
      </c>
      <c r="S375">
        <f t="shared" si="972"/>
        <v>-9.0053322921967049E-2</v>
      </c>
      <c r="T375">
        <f t="shared" si="973"/>
        <v>-9.0053322921967053E-5</v>
      </c>
    </row>
    <row r="376" spans="1:20" x14ac:dyDescent="0.25">
      <c r="A376" s="5">
        <v>44217</v>
      </c>
      <c r="B376">
        <v>1885.21</v>
      </c>
      <c r="C376">
        <v>1898.78</v>
      </c>
      <c r="D376">
        <v>1874.22</v>
      </c>
      <c r="E376">
        <v>1882.13</v>
      </c>
      <c r="F376">
        <v>2500.2884490000001</v>
      </c>
      <c r="G376">
        <v>0</v>
      </c>
      <c r="L376" t="s">
        <v>7</v>
      </c>
      <c r="M376" t="s">
        <v>8</v>
      </c>
      <c r="N376" t="s">
        <v>8</v>
      </c>
      <c r="P376">
        <f t="shared" si="969"/>
        <v>-0.35586319218240231</v>
      </c>
      <c r="Q376">
        <f t="shared" si="970"/>
        <v>-889.7606288379277</v>
      </c>
      <c r="R376">
        <f t="shared" si="971"/>
        <v>-8484.7608977101918</v>
      </c>
      <c r="S376">
        <f t="shared" si="972"/>
        <v>-8.4847608977101918E-2</v>
      </c>
      <c r="T376">
        <f t="shared" si="973"/>
        <v>-8.4847608977101923E-5</v>
      </c>
    </row>
    <row r="377" spans="1:20" x14ac:dyDescent="0.25">
      <c r="A377" s="5">
        <v>44216</v>
      </c>
      <c r="B377">
        <v>1852.38</v>
      </c>
      <c r="C377">
        <v>1890</v>
      </c>
      <c r="D377">
        <v>1848.36</v>
      </c>
      <c r="E377">
        <v>1883.97</v>
      </c>
      <c r="F377">
        <v>1919.2607680000001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0.71037463976945447</v>
      </c>
      <c r="Q377">
        <f t="shared" si="970"/>
        <v>1363.3941766916466</v>
      </c>
      <c r="R377">
        <f t="shared" si="971"/>
        <v>-7595.0002688722634</v>
      </c>
      <c r="S377">
        <f t="shared" si="972"/>
        <v>-7.5950002688722637E-2</v>
      </c>
      <c r="T377">
        <f t="shared" si="973"/>
        <v>-7.5950002688722633E-5</v>
      </c>
    </row>
    <row r="378" spans="1:20" x14ac:dyDescent="0.25">
      <c r="A378" s="5">
        <v>44215</v>
      </c>
      <c r="B378">
        <v>1854.46</v>
      </c>
      <c r="C378">
        <v>1884.5</v>
      </c>
      <c r="D378">
        <v>1842.04</v>
      </c>
      <c r="E378">
        <v>1852</v>
      </c>
      <c r="F378">
        <v>1269.9551080000001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-0.53085256712199591</v>
      </c>
      <c r="Q378">
        <f t="shared" si="970"/>
        <v>-674.15892921149157</v>
      </c>
      <c r="R378">
        <f t="shared" si="971"/>
        <v>-8958.3944455639103</v>
      </c>
      <c r="S378">
        <f t="shared" si="972"/>
        <v>-8.9583944455639108E-2</v>
      </c>
      <c r="T378">
        <f t="shared" si="973"/>
        <v>-8.9583944455639102E-5</v>
      </c>
    </row>
    <row r="379" spans="1:20" x14ac:dyDescent="0.25">
      <c r="A379" s="5">
        <v>44214</v>
      </c>
      <c r="B379">
        <v>1838.09</v>
      </c>
      <c r="C379">
        <v>1859</v>
      </c>
      <c r="D379">
        <v>1835</v>
      </c>
      <c r="E379">
        <v>1852.79</v>
      </c>
      <c r="F379">
        <v>849.46505000000002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0.48249999999999699</v>
      </c>
      <c r="Q379">
        <f t="shared" si="970"/>
        <v>409.86688662499745</v>
      </c>
      <c r="R379">
        <f t="shared" si="971"/>
        <v>-8284.2355163524189</v>
      </c>
      <c r="S379">
        <f t="shared" si="972"/>
        <v>-8.2842355163524187E-2</v>
      </c>
      <c r="T379">
        <f t="shared" si="973"/>
        <v>-8.2842355163524191E-5</v>
      </c>
    </row>
    <row r="380" spans="1:20" x14ac:dyDescent="0.25">
      <c r="A380" s="5">
        <v>44213</v>
      </c>
      <c r="B380">
        <v>1850</v>
      </c>
      <c r="C380">
        <v>1858</v>
      </c>
      <c r="D380">
        <v>1836.44</v>
      </c>
      <c r="E380">
        <v>1837.39</v>
      </c>
      <c r="F380">
        <v>813.39304000000004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-0.91187384044526454</v>
      </c>
      <c r="Q380">
        <f t="shared" si="970"/>
        <v>-741.71183517624877</v>
      </c>
      <c r="R380">
        <f t="shared" si="971"/>
        <v>-8694.1024029774162</v>
      </c>
      <c r="S380">
        <f t="shared" si="972"/>
        <v>-8.6941024029774161E-2</v>
      </c>
      <c r="T380">
        <f t="shared" si="973"/>
        <v>-8.6941024029774162E-5</v>
      </c>
    </row>
    <row r="381" spans="1:20" x14ac:dyDescent="0.25">
      <c r="A381" s="5">
        <v>44212</v>
      </c>
      <c r="B381">
        <v>1839.53</v>
      </c>
      <c r="C381">
        <v>1869</v>
      </c>
      <c r="D381">
        <v>1837.78</v>
      </c>
      <c r="E381">
        <v>1850</v>
      </c>
      <c r="F381">
        <v>906.71917800000006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-0.21716848174247172</v>
      </c>
      <c r="Q381">
        <f t="shared" si="970"/>
        <v>-196.91082725304199</v>
      </c>
      <c r="R381">
        <f t="shared" si="971"/>
        <v>-7952.3905678011679</v>
      </c>
      <c r="S381">
        <f t="shared" si="972"/>
        <v>-7.952390567801168E-2</v>
      </c>
      <c r="T381">
        <f t="shared" si="973"/>
        <v>-7.9523905678011676E-5</v>
      </c>
    </row>
    <row r="382" spans="1:20" x14ac:dyDescent="0.25">
      <c r="A382" s="5">
        <v>44211</v>
      </c>
      <c r="B382">
        <v>1867.6</v>
      </c>
      <c r="C382">
        <v>1881.14</v>
      </c>
      <c r="D382">
        <v>1835.78</v>
      </c>
      <c r="E382">
        <v>1839.37</v>
      </c>
      <c r="F382">
        <v>1187.8750030000001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-0.84171075837742915</v>
      </c>
      <c r="Q382">
        <f t="shared" si="970"/>
        <v>-999.84716963272103</v>
      </c>
      <c r="R382">
        <f t="shared" si="971"/>
        <v>-7755.4797405481258</v>
      </c>
      <c r="S382">
        <f t="shared" si="972"/>
        <v>-7.7554797405481254E-2</v>
      </c>
      <c r="T382">
        <f t="shared" si="973"/>
        <v>-7.7554797405481255E-5</v>
      </c>
    </row>
    <row r="383" spans="1:20" x14ac:dyDescent="0.25">
      <c r="A383" s="5">
        <v>44210</v>
      </c>
      <c r="B383">
        <v>1857.27</v>
      </c>
      <c r="C383">
        <v>1883.4</v>
      </c>
      <c r="D383">
        <v>1849.08</v>
      </c>
      <c r="E383">
        <v>1869.06</v>
      </c>
      <c r="F383">
        <v>1239.572496</v>
      </c>
      <c r="G383">
        <v>0</v>
      </c>
      <c r="L383" t="s">
        <v>7</v>
      </c>
      <c r="M383" t="s">
        <v>8</v>
      </c>
      <c r="N383" t="s">
        <v>8</v>
      </c>
      <c r="P383">
        <f t="shared" si="969"/>
        <v>0.16433566433565985</v>
      </c>
      <c r="Q383">
        <f t="shared" si="970"/>
        <v>203.70596962237207</v>
      </c>
      <c r="R383">
        <f t="shared" si="971"/>
        <v>-6755.6325709154053</v>
      </c>
      <c r="S383">
        <f t="shared" si="972"/>
        <v>-6.7556325709154055E-2</v>
      </c>
      <c r="T383">
        <f t="shared" si="973"/>
        <v>-6.7556325709154053E-5</v>
      </c>
    </row>
    <row r="384" spans="1:20" x14ac:dyDescent="0.25">
      <c r="A384" s="5">
        <v>44209</v>
      </c>
      <c r="B384">
        <v>1866.35</v>
      </c>
      <c r="C384">
        <v>1887</v>
      </c>
      <c r="D384">
        <v>1856</v>
      </c>
      <c r="E384">
        <v>1857.24</v>
      </c>
      <c r="F384">
        <v>1152.723166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-0.91999999999999937</v>
      </c>
      <c r="Q384">
        <f t="shared" si="970"/>
        <v>-1060.5053127199992</v>
      </c>
      <c r="R384">
        <f t="shared" si="971"/>
        <v>-6959.3385405377776</v>
      </c>
      <c r="S384">
        <f t="shared" si="972"/>
        <v>-6.9593385405377781E-2</v>
      </c>
      <c r="T384">
        <f t="shared" si="973"/>
        <v>-6.9593385405377787E-5</v>
      </c>
    </row>
    <row r="385" spans="1:20" x14ac:dyDescent="0.25">
      <c r="A385" s="5">
        <v>44208</v>
      </c>
      <c r="B385">
        <v>1860.62</v>
      </c>
      <c r="C385">
        <v>1885</v>
      </c>
      <c r="D385">
        <v>1845</v>
      </c>
      <c r="E385">
        <v>1866</v>
      </c>
      <c r="F385">
        <v>1398.1264860000001</v>
      </c>
      <c r="G385">
        <v>0</v>
      </c>
      <c r="L385" t="s">
        <v>7</v>
      </c>
      <c r="M385" t="s">
        <v>8</v>
      </c>
      <c r="N385" t="s">
        <v>8</v>
      </c>
      <c r="P385">
        <f t="shared" si="969"/>
        <v>0.05</v>
      </c>
      <c r="Q385">
        <f t="shared" si="970"/>
        <v>69.906324300000009</v>
      </c>
      <c r="R385">
        <f t="shared" si="971"/>
        <v>-5898.8332278177786</v>
      </c>
      <c r="S385">
        <f t="shared" si="972"/>
        <v>-5.8988332278177784E-2</v>
      </c>
      <c r="T385">
        <f t="shared" si="973"/>
        <v>-5.8988332278177783E-5</v>
      </c>
    </row>
    <row r="386" spans="1:20" x14ac:dyDescent="0.25">
      <c r="A386" s="5">
        <v>44207</v>
      </c>
      <c r="B386">
        <v>1877.68</v>
      </c>
      <c r="C386">
        <v>1894.02</v>
      </c>
      <c r="D386">
        <v>1823.99</v>
      </c>
      <c r="E386">
        <v>1861.19</v>
      </c>
      <c r="F386">
        <v>3331.9853029999999</v>
      </c>
      <c r="G386">
        <v>0</v>
      </c>
      <c r="L386" t="s">
        <v>7</v>
      </c>
      <c r="M386" t="s">
        <v>8</v>
      </c>
      <c r="N386" t="s">
        <v>8</v>
      </c>
      <c r="P386">
        <f t="shared" si="969"/>
        <v>6.2401827788092529E-2</v>
      </c>
      <c r="Q386">
        <f t="shared" si="970"/>
        <v>207.92197307026129</v>
      </c>
      <c r="R386">
        <f t="shared" si="971"/>
        <v>-5968.7395521177787</v>
      </c>
      <c r="S386">
        <f t="shared" si="972"/>
        <v>-5.9687395521177786E-2</v>
      </c>
      <c r="T386">
        <f t="shared" si="973"/>
        <v>-5.9687395521177787E-5</v>
      </c>
    </row>
    <row r="387" spans="1:20" x14ac:dyDescent="0.25">
      <c r="A387" s="5">
        <v>44206</v>
      </c>
      <c r="B387">
        <v>1872.9</v>
      </c>
      <c r="C387">
        <v>1920</v>
      </c>
      <c r="D387">
        <v>1870</v>
      </c>
      <c r="E387">
        <v>1879.53</v>
      </c>
      <c r="F387">
        <v>1899.9508000000001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-0.61880000000000113</v>
      </c>
      <c r="Q387">
        <f t="shared" si="970"/>
        <v>-1175.6895550400022</v>
      </c>
      <c r="R387">
        <f t="shared" si="971"/>
        <v>-6176.6615251880403</v>
      </c>
      <c r="S387">
        <f t="shared" si="972"/>
        <v>-6.1766615251880402E-2</v>
      </c>
      <c r="T387">
        <f t="shared" si="973"/>
        <v>-6.1766615251880399E-5</v>
      </c>
    </row>
    <row r="388" spans="1:20" x14ac:dyDescent="0.25">
      <c r="A388" s="5">
        <v>44205</v>
      </c>
      <c r="B388">
        <v>1871.34</v>
      </c>
      <c r="C388">
        <v>1894.91</v>
      </c>
      <c r="D388">
        <v>1855</v>
      </c>
      <c r="E388">
        <v>1870.05</v>
      </c>
      <c r="F388">
        <v>1072.1340729999999</v>
      </c>
      <c r="G388">
        <v>0</v>
      </c>
      <c r="L388" t="s">
        <v>7</v>
      </c>
      <c r="M388" t="s">
        <v>8</v>
      </c>
      <c r="N388" t="s">
        <v>8</v>
      </c>
      <c r="P388">
        <f t="shared" si="969"/>
        <v>-0.24580305687797926</v>
      </c>
      <c r="Q388">
        <f t="shared" si="970"/>
        <v>-263.53383252643857</v>
      </c>
      <c r="R388">
        <f t="shared" si="971"/>
        <v>-5000.9719701480381</v>
      </c>
      <c r="S388">
        <f t="shared" si="972"/>
        <v>-5.0009719701480382E-2</v>
      </c>
      <c r="T388">
        <f t="shared" si="973"/>
        <v>-5.000971970148038E-5</v>
      </c>
    </row>
    <row r="389" spans="1:20" x14ac:dyDescent="0.25">
      <c r="A389" s="5">
        <v>44204</v>
      </c>
      <c r="B389">
        <v>1956.94</v>
      </c>
      <c r="C389">
        <v>1959.42</v>
      </c>
      <c r="D389">
        <v>1843.5</v>
      </c>
      <c r="E389">
        <v>1871.6</v>
      </c>
      <c r="F389">
        <v>2901.665035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-0.51518288474810403</v>
      </c>
      <c r="Q389">
        <f t="shared" si="970"/>
        <v>-1494.8881633040082</v>
      </c>
      <c r="R389">
        <f t="shared" si="971"/>
        <v>-4737.4381376215997</v>
      </c>
      <c r="S389">
        <f t="shared" si="972"/>
        <v>-4.7374381376215996E-2</v>
      </c>
      <c r="T389">
        <f t="shared" si="973"/>
        <v>-4.7374381376215999E-5</v>
      </c>
    </row>
    <row r="390" spans="1:20" x14ac:dyDescent="0.25">
      <c r="A390" s="5">
        <v>44203</v>
      </c>
      <c r="B390">
        <v>1960.73</v>
      </c>
      <c r="C390">
        <v>1987.57</v>
      </c>
      <c r="D390">
        <v>1931.49</v>
      </c>
      <c r="E390">
        <v>1955.4</v>
      </c>
      <c r="F390">
        <v>2258.7687030000002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-0.14728958630527414</v>
      </c>
      <c r="Q390">
        <f t="shared" ref="Q390:Q453" si="975">F390*P390</f>
        <v>-332.69310782417068</v>
      </c>
      <c r="R390">
        <f t="shared" ref="R390:R453" si="976">R391+Q390</f>
        <v>-3242.5499743175915</v>
      </c>
      <c r="S390">
        <f t="shared" ref="S390:S453" si="977">R390/100000</f>
        <v>-3.2425499743175913E-2</v>
      </c>
      <c r="T390">
        <f t="shared" ref="T390:T453" si="978">S390/1000</f>
        <v>-3.2425499743175914E-5</v>
      </c>
    </row>
    <row r="391" spans="1:20" x14ac:dyDescent="0.25">
      <c r="A391" s="5">
        <v>44202</v>
      </c>
      <c r="B391">
        <v>2027.68</v>
      </c>
      <c r="C391">
        <v>2048.08</v>
      </c>
      <c r="D391">
        <v>1928.66</v>
      </c>
      <c r="E391">
        <v>1960.73</v>
      </c>
      <c r="F391">
        <v>1693.5815720000001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-0.46290403617484543</v>
      </c>
      <c r="Q391">
        <f t="shared" si="975"/>
        <v>-783.96574527013968</v>
      </c>
      <c r="R391">
        <f t="shared" si="976"/>
        <v>-2909.856866493421</v>
      </c>
      <c r="S391">
        <f t="shared" si="977"/>
        <v>-2.909856866493421E-2</v>
      </c>
      <c r="T391">
        <f t="shared" si="978"/>
        <v>-2.9098568664934211E-5</v>
      </c>
    </row>
    <row r="392" spans="1:20" x14ac:dyDescent="0.25">
      <c r="A392" s="5">
        <v>44201</v>
      </c>
      <c r="B392">
        <v>2009.45</v>
      </c>
      <c r="C392">
        <v>2100.85</v>
      </c>
      <c r="D392">
        <v>1986.95</v>
      </c>
      <c r="E392">
        <v>2027.63</v>
      </c>
      <c r="F392">
        <v>1588.628731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-0.28568920105355378</v>
      </c>
      <c r="Q392">
        <f t="shared" si="975"/>
        <v>-453.85407293011099</v>
      </c>
      <c r="R392">
        <f t="shared" si="976"/>
        <v>-2125.8911212232815</v>
      </c>
      <c r="S392">
        <f t="shared" si="977"/>
        <v>-2.1258911212232817E-2</v>
      </c>
      <c r="T392">
        <f t="shared" si="978"/>
        <v>-2.1258911212232817E-5</v>
      </c>
    </row>
    <row r="393" spans="1:20" x14ac:dyDescent="0.25">
      <c r="A393" s="5">
        <v>44200</v>
      </c>
      <c r="B393">
        <v>1967.85</v>
      </c>
      <c r="C393">
        <v>2068</v>
      </c>
      <c r="D393">
        <v>1958.26</v>
      </c>
      <c r="E393">
        <v>2009.22</v>
      </c>
      <c r="F393">
        <v>1405.2033690000001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-7.1259340258792922E-2</v>
      </c>
      <c r="Q393">
        <f t="shared" si="975"/>
        <v>-100.13386500437315</v>
      </c>
      <c r="R393">
        <f t="shared" si="976"/>
        <v>-1672.0370482931705</v>
      </c>
      <c r="S393">
        <f t="shared" si="977"/>
        <v>-1.6720370482931707E-2</v>
      </c>
      <c r="T393">
        <f t="shared" si="978"/>
        <v>-1.6720370482931706E-5</v>
      </c>
    </row>
    <row r="394" spans="1:20" x14ac:dyDescent="0.25">
      <c r="A394" s="5">
        <v>44199</v>
      </c>
      <c r="B394">
        <v>1967.39</v>
      </c>
      <c r="C394">
        <v>1994.31</v>
      </c>
      <c r="D394">
        <v>1945.95</v>
      </c>
      <c r="E394">
        <v>1963.5</v>
      </c>
      <c r="F394">
        <v>617.47335799999996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-0.27419354838709714</v>
      </c>
      <c r="Q394">
        <f t="shared" si="975"/>
        <v>-169.30721106451634</v>
      </c>
      <c r="R394">
        <f t="shared" si="976"/>
        <v>-1571.9031832887974</v>
      </c>
      <c r="S394">
        <f t="shared" si="977"/>
        <v>-1.5719031832887975E-2</v>
      </c>
      <c r="T394">
        <f t="shared" si="978"/>
        <v>-1.5719031832887976E-5</v>
      </c>
    </row>
    <row r="395" spans="1:20" x14ac:dyDescent="0.25">
      <c r="A395" s="5">
        <v>44198</v>
      </c>
      <c r="B395">
        <v>1940.54</v>
      </c>
      <c r="C395">
        <v>1994.01</v>
      </c>
      <c r="D395">
        <v>1922.56</v>
      </c>
      <c r="E395">
        <v>1967.39</v>
      </c>
      <c r="F395">
        <v>809.76980000000003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0.25486354093772223</v>
      </c>
      <c r="Q395">
        <f t="shared" si="975"/>
        <v>206.38079857243116</v>
      </c>
      <c r="R395">
        <f t="shared" si="976"/>
        <v>-1402.595972224281</v>
      </c>
      <c r="S395">
        <f t="shared" si="977"/>
        <v>-1.402595972224281E-2</v>
      </c>
      <c r="T395">
        <f t="shared" si="978"/>
        <v>-1.4025959722242811E-5</v>
      </c>
    </row>
    <row r="396" spans="1:20" x14ac:dyDescent="0.25">
      <c r="A396" s="5">
        <v>44197</v>
      </c>
      <c r="B396">
        <v>1935.82</v>
      </c>
      <c r="C396">
        <v>1943.11</v>
      </c>
      <c r="D396">
        <v>1920.1</v>
      </c>
      <c r="E396">
        <v>1942.13</v>
      </c>
      <c r="F396">
        <v>204.141987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0.9148196436332211</v>
      </c>
      <c r="Q396">
        <f t="shared" si="975"/>
        <v>186.75309979791766</v>
      </c>
      <c r="R396">
        <f t="shared" si="976"/>
        <v>-1608.9767707967121</v>
      </c>
      <c r="S396">
        <f t="shared" si="977"/>
        <v>-1.608976770796712E-2</v>
      </c>
      <c r="T396">
        <f t="shared" si="978"/>
        <v>-1.6089767707967121E-5</v>
      </c>
    </row>
    <row r="397" spans="1:20" x14ac:dyDescent="0.25">
      <c r="A397" s="5">
        <v>44196</v>
      </c>
      <c r="B397">
        <v>1921.32</v>
      </c>
      <c r="C397">
        <v>1944.75</v>
      </c>
      <c r="D397">
        <v>1910</v>
      </c>
      <c r="E397">
        <v>1932.98</v>
      </c>
      <c r="F397">
        <v>370.20576299999999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0.32258992805755499</v>
      </c>
      <c r="Q397">
        <f t="shared" si="975"/>
        <v>119.42465045266225</v>
      </c>
      <c r="R397">
        <f t="shared" si="976"/>
        <v>-1795.7298705946298</v>
      </c>
      <c r="S397">
        <f t="shared" si="977"/>
        <v>-1.7957298705946298E-2</v>
      </c>
      <c r="T397">
        <f t="shared" si="978"/>
        <v>-1.7957298705946297E-5</v>
      </c>
    </row>
    <row r="398" spans="1:20" x14ac:dyDescent="0.25">
      <c r="A398" s="5">
        <v>44195</v>
      </c>
      <c r="B398">
        <v>1917.33</v>
      </c>
      <c r="C398">
        <v>1935</v>
      </c>
      <c r="D398">
        <v>1900.21</v>
      </c>
      <c r="E398">
        <v>1921.3</v>
      </c>
      <c r="F398">
        <v>513.39434500000004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0.21241736131071803</v>
      </c>
      <c r="Q398">
        <f t="shared" si="975"/>
        <v>109.05387207674444</v>
      </c>
      <c r="R398">
        <f t="shared" si="976"/>
        <v>-1915.1545210472921</v>
      </c>
      <c r="S398">
        <f t="shared" si="977"/>
        <v>-1.9151545210472919E-2</v>
      </c>
      <c r="T398">
        <f t="shared" si="978"/>
        <v>-1.9151545210472919E-5</v>
      </c>
    </row>
    <row r="399" spans="1:20" x14ac:dyDescent="0.25">
      <c r="A399" s="5">
        <v>44194</v>
      </c>
      <c r="B399">
        <v>1917.48</v>
      </c>
      <c r="C399">
        <v>1929</v>
      </c>
      <c r="D399">
        <v>1900</v>
      </c>
      <c r="E399">
        <v>1917.33</v>
      </c>
      <c r="F399">
        <v>460.09441900000002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0.19517241379309844</v>
      </c>
      <c r="Q399">
        <f t="shared" si="975"/>
        <v>89.79773832896322</v>
      </c>
      <c r="R399">
        <f t="shared" si="976"/>
        <v>-2024.2083931240365</v>
      </c>
      <c r="S399">
        <f t="shared" si="977"/>
        <v>-2.0242083931240367E-2</v>
      </c>
      <c r="T399">
        <f t="shared" si="978"/>
        <v>-2.0242083931240366E-5</v>
      </c>
    </row>
    <row r="400" spans="1:20" x14ac:dyDescent="0.25">
      <c r="A400" s="5">
        <v>44193</v>
      </c>
      <c r="B400">
        <v>1932.67</v>
      </c>
      <c r="C400">
        <v>1945</v>
      </c>
      <c r="D400">
        <v>1900</v>
      </c>
      <c r="E400">
        <v>1918.14</v>
      </c>
      <c r="F400">
        <v>877.00530600000002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-0.19377777777777333</v>
      </c>
      <c r="Q400">
        <f t="shared" si="975"/>
        <v>-169.94413929599611</v>
      </c>
      <c r="R400">
        <f t="shared" si="976"/>
        <v>-2114.0061314529999</v>
      </c>
      <c r="S400">
        <f t="shared" si="977"/>
        <v>-2.1140061314529997E-2</v>
      </c>
      <c r="T400">
        <f t="shared" si="978"/>
        <v>-2.1140061314529999E-5</v>
      </c>
    </row>
    <row r="401" spans="1:20" x14ac:dyDescent="0.25">
      <c r="A401" s="5">
        <v>44192</v>
      </c>
      <c r="B401">
        <v>1913.74</v>
      </c>
      <c r="C401">
        <v>1950</v>
      </c>
      <c r="D401">
        <v>1912</v>
      </c>
      <c r="E401">
        <v>1932.68</v>
      </c>
      <c r="F401">
        <v>808.03574100000003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8.84210526315823E-2</v>
      </c>
      <c r="Q401">
        <f t="shared" si="975"/>
        <v>71.447370783160608</v>
      </c>
      <c r="R401">
        <f t="shared" si="976"/>
        <v>-1944.0619921570039</v>
      </c>
      <c r="S401">
        <f t="shared" si="977"/>
        <v>-1.9440619921570038E-2</v>
      </c>
      <c r="T401">
        <f t="shared" si="978"/>
        <v>-1.9440619921570038E-5</v>
      </c>
    </row>
    <row r="402" spans="1:20" x14ac:dyDescent="0.25">
      <c r="A402" s="5">
        <v>44191</v>
      </c>
      <c r="B402">
        <v>1905.24</v>
      </c>
      <c r="C402">
        <v>1923.66</v>
      </c>
      <c r="D402">
        <v>1895.5</v>
      </c>
      <c r="E402">
        <v>1915.05</v>
      </c>
      <c r="F402">
        <v>378.07580799999999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0.3884943181818109</v>
      </c>
      <c r="Q402">
        <f t="shared" si="975"/>
        <v>146.88030324999724</v>
      </c>
      <c r="R402">
        <f t="shared" si="976"/>
        <v>-2015.5093629401645</v>
      </c>
      <c r="S402">
        <f t="shared" si="977"/>
        <v>-2.0155093629401644E-2</v>
      </c>
      <c r="T402">
        <f t="shared" si="978"/>
        <v>-2.0155093629401645E-5</v>
      </c>
    </row>
    <row r="403" spans="1:20" x14ac:dyDescent="0.25">
      <c r="A403" s="5">
        <v>44190</v>
      </c>
      <c r="B403">
        <v>1894.18</v>
      </c>
      <c r="C403">
        <v>1916.64</v>
      </c>
      <c r="D403">
        <v>1891.84</v>
      </c>
      <c r="E403">
        <v>1904.88</v>
      </c>
      <c r="F403">
        <v>252.40828999999999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5.161290322581414E-2</v>
      </c>
      <c r="Q403">
        <f t="shared" si="975"/>
        <v>13.027524645163231</v>
      </c>
      <c r="R403">
        <f t="shared" si="976"/>
        <v>-2162.3896661901617</v>
      </c>
      <c r="S403">
        <f t="shared" si="977"/>
        <v>-2.1623896661901617E-2</v>
      </c>
      <c r="T403">
        <f t="shared" si="978"/>
        <v>-2.1623896661901619E-5</v>
      </c>
    </row>
    <row r="404" spans="1:20" x14ac:dyDescent="0.25">
      <c r="A404" s="5">
        <v>44189</v>
      </c>
      <c r="B404">
        <v>1885.75</v>
      </c>
      <c r="C404">
        <v>1909.61</v>
      </c>
      <c r="D404">
        <v>1883.9</v>
      </c>
      <c r="E404">
        <v>1891.87</v>
      </c>
      <c r="F404">
        <v>353.10367400000001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-0.38000777907430111</v>
      </c>
      <c r="Q404">
        <f t="shared" si="975"/>
        <v>-134.18214293971604</v>
      </c>
      <c r="R404">
        <f t="shared" si="976"/>
        <v>-2175.4171908353251</v>
      </c>
      <c r="S404">
        <f t="shared" si="977"/>
        <v>-2.1754171908353249E-2</v>
      </c>
      <c r="T404">
        <f t="shared" si="978"/>
        <v>-2.175417190835325E-5</v>
      </c>
    </row>
    <row r="405" spans="1:20" x14ac:dyDescent="0.25">
      <c r="A405" s="5">
        <v>44188</v>
      </c>
      <c r="B405">
        <v>1882.62</v>
      </c>
      <c r="C405">
        <v>1896.58</v>
      </c>
      <c r="D405">
        <v>1871.22</v>
      </c>
      <c r="E405">
        <v>1884.43</v>
      </c>
      <c r="F405">
        <v>358.52331400000003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4.1798107255527482E-2</v>
      </c>
      <c r="Q405">
        <f t="shared" si="975"/>
        <v>14.985595932179159</v>
      </c>
      <c r="R405">
        <f t="shared" si="976"/>
        <v>-2041.2350478956089</v>
      </c>
      <c r="S405">
        <f t="shared" si="977"/>
        <v>-2.0412350478956089E-2</v>
      </c>
      <c r="T405">
        <f t="shared" si="978"/>
        <v>-2.0412350478956089E-5</v>
      </c>
    </row>
    <row r="406" spans="1:20" x14ac:dyDescent="0.25">
      <c r="A406" s="5">
        <v>44187</v>
      </c>
      <c r="B406">
        <v>1895.04</v>
      </c>
      <c r="C406">
        <v>1915</v>
      </c>
      <c r="D406">
        <v>1867</v>
      </c>
      <c r="E406">
        <v>1882.65</v>
      </c>
      <c r="F406">
        <v>406.15030400000001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-0.34791666666666288</v>
      </c>
      <c r="Q406">
        <f t="shared" si="975"/>
        <v>-141.30645993333181</v>
      </c>
      <c r="R406">
        <f t="shared" si="976"/>
        <v>-2056.2206438277881</v>
      </c>
      <c r="S406">
        <f t="shared" si="977"/>
        <v>-2.0562206438277882E-2</v>
      </c>
      <c r="T406">
        <f t="shared" si="978"/>
        <v>-2.0562206438277884E-5</v>
      </c>
    </row>
    <row r="407" spans="1:20" x14ac:dyDescent="0.25">
      <c r="A407" s="5">
        <v>44186</v>
      </c>
      <c r="B407">
        <v>1901.23</v>
      </c>
      <c r="C407">
        <v>1926</v>
      </c>
      <c r="D407">
        <v>1880</v>
      </c>
      <c r="E407">
        <v>1898.61</v>
      </c>
      <c r="F407">
        <v>512.024764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-0.19086956521739565</v>
      </c>
      <c r="Q407">
        <f t="shared" si="975"/>
        <v>-97.729944085219614</v>
      </c>
      <c r="R407">
        <f t="shared" si="976"/>
        <v>-1914.9141838944563</v>
      </c>
      <c r="S407">
        <f t="shared" si="977"/>
        <v>-1.9149141838944565E-2</v>
      </c>
      <c r="T407">
        <f t="shared" si="978"/>
        <v>-1.9149141838944563E-5</v>
      </c>
    </row>
    <row r="408" spans="1:20" x14ac:dyDescent="0.25">
      <c r="A408" s="5">
        <v>44185</v>
      </c>
      <c r="B408">
        <v>1890.55</v>
      </c>
      <c r="C408">
        <v>1904.1</v>
      </c>
      <c r="D408">
        <v>1887</v>
      </c>
      <c r="E408">
        <v>1900.37</v>
      </c>
      <c r="F408">
        <v>306.12273800000003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0.5637426900584751</v>
      </c>
      <c r="Q408">
        <f t="shared" si="975"/>
        <v>172.5744558081858</v>
      </c>
      <c r="R408">
        <f t="shared" si="976"/>
        <v>-1817.1842398092367</v>
      </c>
      <c r="S408">
        <f t="shared" si="977"/>
        <v>-1.8171842398092369E-2</v>
      </c>
      <c r="T408">
        <f t="shared" si="978"/>
        <v>-1.8171842398092369E-5</v>
      </c>
    </row>
    <row r="409" spans="1:20" x14ac:dyDescent="0.25">
      <c r="A409" s="5">
        <v>44184</v>
      </c>
      <c r="B409">
        <v>1896.56</v>
      </c>
      <c r="C409">
        <v>1900</v>
      </c>
      <c r="D409">
        <v>1883.39</v>
      </c>
      <c r="E409">
        <v>1892</v>
      </c>
      <c r="F409">
        <v>274.100887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3.6724864539428276E-2</v>
      </c>
      <c r="Q409">
        <f t="shared" si="975"/>
        <v>10.066317945212138</v>
      </c>
      <c r="R409">
        <f t="shared" si="976"/>
        <v>-1989.7586956174225</v>
      </c>
      <c r="S409">
        <f t="shared" si="977"/>
        <v>-1.9897586956174225E-2</v>
      </c>
      <c r="T409">
        <f t="shared" si="978"/>
        <v>-1.9897586956174226E-5</v>
      </c>
    </row>
    <row r="410" spans="1:20" x14ac:dyDescent="0.25">
      <c r="A410" s="5">
        <v>44183</v>
      </c>
      <c r="B410">
        <v>1904.2</v>
      </c>
      <c r="C410">
        <v>1912.74</v>
      </c>
      <c r="D410">
        <v>1885.5</v>
      </c>
      <c r="E410">
        <v>1896.39</v>
      </c>
      <c r="F410">
        <v>377.52623199999999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-0.20044052863435416</v>
      </c>
      <c r="Q410">
        <f t="shared" si="975"/>
        <v>-75.671557515415827</v>
      </c>
      <c r="R410">
        <f t="shared" si="976"/>
        <v>-1999.8250135626347</v>
      </c>
      <c r="S410">
        <f t="shared" si="977"/>
        <v>-1.9998250135626346E-2</v>
      </c>
      <c r="T410">
        <f t="shared" si="978"/>
        <v>-1.9998250135626344E-5</v>
      </c>
    </row>
    <row r="411" spans="1:20" x14ac:dyDescent="0.25">
      <c r="A411" s="5">
        <v>44182</v>
      </c>
      <c r="B411">
        <v>1869.78</v>
      </c>
      <c r="C411">
        <v>1915</v>
      </c>
      <c r="D411">
        <v>1865.33</v>
      </c>
      <c r="E411">
        <v>1902.02</v>
      </c>
      <c r="F411">
        <v>514.34812999999997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0.47735051338836321</v>
      </c>
      <c r="Q411">
        <f t="shared" si="975"/>
        <v>245.52434391584455</v>
      </c>
      <c r="R411">
        <f t="shared" si="976"/>
        <v>-1924.1534560472189</v>
      </c>
      <c r="S411">
        <f t="shared" si="977"/>
        <v>-1.9241534560472191E-2</v>
      </c>
      <c r="T411">
        <f t="shared" si="978"/>
        <v>-1.9241534560472189E-5</v>
      </c>
    </row>
    <row r="412" spans="1:20" x14ac:dyDescent="0.25">
      <c r="A412" s="5">
        <v>44181</v>
      </c>
      <c r="B412">
        <v>1863.34</v>
      </c>
      <c r="C412">
        <v>1878.59</v>
      </c>
      <c r="D412">
        <v>1855.27</v>
      </c>
      <c r="E412">
        <v>1869.4</v>
      </c>
      <c r="F412">
        <v>349.61378999999999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0.21183533447685657</v>
      </c>
      <c r="Q412">
        <f t="shared" si="975"/>
        <v>74.060554142371487</v>
      </c>
      <c r="R412">
        <f t="shared" si="976"/>
        <v>-2169.6777999630635</v>
      </c>
      <c r="S412">
        <f t="shared" si="977"/>
        <v>-2.1696777999630636E-2</v>
      </c>
      <c r="T412">
        <f t="shared" si="978"/>
        <v>-2.1696777999630635E-5</v>
      </c>
    </row>
    <row r="413" spans="1:20" x14ac:dyDescent="0.25">
      <c r="A413" s="5">
        <v>44180</v>
      </c>
      <c r="B413">
        <v>1841.97</v>
      </c>
      <c r="C413">
        <v>1868.7</v>
      </c>
      <c r="D413">
        <v>1837.55</v>
      </c>
      <c r="E413">
        <v>1861.99</v>
      </c>
      <c r="F413">
        <v>135.67998700000001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0.56918138041733435</v>
      </c>
      <c r="Q413">
        <f t="shared" si="975"/>
        <v>77.226522295665987</v>
      </c>
      <c r="R413">
        <f t="shared" si="976"/>
        <v>-2243.7383541054351</v>
      </c>
      <c r="S413">
        <f t="shared" si="977"/>
        <v>-2.2437383541054352E-2</v>
      </c>
      <c r="T413">
        <f t="shared" si="978"/>
        <v>-2.2437383541054353E-5</v>
      </c>
    </row>
    <row r="414" spans="1:20" x14ac:dyDescent="0.25">
      <c r="A414" s="5">
        <v>44179</v>
      </c>
      <c r="B414">
        <v>1850.64</v>
      </c>
      <c r="C414">
        <v>1851.4</v>
      </c>
      <c r="D414">
        <v>1834.93</v>
      </c>
      <c r="E414">
        <v>1841.5</v>
      </c>
      <c r="F414">
        <v>141.030574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-0.20218579234973583</v>
      </c>
      <c r="Q414">
        <f t="shared" si="975"/>
        <v>-28.514378349728052</v>
      </c>
      <c r="R414">
        <f t="shared" si="976"/>
        <v>-2320.9648764011013</v>
      </c>
      <c r="S414">
        <f t="shared" si="977"/>
        <v>-2.3209648764011014E-2</v>
      </c>
      <c r="T414">
        <f t="shared" si="978"/>
        <v>-2.3209648764011013E-5</v>
      </c>
    </row>
    <row r="415" spans="1:20" x14ac:dyDescent="0.25">
      <c r="A415" s="5">
        <v>44178</v>
      </c>
      <c r="B415">
        <v>1850.63</v>
      </c>
      <c r="C415">
        <v>1854.13</v>
      </c>
      <c r="D415">
        <v>1845</v>
      </c>
      <c r="E415">
        <v>1850.63</v>
      </c>
      <c r="F415">
        <v>125.843266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0.23329682365827861</v>
      </c>
      <c r="Q415">
        <f t="shared" si="975"/>
        <v>29.358834236583849</v>
      </c>
      <c r="R415">
        <f t="shared" si="976"/>
        <v>-2292.4504980513734</v>
      </c>
      <c r="S415">
        <f t="shared" si="977"/>
        <v>-2.2924504980513735E-2</v>
      </c>
      <c r="T415">
        <f t="shared" si="978"/>
        <v>-2.2924504980513733E-5</v>
      </c>
    </row>
    <row r="416" spans="1:20" x14ac:dyDescent="0.25">
      <c r="A416" s="5">
        <v>44177</v>
      </c>
      <c r="B416">
        <v>1846.53</v>
      </c>
      <c r="C416">
        <v>1853.02</v>
      </c>
      <c r="D416">
        <v>1842.85</v>
      </c>
      <c r="E416">
        <v>1850.58</v>
      </c>
      <c r="F416">
        <v>115.919393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0.52015732546705273</v>
      </c>
      <c r="Q416">
        <f t="shared" si="975"/>
        <v>60.296321432644191</v>
      </c>
      <c r="R416">
        <f t="shared" si="976"/>
        <v>-2321.8093322879572</v>
      </c>
      <c r="S416">
        <f t="shared" si="977"/>
        <v>-2.3218093322879572E-2</v>
      </c>
      <c r="T416">
        <f t="shared" si="978"/>
        <v>-2.3218093322879572E-5</v>
      </c>
    </row>
    <row r="417" spans="1:20" x14ac:dyDescent="0.25">
      <c r="A417" s="5">
        <v>44176</v>
      </c>
      <c r="B417">
        <v>1849.44</v>
      </c>
      <c r="C417">
        <v>1857.99</v>
      </c>
      <c r="D417">
        <v>1840</v>
      </c>
      <c r="E417">
        <v>1846.19</v>
      </c>
      <c r="F417">
        <v>261.16870899999998</v>
      </c>
      <c r="G417">
        <v>0</v>
      </c>
      <c r="L417" t="s">
        <v>8</v>
      </c>
      <c r="M417" t="s">
        <v>8</v>
      </c>
      <c r="N417" t="s">
        <v>8</v>
      </c>
      <c r="P417">
        <f t="shared" si="974"/>
        <v>-0.31183991106169523</v>
      </c>
      <c r="Q417">
        <f t="shared" si="975"/>
        <v>-81.442826986657749</v>
      </c>
      <c r="R417">
        <f t="shared" si="976"/>
        <v>-2382.1056537206014</v>
      </c>
      <c r="S417">
        <f t="shared" si="977"/>
        <v>-2.3821056537206012E-2</v>
      </c>
      <c r="T417">
        <f t="shared" si="978"/>
        <v>-2.3821056537206013E-5</v>
      </c>
    </row>
    <row r="418" spans="1:20" x14ac:dyDescent="0.25">
      <c r="A418" s="5">
        <v>44175</v>
      </c>
      <c r="B418">
        <v>1848.14</v>
      </c>
      <c r="C418">
        <v>1869.13</v>
      </c>
      <c r="D418">
        <v>1845.01</v>
      </c>
      <c r="E418">
        <v>1847.1</v>
      </c>
      <c r="F418">
        <v>232.18172899999999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-0.82669983416252835</v>
      </c>
      <c r="Q418">
        <f t="shared" si="975"/>
        <v>-191.94459685986908</v>
      </c>
      <c r="R418">
        <f t="shared" si="976"/>
        <v>-2300.6628267339438</v>
      </c>
      <c r="S418">
        <f t="shared" si="977"/>
        <v>-2.3006628267339436E-2</v>
      </c>
      <c r="T418">
        <f t="shared" si="978"/>
        <v>-2.3006628267339435E-5</v>
      </c>
    </row>
    <row r="419" spans="1:20" x14ac:dyDescent="0.25">
      <c r="A419" s="5">
        <v>44174</v>
      </c>
      <c r="B419">
        <v>1877.13</v>
      </c>
      <c r="C419">
        <v>1885.11</v>
      </c>
      <c r="D419">
        <v>1845</v>
      </c>
      <c r="E419">
        <v>1847.82</v>
      </c>
      <c r="F419">
        <v>393.875157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-0.85938668661182027</v>
      </c>
      <c r="Q419">
        <f t="shared" si="975"/>
        <v>-338.49106611294053</v>
      </c>
      <c r="R419">
        <f t="shared" si="976"/>
        <v>-2108.7182298740745</v>
      </c>
      <c r="S419">
        <f t="shared" si="977"/>
        <v>-2.1087182298740743E-2</v>
      </c>
      <c r="T419">
        <f t="shared" si="978"/>
        <v>-2.1087182298740742E-5</v>
      </c>
    </row>
    <row r="420" spans="1:20" x14ac:dyDescent="0.25">
      <c r="A420" s="5">
        <v>44173</v>
      </c>
      <c r="B420">
        <v>1877.68</v>
      </c>
      <c r="C420">
        <v>1888.52</v>
      </c>
      <c r="D420">
        <v>1864.28</v>
      </c>
      <c r="E420">
        <v>1876.48</v>
      </c>
      <c r="F420">
        <v>449.43636500000002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6.6006600660099748E-3</v>
      </c>
      <c r="Q420">
        <f t="shared" si="975"/>
        <v>2.9665766666681832</v>
      </c>
      <c r="R420">
        <f t="shared" si="976"/>
        <v>-1770.2271637611341</v>
      </c>
      <c r="S420">
        <f t="shared" si="977"/>
        <v>-1.7702271637611341E-2</v>
      </c>
      <c r="T420">
        <f t="shared" si="978"/>
        <v>-1.7702271637611341E-5</v>
      </c>
    </row>
    <row r="421" spans="1:20" x14ac:dyDescent="0.25">
      <c r="A421" s="5">
        <v>44172</v>
      </c>
      <c r="B421">
        <v>1840.86</v>
      </c>
      <c r="C421">
        <v>1893.24</v>
      </c>
      <c r="D421">
        <v>1835</v>
      </c>
      <c r="E421">
        <v>1879.19</v>
      </c>
      <c r="F421">
        <v>376.27631100000002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0.51751373626373787</v>
      </c>
      <c r="Q421">
        <f t="shared" si="975"/>
        <v>194.72815957314623</v>
      </c>
      <c r="R421">
        <f t="shared" si="976"/>
        <v>-1773.1937404278024</v>
      </c>
      <c r="S421">
        <f t="shared" si="977"/>
        <v>-1.7731937404278024E-2</v>
      </c>
      <c r="T421">
        <f t="shared" si="978"/>
        <v>-1.7731937404278024E-5</v>
      </c>
    </row>
    <row r="422" spans="1:20" x14ac:dyDescent="0.25">
      <c r="A422" s="5">
        <v>44171</v>
      </c>
      <c r="B422">
        <v>1850.39</v>
      </c>
      <c r="C422">
        <v>1852.98</v>
      </c>
      <c r="D422">
        <v>1840.51</v>
      </c>
      <c r="E422">
        <v>1840.79</v>
      </c>
      <c r="F422">
        <v>209.22396699999999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-0.95509222133119931</v>
      </c>
      <c r="Q422">
        <f t="shared" si="975"/>
        <v>-199.82818339775554</v>
      </c>
      <c r="R422">
        <f t="shared" si="976"/>
        <v>-1967.9219000009487</v>
      </c>
      <c r="S422">
        <f t="shared" si="977"/>
        <v>-1.9679219000009487E-2</v>
      </c>
      <c r="T422">
        <f t="shared" si="978"/>
        <v>-1.9679219000009488E-5</v>
      </c>
    </row>
    <row r="423" spans="1:20" x14ac:dyDescent="0.25">
      <c r="A423" s="5">
        <v>44170</v>
      </c>
      <c r="B423">
        <v>1844.68</v>
      </c>
      <c r="C423">
        <v>1863</v>
      </c>
      <c r="D423">
        <v>1839.87</v>
      </c>
      <c r="E423">
        <v>1850.38</v>
      </c>
      <c r="F423">
        <v>231.96445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-9.1223519239068851E-2</v>
      </c>
      <c r="Q423">
        <f t="shared" si="975"/>
        <v>-21.160613467355024</v>
      </c>
      <c r="R423">
        <f t="shared" si="976"/>
        <v>-1768.0937166031931</v>
      </c>
      <c r="S423">
        <f t="shared" si="977"/>
        <v>-1.7680937166031932E-2</v>
      </c>
      <c r="T423">
        <f t="shared" si="978"/>
        <v>-1.7680937166031932E-5</v>
      </c>
    </row>
    <row r="424" spans="1:20" x14ac:dyDescent="0.25">
      <c r="A424" s="5">
        <v>44169</v>
      </c>
      <c r="B424">
        <v>1856.19</v>
      </c>
      <c r="C424">
        <v>1858</v>
      </c>
      <c r="D424">
        <v>1840</v>
      </c>
      <c r="E424">
        <v>1843.03</v>
      </c>
      <c r="F424">
        <v>344.98986600000001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-0.66333333333333633</v>
      </c>
      <c r="Q424">
        <f t="shared" si="975"/>
        <v>-228.84327778000105</v>
      </c>
      <c r="R424">
        <f t="shared" si="976"/>
        <v>-1746.9331031358381</v>
      </c>
      <c r="S424">
        <f t="shared" si="977"/>
        <v>-1.7469331031358382E-2</v>
      </c>
      <c r="T424">
        <f t="shared" si="978"/>
        <v>-1.7469331031358383E-5</v>
      </c>
    </row>
    <row r="425" spans="1:20" x14ac:dyDescent="0.25">
      <c r="A425" s="5">
        <v>44168</v>
      </c>
      <c r="B425">
        <v>1842.7</v>
      </c>
      <c r="C425">
        <v>1858</v>
      </c>
      <c r="D425">
        <v>1836.04</v>
      </c>
      <c r="E425">
        <v>1857</v>
      </c>
      <c r="F425">
        <v>298.97426300000001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0.90892531876138449</v>
      </c>
      <c r="Q425">
        <f t="shared" si="975"/>
        <v>271.745277298725</v>
      </c>
      <c r="R425">
        <f t="shared" si="976"/>
        <v>-1518.0898253558371</v>
      </c>
      <c r="S425">
        <f t="shared" si="977"/>
        <v>-1.518089825355837E-2</v>
      </c>
      <c r="T425">
        <f t="shared" si="978"/>
        <v>-1.5180898253558371E-5</v>
      </c>
    </row>
    <row r="426" spans="1:20" x14ac:dyDescent="0.25">
      <c r="A426" s="5">
        <v>44167</v>
      </c>
      <c r="B426">
        <v>1834.95</v>
      </c>
      <c r="C426">
        <v>1859.99</v>
      </c>
      <c r="D426">
        <v>1822.03</v>
      </c>
      <c r="E426">
        <v>1843.7</v>
      </c>
      <c r="F426">
        <v>410.87210499999998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0.14172813487882255</v>
      </c>
      <c r="Q426">
        <f t="shared" si="975"/>
        <v>58.23213711538574</v>
      </c>
      <c r="R426">
        <f t="shared" si="976"/>
        <v>-1789.835102654562</v>
      </c>
      <c r="S426">
        <f t="shared" si="977"/>
        <v>-1.789835102654562E-2</v>
      </c>
      <c r="T426">
        <f t="shared" si="978"/>
        <v>-1.789835102654562E-5</v>
      </c>
    </row>
    <row r="427" spans="1:20" x14ac:dyDescent="0.25">
      <c r="A427" s="5">
        <v>44166</v>
      </c>
      <c r="B427">
        <v>1796.33</v>
      </c>
      <c r="C427">
        <v>1859.52</v>
      </c>
      <c r="D427">
        <v>1794.96</v>
      </c>
      <c r="E427">
        <v>1839.32</v>
      </c>
      <c r="F427">
        <v>520.11933499999998</v>
      </c>
      <c r="G427">
        <v>0</v>
      </c>
      <c r="L427" t="s">
        <v>7</v>
      </c>
      <c r="M427" t="s">
        <v>8</v>
      </c>
      <c r="N427" t="s">
        <v>8</v>
      </c>
      <c r="P427">
        <f t="shared" si="974"/>
        <v>0.37422552664188158</v>
      </c>
      <c r="Q427">
        <f t="shared" si="975"/>
        <v>194.64193205700022</v>
      </c>
      <c r="R427">
        <f t="shared" si="976"/>
        <v>-1848.0672397699477</v>
      </c>
      <c r="S427">
        <f t="shared" si="977"/>
        <v>-1.8480672397699478E-2</v>
      </c>
      <c r="T427">
        <f t="shared" si="978"/>
        <v>-1.8480672397699476E-5</v>
      </c>
    </row>
    <row r="428" spans="1:20" x14ac:dyDescent="0.25">
      <c r="A428" s="5">
        <v>44165</v>
      </c>
      <c r="B428">
        <v>1799.72</v>
      </c>
      <c r="C428">
        <v>1822.89</v>
      </c>
      <c r="D428">
        <v>1777.56</v>
      </c>
      <c r="E428">
        <v>1797.62</v>
      </c>
      <c r="F428">
        <v>459.33392700000002</v>
      </c>
      <c r="G428">
        <v>0</v>
      </c>
      <c r="L428" t="s">
        <v>7</v>
      </c>
      <c r="M428" t="s">
        <v>8</v>
      </c>
      <c r="N428" t="s">
        <v>8</v>
      </c>
      <c r="P428">
        <f t="shared" si="974"/>
        <v>-0.11493492168542348</v>
      </c>
      <c r="Q428">
        <f t="shared" si="975"/>
        <v>-52.793508927203028</v>
      </c>
      <c r="R428">
        <f t="shared" si="976"/>
        <v>-2042.709171826948</v>
      </c>
      <c r="S428">
        <f t="shared" si="977"/>
        <v>-2.042709171826948E-2</v>
      </c>
      <c r="T428">
        <f t="shared" si="978"/>
        <v>-2.042709171826948E-5</v>
      </c>
    </row>
    <row r="429" spans="1:20" x14ac:dyDescent="0.25">
      <c r="A429" s="5">
        <v>44164</v>
      </c>
      <c r="B429">
        <v>1798.91</v>
      </c>
      <c r="C429">
        <v>1805.7</v>
      </c>
      <c r="D429">
        <v>1790</v>
      </c>
      <c r="E429">
        <v>1799.72</v>
      </c>
      <c r="F429">
        <v>245.87070399999999</v>
      </c>
      <c r="G429">
        <v>0</v>
      </c>
      <c r="L429" t="s">
        <v>7</v>
      </c>
      <c r="M429" t="s">
        <v>8</v>
      </c>
      <c r="N429" t="s">
        <v>8</v>
      </c>
      <c r="P429">
        <f t="shared" si="974"/>
        <v>0.23821656050955403</v>
      </c>
      <c r="Q429">
        <f t="shared" si="975"/>
        <v>58.570473436942649</v>
      </c>
      <c r="R429">
        <f t="shared" si="976"/>
        <v>-1989.915662899745</v>
      </c>
      <c r="S429">
        <f t="shared" si="977"/>
        <v>-1.9899156628997449E-2</v>
      </c>
      <c r="T429">
        <f t="shared" si="978"/>
        <v>-1.9899156628997448E-5</v>
      </c>
    </row>
    <row r="430" spans="1:20" x14ac:dyDescent="0.25">
      <c r="A430" s="5">
        <v>44163</v>
      </c>
      <c r="B430">
        <v>1800.2</v>
      </c>
      <c r="C430">
        <v>1806.78</v>
      </c>
      <c r="D430">
        <v>1792.03</v>
      </c>
      <c r="E430">
        <v>1797.1</v>
      </c>
      <c r="F430">
        <v>233.39276699999999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-0.31254237288136455</v>
      </c>
      <c r="Q430">
        <f t="shared" si="975"/>
        <v>-72.94512921152743</v>
      </c>
      <c r="R430">
        <f t="shared" si="976"/>
        <v>-2048.4861363366877</v>
      </c>
      <c r="S430">
        <f t="shared" si="977"/>
        <v>-2.0484861363366875E-2</v>
      </c>
      <c r="T430">
        <f t="shared" si="978"/>
        <v>-2.0484861363366876E-5</v>
      </c>
    </row>
    <row r="431" spans="1:20" x14ac:dyDescent="0.25">
      <c r="A431" s="5">
        <v>44162</v>
      </c>
      <c r="B431">
        <v>1826.68</v>
      </c>
      <c r="C431">
        <v>1831.22</v>
      </c>
      <c r="D431">
        <v>1783</v>
      </c>
      <c r="E431">
        <v>1800.15</v>
      </c>
      <c r="F431">
        <v>393.732911</v>
      </c>
      <c r="G431">
        <v>0</v>
      </c>
      <c r="L431" t="s">
        <v>7</v>
      </c>
      <c r="M431" t="s">
        <v>8</v>
      </c>
      <c r="N431" t="s">
        <v>8</v>
      </c>
      <c r="P431">
        <f t="shared" si="974"/>
        <v>-0.28867689755287923</v>
      </c>
      <c r="Q431">
        <f t="shared" si="975"/>
        <v>-113.66159521194392</v>
      </c>
      <c r="R431">
        <f t="shared" si="976"/>
        <v>-1975.5410071251601</v>
      </c>
      <c r="S431">
        <f t="shared" si="977"/>
        <v>-1.9755410071251603E-2</v>
      </c>
      <c r="T431">
        <f t="shared" si="978"/>
        <v>-1.9755410071251603E-5</v>
      </c>
    </row>
    <row r="432" spans="1:20" x14ac:dyDescent="0.25">
      <c r="A432" s="5">
        <v>44161</v>
      </c>
      <c r="B432">
        <v>1824.07</v>
      </c>
      <c r="C432">
        <v>1870</v>
      </c>
      <c r="D432">
        <v>1810</v>
      </c>
      <c r="E432">
        <v>1825.87</v>
      </c>
      <c r="F432">
        <v>1159.8695700000001</v>
      </c>
      <c r="G432">
        <v>0</v>
      </c>
      <c r="L432" t="s">
        <v>7</v>
      </c>
      <c r="M432" t="s">
        <v>8</v>
      </c>
      <c r="N432" t="s">
        <v>8</v>
      </c>
      <c r="P432">
        <f t="shared" si="974"/>
        <v>-0.47100000000000364</v>
      </c>
      <c r="Q432">
        <f t="shared" si="975"/>
        <v>-546.29856747000429</v>
      </c>
      <c r="R432">
        <f t="shared" si="976"/>
        <v>-1861.8794119132162</v>
      </c>
      <c r="S432">
        <f t="shared" si="977"/>
        <v>-1.8618794119132163E-2</v>
      </c>
      <c r="T432">
        <f t="shared" si="978"/>
        <v>-1.8618794119132164E-5</v>
      </c>
    </row>
    <row r="433" spans="1:20" x14ac:dyDescent="0.25">
      <c r="A433" s="5">
        <v>44160</v>
      </c>
      <c r="B433">
        <v>1830.77</v>
      </c>
      <c r="C433">
        <v>1845.89</v>
      </c>
      <c r="D433">
        <v>1812.12</v>
      </c>
      <c r="E433">
        <v>1823</v>
      </c>
      <c r="F433">
        <v>396.00659300000001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-0.35564110156943785</v>
      </c>
      <c r="Q433">
        <f t="shared" si="975"/>
        <v>-140.83622096328003</v>
      </c>
      <c r="R433">
        <f t="shared" si="976"/>
        <v>-1315.5808444432121</v>
      </c>
      <c r="S433">
        <f t="shared" si="977"/>
        <v>-1.3155808444432121E-2</v>
      </c>
      <c r="T433">
        <f t="shared" si="978"/>
        <v>-1.3155808444432122E-5</v>
      </c>
    </row>
    <row r="434" spans="1:20" x14ac:dyDescent="0.25">
      <c r="A434" s="5">
        <v>44159</v>
      </c>
      <c r="B434">
        <v>1853.98</v>
      </c>
      <c r="C434">
        <v>1855.21</v>
      </c>
      <c r="D434">
        <v>1821</v>
      </c>
      <c r="E434">
        <v>1825.06</v>
      </c>
      <c r="F434">
        <v>560.67968099999996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-0.76264250219234486</v>
      </c>
      <c r="Q434">
        <f t="shared" si="975"/>
        <v>-427.59815484624568</v>
      </c>
      <c r="R434">
        <f t="shared" si="976"/>
        <v>-1174.744623479932</v>
      </c>
      <c r="S434">
        <f t="shared" si="977"/>
        <v>-1.1747446234799321E-2</v>
      </c>
      <c r="T434">
        <f t="shared" si="978"/>
        <v>-1.174744623479932E-5</v>
      </c>
    </row>
    <row r="435" spans="1:20" x14ac:dyDescent="0.25">
      <c r="A435" s="5">
        <v>44158</v>
      </c>
      <c r="B435">
        <v>1879.63</v>
      </c>
      <c r="C435">
        <v>1888.01</v>
      </c>
      <c r="D435">
        <v>1845</v>
      </c>
      <c r="E435">
        <v>1854.55</v>
      </c>
      <c r="F435">
        <v>333.968322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-0.55591722855150172</v>
      </c>
      <c r="Q435">
        <f t="shared" si="975"/>
        <v>-185.65874399023551</v>
      </c>
      <c r="R435">
        <f t="shared" si="976"/>
        <v>-747.14646863368625</v>
      </c>
      <c r="S435">
        <f t="shared" si="977"/>
        <v>-7.4714646863368629E-3</v>
      </c>
      <c r="T435">
        <f t="shared" si="978"/>
        <v>-7.4714646863368629E-6</v>
      </c>
    </row>
    <row r="436" spans="1:20" x14ac:dyDescent="0.25">
      <c r="A436" s="5">
        <v>44157</v>
      </c>
      <c r="B436">
        <v>1884.14</v>
      </c>
      <c r="C436">
        <v>1887.86</v>
      </c>
      <c r="D436">
        <v>1878</v>
      </c>
      <c r="E436">
        <v>1880.14</v>
      </c>
      <c r="F436">
        <v>207.83979600000001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-0.5659229208924702</v>
      </c>
      <c r="Q436">
        <f t="shared" si="975"/>
        <v>-117.62130443001514</v>
      </c>
      <c r="R436">
        <f t="shared" si="976"/>
        <v>-561.48772464345075</v>
      </c>
      <c r="S436">
        <f t="shared" si="977"/>
        <v>-5.6148772464345072E-3</v>
      </c>
      <c r="T436">
        <f t="shared" si="978"/>
        <v>-5.6148772464345076E-6</v>
      </c>
    </row>
    <row r="437" spans="1:20" x14ac:dyDescent="0.25">
      <c r="A437" s="5">
        <v>44156</v>
      </c>
      <c r="B437">
        <v>1885.43</v>
      </c>
      <c r="C437">
        <v>1891.59</v>
      </c>
      <c r="D437">
        <v>1875.7</v>
      </c>
      <c r="E437">
        <v>1883.86</v>
      </c>
      <c r="F437">
        <v>213.89414300000001</v>
      </c>
      <c r="G437">
        <v>0</v>
      </c>
      <c r="L437" t="s">
        <v>7</v>
      </c>
      <c r="M437" t="s">
        <v>8</v>
      </c>
      <c r="N437" t="s">
        <v>8</v>
      </c>
      <c r="P437">
        <f t="shared" si="974"/>
        <v>2.7061044682179972E-2</v>
      </c>
      <c r="Q437">
        <f t="shared" si="975"/>
        <v>5.7881989609795932</v>
      </c>
      <c r="R437">
        <f t="shared" si="976"/>
        <v>-443.86642021343562</v>
      </c>
      <c r="S437">
        <f t="shared" si="977"/>
        <v>-4.4386642021343563E-3</v>
      </c>
      <c r="T437">
        <f t="shared" si="978"/>
        <v>-4.4386642021343563E-6</v>
      </c>
    </row>
    <row r="438" spans="1:20" x14ac:dyDescent="0.25">
      <c r="A438" s="5">
        <v>44155</v>
      </c>
      <c r="B438">
        <v>1870.19</v>
      </c>
      <c r="C438">
        <v>1897.83</v>
      </c>
      <c r="D438">
        <v>1868.01</v>
      </c>
      <c r="E438">
        <v>1883.34</v>
      </c>
      <c r="F438">
        <v>334.91237100000001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2.8169014084504358E-2</v>
      </c>
      <c r="Q438">
        <f t="shared" si="975"/>
        <v>9.4341512957737486</v>
      </c>
      <c r="R438">
        <f t="shared" si="976"/>
        <v>-449.65461917441519</v>
      </c>
      <c r="S438">
        <f t="shared" si="977"/>
        <v>-4.4965461917441515E-3</v>
      </c>
      <c r="T438">
        <f t="shared" si="978"/>
        <v>-4.4965461917441519E-6</v>
      </c>
    </row>
    <row r="439" spans="1:20" x14ac:dyDescent="0.25">
      <c r="A439" s="5">
        <v>44154</v>
      </c>
      <c r="B439">
        <v>1881.72</v>
      </c>
      <c r="C439">
        <v>1883.86</v>
      </c>
      <c r="D439">
        <v>1866.28</v>
      </c>
      <c r="E439">
        <v>1870.28</v>
      </c>
      <c r="F439">
        <v>260.62669799999998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-0.54493742889647134</v>
      </c>
      <c r="Q439">
        <f t="shared" si="975"/>
        <v>-142.0252427098971</v>
      </c>
      <c r="R439">
        <f t="shared" si="976"/>
        <v>-459.08877047018893</v>
      </c>
      <c r="S439">
        <f t="shared" si="977"/>
        <v>-4.5908877047018889E-3</v>
      </c>
      <c r="T439">
        <f t="shared" si="978"/>
        <v>-4.5908877047018886E-6</v>
      </c>
    </row>
    <row r="440" spans="1:20" x14ac:dyDescent="0.25">
      <c r="A440" s="5">
        <v>44153</v>
      </c>
      <c r="B440">
        <v>1901.12</v>
      </c>
      <c r="C440">
        <v>1907.75</v>
      </c>
      <c r="D440">
        <v>1871.99</v>
      </c>
      <c r="E440">
        <v>1881.73</v>
      </c>
      <c r="F440">
        <v>398.97404699999998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-0.45525727069351168</v>
      </c>
      <c r="Q440">
        <f t="shared" si="975"/>
        <v>-181.63583571476485</v>
      </c>
      <c r="R440">
        <f t="shared" si="976"/>
        <v>-317.06352776029183</v>
      </c>
      <c r="S440">
        <f t="shared" si="977"/>
        <v>-3.1706352776029183E-3</v>
      </c>
      <c r="T440">
        <f t="shared" si="978"/>
        <v>-3.1706352776029182E-6</v>
      </c>
    </row>
    <row r="441" spans="1:20" x14ac:dyDescent="0.25">
      <c r="A441" s="5">
        <v>44152</v>
      </c>
      <c r="B441">
        <v>1905.35</v>
      </c>
      <c r="C441">
        <v>1910.92</v>
      </c>
      <c r="D441">
        <v>1890</v>
      </c>
      <c r="E441">
        <v>1901.04</v>
      </c>
      <c r="F441">
        <v>261.14460800000001</v>
      </c>
      <c r="G441">
        <v>0</v>
      </c>
      <c r="L441" t="s">
        <v>7</v>
      </c>
      <c r="M441" t="s">
        <v>8</v>
      </c>
      <c r="N441" t="s">
        <v>8</v>
      </c>
      <c r="P441">
        <f t="shared" si="974"/>
        <v>5.5449330783931668E-2</v>
      </c>
      <c r="Q441">
        <f t="shared" si="975"/>
        <v>14.480293751432168</v>
      </c>
      <c r="R441">
        <f t="shared" si="976"/>
        <v>-135.42769204552698</v>
      </c>
      <c r="S441">
        <f t="shared" si="977"/>
        <v>-1.3542769204552699E-3</v>
      </c>
      <c r="T441">
        <f t="shared" si="978"/>
        <v>-1.3542769204552699E-6</v>
      </c>
    </row>
    <row r="442" spans="1:20" x14ac:dyDescent="0.25">
      <c r="A442" s="5">
        <v>44151</v>
      </c>
      <c r="B442">
        <v>1900.97</v>
      </c>
      <c r="C442">
        <v>1908.78</v>
      </c>
      <c r="D442">
        <v>1884.03</v>
      </c>
      <c r="E442">
        <v>1905.35</v>
      </c>
      <c r="F442">
        <v>293.33160800000002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0.72282828282827771</v>
      </c>
      <c r="Q442">
        <f t="shared" si="975"/>
        <v>212.02838250989751</v>
      </c>
      <c r="R442">
        <f t="shared" si="976"/>
        <v>-149.90798579695914</v>
      </c>
      <c r="S442">
        <f t="shared" si="977"/>
        <v>-1.4990798579695914E-3</v>
      </c>
      <c r="T442">
        <f t="shared" si="978"/>
        <v>-1.4990798579695913E-6</v>
      </c>
    </row>
    <row r="443" spans="1:20" x14ac:dyDescent="0.25">
      <c r="A443" s="5">
        <v>44150</v>
      </c>
      <c r="B443">
        <v>1899.72</v>
      </c>
      <c r="C443">
        <v>1907.49</v>
      </c>
      <c r="D443">
        <v>1897.46</v>
      </c>
      <c r="E443">
        <v>1900.07</v>
      </c>
      <c r="F443">
        <v>71.687899999999999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-0.47956131605186297</v>
      </c>
      <c r="Q443">
        <f t="shared" si="975"/>
        <v>-34.378743668994346</v>
      </c>
      <c r="R443">
        <f t="shared" si="976"/>
        <v>-361.93636830685665</v>
      </c>
      <c r="S443">
        <f t="shared" si="977"/>
        <v>-3.6193636830685666E-3</v>
      </c>
      <c r="T443">
        <f t="shared" si="978"/>
        <v>-3.6193636830685666E-6</v>
      </c>
    </row>
    <row r="444" spans="1:20" x14ac:dyDescent="0.25">
      <c r="A444" s="5">
        <v>44149</v>
      </c>
      <c r="B444">
        <v>1901.71</v>
      </c>
      <c r="C444">
        <v>1910.25</v>
      </c>
      <c r="D444">
        <v>1899.96</v>
      </c>
      <c r="E444">
        <v>1900.38</v>
      </c>
      <c r="F444">
        <v>174.760739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-0.9183673469387611</v>
      </c>
      <c r="Q444">
        <f t="shared" si="975"/>
        <v>-160.49455622448727</v>
      </c>
      <c r="R444">
        <f t="shared" si="976"/>
        <v>-327.55762463786232</v>
      </c>
      <c r="S444">
        <f t="shared" si="977"/>
        <v>-3.2755762463786233E-3</v>
      </c>
      <c r="T444">
        <f t="shared" si="978"/>
        <v>-3.2755762463786234E-6</v>
      </c>
    </row>
    <row r="445" spans="1:20" x14ac:dyDescent="0.25">
      <c r="A445" s="5">
        <v>44148</v>
      </c>
      <c r="B445">
        <v>1894.15</v>
      </c>
      <c r="C445">
        <v>1907.53</v>
      </c>
      <c r="D445">
        <v>1889.4</v>
      </c>
      <c r="E445">
        <v>1903</v>
      </c>
      <c r="F445">
        <v>174.24916099999999</v>
      </c>
      <c r="G445">
        <v>0</v>
      </c>
      <c r="L445" t="s">
        <v>7</v>
      </c>
      <c r="M445" t="s">
        <v>8</v>
      </c>
      <c r="N445" t="s">
        <v>8</v>
      </c>
      <c r="P445">
        <f t="shared" si="974"/>
        <v>0.5002757859900715</v>
      </c>
      <c r="Q445">
        <f t="shared" si="975"/>
        <v>87.172635977385511</v>
      </c>
      <c r="R445">
        <f t="shared" si="976"/>
        <v>-167.06306841337502</v>
      </c>
      <c r="S445">
        <f t="shared" si="977"/>
        <v>-1.6706306841337503E-3</v>
      </c>
      <c r="T445">
        <f t="shared" si="978"/>
        <v>-1.6706306841337504E-6</v>
      </c>
    </row>
    <row r="446" spans="1:20" x14ac:dyDescent="0.25">
      <c r="A446" s="5">
        <v>44147</v>
      </c>
      <c r="B446">
        <v>1879.3</v>
      </c>
      <c r="C446">
        <v>1900</v>
      </c>
      <c r="D446">
        <v>1873.22</v>
      </c>
      <c r="E446">
        <v>1893.91</v>
      </c>
      <c r="F446">
        <v>174.95588900000001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0.54518297236744406</v>
      </c>
      <c r="Q446">
        <f t="shared" si="975"/>
        <v>95.382971598208613</v>
      </c>
      <c r="R446">
        <f t="shared" si="976"/>
        <v>-254.23570439076053</v>
      </c>
      <c r="S446">
        <f t="shared" si="977"/>
        <v>-2.5423570439076053E-3</v>
      </c>
      <c r="T446">
        <f t="shared" si="978"/>
        <v>-2.5423570439076053E-6</v>
      </c>
    </row>
    <row r="447" spans="1:20" x14ac:dyDescent="0.25">
      <c r="A447" s="5">
        <v>44146</v>
      </c>
      <c r="B447">
        <v>1894</v>
      </c>
      <c r="C447">
        <v>1903.85</v>
      </c>
      <c r="D447">
        <v>1850.09</v>
      </c>
      <c r="E447">
        <v>1879.3</v>
      </c>
      <c r="F447">
        <v>298.17232799999999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8.6681547619049157E-2</v>
      </c>
      <c r="Q447">
        <f t="shared" si="975"/>
        <v>25.846038848214743</v>
      </c>
      <c r="R447">
        <f t="shared" si="976"/>
        <v>-349.61867598896913</v>
      </c>
      <c r="S447">
        <f t="shared" si="977"/>
        <v>-3.4961867598896912E-3</v>
      </c>
      <c r="T447">
        <f t="shared" si="978"/>
        <v>-3.4961867598896912E-6</v>
      </c>
    </row>
    <row r="448" spans="1:20" x14ac:dyDescent="0.25">
      <c r="A448" s="5">
        <v>44145</v>
      </c>
      <c r="B448">
        <v>1887.51</v>
      </c>
      <c r="C448">
        <v>1922.81</v>
      </c>
      <c r="D448">
        <v>1877.85</v>
      </c>
      <c r="E448">
        <v>1894</v>
      </c>
      <c r="F448">
        <v>271.47675900000002</v>
      </c>
      <c r="G448">
        <v>0</v>
      </c>
      <c r="L448" t="s">
        <v>7</v>
      </c>
      <c r="M448" t="s">
        <v>8</v>
      </c>
      <c r="N448" t="s">
        <v>8</v>
      </c>
      <c r="P448">
        <f t="shared" si="974"/>
        <v>-0.28158362989323499</v>
      </c>
      <c r="Q448">
        <f t="shared" si="975"/>
        <v>-76.44341123087095</v>
      </c>
      <c r="R448">
        <f t="shared" si="976"/>
        <v>-375.46471483718386</v>
      </c>
      <c r="S448">
        <f t="shared" si="977"/>
        <v>-3.7546471483718385E-3</v>
      </c>
      <c r="T448">
        <f t="shared" si="978"/>
        <v>-3.7546471483718385E-6</v>
      </c>
    </row>
    <row r="449" spans="1:20" x14ac:dyDescent="0.25">
      <c r="A449" s="5">
        <v>44144</v>
      </c>
      <c r="B449">
        <v>1968.13</v>
      </c>
      <c r="C449">
        <v>1978.06</v>
      </c>
      <c r="D449">
        <v>1865.51</v>
      </c>
      <c r="E449">
        <v>1879.47</v>
      </c>
      <c r="F449">
        <v>655.28426999999999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-0.7519324744557967</v>
      </c>
      <c r="Q449">
        <f t="shared" si="975"/>
        <v>-492.7295226130604</v>
      </c>
      <c r="R449">
        <f t="shared" si="976"/>
        <v>-299.02130360631293</v>
      </c>
      <c r="S449">
        <f t="shared" si="977"/>
        <v>-2.9902130360631293E-3</v>
      </c>
      <c r="T449">
        <f t="shared" si="978"/>
        <v>-2.9902130360631294E-6</v>
      </c>
    </row>
    <row r="450" spans="1:20" x14ac:dyDescent="0.25">
      <c r="A450" s="5">
        <v>44143</v>
      </c>
      <c r="B450">
        <v>1957.67</v>
      </c>
      <c r="C450">
        <v>1968.13</v>
      </c>
      <c r="D450">
        <v>1950.54</v>
      </c>
      <c r="E450">
        <v>1968.13</v>
      </c>
      <c r="F450">
        <v>136.702697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1</v>
      </c>
      <c r="Q450">
        <f t="shared" si="975"/>
        <v>136.702697</v>
      </c>
      <c r="R450">
        <f t="shared" si="976"/>
        <v>193.70821900674744</v>
      </c>
      <c r="S450">
        <f t="shared" si="977"/>
        <v>1.9370821900674745E-3</v>
      </c>
      <c r="T450">
        <f t="shared" si="978"/>
        <v>1.9370821900674747E-6</v>
      </c>
    </row>
    <row r="451" spans="1:20" x14ac:dyDescent="0.25">
      <c r="A451" s="5">
        <v>44142</v>
      </c>
      <c r="B451">
        <v>1956.39</v>
      </c>
      <c r="C451">
        <v>1967.78</v>
      </c>
      <c r="D451">
        <v>1945.95</v>
      </c>
      <c r="E451">
        <v>1961.21</v>
      </c>
      <c r="F451">
        <v>208.57804300000001</v>
      </c>
      <c r="G451">
        <v>0</v>
      </c>
      <c r="L451" t="s">
        <v>7</v>
      </c>
      <c r="M451" t="s">
        <v>8</v>
      </c>
      <c r="N451" t="s">
        <v>8</v>
      </c>
      <c r="P451">
        <f t="shared" si="974"/>
        <v>0.39807604214384257</v>
      </c>
      <c r="Q451">
        <f t="shared" si="975"/>
        <v>83.029921835548208</v>
      </c>
      <c r="R451">
        <f t="shared" si="976"/>
        <v>57.005522006747448</v>
      </c>
      <c r="S451">
        <f t="shared" si="977"/>
        <v>5.7005522006747453E-4</v>
      </c>
      <c r="T451">
        <f t="shared" si="978"/>
        <v>5.7005522006747457E-7</v>
      </c>
    </row>
    <row r="452" spans="1:20" x14ac:dyDescent="0.25">
      <c r="A452" s="5">
        <v>44141</v>
      </c>
      <c r="B452">
        <v>1953.84</v>
      </c>
      <c r="C452">
        <v>1971.32</v>
      </c>
      <c r="D452">
        <v>1940.72</v>
      </c>
      <c r="E452">
        <v>1954.28</v>
      </c>
      <c r="F452">
        <v>210.688174</v>
      </c>
      <c r="G452">
        <v>0</v>
      </c>
      <c r="L452" t="s">
        <v>7</v>
      </c>
      <c r="M452" t="s">
        <v>8</v>
      </c>
      <c r="N452" t="s">
        <v>8</v>
      </c>
      <c r="P452">
        <f t="shared" si="974"/>
        <v>-0.11372549019607936</v>
      </c>
      <c r="Q452">
        <f t="shared" si="975"/>
        <v>-23.960615866666863</v>
      </c>
      <c r="R452">
        <f t="shared" si="976"/>
        <v>-26.02439982880076</v>
      </c>
      <c r="S452">
        <f t="shared" si="977"/>
        <v>-2.6024399828800761E-4</v>
      </c>
      <c r="T452">
        <f t="shared" si="978"/>
        <v>-2.6024399828800762E-7</v>
      </c>
    </row>
    <row r="453" spans="1:20" x14ac:dyDescent="0.25">
      <c r="A453" s="5">
        <v>44140</v>
      </c>
      <c r="B453">
        <v>1917.26</v>
      </c>
      <c r="C453">
        <v>1965.86</v>
      </c>
      <c r="D453">
        <v>1905</v>
      </c>
      <c r="E453">
        <v>1958.72</v>
      </c>
      <c r="F453">
        <v>222.46031099999999</v>
      </c>
      <c r="G453">
        <v>0</v>
      </c>
      <c r="L453" t="s">
        <v>7</v>
      </c>
      <c r="M453" t="s">
        <v>8</v>
      </c>
      <c r="N453" t="s">
        <v>8</v>
      </c>
      <c r="P453">
        <f t="shared" si="974"/>
        <v>0.76536312849162391</v>
      </c>
      <c r="Q453">
        <f t="shared" si="975"/>
        <v>170.2629195921796</v>
      </c>
      <c r="R453">
        <f t="shared" si="976"/>
        <v>-2.0637839621338969</v>
      </c>
      <c r="S453">
        <f t="shared" si="977"/>
        <v>-2.063783962133897E-5</v>
      </c>
      <c r="T453">
        <f t="shared" si="978"/>
        <v>-2.0637839621338968E-8</v>
      </c>
    </row>
    <row r="454" spans="1:20" x14ac:dyDescent="0.25">
      <c r="A454" s="5">
        <v>44139</v>
      </c>
      <c r="B454">
        <v>1925.77</v>
      </c>
      <c r="C454">
        <v>1929.99</v>
      </c>
      <c r="D454">
        <v>1893.47</v>
      </c>
      <c r="E454">
        <v>1917.26</v>
      </c>
      <c r="F454">
        <v>182.22399100000001</v>
      </c>
      <c r="G454">
        <v>0</v>
      </c>
      <c r="L454" t="s">
        <v>7</v>
      </c>
      <c r="M454" t="s">
        <v>8</v>
      </c>
      <c r="N454" t="s">
        <v>8</v>
      </c>
      <c r="P454">
        <f t="shared" ref="P454:P517" si="979">IF(C454=D454,0,((E454-D454)-(C454-E454))/(C454-D454))</f>
        <v>0.3028477546549822</v>
      </c>
      <c r="Q454">
        <f t="shared" ref="Q454:Q517" si="980">F454*P454</f>
        <v>55.186126518619687</v>
      </c>
      <c r="R454">
        <f t="shared" ref="R454:R517" si="981">R455+Q454</f>
        <v>-172.3267035543135</v>
      </c>
      <c r="S454">
        <f t="shared" ref="S454:S517" si="982">R454/100000</f>
        <v>-1.723267035543135E-3</v>
      </c>
      <c r="T454">
        <f t="shared" ref="T454:T517" si="983">S454/1000</f>
        <v>-1.7232670355431349E-6</v>
      </c>
    </row>
    <row r="455" spans="1:20" x14ac:dyDescent="0.25">
      <c r="A455" s="5">
        <v>44138</v>
      </c>
      <c r="B455">
        <v>1907.01</v>
      </c>
      <c r="C455">
        <v>1932.32</v>
      </c>
      <c r="D455">
        <v>1896.87</v>
      </c>
      <c r="E455">
        <v>1925.77</v>
      </c>
      <c r="F455">
        <v>121.686599</v>
      </c>
      <c r="G455">
        <v>0</v>
      </c>
      <c r="L455" t="s">
        <v>7</v>
      </c>
      <c r="M455" t="s">
        <v>8</v>
      </c>
      <c r="N455" t="s">
        <v>8</v>
      </c>
      <c r="P455">
        <f t="shared" si="979"/>
        <v>0.63046544428773221</v>
      </c>
      <c r="Q455">
        <f t="shared" si="980"/>
        <v>76.71919570239811</v>
      </c>
      <c r="R455">
        <f t="shared" si="981"/>
        <v>-227.51283007293318</v>
      </c>
      <c r="S455">
        <f t="shared" si="982"/>
        <v>-2.275128300729332E-3</v>
      </c>
      <c r="T455">
        <f t="shared" si="983"/>
        <v>-2.275128300729332E-6</v>
      </c>
    </row>
    <row r="456" spans="1:20" x14ac:dyDescent="0.25">
      <c r="A456" s="5">
        <v>44137</v>
      </c>
      <c r="B456">
        <v>1895.78</v>
      </c>
      <c r="C456">
        <v>1911.61</v>
      </c>
      <c r="D456">
        <v>1883.91</v>
      </c>
      <c r="E456">
        <v>1911.59</v>
      </c>
      <c r="F456">
        <v>137.576065</v>
      </c>
      <c r="G456">
        <v>0</v>
      </c>
      <c r="L456" t="s">
        <v>7</v>
      </c>
      <c r="M456" t="s">
        <v>8</v>
      </c>
      <c r="N456" t="s">
        <v>8</v>
      </c>
      <c r="P456">
        <f t="shared" si="979"/>
        <v>0.99855595667870167</v>
      </c>
      <c r="Q456">
        <f t="shared" si="980"/>
        <v>137.37739920216626</v>
      </c>
      <c r="R456">
        <f t="shared" si="981"/>
        <v>-304.23202577533129</v>
      </c>
      <c r="S456">
        <f t="shared" si="982"/>
        <v>-3.0423202577533129E-3</v>
      </c>
      <c r="T456">
        <f t="shared" si="983"/>
        <v>-3.0423202577533127E-6</v>
      </c>
    </row>
    <row r="457" spans="1:20" x14ac:dyDescent="0.25">
      <c r="A457" s="5">
        <v>44136</v>
      </c>
      <c r="B457">
        <v>1895.55</v>
      </c>
      <c r="C457">
        <v>1901.78</v>
      </c>
      <c r="D457">
        <v>1882.83</v>
      </c>
      <c r="E457">
        <v>1889.01</v>
      </c>
      <c r="F457">
        <v>107.635082</v>
      </c>
      <c r="G457">
        <v>0</v>
      </c>
      <c r="L457" t="s">
        <v>7</v>
      </c>
      <c r="M457" t="s">
        <v>8</v>
      </c>
      <c r="N457" t="s">
        <v>8</v>
      </c>
      <c r="P457">
        <f t="shared" si="979"/>
        <v>-0.34775725593667028</v>
      </c>
      <c r="Q457">
        <f t="shared" si="980"/>
        <v>-37.430880758838491</v>
      </c>
      <c r="R457">
        <f t="shared" si="981"/>
        <v>-441.60942497749755</v>
      </c>
      <c r="S457">
        <f t="shared" si="982"/>
        <v>-4.4160942497749756E-3</v>
      </c>
      <c r="T457">
        <f t="shared" si="983"/>
        <v>-4.4160942497749756E-6</v>
      </c>
    </row>
    <row r="458" spans="1:20" x14ac:dyDescent="0.25">
      <c r="A458" s="5">
        <v>44135</v>
      </c>
      <c r="B458">
        <v>1889.14</v>
      </c>
      <c r="C458">
        <v>1898.33</v>
      </c>
      <c r="D458">
        <v>1882.67</v>
      </c>
      <c r="E458">
        <v>1895.55</v>
      </c>
      <c r="F458">
        <v>57.343794000000003</v>
      </c>
      <c r="G458">
        <v>0</v>
      </c>
      <c r="L458" t="s">
        <v>7</v>
      </c>
      <c r="M458" t="s">
        <v>8</v>
      </c>
      <c r="N458" t="s">
        <v>8</v>
      </c>
      <c r="P458">
        <f t="shared" si="979"/>
        <v>0.64495530012771407</v>
      </c>
      <c r="Q458">
        <f t="shared" si="980"/>
        <v>36.984183869731808</v>
      </c>
      <c r="R458">
        <f t="shared" si="981"/>
        <v>-404.17854421865906</v>
      </c>
      <c r="S458">
        <f t="shared" si="982"/>
        <v>-4.0417854421865903E-3</v>
      </c>
      <c r="T458">
        <f t="shared" si="983"/>
        <v>-4.0417854421865907E-6</v>
      </c>
    </row>
    <row r="459" spans="1:20" x14ac:dyDescent="0.25">
      <c r="A459" s="5">
        <v>44134</v>
      </c>
      <c r="B459">
        <v>1874.51</v>
      </c>
      <c r="C459">
        <v>1900.67</v>
      </c>
      <c r="D459">
        <v>1874.5</v>
      </c>
      <c r="E459">
        <v>1894.91</v>
      </c>
      <c r="F459">
        <v>86.372780000000006</v>
      </c>
      <c r="G459">
        <v>0</v>
      </c>
      <c r="L459" t="s">
        <v>7</v>
      </c>
      <c r="M459" t="s">
        <v>8</v>
      </c>
      <c r="N459" t="s">
        <v>8</v>
      </c>
      <c r="P459">
        <f t="shared" si="979"/>
        <v>0.55980129919755639</v>
      </c>
      <c r="Q459">
        <f t="shared" si="980"/>
        <v>48.351594459304721</v>
      </c>
      <c r="R459">
        <f t="shared" si="981"/>
        <v>-441.16272808839085</v>
      </c>
      <c r="S459">
        <f t="shared" si="982"/>
        <v>-4.4116272808839086E-3</v>
      </c>
      <c r="T459">
        <f t="shared" si="983"/>
        <v>-4.4116272808839086E-6</v>
      </c>
    </row>
    <row r="460" spans="1:20" x14ac:dyDescent="0.25">
      <c r="A460" s="5">
        <v>44133</v>
      </c>
      <c r="B460">
        <v>1896.66</v>
      </c>
      <c r="C460">
        <v>1899.96</v>
      </c>
      <c r="D460">
        <v>1874.28</v>
      </c>
      <c r="E460">
        <v>1874.51</v>
      </c>
      <c r="F460">
        <v>118.35241600000001</v>
      </c>
      <c r="G460">
        <v>0</v>
      </c>
      <c r="L460" t="s">
        <v>7</v>
      </c>
      <c r="M460" t="s">
        <v>8</v>
      </c>
      <c r="N460" t="s">
        <v>8</v>
      </c>
      <c r="P460">
        <f t="shared" si="979"/>
        <v>-0.98208722741432886</v>
      </c>
      <c r="Q460">
        <f t="shared" si="980"/>
        <v>-116.23239608722726</v>
      </c>
      <c r="R460">
        <f t="shared" si="981"/>
        <v>-489.51432254769554</v>
      </c>
      <c r="S460">
        <f t="shared" si="982"/>
        <v>-4.8951432254769551E-3</v>
      </c>
      <c r="T460">
        <f t="shared" si="983"/>
        <v>-4.8951432254769553E-6</v>
      </c>
    </row>
    <row r="461" spans="1:20" x14ac:dyDescent="0.25">
      <c r="A461" s="5">
        <v>44132</v>
      </c>
      <c r="B461">
        <v>1917.01</v>
      </c>
      <c r="C461">
        <v>1925.14</v>
      </c>
      <c r="D461">
        <v>1881</v>
      </c>
      <c r="E461">
        <v>1896.66</v>
      </c>
      <c r="F461">
        <v>168.73061899999999</v>
      </c>
      <c r="G461">
        <v>0</v>
      </c>
      <c r="L461" t="s">
        <v>7</v>
      </c>
      <c r="M461" t="s">
        <v>8</v>
      </c>
      <c r="N461" t="s">
        <v>8</v>
      </c>
      <c r="P461">
        <f t="shared" si="979"/>
        <v>-0.29043951064793627</v>
      </c>
      <c r="Q461">
        <f t="shared" si="980"/>
        <v>-49.006038413683378</v>
      </c>
      <c r="R461">
        <f t="shared" si="981"/>
        <v>-373.2819264604683</v>
      </c>
      <c r="S461">
        <f t="shared" si="982"/>
        <v>-3.7328192646046829E-3</v>
      </c>
      <c r="T461">
        <f t="shared" si="983"/>
        <v>-3.7328192646046829E-6</v>
      </c>
    </row>
    <row r="462" spans="1:20" x14ac:dyDescent="0.25">
      <c r="A462" s="5">
        <v>44131</v>
      </c>
      <c r="B462">
        <v>1910</v>
      </c>
      <c r="C462">
        <v>1926.68</v>
      </c>
      <c r="D462">
        <v>1906</v>
      </c>
      <c r="E462">
        <v>1915.83</v>
      </c>
      <c r="F462">
        <v>108.416573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-4.9323017408133753E-2</v>
      </c>
      <c r="Q462">
        <f t="shared" si="980"/>
        <v>-5.3474325174092039</v>
      </c>
      <c r="R462">
        <f t="shared" si="981"/>
        <v>-324.27588804678493</v>
      </c>
      <c r="S462">
        <f t="shared" si="982"/>
        <v>-3.2427588804678493E-3</v>
      </c>
      <c r="T462">
        <f t="shared" si="983"/>
        <v>-3.2427588804678494E-6</v>
      </c>
    </row>
    <row r="463" spans="1:20" x14ac:dyDescent="0.25">
      <c r="A463" s="5">
        <v>44130</v>
      </c>
      <c r="B463">
        <v>1909.39</v>
      </c>
      <c r="C463">
        <v>1921.55</v>
      </c>
      <c r="D463">
        <v>1904.1</v>
      </c>
      <c r="E463">
        <v>1907.45</v>
      </c>
      <c r="F463">
        <v>92.425893000000002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-0.61604584527219164</v>
      </c>
      <c r="Q463">
        <f t="shared" si="980"/>
        <v>-56.938587378222138</v>
      </c>
      <c r="R463">
        <f t="shared" si="981"/>
        <v>-318.9284555293757</v>
      </c>
      <c r="S463">
        <f t="shared" si="982"/>
        <v>-3.1892845552937569E-3</v>
      </c>
      <c r="T463">
        <f t="shared" si="983"/>
        <v>-3.189284555293757E-6</v>
      </c>
    </row>
    <row r="464" spans="1:20" x14ac:dyDescent="0.25">
      <c r="A464" s="5">
        <v>44129</v>
      </c>
      <c r="B464">
        <v>1916</v>
      </c>
      <c r="C464">
        <v>1919.42</v>
      </c>
      <c r="D464">
        <v>1906.63</v>
      </c>
      <c r="E464">
        <v>1909.39</v>
      </c>
      <c r="F464">
        <v>41.203073000000003</v>
      </c>
      <c r="G464">
        <v>0</v>
      </c>
      <c r="L464" t="s">
        <v>7</v>
      </c>
      <c r="M464" t="s">
        <v>8</v>
      </c>
      <c r="N464" t="s">
        <v>8</v>
      </c>
      <c r="P464">
        <f t="shared" si="979"/>
        <v>-0.56841282251759206</v>
      </c>
      <c r="Q464">
        <f t="shared" si="980"/>
        <v>-23.42035502032839</v>
      </c>
      <c r="R464">
        <f t="shared" si="981"/>
        <v>-261.98986815115359</v>
      </c>
      <c r="S464">
        <f t="shared" si="982"/>
        <v>-2.6198986815115359E-3</v>
      </c>
      <c r="T464">
        <f t="shared" si="983"/>
        <v>-2.6198986815115358E-6</v>
      </c>
    </row>
    <row r="465" spans="1:20" x14ac:dyDescent="0.25">
      <c r="A465" s="5">
        <v>44128</v>
      </c>
      <c r="B465">
        <v>1909.69</v>
      </c>
      <c r="C465">
        <v>1917.4</v>
      </c>
      <c r="D465">
        <v>1904.5</v>
      </c>
      <c r="E465">
        <v>1916</v>
      </c>
      <c r="F465">
        <v>63.695112999999999</v>
      </c>
      <c r="G465">
        <v>0</v>
      </c>
      <c r="L465" t="s">
        <v>7</v>
      </c>
      <c r="M465" t="s">
        <v>8</v>
      </c>
      <c r="N465" t="s">
        <v>8</v>
      </c>
      <c r="P465">
        <f t="shared" si="979"/>
        <v>0.78294573643409593</v>
      </c>
      <c r="Q465">
        <f t="shared" si="980"/>
        <v>49.869817155037957</v>
      </c>
      <c r="R465">
        <f t="shared" si="981"/>
        <v>-238.56951313082519</v>
      </c>
      <c r="S465">
        <f t="shared" si="982"/>
        <v>-2.3856951313082518E-3</v>
      </c>
      <c r="T465">
        <f t="shared" si="983"/>
        <v>-2.3856951313082519E-6</v>
      </c>
    </row>
    <row r="466" spans="1:20" x14ac:dyDescent="0.25">
      <c r="A466" s="5">
        <v>44127</v>
      </c>
      <c r="B466">
        <v>1909</v>
      </c>
      <c r="C466">
        <v>1926.66</v>
      </c>
      <c r="D466">
        <v>1904.46</v>
      </c>
      <c r="E466">
        <v>1904.46</v>
      </c>
      <c r="F466">
        <v>91.288938000000002</v>
      </c>
      <c r="G466">
        <v>0</v>
      </c>
      <c r="L466" t="s">
        <v>7</v>
      </c>
      <c r="M466" t="s">
        <v>8</v>
      </c>
      <c r="N466" t="s">
        <v>8</v>
      </c>
      <c r="P466">
        <f t="shared" si="979"/>
        <v>-1</v>
      </c>
      <c r="Q466">
        <f t="shared" si="980"/>
        <v>-91.288938000000002</v>
      </c>
      <c r="R466">
        <f t="shared" si="981"/>
        <v>-288.43933028586315</v>
      </c>
      <c r="S466">
        <f t="shared" si="982"/>
        <v>-2.8843933028586317E-3</v>
      </c>
      <c r="T466">
        <f t="shared" si="983"/>
        <v>-2.8843933028586317E-6</v>
      </c>
    </row>
    <row r="467" spans="1:20" x14ac:dyDescent="0.25">
      <c r="A467" s="5">
        <v>44126</v>
      </c>
      <c r="B467">
        <v>1926.02</v>
      </c>
      <c r="C467">
        <v>1931.13</v>
      </c>
      <c r="D467">
        <v>1903.48</v>
      </c>
      <c r="E467">
        <v>1909</v>
      </c>
      <c r="F467">
        <v>146.808696</v>
      </c>
      <c r="G467">
        <v>0</v>
      </c>
      <c r="L467" t="s">
        <v>7</v>
      </c>
      <c r="M467" t="s">
        <v>8</v>
      </c>
      <c r="N467" t="s">
        <v>8</v>
      </c>
      <c r="P467">
        <f t="shared" si="979"/>
        <v>-0.6007233273056084</v>
      </c>
      <c r="Q467">
        <f t="shared" si="980"/>
        <v>-88.191408338517562</v>
      </c>
      <c r="R467">
        <f t="shared" si="981"/>
        <v>-197.15039228586315</v>
      </c>
      <c r="S467">
        <f t="shared" si="982"/>
        <v>-1.9715039228586314E-3</v>
      </c>
      <c r="T467">
        <f t="shared" si="983"/>
        <v>-1.9715039228586315E-6</v>
      </c>
    </row>
    <row r="468" spans="1:20" x14ac:dyDescent="0.25">
      <c r="A468" s="5">
        <v>44125</v>
      </c>
      <c r="B468">
        <v>1917.38</v>
      </c>
      <c r="C468">
        <v>1939.99</v>
      </c>
      <c r="D468">
        <v>1903.35</v>
      </c>
      <c r="E468">
        <v>1930.99</v>
      </c>
      <c r="F468">
        <v>168.55277000000001</v>
      </c>
      <c r="G468">
        <v>0</v>
      </c>
      <c r="L468" t="s">
        <v>7</v>
      </c>
      <c r="M468" t="s">
        <v>8</v>
      </c>
      <c r="N468" t="s">
        <v>8</v>
      </c>
      <c r="P468">
        <f t="shared" si="979"/>
        <v>0.50873362445414982</v>
      </c>
      <c r="Q468">
        <f t="shared" si="980"/>
        <v>85.748461593886702</v>
      </c>
      <c r="R468">
        <f t="shared" si="981"/>
        <v>-108.95898394734559</v>
      </c>
      <c r="S468">
        <f t="shared" si="982"/>
        <v>-1.0895898394734558E-3</v>
      </c>
      <c r="T468">
        <f t="shared" si="983"/>
        <v>-1.0895898394734558E-6</v>
      </c>
    </row>
    <row r="469" spans="1:20" x14ac:dyDescent="0.25">
      <c r="A469" s="5">
        <v>44124</v>
      </c>
      <c r="B469">
        <v>1912.07</v>
      </c>
      <c r="C469">
        <v>1922.45</v>
      </c>
      <c r="D469">
        <v>1902</v>
      </c>
      <c r="E469">
        <v>1919.83</v>
      </c>
      <c r="F469">
        <v>63.253329999999998</v>
      </c>
      <c r="G469">
        <v>0</v>
      </c>
      <c r="L469" t="s">
        <v>7</v>
      </c>
      <c r="M469" t="s">
        <v>8</v>
      </c>
      <c r="N469" t="s">
        <v>8</v>
      </c>
      <c r="P469">
        <f t="shared" si="979"/>
        <v>0.74376528117358309</v>
      </c>
      <c r="Q469">
        <f t="shared" si="980"/>
        <v>47.045630772615439</v>
      </c>
      <c r="R469">
        <f t="shared" si="981"/>
        <v>-194.70744554123229</v>
      </c>
      <c r="S469">
        <f t="shared" si="982"/>
        <v>-1.9470744554123229E-3</v>
      </c>
      <c r="T469">
        <f t="shared" si="983"/>
        <v>-1.9470744554123231E-6</v>
      </c>
    </row>
    <row r="470" spans="1:20" x14ac:dyDescent="0.25">
      <c r="A470" s="5">
        <v>44123</v>
      </c>
      <c r="B470">
        <v>1915.22</v>
      </c>
      <c r="C470">
        <v>1925.54</v>
      </c>
      <c r="D470">
        <v>1904.56</v>
      </c>
      <c r="E470">
        <v>1906.01</v>
      </c>
      <c r="F470">
        <v>82.418473000000006</v>
      </c>
      <c r="G470">
        <v>0</v>
      </c>
      <c r="L470" t="s">
        <v>7</v>
      </c>
      <c r="M470" t="s">
        <v>8</v>
      </c>
      <c r="N470" t="s">
        <v>8</v>
      </c>
      <c r="P470">
        <f t="shared" si="979"/>
        <v>-0.86177311725452388</v>
      </c>
      <c r="Q470">
        <f t="shared" si="980"/>
        <v>-71.02602439656782</v>
      </c>
      <c r="R470">
        <f t="shared" si="981"/>
        <v>-241.75307631384771</v>
      </c>
      <c r="S470">
        <f t="shared" si="982"/>
        <v>-2.4175307631384771E-3</v>
      </c>
      <c r="T470">
        <f t="shared" si="983"/>
        <v>-2.4175307631384772E-6</v>
      </c>
    </row>
    <row r="471" spans="1:20" x14ac:dyDescent="0.25">
      <c r="A471" s="5">
        <v>44122</v>
      </c>
      <c r="B471">
        <v>1910.48</v>
      </c>
      <c r="C471">
        <v>1918.53</v>
      </c>
      <c r="D471">
        <v>1910</v>
      </c>
      <c r="E471">
        <v>1910</v>
      </c>
      <c r="F471">
        <v>41.990079000000001</v>
      </c>
      <c r="G471">
        <v>0</v>
      </c>
      <c r="L471" t="s">
        <v>7</v>
      </c>
      <c r="M471" t="s">
        <v>8</v>
      </c>
      <c r="N471" t="s">
        <v>8</v>
      </c>
      <c r="P471">
        <f t="shared" si="979"/>
        <v>-1</v>
      </c>
      <c r="Q471">
        <f t="shared" si="980"/>
        <v>-41.990079000000001</v>
      </c>
      <c r="R471">
        <f t="shared" si="981"/>
        <v>-170.72705191727991</v>
      </c>
      <c r="S471">
        <f t="shared" si="982"/>
        <v>-1.707270519172799E-3</v>
      </c>
      <c r="T471">
        <f t="shared" si="983"/>
        <v>-1.707270519172799E-6</v>
      </c>
    </row>
    <row r="472" spans="1:20" x14ac:dyDescent="0.25">
      <c r="A472" s="5">
        <v>44121</v>
      </c>
      <c r="B472">
        <v>1915.46</v>
      </c>
      <c r="C472">
        <v>1917.43</v>
      </c>
      <c r="D472">
        <v>1906</v>
      </c>
      <c r="E472">
        <v>1915.95</v>
      </c>
      <c r="F472">
        <v>38.193427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0.74103237095362906</v>
      </c>
      <c r="Q472">
        <f t="shared" si="980"/>
        <v>28.30256576465435</v>
      </c>
      <c r="R472">
        <f t="shared" si="981"/>
        <v>-128.7369729172799</v>
      </c>
      <c r="S472">
        <f t="shared" si="982"/>
        <v>-1.287369729172799E-3</v>
      </c>
      <c r="T472">
        <f t="shared" si="983"/>
        <v>-1.2873697291727989E-6</v>
      </c>
    </row>
    <row r="473" spans="1:20" x14ac:dyDescent="0.25">
      <c r="A473" s="5">
        <v>44120</v>
      </c>
      <c r="B473">
        <v>1916.01</v>
      </c>
      <c r="C473">
        <v>1924.66</v>
      </c>
      <c r="D473">
        <v>1905.81</v>
      </c>
      <c r="E473">
        <v>1915.45</v>
      </c>
      <c r="F473">
        <v>52.950516999999998</v>
      </c>
      <c r="G473">
        <v>0</v>
      </c>
      <c r="L473" t="s">
        <v>7</v>
      </c>
      <c r="M473" t="s">
        <v>8</v>
      </c>
      <c r="N473" t="s">
        <v>8</v>
      </c>
      <c r="P473">
        <f t="shared" si="979"/>
        <v>2.2811671087536369E-2</v>
      </c>
      <c r="Q473">
        <f t="shared" si="980"/>
        <v>1.207889777719003</v>
      </c>
      <c r="R473">
        <f t="shared" si="981"/>
        <v>-157.03953868193426</v>
      </c>
      <c r="S473">
        <f t="shared" si="982"/>
        <v>-1.5703953868193427E-3</v>
      </c>
      <c r="T473">
        <f t="shared" si="983"/>
        <v>-1.5703953868193426E-6</v>
      </c>
    </row>
    <row r="474" spans="1:20" x14ac:dyDescent="0.25">
      <c r="A474" s="5">
        <v>44119</v>
      </c>
      <c r="B474">
        <v>1911.99</v>
      </c>
      <c r="C474">
        <v>1923.94</v>
      </c>
      <c r="D474">
        <v>1903.36</v>
      </c>
      <c r="E474">
        <v>1922.88</v>
      </c>
      <c r="F474">
        <v>31.662199999999999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0.89698736637512755</v>
      </c>
      <c r="Q474">
        <f t="shared" si="980"/>
        <v>28.400593391642563</v>
      </c>
      <c r="R474">
        <f t="shared" si="981"/>
        <v>-158.24742845965326</v>
      </c>
      <c r="S474">
        <f t="shared" si="982"/>
        <v>-1.5824742845965327E-3</v>
      </c>
      <c r="T474">
        <f t="shared" si="983"/>
        <v>-1.5824742845965327E-6</v>
      </c>
    </row>
    <row r="475" spans="1:20" x14ac:dyDescent="0.25">
      <c r="A475" s="5">
        <v>44118</v>
      </c>
      <c r="B475">
        <v>1905.11</v>
      </c>
      <c r="C475">
        <v>1924.04</v>
      </c>
      <c r="D475">
        <v>1898.23</v>
      </c>
      <c r="E475">
        <v>1911.98</v>
      </c>
      <c r="F475">
        <v>105.707493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6.547849670670508E-2</v>
      </c>
      <c r="Q475">
        <f t="shared" si="980"/>
        <v>6.9215677322745499</v>
      </c>
      <c r="R475">
        <f t="shared" si="981"/>
        <v>-186.64802185129582</v>
      </c>
      <c r="S475">
        <f t="shared" si="982"/>
        <v>-1.8664802185129582E-3</v>
      </c>
      <c r="T475">
        <f t="shared" si="983"/>
        <v>-1.8664802185129581E-6</v>
      </c>
    </row>
    <row r="476" spans="1:20" x14ac:dyDescent="0.25">
      <c r="A476" s="5">
        <v>44117</v>
      </c>
      <c r="B476">
        <v>1931.16</v>
      </c>
      <c r="C476">
        <v>1935.68</v>
      </c>
      <c r="D476">
        <v>1901.63</v>
      </c>
      <c r="E476">
        <v>1910.48</v>
      </c>
      <c r="F476">
        <v>102.886503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-0.48017621145374917</v>
      </c>
      <c r="Q476">
        <f t="shared" si="980"/>
        <v>-49.403651220264798</v>
      </c>
      <c r="R476">
        <f t="shared" si="981"/>
        <v>-193.56958958357038</v>
      </c>
      <c r="S476">
        <f t="shared" si="982"/>
        <v>-1.9356958958357037E-3</v>
      </c>
      <c r="T476">
        <f t="shared" si="983"/>
        <v>-1.9356958958357039E-6</v>
      </c>
    </row>
    <row r="477" spans="1:20" x14ac:dyDescent="0.25">
      <c r="A477" s="5">
        <v>44116</v>
      </c>
      <c r="B477">
        <v>1942.56</v>
      </c>
      <c r="C477">
        <v>1947.28</v>
      </c>
      <c r="D477">
        <v>1921.55</v>
      </c>
      <c r="E477">
        <v>1931.16</v>
      </c>
      <c r="F477">
        <v>58.908344999999997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-0.25301204819276174</v>
      </c>
      <c r="Q477">
        <f t="shared" si="980"/>
        <v>-14.904521024095834</v>
      </c>
      <c r="R477">
        <f t="shared" si="981"/>
        <v>-144.16593836330557</v>
      </c>
      <c r="S477">
        <f t="shared" si="982"/>
        <v>-1.4416593836330557E-3</v>
      </c>
      <c r="T477">
        <f t="shared" si="983"/>
        <v>-1.4416593836330557E-6</v>
      </c>
    </row>
    <row r="478" spans="1:20" x14ac:dyDescent="0.25">
      <c r="A478" s="5">
        <v>44115</v>
      </c>
      <c r="B478">
        <v>1935.55</v>
      </c>
      <c r="C478">
        <v>1951.2</v>
      </c>
      <c r="D478">
        <v>1935</v>
      </c>
      <c r="E478">
        <v>1940.64</v>
      </c>
      <c r="F478">
        <v>53.861688000000001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-0.30370370370369332</v>
      </c>
      <c r="Q478">
        <f t="shared" si="980"/>
        <v>-16.357994133332774</v>
      </c>
      <c r="R478">
        <f t="shared" si="981"/>
        <v>-129.26141733920974</v>
      </c>
      <c r="S478">
        <f t="shared" si="982"/>
        <v>-1.2926141733920974E-3</v>
      </c>
      <c r="T478">
        <f t="shared" si="983"/>
        <v>-1.2926141733920975E-6</v>
      </c>
    </row>
    <row r="479" spans="1:20" x14ac:dyDescent="0.25">
      <c r="A479" s="5">
        <v>44114</v>
      </c>
      <c r="B479">
        <v>1939</v>
      </c>
      <c r="C479">
        <v>1949.3</v>
      </c>
      <c r="D479">
        <v>1932.21</v>
      </c>
      <c r="E479">
        <v>1935.55</v>
      </c>
      <c r="F479">
        <v>52.525967999999999</v>
      </c>
      <c r="G479">
        <v>0</v>
      </c>
      <c r="L479" t="s">
        <v>7</v>
      </c>
      <c r="M479" t="s">
        <v>8</v>
      </c>
      <c r="N479" t="s">
        <v>8</v>
      </c>
      <c r="P479">
        <f t="shared" si="979"/>
        <v>-0.60912814511410951</v>
      </c>
      <c r="Q479">
        <f t="shared" si="980"/>
        <v>-31.995045458163073</v>
      </c>
      <c r="R479">
        <f t="shared" si="981"/>
        <v>-112.90342320587696</v>
      </c>
      <c r="S479">
        <f t="shared" si="982"/>
        <v>-1.1290342320587697E-3</v>
      </c>
      <c r="T479">
        <f t="shared" si="983"/>
        <v>-1.1290342320587697E-6</v>
      </c>
    </row>
    <row r="480" spans="1:20" x14ac:dyDescent="0.25">
      <c r="A480" s="5">
        <v>44113</v>
      </c>
      <c r="B480">
        <v>1905.41</v>
      </c>
      <c r="C480">
        <v>1944.61</v>
      </c>
      <c r="D480">
        <v>1904.49</v>
      </c>
      <c r="E480">
        <v>1939.01</v>
      </c>
      <c r="F480">
        <v>63.120100000000001</v>
      </c>
      <c r="G480">
        <v>0</v>
      </c>
      <c r="L480" t="s">
        <v>7</v>
      </c>
      <c r="M480" t="s">
        <v>8</v>
      </c>
      <c r="N480" t="s">
        <v>8</v>
      </c>
      <c r="P480">
        <f t="shared" si="979"/>
        <v>0.72083748753739163</v>
      </c>
      <c r="Q480">
        <f t="shared" si="980"/>
        <v>45.499334297108916</v>
      </c>
      <c r="R480">
        <f t="shared" si="981"/>
        <v>-80.908377747713885</v>
      </c>
      <c r="S480">
        <f t="shared" si="982"/>
        <v>-8.0908377747713881E-4</v>
      </c>
      <c r="T480">
        <f t="shared" si="983"/>
        <v>-8.0908377747713877E-7</v>
      </c>
    </row>
    <row r="481" spans="1:20" x14ac:dyDescent="0.25">
      <c r="A481" s="5">
        <v>44112</v>
      </c>
      <c r="B481">
        <v>1899.68</v>
      </c>
      <c r="C481">
        <v>1911.61</v>
      </c>
      <c r="D481">
        <v>1884.31</v>
      </c>
      <c r="E481">
        <v>1905.42</v>
      </c>
      <c r="F481">
        <v>63.146135999999998</v>
      </c>
      <c r="G481">
        <v>0</v>
      </c>
      <c r="L481" t="s">
        <v>7</v>
      </c>
      <c r="M481" t="s">
        <v>8</v>
      </c>
      <c r="N481" t="s">
        <v>8</v>
      </c>
      <c r="P481">
        <f t="shared" si="979"/>
        <v>0.54652014652015846</v>
      </c>
      <c r="Q481">
        <f t="shared" si="980"/>
        <v>34.510635498901848</v>
      </c>
      <c r="R481">
        <f t="shared" si="981"/>
        <v>-126.4077120448228</v>
      </c>
      <c r="S481">
        <f t="shared" si="982"/>
        <v>-1.2640771204482279E-3</v>
      </c>
      <c r="T481">
        <f t="shared" si="983"/>
        <v>-1.2640771204482279E-6</v>
      </c>
    </row>
    <row r="482" spans="1:20" x14ac:dyDescent="0.25">
      <c r="A482" s="5">
        <v>44111</v>
      </c>
      <c r="B482">
        <v>1889.33</v>
      </c>
      <c r="C482">
        <v>1907.85</v>
      </c>
      <c r="D482">
        <v>1883.11</v>
      </c>
      <c r="E482">
        <v>1895.46</v>
      </c>
      <c r="F482">
        <v>74.969498999999999</v>
      </c>
      <c r="G482">
        <v>0</v>
      </c>
      <c r="L482" t="s">
        <v>7</v>
      </c>
      <c r="M482" t="s">
        <v>8</v>
      </c>
      <c r="N482" t="s">
        <v>8</v>
      </c>
      <c r="P482">
        <f t="shared" si="979"/>
        <v>-1.6168148746861855E-3</v>
      </c>
      <c r="Q482">
        <f t="shared" si="980"/>
        <v>-0.1212118011309711</v>
      </c>
      <c r="R482">
        <f t="shared" si="981"/>
        <v>-160.91834754372465</v>
      </c>
      <c r="S482">
        <f t="shared" si="982"/>
        <v>-1.6091834754372466E-3</v>
      </c>
      <c r="T482">
        <f t="shared" si="983"/>
        <v>-1.6091834754372465E-6</v>
      </c>
    </row>
    <row r="483" spans="1:20" x14ac:dyDescent="0.25">
      <c r="A483" s="5">
        <v>44110</v>
      </c>
      <c r="B483">
        <v>1925.09</v>
      </c>
      <c r="C483">
        <v>1930.82</v>
      </c>
      <c r="D483">
        <v>1887.01</v>
      </c>
      <c r="E483">
        <v>1887.01</v>
      </c>
      <c r="F483">
        <v>66.542883000000003</v>
      </c>
      <c r="G483">
        <v>0</v>
      </c>
      <c r="L483" t="s">
        <v>7</v>
      </c>
      <c r="M483" t="s">
        <v>8</v>
      </c>
      <c r="N483" t="s">
        <v>8</v>
      </c>
      <c r="P483">
        <f t="shared" si="979"/>
        <v>-1</v>
      </c>
      <c r="Q483">
        <f t="shared" si="980"/>
        <v>-66.542883000000003</v>
      </c>
      <c r="R483">
        <f t="shared" si="981"/>
        <v>-160.79713574259367</v>
      </c>
      <c r="S483">
        <f t="shared" si="982"/>
        <v>-1.6079713574259366E-3</v>
      </c>
      <c r="T483">
        <f t="shared" si="983"/>
        <v>-1.6079713574259367E-6</v>
      </c>
    </row>
    <row r="484" spans="1:20" x14ac:dyDescent="0.25">
      <c r="A484" s="5">
        <v>44109</v>
      </c>
      <c r="B484">
        <v>1912.7</v>
      </c>
      <c r="C484">
        <v>1932.43</v>
      </c>
      <c r="D484">
        <v>1880.11</v>
      </c>
      <c r="E484">
        <v>1921.03</v>
      </c>
      <c r="F484">
        <v>79.893510000000006</v>
      </c>
      <c r="G484">
        <v>0</v>
      </c>
      <c r="L484" t="s">
        <v>7</v>
      </c>
      <c r="M484" t="s">
        <v>8</v>
      </c>
      <c r="N484" t="s">
        <v>8</v>
      </c>
      <c r="P484">
        <f t="shared" si="979"/>
        <v>0.56422018348623637</v>
      </c>
      <c r="Q484">
        <f t="shared" si="980"/>
        <v>45.07753087155946</v>
      </c>
      <c r="R484">
        <f t="shared" si="981"/>
        <v>-94.254252742593664</v>
      </c>
      <c r="S484">
        <f t="shared" si="982"/>
        <v>-9.4254252742593668E-4</v>
      </c>
      <c r="T484">
        <f t="shared" si="983"/>
        <v>-9.4254252742593663E-7</v>
      </c>
    </row>
    <row r="485" spans="1:20" x14ac:dyDescent="0.25">
      <c r="A485" s="5">
        <v>44108</v>
      </c>
      <c r="B485">
        <v>1907.59</v>
      </c>
      <c r="C485">
        <v>1918.21</v>
      </c>
      <c r="D485">
        <v>1907.53</v>
      </c>
      <c r="E485">
        <v>1917.54</v>
      </c>
      <c r="F485">
        <v>32.440545</v>
      </c>
      <c r="G485">
        <v>0</v>
      </c>
      <c r="L485" t="s">
        <v>7</v>
      </c>
      <c r="M485" t="s">
        <v>8</v>
      </c>
      <c r="N485" t="s">
        <v>8</v>
      </c>
      <c r="P485">
        <f t="shared" si="979"/>
        <v>0.87453183520597966</v>
      </c>
      <c r="Q485">
        <f t="shared" si="980"/>
        <v>28.370289353932169</v>
      </c>
      <c r="R485">
        <f t="shared" si="981"/>
        <v>-139.33178361415312</v>
      </c>
      <c r="S485">
        <f t="shared" si="982"/>
        <v>-1.3933178361415313E-3</v>
      </c>
      <c r="T485">
        <f t="shared" si="983"/>
        <v>-1.3933178361415313E-6</v>
      </c>
    </row>
    <row r="486" spans="1:20" x14ac:dyDescent="0.25">
      <c r="A486" s="5">
        <v>44107</v>
      </c>
      <c r="B486">
        <v>1915.43</v>
      </c>
      <c r="C486">
        <v>1918.77</v>
      </c>
      <c r="D486">
        <v>1900</v>
      </c>
      <c r="E486">
        <v>1907.59</v>
      </c>
      <c r="F486">
        <v>52.525390999999999</v>
      </c>
      <c r="G486">
        <v>0</v>
      </c>
      <c r="L486" t="s">
        <v>7</v>
      </c>
      <c r="M486" t="s">
        <v>8</v>
      </c>
      <c r="N486" t="s">
        <v>8</v>
      </c>
      <c r="P486">
        <f t="shared" si="979"/>
        <v>-0.19126265316996</v>
      </c>
      <c r="Q486">
        <f t="shared" si="980"/>
        <v>-10.046145641449538</v>
      </c>
      <c r="R486">
        <f t="shared" si="981"/>
        <v>-167.7020729680853</v>
      </c>
      <c r="S486">
        <f t="shared" si="982"/>
        <v>-1.6770207296808531E-3</v>
      </c>
      <c r="T486">
        <f t="shared" si="983"/>
        <v>-1.677020729680853E-6</v>
      </c>
    </row>
    <row r="487" spans="1:20" x14ac:dyDescent="0.25">
      <c r="A487" s="5">
        <v>44106</v>
      </c>
      <c r="B487">
        <v>1912.99</v>
      </c>
      <c r="C487">
        <v>1940</v>
      </c>
      <c r="D487">
        <v>1902.89</v>
      </c>
      <c r="E487">
        <v>1914.92</v>
      </c>
      <c r="F487">
        <v>169.47251499999999</v>
      </c>
      <c r="G487">
        <v>0</v>
      </c>
      <c r="L487" t="s">
        <v>7</v>
      </c>
      <c r="M487" t="s">
        <v>8</v>
      </c>
      <c r="N487" t="s">
        <v>8</v>
      </c>
      <c r="P487">
        <f t="shared" si="979"/>
        <v>-0.351657235246564</v>
      </c>
      <c r="Q487">
        <f t="shared" si="980"/>
        <v>-59.596236075181842</v>
      </c>
      <c r="R487">
        <f t="shared" si="981"/>
        <v>-157.65592732663578</v>
      </c>
      <c r="S487">
        <f t="shared" si="982"/>
        <v>-1.5765592732663578E-3</v>
      </c>
      <c r="T487">
        <f t="shared" si="983"/>
        <v>-1.5765592732663578E-6</v>
      </c>
    </row>
    <row r="488" spans="1:20" x14ac:dyDescent="0.25">
      <c r="A488" s="5">
        <v>44105</v>
      </c>
      <c r="B488">
        <v>1901.32</v>
      </c>
      <c r="C488">
        <v>1927.54</v>
      </c>
      <c r="D488">
        <v>1890</v>
      </c>
      <c r="E488">
        <v>1912.99</v>
      </c>
      <c r="F488">
        <v>72.708978000000002</v>
      </c>
      <c r="G488">
        <v>0</v>
      </c>
      <c r="L488" t="s">
        <v>7</v>
      </c>
      <c r="M488" t="s">
        <v>8</v>
      </c>
      <c r="N488" t="s">
        <v>8</v>
      </c>
      <c r="P488">
        <f t="shared" si="979"/>
        <v>0.22482685135855254</v>
      </c>
      <c r="Q488">
        <f t="shared" si="980"/>
        <v>16.346930589238266</v>
      </c>
      <c r="R488">
        <f t="shared" si="981"/>
        <v>-98.059691251453927</v>
      </c>
      <c r="S488">
        <f t="shared" si="982"/>
        <v>-9.8059691251453922E-4</v>
      </c>
      <c r="T488">
        <f t="shared" si="983"/>
        <v>-9.8059691251453927E-7</v>
      </c>
    </row>
    <row r="489" spans="1:20" x14ac:dyDescent="0.25">
      <c r="A489" s="5">
        <v>44104</v>
      </c>
      <c r="B489">
        <v>1907.18</v>
      </c>
      <c r="C489">
        <v>1913</v>
      </c>
      <c r="D489">
        <v>1890.97</v>
      </c>
      <c r="E489">
        <v>1901.34</v>
      </c>
      <c r="F489">
        <v>36.090477</v>
      </c>
      <c r="G489">
        <v>0</v>
      </c>
      <c r="L489" t="s">
        <v>7</v>
      </c>
      <c r="M489" t="s">
        <v>8</v>
      </c>
      <c r="N489" t="s">
        <v>8</v>
      </c>
      <c r="P489">
        <f t="shared" si="979"/>
        <v>-5.8556513844765894E-2</v>
      </c>
      <c r="Q489">
        <f t="shared" si="980"/>
        <v>-2.113332516114705</v>
      </c>
      <c r="R489">
        <f t="shared" si="981"/>
        <v>-114.4066218406922</v>
      </c>
      <c r="S489">
        <f t="shared" si="982"/>
        <v>-1.1440662184069219E-3</v>
      </c>
      <c r="T489">
        <f t="shared" si="983"/>
        <v>-1.1440662184069219E-6</v>
      </c>
    </row>
    <row r="490" spans="1:20" x14ac:dyDescent="0.25">
      <c r="A490" s="5">
        <v>44103</v>
      </c>
      <c r="B490">
        <v>1898.43</v>
      </c>
      <c r="C490">
        <v>1918.31</v>
      </c>
      <c r="D490">
        <v>1890.86</v>
      </c>
      <c r="E490">
        <v>1913.12</v>
      </c>
      <c r="F490">
        <v>43.426941999999997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0.62185792349726443</v>
      </c>
      <c r="Q490">
        <f t="shared" si="980"/>
        <v>27.005387975956136</v>
      </c>
      <c r="R490">
        <f t="shared" si="981"/>
        <v>-112.29328932457749</v>
      </c>
      <c r="S490">
        <f t="shared" si="982"/>
        <v>-1.122932893245775E-3</v>
      </c>
      <c r="T490">
        <f t="shared" si="983"/>
        <v>-1.1229328932457749E-6</v>
      </c>
    </row>
    <row r="491" spans="1:20" x14ac:dyDescent="0.25">
      <c r="A491" s="5">
        <v>44102</v>
      </c>
      <c r="B491">
        <v>1870.11</v>
      </c>
      <c r="C491">
        <v>1904.55</v>
      </c>
      <c r="D491">
        <v>1860</v>
      </c>
      <c r="E491">
        <v>1895.54</v>
      </c>
      <c r="F491">
        <v>99.669631999999993</v>
      </c>
      <c r="G491">
        <v>0</v>
      </c>
      <c r="L491" t="s">
        <v>7</v>
      </c>
      <c r="M491" t="s">
        <v>8</v>
      </c>
      <c r="N491" t="s">
        <v>8</v>
      </c>
      <c r="P491">
        <f t="shared" si="979"/>
        <v>0.59551066217732884</v>
      </c>
      <c r="Q491">
        <f t="shared" si="980"/>
        <v>59.354328551290678</v>
      </c>
      <c r="R491">
        <f t="shared" si="981"/>
        <v>-139.29867730053363</v>
      </c>
      <c r="S491">
        <f t="shared" si="982"/>
        <v>-1.3929867730053363E-3</v>
      </c>
      <c r="T491">
        <f t="shared" si="983"/>
        <v>-1.3929867730053363E-6</v>
      </c>
    </row>
    <row r="492" spans="1:20" x14ac:dyDescent="0.25">
      <c r="A492" s="5">
        <v>44101</v>
      </c>
      <c r="B492">
        <v>1873.88</v>
      </c>
      <c r="C492">
        <v>1879.76</v>
      </c>
      <c r="D492">
        <v>1863.34</v>
      </c>
      <c r="E492">
        <v>1870.11</v>
      </c>
      <c r="F492">
        <v>15.584448999999999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-0.17539585870889746</v>
      </c>
      <c r="Q492">
        <f t="shared" si="980"/>
        <v>-2.7334478148600181</v>
      </c>
      <c r="R492">
        <f t="shared" si="981"/>
        <v>-198.6530058518243</v>
      </c>
      <c r="S492">
        <f t="shared" si="982"/>
        <v>-1.986530058518243E-3</v>
      </c>
      <c r="T492">
        <f t="shared" si="983"/>
        <v>-1.9865300585182431E-6</v>
      </c>
    </row>
    <row r="493" spans="1:20" x14ac:dyDescent="0.25">
      <c r="A493" s="5">
        <v>44100</v>
      </c>
      <c r="B493">
        <v>1873.26</v>
      </c>
      <c r="C493">
        <v>1881.34</v>
      </c>
      <c r="D493">
        <v>1866.79</v>
      </c>
      <c r="E493">
        <v>1870.98</v>
      </c>
      <c r="F493">
        <v>31.351012999999998</v>
      </c>
      <c r="G493">
        <v>0</v>
      </c>
      <c r="L493" t="s">
        <v>7</v>
      </c>
      <c r="M493" t="s">
        <v>8</v>
      </c>
      <c r="N493" t="s">
        <v>8</v>
      </c>
      <c r="P493">
        <f t="shared" si="979"/>
        <v>-0.42405498281786014</v>
      </c>
      <c r="Q493">
        <f t="shared" si="980"/>
        <v>-13.294553279037508</v>
      </c>
      <c r="R493">
        <f t="shared" si="981"/>
        <v>-195.91955803696428</v>
      </c>
      <c r="S493">
        <f t="shared" si="982"/>
        <v>-1.9591955803696429E-3</v>
      </c>
      <c r="T493">
        <f t="shared" si="983"/>
        <v>-1.9591955803696429E-6</v>
      </c>
    </row>
    <row r="494" spans="1:20" x14ac:dyDescent="0.25">
      <c r="A494" s="5">
        <v>44099</v>
      </c>
      <c r="B494">
        <v>1888.32</v>
      </c>
      <c r="C494">
        <v>1889.93</v>
      </c>
      <c r="D494">
        <v>1860</v>
      </c>
      <c r="E494">
        <v>1874</v>
      </c>
      <c r="F494">
        <v>46.787092999999999</v>
      </c>
      <c r="G494">
        <v>0</v>
      </c>
      <c r="L494" t="s">
        <v>7</v>
      </c>
      <c r="M494" t="s">
        <v>8</v>
      </c>
      <c r="N494" t="s">
        <v>8</v>
      </c>
      <c r="P494">
        <f t="shared" si="979"/>
        <v>-6.4483795522888729E-2</v>
      </c>
      <c r="Q494">
        <f t="shared" si="980"/>
        <v>-3.0170093381223784</v>
      </c>
      <c r="R494">
        <f t="shared" si="981"/>
        <v>-182.62500475792677</v>
      </c>
      <c r="S494">
        <f t="shared" si="982"/>
        <v>-1.8262500475792677E-3</v>
      </c>
      <c r="T494">
        <f t="shared" si="983"/>
        <v>-1.8262500475792678E-6</v>
      </c>
    </row>
    <row r="495" spans="1:20" x14ac:dyDescent="0.25">
      <c r="A495" s="5">
        <v>44098</v>
      </c>
      <c r="B495">
        <v>1862.78</v>
      </c>
      <c r="C495">
        <v>1890.81</v>
      </c>
      <c r="D495">
        <v>1858.03</v>
      </c>
      <c r="E495">
        <v>1888.2</v>
      </c>
      <c r="F495">
        <v>54.711844999999997</v>
      </c>
      <c r="G495">
        <v>0</v>
      </c>
      <c r="L495" t="s">
        <v>7</v>
      </c>
      <c r="M495" t="s">
        <v>8</v>
      </c>
      <c r="N495" t="s">
        <v>8</v>
      </c>
      <c r="P495">
        <f t="shared" si="979"/>
        <v>0.84075655887737022</v>
      </c>
      <c r="Q495">
        <f t="shared" si="980"/>
        <v>45.999342532032053</v>
      </c>
      <c r="R495">
        <f t="shared" si="981"/>
        <v>-179.60799541980438</v>
      </c>
      <c r="S495">
        <f t="shared" si="982"/>
        <v>-1.7960799541980438E-3</v>
      </c>
      <c r="T495">
        <f t="shared" si="983"/>
        <v>-1.7960799541980439E-6</v>
      </c>
    </row>
    <row r="496" spans="1:20" x14ac:dyDescent="0.25">
      <c r="A496" s="5">
        <v>44097</v>
      </c>
      <c r="B496">
        <v>1910</v>
      </c>
      <c r="C496">
        <v>1917.24</v>
      </c>
      <c r="D496">
        <v>1859.64</v>
      </c>
      <c r="E496">
        <v>1870.71</v>
      </c>
      <c r="F496">
        <v>125.599148</v>
      </c>
      <c r="G496">
        <v>0</v>
      </c>
      <c r="L496" t="s">
        <v>7</v>
      </c>
      <c r="M496" t="s">
        <v>8</v>
      </c>
      <c r="N496" t="s">
        <v>8</v>
      </c>
      <c r="P496">
        <f t="shared" si="979"/>
        <v>-0.61562500000000164</v>
      </c>
      <c r="Q496">
        <f t="shared" si="980"/>
        <v>-77.321975487500211</v>
      </c>
      <c r="R496">
        <f t="shared" si="981"/>
        <v>-225.60733795183643</v>
      </c>
      <c r="S496">
        <f t="shared" si="982"/>
        <v>-2.2560733795183642E-3</v>
      </c>
      <c r="T496">
        <f t="shared" si="983"/>
        <v>-2.2560733795183642E-6</v>
      </c>
    </row>
    <row r="497" spans="1:20" x14ac:dyDescent="0.25">
      <c r="A497" s="5">
        <v>44096</v>
      </c>
      <c r="B497">
        <v>1920.28</v>
      </c>
      <c r="C497">
        <v>1930.92</v>
      </c>
      <c r="D497">
        <v>1900.9</v>
      </c>
      <c r="E497">
        <v>1905.91</v>
      </c>
      <c r="F497">
        <v>65.841167999999996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-0.66622251832111967</v>
      </c>
      <c r="Q497">
        <f t="shared" si="980"/>
        <v>-43.864868754163915</v>
      </c>
      <c r="R497">
        <f t="shared" si="981"/>
        <v>-148.28536246433623</v>
      </c>
      <c r="S497">
        <f t="shared" si="982"/>
        <v>-1.4828536246433623E-3</v>
      </c>
      <c r="T497">
        <f t="shared" si="983"/>
        <v>-1.4828536246433623E-6</v>
      </c>
    </row>
    <row r="498" spans="1:20" x14ac:dyDescent="0.25">
      <c r="A498" s="5">
        <v>44095</v>
      </c>
      <c r="B498">
        <v>1962</v>
      </c>
      <c r="C498">
        <v>1971.46</v>
      </c>
      <c r="D498">
        <v>1891.98</v>
      </c>
      <c r="E498">
        <v>1920.28</v>
      </c>
      <c r="F498">
        <v>132.018259</v>
      </c>
      <c r="G498">
        <v>0</v>
      </c>
      <c r="L498" t="s">
        <v>8</v>
      </c>
      <c r="M498" t="s">
        <v>8</v>
      </c>
      <c r="N498" t="s">
        <v>8</v>
      </c>
      <c r="P498">
        <f t="shared" si="979"/>
        <v>-0.28787116255661932</v>
      </c>
      <c r="Q498">
        <f t="shared" si="980"/>
        <v>-38.004249697030872</v>
      </c>
      <c r="R498">
        <f t="shared" si="981"/>
        <v>-104.42049371017232</v>
      </c>
      <c r="S498">
        <f t="shared" si="982"/>
        <v>-1.0442049371017232E-3</v>
      </c>
      <c r="T498">
        <f t="shared" si="983"/>
        <v>-1.0442049371017233E-6</v>
      </c>
    </row>
    <row r="499" spans="1:20" x14ac:dyDescent="0.25">
      <c r="A499" s="5">
        <v>44094</v>
      </c>
      <c r="B499">
        <v>1959.13</v>
      </c>
      <c r="C499">
        <v>1974.44</v>
      </c>
      <c r="D499">
        <v>1951</v>
      </c>
      <c r="E499">
        <v>1962</v>
      </c>
      <c r="F499">
        <v>47.862349000000002</v>
      </c>
      <c r="G499">
        <v>0</v>
      </c>
      <c r="L499" t="s">
        <v>8</v>
      </c>
      <c r="M499" t="s">
        <v>8</v>
      </c>
      <c r="N499" t="s">
        <v>8</v>
      </c>
      <c r="P499">
        <f t="shared" si="979"/>
        <v>-6.1433447098978293E-2</v>
      </c>
      <c r="Q499">
        <f t="shared" si="980"/>
        <v>-2.9403490853243368</v>
      </c>
      <c r="R499">
        <f t="shared" si="981"/>
        <v>-66.416244013141451</v>
      </c>
      <c r="S499">
        <f t="shared" si="982"/>
        <v>-6.6416244013141454E-4</v>
      </c>
      <c r="T499">
        <f t="shared" si="983"/>
        <v>-6.6416244013141456E-7</v>
      </c>
    </row>
    <row r="500" spans="1:20" x14ac:dyDescent="0.25">
      <c r="A500" s="5">
        <v>44093</v>
      </c>
      <c r="B500">
        <v>1959.12</v>
      </c>
      <c r="C500">
        <v>1992.72</v>
      </c>
      <c r="D500">
        <v>1949.99</v>
      </c>
      <c r="E500">
        <v>1965.48</v>
      </c>
      <c r="F500">
        <v>73.573471999999995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-0.27498244792885551</v>
      </c>
      <c r="Q500">
        <f t="shared" si="980"/>
        <v>-20.231413433185107</v>
      </c>
      <c r="R500">
        <f t="shared" si="981"/>
        <v>-63.475894927817109</v>
      </c>
      <c r="S500">
        <f t="shared" si="982"/>
        <v>-6.3475894927817107E-4</v>
      </c>
      <c r="T500">
        <f t="shared" si="983"/>
        <v>-6.3475894927817102E-7</v>
      </c>
    </row>
    <row r="501" spans="1:20" x14ac:dyDescent="0.25">
      <c r="A501" s="5">
        <v>44092</v>
      </c>
      <c r="B501">
        <v>1964.03</v>
      </c>
      <c r="C501">
        <v>1967.85</v>
      </c>
      <c r="D501">
        <v>1941</v>
      </c>
      <c r="E501">
        <v>1959.12</v>
      </c>
      <c r="F501">
        <v>118.046938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0.34972067039105792</v>
      </c>
      <c r="Q501">
        <f t="shared" si="980"/>
        <v>41.283454294971648</v>
      </c>
      <c r="R501">
        <f t="shared" si="981"/>
        <v>-43.244481494631998</v>
      </c>
      <c r="S501">
        <f t="shared" si="982"/>
        <v>-4.3244481494631999E-4</v>
      </c>
      <c r="T501">
        <f t="shared" si="983"/>
        <v>-4.3244481494632E-7</v>
      </c>
    </row>
    <row r="502" spans="1:20" x14ac:dyDescent="0.25">
      <c r="A502" s="5">
        <v>44091</v>
      </c>
      <c r="B502">
        <v>1968.98</v>
      </c>
      <c r="C502">
        <v>1990.48</v>
      </c>
      <c r="D502">
        <v>1949</v>
      </c>
      <c r="E502">
        <v>1963.33</v>
      </c>
      <c r="F502">
        <v>85.090547000000001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-0.30906460945034131</v>
      </c>
      <c r="Q502">
        <f t="shared" si="980"/>
        <v>-26.298476676470912</v>
      </c>
      <c r="R502">
        <f t="shared" si="981"/>
        <v>-84.527935789603646</v>
      </c>
      <c r="S502">
        <f t="shared" si="982"/>
        <v>-8.4527935789603648E-4</v>
      </c>
      <c r="T502">
        <f t="shared" si="983"/>
        <v>-8.4527935789603651E-7</v>
      </c>
    </row>
    <row r="503" spans="1:20" x14ac:dyDescent="0.25">
      <c r="A503" s="5">
        <v>44090</v>
      </c>
      <c r="B503">
        <v>1960.25</v>
      </c>
      <c r="C503">
        <v>1989.6</v>
      </c>
      <c r="D503">
        <v>1950</v>
      </c>
      <c r="E503">
        <v>1968.97</v>
      </c>
      <c r="F503">
        <v>74.718162000000007</v>
      </c>
      <c r="G503">
        <v>0</v>
      </c>
      <c r="L503" t="s">
        <v>8</v>
      </c>
      <c r="M503" t="s">
        <v>8</v>
      </c>
      <c r="N503" t="s">
        <v>8</v>
      </c>
      <c r="P503">
        <f t="shared" si="979"/>
        <v>-4.1919191919188338E-2</v>
      </c>
      <c r="Q503">
        <f t="shared" si="980"/>
        <v>-3.1321249727270053</v>
      </c>
      <c r="R503">
        <f t="shared" si="981"/>
        <v>-58.229459113132741</v>
      </c>
      <c r="S503">
        <f t="shared" si="982"/>
        <v>-5.8229459113132739E-4</v>
      </c>
      <c r="T503">
        <f t="shared" si="983"/>
        <v>-5.8229459113132736E-7</v>
      </c>
    </row>
    <row r="504" spans="1:20" x14ac:dyDescent="0.25">
      <c r="A504" s="5">
        <v>44089</v>
      </c>
      <c r="B504">
        <v>1964.21</v>
      </c>
      <c r="C504">
        <v>1978.09</v>
      </c>
      <c r="D504">
        <v>1945.65</v>
      </c>
      <c r="E504">
        <v>1960.23</v>
      </c>
      <c r="F504">
        <v>145.92522199999999</v>
      </c>
      <c r="G504">
        <v>0</v>
      </c>
      <c r="L504" t="s">
        <v>8</v>
      </c>
      <c r="M504" t="s">
        <v>8</v>
      </c>
      <c r="N504" t="s">
        <v>8</v>
      </c>
      <c r="P504">
        <f t="shared" si="979"/>
        <v>-0.10110974106041894</v>
      </c>
      <c r="Q504">
        <f t="shared" si="980"/>
        <v>-14.754461410604147</v>
      </c>
      <c r="R504">
        <f t="shared" si="981"/>
        <v>-55.097334140405735</v>
      </c>
      <c r="S504">
        <f t="shared" si="982"/>
        <v>-5.5097334140405733E-4</v>
      </c>
      <c r="T504">
        <f t="shared" si="983"/>
        <v>-5.5097334140405733E-7</v>
      </c>
    </row>
    <row r="505" spans="1:20" x14ac:dyDescent="0.25">
      <c r="A505" s="5">
        <v>44088</v>
      </c>
      <c r="B505">
        <v>1945</v>
      </c>
      <c r="C505">
        <v>1969</v>
      </c>
      <c r="D505">
        <v>1945</v>
      </c>
      <c r="E505">
        <v>1964.21</v>
      </c>
      <c r="F505">
        <v>40.757024999999999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0.60083333333333633</v>
      </c>
      <c r="Q505">
        <f t="shared" si="980"/>
        <v>24.488179187500123</v>
      </c>
      <c r="R505">
        <f t="shared" si="981"/>
        <v>-40.342872729801584</v>
      </c>
      <c r="S505">
        <f t="shared" si="982"/>
        <v>-4.0342872729801587E-4</v>
      </c>
      <c r="T505">
        <f t="shared" si="983"/>
        <v>-4.0342872729801588E-7</v>
      </c>
    </row>
    <row r="506" spans="1:20" x14ac:dyDescent="0.25">
      <c r="A506" s="5">
        <v>44087</v>
      </c>
      <c r="B506">
        <v>1949.99</v>
      </c>
      <c r="C506">
        <v>1969</v>
      </c>
      <c r="D506">
        <v>1944.8</v>
      </c>
      <c r="E506">
        <v>1948.2</v>
      </c>
      <c r="F506">
        <v>104.39743300000001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-0.71900826446280297</v>
      </c>
      <c r="Q506">
        <f t="shared" si="980"/>
        <v>-75.062617115701755</v>
      </c>
      <c r="R506">
        <f t="shared" si="981"/>
        <v>-64.831051917301707</v>
      </c>
      <c r="S506">
        <f t="shared" si="982"/>
        <v>-6.4831051917301711E-4</v>
      </c>
      <c r="T506">
        <f t="shared" si="983"/>
        <v>-6.4831051917301711E-7</v>
      </c>
    </row>
    <row r="507" spans="1:20" x14ac:dyDescent="0.25">
      <c r="A507" s="5">
        <v>44086</v>
      </c>
      <c r="B507">
        <v>1945.87</v>
      </c>
      <c r="C507">
        <v>1958</v>
      </c>
      <c r="D507">
        <v>1943.15</v>
      </c>
      <c r="E507">
        <v>1950</v>
      </c>
      <c r="F507">
        <v>99.840449000000007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-7.7441077441084041E-2</v>
      </c>
      <c r="Q507">
        <f t="shared" si="980"/>
        <v>-7.7317519427616022</v>
      </c>
      <c r="R507">
        <f t="shared" si="981"/>
        <v>10.231565198400045</v>
      </c>
      <c r="S507">
        <f t="shared" si="982"/>
        <v>1.0231565198400045E-4</v>
      </c>
      <c r="T507">
        <f t="shared" si="983"/>
        <v>1.0231565198400046E-7</v>
      </c>
    </row>
    <row r="508" spans="1:20" x14ac:dyDescent="0.25">
      <c r="A508" s="5">
        <v>44085</v>
      </c>
      <c r="B508">
        <v>1953.53</v>
      </c>
      <c r="C508">
        <v>1958</v>
      </c>
      <c r="D508">
        <v>1936.72</v>
      </c>
      <c r="E508">
        <v>1947.69</v>
      </c>
      <c r="F508">
        <v>47.475614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3.101503759398885E-2</v>
      </c>
      <c r="Q508">
        <f t="shared" si="980"/>
        <v>1.4724579530077033</v>
      </c>
      <c r="R508">
        <f t="shared" si="981"/>
        <v>17.963317141161646</v>
      </c>
      <c r="S508">
        <f t="shared" si="982"/>
        <v>1.7963317141161646E-4</v>
      </c>
      <c r="T508">
        <f t="shared" si="983"/>
        <v>1.7963317141161647E-7</v>
      </c>
    </row>
    <row r="509" spans="1:20" x14ac:dyDescent="0.25">
      <c r="A509" s="5">
        <v>44084</v>
      </c>
      <c r="B509">
        <v>1954.08</v>
      </c>
      <c r="C509">
        <v>1967.99</v>
      </c>
      <c r="D509">
        <v>1939.01</v>
      </c>
      <c r="E509">
        <v>1955.49</v>
      </c>
      <c r="F509">
        <v>76.395335000000003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0.13733609385783352</v>
      </c>
      <c r="Q509">
        <f t="shared" si="980"/>
        <v>10.491836897860635</v>
      </c>
      <c r="R509">
        <f t="shared" si="981"/>
        <v>16.490859188153941</v>
      </c>
      <c r="S509">
        <f t="shared" si="982"/>
        <v>1.649085918815394E-4</v>
      </c>
      <c r="T509">
        <f t="shared" si="983"/>
        <v>1.6490859188153941E-7</v>
      </c>
    </row>
    <row r="510" spans="1:20" x14ac:dyDescent="0.25">
      <c r="A510" s="5">
        <v>44083</v>
      </c>
      <c r="B510">
        <v>1941.4</v>
      </c>
      <c r="C510">
        <v>1958.59</v>
      </c>
      <c r="D510">
        <v>1928.53</v>
      </c>
      <c r="E510">
        <v>1954.08</v>
      </c>
      <c r="F510">
        <v>60.041589999999999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0.69993346640053233</v>
      </c>
      <c r="Q510">
        <f t="shared" si="980"/>
        <v>42.025118216899536</v>
      </c>
      <c r="R510">
        <f t="shared" si="981"/>
        <v>5.9990222902933041</v>
      </c>
      <c r="S510">
        <f t="shared" si="982"/>
        <v>5.9990222902933043E-5</v>
      </c>
      <c r="T510">
        <f t="shared" si="983"/>
        <v>5.999022290293304E-8</v>
      </c>
    </row>
    <row r="511" spans="1:20" x14ac:dyDescent="0.25">
      <c r="A511" s="5">
        <v>44082</v>
      </c>
      <c r="B511">
        <v>1936.98</v>
      </c>
      <c r="C511">
        <v>1948.35</v>
      </c>
      <c r="D511">
        <v>1902.96</v>
      </c>
      <c r="E511">
        <v>1934.92</v>
      </c>
      <c r="F511">
        <v>86.719099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0.40823970037453738</v>
      </c>
      <c r="Q511">
        <f t="shared" si="980"/>
        <v>35.402178992509846</v>
      </c>
      <c r="R511">
        <f t="shared" si="981"/>
        <v>-36.026095926606232</v>
      </c>
      <c r="S511">
        <f t="shared" si="982"/>
        <v>-3.602609592660623E-4</v>
      </c>
      <c r="T511">
        <f t="shared" si="983"/>
        <v>-3.6026095926606232E-7</v>
      </c>
    </row>
    <row r="512" spans="1:20" x14ac:dyDescent="0.25">
      <c r="A512" s="5">
        <v>44081</v>
      </c>
      <c r="B512">
        <v>1935.97</v>
      </c>
      <c r="C512">
        <v>1942.21</v>
      </c>
      <c r="D512">
        <v>1916.11</v>
      </c>
      <c r="E512">
        <v>1939.45</v>
      </c>
      <c r="F512">
        <v>149.70423099999999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0.78850574712643862</v>
      </c>
      <c r="Q512">
        <f t="shared" si="980"/>
        <v>118.04264651264394</v>
      </c>
      <c r="R512">
        <f t="shared" si="981"/>
        <v>-71.428274919116078</v>
      </c>
      <c r="S512">
        <f t="shared" si="982"/>
        <v>-7.1428274919116083E-4</v>
      </c>
      <c r="T512">
        <f t="shared" si="983"/>
        <v>-7.1428274919116081E-7</v>
      </c>
    </row>
    <row r="513" spans="1:20" x14ac:dyDescent="0.25">
      <c r="A513" s="5">
        <v>44080</v>
      </c>
      <c r="B513">
        <v>1938</v>
      </c>
      <c r="C513">
        <v>1962</v>
      </c>
      <c r="D513">
        <v>1922.19</v>
      </c>
      <c r="E513">
        <v>1933</v>
      </c>
      <c r="F513">
        <v>167.596215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-0.45692037176588995</v>
      </c>
      <c r="Q513">
        <f t="shared" si="980"/>
        <v>-76.578124864356028</v>
      </c>
      <c r="R513">
        <f t="shared" si="981"/>
        <v>-189.47092143176002</v>
      </c>
      <c r="S513">
        <f t="shared" si="982"/>
        <v>-1.8947092143176002E-3</v>
      </c>
      <c r="T513">
        <f t="shared" si="983"/>
        <v>-1.8947092143176001E-6</v>
      </c>
    </row>
    <row r="514" spans="1:20" x14ac:dyDescent="0.25">
      <c r="A514" s="5">
        <v>44079</v>
      </c>
      <c r="B514">
        <v>1937.5</v>
      </c>
      <c r="C514">
        <v>1965</v>
      </c>
      <c r="D514">
        <v>1910</v>
      </c>
      <c r="E514">
        <v>1938</v>
      </c>
      <c r="F514">
        <v>188.16332199999999</v>
      </c>
      <c r="G514">
        <v>0</v>
      </c>
      <c r="L514" t="s">
        <v>8</v>
      </c>
      <c r="M514" t="s">
        <v>8</v>
      </c>
      <c r="N514" t="s">
        <v>8</v>
      </c>
      <c r="P514">
        <f t="shared" si="979"/>
        <v>1.8181818181818181E-2</v>
      </c>
      <c r="Q514">
        <f t="shared" si="980"/>
        <v>3.4211513090909089</v>
      </c>
      <c r="R514">
        <f t="shared" si="981"/>
        <v>-112.89279656740398</v>
      </c>
      <c r="S514">
        <f t="shared" si="982"/>
        <v>-1.1289279656740397E-3</v>
      </c>
      <c r="T514">
        <f t="shared" si="983"/>
        <v>-1.1289279656740396E-6</v>
      </c>
    </row>
    <row r="515" spans="1:20" x14ac:dyDescent="0.25">
      <c r="A515" s="5">
        <v>44078</v>
      </c>
      <c r="B515">
        <v>1931.25</v>
      </c>
      <c r="C515">
        <v>1971.32</v>
      </c>
      <c r="D515">
        <v>1900.91</v>
      </c>
      <c r="E515">
        <v>1930.13</v>
      </c>
      <c r="F515">
        <v>360.98148600000002</v>
      </c>
      <c r="G515">
        <v>0</v>
      </c>
      <c r="L515" t="s">
        <v>8</v>
      </c>
      <c r="M515" t="s">
        <v>8</v>
      </c>
      <c r="N515" t="s">
        <v>8</v>
      </c>
      <c r="P515">
        <f t="shared" si="979"/>
        <v>-0.17000426075841252</v>
      </c>
      <c r="Q515">
        <f t="shared" si="980"/>
        <v>-61.368390674903239</v>
      </c>
      <c r="R515">
        <f t="shared" si="981"/>
        <v>-116.31394787649488</v>
      </c>
      <c r="S515">
        <f t="shared" si="982"/>
        <v>-1.1631394787649488E-3</v>
      </c>
      <c r="T515">
        <f t="shared" si="983"/>
        <v>-1.1631394787649489E-6</v>
      </c>
    </row>
    <row r="516" spans="1:20" x14ac:dyDescent="0.25">
      <c r="A516" s="5">
        <v>44077</v>
      </c>
      <c r="B516">
        <v>1952</v>
      </c>
      <c r="C516">
        <v>1964.87</v>
      </c>
      <c r="D516">
        <v>1915.5</v>
      </c>
      <c r="E516">
        <v>1925</v>
      </c>
      <c r="F516">
        <v>204.66126800000001</v>
      </c>
      <c r="G516">
        <v>0</v>
      </c>
      <c r="L516" t="s">
        <v>8</v>
      </c>
      <c r="M516" t="s">
        <v>8</v>
      </c>
      <c r="N516" t="s">
        <v>8</v>
      </c>
      <c r="P516">
        <f t="shared" si="979"/>
        <v>-0.6151509013570986</v>
      </c>
      <c r="Q516">
        <f t="shared" si="980"/>
        <v>-125.89756348308673</v>
      </c>
      <c r="R516">
        <f t="shared" si="981"/>
        <v>-54.94555720159164</v>
      </c>
      <c r="S516">
        <f t="shared" si="982"/>
        <v>-5.4945557201591642E-4</v>
      </c>
      <c r="T516">
        <f t="shared" si="983"/>
        <v>-5.4945557201591647E-7</v>
      </c>
    </row>
    <row r="517" spans="1:20" x14ac:dyDescent="0.25">
      <c r="A517" s="5">
        <v>44076</v>
      </c>
      <c r="B517">
        <v>1982.84</v>
      </c>
      <c r="C517">
        <v>1988.75</v>
      </c>
      <c r="D517">
        <v>1929.06</v>
      </c>
      <c r="E517">
        <v>1957.64</v>
      </c>
      <c r="F517">
        <v>215.21981099999999</v>
      </c>
      <c r="G517">
        <v>0</v>
      </c>
      <c r="L517" t="s">
        <v>8</v>
      </c>
      <c r="M517" t="s">
        <v>8</v>
      </c>
      <c r="N517" t="s">
        <v>8</v>
      </c>
      <c r="P517">
        <f t="shared" si="979"/>
        <v>-4.2385659239399277E-2</v>
      </c>
      <c r="Q517">
        <f t="shared" si="980"/>
        <v>-9.1222335706139166</v>
      </c>
      <c r="R517">
        <f t="shared" si="981"/>
        <v>70.952006281495088</v>
      </c>
      <c r="S517">
        <f t="shared" si="982"/>
        <v>7.0952006281495088E-4</v>
      </c>
      <c r="T517">
        <f t="shared" si="983"/>
        <v>7.0952006281495092E-7</v>
      </c>
    </row>
    <row r="518" spans="1:20" x14ac:dyDescent="0.25">
      <c r="A518" s="5">
        <v>44075</v>
      </c>
      <c r="B518">
        <v>1971.48</v>
      </c>
      <c r="C518">
        <v>2007.5</v>
      </c>
      <c r="D518">
        <v>1967.31</v>
      </c>
      <c r="E518">
        <v>1981.25</v>
      </c>
      <c r="F518">
        <v>200.68409800000001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-0.30629509828315327</v>
      </c>
      <c r="Q518">
        <f t="shared" ref="Q518:Q581" si="985">F518*P518</f>
        <v>-61.468555520775965</v>
      </c>
      <c r="R518">
        <f t="shared" ref="R518:R581" si="986">R519+Q518</f>
        <v>80.074239852109002</v>
      </c>
      <c r="S518">
        <f t="shared" ref="S518:S581" si="987">R518/100000</f>
        <v>8.0074239852109005E-4</v>
      </c>
      <c r="T518">
        <f t="shared" ref="T518:T581" si="988">S518/1000</f>
        <v>8.0074239852109009E-7</v>
      </c>
    </row>
    <row r="519" spans="1:20" x14ac:dyDescent="0.25">
      <c r="A519" s="5">
        <v>44074</v>
      </c>
      <c r="B519">
        <v>1982.1</v>
      </c>
      <c r="C519">
        <v>1983.65</v>
      </c>
      <c r="D519">
        <v>1964.39</v>
      </c>
      <c r="E519">
        <v>1971.48</v>
      </c>
      <c r="F519">
        <v>131.65153699999999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-0.2637590861890009</v>
      </c>
      <c r="Q519">
        <f t="shared" si="985"/>
        <v>-34.724289094497436</v>
      </c>
      <c r="R519">
        <f t="shared" si="986"/>
        <v>141.54279537288497</v>
      </c>
      <c r="S519">
        <f t="shared" si="987"/>
        <v>1.4154279537288497E-3</v>
      </c>
      <c r="T519">
        <f t="shared" si="988"/>
        <v>1.4154279537288497E-6</v>
      </c>
    </row>
    <row r="520" spans="1:20" x14ac:dyDescent="0.25">
      <c r="A520" s="5">
        <v>44073</v>
      </c>
      <c r="B520">
        <v>1972.16</v>
      </c>
      <c r="C520">
        <v>1985</v>
      </c>
      <c r="D520">
        <v>1946.75</v>
      </c>
      <c r="E520">
        <v>1982.1</v>
      </c>
      <c r="F520">
        <v>260.89202999999998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0.84836601307189063</v>
      </c>
      <c r="Q520">
        <f t="shared" si="985"/>
        <v>221.33193133333205</v>
      </c>
      <c r="R520">
        <f t="shared" si="986"/>
        <v>176.2670844673824</v>
      </c>
      <c r="S520">
        <f t="shared" si="987"/>
        <v>1.762670844673824E-3</v>
      </c>
      <c r="T520">
        <f t="shared" si="988"/>
        <v>1.762670844673824E-6</v>
      </c>
    </row>
    <row r="521" spans="1:20" x14ac:dyDescent="0.25">
      <c r="A521" s="5">
        <v>44072</v>
      </c>
      <c r="B521">
        <v>1966.91</v>
      </c>
      <c r="C521">
        <v>1989.91</v>
      </c>
      <c r="D521">
        <v>1940.01</v>
      </c>
      <c r="E521">
        <v>1964.34</v>
      </c>
      <c r="F521">
        <v>191.835869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-2.4849699398802289E-2</v>
      </c>
      <c r="Q521">
        <f t="shared" si="985"/>
        <v>-4.7670636785580145</v>
      </c>
      <c r="R521">
        <f t="shared" si="986"/>
        <v>-45.064846865949654</v>
      </c>
      <c r="S521">
        <f t="shared" si="987"/>
        <v>-4.5064846865949652E-4</v>
      </c>
      <c r="T521">
        <f t="shared" si="988"/>
        <v>-4.5064846865949649E-7</v>
      </c>
    </row>
    <row r="522" spans="1:20" x14ac:dyDescent="0.25">
      <c r="A522" s="5">
        <v>44071</v>
      </c>
      <c r="B522">
        <v>1945.95</v>
      </c>
      <c r="C522">
        <v>2049.69</v>
      </c>
      <c r="D522">
        <v>1945.95</v>
      </c>
      <c r="E522">
        <v>1977.99</v>
      </c>
      <c r="F522">
        <v>105.408271</v>
      </c>
      <c r="G522">
        <v>0</v>
      </c>
      <c r="P522">
        <f t="shared" si="984"/>
        <v>-0.38230190861769886</v>
      </c>
      <c r="Q522">
        <f t="shared" si="985"/>
        <v>-40.297783187391637</v>
      </c>
      <c r="R522">
        <f t="shared" si="986"/>
        <v>-40.297783187391637</v>
      </c>
      <c r="S522">
        <f t="shared" si="987"/>
        <v>-4.0297783187391638E-4</v>
      </c>
      <c r="T522">
        <f t="shared" si="988"/>
        <v>-4.0297783187391639E-7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207" sqref="K20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$A$206</v>
      </c>
      <c r="D111" s="1" t="str">
        <f>ADDRESS(C121-1,D121,1,1)</f>
        <v>$K$206</v>
      </c>
      <c r="E111"/>
    </row>
    <row r="112" spans="1:5" x14ac:dyDescent="0.25">
      <c r="A112" s="7">
        <v>12164.144957890772</v>
      </c>
      <c r="C112" s="1" t="str">
        <f>ADDRESS(C121,1,1,1)</f>
        <v>$A$207</v>
      </c>
      <c r="D112" s="1" t="str">
        <f>ADDRESS(C121,D121-1,1,1)</f>
        <v>$J$207</v>
      </c>
      <c r="E112"/>
    </row>
    <row r="113" spans="1:5" x14ac:dyDescent="0.25">
      <c r="A113" s="7">
        <v>11925.63231165762</v>
      </c>
      <c r="C113" s="1" t="str">
        <f>ADDRESS(C121+1,1,1,1)</f>
        <v>$A$208</v>
      </c>
      <c r="D113" s="1" t="str">
        <f>ADDRESS(C121-1,D121+1,1,1)</f>
        <v>$L$206</v>
      </c>
    </row>
    <row r="114" spans="1:5" x14ac:dyDescent="0.25">
      <c r="A114" s="7">
        <v>11691.796383978059</v>
      </c>
      <c r="C114" s="1" t="str">
        <f>ADDRESS(C121,D121,1,1)</f>
        <v>$K$207</v>
      </c>
      <c r="D114" s="1" t="str">
        <f>ADDRESS(C121+1,D121+1,1,1)</f>
        <v>$L$208</v>
      </c>
    </row>
    <row r="115" spans="1:5" x14ac:dyDescent="0.25">
      <c r="A115" s="7">
        <v>11462.545474488292</v>
      </c>
      <c r="C115" s="1" t="str">
        <f>ADDRESS(C121+1,D121,1,1)</f>
        <v>$K$208</v>
      </c>
    </row>
    <row r="116" spans="1:5" x14ac:dyDescent="0.25">
      <c r="A116" s="7">
        <v>11237.789680870874</v>
      </c>
      <c r="C116" s="1">
        <f>C117-1</f>
        <v>206</v>
      </c>
    </row>
    <row r="117" spans="1:5" x14ac:dyDescent="0.25">
      <c r="A117" s="7">
        <v>11017.440863598895</v>
      </c>
      <c r="C117" s="1">
        <f>C121</f>
        <v>207</v>
      </c>
      <c r="D117" s="1">
        <f>D121</f>
        <v>11</v>
      </c>
    </row>
    <row r="118" spans="1:5" x14ac:dyDescent="0.25">
      <c r="A118" s="7">
        <v>10801.412611371465</v>
      </c>
      <c r="C118" s="1">
        <f>C117+1</f>
        <v>208</v>
      </c>
      <c r="D118" s="1">
        <f>D117+1</f>
        <v>12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207</v>
      </c>
      <c r="D121" s="19">
        <v>11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R207</v>
      </c>
      <c r="D123" s="1" t="str">
        <f>"C"&amp;D121</f>
        <v>C11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1853.8102091022618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11" x14ac:dyDescent="0.25">
      <c r="A193" s="7">
        <v>2446.0632016595778</v>
      </c>
      <c r="B193"/>
      <c r="C193"/>
      <c r="D193"/>
      <c r="E193"/>
    </row>
    <row r="194" spans="1:11" x14ac:dyDescent="0.25">
      <c r="A194" s="7">
        <v>2398.1011780976251</v>
      </c>
      <c r="B194"/>
      <c r="C194"/>
      <c r="D194"/>
      <c r="E194"/>
    </row>
    <row r="195" spans="1:11" x14ac:dyDescent="0.25">
      <c r="A195" s="7">
        <v>2351.0795863702206</v>
      </c>
      <c r="B195"/>
      <c r="C195"/>
      <c r="D195"/>
      <c r="E195"/>
    </row>
    <row r="196" spans="1:11" x14ac:dyDescent="0.25">
      <c r="A196" s="7">
        <v>2304.979986637471</v>
      </c>
      <c r="B196"/>
      <c r="C196"/>
      <c r="D196"/>
      <c r="E196"/>
    </row>
    <row r="197" spans="1:11" x14ac:dyDescent="0.25">
      <c r="A197" s="7">
        <v>2259.7843006249714</v>
      </c>
      <c r="B197"/>
      <c r="C197"/>
      <c r="D197"/>
      <c r="E197"/>
    </row>
    <row r="198" spans="1:11" x14ac:dyDescent="0.25">
      <c r="A198" s="7">
        <v>2215.4748045342858</v>
      </c>
      <c r="B198"/>
      <c r="C198"/>
      <c r="D198"/>
      <c r="E198"/>
    </row>
    <row r="199" spans="1:11" x14ac:dyDescent="0.25">
      <c r="A199" s="7">
        <v>2172.034122092437</v>
      </c>
      <c r="B199"/>
      <c r="C199"/>
      <c r="D199"/>
      <c r="E199"/>
    </row>
    <row r="200" spans="1:11" x14ac:dyDescent="0.25">
      <c r="A200" s="7">
        <v>2129.4452177376834</v>
      </c>
      <c r="B200"/>
      <c r="C200"/>
      <c r="D200"/>
      <c r="E200"/>
    </row>
    <row r="201" spans="1:11" x14ac:dyDescent="0.25">
      <c r="A201" s="7">
        <v>2087.6913899389051</v>
      </c>
      <c r="B201"/>
      <c r="C201"/>
      <c r="D201"/>
      <c r="E201"/>
      <c r="G201" s="27" t="s">
        <v>8</v>
      </c>
    </row>
    <row r="202" spans="1:11" x14ac:dyDescent="0.25">
      <c r="A202" s="7">
        <v>2046.7562646459853</v>
      </c>
      <c r="B202"/>
      <c r="C202"/>
      <c r="D202"/>
      <c r="E202"/>
      <c r="G202" s="27" t="s">
        <v>8</v>
      </c>
      <c r="H202" s="27" t="s">
        <v>7</v>
      </c>
    </row>
    <row r="203" spans="1:11" x14ac:dyDescent="0.25">
      <c r="A203" s="7">
        <v>2006.623788868613</v>
      </c>
      <c r="B203"/>
      <c r="C203"/>
      <c r="D203"/>
      <c r="E203" t="s">
        <v>8</v>
      </c>
      <c r="G203" s="27" t="s">
        <v>8</v>
      </c>
      <c r="H203" s="27" t="s">
        <v>7</v>
      </c>
      <c r="I203" s="27" t="s">
        <v>8</v>
      </c>
    </row>
    <row r="204" spans="1:11" x14ac:dyDescent="0.25">
      <c r="A204" s="7">
        <v>1967.2782243809932</v>
      </c>
      <c r="B204"/>
      <c r="C204"/>
      <c r="D204"/>
      <c r="E204" t="s">
        <v>8</v>
      </c>
      <c r="F204" s="27" t="s">
        <v>7</v>
      </c>
      <c r="G204" s="27" t="s">
        <v>8</v>
      </c>
      <c r="H204" s="27" t="s">
        <v>7</v>
      </c>
      <c r="I204" s="27" t="s">
        <v>8</v>
      </c>
      <c r="J204" s="27" t="s">
        <v>7</v>
      </c>
    </row>
    <row r="205" spans="1:11" x14ac:dyDescent="0.25">
      <c r="A205" s="7">
        <v>1928.7041415499932</v>
      </c>
      <c r="B205"/>
      <c r="C205"/>
      <c r="D205"/>
      <c r="E205" t="s">
        <v>8</v>
      </c>
      <c r="F205" s="27" t="s">
        <v>7</v>
      </c>
      <c r="G205" s="27" t="s">
        <v>8</v>
      </c>
      <c r="H205" s="27" t="s">
        <v>7</v>
      </c>
      <c r="I205" s="27" t="s">
        <v>8</v>
      </c>
      <c r="J205" s="27" t="s">
        <v>7</v>
      </c>
    </row>
    <row r="206" spans="1:11" x14ac:dyDescent="0.25">
      <c r="A206" s="7">
        <v>1890.8864132843071</v>
      </c>
      <c r="B206"/>
      <c r="C206"/>
      <c r="D206"/>
      <c r="E206" t="s">
        <v>8</v>
      </c>
      <c r="F206" s="27" t="s">
        <v>7</v>
      </c>
      <c r="G206" s="27" t="s">
        <v>8</v>
      </c>
      <c r="H206" s="27" t="s">
        <v>7</v>
      </c>
      <c r="I206" s="27" t="s">
        <v>8</v>
      </c>
      <c r="J206" s="27" t="s">
        <v>7</v>
      </c>
    </row>
    <row r="207" spans="1:11" x14ac:dyDescent="0.25">
      <c r="A207" s="7">
        <v>1853.8102091022618</v>
      </c>
      <c r="B207"/>
      <c r="C207"/>
      <c r="D207"/>
      <c r="E207" t="s">
        <v>8</v>
      </c>
      <c r="F207" s="27" t="s">
        <v>7</v>
      </c>
      <c r="G207" s="27" t="s">
        <v>8</v>
      </c>
      <c r="H207" s="27" t="s">
        <v>7</v>
      </c>
      <c r="I207" s="27" t="s">
        <v>8</v>
      </c>
      <c r="J207" s="27" t="s">
        <v>7</v>
      </c>
      <c r="K207" s="27" t="s">
        <v>8</v>
      </c>
    </row>
    <row r="208" spans="1:11" x14ac:dyDescent="0.25">
      <c r="A208" s="7">
        <v>1817.4609893159429</v>
      </c>
      <c r="B208"/>
      <c r="C208"/>
      <c r="D208"/>
      <c r="E208" t="s">
        <v>8</v>
      </c>
      <c r="F208" s="27" t="s">
        <v>7</v>
      </c>
      <c r="G208" s="27" t="s">
        <v>8</v>
      </c>
      <c r="H208" s="27" t="s">
        <v>7</v>
      </c>
      <c r="I208" s="27" t="s">
        <v>8</v>
      </c>
      <c r="J208" s="27" t="s">
        <v>7</v>
      </c>
      <c r="K208" s="27" t="s">
        <v>8</v>
      </c>
    </row>
    <row r="209" spans="1:11" x14ac:dyDescent="0.25">
      <c r="A209" s="7">
        <v>1781.8244993293558</v>
      </c>
      <c r="B209"/>
      <c r="C209"/>
      <c r="D209"/>
      <c r="E209" t="s">
        <v>8</v>
      </c>
      <c r="F209" s="27" t="s">
        <v>7</v>
      </c>
      <c r="H209" s="27" t="s">
        <v>7</v>
      </c>
      <c r="I209" s="27" t="s">
        <v>8</v>
      </c>
      <c r="J209" s="18" t="s">
        <v>7</v>
      </c>
      <c r="K209" s="27" t="s">
        <v>8</v>
      </c>
    </row>
    <row r="210" spans="1:11" x14ac:dyDescent="0.25">
      <c r="A210" s="7">
        <v>1746.8867640483879</v>
      </c>
      <c r="B210"/>
      <c r="C210"/>
      <c r="D210"/>
      <c r="E210" t="s">
        <v>8</v>
      </c>
      <c r="H210" s="27" t="s">
        <v>7</v>
      </c>
      <c r="I210" s="27" t="s">
        <v>8</v>
      </c>
      <c r="J210" s="27" t="s">
        <v>7</v>
      </c>
      <c r="K210" s="27" t="s">
        <v>8</v>
      </c>
    </row>
    <row r="211" spans="1:11" x14ac:dyDescent="0.25">
      <c r="A211" s="7">
        <v>1712.6340824003803</v>
      </c>
      <c r="B211"/>
      <c r="C211"/>
      <c r="D211"/>
      <c r="E211" t="s">
        <v>8</v>
      </c>
      <c r="H211" s="27" t="s">
        <v>7</v>
      </c>
      <c r="J211" s="27" t="s">
        <v>7</v>
      </c>
    </row>
    <row r="212" spans="1:11" x14ac:dyDescent="0.25">
      <c r="A212" s="7">
        <v>1679.0530219611571</v>
      </c>
      <c r="B212"/>
      <c r="C212"/>
      <c r="D212"/>
      <c r="E212" t="s">
        <v>8</v>
      </c>
    </row>
    <row r="213" spans="1:11" x14ac:dyDescent="0.25">
      <c r="A213" s="7">
        <v>1646.1304136874089</v>
      </c>
      <c r="B213"/>
      <c r="C213"/>
      <c r="D213"/>
      <c r="E213" t="s">
        <v>8</v>
      </c>
    </row>
    <row r="214" spans="1:11" x14ac:dyDescent="0.25">
      <c r="A214" s="7">
        <v>1613.8533467523616</v>
      </c>
      <c r="B214"/>
      <c r="C214"/>
      <c r="D214"/>
      <c r="E214" t="s">
        <v>8</v>
      </c>
    </row>
    <row r="215" spans="1:11" x14ac:dyDescent="0.25">
      <c r="A215" s="7">
        <v>1582.2091634827075</v>
      </c>
      <c r="B215"/>
      <c r="C215"/>
      <c r="D215"/>
      <c r="E215" t="s">
        <v>8</v>
      </c>
    </row>
    <row r="216" spans="1:11" x14ac:dyDescent="0.25">
      <c r="A216" s="7">
        <v>1551.1854543948111</v>
      </c>
      <c r="B216"/>
      <c r="C216"/>
      <c r="D216"/>
      <c r="E216" t="s">
        <v>8</v>
      </c>
    </row>
    <row r="217" spans="1:11" x14ac:dyDescent="0.25">
      <c r="A217" s="7">
        <v>1520.7700533282461</v>
      </c>
      <c r="B217"/>
      <c r="C217"/>
      <c r="D217"/>
      <c r="E217" t="s">
        <v>8</v>
      </c>
    </row>
    <row r="218" spans="1:11" x14ac:dyDescent="0.25">
      <c r="A218" s="7">
        <v>1490.9510326747511</v>
      </c>
      <c r="B218"/>
      <c r="C218"/>
      <c r="D218"/>
      <c r="E218" t="s">
        <v>8</v>
      </c>
    </row>
    <row r="219" spans="1:11" x14ac:dyDescent="0.25">
      <c r="A219" s="7">
        <v>1461.7166987007363</v>
      </c>
      <c r="B219"/>
      <c r="C219"/>
      <c r="D219"/>
      <c r="E219" t="s">
        <v>8</v>
      </c>
    </row>
    <row r="220" spans="1:11" x14ac:dyDescent="0.25">
      <c r="A220" s="7">
        <v>1433.0555869615062</v>
      </c>
      <c r="B220"/>
      <c r="C220"/>
      <c r="D220"/>
      <c r="E220" t="s">
        <v>8</v>
      </c>
    </row>
    <row r="221" spans="1:11" x14ac:dyDescent="0.25">
      <c r="A221" s="7">
        <v>1404.9564578053983</v>
      </c>
      <c r="B221"/>
      <c r="C221"/>
      <c r="D221"/>
      <c r="E221" t="s">
        <v>8</v>
      </c>
    </row>
    <row r="222" spans="1:11" x14ac:dyDescent="0.25">
      <c r="A222" s="7">
        <v>1377.4082919660766</v>
      </c>
      <c r="B222"/>
      <c r="C222"/>
      <c r="D222"/>
      <c r="E222" t="s">
        <v>8</v>
      </c>
    </row>
    <row r="223" spans="1:11" x14ac:dyDescent="0.25">
      <c r="A223" s="7">
        <v>1350.4002862412515</v>
      </c>
      <c r="B223"/>
      <c r="C223"/>
      <c r="D223"/>
      <c r="E223" t="s">
        <v>8</v>
      </c>
    </row>
    <row r="224" spans="1:11" x14ac:dyDescent="0.25">
      <c r="A224" s="7">
        <v>1323.9218492561288</v>
      </c>
      <c r="B224"/>
      <c r="C224"/>
      <c r="D224"/>
      <c r="E224" t="s">
        <v>8</v>
      </c>
    </row>
    <row r="225" spans="1:5" x14ac:dyDescent="0.25">
      <c r="A225" s="7">
        <v>1297.9625973099301</v>
      </c>
      <c r="B225"/>
      <c r="C225"/>
      <c r="D225"/>
      <c r="E225" t="s">
        <v>8</v>
      </c>
    </row>
    <row r="226" spans="1:5" x14ac:dyDescent="0.25">
      <c r="A226" s="7">
        <v>1272.5123503038531</v>
      </c>
      <c r="B226"/>
      <c r="C226"/>
      <c r="D226"/>
      <c r="E226" t="s">
        <v>8</v>
      </c>
    </row>
    <row r="227" spans="1:5" x14ac:dyDescent="0.25">
      <c r="A227" s="7">
        <v>1247.5611277488756</v>
      </c>
      <c r="B227"/>
      <c r="C227"/>
      <c r="D227"/>
      <c r="E227" t="s">
        <v>8</v>
      </c>
    </row>
    <row r="228" spans="1:5" x14ac:dyDescent="0.25">
      <c r="A228" s="7">
        <v>1223.0991448518389</v>
      </c>
      <c r="B228"/>
      <c r="C228"/>
      <c r="D228"/>
      <c r="E228" t="s">
        <v>8</v>
      </c>
    </row>
    <row r="229" spans="1:5" x14ac:dyDescent="0.25">
      <c r="A229" s="7">
        <v>1199.1168086782734</v>
      </c>
      <c r="B229"/>
      <c r="C229"/>
      <c r="D229"/>
      <c r="E229" t="s">
        <v>8</v>
      </c>
    </row>
    <row r="230" spans="1:5" x14ac:dyDescent="0.25">
      <c r="A230" s="7">
        <v>1175.6047143904641</v>
      </c>
      <c r="B230"/>
      <c r="C230"/>
      <c r="D230"/>
      <c r="E230" t="s">
        <v>8</v>
      </c>
    </row>
    <row r="231" spans="1:5" x14ac:dyDescent="0.25">
      <c r="A231" s="7">
        <v>1152.5536415592785</v>
      </c>
      <c r="B231"/>
      <c r="C231"/>
      <c r="D231"/>
      <c r="E231" t="s">
        <v>8</v>
      </c>
    </row>
    <row r="232" spans="1:5" x14ac:dyDescent="0.25">
      <c r="A232" s="7">
        <v>1129.9545505483122</v>
      </c>
      <c r="B232"/>
      <c r="C232"/>
      <c r="D232"/>
      <c r="E232" t="s">
        <v>8</v>
      </c>
    </row>
    <row r="233" spans="1:5" x14ac:dyDescent="0.25">
      <c r="A233" s="7">
        <v>1107.7985789689335</v>
      </c>
      <c r="B233"/>
      <c r="C233"/>
      <c r="D233"/>
      <c r="E233" t="s">
        <v>8</v>
      </c>
    </row>
    <row r="234" spans="1:5" x14ac:dyDescent="0.25">
      <c r="A234" s="7">
        <v>1086.0770382048368</v>
      </c>
      <c r="B234"/>
      <c r="C234"/>
      <c r="D234"/>
      <c r="E234" t="s">
        <v>8</v>
      </c>
    </row>
    <row r="235" spans="1:5" x14ac:dyDescent="0.25">
      <c r="A235" s="7">
        <v>1064.7814100047419</v>
      </c>
      <c r="B235"/>
      <c r="C235"/>
      <c r="D235"/>
      <c r="E235" t="s">
        <v>8</v>
      </c>
    </row>
    <row r="236" spans="1:5" x14ac:dyDescent="0.25">
      <c r="A236" s="7">
        <v>1043.9033431419039</v>
      </c>
      <c r="B236"/>
      <c r="C236"/>
      <c r="D236"/>
      <c r="E236" t="s">
        <v>8</v>
      </c>
    </row>
    <row r="237" spans="1:5" x14ac:dyDescent="0.25">
      <c r="A237" s="7">
        <v>1023.4346501391215</v>
      </c>
      <c r="B237"/>
      <c r="C237"/>
      <c r="D237"/>
      <c r="E237" t="s">
        <v>8</v>
      </c>
    </row>
    <row r="238" spans="1:5" x14ac:dyDescent="0.25">
      <c r="A238" s="7">
        <v>1003.3673040579622</v>
      </c>
      <c r="B238"/>
      <c r="C238"/>
      <c r="D238"/>
      <c r="E238" t="s">
        <v>8</v>
      </c>
    </row>
    <row r="239" spans="1:5" x14ac:dyDescent="0.25">
      <c r="A239" s="7">
        <v>983.69343535094333</v>
      </c>
      <c r="B239"/>
      <c r="C239"/>
      <c r="D239"/>
      <c r="E239" t="s">
        <v>8</v>
      </c>
    </row>
    <row r="240" spans="1:5" x14ac:dyDescent="0.25">
      <c r="A240" s="7">
        <v>964.40532877543467</v>
      </c>
      <c r="B240"/>
      <c r="C240"/>
      <c r="D240"/>
      <c r="E240" t="s">
        <v>8</v>
      </c>
    </row>
    <row r="241" spans="1:5" x14ac:dyDescent="0.25">
      <c r="A241" s="7">
        <v>945.49542036807316</v>
      </c>
      <c r="B241"/>
      <c r="C241"/>
      <c r="D241"/>
      <c r="E241" t="s">
        <v>8</v>
      </c>
    </row>
    <row r="242" spans="1:5" x14ac:dyDescent="0.25">
      <c r="A242" s="7">
        <v>926.95629447850308</v>
      </c>
      <c r="B242"/>
      <c r="C242"/>
      <c r="D242"/>
      <c r="E242" t="s">
        <v>8</v>
      </c>
    </row>
    <row r="243" spans="1:5" x14ac:dyDescent="0.25">
      <c r="A243" s="7">
        <v>908.78068086127746</v>
      </c>
      <c r="B243"/>
      <c r="C243"/>
      <c r="D243"/>
      <c r="E243" t="s">
        <v>8</v>
      </c>
    </row>
    <row r="244" spans="1:5" x14ac:dyDescent="0.25">
      <c r="A244" s="7">
        <v>890.96145182478176</v>
      </c>
      <c r="B244"/>
      <c r="C244"/>
      <c r="D244"/>
      <c r="E244" t="s">
        <v>8</v>
      </c>
    </row>
    <row r="245" spans="1:5" x14ac:dyDescent="0.25">
      <c r="A245" s="7">
        <v>873.49161943606055</v>
      </c>
      <c r="B245"/>
      <c r="C245"/>
      <c r="D245"/>
      <c r="E245" t="s">
        <v>8</v>
      </c>
    </row>
    <row r="246" spans="1:5" x14ac:dyDescent="0.25">
      <c r="A246" s="7">
        <v>856.36433278045149</v>
      </c>
      <c r="B246"/>
      <c r="C246"/>
      <c r="D246"/>
      <c r="E246" t="s">
        <v>8</v>
      </c>
    </row>
    <row r="247" spans="1:5" x14ac:dyDescent="0.25">
      <c r="A247" s="7">
        <v>839.57287527495248</v>
      </c>
      <c r="B247"/>
      <c r="C247"/>
      <c r="D247"/>
      <c r="E247" t="s">
        <v>8</v>
      </c>
    </row>
    <row r="248" spans="1:5" x14ac:dyDescent="0.25">
      <c r="A248" s="7">
        <v>823.11066203426708</v>
      </c>
      <c r="B248"/>
      <c r="C248"/>
      <c r="D248"/>
      <c r="E248" t="s">
        <v>8</v>
      </c>
    </row>
    <row r="249" spans="1:5" x14ac:dyDescent="0.25">
      <c r="A249" s="7">
        <v>806.97123728849715</v>
      </c>
      <c r="B249"/>
      <c r="C249"/>
      <c r="D249"/>
      <c r="E249" t="s">
        <v>8</v>
      </c>
    </row>
    <row r="250" spans="1:5" x14ac:dyDescent="0.25">
      <c r="A250" s="7">
        <v>791.14827185146783</v>
      </c>
      <c r="B250"/>
      <c r="C250"/>
      <c r="D250"/>
      <c r="E250" t="s">
        <v>8</v>
      </c>
    </row>
    <row r="251" spans="1:5" x14ac:dyDescent="0.25">
      <c r="A251" s="7">
        <v>775.63556063869396</v>
      </c>
      <c r="B251"/>
      <c r="C251"/>
      <c r="D251"/>
      <c r="E251" t="s">
        <v>8</v>
      </c>
    </row>
    <row r="252" spans="1:5" x14ac:dyDescent="0.25">
      <c r="A252" s="7">
        <v>760.42702023401364</v>
      </c>
      <c r="B252"/>
      <c r="C252"/>
      <c r="D252"/>
      <c r="E252" t="s">
        <v>8</v>
      </c>
    </row>
    <row r="253" spans="1:5" x14ac:dyDescent="0.25">
      <c r="A253" s="7">
        <v>745.51668650393492</v>
      </c>
      <c r="B253"/>
      <c r="C253"/>
      <c r="D253"/>
      <c r="E253" t="s">
        <v>8</v>
      </c>
    </row>
    <row r="254" spans="1:5" x14ac:dyDescent="0.25">
      <c r="A254" s="7">
        <v>730.8987122587597</v>
      </c>
      <c r="B254"/>
      <c r="C254"/>
      <c r="D254"/>
      <c r="E254" t="s">
        <v>8</v>
      </c>
    </row>
    <row r="255" spans="1:5" x14ac:dyDescent="0.25">
      <c r="A255" s="7">
        <v>716.56736495956829</v>
      </c>
      <c r="B255"/>
      <c r="C255"/>
      <c r="D255"/>
      <c r="E255" t="s">
        <v>8</v>
      </c>
    </row>
    <row r="256" spans="1:5" x14ac:dyDescent="0.25">
      <c r="A256" s="7">
        <v>702.51702447016498</v>
      </c>
      <c r="B256"/>
      <c r="C256"/>
      <c r="D256"/>
      <c r="E256" t="s">
        <v>8</v>
      </c>
    </row>
    <row r="257" spans="1:5" x14ac:dyDescent="0.25">
      <c r="A257" s="7">
        <v>688.74218085310292</v>
      </c>
      <c r="B257"/>
      <c r="C257"/>
      <c r="D257"/>
      <c r="E257" t="s">
        <v>8</v>
      </c>
    </row>
    <row r="258" spans="1:5" x14ac:dyDescent="0.25">
      <c r="A258" s="7">
        <v>675.23743220892447</v>
      </c>
      <c r="B258"/>
      <c r="C258"/>
      <c r="D258"/>
      <c r="E258" t="s">
        <v>8</v>
      </c>
    </row>
    <row r="259" spans="1:5" x14ac:dyDescent="0.25">
      <c r="A259" s="7">
        <v>661.9974825577691</v>
      </c>
      <c r="B259"/>
      <c r="C259"/>
      <c r="D259"/>
      <c r="E259" t="s">
        <v>8</v>
      </c>
    </row>
    <row r="260" spans="1:5" x14ac:dyDescent="0.25">
      <c r="A260" s="7">
        <v>649.0171397625187</v>
      </c>
      <c r="B260"/>
      <c r="C260"/>
      <c r="D260"/>
      <c r="E260" t="s">
        <v>8</v>
      </c>
    </row>
    <row r="261" spans="1:5" x14ac:dyDescent="0.25">
      <c r="A261" s="7">
        <v>636.29131349266538</v>
      </c>
      <c r="B261"/>
      <c r="C261"/>
      <c r="D261"/>
      <c r="E261" t="s">
        <v>8</v>
      </c>
    </row>
    <row r="262" spans="1:5" x14ac:dyDescent="0.25">
      <c r="A262" s="7">
        <v>623.81501322810334</v>
      </c>
      <c r="B262"/>
      <c r="C262"/>
      <c r="D262"/>
      <c r="E262" t="s">
        <v>8</v>
      </c>
    </row>
    <row r="263" spans="1:5" x14ac:dyDescent="0.25">
      <c r="A263" s="7">
        <v>611.58334630206207</v>
      </c>
      <c r="B263"/>
      <c r="C263"/>
      <c r="D263"/>
      <c r="E263" t="s">
        <v>8</v>
      </c>
    </row>
    <row r="264" spans="1:5" x14ac:dyDescent="0.25">
      <c r="A264" s="7">
        <v>599.59151598241374</v>
      </c>
      <c r="B264"/>
      <c r="C264"/>
      <c r="D264"/>
      <c r="E264" t="s">
        <v>8</v>
      </c>
    </row>
    <row r="265" spans="1:5" x14ac:dyDescent="0.25">
      <c r="A265" s="7">
        <v>587.83481959060168</v>
      </c>
      <c r="B265"/>
      <c r="C265"/>
      <c r="D265"/>
      <c r="E265" t="s">
        <v>8</v>
      </c>
    </row>
    <row r="266" spans="1:5" x14ac:dyDescent="0.25">
      <c r="A266" s="7">
        <v>576.30864665745264</v>
      </c>
      <c r="B266"/>
      <c r="C266"/>
      <c r="D266"/>
      <c r="E266" t="s">
        <v>8</v>
      </c>
    </row>
    <row r="267" spans="1:5" x14ac:dyDescent="0.25">
      <c r="A267" s="7">
        <v>565.00847711514962</v>
      </c>
      <c r="B267"/>
      <c r="C267"/>
      <c r="D267"/>
      <c r="E267" t="s">
        <v>8</v>
      </c>
    </row>
    <row r="268" spans="1:5" x14ac:dyDescent="0.25">
      <c r="A268" s="7">
        <v>553.92987952465649</v>
      </c>
      <c r="B268"/>
      <c r="C268"/>
      <c r="D268"/>
      <c r="E268" t="s">
        <v>8</v>
      </c>
    </row>
    <row r="269" spans="1:5" x14ac:dyDescent="0.25">
      <c r="A269" s="7">
        <v>543.06850933789849</v>
      </c>
      <c r="B269"/>
      <c r="C269"/>
      <c r="D269"/>
      <c r="E269" t="s">
        <v>8</v>
      </c>
    </row>
    <row r="270" spans="1:5" x14ac:dyDescent="0.25">
      <c r="A270" s="7">
        <v>532.4201071940181</v>
      </c>
      <c r="B270"/>
      <c r="C270"/>
      <c r="D270"/>
      <c r="E270" t="s">
        <v>8</v>
      </c>
    </row>
    <row r="271" spans="1:5" x14ac:dyDescent="0.25">
      <c r="A271" s="7">
        <v>521.9804972490374</v>
      </c>
      <c r="B271"/>
      <c r="C271"/>
      <c r="D271"/>
      <c r="E271" t="s">
        <v>8</v>
      </c>
    </row>
    <row r="272" spans="1:5" x14ac:dyDescent="0.25">
      <c r="A272" s="7">
        <v>511.74558553827194</v>
      </c>
      <c r="B272"/>
      <c r="C272"/>
      <c r="D272"/>
      <c r="E272" t="s">
        <v>8</v>
      </c>
    </row>
    <row r="273" spans="1:5" x14ac:dyDescent="0.25">
      <c r="A273" s="7">
        <v>501.71135837085484</v>
      </c>
      <c r="B273"/>
      <c r="C273"/>
      <c r="D273"/>
      <c r="E273" t="s">
        <v>8</v>
      </c>
    </row>
    <row r="274" spans="1:5" x14ac:dyDescent="0.25">
      <c r="A274" s="7">
        <v>491.87388075574</v>
      </c>
      <c r="B274"/>
      <c r="C274"/>
      <c r="D274"/>
      <c r="E274" t="s">
        <v>8</v>
      </c>
    </row>
    <row r="275" spans="1:5" x14ac:dyDescent="0.25">
      <c r="A275" s="7">
        <v>482.22929485856861</v>
      </c>
      <c r="B275"/>
      <c r="C275"/>
      <c r="D275"/>
      <c r="E275" t="s">
        <v>8</v>
      </c>
    </row>
    <row r="276" spans="1:5" x14ac:dyDescent="0.25">
      <c r="A276" s="7">
        <v>472.77381848879276</v>
      </c>
      <c r="B276"/>
      <c r="C276"/>
      <c r="D276"/>
      <c r="E276" t="s">
        <v>8</v>
      </c>
    </row>
    <row r="277" spans="1:5" x14ac:dyDescent="0.25">
      <c r="A277" s="7">
        <v>463.50374361646345</v>
      </c>
      <c r="B277"/>
      <c r="C277"/>
      <c r="D277"/>
      <c r="E277" t="s">
        <v>8</v>
      </c>
    </row>
    <row r="278" spans="1:5" x14ac:dyDescent="0.25">
      <c r="A278" s="7">
        <v>454.41543491810143</v>
      </c>
      <c r="B278"/>
      <c r="C278"/>
      <c r="D278"/>
      <c r="E278" t="s">
        <v>8</v>
      </c>
    </row>
    <row r="279" spans="1:5" x14ac:dyDescent="0.25">
      <c r="A279" s="7">
        <v>445.50532835107981</v>
      </c>
      <c r="B279"/>
      <c r="C279"/>
      <c r="D279"/>
      <c r="E279" t="s">
        <v>8</v>
      </c>
    </row>
    <row r="280" spans="1:5" x14ac:dyDescent="0.25">
      <c r="A280" s="7">
        <v>436.76992975596062</v>
      </c>
      <c r="B280"/>
      <c r="C280"/>
      <c r="D280"/>
      <c r="E280" t="s">
        <v>8</v>
      </c>
    </row>
    <row r="281" spans="1:5" x14ac:dyDescent="0.25">
      <c r="A281" s="7">
        <v>428.20581348623591</v>
      </c>
      <c r="B281"/>
      <c r="C281"/>
      <c r="D281"/>
      <c r="E281" t="s">
        <v>8</v>
      </c>
    </row>
    <row r="282" spans="1:5" x14ac:dyDescent="0.25">
      <c r="A282" s="7">
        <v>419.80962106493718</v>
      </c>
      <c r="B282"/>
      <c r="C282"/>
      <c r="D282"/>
      <c r="E282" t="s">
        <v>8</v>
      </c>
    </row>
    <row r="283" spans="1:5" x14ac:dyDescent="0.25">
      <c r="A283" s="7">
        <v>411.57805986758547</v>
      </c>
      <c r="B283"/>
      <c r="C283"/>
      <c r="D283"/>
      <c r="E283" t="s">
        <v>8</v>
      </c>
    </row>
    <row r="284" spans="1:5" x14ac:dyDescent="0.25">
      <c r="A284" s="7">
        <v>403.50790183096615</v>
      </c>
      <c r="B284"/>
      <c r="C284"/>
      <c r="D284"/>
      <c r="E284" t="s">
        <v>8</v>
      </c>
    </row>
    <row r="285" spans="1:5" x14ac:dyDescent="0.25">
      <c r="A285" s="7">
        <v>395.59598218722169</v>
      </c>
      <c r="B285"/>
      <c r="C285"/>
      <c r="D285"/>
      <c r="E285" t="s">
        <v>8</v>
      </c>
    </row>
    <row r="286" spans="1:5" x14ac:dyDescent="0.25">
      <c r="A286" s="7">
        <v>387.83919822276636</v>
      </c>
      <c r="B286"/>
      <c r="C286"/>
      <c r="D286"/>
      <c r="E286" t="s">
        <v>8</v>
      </c>
    </row>
    <row r="287" spans="1:5" x14ac:dyDescent="0.25">
      <c r="A287" s="7">
        <v>380.23450806153562</v>
      </c>
      <c r="B287"/>
      <c r="C287"/>
      <c r="D287"/>
      <c r="E287" t="s">
        <v>8</v>
      </c>
    </row>
    <row r="288" spans="1:5" x14ac:dyDescent="0.25">
      <c r="A288" s="7">
        <v>372.77892947209375</v>
      </c>
      <c r="B288"/>
      <c r="C288"/>
      <c r="D288"/>
      <c r="E288" t="s">
        <v>8</v>
      </c>
    </row>
    <row r="289" spans="1:5" x14ac:dyDescent="0.25">
      <c r="A289" s="7">
        <v>365.46953869813115</v>
      </c>
      <c r="B289"/>
      <c r="C289"/>
      <c r="D289"/>
      <c r="E289" t="s">
        <v>8</v>
      </c>
    </row>
    <row r="290" spans="1:5" x14ac:dyDescent="0.25">
      <c r="A290" s="7">
        <v>358.30346931189325</v>
      </c>
      <c r="B290"/>
      <c r="C290"/>
      <c r="D290"/>
      <c r="E290" t="s">
        <v>8</v>
      </c>
    </row>
    <row r="291" spans="1:5" x14ac:dyDescent="0.25">
      <c r="A291" s="7">
        <v>351.27791109009144</v>
      </c>
      <c r="B291"/>
      <c r="C291"/>
      <c r="D291"/>
      <c r="E291" t="s">
        <v>8</v>
      </c>
    </row>
    <row r="292" spans="1:5" x14ac:dyDescent="0.25">
      <c r="A292" s="7">
        <v>344.39010891185433</v>
      </c>
      <c r="B292"/>
      <c r="C292"/>
      <c r="D292"/>
      <c r="E292" t="s">
        <v>8</v>
      </c>
    </row>
    <row r="293" spans="1:5" x14ac:dyDescent="0.25">
      <c r="A293" s="7">
        <v>337.63736167828853</v>
      </c>
      <c r="B293"/>
      <c r="C293"/>
      <c r="D293"/>
      <c r="E293" t="s">
        <v>8</v>
      </c>
    </row>
    <row r="294" spans="1:5" x14ac:dyDescent="0.25">
      <c r="A294" s="7">
        <v>331.01702125322402</v>
      </c>
      <c r="B294"/>
      <c r="C294"/>
      <c r="D294"/>
      <c r="E294" t="s">
        <v>8</v>
      </c>
    </row>
    <row r="295" spans="1:5" x14ac:dyDescent="0.25">
      <c r="A295" s="7">
        <v>324.52649142472944</v>
      </c>
      <c r="B295"/>
      <c r="C295"/>
      <c r="D295"/>
      <c r="E295" t="s">
        <v>8</v>
      </c>
    </row>
    <row r="296" spans="1:5" x14ac:dyDescent="0.25">
      <c r="A296" s="7">
        <v>318.16322688698966</v>
      </c>
      <c r="B296"/>
      <c r="C296"/>
      <c r="D296"/>
      <c r="E296" t="s">
        <v>8</v>
      </c>
    </row>
    <row r="297" spans="1:5" x14ac:dyDescent="0.25">
      <c r="A297" s="7">
        <v>311.92473224214672</v>
      </c>
      <c r="B297"/>
      <c r="C297"/>
      <c r="D297"/>
      <c r="E297" t="s">
        <v>8</v>
      </c>
    </row>
    <row r="298" spans="1:5" x14ac:dyDescent="0.25">
      <c r="A298" s="7">
        <v>305.80856102171248</v>
      </c>
      <c r="B298"/>
      <c r="C298"/>
      <c r="D298"/>
      <c r="E298" t="s">
        <v>8</v>
      </c>
    </row>
    <row r="299" spans="1:5" x14ac:dyDescent="0.25">
      <c r="A299" s="7">
        <v>299.81231472716911</v>
      </c>
      <c r="B299"/>
      <c r="C299"/>
      <c r="D299"/>
      <c r="E299" t="s">
        <v>8</v>
      </c>
    </row>
    <row r="300" spans="1:5" x14ac:dyDescent="0.25">
      <c r="A300" s="7">
        <v>293.93364188938148</v>
      </c>
      <c r="B300"/>
      <c r="C300"/>
      <c r="D300"/>
      <c r="E300" t="s">
        <v>8</v>
      </c>
    </row>
    <row r="301" spans="1:5" x14ac:dyDescent="0.25">
      <c r="A301" s="7">
        <v>288.17023714645245</v>
      </c>
      <c r="B301"/>
      <c r="C301"/>
      <c r="D301"/>
      <c r="E301" t="s">
        <v>8</v>
      </c>
    </row>
    <row r="302" spans="1:5" x14ac:dyDescent="0.25">
      <c r="A302" s="7">
        <v>282.51984033965925</v>
      </c>
      <c r="B302"/>
      <c r="C302"/>
      <c r="D302"/>
      <c r="E302" t="s">
        <v>8</v>
      </c>
    </row>
    <row r="303" spans="1:5" x14ac:dyDescent="0.25">
      <c r="A303" s="7">
        <v>276.98023562711688</v>
      </c>
      <c r="B303"/>
      <c r="C303"/>
      <c r="D303"/>
      <c r="E303" t="s">
        <v>8</v>
      </c>
    </row>
    <row r="304" spans="1:5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23" operator="equal">
      <formula>$U$1</formula>
    </cfRule>
    <cfRule type="cellIs" dxfId="89" priority="924" operator="equal">
      <formula>$S$1</formula>
    </cfRule>
  </conditionalFormatting>
  <conditionalFormatting sqref="D27">
    <cfRule type="cellIs" dxfId="88" priority="921" operator="equal">
      <formula>$S$1</formula>
    </cfRule>
    <cfRule type="cellIs" dxfId="87" priority="922" operator="equal">
      <formula>$U$1</formula>
    </cfRule>
  </conditionalFormatting>
  <conditionalFormatting sqref="C164">
    <cfRule type="cellIs" dxfId="86" priority="919" operator="equal">
      <formula>$U$1</formula>
    </cfRule>
    <cfRule type="cellIs" dxfId="85" priority="920" operator="equal">
      <formula>$S$1</formula>
    </cfRule>
  </conditionalFormatting>
  <conditionalFormatting sqref="D164">
    <cfRule type="cellIs" dxfId="84" priority="917" operator="equal">
      <formula>$S$1</formula>
    </cfRule>
    <cfRule type="cellIs" dxfId="83" priority="918" operator="equal">
      <formula>$U$1</formula>
    </cfRule>
  </conditionalFormatting>
  <conditionalFormatting sqref="C55">
    <cfRule type="cellIs" dxfId="82" priority="915" operator="equal">
      <formula>$U$1</formula>
    </cfRule>
    <cfRule type="cellIs" dxfId="81" priority="916" operator="equal">
      <formula>$S$1</formula>
    </cfRule>
  </conditionalFormatting>
  <conditionalFormatting sqref="D55">
    <cfRule type="cellIs" dxfId="80" priority="913" operator="equal">
      <formula>$S$1</formula>
    </cfRule>
    <cfRule type="cellIs" dxfId="79" priority="914" operator="equal">
      <formula>$U$1</formula>
    </cfRule>
  </conditionalFormatting>
  <conditionalFormatting sqref="C89">
    <cfRule type="cellIs" dxfId="78" priority="911" operator="equal">
      <formula>$U$1</formula>
    </cfRule>
    <cfRule type="cellIs" dxfId="77" priority="912" operator="equal">
      <formula>$S$1</formula>
    </cfRule>
  </conditionalFormatting>
  <conditionalFormatting sqref="D89">
    <cfRule type="cellIs" dxfId="76" priority="909" operator="equal">
      <formula>$S$1</formula>
    </cfRule>
    <cfRule type="cellIs" dxfId="75" priority="910" operator="equal">
      <formula>$U$1</formula>
    </cfRule>
  </conditionalFormatting>
  <conditionalFormatting sqref="C136">
    <cfRule type="cellIs" dxfId="74" priority="907" operator="equal">
      <formula>$U$1</formula>
    </cfRule>
    <cfRule type="cellIs" dxfId="73" priority="908" operator="equal">
      <formula>$S$1</formula>
    </cfRule>
  </conditionalFormatting>
  <conditionalFormatting sqref="D136">
    <cfRule type="cellIs" dxfId="72" priority="905" operator="equal">
      <formula>$S$1</formula>
    </cfRule>
    <cfRule type="cellIs" dxfId="71" priority="906" operator="equal">
      <formula>$U$1</formula>
    </cfRule>
  </conditionalFormatting>
  <conditionalFormatting sqref="C1">
    <cfRule type="cellIs" dxfId="70" priority="90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H87" sqref="H8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8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8" x14ac:dyDescent="0.25">
      <c r="A82" s="30">
        <v>2227.9695606549776</v>
      </c>
      <c r="E82"/>
    </row>
    <row r="83" spans="1:8" x14ac:dyDescent="0.25">
      <c r="A83" s="30">
        <v>2121.8757720523595</v>
      </c>
      <c r="E83"/>
    </row>
    <row r="84" spans="1:8" x14ac:dyDescent="0.25">
      <c r="A84" s="30">
        <v>2020.8340686212948</v>
      </c>
      <c r="E84" t="s">
        <v>8</v>
      </c>
      <c r="G84" s="18" t="s">
        <v>8</v>
      </c>
    </row>
    <row r="85" spans="1:8" x14ac:dyDescent="0.25">
      <c r="A85" s="30">
        <v>1924.6038748774236</v>
      </c>
      <c r="E85" t="s">
        <v>8</v>
      </c>
      <c r="F85" s="27" t="s">
        <v>7</v>
      </c>
      <c r="G85" s="27" t="s">
        <v>8</v>
      </c>
      <c r="H85" s="27" t="s">
        <v>7</v>
      </c>
    </row>
    <row r="86" spans="1:8" x14ac:dyDescent="0.25">
      <c r="A86" s="30">
        <v>1832.9560713118319</v>
      </c>
      <c r="E86" t="s">
        <v>8</v>
      </c>
      <c r="F86" s="27" t="s">
        <v>7</v>
      </c>
      <c r="G86" s="27" t="s">
        <v>8</v>
      </c>
      <c r="H86" s="27" t="s">
        <v>7</v>
      </c>
    </row>
    <row r="87" spans="1:8" x14ac:dyDescent="0.25">
      <c r="A87" s="30">
        <v>1745.6724488684113</v>
      </c>
      <c r="E87" t="s">
        <v>8</v>
      </c>
      <c r="F87" s="27" t="s">
        <v>7</v>
      </c>
      <c r="H87" s="27" t="s">
        <v>7</v>
      </c>
    </row>
    <row r="88" spans="1:8" x14ac:dyDescent="0.25">
      <c r="A88" s="30">
        <v>1662.5451893984869</v>
      </c>
      <c r="E88" t="s">
        <v>8</v>
      </c>
    </row>
    <row r="89" spans="1:8" x14ac:dyDescent="0.25">
      <c r="A89" s="30">
        <v>1583.3763708557017</v>
      </c>
      <c r="E89" t="s">
        <v>8</v>
      </c>
    </row>
    <row r="90" spans="1:8" x14ac:dyDescent="0.25">
      <c r="A90" s="30">
        <v>1507.9774960530492</v>
      </c>
      <c r="E90" t="s">
        <v>8</v>
      </c>
    </row>
    <row r="91" spans="1:8" x14ac:dyDescent="0.25">
      <c r="A91" s="30">
        <v>1436.1690438600467</v>
      </c>
      <c r="E91" t="s">
        <v>8</v>
      </c>
    </row>
    <row r="92" spans="1:8" x14ac:dyDescent="0.25">
      <c r="A92" s="30">
        <v>1367.780041771473</v>
      </c>
      <c r="E92" t="s">
        <v>8</v>
      </c>
    </row>
    <row r="93" spans="1:8" x14ac:dyDescent="0.25">
      <c r="A93" s="30">
        <v>1302.6476588299743</v>
      </c>
      <c r="E93" t="s">
        <v>8</v>
      </c>
    </row>
    <row r="94" spans="1:8" x14ac:dyDescent="0.25">
      <c r="A94" s="30">
        <v>1240.6168179333088</v>
      </c>
      <c r="E94" t="s">
        <v>8</v>
      </c>
    </row>
    <row r="95" spans="1:8" x14ac:dyDescent="0.25">
      <c r="A95" s="30">
        <v>1181.5398266031511</v>
      </c>
      <c r="E95" t="s">
        <v>8</v>
      </c>
    </row>
    <row r="96" spans="1:8" x14ac:dyDescent="0.25">
      <c r="A96" s="30">
        <v>1125.2760253363344</v>
      </c>
      <c r="C96" s="1" t="s">
        <v>15</v>
      </c>
      <c r="E96" t="s">
        <v>8</v>
      </c>
    </row>
    <row r="97" spans="1:5" x14ac:dyDescent="0.25">
      <c r="A97" s="30">
        <v>1071.6914527012709</v>
      </c>
      <c r="C97" s="7">
        <v>0.11686133436193799</v>
      </c>
      <c r="D97"/>
      <c r="E97" t="s">
        <v>8</v>
      </c>
    </row>
    <row r="98" spans="1:5" x14ac:dyDescent="0.25">
      <c r="A98" s="30">
        <v>1020.6585263821628</v>
      </c>
      <c r="E98" t="s">
        <v>8</v>
      </c>
    </row>
    <row r="99" spans="1:5" x14ac:dyDescent="0.25">
      <c r="A99" s="30">
        <v>972.05573941158355</v>
      </c>
      <c r="C99" s="1" t="s">
        <v>11</v>
      </c>
      <c r="D99" s="1" t="s">
        <v>12</v>
      </c>
      <c r="E99" t="s">
        <v>8</v>
      </c>
    </row>
    <row r="100" spans="1:5" x14ac:dyDescent="0.25">
      <c r="A100" s="30">
        <v>925.76737086817479</v>
      </c>
      <c r="C100"/>
      <c r="D100"/>
      <c r="E100" t="s">
        <v>8</v>
      </c>
    </row>
    <row r="101" spans="1:5" x14ac:dyDescent="0.25">
      <c r="A101" s="30">
        <v>881.68321035064264</v>
      </c>
      <c r="E101" t="s">
        <v>8</v>
      </c>
    </row>
    <row r="102" spans="1:5" x14ac:dyDescent="0.25">
      <c r="A102" s="30">
        <v>839.69829557204059</v>
      </c>
      <c r="C102" s="1" t="s">
        <v>13</v>
      </c>
      <c r="E102" t="s">
        <v>8</v>
      </c>
    </row>
    <row r="103" spans="1:5" x14ac:dyDescent="0.25">
      <c r="A103" s="30">
        <v>799.71266244956246</v>
      </c>
      <c r="C103" s="1">
        <f>C92</f>
        <v>0</v>
      </c>
      <c r="E103" t="s">
        <v>8</v>
      </c>
    </row>
    <row r="104" spans="1:5" x14ac:dyDescent="0.25">
      <c r="A104" s="30">
        <v>761.63110709482135</v>
      </c>
      <c r="C104"/>
      <c r="E104" t="s">
        <v>8</v>
      </c>
    </row>
    <row r="105" spans="1:5" x14ac:dyDescent="0.25">
      <c r="A105" s="30">
        <v>725.36295913792503</v>
      </c>
      <c r="C105" s="1" t="s">
        <v>14</v>
      </c>
      <c r="E105" t="s">
        <v>8</v>
      </c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 t="s">
        <v>8</v>
      </c>
    </row>
    <row r="107" spans="1:5" x14ac:dyDescent="0.25">
      <c r="A107" s="30">
        <v>657.92558651965976</v>
      </c>
      <c r="E107" t="s">
        <v>8</v>
      </c>
    </row>
    <row r="108" spans="1:5" x14ac:dyDescent="0.25">
      <c r="A108" s="30">
        <v>626.59579668539027</v>
      </c>
      <c r="E108" t="s">
        <v>8</v>
      </c>
    </row>
    <row r="109" spans="1:5" x14ac:dyDescent="0.25">
      <c r="A109" s="30">
        <v>596.75790160513361</v>
      </c>
      <c r="E109" t="s">
        <v>8</v>
      </c>
    </row>
    <row r="110" spans="1:5" x14ac:dyDescent="0.25">
      <c r="A110" s="30">
        <v>568.34085867155579</v>
      </c>
      <c r="E110" t="s">
        <v>8</v>
      </c>
    </row>
    <row r="111" spans="1:5" x14ac:dyDescent="0.25">
      <c r="A111" s="30">
        <v>541.27700825862451</v>
      </c>
      <c r="C111" s="1" t="str">
        <f>ADDRESS(C121-1,1,1,1)</f>
        <v>$A$86</v>
      </c>
      <c r="D111" s="1" t="str">
        <f>ADDRESS(C121-1,D121,1,1)</f>
        <v>$H$86</v>
      </c>
      <c r="E111" t="s">
        <v>8</v>
      </c>
    </row>
    <row r="112" spans="1:5" x14ac:dyDescent="0.25">
      <c r="A112" s="30">
        <v>515.50191262726139</v>
      </c>
      <c r="C112" s="1" t="str">
        <f>ADDRESS(C121,1,1,1)</f>
        <v>$A$87</v>
      </c>
      <c r="D112" s="1" t="str">
        <f>ADDRESS(C121,D121-1,1,1)</f>
        <v>$G$87</v>
      </c>
      <c r="E112" t="s">
        <v>8</v>
      </c>
    </row>
    <row r="113" spans="1:5" x14ac:dyDescent="0.25">
      <c r="A113" s="30">
        <v>490.95420250215363</v>
      </c>
      <c r="C113" s="1" t="str">
        <f>ADDRESS(C121+1,1,1,1)</f>
        <v>$A$88</v>
      </c>
      <c r="D113" s="1" t="str">
        <f>ADDRESS(C121-1,D121+1,1,1)</f>
        <v>$I$86</v>
      </c>
      <c r="E113" s="1" t="s">
        <v>8</v>
      </c>
    </row>
    <row r="114" spans="1:5" x14ac:dyDescent="0.25">
      <c r="A114" s="30">
        <v>467.57543095443202</v>
      </c>
      <c r="C114" s="1" t="str">
        <f>ADDRESS(C121,D121,1,1)</f>
        <v>$H$87</v>
      </c>
      <c r="D114" s="1" t="str">
        <f>ADDRESS(C121+1,D121+1,1,1)</f>
        <v>$I$88</v>
      </c>
      <c r="E114" s="1" t="s">
        <v>8</v>
      </c>
    </row>
    <row r="115" spans="1:5" x14ac:dyDescent="0.25">
      <c r="A115" s="30">
        <v>445.30993424231622</v>
      </c>
      <c r="C115" s="1" t="str">
        <f>ADDRESS(C121+1,D121,1,1)</f>
        <v>$H$88</v>
      </c>
      <c r="E115" s="1" t="s">
        <v>8</v>
      </c>
    </row>
    <row r="116" spans="1:5" x14ac:dyDescent="0.25">
      <c r="A116" s="30">
        <v>424.10469927839637</v>
      </c>
      <c r="C116" s="1">
        <f>C117-1</f>
        <v>86</v>
      </c>
      <c r="E116" s="1" t="s">
        <v>8</v>
      </c>
    </row>
    <row r="117" spans="1:5" x14ac:dyDescent="0.25">
      <c r="A117" s="30">
        <v>403.9092374079965</v>
      </c>
      <c r="C117" s="1">
        <f>C121</f>
        <v>87</v>
      </c>
      <c r="D117" s="1">
        <f>D121</f>
        <v>8</v>
      </c>
      <c r="E117" s="1" t="s">
        <v>8</v>
      </c>
    </row>
    <row r="118" spans="1:5" x14ac:dyDescent="0.25">
      <c r="A118" s="30">
        <v>384.6754641980919</v>
      </c>
      <c r="C118" s="1">
        <f>C117+1</f>
        <v>88</v>
      </c>
      <c r="D118" s="1">
        <f>D117+1</f>
        <v>9</v>
      </c>
      <c r="E118" s="1" t="s">
        <v>8</v>
      </c>
    </row>
    <row r="119" spans="1:5" x14ac:dyDescent="0.25">
      <c r="A119" s="30">
        <v>366.35758495056371</v>
      </c>
      <c r="E119" s="1" t="s">
        <v>8</v>
      </c>
    </row>
    <row r="120" spans="1:5" x14ac:dyDescent="0.25">
      <c r="A120" s="30">
        <v>348.91198566720351</v>
      </c>
      <c r="C120" s="1" t="s">
        <v>9</v>
      </c>
      <c r="E120" s="1" t="s">
        <v>8</v>
      </c>
    </row>
    <row r="121" spans="1:5" x14ac:dyDescent="0.25">
      <c r="A121" s="30">
        <v>332.29712920686046</v>
      </c>
      <c r="C121" s="18">
        <v>87</v>
      </c>
      <c r="D121" s="19">
        <v>8</v>
      </c>
      <c r="E121" s="19" t="s">
        <v>8</v>
      </c>
    </row>
    <row r="122" spans="1:5" x14ac:dyDescent="0.25">
      <c r="A122" s="30">
        <v>316.47345638748612</v>
      </c>
      <c r="C122" s="1" t="str">
        <f>INDEX(1:1048576,C117,D117)</f>
        <v>O</v>
      </c>
      <c r="E122" s="1" t="s">
        <v>8</v>
      </c>
    </row>
    <row r="123" spans="1:5" x14ac:dyDescent="0.25">
      <c r="A123" s="30">
        <v>301.40329179760585</v>
      </c>
      <c r="C123" s="1" t="str">
        <f>"R"&amp;C121</f>
        <v>R87</v>
      </c>
      <c r="D123" s="1" t="str">
        <f>"C"&amp;D121</f>
        <v>C8</v>
      </c>
      <c r="E123" s="1" t="s">
        <v>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</row>
    <row r="125" spans="1:5" x14ac:dyDescent="0.25">
      <c r="A125" s="30">
        <v>273.38167056472184</v>
      </c>
      <c r="E125" s="1" t="s">
        <v>8</v>
      </c>
    </row>
    <row r="126" spans="1:5" x14ac:dyDescent="0.25">
      <c r="A126" s="30">
        <v>260.36349577592557</v>
      </c>
      <c r="C126" s="1" t="s">
        <v>10</v>
      </c>
      <c r="E126" s="1" t="s">
        <v>8</v>
      </c>
    </row>
    <row r="127" spans="1:5" x14ac:dyDescent="0.25">
      <c r="A127" s="30">
        <v>247.96523407231004</v>
      </c>
      <c r="C127" s="30">
        <v>1745.6724488684113</v>
      </c>
      <c r="D127"/>
      <c r="E127" s="1" t="s">
        <v>8</v>
      </c>
    </row>
    <row r="128" spans="1:5" x14ac:dyDescent="0.25">
      <c r="A128" s="30">
        <v>236.15736578315241</v>
      </c>
      <c r="E128" s="1" t="s">
        <v>8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214.20169232031964</v>
      </c>
      <c r="C130" s="6"/>
      <c r="D130" s="6"/>
      <c r="E130" t="s">
        <v>8</v>
      </c>
    </row>
    <row r="131" spans="1:5" x14ac:dyDescent="0.25">
      <c r="A131" s="30">
        <v>204.00161173363773</v>
      </c>
      <c r="E131" t="s">
        <v>8</v>
      </c>
    </row>
    <row r="132" spans="1:5" x14ac:dyDescent="0.25">
      <c r="A132" s="30">
        <v>194.28724927013116</v>
      </c>
      <c r="C132" s="1" t="s">
        <v>13</v>
      </c>
      <c r="E132" t="s">
        <v>8</v>
      </c>
    </row>
    <row r="133" spans="1:5" x14ac:dyDescent="0.25">
      <c r="A133" s="30">
        <v>185.03547549536299</v>
      </c>
      <c r="C133" s="1" t="str">
        <f>C122</f>
        <v>O</v>
      </c>
      <c r="E133" t="s">
        <v>8</v>
      </c>
    </row>
    <row r="134" spans="1:5" x14ac:dyDescent="0.25">
      <c r="A134" s="30">
        <v>176.22426237653616</v>
      </c>
      <c r="C134"/>
      <c r="E134" t="s">
        <v>8</v>
      </c>
    </row>
    <row r="135" spans="1:5" x14ac:dyDescent="0.25">
      <c r="A135" s="30">
        <v>167.83263083479633</v>
      </c>
      <c r="C135" s="1" t="s">
        <v>14</v>
      </c>
      <c r="E135" t="s">
        <v>8</v>
      </c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 t="s">
        <v>8</v>
      </c>
    </row>
    <row r="137" spans="1:5" x14ac:dyDescent="0.25">
      <c r="A137" s="30">
        <v>152.22914361432771</v>
      </c>
      <c r="E137" t="s">
        <v>8</v>
      </c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138.07632073861922</v>
      </c>
      <c r="E139" t="s">
        <v>8</v>
      </c>
    </row>
    <row r="140" spans="1:5" x14ac:dyDescent="0.25">
      <c r="A140" s="30">
        <v>131.50125784630401</v>
      </c>
      <c r="C140" s="1">
        <v>0</v>
      </c>
      <c r="E140" t="s">
        <v>8</v>
      </c>
    </row>
    <row r="141" spans="1:5" x14ac:dyDescent="0.25">
      <c r="A141" s="30">
        <v>125.23929318695619</v>
      </c>
      <c r="C141" s="1">
        <v>1</v>
      </c>
      <c r="E141" t="s">
        <v>8</v>
      </c>
    </row>
    <row r="142" spans="1:5" x14ac:dyDescent="0.25">
      <c r="A142" s="30">
        <v>119.27551732091065</v>
      </c>
      <c r="C142" s="1">
        <v>2</v>
      </c>
      <c r="E142" t="s">
        <v>8</v>
      </c>
    </row>
    <row r="143" spans="1:5" x14ac:dyDescent="0.25">
      <c r="A143" s="30">
        <v>113.59573078181967</v>
      </c>
      <c r="C143" s="1">
        <v>3</v>
      </c>
      <c r="E143" t="s">
        <v>8</v>
      </c>
    </row>
    <row r="144" spans="1:5" x14ac:dyDescent="0.25">
      <c r="A144" s="30">
        <v>108.18641026839968</v>
      </c>
      <c r="C144" s="1">
        <v>4</v>
      </c>
      <c r="E144" t="s">
        <v>8</v>
      </c>
    </row>
    <row r="145" spans="1:5" x14ac:dyDescent="0.25">
      <c r="A145" s="30">
        <v>103.03467644609493</v>
      </c>
      <c r="E145" t="s">
        <v>8</v>
      </c>
    </row>
    <row r="146" spans="1:5" x14ac:dyDescent="0.25">
      <c r="A146" s="30">
        <v>98.128263281995174</v>
      </c>
      <c r="E146" t="s">
        <v>8</v>
      </c>
    </row>
    <row r="147" spans="1:5" x14ac:dyDescent="0.25">
      <c r="A147" s="30">
        <v>93.455488839995397</v>
      </c>
      <c r="E147" t="s">
        <v>8</v>
      </c>
    </row>
    <row r="148" spans="1:5" x14ac:dyDescent="0.25">
      <c r="A148" s="30">
        <v>89.005227466662276</v>
      </c>
      <c r="E148" t="s">
        <v>8</v>
      </c>
    </row>
    <row r="149" spans="1:5" x14ac:dyDescent="0.25">
      <c r="A149" s="30">
        <v>84.766883301583121</v>
      </c>
      <c r="E149" t="s">
        <v>8</v>
      </c>
    </row>
    <row r="150" spans="1:5" x14ac:dyDescent="0.25">
      <c r="A150" s="30">
        <v>80.730365049126775</v>
      </c>
      <c r="E150" t="s">
        <v>8</v>
      </c>
    </row>
    <row r="151" spans="1:5" x14ac:dyDescent="0.25">
      <c r="A151" s="30">
        <v>76.886061951549308</v>
      </c>
      <c r="E151" t="s">
        <v>8</v>
      </c>
    </row>
    <row r="152" spans="1:5" x14ac:dyDescent="0.25">
      <c r="A152" s="30">
        <v>73.22482090623744</v>
      </c>
      <c r="E152" t="s">
        <v>8</v>
      </c>
    </row>
    <row r="153" spans="1:5" x14ac:dyDescent="0.25">
      <c r="A153" s="30">
        <v>69.737924672607079</v>
      </c>
      <c r="C153" s="7"/>
      <c r="D153"/>
      <c r="E153" t="s">
        <v>8</v>
      </c>
    </row>
    <row r="154" spans="1:5" x14ac:dyDescent="0.25">
      <c r="A154" s="30">
        <v>66.417071116768639</v>
      </c>
      <c r="E154" t="s">
        <v>8</v>
      </c>
    </row>
    <row r="155" spans="1:5" x14ac:dyDescent="0.25">
      <c r="A155" s="30">
        <v>63.254353444541557</v>
      </c>
      <c r="E155" t="s">
        <v>8</v>
      </c>
    </row>
    <row r="156" spans="1:5" x14ac:dyDescent="0.25">
      <c r="A156" s="30">
        <v>60.242241375753864</v>
      </c>
      <c r="C156"/>
      <c r="D156"/>
      <c r="E156" t="s">
        <v>8</v>
      </c>
    </row>
    <row r="157" spans="1:5" x14ac:dyDescent="0.25">
      <c r="A157" s="30">
        <v>57.373563215003678</v>
      </c>
      <c r="E157" t="s">
        <v>8</v>
      </c>
    </row>
    <row r="158" spans="1:5" x14ac:dyDescent="0.25">
      <c r="A158" s="30">
        <v>54.641488776193974</v>
      </c>
      <c r="E158" t="s">
        <v>8</v>
      </c>
    </row>
    <row r="159" spans="1:5" x14ac:dyDescent="0.25">
      <c r="A159" s="30">
        <v>52.039513120184736</v>
      </c>
      <c r="E159" t="s">
        <v>8</v>
      </c>
    </row>
    <row r="160" spans="1: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8" operator="equal">
      <formula>$U$1</formula>
    </cfRule>
    <cfRule type="cellIs" dxfId="67" priority="939" operator="equal">
      <formula>$S$1</formula>
    </cfRule>
  </conditionalFormatting>
  <conditionalFormatting sqref="D136">
    <cfRule type="cellIs" dxfId="66" priority="936" operator="equal">
      <formula>$S$1</formula>
    </cfRule>
    <cfRule type="cellIs" dxfId="65" priority="937" operator="equal">
      <formula>$U$1</formula>
    </cfRule>
  </conditionalFormatting>
  <conditionalFormatting sqref="C162">
    <cfRule type="cellIs" dxfId="64" priority="934" operator="equal">
      <formula>$U$1</formula>
    </cfRule>
    <cfRule type="cellIs" dxfId="63" priority="935" operator="equal">
      <formula>$S$1</formula>
    </cfRule>
  </conditionalFormatting>
  <conditionalFormatting sqref="D162">
    <cfRule type="cellIs" dxfId="62" priority="932" operator="equal">
      <formula>$S$1</formula>
    </cfRule>
    <cfRule type="cellIs" dxfId="61" priority="933" operator="equal">
      <formula>$U$1</formula>
    </cfRule>
  </conditionalFormatting>
  <conditionalFormatting sqref="C187">
    <cfRule type="cellIs" dxfId="60" priority="930" operator="equal">
      <formula>$U$1</formula>
    </cfRule>
    <cfRule type="cellIs" dxfId="59" priority="931" operator="equal">
      <formula>$S$1</formula>
    </cfRule>
  </conditionalFormatting>
  <conditionalFormatting sqref="D187">
    <cfRule type="cellIs" dxfId="58" priority="928" operator="equal">
      <formula>$S$1</formula>
    </cfRule>
    <cfRule type="cellIs" dxfId="57" priority="929" operator="equal">
      <formula>$U$1</formula>
    </cfRule>
  </conditionalFormatting>
  <conditionalFormatting sqref="C212">
    <cfRule type="cellIs" dxfId="56" priority="926" operator="equal">
      <formula>$U$1</formula>
    </cfRule>
    <cfRule type="cellIs" dxfId="55" priority="927" operator="equal">
      <formula>$S$1</formula>
    </cfRule>
  </conditionalFormatting>
  <conditionalFormatting sqref="D212">
    <cfRule type="cellIs" dxfId="54" priority="924" operator="equal">
      <formula>$S$1</formula>
    </cfRule>
    <cfRule type="cellIs" dxfId="53" priority="925" operator="equal">
      <formula>$U$1</formula>
    </cfRule>
  </conditionalFormatting>
  <conditionalFormatting sqref="C237">
    <cfRule type="cellIs" dxfId="52" priority="922" operator="equal">
      <formula>$U$1</formula>
    </cfRule>
    <cfRule type="cellIs" dxfId="51" priority="923" operator="equal">
      <formula>$S$1</formula>
    </cfRule>
  </conditionalFormatting>
  <conditionalFormatting sqref="D237">
    <cfRule type="cellIs" dxfId="50" priority="920" operator="equal">
      <formula>$S$1</formula>
    </cfRule>
    <cfRule type="cellIs" dxfId="49" priority="921" operator="equal">
      <formula>$U$1</formula>
    </cfRule>
  </conditionalFormatting>
  <conditionalFormatting sqref="C106">
    <cfRule type="cellIs" dxfId="48" priority="918" operator="equal">
      <formula>$U$1</formula>
    </cfRule>
    <cfRule type="cellIs" dxfId="47" priority="919" operator="equal">
      <formula>$S$1</formula>
    </cfRule>
  </conditionalFormatting>
  <conditionalFormatting sqref="D106">
    <cfRule type="cellIs" dxfId="46" priority="916" operator="equal">
      <formula>$S$1</formula>
    </cfRule>
    <cfRule type="cellIs" dxfId="45" priority="917" operator="equal">
      <formula>$U$1</formula>
    </cfRule>
  </conditionalFormatting>
  <conditionalFormatting sqref="C81">
    <cfRule type="cellIs" dxfId="44" priority="914" operator="equal">
      <formula>$U$1</formula>
    </cfRule>
    <cfRule type="cellIs" dxfId="43" priority="915" operator="equal">
      <formula>$S$1</formula>
    </cfRule>
  </conditionalFormatting>
  <conditionalFormatting sqref="D81">
    <cfRule type="cellIs" dxfId="42" priority="912" operator="equal">
      <formula>$S$1</formula>
    </cfRule>
    <cfRule type="cellIs" dxfId="41" priority="913" operator="equal">
      <formula>$U$1</formula>
    </cfRule>
  </conditionalFormatting>
  <conditionalFormatting sqref="C56">
    <cfRule type="cellIs" dxfId="40" priority="910" operator="equal">
      <formula>$U$1</formula>
    </cfRule>
    <cfRule type="cellIs" dxfId="39" priority="911" operator="equal">
      <formula>$S$1</formula>
    </cfRule>
  </conditionalFormatting>
  <conditionalFormatting sqref="D56">
    <cfRule type="cellIs" dxfId="38" priority="908" operator="equal">
      <formula>$S$1</formula>
    </cfRule>
    <cfRule type="cellIs" dxfId="37" priority="909" operator="equal">
      <formula>$U$1</formula>
    </cfRule>
  </conditionalFormatting>
  <conditionalFormatting sqref="C31">
    <cfRule type="cellIs" dxfId="36" priority="906" operator="equal">
      <formula>$U$1</formula>
    </cfRule>
    <cfRule type="cellIs" dxfId="35" priority="907" operator="equal">
      <formula>$S$1</formula>
    </cfRule>
  </conditionalFormatting>
  <conditionalFormatting sqref="D31">
    <cfRule type="cellIs" dxfId="34" priority="904" operator="equal">
      <formula>$S$1</formula>
    </cfRule>
    <cfRule type="cellIs" dxfId="33" priority="90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E41" sqref="E4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 s="29" t="s">
        <v>8</v>
      </c>
    </row>
    <row r="42" spans="1:5" x14ac:dyDescent="0.25">
      <c r="A42" s="30">
        <v>1862.1820132595253</v>
      </c>
      <c r="C42" s="1" t="s">
        <v>15</v>
      </c>
      <c r="E42" t="s">
        <v>8</v>
      </c>
    </row>
    <row r="43" spans="1:5" x14ac:dyDescent="0.25">
      <c r="A43" s="30">
        <v>1692.8927393268411</v>
      </c>
      <c r="C43" s="7">
        <v>0.11167815779424731</v>
      </c>
      <c r="D43"/>
      <c r="E43" t="s">
        <v>8</v>
      </c>
    </row>
    <row r="44" spans="1:5" x14ac:dyDescent="0.25">
      <c r="A44" s="30">
        <v>1538.9933993880372</v>
      </c>
      <c r="E44" t="s">
        <v>8</v>
      </c>
    </row>
    <row r="45" spans="1:5" x14ac:dyDescent="0.25">
      <c r="A45" s="30">
        <v>1399.0849085345792</v>
      </c>
      <c r="C45" s="1" t="s">
        <v>11</v>
      </c>
      <c r="D45" s="1" t="s">
        <v>12</v>
      </c>
      <c r="E45" t="s">
        <v>8</v>
      </c>
    </row>
    <row r="46" spans="1:5" x14ac:dyDescent="0.25">
      <c r="A46" s="30">
        <v>1271.8953713950718</v>
      </c>
      <c r="C46"/>
      <c r="D46"/>
      <c r="E46" t="s">
        <v>8</v>
      </c>
    </row>
    <row r="47" spans="1:5" x14ac:dyDescent="0.25">
      <c r="A47" s="30">
        <v>1156.2685194500652</v>
      </c>
      <c r="E47" t="s">
        <v>8</v>
      </c>
    </row>
    <row r="48" spans="1:5" x14ac:dyDescent="0.25">
      <c r="A48" s="30">
        <v>1051.1531995000591</v>
      </c>
      <c r="C48" s="1" t="s">
        <v>13</v>
      </c>
      <c r="E48" t="s">
        <v>8</v>
      </c>
    </row>
    <row r="49" spans="1:5" x14ac:dyDescent="0.25">
      <c r="A49" s="30">
        <v>955.59381772732638</v>
      </c>
      <c r="C49" s="1">
        <f>C38</f>
        <v>0</v>
      </c>
      <c r="E49" t="s">
        <v>8</v>
      </c>
    </row>
    <row r="50" spans="1:5" x14ac:dyDescent="0.25">
      <c r="A50" s="30">
        <v>868.72165247938756</v>
      </c>
      <c r="C50"/>
      <c r="D50"/>
      <c r="E50" t="s">
        <v>8</v>
      </c>
    </row>
    <row r="51" spans="1:5" x14ac:dyDescent="0.25">
      <c r="A51" s="30">
        <v>789.74695679944318</v>
      </c>
      <c r="C51" s="1" t="s">
        <v>14</v>
      </c>
      <c r="E51" t="s">
        <v>8</v>
      </c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 t="s">
        <v>8</v>
      </c>
    </row>
    <row r="53" spans="1:5" x14ac:dyDescent="0.25">
      <c r="A53" s="30">
        <v>652.68343537144051</v>
      </c>
      <c r="E53" t="s">
        <v>8</v>
      </c>
    </row>
    <row r="54" spans="1:5" x14ac:dyDescent="0.25">
      <c r="A54" s="30">
        <v>593.34857761040041</v>
      </c>
      <c r="E54" t="s">
        <v>8</v>
      </c>
    </row>
    <row r="55" spans="1:5" x14ac:dyDescent="0.25">
      <c r="A55" s="30">
        <v>539.40779782763673</v>
      </c>
      <c r="E55" t="s">
        <v>8</v>
      </c>
    </row>
    <row r="56" spans="1:5" x14ac:dyDescent="0.25">
      <c r="A56" s="30">
        <v>490.37072529785149</v>
      </c>
      <c r="E56" t="s">
        <v>8</v>
      </c>
    </row>
    <row r="57" spans="1:5" x14ac:dyDescent="0.25">
      <c r="A57" s="30">
        <v>445.79156845259223</v>
      </c>
      <c r="E57" t="s">
        <v>8</v>
      </c>
    </row>
    <row r="58" spans="1:5" x14ac:dyDescent="0.25">
      <c r="A58" s="30">
        <v>405.26506222962928</v>
      </c>
      <c r="E58" t="s">
        <v>8</v>
      </c>
    </row>
    <row r="59" spans="1:5" x14ac:dyDescent="0.25">
      <c r="A59" s="30">
        <v>368.42278384511752</v>
      </c>
      <c r="E59" t="s">
        <v>8</v>
      </c>
    </row>
    <row r="60" spans="1:5" x14ac:dyDescent="0.25">
      <c r="A60" s="30">
        <v>334.92980349556137</v>
      </c>
      <c r="E60" t="s">
        <v>8</v>
      </c>
    </row>
    <row r="61" spans="1:5" x14ac:dyDescent="0.25">
      <c r="A61" s="30">
        <v>304.48163954141938</v>
      </c>
      <c r="E61" t="s">
        <v>8</v>
      </c>
    </row>
    <row r="62" spans="1:5" x14ac:dyDescent="0.25">
      <c r="A62" s="30">
        <v>276.80149049219943</v>
      </c>
      <c r="E62" t="s">
        <v>8</v>
      </c>
    </row>
    <row r="63" spans="1:5" x14ac:dyDescent="0.25">
      <c r="A63" s="30">
        <v>251.63771862927217</v>
      </c>
      <c r="E63" t="s">
        <v>8</v>
      </c>
    </row>
    <row r="64" spans="1:5" x14ac:dyDescent="0.25">
      <c r="A64" s="30">
        <v>228.76156239024741</v>
      </c>
      <c r="E64" t="s">
        <v>8</v>
      </c>
    </row>
    <row r="65" spans="1:5" x14ac:dyDescent="0.25">
      <c r="A65" s="30">
        <v>207.96505671840671</v>
      </c>
      <c r="E65" t="s">
        <v>8</v>
      </c>
    </row>
    <row r="66" spans="1:5" x14ac:dyDescent="0.25">
      <c r="A66" s="30">
        <v>189.05914247127882</v>
      </c>
      <c r="E66" t="s">
        <v>8</v>
      </c>
    </row>
    <row r="67" spans="1:5" x14ac:dyDescent="0.25">
      <c r="A67" s="30">
        <v>171.87194770116255</v>
      </c>
      <c r="C67" s="1" t="s">
        <v>15</v>
      </c>
      <c r="E67" t="s">
        <v>8</v>
      </c>
    </row>
    <row r="68" spans="1:5" x14ac:dyDescent="0.25">
      <c r="A68" s="30">
        <v>156.24722518287504</v>
      </c>
      <c r="C68" s="7">
        <v>0.11167815779424731</v>
      </c>
      <c r="D68"/>
      <c r="E68" t="s">
        <v>8</v>
      </c>
    </row>
    <row r="69" spans="1:5" x14ac:dyDescent="0.25">
      <c r="A69" s="30">
        <v>142.04293198443185</v>
      </c>
      <c r="E69" t="s">
        <v>8</v>
      </c>
    </row>
    <row r="70" spans="1:5" x14ac:dyDescent="0.25">
      <c r="A70" s="30">
        <v>129.1299381676653</v>
      </c>
      <c r="C70" s="1" t="s">
        <v>11</v>
      </c>
      <c r="D70" s="1" t="s">
        <v>12</v>
      </c>
      <c r="E70" t="s">
        <v>8</v>
      </c>
    </row>
    <row r="71" spans="1:5" x14ac:dyDescent="0.25">
      <c r="A71" s="30">
        <v>117.39085287969573</v>
      </c>
      <c r="C71"/>
      <c r="D71"/>
      <c r="E71" t="s">
        <v>8</v>
      </c>
    </row>
    <row r="72" spans="1:5" x14ac:dyDescent="0.25">
      <c r="A72" s="30">
        <v>106.71895716335975</v>
      </c>
      <c r="E72" t="s">
        <v>8</v>
      </c>
    </row>
    <row r="73" spans="1:5" x14ac:dyDescent="0.25">
      <c r="A73" s="30">
        <v>97.017233784872488</v>
      </c>
      <c r="C73" s="1" t="s">
        <v>13</v>
      </c>
      <c r="E73" t="s">
        <v>8</v>
      </c>
    </row>
    <row r="74" spans="1:5" x14ac:dyDescent="0.25">
      <c r="A74" s="30">
        <v>88.197485258974979</v>
      </c>
      <c r="C74" s="1">
        <f>C63</f>
        <v>0</v>
      </c>
      <c r="E74" t="s">
        <v>8</v>
      </c>
    </row>
    <row r="75" spans="1:5" x14ac:dyDescent="0.25">
      <c r="A75" s="30">
        <v>80.179532053613613</v>
      </c>
      <c r="C75"/>
      <c r="D75"/>
      <c r="E75" t="s">
        <v>8</v>
      </c>
    </row>
    <row r="76" spans="1:5" x14ac:dyDescent="0.25">
      <c r="A76" s="30">
        <v>72.890483685103277</v>
      </c>
      <c r="C76" s="1" t="s">
        <v>14</v>
      </c>
      <c r="E76" t="s">
        <v>8</v>
      </c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5" x14ac:dyDescent="0.25">
      <c r="A78" s="30">
        <v>60.240069161242367</v>
      </c>
      <c r="E78" t="s">
        <v>8</v>
      </c>
    </row>
    <row r="79" spans="1:5" x14ac:dyDescent="0.25">
      <c r="A79" s="30">
        <v>54.763699237493057</v>
      </c>
      <c r="E79" t="s">
        <v>8</v>
      </c>
    </row>
    <row r="80" spans="1:5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$A$40</v>
      </c>
      <c r="D111" s="1" t="str">
        <f>ADDRESS(C121-1,D121,1,1)</f>
        <v>$E$40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$A$41</v>
      </c>
      <c r="D112" s="1" t="str">
        <f>ADDRESS(C121,D121-1,1,1)</f>
        <v>$D$41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$A$42</v>
      </c>
      <c r="D113" s="1" t="str">
        <f>ADDRESS(C121-1,D121+1,1,1)</f>
        <v>$F$40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$E$41</v>
      </c>
      <c r="D114" s="1" t="str">
        <f>ADDRESS(C121+1,D121+1,1,1)</f>
        <v>$F$42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$E$42</v>
      </c>
      <c r="E115" s="1" t="s">
        <v>8</v>
      </c>
    </row>
    <row r="116" spans="1:5" x14ac:dyDescent="0.25">
      <c r="A116" s="30">
        <v>1.6105100000000008</v>
      </c>
      <c r="C116" s="1">
        <f>C117-1</f>
        <v>40</v>
      </c>
      <c r="E116" s="1" t="s">
        <v>8</v>
      </c>
    </row>
    <row r="117" spans="1:5" x14ac:dyDescent="0.25">
      <c r="A117" s="30">
        <v>1.4641000000000006</v>
      </c>
      <c r="C117" s="1">
        <f>C121</f>
        <v>41</v>
      </c>
      <c r="D117" s="1">
        <f>D121</f>
        <v>5</v>
      </c>
      <c r="E117" s="1" t="s">
        <v>8</v>
      </c>
    </row>
    <row r="118" spans="1:5" x14ac:dyDescent="0.25">
      <c r="A118" s="30">
        <v>1.3310000000000004</v>
      </c>
      <c r="C118" s="1">
        <f>C117+1</f>
        <v>42</v>
      </c>
      <c r="D118" s="1">
        <f>D117+1</f>
        <v>6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41</v>
      </c>
      <c r="D121" s="19">
        <v>5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X</v>
      </c>
    </row>
    <row r="123" spans="1:5" x14ac:dyDescent="0.25">
      <c r="A123" s="30">
        <v>0.82644628099173523</v>
      </c>
      <c r="C123" s="1" t="str">
        <f>"R"&amp;C121</f>
        <v>R41</v>
      </c>
      <c r="D123" s="1" t="str">
        <f>"C"&amp;D121</f>
        <v>C5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2048.4002145854779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22" operator="equal">
      <formula>$U$1</formula>
    </cfRule>
    <cfRule type="cellIs" dxfId="30" priority="923" operator="equal">
      <formula>$S$1</formula>
    </cfRule>
  </conditionalFormatting>
  <conditionalFormatting sqref="D136">
    <cfRule type="cellIs" dxfId="29" priority="920" operator="equal">
      <formula>$S$1</formula>
    </cfRule>
    <cfRule type="cellIs" dxfId="28" priority="921" operator="equal">
      <formula>$U$1</formula>
    </cfRule>
  </conditionalFormatting>
  <conditionalFormatting sqref="C102">
    <cfRule type="cellIs" dxfId="27" priority="918" operator="equal">
      <formula>$U$1</formula>
    </cfRule>
    <cfRule type="cellIs" dxfId="26" priority="919" operator="equal">
      <formula>$S$1</formula>
    </cfRule>
  </conditionalFormatting>
  <conditionalFormatting sqref="D102">
    <cfRule type="cellIs" dxfId="25" priority="916" operator="equal">
      <formula>$S$1</formula>
    </cfRule>
    <cfRule type="cellIs" dxfId="24" priority="917" operator="equal">
      <formula>$U$1</formula>
    </cfRule>
  </conditionalFormatting>
  <conditionalFormatting sqref="C77">
    <cfRule type="cellIs" dxfId="23" priority="914" operator="equal">
      <formula>$U$1</formula>
    </cfRule>
    <cfRule type="cellIs" dxfId="22" priority="915" operator="equal">
      <formula>$S$1</formula>
    </cfRule>
  </conditionalFormatting>
  <conditionalFormatting sqref="D77">
    <cfRule type="cellIs" dxfId="21" priority="912" operator="equal">
      <formula>$S$1</formula>
    </cfRule>
    <cfRule type="cellIs" dxfId="20" priority="913" operator="equal">
      <formula>$U$1</formula>
    </cfRule>
  </conditionalFormatting>
  <conditionalFormatting sqref="C52">
    <cfRule type="cellIs" dxfId="19" priority="910" operator="equal">
      <formula>$U$1</formula>
    </cfRule>
    <cfRule type="cellIs" dxfId="18" priority="911" operator="equal">
      <formula>$S$1</formula>
    </cfRule>
  </conditionalFormatting>
  <conditionalFormatting sqref="D52">
    <cfRule type="cellIs" dxfId="17" priority="908" operator="equal">
      <formula>$S$1</formula>
    </cfRule>
    <cfRule type="cellIs" dxfId="16" priority="909" operator="equal">
      <formula>$U$1</formula>
    </cfRule>
  </conditionalFormatting>
  <conditionalFormatting sqref="C26">
    <cfRule type="cellIs" dxfId="15" priority="906" operator="equal">
      <formula>$U$1</formula>
    </cfRule>
    <cfRule type="cellIs" dxfId="14" priority="907" operator="equal">
      <formula>$S$1</formula>
    </cfRule>
  </conditionalFormatting>
  <conditionalFormatting sqref="D26">
    <cfRule type="cellIs" dxfId="13" priority="904" operator="equal">
      <formula>$S$1</formula>
    </cfRule>
    <cfRule type="cellIs" dxfId="12" priority="90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2022-01-28T01:20:00Z</dcterms:modified>
</cp:coreProperties>
</file>