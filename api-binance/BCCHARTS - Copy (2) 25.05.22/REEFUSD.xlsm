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0556C74-AE6D-43B3-B318-7470470973E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8" i="5"/>
  <c r="C118" i="4"/>
  <c r="R765" i="1"/>
  <c r="C122" i="3"/>
  <c r="C133" i="3" s="1"/>
  <c r="C136" i="3" s="1"/>
  <c r="C116" i="3"/>
  <c r="D136" i="4" l="1"/>
  <c r="C138" i="4" s="1"/>
  <c r="C136" i="5"/>
  <c r="C138" i="5" s="1"/>
  <c r="R764" i="1"/>
  <c r="S765" i="1"/>
  <c r="T765" i="1" s="1"/>
  <c r="D136" i="3"/>
  <c r="C138" i="3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S707" i="1" l="1"/>
  <c r="T707" i="1" s="1"/>
  <c r="R706" i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R509" i="1" l="1"/>
  <c r="S510" i="1"/>
  <c r="T510" i="1" s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S402" i="1" l="1"/>
  <c r="T402" i="1" s="1"/>
  <c r="R401" i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<sst xmlns="http://schemas.openxmlformats.org/spreadsheetml/2006/main" count="4753" uniqueCount="34">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</sst>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9.5899999999999996E-3</c:v>
                </c:pt>
                <c:pt idx="1">
                  <c:v>9.7400000000000004E-3</c:v>
                </c:pt>
                <c:pt idx="2">
                  <c:v>9.7300000000000008E-3</c:v>
                </c:pt>
                <c:pt idx="3">
                  <c:v>9.5600000000000008E-3</c:v>
                </c:pt>
                <c:pt idx="4">
                  <c:v>9.9699999999999997E-3</c:v>
                </c:pt>
                <c:pt idx="5">
                  <c:v>9.6900000000000007E-3</c:v>
                </c:pt>
                <c:pt idx="6">
                  <c:v>1.048E-2</c:v>
                </c:pt>
                <c:pt idx="7">
                  <c:v>1.24E-2</c:v>
                </c:pt>
                <c:pt idx="8">
                  <c:v>1.295E-2</c:v>
                </c:pt>
                <c:pt idx="9">
                  <c:v>1.333E-2</c:v>
                </c:pt>
                <c:pt idx="10">
                  <c:v>1.3599999999999999E-2</c:v>
                </c:pt>
                <c:pt idx="11">
                  <c:v>1.427E-2</c:v>
                </c:pt>
                <c:pt idx="12">
                  <c:v>1.436E-2</c:v>
                </c:pt>
                <c:pt idx="13">
                  <c:v>1.413E-2</c:v>
                </c:pt>
                <c:pt idx="14">
                  <c:v>1.389E-2</c:v>
                </c:pt>
                <c:pt idx="15">
                  <c:v>1.477E-2</c:v>
                </c:pt>
                <c:pt idx="16">
                  <c:v>1.397E-2</c:v>
                </c:pt>
                <c:pt idx="17">
                  <c:v>1.311E-2</c:v>
                </c:pt>
                <c:pt idx="18">
                  <c:v>1.413E-2</c:v>
                </c:pt>
                <c:pt idx="19">
                  <c:v>1.391E-2</c:v>
                </c:pt>
                <c:pt idx="20">
                  <c:v>1.4800000000000001E-2</c:v>
                </c:pt>
                <c:pt idx="21">
                  <c:v>1.6209999999999999E-2</c:v>
                </c:pt>
                <c:pt idx="22">
                  <c:v>1.6400000000000001E-2</c:v>
                </c:pt>
                <c:pt idx="23">
                  <c:v>1.7809999999999999E-2</c:v>
                </c:pt>
                <c:pt idx="24">
                  <c:v>1.8030000000000001E-2</c:v>
                </c:pt>
                <c:pt idx="25">
                  <c:v>1.8499999999999999E-2</c:v>
                </c:pt>
                <c:pt idx="26">
                  <c:v>1.8720000000000001E-2</c:v>
                </c:pt>
                <c:pt idx="27">
                  <c:v>1.8290000000000001E-2</c:v>
                </c:pt>
                <c:pt idx="28">
                  <c:v>1.8599999999999998E-2</c:v>
                </c:pt>
                <c:pt idx="29">
                  <c:v>1.8280000000000001E-2</c:v>
                </c:pt>
                <c:pt idx="30">
                  <c:v>1.873E-2</c:v>
                </c:pt>
                <c:pt idx="31">
                  <c:v>2.0820000000000002E-2</c:v>
                </c:pt>
                <c:pt idx="32">
                  <c:v>2.1000000000000001E-2</c:v>
                </c:pt>
                <c:pt idx="33">
                  <c:v>2.0990000000000002E-2</c:v>
                </c:pt>
                <c:pt idx="34">
                  <c:v>2.07E-2</c:v>
                </c:pt>
                <c:pt idx="35">
                  <c:v>2.07E-2</c:v>
                </c:pt>
                <c:pt idx="36">
                  <c:v>1.9910000000000001E-2</c:v>
                </c:pt>
                <c:pt idx="37">
                  <c:v>1.9220000000000001E-2</c:v>
                </c:pt>
                <c:pt idx="38">
                  <c:v>1.8759999999999999E-2</c:v>
                </c:pt>
                <c:pt idx="39">
                  <c:v>1.925E-2</c:v>
                </c:pt>
                <c:pt idx="40">
                  <c:v>1.7069999999999998E-2</c:v>
                </c:pt>
                <c:pt idx="41">
                  <c:v>1.6760000000000001E-2</c:v>
                </c:pt>
                <c:pt idx="42">
                  <c:v>1.7389999999999999E-2</c:v>
                </c:pt>
                <c:pt idx="43">
                  <c:v>1.8180000000000002E-2</c:v>
                </c:pt>
                <c:pt idx="44">
                  <c:v>1.779E-2</c:v>
                </c:pt>
                <c:pt idx="45">
                  <c:v>1.7139999999999999E-2</c:v>
                </c:pt>
                <c:pt idx="46">
                  <c:v>1.9220000000000001E-2</c:v>
                </c:pt>
                <c:pt idx="47">
                  <c:v>1.7860000000000001E-2</c:v>
                </c:pt>
                <c:pt idx="48">
                  <c:v>1.7610000000000001E-2</c:v>
                </c:pt>
                <c:pt idx="49">
                  <c:v>1.8290000000000001E-2</c:v>
                </c:pt>
                <c:pt idx="50">
                  <c:v>2.0109999999999999E-2</c:v>
                </c:pt>
                <c:pt idx="51">
                  <c:v>1.9879999999999998E-2</c:v>
                </c:pt>
                <c:pt idx="52">
                  <c:v>2.017E-2</c:v>
                </c:pt>
                <c:pt idx="53">
                  <c:v>1.9470000000000001E-2</c:v>
                </c:pt>
                <c:pt idx="54">
                  <c:v>2.0060000000000001E-2</c:v>
                </c:pt>
                <c:pt idx="55">
                  <c:v>2.3029999999999998E-2</c:v>
                </c:pt>
                <c:pt idx="56">
                  <c:v>2.4309999999999998E-2</c:v>
                </c:pt>
                <c:pt idx="57">
                  <c:v>2.4899999999999999E-2</c:v>
                </c:pt>
                <c:pt idx="58">
                  <c:v>2.5569999999999999E-2</c:v>
                </c:pt>
                <c:pt idx="59">
                  <c:v>2.5520000000000001E-2</c:v>
                </c:pt>
                <c:pt idx="60">
                  <c:v>2.4969999999999999E-2</c:v>
                </c:pt>
                <c:pt idx="61">
                  <c:v>2.436E-2</c:v>
                </c:pt>
                <c:pt idx="62">
                  <c:v>2.383E-2</c:v>
                </c:pt>
                <c:pt idx="63">
                  <c:v>2.6790000000000001E-2</c:v>
                </c:pt>
                <c:pt idx="64">
                  <c:v>2.6349999999999998E-2</c:v>
                </c:pt>
                <c:pt idx="65">
                  <c:v>2.681E-2</c:v>
                </c:pt>
                <c:pt idx="66">
                  <c:v>2.716E-2</c:v>
                </c:pt>
                <c:pt idx="67">
                  <c:v>2.878E-2</c:v>
                </c:pt>
                <c:pt idx="68">
                  <c:v>2.8510000000000001E-2</c:v>
                </c:pt>
                <c:pt idx="69">
                  <c:v>2.793E-2</c:v>
                </c:pt>
                <c:pt idx="70">
                  <c:v>2.649E-2</c:v>
                </c:pt>
                <c:pt idx="71">
                  <c:v>2.9229999999999999E-2</c:v>
                </c:pt>
                <c:pt idx="72">
                  <c:v>2.9399999999999999E-2</c:v>
                </c:pt>
                <c:pt idx="73">
                  <c:v>3.159E-2</c:v>
                </c:pt>
                <c:pt idx="74">
                  <c:v>3.116E-2</c:v>
                </c:pt>
                <c:pt idx="75">
                  <c:v>3.1669999999999997E-2</c:v>
                </c:pt>
                <c:pt idx="76">
                  <c:v>3.107E-2</c:v>
                </c:pt>
                <c:pt idx="77">
                  <c:v>3.1820000000000001E-2</c:v>
                </c:pt>
                <c:pt idx="78">
                  <c:v>3.075E-2</c:v>
                </c:pt>
                <c:pt idx="79">
                  <c:v>3.3489999999999999E-2</c:v>
                </c:pt>
                <c:pt idx="80">
                  <c:v>3.4189999999999998E-2</c:v>
                </c:pt>
                <c:pt idx="81">
                  <c:v>3.4389999999999997E-2</c:v>
                </c:pt>
                <c:pt idx="82">
                  <c:v>3.3799999999999997E-2</c:v>
                </c:pt>
                <c:pt idx="83">
                  <c:v>3.388E-2</c:v>
                </c:pt>
                <c:pt idx="84">
                  <c:v>3.4270000000000002E-2</c:v>
                </c:pt>
                <c:pt idx="85">
                  <c:v>3.5929999999999997E-2</c:v>
                </c:pt>
                <c:pt idx="86">
                  <c:v>3.712E-2</c:v>
                </c:pt>
                <c:pt idx="87">
                  <c:v>3.5409999999999997E-2</c:v>
                </c:pt>
                <c:pt idx="88">
                  <c:v>3.0509999999999999E-2</c:v>
                </c:pt>
                <c:pt idx="89">
                  <c:v>3.107E-2</c:v>
                </c:pt>
                <c:pt idx="90">
                  <c:v>3.3029999999999997E-2</c:v>
                </c:pt>
                <c:pt idx="91">
                  <c:v>2.903E-2</c:v>
                </c:pt>
                <c:pt idx="92">
                  <c:v>2.7799999999999998E-2</c:v>
                </c:pt>
                <c:pt idx="93">
                  <c:v>3.0669999999999999E-2</c:v>
                </c:pt>
                <c:pt idx="94">
                  <c:v>3.0620000000000001E-2</c:v>
                </c:pt>
                <c:pt idx="95">
                  <c:v>2.8799999999999999E-2</c:v>
                </c:pt>
                <c:pt idx="96">
                  <c:v>3.014E-2</c:v>
                </c:pt>
                <c:pt idx="97">
                  <c:v>3.0030000000000001E-2</c:v>
                </c:pt>
                <c:pt idx="98">
                  <c:v>3.0089999999999999E-2</c:v>
                </c:pt>
                <c:pt idx="99">
                  <c:v>3.1370000000000002E-2</c:v>
                </c:pt>
                <c:pt idx="100">
                  <c:v>3.1150000000000001E-2</c:v>
                </c:pt>
                <c:pt idx="101">
                  <c:v>3.0800000000000001E-2</c:v>
                </c:pt>
                <c:pt idx="102">
                  <c:v>2.8510000000000001E-2</c:v>
                </c:pt>
                <c:pt idx="103">
                  <c:v>3.1460000000000002E-2</c:v>
                </c:pt>
                <c:pt idx="104">
                  <c:v>2.681E-2</c:v>
                </c:pt>
                <c:pt idx="105">
                  <c:v>2.393E-2</c:v>
                </c:pt>
                <c:pt idx="106">
                  <c:v>2.214E-2</c:v>
                </c:pt>
                <c:pt idx="107">
                  <c:v>2.2360000000000001E-2</c:v>
                </c:pt>
                <c:pt idx="108">
                  <c:v>1.9890000000000001E-2</c:v>
                </c:pt>
                <c:pt idx="109">
                  <c:v>2.002E-2</c:v>
                </c:pt>
                <c:pt idx="110">
                  <c:v>2.1499999999999998E-2</c:v>
                </c:pt>
                <c:pt idx="111">
                  <c:v>2.12E-2</c:v>
                </c:pt>
                <c:pt idx="112">
                  <c:v>2.1170000000000001E-2</c:v>
                </c:pt>
                <c:pt idx="113">
                  <c:v>2.145E-2</c:v>
                </c:pt>
                <c:pt idx="114">
                  <c:v>2.1819999999999999E-2</c:v>
                </c:pt>
                <c:pt idx="115">
                  <c:v>2.1010000000000001E-2</c:v>
                </c:pt>
                <c:pt idx="116">
                  <c:v>2.051E-2</c:v>
                </c:pt>
                <c:pt idx="117">
                  <c:v>2.002E-2</c:v>
                </c:pt>
                <c:pt idx="118">
                  <c:v>2.0080000000000001E-2</c:v>
                </c:pt>
                <c:pt idx="119">
                  <c:v>1.864E-2</c:v>
                </c:pt>
                <c:pt idx="120">
                  <c:v>1.7899999999999999E-2</c:v>
                </c:pt>
                <c:pt idx="121">
                  <c:v>1.7409999999999998E-2</c:v>
                </c:pt>
                <c:pt idx="122">
                  <c:v>1.7760000000000001E-2</c:v>
                </c:pt>
                <c:pt idx="123">
                  <c:v>1.8360000000000001E-2</c:v>
                </c:pt>
                <c:pt idx="124">
                  <c:v>1.8360000000000001E-2</c:v>
                </c:pt>
                <c:pt idx="125">
                  <c:v>1.856E-2</c:v>
                </c:pt>
                <c:pt idx="126">
                  <c:v>2.0369999999999999E-2</c:v>
                </c:pt>
                <c:pt idx="127">
                  <c:v>1.9949999999999999E-2</c:v>
                </c:pt>
                <c:pt idx="128">
                  <c:v>1.7469999999999999E-2</c:v>
                </c:pt>
                <c:pt idx="129">
                  <c:v>1.9990000000000001E-2</c:v>
                </c:pt>
                <c:pt idx="130">
                  <c:v>2.1819999999999999E-2</c:v>
                </c:pt>
                <c:pt idx="131">
                  <c:v>2.2919999999999999E-2</c:v>
                </c:pt>
                <c:pt idx="132">
                  <c:v>2.273E-2</c:v>
                </c:pt>
                <c:pt idx="133">
                  <c:v>2.3720000000000001E-2</c:v>
                </c:pt>
                <c:pt idx="134">
                  <c:v>2.41E-2</c:v>
                </c:pt>
                <c:pt idx="135">
                  <c:v>2.3879999999999998E-2</c:v>
                </c:pt>
                <c:pt idx="136">
                  <c:v>2.3060000000000001E-2</c:v>
                </c:pt>
                <c:pt idx="137">
                  <c:v>2.477E-2</c:v>
                </c:pt>
                <c:pt idx="138">
                  <c:v>2.487E-2</c:v>
                </c:pt>
                <c:pt idx="139">
                  <c:v>2.3939999999999999E-2</c:v>
                </c:pt>
                <c:pt idx="140">
                  <c:v>2.257E-2</c:v>
                </c:pt>
                <c:pt idx="141">
                  <c:v>2.2419999999999999E-2</c:v>
                </c:pt>
                <c:pt idx="142">
                  <c:v>2.1430000000000001E-2</c:v>
                </c:pt>
                <c:pt idx="143">
                  <c:v>2.843E-2</c:v>
                </c:pt>
                <c:pt idx="144">
                  <c:v>2.8830000000000001E-2</c:v>
                </c:pt>
                <c:pt idx="145">
                  <c:v>2.828E-2</c:v>
                </c:pt>
                <c:pt idx="146">
                  <c:v>2.5700000000000001E-2</c:v>
                </c:pt>
                <c:pt idx="147">
                  <c:v>2.5389999999999999E-2</c:v>
                </c:pt>
                <c:pt idx="148">
                  <c:v>2.5149999999999999E-2</c:v>
                </c:pt>
                <c:pt idx="149">
                  <c:v>2.368E-2</c:v>
                </c:pt>
                <c:pt idx="150">
                  <c:v>2.3120000000000002E-2</c:v>
                </c:pt>
                <c:pt idx="151">
                  <c:v>2.4549999999999999E-2</c:v>
                </c:pt>
                <c:pt idx="152">
                  <c:v>2.4230000000000002E-2</c:v>
                </c:pt>
                <c:pt idx="153">
                  <c:v>2.4029999999999999E-2</c:v>
                </c:pt>
                <c:pt idx="154">
                  <c:v>2.24E-2</c:v>
                </c:pt>
                <c:pt idx="155">
                  <c:v>2.4490000000000001E-2</c:v>
                </c:pt>
                <c:pt idx="156">
                  <c:v>2.2578000000000001E-2</c:v>
                </c:pt>
                <c:pt idx="157">
                  <c:v>2.4878999999999998E-2</c:v>
                </c:pt>
                <c:pt idx="158">
                  <c:v>2.2862E-2</c:v>
                </c:pt>
                <c:pt idx="159">
                  <c:v>2.2234E-2</c:v>
                </c:pt>
                <c:pt idx="160">
                  <c:v>2.2391999999999999E-2</c:v>
                </c:pt>
                <c:pt idx="161">
                  <c:v>2.1111999999999999E-2</c:v>
                </c:pt>
                <c:pt idx="162">
                  <c:v>1.9869999999999999E-2</c:v>
                </c:pt>
                <c:pt idx="163">
                  <c:v>1.9963000000000002E-2</c:v>
                </c:pt>
                <c:pt idx="164">
                  <c:v>2.1749999999999999E-2</c:v>
                </c:pt>
                <c:pt idx="165">
                  <c:v>2.2277000000000002E-2</c:v>
                </c:pt>
                <c:pt idx="166">
                  <c:v>2.2256000000000001E-2</c:v>
                </c:pt>
                <c:pt idx="167">
                  <c:v>2.2554999999999999E-2</c:v>
                </c:pt>
                <c:pt idx="168">
                  <c:v>2.1099E-2</c:v>
                </c:pt>
                <c:pt idx="169">
                  <c:v>2.2117000000000001E-2</c:v>
                </c:pt>
                <c:pt idx="170">
                  <c:v>2.0681000000000001E-2</c:v>
                </c:pt>
                <c:pt idx="171">
                  <c:v>2.0531000000000001E-2</c:v>
                </c:pt>
                <c:pt idx="172">
                  <c:v>1.8055000000000002E-2</c:v>
                </c:pt>
                <c:pt idx="173">
                  <c:v>1.7763000000000001E-2</c:v>
                </c:pt>
                <c:pt idx="174">
                  <c:v>1.7339E-2</c:v>
                </c:pt>
                <c:pt idx="175">
                  <c:v>1.6313000000000001E-2</c:v>
                </c:pt>
                <c:pt idx="176">
                  <c:v>1.5505E-2</c:v>
                </c:pt>
                <c:pt idx="177">
                  <c:v>1.5119E-2</c:v>
                </c:pt>
                <c:pt idx="178">
                  <c:v>1.5266999999999999E-2</c:v>
                </c:pt>
                <c:pt idx="179">
                  <c:v>1.5065E-2</c:v>
                </c:pt>
                <c:pt idx="180">
                  <c:v>1.5121000000000001E-2</c:v>
                </c:pt>
                <c:pt idx="181">
                  <c:v>1.5207999999999999E-2</c:v>
                </c:pt>
                <c:pt idx="182">
                  <c:v>1.5018999999999999E-2</c:v>
                </c:pt>
                <c:pt idx="183">
                  <c:v>1.5056E-2</c:v>
                </c:pt>
                <c:pt idx="184">
                  <c:v>1.4721E-2</c:v>
                </c:pt>
                <c:pt idx="185">
                  <c:v>1.4257000000000001E-2</c:v>
                </c:pt>
                <c:pt idx="186">
                  <c:v>1.4055E-2</c:v>
                </c:pt>
                <c:pt idx="187">
                  <c:v>1.3957000000000001E-2</c:v>
                </c:pt>
                <c:pt idx="188">
                  <c:v>1.4027E-2</c:v>
                </c:pt>
                <c:pt idx="189">
                  <c:v>1.3231E-2</c:v>
                </c:pt>
                <c:pt idx="190">
                  <c:v>1.2418999999999999E-2</c:v>
                </c:pt>
                <c:pt idx="191">
                  <c:v>1.1473000000000001E-2</c:v>
                </c:pt>
                <c:pt idx="192">
                  <c:v>1.2548999999999999E-2</c:v>
                </c:pt>
                <c:pt idx="193">
                  <c:v>1.336E-2</c:v>
                </c:pt>
                <c:pt idx="194">
                  <c:v>1.3145E-2</c:v>
                </c:pt>
                <c:pt idx="195">
                  <c:v>1.3270000000000001E-2</c:v>
                </c:pt>
                <c:pt idx="196">
                  <c:v>1.3922E-2</c:v>
                </c:pt>
                <c:pt idx="197">
                  <c:v>1.4238000000000001E-2</c:v>
                </c:pt>
                <c:pt idx="198">
                  <c:v>1.4330000000000001E-2</c:v>
                </c:pt>
                <c:pt idx="199">
                  <c:v>1.4616000000000001E-2</c:v>
                </c:pt>
                <c:pt idx="200">
                  <c:v>1.5056999999999999E-2</c:v>
                </c:pt>
                <c:pt idx="201">
                  <c:v>1.4846E-2</c:v>
                </c:pt>
                <c:pt idx="202">
                  <c:v>1.5079E-2</c:v>
                </c:pt>
                <c:pt idx="203">
                  <c:v>1.4992999999999999E-2</c:v>
                </c:pt>
                <c:pt idx="204">
                  <c:v>1.575E-2</c:v>
                </c:pt>
                <c:pt idx="205">
                  <c:v>1.6303000000000002E-2</c:v>
                </c:pt>
                <c:pt idx="206">
                  <c:v>1.4919999999999999E-2</c:v>
                </c:pt>
                <c:pt idx="207">
                  <c:v>1.5678000000000001E-2</c:v>
                </c:pt>
                <c:pt idx="208">
                  <c:v>1.5117E-2</c:v>
                </c:pt>
                <c:pt idx="209">
                  <c:v>1.4956000000000001E-2</c:v>
                </c:pt>
                <c:pt idx="210">
                  <c:v>1.4959E-2</c:v>
                </c:pt>
                <c:pt idx="211">
                  <c:v>1.5741000000000002E-2</c:v>
                </c:pt>
                <c:pt idx="212">
                  <c:v>1.6320999999999999E-2</c:v>
                </c:pt>
                <c:pt idx="213">
                  <c:v>1.5925999999999999E-2</c:v>
                </c:pt>
                <c:pt idx="214">
                  <c:v>1.5896E-2</c:v>
                </c:pt>
                <c:pt idx="215">
                  <c:v>1.3957000000000001E-2</c:v>
                </c:pt>
                <c:pt idx="216">
                  <c:v>1.3683000000000001E-2</c:v>
                </c:pt>
                <c:pt idx="217">
                  <c:v>1.5713999999999999E-2</c:v>
                </c:pt>
                <c:pt idx="218">
                  <c:v>1.5202E-2</c:v>
                </c:pt>
                <c:pt idx="219">
                  <c:v>1.3816E-2</c:v>
                </c:pt>
                <c:pt idx="220">
                  <c:v>1.4729000000000001E-2</c:v>
                </c:pt>
                <c:pt idx="221">
                  <c:v>1.9356999999999999E-2</c:v>
                </c:pt>
                <c:pt idx="222">
                  <c:v>1.8967999999999999E-2</c:v>
                </c:pt>
                <c:pt idx="223">
                  <c:v>1.9678000000000001E-2</c:v>
                </c:pt>
                <c:pt idx="224">
                  <c:v>2.0733999999999999E-2</c:v>
                </c:pt>
                <c:pt idx="225">
                  <c:v>2.1027000000000001E-2</c:v>
                </c:pt>
                <c:pt idx="226">
                  <c:v>2.2460999999999998E-2</c:v>
                </c:pt>
                <c:pt idx="227">
                  <c:v>2.1974E-2</c:v>
                </c:pt>
                <c:pt idx="228">
                  <c:v>2.1654E-2</c:v>
                </c:pt>
                <c:pt idx="229">
                  <c:v>2.0015000000000002E-2</c:v>
                </c:pt>
                <c:pt idx="230">
                  <c:v>2.0962000000000001E-2</c:v>
                </c:pt>
                <c:pt idx="231">
                  <c:v>2.1545000000000002E-2</c:v>
                </c:pt>
                <c:pt idx="232">
                  <c:v>2.2966E-2</c:v>
                </c:pt>
                <c:pt idx="233">
                  <c:v>2.1725000000000001E-2</c:v>
                </c:pt>
                <c:pt idx="234">
                  <c:v>2.2270000000000002E-2</c:v>
                </c:pt>
                <c:pt idx="235">
                  <c:v>2.4912E-2</c:v>
                </c:pt>
                <c:pt idx="236">
                  <c:v>2.3986E-2</c:v>
                </c:pt>
                <c:pt idx="237">
                  <c:v>2.4891E-2</c:v>
                </c:pt>
                <c:pt idx="238">
                  <c:v>2.7418000000000001E-2</c:v>
                </c:pt>
                <c:pt idx="239">
                  <c:v>2.5635999999999999E-2</c:v>
                </c:pt>
                <c:pt idx="240">
                  <c:v>2.5049999999999999E-2</c:v>
                </c:pt>
                <c:pt idx="241">
                  <c:v>2.6601E-2</c:v>
                </c:pt>
                <c:pt idx="242">
                  <c:v>2.5617999999999998E-2</c:v>
                </c:pt>
                <c:pt idx="243">
                  <c:v>2.4903000000000002E-2</c:v>
                </c:pt>
                <c:pt idx="244">
                  <c:v>2.7761000000000001E-2</c:v>
                </c:pt>
                <c:pt idx="245">
                  <c:v>3.6162E-2</c:v>
                </c:pt>
                <c:pt idx="246">
                  <c:v>3.2571000000000003E-2</c:v>
                </c:pt>
                <c:pt idx="247">
                  <c:v>3.0273999999999999E-2</c:v>
                </c:pt>
                <c:pt idx="248">
                  <c:v>2.5739000000000001E-2</c:v>
                </c:pt>
                <c:pt idx="249">
                  <c:v>2.06E-2</c:v>
                </c:pt>
                <c:pt idx="250">
                  <c:v>2.4915E-2</c:v>
                </c:pt>
                <c:pt idx="251">
                  <c:v>2.7248000000000001E-2</c:v>
                </c:pt>
                <c:pt idx="252">
                  <c:v>3.0183999999999999E-2</c:v>
                </c:pt>
                <c:pt idx="253">
                  <c:v>2.3466999999999998E-2</c:v>
                </c:pt>
                <c:pt idx="254">
                  <c:v>3.6958999999999999E-2</c:v>
                </c:pt>
                <c:pt idx="255">
                  <c:v>3.6387999999999997E-2</c:v>
                </c:pt>
                <c:pt idx="256">
                  <c:v>3.9650999999999999E-2</c:v>
                </c:pt>
                <c:pt idx="257">
                  <c:v>3.9036000000000001E-2</c:v>
                </c:pt>
                <c:pt idx="258">
                  <c:v>4.2849999999999999E-2</c:v>
                </c:pt>
                <c:pt idx="259">
                  <c:v>3.9592000000000002E-2</c:v>
                </c:pt>
                <c:pt idx="260">
                  <c:v>3.9725000000000003E-2</c:v>
                </c:pt>
                <c:pt idx="261">
                  <c:v>5.1151000000000002E-2</c:v>
                </c:pt>
                <c:pt idx="262">
                  <c:v>3.8012999999999998E-2</c:v>
                </c:pt>
                <c:pt idx="263">
                  <c:v>4.2578999999999999E-2</c:v>
                </c:pt>
                <c:pt idx="264">
                  <c:v>4.2216999999999998E-2</c:v>
                </c:pt>
                <c:pt idx="265">
                  <c:v>4.1206E-2</c:v>
                </c:pt>
                <c:pt idx="266">
                  <c:v>3.9050000000000001E-2</c:v>
                </c:pt>
                <c:pt idx="267">
                  <c:v>4.0257000000000001E-2</c:v>
                </c:pt>
                <c:pt idx="268">
                  <c:v>3.6441000000000001E-2</c:v>
                </c:pt>
                <c:pt idx="269">
                  <c:v>4.1399999999999999E-2</c:v>
                </c:pt>
                <c:pt idx="270">
                  <c:v>3.9849999999999997E-2</c:v>
                </c:pt>
                <c:pt idx="271">
                  <c:v>4.1269E-2</c:v>
                </c:pt>
                <c:pt idx="272">
                  <c:v>3.9978E-2</c:v>
                </c:pt>
                <c:pt idx="273">
                  <c:v>3.5804000000000002E-2</c:v>
                </c:pt>
                <c:pt idx="274">
                  <c:v>3.4957000000000002E-2</c:v>
                </c:pt>
                <c:pt idx="275">
                  <c:v>3.6665999999999997E-2</c:v>
                </c:pt>
                <c:pt idx="276">
                  <c:v>3.5118999999999997E-2</c:v>
                </c:pt>
                <c:pt idx="277">
                  <c:v>3.1202000000000001E-2</c:v>
                </c:pt>
                <c:pt idx="278">
                  <c:v>3.1175999999999999E-2</c:v>
                </c:pt>
                <c:pt idx="279">
                  <c:v>3.3309999999999999E-2</c:v>
                </c:pt>
                <c:pt idx="280">
                  <c:v>3.4841999999999998E-2</c:v>
                </c:pt>
                <c:pt idx="281">
                  <c:v>3.2249E-2</c:v>
                </c:pt>
                <c:pt idx="282">
                  <c:v>3.4422000000000001E-2</c:v>
                </c:pt>
                <c:pt idx="283">
                  <c:v>3.3999000000000001E-2</c:v>
                </c:pt>
                <c:pt idx="284">
                  <c:v>3.7374999999999999E-2</c:v>
                </c:pt>
                <c:pt idx="285">
                  <c:v>4.5601999999999997E-2</c:v>
                </c:pt>
                <c:pt idx="286">
                  <c:v>4.0016000000000003E-2</c:v>
                </c:pt>
                <c:pt idx="287">
                  <c:v>4.2687999999999997E-2</c:v>
                </c:pt>
                <c:pt idx="288">
                  <c:v>4.2021999999999997E-2</c:v>
                </c:pt>
                <c:pt idx="289">
                  <c:v>3.9083E-2</c:v>
                </c:pt>
                <c:pt idx="290">
                  <c:v>3.7941999999999997E-2</c:v>
                </c:pt>
                <c:pt idx="291">
                  <c:v>3.9593999999999997E-2</c:v>
                </c:pt>
                <c:pt idx="292">
                  <c:v>3.9659E-2</c:v>
                </c:pt>
                <c:pt idx="293">
                  <c:v>3.8135000000000002E-2</c:v>
                </c:pt>
                <c:pt idx="294">
                  <c:v>3.7422999999999998E-2</c:v>
                </c:pt>
                <c:pt idx="295">
                  <c:v>3.5576000000000003E-2</c:v>
                </c:pt>
                <c:pt idx="296">
                  <c:v>3.8560999999999998E-2</c:v>
                </c:pt>
                <c:pt idx="297">
                  <c:v>3.9341000000000001E-2</c:v>
                </c:pt>
                <c:pt idx="298">
                  <c:v>3.8974000000000002E-2</c:v>
                </c:pt>
                <c:pt idx="299">
                  <c:v>3.6193000000000003E-2</c:v>
                </c:pt>
                <c:pt idx="300">
                  <c:v>3.7947000000000002E-2</c:v>
                </c:pt>
                <c:pt idx="301">
                  <c:v>3.8511999999999998E-2</c:v>
                </c:pt>
                <c:pt idx="302">
                  <c:v>3.9694E-2</c:v>
                </c:pt>
                <c:pt idx="303">
                  <c:v>4.3053000000000001E-2</c:v>
                </c:pt>
                <c:pt idx="304">
                  <c:v>4.4288000000000001E-2</c:v>
                </c:pt>
                <c:pt idx="305">
                  <c:v>3.9260000000000003E-2</c:v>
                </c:pt>
                <c:pt idx="306">
                  <c:v>3.6489000000000001E-2</c:v>
                </c:pt>
                <c:pt idx="307">
                  <c:v>3.6519999999999997E-2</c:v>
                </c:pt>
                <c:pt idx="308">
                  <c:v>3.3008000000000003E-2</c:v>
                </c:pt>
                <c:pt idx="309">
                  <c:v>3.3907E-2</c:v>
                </c:pt>
                <c:pt idx="310">
                  <c:v>3.7509000000000001E-2</c:v>
                </c:pt>
                <c:pt idx="311">
                  <c:v>3.5943000000000003E-2</c:v>
                </c:pt>
                <c:pt idx="312">
                  <c:v>3.9427999999999998E-2</c:v>
                </c:pt>
                <c:pt idx="313">
                  <c:v>4.0604000000000001E-2</c:v>
                </c:pt>
                <c:pt idx="314">
                  <c:v>4.0340000000000001E-2</c:v>
                </c:pt>
                <c:pt idx="315">
                  <c:v>3.9201E-2</c:v>
                </c:pt>
                <c:pt idx="316">
                  <c:v>3.9517999999999998E-2</c:v>
                </c:pt>
                <c:pt idx="317">
                  <c:v>3.8996999999999997E-2</c:v>
                </c:pt>
                <c:pt idx="318">
                  <c:v>4.0115999999999999E-2</c:v>
                </c:pt>
                <c:pt idx="319">
                  <c:v>4.9533000000000001E-2</c:v>
                </c:pt>
                <c:pt idx="320">
                  <c:v>4.8871999999999999E-2</c:v>
                </c:pt>
                <c:pt idx="321">
                  <c:v>4.6296999999999998E-2</c:v>
                </c:pt>
                <c:pt idx="322">
                  <c:v>3.6785999999999999E-2</c:v>
                </c:pt>
                <c:pt idx="323">
                  <c:v>3.5383999999999999E-2</c:v>
                </c:pt>
                <c:pt idx="324">
                  <c:v>3.8699999999999998E-2</c:v>
                </c:pt>
                <c:pt idx="325">
                  <c:v>3.6653999999999999E-2</c:v>
                </c:pt>
                <c:pt idx="326">
                  <c:v>3.8086000000000002E-2</c:v>
                </c:pt>
                <c:pt idx="327">
                  <c:v>3.8725000000000002E-2</c:v>
                </c:pt>
                <c:pt idx="328">
                  <c:v>3.9E-2</c:v>
                </c:pt>
                <c:pt idx="329">
                  <c:v>4.1173000000000001E-2</c:v>
                </c:pt>
                <c:pt idx="330">
                  <c:v>3.7530000000000001E-2</c:v>
                </c:pt>
                <c:pt idx="331">
                  <c:v>3.2710999999999997E-2</c:v>
                </c:pt>
                <c:pt idx="332">
                  <c:v>3.2224999999999997E-2</c:v>
                </c:pt>
                <c:pt idx="333">
                  <c:v>2.8291E-2</c:v>
                </c:pt>
                <c:pt idx="334">
                  <c:v>3.1433999999999997E-2</c:v>
                </c:pt>
                <c:pt idx="335">
                  <c:v>3.0571999999999998E-2</c:v>
                </c:pt>
                <c:pt idx="336">
                  <c:v>3.1609999999999999E-2</c:v>
                </c:pt>
                <c:pt idx="337">
                  <c:v>3.3515999999999997E-2</c:v>
                </c:pt>
                <c:pt idx="338">
                  <c:v>3.0397E-2</c:v>
                </c:pt>
                <c:pt idx="339">
                  <c:v>3.8247999999999997E-2</c:v>
                </c:pt>
                <c:pt idx="340">
                  <c:v>3.8498999999999999E-2</c:v>
                </c:pt>
                <c:pt idx="341">
                  <c:v>3.5168999999999999E-2</c:v>
                </c:pt>
                <c:pt idx="342">
                  <c:v>3.7357000000000001E-2</c:v>
                </c:pt>
                <c:pt idx="343">
                  <c:v>4.1725999999999999E-2</c:v>
                </c:pt>
                <c:pt idx="344">
                  <c:v>4.0082E-2</c:v>
                </c:pt>
                <c:pt idx="345">
                  <c:v>3.7508E-2</c:v>
                </c:pt>
                <c:pt idx="346">
                  <c:v>3.9440999999999997E-2</c:v>
                </c:pt>
                <c:pt idx="347">
                  <c:v>4.6398000000000002E-2</c:v>
                </c:pt>
                <c:pt idx="348">
                  <c:v>4.9600999999999999E-2</c:v>
                </c:pt>
                <c:pt idx="349">
                  <c:v>4.6185999999999998E-2</c:v>
                </c:pt>
                <c:pt idx="350">
                  <c:v>4.3507999999999998E-2</c:v>
                </c:pt>
                <c:pt idx="351">
                  <c:v>3.7573000000000002E-2</c:v>
                </c:pt>
                <c:pt idx="352">
                  <c:v>3.4370999999999999E-2</c:v>
                </c:pt>
                <c:pt idx="353">
                  <c:v>3.0401999999999998E-2</c:v>
                </c:pt>
                <c:pt idx="354">
                  <c:v>2.6176000000000001E-2</c:v>
                </c:pt>
                <c:pt idx="355">
                  <c:v>2.8129000000000001E-2</c:v>
                </c:pt>
                <c:pt idx="356">
                  <c:v>3.0193999999999999E-2</c:v>
                </c:pt>
                <c:pt idx="357">
                  <c:v>2.7779000000000002E-2</c:v>
                </c:pt>
                <c:pt idx="358">
                  <c:v>2.9891999999999998E-2</c:v>
                </c:pt>
                <c:pt idx="359">
                  <c:v>2.5378999999999999E-2</c:v>
                </c:pt>
                <c:pt idx="360">
                  <c:v>2.1780999999999998E-2</c:v>
                </c:pt>
                <c:pt idx="361">
                  <c:v>1.9852999999999999E-2</c:v>
                </c:pt>
                <c:pt idx="362">
                  <c:v>2.0573999999999999E-2</c:v>
                </c:pt>
                <c:pt idx="363">
                  <c:v>1.8384000000000001E-2</c:v>
                </c:pt>
                <c:pt idx="364">
                  <c:v>1.9601E-2</c:v>
                </c:pt>
                <c:pt idx="365">
                  <c:v>1.8255E-2</c:v>
                </c:pt>
                <c:pt idx="366">
                  <c:v>2.1101000000000002E-2</c:v>
                </c:pt>
                <c:pt idx="367">
                  <c:v>2.0073000000000001E-2</c:v>
                </c:pt>
                <c:pt idx="368">
                  <c:v>2.1194999999999999E-2</c:v>
                </c:pt>
                <c:pt idx="369">
                  <c:v>2.1295000000000001E-2</c:v>
                </c:pt>
                <c:pt idx="370">
                  <c:v>2.1284000000000001E-2</c:v>
                </c:pt>
                <c:pt idx="371">
                  <c:v>2.1201999999999999E-2</c:v>
                </c:pt>
                <c:pt idx="372">
                  <c:v>2.1510000000000001E-2</c:v>
                </c:pt>
                <c:pt idx="373">
                  <c:v>1.66E-2</c:v>
                </c:pt>
                <c:pt idx="374">
                  <c:v>1.6685999999999999E-2</c:v>
                </c:pt>
                <c:pt idx="375">
                  <c:v>1.7350999999999998E-2</c:v>
                </c:pt>
                <c:pt idx="376">
                  <c:v>1.6E-2</c:v>
                </c:pt>
                <c:pt idx="377">
                  <c:v>1.2635E-2</c:v>
                </c:pt>
                <c:pt idx="378">
                  <c:v>9.4160000000000008E-3</c:v>
                </c:pt>
                <c:pt idx="379">
                  <c:v>7.9080000000000001E-3</c:v>
                </c:pt>
                <c:pt idx="380">
                  <c:v>7.0549999999999996E-3</c:v>
                </c:pt>
                <c:pt idx="381">
                  <c:v>8.1530000000000005E-3</c:v>
                </c:pt>
                <c:pt idx="382">
                  <c:v>9.8560000000000002E-3</c:v>
                </c:pt>
                <c:pt idx="383">
                  <c:v>9.8379999999999995E-3</c:v>
                </c:pt>
                <c:pt idx="384">
                  <c:v>9.4809999999999998E-3</c:v>
                </c:pt>
                <c:pt idx="385">
                  <c:v>9.9979999999999999E-3</c:v>
                </c:pt>
                <c:pt idx="386">
                  <c:v>1.0333999999999999E-2</c:v>
                </c:pt>
                <c:pt idx="387">
                  <c:v>1.0980999999999999E-2</c:v>
                </c:pt>
                <c:pt idx="388">
                  <c:v>1.0121E-2</c:v>
                </c:pt>
                <c:pt idx="389">
                  <c:v>9.8709999999999996E-3</c:v>
                </c:pt>
                <c:pt idx="390">
                  <c:v>1.1317000000000001E-2</c:v>
                </c:pt>
                <c:pt idx="391">
                  <c:v>1.2224E-2</c:v>
                </c:pt>
                <c:pt idx="392">
                  <c:v>1.3625999999999999E-2</c:v>
                </c:pt>
                <c:pt idx="393">
                  <c:v>1.14E-2</c:v>
                </c:pt>
                <c:pt idx="394">
                  <c:v>2.3487000000000001E-2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5-4579-BDA3-2A0C86BFF79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-26.537933295521107</c:v>
                </c:pt>
                <c:pt idx="1">
                  <c:v>-26.353617780359816</c:v>
                </c:pt>
                <c:pt idx="2">
                  <c:v>-22.721636654205977</c:v>
                </c:pt>
                <c:pt idx="3">
                  <c:v>-24.096632979205982</c:v>
                </c:pt>
                <c:pt idx="4">
                  <c:v>-26.712320448740872</c:v>
                </c:pt>
                <c:pt idx="5">
                  <c:v>-27.445641756904134</c:v>
                </c:pt>
                <c:pt idx="6">
                  <c:v>-27.667011527207173</c:v>
                </c:pt>
                <c:pt idx="7">
                  <c:v>-21.309301187121331</c:v>
                </c:pt>
                <c:pt idx="8">
                  <c:v>-18.328545908411648</c:v>
                </c:pt>
                <c:pt idx="9">
                  <c:v>-17.898319942257803</c:v>
                </c:pt>
                <c:pt idx="10">
                  <c:v>-17.858835445787214</c:v>
                </c:pt>
                <c:pt idx="11">
                  <c:v>-16.222340756734582</c:v>
                </c:pt>
                <c:pt idx="12">
                  <c:v>-15.481499084234583</c:v>
                </c:pt>
                <c:pt idx="13">
                  <c:v>-14.81158118619536</c:v>
                </c:pt>
                <c:pt idx="14">
                  <c:v>-16.070694828922633</c:v>
                </c:pt>
                <c:pt idx="15">
                  <c:v>-11.732190672820932</c:v>
                </c:pt>
                <c:pt idx="16">
                  <c:v>-14.784083606154265</c:v>
                </c:pt>
                <c:pt idx="17">
                  <c:v>-18.168950582582831</c:v>
                </c:pt>
                <c:pt idx="18">
                  <c:v>-15.77595561051761</c:v>
                </c:pt>
                <c:pt idx="19">
                  <c:v>-17.968613806262287</c:v>
                </c:pt>
                <c:pt idx="20">
                  <c:v>-12.426600190383503</c:v>
                </c:pt>
                <c:pt idx="21">
                  <c:v>-3.3592028837168395</c:v>
                </c:pt>
                <c:pt idx="22">
                  <c:v>-2.7160003694471611</c:v>
                </c:pt>
                <c:pt idx="23">
                  <c:v>1.0748852211979891</c:v>
                </c:pt>
                <c:pt idx="24">
                  <c:v>3.8409234643558947</c:v>
                </c:pt>
                <c:pt idx="25">
                  <c:v>5.7767355406349505</c:v>
                </c:pt>
                <c:pt idx="26">
                  <c:v>7.2858560400288912</c:v>
                </c:pt>
                <c:pt idx="27">
                  <c:v>5.4461303076759533</c:v>
                </c:pt>
                <c:pt idx="28">
                  <c:v>9.7462210645298821</c:v>
                </c:pt>
                <c:pt idx="29">
                  <c:v>7.8290227784584685</c:v>
                </c:pt>
                <c:pt idx="30">
                  <c:v>10.996560980632378</c:v>
                </c:pt>
                <c:pt idx="31">
                  <c:v>16.517801392458466</c:v>
                </c:pt>
                <c:pt idx="32">
                  <c:v>21.034485864520292</c:v>
                </c:pt>
                <c:pt idx="33">
                  <c:v>18.456530131351954</c:v>
                </c:pt>
                <c:pt idx="34">
                  <c:v>18.78869664126184</c:v>
                </c:pt>
                <c:pt idx="35">
                  <c:v>24.884237311261831</c:v>
                </c:pt>
                <c:pt idx="36">
                  <c:v>23.306328133261825</c:v>
                </c:pt>
                <c:pt idx="37">
                  <c:v>22.000011786188637</c:v>
                </c:pt>
                <c:pt idx="38">
                  <c:v>18.731514880150865</c:v>
                </c:pt>
                <c:pt idx="39">
                  <c:v>21.219236496304717</c:v>
                </c:pt>
                <c:pt idx="40">
                  <c:v>22.285414464501439</c:v>
                </c:pt>
                <c:pt idx="41">
                  <c:v>21.532797895113699</c:v>
                </c:pt>
                <c:pt idx="42">
                  <c:v>22.03478354523418</c:v>
                </c:pt>
                <c:pt idx="43">
                  <c:v>25.346151345234187</c:v>
                </c:pt>
                <c:pt idx="44">
                  <c:v>20.680577827209483</c:v>
                </c:pt>
                <c:pt idx="45">
                  <c:v>18.188188033155441</c:v>
                </c:pt>
                <c:pt idx="46">
                  <c:v>21.70851923555545</c:v>
                </c:pt>
                <c:pt idx="47">
                  <c:v>21.033529106619259</c:v>
                </c:pt>
                <c:pt idx="48">
                  <c:v>20.655571400369258</c:v>
                </c:pt>
                <c:pt idx="49">
                  <c:v>26.290372969281169</c:v>
                </c:pt>
                <c:pt idx="50">
                  <c:v>31.714303298979654</c:v>
                </c:pt>
                <c:pt idx="51">
                  <c:v>29.205164186559287</c:v>
                </c:pt>
                <c:pt idx="52">
                  <c:v>33.885933560866995</c:v>
                </c:pt>
                <c:pt idx="53">
                  <c:v>26.90663218022183</c:v>
                </c:pt>
                <c:pt idx="54">
                  <c:v>31.713698717765674</c:v>
                </c:pt>
                <c:pt idx="55">
                  <c:v>26.672930000506593</c:v>
                </c:pt>
                <c:pt idx="56">
                  <c:v>29.507407610876978</c:v>
                </c:pt>
                <c:pt idx="57">
                  <c:v>30.171582285422456</c:v>
                </c:pt>
                <c:pt idx="58">
                  <c:v>36.331951981869175</c:v>
                </c:pt>
                <c:pt idx="59">
                  <c:v>37.568708633579234</c:v>
                </c:pt>
                <c:pt idx="60">
                  <c:v>34.598965217800334</c:v>
                </c:pt>
                <c:pt idx="61">
                  <c:v>28.358937539751555</c:v>
                </c:pt>
                <c:pt idx="62">
                  <c:v>30.521347295751568</c:v>
                </c:pt>
                <c:pt idx="63">
                  <c:v>34.591381814979037</c:v>
                </c:pt>
                <c:pt idx="64">
                  <c:v>30.453222846407584</c:v>
                </c:pt>
                <c:pt idx="65">
                  <c:v>30.516960619740928</c:v>
                </c:pt>
                <c:pt idx="66">
                  <c:v>32.183710306762187</c:v>
                </c:pt>
                <c:pt idx="67">
                  <c:v>35.67556577825998</c:v>
                </c:pt>
                <c:pt idx="68">
                  <c:v>36.910246254390636</c:v>
                </c:pt>
                <c:pt idx="69">
                  <c:v>33.658094053916692</c:v>
                </c:pt>
                <c:pt idx="70">
                  <c:v>29.418821663916688</c:v>
                </c:pt>
                <c:pt idx="71">
                  <c:v>33.409815312143643</c:v>
                </c:pt>
                <c:pt idx="72">
                  <c:v>33.054358828026011</c:v>
                </c:pt>
                <c:pt idx="73">
                  <c:v>34.199181496355187</c:v>
                </c:pt>
                <c:pt idx="74">
                  <c:v>43.058783472129846</c:v>
                </c:pt>
                <c:pt idx="75">
                  <c:v>44.011101402129846</c:v>
                </c:pt>
                <c:pt idx="76">
                  <c:v>42.721830453690565</c:v>
                </c:pt>
                <c:pt idx="77">
                  <c:v>43.062176240890565</c:v>
                </c:pt>
                <c:pt idx="78">
                  <c:v>39.896190576062956</c:v>
                </c:pt>
                <c:pt idx="79">
                  <c:v>42.124277451349379</c:v>
                </c:pt>
                <c:pt idx="80">
                  <c:v>47.036163037383865</c:v>
                </c:pt>
                <c:pt idx="81">
                  <c:v>48.469569598436514</c:v>
                </c:pt>
                <c:pt idx="82">
                  <c:v>49.380594884209728</c:v>
                </c:pt>
                <c:pt idx="83">
                  <c:v>47.427046997380486</c:v>
                </c:pt>
                <c:pt idx="84">
                  <c:v>50.775313482782408</c:v>
                </c:pt>
                <c:pt idx="85">
                  <c:v>57.159601242782422</c:v>
                </c:pt>
                <c:pt idx="86">
                  <c:v>56.314127526047763</c:v>
                </c:pt>
                <c:pt idx="87">
                  <c:v>43.992942949014385</c:v>
                </c:pt>
                <c:pt idx="88">
                  <c:v>16.264577541407203</c:v>
                </c:pt>
                <c:pt idx="89">
                  <c:v>13.214088413048067</c:v>
                </c:pt>
                <c:pt idx="90">
                  <c:v>18.711610888876272</c:v>
                </c:pt>
                <c:pt idx="91">
                  <c:v>1.5118799414774529</c:v>
                </c:pt>
                <c:pt idx="92">
                  <c:v>-0.24582539001042725</c:v>
                </c:pt>
                <c:pt idx="93">
                  <c:v>2.4684371572170023</c:v>
                </c:pt>
                <c:pt idx="94">
                  <c:v>11.832815224909327</c:v>
                </c:pt>
                <c:pt idx="95">
                  <c:v>3.6495199066484494</c:v>
                </c:pt>
                <c:pt idx="96">
                  <c:v>6.4787320559588029</c:v>
                </c:pt>
                <c:pt idx="97">
                  <c:v>5.8057117865413241</c:v>
                </c:pt>
                <c:pt idx="98">
                  <c:v>8.0587198389175541</c:v>
                </c:pt>
                <c:pt idx="99">
                  <c:v>14.266181193638062</c:v>
                </c:pt>
                <c:pt idx="100">
                  <c:v>15.021745810108619</c:v>
                </c:pt>
                <c:pt idx="101">
                  <c:v>37.115380876989363</c:v>
                </c:pt>
                <c:pt idx="102">
                  <c:v>16.439831697713355</c:v>
                </c:pt>
                <c:pt idx="103">
                  <c:v>33.068026516134395</c:v>
                </c:pt>
                <c:pt idx="104">
                  <c:v>1.5560354519992043</c:v>
                </c:pt>
                <c:pt idx="105">
                  <c:v>-18.05745399141297</c:v>
                </c:pt>
                <c:pt idx="106">
                  <c:v>-14.958075979431396</c:v>
                </c:pt>
                <c:pt idx="107">
                  <c:v>-23.101124131605317</c:v>
                </c:pt>
                <c:pt idx="108">
                  <c:v>-45.804322714938678</c:v>
                </c:pt>
                <c:pt idx="109">
                  <c:v>-44.680230965154522</c:v>
                </c:pt>
                <c:pt idx="110">
                  <c:v>-40.193311531821195</c:v>
                </c:pt>
                <c:pt idx="111">
                  <c:v>-42.388266298487835</c:v>
                </c:pt>
                <c:pt idx="112">
                  <c:v>-38.455005235714111</c:v>
                </c:pt>
                <c:pt idx="113">
                  <c:v>-34.903418814957824</c:v>
                </c:pt>
                <c:pt idx="114">
                  <c:v>-36.110994243909794</c:v>
                </c:pt>
                <c:pt idx="115">
                  <c:v>-42.046469385317188</c:v>
                </c:pt>
                <c:pt idx="116">
                  <c:v>-49.622664995228689</c:v>
                </c:pt>
                <c:pt idx="117">
                  <c:v>-50.254067260478692</c:v>
                </c:pt>
                <c:pt idx="118">
                  <c:v>-47.987096384989947</c:v>
                </c:pt>
                <c:pt idx="119">
                  <c:v>-55.918477077124777</c:v>
                </c:pt>
                <c:pt idx="120">
                  <c:v>-60.270684886355539</c:v>
                </c:pt>
                <c:pt idx="121">
                  <c:v>-59.612709851167573</c:v>
                </c:pt>
                <c:pt idx="122">
                  <c:v>-56.197807823741833</c:v>
                </c:pt>
                <c:pt idx="123">
                  <c:v>-51.03014875634458</c:v>
                </c:pt>
                <c:pt idx="124">
                  <c:v>-55.472730397233477</c:v>
                </c:pt>
                <c:pt idx="125">
                  <c:v>-55.115081465971357</c:v>
                </c:pt>
                <c:pt idx="126">
                  <c:v>-53.890049846371348</c:v>
                </c:pt>
                <c:pt idx="127">
                  <c:v>-57.51280634411048</c:v>
                </c:pt>
                <c:pt idx="128">
                  <c:v>-64.329771185841906</c:v>
                </c:pt>
                <c:pt idx="129">
                  <c:v>-57.608810005272112</c:v>
                </c:pt>
                <c:pt idx="130">
                  <c:v>-52.868986713087246</c:v>
                </c:pt>
                <c:pt idx="131">
                  <c:v>-49.254129513145713</c:v>
                </c:pt>
                <c:pt idx="132">
                  <c:v>-49.605305977112643</c:v>
                </c:pt>
                <c:pt idx="133">
                  <c:v>-46.140394426777064</c:v>
                </c:pt>
                <c:pt idx="134">
                  <c:v>-42.808715629354403</c:v>
                </c:pt>
                <c:pt idx="135">
                  <c:v>-45.743490966413212</c:v>
                </c:pt>
                <c:pt idx="136">
                  <c:v>-48.317507552705329</c:v>
                </c:pt>
                <c:pt idx="137">
                  <c:v>-44.62577362151562</c:v>
                </c:pt>
                <c:pt idx="138">
                  <c:v>-44.945734494644881</c:v>
                </c:pt>
                <c:pt idx="139">
                  <c:v>-38.919376363613694</c:v>
                </c:pt>
                <c:pt idx="140">
                  <c:v>-51.895191961761839</c:v>
                </c:pt>
                <c:pt idx="141">
                  <c:v>-53.63721575305216</c:v>
                </c:pt>
                <c:pt idx="142">
                  <c:v>-68.589955080269277</c:v>
                </c:pt>
                <c:pt idx="143">
                  <c:v>-57.049738305120883</c:v>
                </c:pt>
                <c:pt idx="144">
                  <c:v>-61.165694004482575</c:v>
                </c:pt>
                <c:pt idx="145">
                  <c:v>-70.449610533894372</c:v>
                </c:pt>
                <c:pt idx="146">
                  <c:v>-82.563924261212662</c:v>
                </c:pt>
                <c:pt idx="147">
                  <c:v>-91.101171101212643</c:v>
                </c:pt>
                <c:pt idx="148">
                  <c:v>-90.537139144455892</c:v>
                </c:pt>
                <c:pt idx="149">
                  <c:v>-102.76624940121259</c:v>
                </c:pt>
                <c:pt idx="150">
                  <c:v>-104.73555368666713</c:v>
                </c:pt>
                <c:pt idx="151">
                  <c:v>-97.029821292938351</c:v>
                </c:pt>
                <c:pt idx="152">
                  <c:v>-99.394172997382782</c:v>
                </c:pt>
                <c:pt idx="153">
                  <c:v>-100.61032652836545</c:v>
                </c:pt>
                <c:pt idx="154">
                  <c:v>-111.66404358180806</c:v>
                </c:pt>
                <c:pt idx="155">
                  <c:v>-95.332943905231318</c:v>
                </c:pt>
                <c:pt idx="156">
                  <c:v>-104.91455007144387</c:v>
                </c:pt>
                <c:pt idx="157">
                  <c:v>-97.697474773357513</c:v>
                </c:pt>
                <c:pt idx="158">
                  <c:v>-92.45734145222481</c:v>
                </c:pt>
                <c:pt idx="159">
                  <c:v>-93.594712115036202</c:v>
                </c:pt>
                <c:pt idx="160">
                  <c:v>-83.474557388746518</c:v>
                </c:pt>
                <c:pt idx="161">
                  <c:v>-93.15951102754066</c:v>
                </c:pt>
                <c:pt idx="162">
                  <c:v>-101.1367117303553</c:v>
                </c:pt>
                <c:pt idx="163">
                  <c:v>-102.25759603175155</c:v>
                </c:pt>
                <c:pt idx="164">
                  <c:v>-94.624870229479598</c:v>
                </c:pt>
                <c:pt idx="165">
                  <c:v>-83.583152714199173</c:v>
                </c:pt>
                <c:pt idx="166">
                  <c:v>-89.884795627513085</c:v>
                </c:pt>
                <c:pt idx="167">
                  <c:v>-89.958285405983702</c:v>
                </c:pt>
                <c:pt idx="168">
                  <c:v>-97.008597215225791</c:v>
                </c:pt>
                <c:pt idx="169">
                  <c:v>-91.957252731358523</c:v>
                </c:pt>
                <c:pt idx="170">
                  <c:v>-90.029787610949541</c:v>
                </c:pt>
                <c:pt idx="171">
                  <c:v>-88.674002819143922</c:v>
                </c:pt>
                <c:pt idx="172">
                  <c:v>-102.81350894881201</c:v>
                </c:pt>
                <c:pt idx="173">
                  <c:v>-96.113656058211149</c:v>
                </c:pt>
                <c:pt idx="174">
                  <c:v>-100.25896058582128</c:v>
                </c:pt>
                <c:pt idx="175">
                  <c:v>-105.66018147012097</c:v>
                </c:pt>
                <c:pt idx="176">
                  <c:v>-113.05779492245695</c:v>
                </c:pt>
                <c:pt idx="177">
                  <c:v>-115.88385920266104</c:v>
                </c:pt>
                <c:pt idx="178">
                  <c:v>-117.03134628952355</c:v>
                </c:pt>
                <c:pt idx="179">
                  <c:v>-116.37829357980355</c:v>
                </c:pt>
                <c:pt idx="180">
                  <c:v>-107.488579252376</c:v>
                </c:pt>
                <c:pt idx="181">
                  <c:v>-107.62664565668551</c:v>
                </c:pt>
                <c:pt idx="182">
                  <c:v>-111.35306906735836</c:v>
                </c:pt>
                <c:pt idx="183">
                  <c:v>-112.22911960910271</c:v>
                </c:pt>
                <c:pt idx="184">
                  <c:v>-115.38851943924914</c:v>
                </c:pt>
                <c:pt idx="185">
                  <c:v>-119.27945798628424</c:v>
                </c:pt>
                <c:pt idx="186">
                  <c:v>-109.88089901004882</c:v>
                </c:pt>
                <c:pt idx="187">
                  <c:v>-113.37807188931149</c:v>
                </c:pt>
                <c:pt idx="188">
                  <c:v>-113.47208208825089</c:v>
                </c:pt>
                <c:pt idx="189">
                  <c:v>-120.20515341372668</c:v>
                </c:pt>
                <c:pt idx="190">
                  <c:v>-122.36830590266456</c:v>
                </c:pt>
                <c:pt idx="191">
                  <c:v>-126.19563239269014</c:v>
                </c:pt>
                <c:pt idx="192">
                  <c:v>-122.89067565204172</c:v>
                </c:pt>
                <c:pt idx="193">
                  <c:v>-119.74920166535304</c:v>
                </c:pt>
                <c:pt idx="194">
                  <c:v>-119.58194345559434</c:v>
                </c:pt>
                <c:pt idx="195">
                  <c:v>-119.40697589450711</c:v>
                </c:pt>
                <c:pt idx="196">
                  <c:v>-117.27570883212151</c:v>
                </c:pt>
                <c:pt idx="197">
                  <c:v>-115.42537841886134</c:v>
                </c:pt>
                <c:pt idx="198">
                  <c:v>-117.98951176227042</c:v>
                </c:pt>
                <c:pt idx="199">
                  <c:v>-116.80099581757099</c:v>
                </c:pt>
                <c:pt idx="200">
                  <c:v>-115.72187394050029</c:v>
                </c:pt>
                <c:pt idx="201">
                  <c:v>-116.44270325904716</c:v>
                </c:pt>
                <c:pt idx="202">
                  <c:v>-115.25411173673946</c:v>
                </c:pt>
                <c:pt idx="203">
                  <c:v>-118.25177828719681</c:v>
                </c:pt>
                <c:pt idx="204">
                  <c:v>-115.99923801054148</c:v>
                </c:pt>
                <c:pt idx="205">
                  <c:v>-111.02917638910706</c:v>
                </c:pt>
                <c:pt idx="206">
                  <c:v>-118.38435828448215</c:v>
                </c:pt>
                <c:pt idx="207">
                  <c:v>-115.82194734728886</c:v>
                </c:pt>
                <c:pt idx="208">
                  <c:v>-117.93828764268414</c:v>
                </c:pt>
                <c:pt idx="209">
                  <c:v>-118.18678983877726</c:v>
                </c:pt>
                <c:pt idx="210">
                  <c:v>-119.71583537884291</c:v>
                </c:pt>
                <c:pt idx="211">
                  <c:v>-117.38480590853894</c:v>
                </c:pt>
                <c:pt idx="212">
                  <c:v>-117.59953013244711</c:v>
                </c:pt>
                <c:pt idx="213">
                  <c:v>-115.24042487627403</c:v>
                </c:pt>
                <c:pt idx="214">
                  <c:v>-115.44785941477275</c:v>
                </c:pt>
                <c:pt idx="215">
                  <c:v>-124.61811443360145</c:v>
                </c:pt>
                <c:pt idx="216">
                  <c:v>-127.46127120862229</c:v>
                </c:pt>
                <c:pt idx="217">
                  <c:v>-119.75246319025695</c:v>
                </c:pt>
                <c:pt idx="218">
                  <c:v>-124.11998287863152</c:v>
                </c:pt>
                <c:pt idx="219">
                  <c:v>-127.02253815052757</c:v>
                </c:pt>
                <c:pt idx="220">
                  <c:v>-125.89297776646043</c:v>
                </c:pt>
                <c:pt idx="221">
                  <c:v>-115.5108564127694</c:v>
                </c:pt>
                <c:pt idx="222">
                  <c:v>-121.37159645610272</c:v>
                </c:pt>
                <c:pt idx="223">
                  <c:v>-118.2154497760628</c:v>
                </c:pt>
                <c:pt idx="224">
                  <c:v>-116.74113265767069</c:v>
                </c:pt>
                <c:pt idx="225">
                  <c:v>-114.71784561030796</c:v>
                </c:pt>
                <c:pt idx="226">
                  <c:v>-109.12212732736174</c:v>
                </c:pt>
                <c:pt idx="227">
                  <c:v>-105.26523256712508</c:v>
                </c:pt>
                <c:pt idx="228">
                  <c:v>-108.59864116294295</c:v>
                </c:pt>
                <c:pt idx="229">
                  <c:v>-113.24756997663386</c:v>
                </c:pt>
                <c:pt idx="230">
                  <c:v>-112.47336605348343</c:v>
                </c:pt>
                <c:pt idx="231">
                  <c:v>-109.02772282010919</c:v>
                </c:pt>
                <c:pt idx="232">
                  <c:v>-103.66571433539188</c:v>
                </c:pt>
                <c:pt idx="233">
                  <c:v>-114.64381488445504</c:v>
                </c:pt>
                <c:pt idx="234">
                  <c:v>-121.67850967379646</c:v>
                </c:pt>
                <c:pt idx="235">
                  <c:v>-113.95814374199568</c:v>
                </c:pt>
                <c:pt idx="236">
                  <c:v>-119.31050656197094</c:v>
                </c:pt>
                <c:pt idx="237">
                  <c:v>-113.76944020805172</c:v>
                </c:pt>
                <c:pt idx="238">
                  <c:v>-109.73763193828495</c:v>
                </c:pt>
                <c:pt idx="239">
                  <c:v>-113.63695916369635</c:v>
                </c:pt>
                <c:pt idx="240">
                  <c:v>-113.97302912204051</c:v>
                </c:pt>
                <c:pt idx="241">
                  <c:v>-104.16274116395481</c:v>
                </c:pt>
                <c:pt idx="242">
                  <c:v>-113.72880550986859</c:v>
                </c:pt>
                <c:pt idx="243">
                  <c:v>-117.60760284225624</c:v>
                </c:pt>
                <c:pt idx="244">
                  <c:v>-107.56706834500729</c:v>
                </c:pt>
                <c:pt idx="245">
                  <c:v>-72.093326691688389</c:v>
                </c:pt>
                <c:pt idx="246">
                  <c:v>-108.38757250903926</c:v>
                </c:pt>
                <c:pt idx="247">
                  <c:v>-116.06927623495541</c:v>
                </c:pt>
                <c:pt idx="248">
                  <c:v>-144.93298269986801</c:v>
                </c:pt>
                <c:pt idx="249">
                  <c:v>-163.7233348481451</c:v>
                </c:pt>
                <c:pt idx="250">
                  <c:v>-158.97889043475195</c:v>
                </c:pt>
                <c:pt idx="251">
                  <c:v>-148.65784433387174</c:v>
                </c:pt>
                <c:pt idx="252">
                  <c:v>-148.50235147238888</c:v>
                </c:pt>
                <c:pt idx="253">
                  <c:v>-165.31805293711395</c:v>
                </c:pt>
                <c:pt idx="254">
                  <c:v>-149.84627804485493</c:v>
                </c:pt>
                <c:pt idx="255">
                  <c:v>-142.1508846578451</c:v>
                </c:pt>
                <c:pt idx="256">
                  <c:v>-136.17908360826848</c:v>
                </c:pt>
                <c:pt idx="257">
                  <c:v>-137.07960371350325</c:v>
                </c:pt>
                <c:pt idx="258">
                  <c:v>-113.43355473226467</c:v>
                </c:pt>
                <c:pt idx="259">
                  <c:v>-118.99999999133576</c:v>
                </c:pt>
                <c:pt idx="260">
                  <c:v>-115.88340117226046</c:v>
                </c:pt>
                <c:pt idx="261">
                  <c:v>-76.514842824262729</c:v>
                </c:pt>
                <c:pt idx="262">
                  <c:v>-142.81544453546908</c:v>
                </c:pt>
                <c:pt idx="263">
                  <c:v>-136.45830018716771</c:v>
                </c:pt>
                <c:pt idx="264">
                  <c:v>-140.73985208060185</c:v>
                </c:pt>
                <c:pt idx="265">
                  <c:v>-130.6450309135129</c:v>
                </c:pt>
                <c:pt idx="266">
                  <c:v>-139.79937536400803</c:v>
                </c:pt>
                <c:pt idx="267">
                  <c:v>-137.25913688600451</c:v>
                </c:pt>
                <c:pt idx="268">
                  <c:v>-149.03342661997607</c:v>
                </c:pt>
                <c:pt idx="269">
                  <c:v>-130.29311026338914</c:v>
                </c:pt>
                <c:pt idx="270">
                  <c:v>-126.66419526879936</c:v>
                </c:pt>
                <c:pt idx="271">
                  <c:v>-127.45243127852459</c:v>
                </c:pt>
                <c:pt idx="272">
                  <c:v>-137.63182321286249</c:v>
                </c:pt>
                <c:pt idx="273">
                  <c:v>-154.36078873863391</c:v>
                </c:pt>
                <c:pt idx="274">
                  <c:v>-157.18832899939244</c:v>
                </c:pt>
                <c:pt idx="275">
                  <c:v>-153.85001047111533</c:v>
                </c:pt>
                <c:pt idx="276">
                  <c:v>-162.20837935203966</c:v>
                </c:pt>
                <c:pt idx="277">
                  <c:v>-171.50988933021145</c:v>
                </c:pt>
                <c:pt idx="278">
                  <c:v>-171.43724707273341</c:v>
                </c:pt>
                <c:pt idx="279">
                  <c:v>-164.2245645628428</c:v>
                </c:pt>
                <c:pt idx="280">
                  <c:v>-171.71326550790948</c:v>
                </c:pt>
                <c:pt idx="281">
                  <c:v>-169.4489965583864</c:v>
                </c:pt>
                <c:pt idx="282">
                  <c:v>-157.97168024005256</c:v>
                </c:pt>
                <c:pt idx="283">
                  <c:v>-164.34593471347276</c:v>
                </c:pt>
                <c:pt idx="284">
                  <c:v>-149.28099217718122</c:v>
                </c:pt>
                <c:pt idx="285">
                  <c:v>-139.60334249428644</c:v>
                </c:pt>
                <c:pt idx="286">
                  <c:v>-151.84474944975966</c:v>
                </c:pt>
                <c:pt idx="287">
                  <c:v>-144.1730556811182</c:v>
                </c:pt>
                <c:pt idx="288">
                  <c:v>-149.5614123882867</c:v>
                </c:pt>
                <c:pt idx="289">
                  <c:v>-168.40063249212113</c:v>
                </c:pt>
                <c:pt idx="290">
                  <c:v>-174.66057159274158</c:v>
                </c:pt>
                <c:pt idx="291">
                  <c:v>-167.81867013397431</c:v>
                </c:pt>
                <c:pt idx="292">
                  <c:v>-158.40606911425473</c:v>
                </c:pt>
                <c:pt idx="293">
                  <c:v>-156.97036188878536</c:v>
                </c:pt>
                <c:pt idx="294">
                  <c:v>-157.72055839446364</c:v>
                </c:pt>
                <c:pt idx="295">
                  <c:v>-163.38363342566933</c:v>
                </c:pt>
                <c:pt idx="296">
                  <c:v>-161.84222916691073</c:v>
                </c:pt>
                <c:pt idx="297">
                  <c:v>-158.4414224862245</c:v>
                </c:pt>
                <c:pt idx="298">
                  <c:v>-160.54545966769862</c:v>
                </c:pt>
                <c:pt idx="299">
                  <c:v>-171.58865091040249</c:v>
                </c:pt>
                <c:pt idx="300">
                  <c:v>-155.88348434271367</c:v>
                </c:pt>
                <c:pt idx="301">
                  <c:v>-149.37526881315722</c:v>
                </c:pt>
                <c:pt idx="302">
                  <c:v>-137.97108424245442</c:v>
                </c:pt>
                <c:pt idx="303">
                  <c:v>-131.33915265810978</c:v>
                </c:pt>
                <c:pt idx="304">
                  <c:v>-121.53854759863665</c:v>
                </c:pt>
                <c:pt idx="305">
                  <c:v>-137.82993969450254</c:v>
                </c:pt>
                <c:pt idx="306">
                  <c:v>-145.63297697756153</c:v>
                </c:pt>
                <c:pt idx="307">
                  <c:v>-144.51620700533172</c:v>
                </c:pt>
                <c:pt idx="308">
                  <c:v>-151.03595900225574</c:v>
                </c:pt>
                <c:pt idx="309">
                  <c:v>-150.02520719632818</c:v>
                </c:pt>
                <c:pt idx="310">
                  <c:v>-143.05274115221198</c:v>
                </c:pt>
                <c:pt idx="311">
                  <c:v>-149.26473051710522</c:v>
                </c:pt>
                <c:pt idx="312">
                  <c:v>-143.7183125040963</c:v>
                </c:pt>
                <c:pt idx="313">
                  <c:v>-140.16362891309987</c:v>
                </c:pt>
                <c:pt idx="314">
                  <c:v>-129.59228991276467</c:v>
                </c:pt>
                <c:pt idx="315">
                  <c:v>-129.13330442555957</c:v>
                </c:pt>
                <c:pt idx="316">
                  <c:v>-127.40419161166407</c:v>
                </c:pt>
                <c:pt idx="317">
                  <c:v>-134.14326173645904</c:v>
                </c:pt>
                <c:pt idx="318">
                  <c:v>-118.66592871092197</c:v>
                </c:pt>
                <c:pt idx="319">
                  <c:v>-31.338920744867671</c:v>
                </c:pt>
                <c:pt idx="320">
                  <c:v>-37.55119584801232</c:v>
                </c:pt>
                <c:pt idx="321">
                  <c:v>-33.543811548195777</c:v>
                </c:pt>
                <c:pt idx="322">
                  <c:v>-77.656904210598469</c:v>
                </c:pt>
                <c:pt idx="323">
                  <c:v>-77.922916131845668</c:v>
                </c:pt>
                <c:pt idx="324">
                  <c:v>-68.57234647787979</c:v>
                </c:pt>
                <c:pt idx="325">
                  <c:v>-76.579217573142941</c:v>
                </c:pt>
                <c:pt idx="326">
                  <c:v>-69.111221867988348</c:v>
                </c:pt>
                <c:pt idx="327">
                  <c:v>-64.185785564011297</c:v>
                </c:pt>
                <c:pt idx="328">
                  <c:v>-60.613562218309532</c:v>
                </c:pt>
                <c:pt idx="329">
                  <c:v>-58.534153852309551</c:v>
                </c:pt>
                <c:pt idx="330">
                  <c:v>-72.243321868047758</c:v>
                </c:pt>
                <c:pt idx="331">
                  <c:v>-85.802560845324024</c:v>
                </c:pt>
                <c:pt idx="332">
                  <c:v>-90.663121209423139</c:v>
                </c:pt>
                <c:pt idx="333">
                  <c:v>-102.80574200552591</c:v>
                </c:pt>
                <c:pt idx="334">
                  <c:v>-99.724626330156639</c:v>
                </c:pt>
                <c:pt idx="335">
                  <c:v>-99.053626864871376</c:v>
                </c:pt>
                <c:pt idx="336">
                  <c:v>-99.124450652450179</c:v>
                </c:pt>
                <c:pt idx="337">
                  <c:v>-74.87864154313796</c:v>
                </c:pt>
                <c:pt idx="338">
                  <c:v>-83.19698475595203</c:v>
                </c:pt>
                <c:pt idx="339">
                  <c:v>-77.579516777737737</c:v>
                </c:pt>
                <c:pt idx="340">
                  <c:v>-89.902413582500557</c:v>
                </c:pt>
                <c:pt idx="341">
                  <c:v>-101.25636854750441</c:v>
                </c:pt>
                <c:pt idx="342">
                  <c:v>-83.934831098057941</c:v>
                </c:pt>
                <c:pt idx="343">
                  <c:v>-68.134892568026274</c:v>
                </c:pt>
                <c:pt idx="344">
                  <c:v>-68.181318789440908</c:v>
                </c:pt>
                <c:pt idx="345">
                  <c:v>-66.487863727427481</c:v>
                </c:pt>
                <c:pt idx="346">
                  <c:v>-32.863887727530397</c:v>
                </c:pt>
                <c:pt idx="347">
                  <c:v>-14.343658220723771</c:v>
                </c:pt>
                <c:pt idx="348">
                  <c:v>-7.4238780644939375</c:v>
                </c:pt>
                <c:pt idx="349">
                  <c:v>-12.962356130680238</c:v>
                </c:pt>
                <c:pt idx="350">
                  <c:v>-32.808816141159078</c:v>
                </c:pt>
                <c:pt idx="351">
                  <c:v>-19.791714500150679</c:v>
                </c:pt>
                <c:pt idx="352">
                  <c:v>-35.990484504926691</c:v>
                </c:pt>
                <c:pt idx="353">
                  <c:v>-52.848574613993321</c:v>
                </c:pt>
                <c:pt idx="354">
                  <c:v>-59.715660988641197</c:v>
                </c:pt>
                <c:pt idx="355">
                  <c:v>-62.36595451840973</c:v>
                </c:pt>
                <c:pt idx="356">
                  <c:v>-62.323052814920374</c:v>
                </c:pt>
                <c:pt idx="357">
                  <c:v>-66.93156603593637</c:v>
                </c:pt>
                <c:pt idx="358">
                  <c:v>-65.231904079235818</c:v>
                </c:pt>
                <c:pt idx="359">
                  <c:v>-77.432300206033332</c:v>
                </c:pt>
                <c:pt idx="360">
                  <c:v>-86.811088073112018</c:v>
                </c:pt>
                <c:pt idx="361">
                  <c:v>-91.403519690130622</c:v>
                </c:pt>
                <c:pt idx="362">
                  <c:v>-87.974596837932509</c:v>
                </c:pt>
                <c:pt idx="363">
                  <c:v>-93.786994022805402</c:v>
                </c:pt>
                <c:pt idx="364">
                  <c:v>-94.082957565111812</c:v>
                </c:pt>
                <c:pt idx="365">
                  <c:v>-96.310303743051819</c:v>
                </c:pt>
                <c:pt idx="366">
                  <c:v>-90.840287606025015</c:v>
                </c:pt>
                <c:pt idx="367">
                  <c:v>-96.350721407663002</c:v>
                </c:pt>
                <c:pt idx="368">
                  <c:v>-91.34844680340467</c:v>
                </c:pt>
                <c:pt idx="369">
                  <c:v>-86.572617550529671</c:v>
                </c:pt>
                <c:pt idx="370">
                  <c:v>-85.514297133212608</c:v>
                </c:pt>
                <c:pt idx="371">
                  <c:v>-83.20999130249281</c:v>
                </c:pt>
                <c:pt idx="372">
                  <c:v>-84.399431627372806</c:v>
                </c:pt>
                <c:pt idx="373">
                  <c:v>-96.516795599866057</c:v>
                </c:pt>
                <c:pt idx="374">
                  <c:v>-98.14395915953844</c:v>
                </c:pt>
                <c:pt idx="375">
                  <c:v>-96.251243087477022</c:v>
                </c:pt>
                <c:pt idx="376">
                  <c:v>-93.308433745629458</c:v>
                </c:pt>
                <c:pt idx="377">
                  <c:v>-97.874571189272771</c:v>
                </c:pt>
                <c:pt idx="378">
                  <c:v>-110.06784635171621</c:v>
                </c:pt>
                <c:pt idx="379">
                  <c:v>-113.15024011935424</c:v>
                </c:pt>
                <c:pt idx="380">
                  <c:v>-116.32288586222833</c:v>
                </c:pt>
                <c:pt idx="381">
                  <c:v>-112.63230771503466</c:v>
                </c:pt>
                <c:pt idx="382">
                  <c:v>-111.16945933900017</c:v>
                </c:pt>
                <c:pt idx="383">
                  <c:v>-110.30504204907751</c:v>
                </c:pt>
                <c:pt idx="384">
                  <c:v>-109.8877138779297</c:v>
                </c:pt>
                <c:pt idx="385">
                  <c:v>-108.58122506141805</c:v>
                </c:pt>
                <c:pt idx="386">
                  <c:v>-106.60207011245805</c:v>
                </c:pt>
                <c:pt idx="387">
                  <c:v>-104.32374028944065</c:v>
                </c:pt>
                <c:pt idx="388">
                  <c:v>-106.58958937123657</c:v>
                </c:pt>
                <c:pt idx="389">
                  <c:v>-106.99465104934774</c:v>
                </c:pt>
                <c:pt idx="390">
                  <c:v>-104.19346027089369</c:v>
                </c:pt>
                <c:pt idx="391">
                  <c:v>-98.136233460562281</c:v>
                </c:pt>
                <c:pt idx="392">
                  <c:v>-90.643901692584905</c:v>
                </c:pt>
                <c:pt idx="393">
                  <c:v>-89.69334193500687</c:v>
                </c:pt>
                <c:pt idx="394">
                  <c:v>-59.748894808454295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65-4579-BDA3-2A0C86BFF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11088"/>
        <c:axId val="643123152"/>
      </c:lineChart>
      <c:dateAx>
        <c:axId val="64311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23152"/>
        <c:crosses val="autoZero"/>
        <c:auto val="1"/>
        <c:lblOffset val="100"/>
        <c:baseTimeUnit val="days"/>
      </c:dateAx>
      <c:valAx>
        <c:axId val="6431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022FF23-1040-41C6-AF49-E10B681D6AC2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D24FF2-70CC-4D00-A295-6418A56F8A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</v>
      </c>
      <c r="D2" s="4">
        <f>MIN(D3:D1912)</f>
        <v>1.25E-3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9.7599999999999996E-3</v>
      </c>
      <c r="C5">
        <v>9.8899999999999995E-3</v>
      </c>
      <c r="D5">
        <v>9.58E-3</v>
      </c>
      <c r="E5">
        <v>9.5899999999999996E-3</v>
      </c>
      <c r="F5">
        <v>19702693</v>
      </c>
      <c r="G5">
        <v>9.5899999999999996E-3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-0.93548387096774444</v>
      </c>
      <c r="Q5">
        <f t="shared" ref="Q5" si="1">F5*P5</f>
        <v>-18431551.51612908</v>
      </c>
      <c r="R5">
        <f t="shared" ref="R5" si="2">R6+Q5</f>
        <v>-2653793329.5521107</v>
      </c>
      <c r="S5">
        <f t="shared" ref="S5" si="3">R5/100000</f>
        <v>-26537.933295521107</v>
      </c>
      <c r="T5">
        <f t="shared" ref="T5" si="4">S5/1000</f>
        <v>-26.537933295521107</v>
      </c>
    </row>
    <row r="6" spans="1:20" x14ac:dyDescent="0.25">
      <c r="A6" s="5">
        <v>44587</v>
      </c>
      <c r="B6">
        <v>9.7300000000000008E-3</v>
      </c>
      <c r="C6">
        <v>1.0580000000000001E-2</v>
      </c>
      <c r="D6">
        <v>9.5399999999999999E-3</v>
      </c>
      <c r="E6">
        <v>9.7400000000000004E-3</v>
      </c>
      <c r="F6">
        <v>590196933</v>
      </c>
      <c r="G6">
        <v>9.7400000000000004E-3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-0.61538461538461475</v>
      </c>
      <c r="Q6">
        <f t="shared" ref="Q6" si="6">F6*P6</f>
        <v>-363198112.61538422</v>
      </c>
      <c r="R6">
        <f t="shared" ref="R6" si="7">R7+Q6</f>
        <v>-2635361778.0359817</v>
      </c>
      <c r="S6">
        <f t="shared" ref="S6" si="8">R6/100000</f>
        <v>-26353.617780359815</v>
      </c>
      <c r="T6">
        <f t="shared" ref="T6" si="9">S6/1000</f>
        <v>-26.353617780359816</v>
      </c>
    </row>
    <row r="7" spans="1:20" x14ac:dyDescent="0.25">
      <c r="A7" s="5">
        <v>44586</v>
      </c>
      <c r="B7">
        <v>9.5600000000000008E-3</v>
      </c>
      <c r="C7">
        <v>9.9100000000000004E-3</v>
      </c>
      <c r="D7">
        <v>9.3500000000000007E-3</v>
      </c>
      <c r="E7">
        <v>9.7300000000000008E-3</v>
      </c>
      <c r="F7">
        <v>384998971</v>
      </c>
      <c r="G7">
        <v>9.7300000000000008E-3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0.35714285714285826</v>
      </c>
      <c r="Q7">
        <f t="shared" ref="Q7" si="11">F7*P7</f>
        <v>137499632.50000042</v>
      </c>
      <c r="R7">
        <f t="shared" ref="R7" si="12">R8+Q7</f>
        <v>-2272163665.4205976</v>
      </c>
      <c r="S7">
        <f t="shared" ref="S7" si="13">R7/100000</f>
        <v>-22721.636654205977</v>
      </c>
      <c r="T7">
        <f t="shared" ref="T7" si="14">S7/1000</f>
        <v>-22.721636654205977</v>
      </c>
    </row>
    <row r="8" spans="1:20" x14ac:dyDescent="0.25">
      <c r="A8" s="5">
        <v>44585</v>
      </c>
      <c r="B8">
        <v>9.9600000000000001E-3</v>
      </c>
      <c r="C8">
        <v>9.9699999999999997E-3</v>
      </c>
      <c r="D8">
        <v>8.6800000000000002E-3</v>
      </c>
      <c r="E8">
        <v>9.5600000000000008E-3</v>
      </c>
      <c r="F8">
        <v>717922731</v>
      </c>
      <c r="G8">
        <v>9.5600000000000008E-3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0.36434108527131925</v>
      </c>
      <c r="Q8">
        <f t="shared" ref="Q8" si="16">F8*P8</f>
        <v>261568746.95348939</v>
      </c>
      <c r="R8">
        <f t="shared" ref="R8" si="17">R9+Q8</f>
        <v>-2409663297.920598</v>
      </c>
      <c r="S8">
        <f t="shared" ref="S8" si="18">R8/100000</f>
        <v>-24096.632979205981</v>
      </c>
      <c r="T8">
        <f t="shared" ref="T8" si="19">S8/1000</f>
        <v>-24.096632979205982</v>
      </c>
    </row>
    <row r="9" spans="1:20" x14ac:dyDescent="0.25">
      <c r="A9" s="5">
        <v>44584</v>
      </c>
      <c r="B9">
        <v>9.6900000000000007E-3</v>
      </c>
      <c r="C9">
        <v>1.0410000000000001E-2</v>
      </c>
      <c r="D9">
        <v>9.4299999999999991E-3</v>
      </c>
      <c r="E9">
        <v>9.9699999999999997E-3</v>
      </c>
      <c r="F9">
        <v>718654882</v>
      </c>
      <c r="G9">
        <v>9.9699999999999997E-3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0.10204081632652982</v>
      </c>
      <c r="Q9">
        <f t="shared" ref="Q9" si="21">F9*P9</f>
        <v>73332130.816325963</v>
      </c>
      <c r="R9">
        <f t="shared" ref="R9" si="22">R10+Q9</f>
        <v>-2671232044.8740873</v>
      </c>
      <c r="S9">
        <f t="shared" ref="S9" si="23">R9/100000</f>
        <v>-26712.320448740873</v>
      </c>
      <c r="T9">
        <f t="shared" ref="T9" si="24">S9/1000</f>
        <v>-26.712320448740872</v>
      </c>
    </row>
    <row r="10" spans="1:20" x14ac:dyDescent="0.25">
      <c r="A10" s="5">
        <v>44583</v>
      </c>
      <c r="B10">
        <v>1.048E-2</v>
      </c>
      <c r="C10">
        <v>1.0659999999999999E-2</v>
      </c>
      <c r="D10">
        <v>8.6800000000000002E-3</v>
      </c>
      <c r="E10">
        <v>9.6900000000000007E-3</v>
      </c>
      <c r="F10">
        <v>1095780363</v>
      </c>
      <c r="G10">
        <v>9.6900000000000007E-3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2.020202020202114E-2</v>
      </c>
      <c r="Q10">
        <f t="shared" ref="Q10" si="26">F10*P10</f>
        <v>22136977.030304059</v>
      </c>
      <c r="R10">
        <f t="shared" ref="R10" si="27">R11+Q10</f>
        <v>-2744564175.6904135</v>
      </c>
      <c r="S10">
        <f t="shared" ref="S10" si="28">R10/100000</f>
        <v>-27445.641756904133</v>
      </c>
      <c r="T10">
        <f t="shared" ref="T10" si="29">S10/1000</f>
        <v>-27.445641756904134</v>
      </c>
    </row>
    <row r="11" spans="1:20" x14ac:dyDescent="0.25">
      <c r="A11" s="5">
        <v>44582</v>
      </c>
      <c r="B11">
        <v>1.2370000000000001E-2</v>
      </c>
      <c r="C11">
        <v>1.2489999999999999E-2</v>
      </c>
      <c r="D11">
        <v>1.0160000000000001E-2</v>
      </c>
      <c r="E11">
        <v>1.048E-2</v>
      </c>
      <c r="F11">
        <v>876536396</v>
      </c>
      <c r="G11">
        <v>1.048E-2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-0.72532188841201783</v>
      </c>
      <c r="Q11">
        <f t="shared" ref="Q11" si="31">F11*P11</f>
        <v>-635771034.00858426</v>
      </c>
      <c r="R11">
        <f t="shared" ref="R11" si="32">R12+Q11</f>
        <v>-2766701152.7207174</v>
      </c>
      <c r="S11">
        <f t="shared" ref="S11" si="33">R11/100000</f>
        <v>-27667.011527207174</v>
      </c>
      <c r="T11">
        <f t="shared" ref="T11" si="34">S11/1000</f>
        <v>-27.667011527207173</v>
      </c>
    </row>
    <row r="12" spans="1:20" x14ac:dyDescent="0.25">
      <c r="A12" s="5">
        <v>44581</v>
      </c>
      <c r="B12">
        <v>1.295E-2</v>
      </c>
      <c r="C12">
        <v>1.353E-2</v>
      </c>
      <c r="D12">
        <v>1.2290000000000001E-2</v>
      </c>
      <c r="E12">
        <v>1.24E-2</v>
      </c>
      <c r="F12">
        <v>362366328</v>
      </c>
      <c r="G12">
        <v>1.24E-2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-0.82258064516129192</v>
      </c>
      <c r="Q12">
        <f t="shared" ref="Q12" si="36">F12*P12</f>
        <v>-298075527.87096834</v>
      </c>
      <c r="R12">
        <f t="shared" ref="R12" si="37">R13+Q12</f>
        <v>-2130930118.7121332</v>
      </c>
      <c r="S12">
        <f t="shared" ref="S12" si="38">R12/100000</f>
        <v>-21309.301187121331</v>
      </c>
      <c r="T12">
        <f t="shared" ref="T12" si="39">S12/1000</f>
        <v>-21.309301187121331</v>
      </c>
    </row>
    <row r="13" spans="1:20" x14ac:dyDescent="0.25">
      <c r="A13" s="5">
        <v>44580</v>
      </c>
      <c r="B13">
        <v>1.333E-2</v>
      </c>
      <c r="C13">
        <v>1.34E-2</v>
      </c>
      <c r="D13">
        <v>1.2619999999999999E-2</v>
      </c>
      <c r="E13">
        <v>1.295E-2</v>
      </c>
      <c r="F13">
        <v>279646878</v>
      </c>
      <c r="G13">
        <v>1.295E-2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-0.15384615384615402</v>
      </c>
      <c r="Q13">
        <f t="shared" ref="Q13" si="41">F13*P13</f>
        <v>-43022596.615384661</v>
      </c>
      <c r="R13">
        <f t="shared" ref="R13" si="42">R14+Q13</f>
        <v>-1832854590.8411648</v>
      </c>
      <c r="S13">
        <f t="shared" ref="S13" si="43">R13/100000</f>
        <v>-18328.545908411648</v>
      </c>
      <c r="T13">
        <f t="shared" ref="T13" si="44">S13/1000</f>
        <v>-18.328545908411648</v>
      </c>
    </row>
    <row r="14" spans="1:20" x14ac:dyDescent="0.25">
      <c r="A14" s="5">
        <v>44579</v>
      </c>
      <c r="B14">
        <v>1.3610000000000001E-2</v>
      </c>
      <c r="C14">
        <v>1.376E-2</v>
      </c>
      <c r="D14">
        <v>1.291E-2</v>
      </c>
      <c r="E14">
        <v>1.333E-2</v>
      </c>
      <c r="F14">
        <v>335618220</v>
      </c>
      <c r="G14">
        <v>1.333E-2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-1.176470588235246E-2</v>
      </c>
      <c r="Q14">
        <f t="shared" ref="Q14" si="46">F14*P14</f>
        <v>-3948449.647058662</v>
      </c>
      <c r="R14">
        <f t="shared" ref="R14" si="47">R15+Q14</f>
        <v>-1789831994.2257802</v>
      </c>
      <c r="S14">
        <f t="shared" ref="S14" si="48">R14/100000</f>
        <v>-17898.319942257804</v>
      </c>
      <c r="T14">
        <f t="shared" ref="T14" si="49">S14/1000</f>
        <v>-17.898319942257803</v>
      </c>
    </row>
    <row r="15" spans="1:20" x14ac:dyDescent="0.25">
      <c r="A15" s="5">
        <v>44578</v>
      </c>
      <c r="B15">
        <v>1.4279999999999999E-2</v>
      </c>
      <c r="C15">
        <v>1.4330000000000001E-2</v>
      </c>
      <c r="D15">
        <v>1.338E-2</v>
      </c>
      <c r="E15">
        <v>1.3599999999999999E-2</v>
      </c>
      <c r="F15">
        <v>304837246</v>
      </c>
      <c r="G15">
        <v>1.3599999999999999E-2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-0.53684210526315912</v>
      </c>
      <c r="Q15">
        <f t="shared" ref="Q15" si="51">F15*P15</f>
        <v>-163649468.90526354</v>
      </c>
      <c r="R15">
        <f t="shared" ref="R15" si="52">R16+Q15</f>
        <v>-1785883544.5787215</v>
      </c>
      <c r="S15">
        <f t="shared" ref="S15" si="53">R15/100000</f>
        <v>-17858.835445787216</v>
      </c>
      <c r="T15">
        <f t="shared" ref="T15" si="54">S15/1000</f>
        <v>-17.858835445787214</v>
      </c>
    </row>
    <row r="16" spans="1:20" x14ac:dyDescent="0.25">
      <c r="A16" s="5">
        <v>44577</v>
      </c>
      <c r="B16">
        <v>1.4370000000000001E-2</v>
      </c>
      <c r="C16">
        <v>1.4619999999999999E-2</v>
      </c>
      <c r="D16">
        <v>1.406E-2</v>
      </c>
      <c r="E16">
        <v>1.427E-2</v>
      </c>
      <c r="F16">
        <v>296336669</v>
      </c>
      <c r="G16">
        <v>1.427E-2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-0.24999999999999922</v>
      </c>
      <c r="Q16">
        <f t="shared" ref="Q16" si="56">F16*P16</f>
        <v>-74084167.249999776</v>
      </c>
      <c r="R16">
        <f t="shared" ref="R16" si="57">R17+Q16</f>
        <v>-1622234075.6734581</v>
      </c>
      <c r="S16">
        <f t="shared" ref="S16" si="58">R16/100000</f>
        <v>-16222.34075673458</v>
      </c>
      <c r="T16">
        <f t="shared" ref="T16" si="59">S16/1000</f>
        <v>-16.222340756734582</v>
      </c>
    </row>
    <row r="17" spans="1:20" x14ac:dyDescent="0.25">
      <c r="A17" s="5">
        <v>44576</v>
      </c>
      <c r="B17">
        <v>1.413E-2</v>
      </c>
      <c r="C17">
        <v>1.494E-2</v>
      </c>
      <c r="D17">
        <v>1.392E-2</v>
      </c>
      <c r="E17">
        <v>1.436E-2</v>
      </c>
      <c r="F17">
        <v>488083040</v>
      </c>
      <c r="G17">
        <v>1.436E-2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-0.13725490196078552</v>
      </c>
      <c r="Q17">
        <f t="shared" ref="Q17" si="61">F17*P17</f>
        <v>-66991789.803922154</v>
      </c>
      <c r="R17">
        <f t="shared" ref="R17" si="62">R18+Q17</f>
        <v>-1548149908.4234583</v>
      </c>
      <c r="S17">
        <f t="shared" ref="S17" si="63">R17/100000</f>
        <v>-15481.499084234583</v>
      </c>
      <c r="T17">
        <f t="shared" ref="T17" si="64">S17/1000</f>
        <v>-15.481499084234583</v>
      </c>
    </row>
    <row r="18" spans="1:20" x14ac:dyDescent="0.25">
      <c r="A18" s="5">
        <v>44575</v>
      </c>
      <c r="B18">
        <v>1.389E-2</v>
      </c>
      <c r="C18">
        <v>1.4370000000000001E-2</v>
      </c>
      <c r="D18">
        <v>1.3599999999999999E-2</v>
      </c>
      <c r="E18">
        <v>1.413E-2</v>
      </c>
      <c r="F18">
        <v>334316381</v>
      </c>
      <c r="G18">
        <v>1.413E-2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0.37662337662337625</v>
      </c>
      <c r="Q18">
        <f t="shared" ref="Q18" si="66">F18*P18</f>
        <v>125911364.27272715</v>
      </c>
      <c r="R18">
        <f t="shared" ref="R18" si="67">R19+Q18</f>
        <v>-1481158118.6195362</v>
      </c>
      <c r="S18">
        <f t="shared" ref="S18" si="68">R18/100000</f>
        <v>-14811.581186195361</v>
      </c>
      <c r="T18">
        <f t="shared" ref="T18" si="69">S18/1000</f>
        <v>-14.81158118619536</v>
      </c>
    </row>
    <row r="19" spans="1:20" x14ac:dyDescent="0.25">
      <c r="A19" s="5">
        <v>44574</v>
      </c>
      <c r="B19">
        <v>1.4760000000000001E-2</v>
      </c>
      <c r="C19">
        <v>1.5010000000000001E-2</v>
      </c>
      <c r="D19">
        <v>1.383E-2</v>
      </c>
      <c r="E19">
        <v>1.389E-2</v>
      </c>
      <c r="F19">
        <v>482965557</v>
      </c>
      <c r="G19">
        <v>1.389E-2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-0.89830508474576398</v>
      </c>
      <c r="Q19">
        <f t="shared" ref="Q19" si="71">F19*P19</f>
        <v>-433850415.61017013</v>
      </c>
      <c r="R19">
        <f t="shared" ref="R19" si="72">R20+Q19</f>
        <v>-1607069482.8922634</v>
      </c>
      <c r="S19">
        <f t="shared" ref="S19" si="73">R19/100000</f>
        <v>-16070.694828922635</v>
      </c>
      <c r="T19">
        <f t="shared" ref="T19" si="74">S19/1000</f>
        <v>-16.070694828922633</v>
      </c>
    </row>
    <row r="20" spans="1:20" x14ac:dyDescent="0.25">
      <c r="A20" s="5">
        <v>44573</v>
      </c>
      <c r="B20">
        <v>1.3979999999999999E-2</v>
      </c>
      <c r="C20">
        <v>1.494E-2</v>
      </c>
      <c r="D20">
        <v>1.392E-2</v>
      </c>
      <c r="E20">
        <v>1.477E-2</v>
      </c>
      <c r="F20">
        <v>457783940</v>
      </c>
      <c r="G20">
        <v>1.477E-2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0.66666666666666663</v>
      </c>
      <c r="Q20">
        <f t="shared" ref="Q20" si="76">F20*P20</f>
        <v>305189293.33333331</v>
      </c>
      <c r="R20">
        <f t="shared" ref="R20" si="77">R21+Q20</f>
        <v>-1173219067.2820933</v>
      </c>
      <c r="S20">
        <f t="shared" ref="S20" si="78">R20/100000</f>
        <v>-11732.190672820932</v>
      </c>
      <c r="T20">
        <f t="shared" ref="T20" si="79">S20/1000</f>
        <v>-11.732190672820932</v>
      </c>
    </row>
    <row r="21" spans="1:20" x14ac:dyDescent="0.25">
      <c r="A21" s="5">
        <v>44572</v>
      </c>
      <c r="B21">
        <v>1.3129999999999999E-2</v>
      </c>
      <c r="C21">
        <v>1.417E-2</v>
      </c>
      <c r="D21">
        <v>1.3050000000000001E-2</v>
      </c>
      <c r="E21">
        <v>1.397E-2</v>
      </c>
      <c r="F21">
        <v>526534863</v>
      </c>
      <c r="G21">
        <v>1.397E-2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0.64285714285714179</v>
      </c>
      <c r="Q21">
        <f t="shared" ref="Q21" si="81">F21*P21</f>
        <v>338486697.6428566</v>
      </c>
      <c r="R21">
        <f t="shared" ref="R21" si="82">R22+Q21</f>
        <v>-1478408360.6154265</v>
      </c>
      <c r="S21">
        <f t="shared" ref="S21" si="83">R21/100000</f>
        <v>-14784.083606154265</v>
      </c>
      <c r="T21">
        <f t="shared" ref="T21" si="84">S21/1000</f>
        <v>-14.784083606154265</v>
      </c>
    </row>
    <row r="22" spans="1:20" x14ac:dyDescent="0.25">
      <c r="A22" s="5">
        <v>44571</v>
      </c>
      <c r="B22">
        <v>1.413E-2</v>
      </c>
      <c r="C22">
        <v>1.434E-2</v>
      </c>
      <c r="D22">
        <v>1.2500000000000001E-2</v>
      </c>
      <c r="E22">
        <v>1.311E-2</v>
      </c>
      <c r="F22">
        <v>710179153</v>
      </c>
      <c r="G22">
        <v>1.311E-2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-0.33695652173913093</v>
      </c>
      <c r="Q22">
        <f t="shared" ref="Q22" si="86">F22*P22</f>
        <v>-239299497.20652211</v>
      </c>
      <c r="R22">
        <f t="shared" ref="R22" si="87">R23+Q22</f>
        <v>-1816895058.2582831</v>
      </c>
      <c r="S22">
        <f t="shared" ref="S22" si="88">R22/100000</f>
        <v>-18168.950582582831</v>
      </c>
      <c r="T22">
        <f t="shared" ref="T22" si="89">S22/1000</f>
        <v>-18.168950582582831</v>
      </c>
    </row>
    <row r="23" spans="1:20" x14ac:dyDescent="0.25">
      <c r="A23" s="5">
        <v>44570</v>
      </c>
      <c r="B23">
        <v>1.391E-2</v>
      </c>
      <c r="C23">
        <v>1.4460000000000001E-2</v>
      </c>
      <c r="D23">
        <v>1.3520000000000001E-2</v>
      </c>
      <c r="E23">
        <v>1.413E-2</v>
      </c>
      <c r="F23">
        <v>736106680</v>
      </c>
      <c r="G23">
        <v>1.413E-2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0.2978723404255309</v>
      </c>
      <c r="Q23">
        <f t="shared" ref="Q23" si="91">F23*P23</f>
        <v>219265819.57446733</v>
      </c>
      <c r="R23">
        <f t="shared" ref="R23" si="92">R24+Q23</f>
        <v>-1577595561.0517609</v>
      </c>
      <c r="S23">
        <f t="shared" ref="S23" si="93">R23/100000</f>
        <v>-15775.955610517609</v>
      </c>
      <c r="T23">
        <f t="shared" ref="T23" si="94">S23/1000</f>
        <v>-15.77595561051761</v>
      </c>
    </row>
    <row r="24" spans="1:20" x14ac:dyDescent="0.25">
      <c r="A24" s="5">
        <v>44569</v>
      </c>
      <c r="B24">
        <v>1.481E-2</v>
      </c>
      <c r="C24">
        <v>1.524E-2</v>
      </c>
      <c r="D24">
        <v>1.359E-2</v>
      </c>
      <c r="E24">
        <v>1.391E-2</v>
      </c>
      <c r="F24">
        <v>905378462</v>
      </c>
      <c r="G24">
        <v>1.391E-2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-0.61212121212121118</v>
      </c>
      <c r="Q24">
        <f t="shared" ref="Q24" si="96">F24*P24</f>
        <v>-554201361.58787799</v>
      </c>
      <c r="R24">
        <f t="shared" ref="R24" si="97">R25+Q24</f>
        <v>-1796861380.6262283</v>
      </c>
      <c r="S24">
        <f t="shared" ref="S24" si="98">R24/100000</f>
        <v>-17968.613806262285</v>
      </c>
      <c r="T24">
        <f t="shared" ref="T24" si="99">S24/1000</f>
        <v>-17.968613806262287</v>
      </c>
    </row>
    <row r="25" spans="1:20" x14ac:dyDescent="0.25">
      <c r="A25" s="5">
        <v>44568</v>
      </c>
      <c r="B25">
        <v>1.6209999999999999E-2</v>
      </c>
      <c r="C25">
        <v>1.6279999999999999E-2</v>
      </c>
      <c r="D25">
        <v>1.4630000000000001E-2</v>
      </c>
      <c r="E25">
        <v>1.4800000000000001E-2</v>
      </c>
      <c r="F25">
        <v>1142076760</v>
      </c>
      <c r="G25">
        <v>1.4800000000000001E-2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-0.79393939393939372</v>
      </c>
      <c r="Q25">
        <f t="shared" ref="Q25" si="101">F25*P25</f>
        <v>-906739730.66666639</v>
      </c>
      <c r="R25">
        <f t="shared" ref="R25" si="102">R26+Q25</f>
        <v>-1242660019.0383503</v>
      </c>
      <c r="S25">
        <f t="shared" ref="S25" si="103">R25/100000</f>
        <v>-12426.600190383504</v>
      </c>
      <c r="T25">
        <f t="shared" ref="T25" si="104">S25/1000</f>
        <v>-12.426600190383503</v>
      </c>
    </row>
    <row r="26" spans="1:20" x14ac:dyDescent="0.25">
      <c r="A26" s="5">
        <v>44567</v>
      </c>
      <c r="B26">
        <v>1.6389999999999998E-2</v>
      </c>
      <c r="C26">
        <v>1.6709999999999999E-2</v>
      </c>
      <c r="D26">
        <v>1.5820000000000001E-2</v>
      </c>
      <c r="E26">
        <v>1.6209999999999999E-2</v>
      </c>
      <c r="F26">
        <v>520409307</v>
      </c>
      <c r="G26">
        <v>1.6209999999999999E-2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-0.12359550561798051</v>
      </c>
      <c r="Q26">
        <f t="shared" ref="Q26" si="106">F26*P26</f>
        <v>-64320251.426967844</v>
      </c>
      <c r="R26">
        <f t="shared" ref="R26" si="107">R27+Q26</f>
        <v>-335920288.37168396</v>
      </c>
      <c r="S26">
        <f t="shared" ref="S26" si="108">R26/100000</f>
        <v>-3359.2028837168396</v>
      </c>
      <c r="T26">
        <f t="shared" ref="T26" si="109">S26/1000</f>
        <v>-3.3592028837168395</v>
      </c>
    </row>
    <row r="27" spans="1:20" x14ac:dyDescent="0.25">
      <c r="A27" s="5">
        <v>44566</v>
      </c>
      <c r="B27">
        <v>1.7829999999999999E-2</v>
      </c>
      <c r="C27">
        <v>1.848E-2</v>
      </c>
      <c r="D27">
        <v>1.5689999999999999E-2</v>
      </c>
      <c r="E27">
        <v>1.6400000000000001E-2</v>
      </c>
      <c r="F27">
        <v>772012467</v>
      </c>
      <c r="G27">
        <v>1.6400000000000001E-2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-0.49103942652329602</v>
      </c>
      <c r="Q27">
        <f t="shared" ref="Q27" si="111">F27*P27</f>
        <v>-379088559.06451499</v>
      </c>
      <c r="R27">
        <f t="shared" ref="R27" si="112">R28+Q27</f>
        <v>-271600036.9447161</v>
      </c>
      <c r="S27">
        <f t="shared" ref="S27" si="113">R27/100000</f>
        <v>-2716.0003694471611</v>
      </c>
      <c r="T27">
        <f t="shared" ref="T27" si="114">S27/1000</f>
        <v>-2.7160003694471611</v>
      </c>
    </row>
    <row r="28" spans="1:20" x14ac:dyDescent="0.25">
      <c r="A28" s="5">
        <v>44565</v>
      </c>
      <c r="B28">
        <v>1.806E-2</v>
      </c>
      <c r="C28">
        <v>1.856E-2</v>
      </c>
      <c r="D28">
        <v>1.7610000000000001E-2</v>
      </c>
      <c r="E28">
        <v>1.7809999999999999E-2</v>
      </c>
      <c r="F28">
        <v>477770242</v>
      </c>
      <c r="G28">
        <v>1.7809999999999999E-2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-0.57894736842105499</v>
      </c>
      <c r="Q28">
        <f t="shared" ref="Q28" si="116">F28*P28</f>
        <v>-276603824.31579059</v>
      </c>
      <c r="R28">
        <f t="shared" ref="R28" si="117">R29+Q28</f>
        <v>107488522.1197989</v>
      </c>
      <c r="S28">
        <f t="shared" ref="S28" si="118">R28/100000</f>
        <v>1074.885221197989</v>
      </c>
      <c r="T28">
        <f t="shared" ref="T28" si="119">S28/1000</f>
        <v>1.0748852211979891</v>
      </c>
    </row>
    <row r="29" spans="1:20" x14ac:dyDescent="0.25">
      <c r="A29" s="5">
        <v>44564</v>
      </c>
      <c r="B29">
        <v>1.8509999999999999E-2</v>
      </c>
      <c r="C29">
        <v>1.8669999999999999E-2</v>
      </c>
      <c r="D29">
        <v>1.7809999999999999E-2</v>
      </c>
      <c r="E29">
        <v>1.8030000000000001E-2</v>
      </c>
      <c r="F29">
        <v>396380568</v>
      </c>
      <c r="G29">
        <v>1.8030000000000001E-2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-0.48837209302325224</v>
      </c>
      <c r="Q29">
        <f t="shared" ref="Q29" si="121">F29*P29</f>
        <v>-193581207.62790555</v>
      </c>
      <c r="R29">
        <f t="shared" ref="R29" si="122">R30+Q29</f>
        <v>384092346.43558949</v>
      </c>
      <c r="S29">
        <f t="shared" ref="S29" si="123">R29/100000</f>
        <v>3840.9234643558948</v>
      </c>
      <c r="T29">
        <f t="shared" ref="T29" si="124">S29/1000</f>
        <v>3.8409234643558947</v>
      </c>
    </row>
    <row r="30" spans="1:20" x14ac:dyDescent="0.25">
      <c r="A30" s="5">
        <v>44563</v>
      </c>
      <c r="B30">
        <v>1.8720000000000001E-2</v>
      </c>
      <c r="C30">
        <v>1.899E-2</v>
      </c>
      <c r="D30">
        <v>1.8329999999999999E-2</v>
      </c>
      <c r="E30">
        <v>1.8499999999999999E-2</v>
      </c>
      <c r="F30">
        <v>311256103</v>
      </c>
      <c r="G30">
        <v>1.8499999999999999E-2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-0.48484848484848547</v>
      </c>
      <c r="Q30">
        <f t="shared" ref="Q30" si="126">F30*P30</f>
        <v>-150912049.93939415</v>
      </c>
      <c r="R30">
        <f t="shared" ref="R30" si="127">R31+Q30</f>
        <v>577673554.06349504</v>
      </c>
      <c r="S30">
        <f t="shared" ref="S30" si="128">R30/100000</f>
        <v>5776.7355406349507</v>
      </c>
      <c r="T30">
        <f t="shared" ref="T30" si="129">S30/1000</f>
        <v>5.7767355406349505</v>
      </c>
    </row>
    <row r="31" spans="1:20" x14ac:dyDescent="0.25">
      <c r="A31" s="5">
        <v>44562</v>
      </c>
      <c r="B31">
        <v>1.8290000000000001E-2</v>
      </c>
      <c r="C31">
        <v>1.8800000000000001E-2</v>
      </c>
      <c r="D31">
        <v>1.8290000000000001E-2</v>
      </c>
      <c r="E31">
        <v>1.8720000000000001E-2</v>
      </c>
      <c r="F31">
        <v>268074321</v>
      </c>
      <c r="G31">
        <v>1.8720000000000001E-2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0.6862745098039208</v>
      </c>
      <c r="Q31">
        <f t="shared" ref="Q31" si="131">F31*P31</f>
        <v>183972573.23529392</v>
      </c>
      <c r="R31">
        <f t="shared" ref="R31" si="132">R32+Q31</f>
        <v>728585604.00288916</v>
      </c>
      <c r="S31">
        <f t="shared" ref="S31" si="133">R31/100000</f>
        <v>7285.8560400288916</v>
      </c>
      <c r="T31">
        <f t="shared" ref="T31" si="134">S31/1000</f>
        <v>7.2858560400288912</v>
      </c>
    </row>
    <row r="32" spans="1:20" x14ac:dyDescent="0.25">
      <c r="A32" s="5">
        <v>44561</v>
      </c>
      <c r="B32">
        <v>1.8599999999999998E-2</v>
      </c>
      <c r="C32">
        <v>1.9740000000000001E-2</v>
      </c>
      <c r="D32">
        <v>1.796E-2</v>
      </c>
      <c r="E32">
        <v>1.8290000000000001E-2</v>
      </c>
      <c r="F32">
        <v>683407281</v>
      </c>
      <c r="G32">
        <v>1.8290000000000001E-2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-0.62921348314606695</v>
      </c>
      <c r="Q32">
        <f t="shared" ref="Q32" si="136">F32*P32</f>
        <v>-430009075.68539292</v>
      </c>
      <c r="R32">
        <f t="shared" ref="R32" si="137">R33+Q32</f>
        <v>544613030.76759529</v>
      </c>
      <c r="S32">
        <f t="shared" ref="S32" si="138">R32/100000</f>
        <v>5446.1303076759532</v>
      </c>
      <c r="T32">
        <f t="shared" ref="T32" si="139">S32/1000</f>
        <v>5.4461303076759533</v>
      </c>
    </row>
    <row r="33" spans="1:20" x14ac:dyDescent="0.25">
      <c r="A33" s="5">
        <v>44560</v>
      </c>
      <c r="B33">
        <v>1.8280000000000001E-2</v>
      </c>
      <c r="C33">
        <v>1.8890000000000001E-2</v>
      </c>
      <c r="D33">
        <v>1.7770000000000001E-2</v>
      </c>
      <c r="E33">
        <v>1.8599999999999998E-2</v>
      </c>
      <c r="F33">
        <v>397641126</v>
      </c>
      <c r="G33">
        <v>1.8599999999999998E-2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0.48214285714285321</v>
      </c>
      <c r="Q33">
        <f t="shared" ref="Q33" si="141">F33*P33</f>
        <v>191719828.60714129</v>
      </c>
      <c r="R33">
        <f t="shared" ref="R33" si="142">R34+Q33</f>
        <v>974622106.45298815</v>
      </c>
      <c r="S33">
        <f t="shared" ref="S33" si="143">R33/100000</f>
        <v>9746.2210645298819</v>
      </c>
      <c r="T33">
        <f t="shared" ref="T33" si="144">S33/1000</f>
        <v>9.7462210645298821</v>
      </c>
    </row>
    <row r="34" spans="1:20" x14ac:dyDescent="0.25">
      <c r="A34" s="5">
        <v>44559</v>
      </c>
      <c r="B34">
        <v>1.873E-2</v>
      </c>
      <c r="C34">
        <v>1.9269999999999999E-2</v>
      </c>
      <c r="D34">
        <v>1.8120000000000001E-2</v>
      </c>
      <c r="E34">
        <v>1.8280000000000001E-2</v>
      </c>
      <c r="F34">
        <v>438875775</v>
      </c>
      <c r="G34">
        <v>1.8280000000000001E-2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-0.72173913043478144</v>
      </c>
      <c r="Q34">
        <f t="shared" ref="Q34" si="146">F34*P34</f>
        <v>-316753820.21739078</v>
      </c>
      <c r="R34">
        <f t="shared" ref="R34" si="147">R35+Q34</f>
        <v>782902277.84584689</v>
      </c>
      <c r="S34">
        <f t="shared" ref="S34" si="148">R34/100000</f>
        <v>7829.0227784584686</v>
      </c>
      <c r="T34">
        <f t="shared" ref="T34" si="149">S34/1000</f>
        <v>7.8290227784584685</v>
      </c>
    </row>
    <row r="35" spans="1:20" x14ac:dyDescent="0.25">
      <c r="A35" s="5">
        <v>44558</v>
      </c>
      <c r="B35">
        <v>2.0820000000000002E-2</v>
      </c>
      <c r="C35">
        <v>2.0840000000000001E-2</v>
      </c>
      <c r="D35">
        <v>1.8540000000000001E-2</v>
      </c>
      <c r="E35">
        <v>1.873E-2</v>
      </c>
      <c r="F35">
        <v>661398591</v>
      </c>
      <c r="G35">
        <v>1.873E-2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-0.83478260869565291</v>
      </c>
      <c r="Q35">
        <f t="shared" ref="Q35" si="151">F35*P35</f>
        <v>-552124041.1826092</v>
      </c>
      <c r="R35">
        <f t="shared" ref="R35" si="152">R36+Q35</f>
        <v>1099656098.0632377</v>
      </c>
      <c r="S35">
        <f t="shared" ref="S35" si="153">R35/100000</f>
        <v>10996.560980632377</v>
      </c>
      <c r="T35">
        <f t="shared" ref="T35" si="154">S35/1000</f>
        <v>10.996560980632378</v>
      </c>
    </row>
    <row r="36" spans="1:20" x14ac:dyDescent="0.25">
      <c r="A36" s="5">
        <v>44557</v>
      </c>
      <c r="B36">
        <v>2.1000000000000001E-2</v>
      </c>
      <c r="C36">
        <v>2.1690000000000001E-2</v>
      </c>
      <c r="D36">
        <v>2.0719999999999999E-2</v>
      </c>
      <c r="E36">
        <v>2.0820000000000002E-2</v>
      </c>
      <c r="F36">
        <v>568984927</v>
      </c>
      <c r="G36">
        <v>2.0820000000000002E-2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-0.79381443298968524</v>
      </c>
      <c r="Q36">
        <f t="shared" ref="Q36" si="156">F36*P36</f>
        <v>-451668447.20618242</v>
      </c>
      <c r="R36">
        <f t="shared" ref="R36" si="157">R37+Q36</f>
        <v>1651780139.2458467</v>
      </c>
      <c r="S36">
        <f t="shared" ref="S36" si="158">R36/100000</f>
        <v>16517.801392458467</v>
      </c>
      <c r="T36">
        <f t="shared" ref="T36" si="159">S36/1000</f>
        <v>16.517801392458466</v>
      </c>
    </row>
    <row r="37" spans="1:20" x14ac:dyDescent="0.25">
      <c r="A37" s="5">
        <v>44556</v>
      </c>
      <c r="B37">
        <v>2.0990000000000002E-2</v>
      </c>
      <c r="C37">
        <v>2.1219999999999999E-2</v>
      </c>
      <c r="D37">
        <v>2.0209999999999999E-2</v>
      </c>
      <c r="E37">
        <v>2.1000000000000001E-2</v>
      </c>
      <c r="F37">
        <v>456795665</v>
      </c>
      <c r="G37">
        <v>2.1000000000000001E-2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0.56435643564356852</v>
      </c>
      <c r="Q37">
        <f t="shared" ref="Q37" si="161">F37*P37</f>
        <v>257795573.31683359</v>
      </c>
      <c r="R37">
        <f t="shared" ref="R37" si="162">R38+Q37</f>
        <v>2103448586.4520292</v>
      </c>
      <c r="S37">
        <f t="shared" ref="S37" si="163">R37/100000</f>
        <v>21034.485864520291</v>
      </c>
      <c r="T37">
        <f t="shared" ref="T37" si="164">S37/1000</f>
        <v>21.034485864520292</v>
      </c>
    </row>
    <row r="38" spans="1:20" x14ac:dyDescent="0.25">
      <c r="A38" s="5">
        <v>44555</v>
      </c>
      <c r="B38">
        <v>2.07E-2</v>
      </c>
      <c r="C38">
        <v>2.1579999999999998E-2</v>
      </c>
      <c r="D38">
        <v>2.0469999999999999E-2</v>
      </c>
      <c r="E38">
        <v>2.0990000000000002E-2</v>
      </c>
      <c r="F38">
        <v>526721180</v>
      </c>
      <c r="G38">
        <v>2.0990000000000002E-2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-6.3063063063057381E-2</v>
      </c>
      <c r="Q38">
        <f t="shared" ref="Q38" si="166">F38*P38</f>
        <v>-33216650.990987998</v>
      </c>
      <c r="R38">
        <f t="shared" ref="R38" si="167">R39+Q38</f>
        <v>1845653013.1351957</v>
      </c>
      <c r="S38">
        <f t="shared" ref="S38" si="168">R38/100000</f>
        <v>18456.530131351956</v>
      </c>
      <c r="T38">
        <f t="shared" ref="T38" si="169">S38/1000</f>
        <v>18.456530131351954</v>
      </c>
    </row>
    <row r="39" spans="1:20" x14ac:dyDescent="0.25">
      <c r="A39" s="5">
        <v>44554</v>
      </c>
      <c r="B39">
        <v>2.0719999999999999E-2</v>
      </c>
      <c r="C39">
        <v>2.23E-2</v>
      </c>
      <c r="D39">
        <v>2.0299999999999999E-2</v>
      </c>
      <c r="E39">
        <v>2.07E-2</v>
      </c>
      <c r="F39">
        <v>1015923445</v>
      </c>
      <c r="G39">
        <v>2.07E-2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-0.59999999999999931</v>
      </c>
      <c r="Q39">
        <f t="shared" ref="Q39" si="171">F39*P39</f>
        <v>-609554066.99999928</v>
      </c>
      <c r="R39">
        <f t="shared" ref="R39" si="172">R40+Q39</f>
        <v>1878869664.1261837</v>
      </c>
      <c r="S39">
        <f t="shared" ref="S39" si="173">R39/100000</f>
        <v>18788.696641261839</v>
      </c>
      <c r="T39">
        <f t="shared" ref="T39" si="174">S39/1000</f>
        <v>18.78869664126184</v>
      </c>
    </row>
    <row r="40" spans="1:20" x14ac:dyDescent="0.25">
      <c r="A40" s="5">
        <v>44553</v>
      </c>
      <c r="B40">
        <v>1.9910000000000001E-2</v>
      </c>
      <c r="C40">
        <v>2.1479999999999999E-2</v>
      </c>
      <c r="D40">
        <v>1.9529999999999999E-2</v>
      </c>
      <c r="E40">
        <v>2.07E-2</v>
      </c>
      <c r="F40">
        <v>788954589</v>
      </c>
      <c r="G40">
        <v>2.07E-2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0.2000000000000007</v>
      </c>
      <c r="Q40">
        <f t="shared" ref="Q40" si="176">F40*P40</f>
        <v>157790917.80000055</v>
      </c>
      <c r="R40">
        <f t="shared" ref="R40" si="177">R41+Q40</f>
        <v>2488423731.126183</v>
      </c>
      <c r="S40">
        <f t="shared" ref="S40" si="178">R40/100000</f>
        <v>24884.23731126183</v>
      </c>
      <c r="T40">
        <f t="shared" ref="T40" si="179">S40/1000</f>
        <v>24.884237311261831</v>
      </c>
    </row>
    <row r="41" spans="1:20" x14ac:dyDescent="0.25">
      <c r="A41" s="5">
        <v>44552</v>
      </c>
      <c r="B41">
        <v>1.9199999999999998E-2</v>
      </c>
      <c r="C41">
        <v>2.043E-2</v>
      </c>
      <c r="D41">
        <v>1.9199999999999998E-2</v>
      </c>
      <c r="E41">
        <v>1.9910000000000001E-2</v>
      </c>
      <c r="F41">
        <v>845667951</v>
      </c>
      <c r="G41">
        <v>1.9910000000000001E-2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0.15447154471544908</v>
      </c>
      <c r="Q41">
        <f t="shared" ref="Q41" si="181">F41*P41</f>
        <v>130631634.70731869</v>
      </c>
      <c r="R41">
        <f t="shared" ref="R41" si="182">R42+Q41</f>
        <v>2330632813.3261824</v>
      </c>
      <c r="S41">
        <f t="shared" ref="S41" si="183">R41/100000</f>
        <v>23306.328133261824</v>
      </c>
      <c r="T41">
        <f t="shared" ref="T41" si="184">S41/1000</f>
        <v>23.306328133261825</v>
      </c>
    </row>
    <row r="42" spans="1:20" x14ac:dyDescent="0.25">
      <c r="A42" s="5">
        <v>44551</v>
      </c>
      <c r="B42">
        <v>1.8769999999999998E-2</v>
      </c>
      <c r="C42">
        <v>1.9539999999999998E-2</v>
      </c>
      <c r="D42">
        <v>1.848E-2</v>
      </c>
      <c r="E42">
        <v>1.9220000000000001E-2</v>
      </c>
      <c r="F42">
        <v>824906362</v>
      </c>
      <c r="G42">
        <v>1.9220000000000001E-2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0.3962264150943437</v>
      </c>
      <c r="Q42">
        <f t="shared" ref="Q42" si="186">F42*P42</f>
        <v>326849690.60377693</v>
      </c>
      <c r="R42">
        <f t="shared" ref="R42" si="187">R43+Q42</f>
        <v>2200001178.6188636</v>
      </c>
      <c r="S42">
        <f t="shared" ref="S42" si="188">R42/100000</f>
        <v>22000.011786188636</v>
      </c>
      <c r="T42">
        <f t="shared" ref="T42" si="189">S42/1000</f>
        <v>22.000011786188637</v>
      </c>
    </row>
    <row r="43" spans="1:20" x14ac:dyDescent="0.25">
      <c r="A43" s="5">
        <v>44550</v>
      </c>
      <c r="B43">
        <v>1.925E-2</v>
      </c>
      <c r="C43">
        <v>2.044E-2</v>
      </c>
      <c r="D43">
        <v>1.7319999999999999E-2</v>
      </c>
      <c r="E43">
        <v>1.8759999999999999E-2</v>
      </c>
      <c r="F43">
        <v>3234038101</v>
      </c>
      <c r="G43">
        <v>1.8759999999999999E-2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-7.6923076923077094E-2</v>
      </c>
      <c r="Q43">
        <f t="shared" ref="Q43" si="191">F43*P43</f>
        <v>-248772161.61538517</v>
      </c>
      <c r="R43">
        <f t="shared" ref="R43" si="192">R44+Q43</f>
        <v>1873151488.0150867</v>
      </c>
      <c r="S43">
        <f t="shared" ref="S43" si="193">R43/100000</f>
        <v>18731.514880150866</v>
      </c>
      <c r="T43">
        <f t="shared" ref="T43" si="194">S43/1000</f>
        <v>18.731514880150865</v>
      </c>
    </row>
    <row r="44" spans="1:20" x14ac:dyDescent="0.25">
      <c r="A44" s="5">
        <v>44549</v>
      </c>
      <c r="B44">
        <v>1.7059999999999999E-2</v>
      </c>
      <c r="C44">
        <v>2.1780000000000001E-2</v>
      </c>
      <c r="D44">
        <v>1.6899999999999998E-2</v>
      </c>
      <c r="E44">
        <v>1.925E-2</v>
      </c>
      <c r="F44">
        <v>2890526936</v>
      </c>
      <c r="G44">
        <v>1.925E-2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-3.6885245901639246E-2</v>
      </c>
      <c r="Q44">
        <f t="shared" ref="Q44" si="196">F44*P44</f>
        <v>-106617796.81967185</v>
      </c>
      <c r="R44">
        <f t="shared" ref="R44" si="197">R45+Q44</f>
        <v>2121923649.6304719</v>
      </c>
      <c r="S44">
        <f t="shared" ref="S44" si="198">R44/100000</f>
        <v>21219.236496304718</v>
      </c>
      <c r="T44">
        <f t="shared" ref="T44" si="199">S44/1000</f>
        <v>21.219236496304717</v>
      </c>
    </row>
    <row r="45" spans="1:20" x14ac:dyDescent="0.25">
      <c r="A45" s="5">
        <v>44548</v>
      </c>
      <c r="B45">
        <v>1.678E-2</v>
      </c>
      <c r="C45">
        <v>1.746E-2</v>
      </c>
      <c r="D45">
        <v>1.6480000000000002E-2</v>
      </c>
      <c r="E45">
        <v>1.7069999999999998E-2</v>
      </c>
      <c r="F45">
        <v>368782119</v>
      </c>
      <c r="G45">
        <v>1.7069999999999998E-2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0.20408163265305682</v>
      </c>
      <c r="Q45">
        <f t="shared" ref="Q45" si="201">F45*P45</f>
        <v>75261656.938773885</v>
      </c>
      <c r="R45">
        <f t="shared" ref="R45" si="202">R46+Q45</f>
        <v>2228541446.4501438</v>
      </c>
      <c r="S45">
        <f t="shared" ref="S45" si="203">R45/100000</f>
        <v>22285.414464501438</v>
      </c>
      <c r="T45">
        <f t="shared" ref="T45" si="204">S45/1000</f>
        <v>22.285414464501439</v>
      </c>
    </row>
    <row r="46" spans="1:20" x14ac:dyDescent="0.25">
      <c r="A46" s="5">
        <v>44547</v>
      </c>
      <c r="B46">
        <v>1.7389999999999999E-2</v>
      </c>
      <c r="C46">
        <v>1.7670000000000002E-2</v>
      </c>
      <c r="D46">
        <v>1.601E-2</v>
      </c>
      <c r="E46">
        <v>1.6760000000000001E-2</v>
      </c>
      <c r="F46">
        <v>520810112</v>
      </c>
      <c r="G46">
        <v>1.6760000000000001E-2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-9.6385542168674856E-2</v>
      </c>
      <c r="Q46">
        <f t="shared" ref="Q46" si="206">F46*P46</f>
        <v>-50198565.012048274</v>
      </c>
      <c r="R46">
        <f t="shared" ref="R46" si="207">R47+Q46</f>
        <v>2153279789.5113697</v>
      </c>
      <c r="S46">
        <f t="shared" ref="S46" si="208">R46/100000</f>
        <v>21532.797895113697</v>
      </c>
      <c r="T46">
        <f t="shared" ref="T46" si="209">S46/1000</f>
        <v>21.532797895113699</v>
      </c>
    </row>
    <row r="47" spans="1:20" x14ac:dyDescent="0.25">
      <c r="A47" s="5">
        <v>44546</v>
      </c>
      <c r="B47">
        <v>1.8180000000000002E-2</v>
      </c>
      <c r="C47">
        <v>1.8489999999999999E-2</v>
      </c>
      <c r="D47">
        <v>1.729E-2</v>
      </c>
      <c r="E47">
        <v>1.7389999999999999E-2</v>
      </c>
      <c r="F47">
        <v>397364136</v>
      </c>
      <c r="G47">
        <v>1.7389999999999999E-2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-0.83333333333333426</v>
      </c>
      <c r="Q47">
        <f t="shared" ref="Q47" si="211">F47*P47</f>
        <v>-331136780.00000036</v>
      </c>
      <c r="R47">
        <f t="shared" ref="R47" si="212">R48+Q47</f>
        <v>2203478354.5234179</v>
      </c>
      <c r="S47">
        <f t="shared" ref="S47" si="213">R47/100000</f>
        <v>22034.783545234179</v>
      </c>
      <c r="T47">
        <f t="shared" ref="T47" si="214">S47/1000</f>
        <v>22.03478354523418</v>
      </c>
    </row>
    <row r="48" spans="1:20" x14ac:dyDescent="0.25">
      <c r="A48" s="5">
        <v>44545</v>
      </c>
      <c r="B48">
        <v>1.779E-2</v>
      </c>
      <c r="C48">
        <v>1.847E-2</v>
      </c>
      <c r="D48">
        <v>1.685E-2</v>
      </c>
      <c r="E48">
        <v>1.8180000000000002E-2</v>
      </c>
      <c r="F48">
        <v>726752798</v>
      </c>
      <c r="G48">
        <v>1.8180000000000002E-2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0.64197530864197705</v>
      </c>
      <c r="Q48">
        <f t="shared" ref="Q48" si="216">F48*P48</f>
        <v>466557351.80247039</v>
      </c>
      <c r="R48">
        <f t="shared" ref="R48" si="217">R49+Q48</f>
        <v>2534615134.5234184</v>
      </c>
      <c r="S48">
        <f t="shared" ref="S48" si="218">R48/100000</f>
        <v>25346.151345234186</v>
      </c>
      <c r="T48">
        <f t="shared" ref="T48" si="219">S48/1000</f>
        <v>25.346151345234187</v>
      </c>
    </row>
    <row r="49" spans="1:20" x14ac:dyDescent="0.25">
      <c r="A49" s="5">
        <v>44544</v>
      </c>
      <c r="B49">
        <v>1.7139999999999999E-2</v>
      </c>
      <c r="C49">
        <v>1.8100000000000002E-2</v>
      </c>
      <c r="D49">
        <v>1.6990000000000002E-2</v>
      </c>
      <c r="E49">
        <v>1.779E-2</v>
      </c>
      <c r="F49">
        <v>564602586</v>
      </c>
      <c r="G49">
        <v>1.779E-2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0.44144144144143915</v>
      </c>
      <c r="Q49">
        <f t="shared" ref="Q49" si="221">F49*P49</f>
        <v>249238979.40540412</v>
      </c>
      <c r="R49">
        <f t="shared" ref="R49" si="222">R50+Q49</f>
        <v>2068057782.7209482</v>
      </c>
      <c r="S49">
        <f t="shared" ref="S49" si="223">R49/100000</f>
        <v>20680.577827209483</v>
      </c>
      <c r="T49">
        <f t="shared" ref="T49" si="224">S49/1000</f>
        <v>20.680577827209483</v>
      </c>
    </row>
    <row r="50" spans="1:20" x14ac:dyDescent="0.25">
      <c r="A50" s="5">
        <v>44543</v>
      </c>
      <c r="B50">
        <v>1.9210000000000001E-2</v>
      </c>
      <c r="C50">
        <v>1.934E-2</v>
      </c>
      <c r="D50">
        <v>1.6840000000000001E-2</v>
      </c>
      <c r="E50">
        <v>1.7139999999999999E-2</v>
      </c>
      <c r="F50">
        <v>463201474</v>
      </c>
      <c r="G50">
        <v>1.7139999999999999E-2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-0.76000000000000134</v>
      </c>
      <c r="Q50">
        <f t="shared" ref="Q50" si="226">F50*P50</f>
        <v>-352033120.24000061</v>
      </c>
      <c r="R50">
        <f t="shared" ref="R50" si="227">R51+Q50</f>
        <v>1818818803.3155441</v>
      </c>
      <c r="S50">
        <f t="shared" ref="S50" si="228">R50/100000</f>
        <v>18188.188033155442</v>
      </c>
      <c r="T50">
        <f t="shared" ref="T50" si="229">S50/1000</f>
        <v>18.188188033155441</v>
      </c>
    </row>
    <row r="51" spans="1:20" x14ac:dyDescent="0.25">
      <c r="A51" s="5">
        <v>44542</v>
      </c>
      <c r="B51">
        <v>1.89E-2</v>
      </c>
      <c r="C51">
        <v>1.9619999999999999E-2</v>
      </c>
      <c r="D51">
        <v>1.8679999999999999E-2</v>
      </c>
      <c r="E51">
        <v>1.9220000000000001E-2</v>
      </c>
      <c r="F51">
        <v>453207658</v>
      </c>
      <c r="G51">
        <v>1.9220000000000001E-2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0.14893617021277097</v>
      </c>
      <c r="Q51">
        <f t="shared" ref="Q51" si="231">F51*P51</f>
        <v>67499012.893619299</v>
      </c>
      <c r="R51">
        <f t="shared" ref="R51" si="232">R52+Q51</f>
        <v>2170851923.5555449</v>
      </c>
      <c r="S51">
        <f t="shared" ref="S51" si="233">R51/100000</f>
        <v>21708.51923555545</v>
      </c>
      <c r="T51">
        <f t="shared" ref="T51" si="234">S51/1000</f>
        <v>21.70851923555545</v>
      </c>
    </row>
    <row r="52" spans="1:20" x14ac:dyDescent="0.25">
      <c r="A52" s="5">
        <v>44541</v>
      </c>
      <c r="B52">
        <v>1.7590000000000001E-2</v>
      </c>
      <c r="C52">
        <v>1.7950000000000001E-2</v>
      </c>
      <c r="D52">
        <v>1.7309999999999999E-2</v>
      </c>
      <c r="E52">
        <v>1.7860000000000001E-2</v>
      </c>
      <c r="F52">
        <v>52585420</v>
      </c>
      <c r="G52">
        <v>1.7860000000000001E-2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0.71875000000000133</v>
      </c>
      <c r="Q52">
        <f t="shared" ref="Q52" si="236">F52*P52</f>
        <v>37795770.625000067</v>
      </c>
      <c r="R52">
        <f t="shared" ref="R52" si="237">R53+Q52</f>
        <v>2103352910.6619258</v>
      </c>
      <c r="S52">
        <f t="shared" ref="S52" si="238">R52/100000</f>
        <v>21033.529106619259</v>
      </c>
      <c r="T52">
        <f t="shared" ref="T52" si="239">S52/1000</f>
        <v>21.033529106619259</v>
      </c>
    </row>
    <row r="53" spans="1:20" x14ac:dyDescent="0.25">
      <c r="A53" s="5">
        <v>44540</v>
      </c>
      <c r="B53">
        <v>1.8290000000000001E-2</v>
      </c>
      <c r="C53">
        <v>1.9400000000000001E-2</v>
      </c>
      <c r="D53">
        <v>1.7469999999999999E-2</v>
      </c>
      <c r="E53">
        <v>1.7610000000000001E-2</v>
      </c>
      <c r="F53">
        <v>659101032</v>
      </c>
      <c r="G53">
        <v>1.7610000000000001E-2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-0.85492227979274493</v>
      </c>
      <c r="Q53">
        <f t="shared" ref="Q53" si="241">F53*P53</f>
        <v>-563480156.89119089</v>
      </c>
      <c r="R53">
        <f t="shared" ref="R53" si="242">R54+Q53</f>
        <v>2065557140.0369258</v>
      </c>
      <c r="S53">
        <f t="shared" ref="S53" si="243">R53/100000</f>
        <v>20655.571400369259</v>
      </c>
      <c r="T53">
        <f t="shared" ref="T53" si="244">S53/1000</f>
        <v>20.655571400369258</v>
      </c>
    </row>
    <row r="54" spans="1:20" x14ac:dyDescent="0.25">
      <c r="A54" s="5">
        <v>44539</v>
      </c>
      <c r="B54">
        <v>2.0109999999999999E-2</v>
      </c>
      <c r="C54">
        <v>2.0219999999999998E-2</v>
      </c>
      <c r="D54">
        <v>1.823E-2</v>
      </c>
      <c r="E54">
        <v>1.8290000000000001E-2</v>
      </c>
      <c r="F54">
        <v>577199003</v>
      </c>
      <c r="G54">
        <v>1.8290000000000001E-2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-0.93969849246231052</v>
      </c>
      <c r="Q54">
        <f t="shared" ref="Q54" si="246">F54*P54</f>
        <v>-542393032.96984863</v>
      </c>
      <c r="R54">
        <f t="shared" ref="R54" si="247">R55+Q54</f>
        <v>2629037296.9281168</v>
      </c>
      <c r="S54">
        <f t="shared" ref="S54" si="248">R54/100000</f>
        <v>26290.372969281168</v>
      </c>
      <c r="T54">
        <f t="shared" ref="T54" si="249">S54/1000</f>
        <v>26.290372969281169</v>
      </c>
    </row>
    <row r="55" spans="1:20" x14ac:dyDescent="0.25">
      <c r="A55" s="5">
        <v>44538</v>
      </c>
      <c r="B55">
        <v>1.9859999999999999E-2</v>
      </c>
      <c r="C55">
        <v>2.0570000000000001E-2</v>
      </c>
      <c r="D55">
        <v>1.9E-2</v>
      </c>
      <c r="E55">
        <v>2.0109999999999999E-2</v>
      </c>
      <c r="F55">
        <v>606053601</v>
      </c>
      <c r="G55">
        <v>2.0109999999999999E-2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0.41401273885350126</v>
      </c>
      <c r="Q55">
        <f t="shared" ref="Q55" si="251">F55*P55</f>
        <v>250913911.24203706</v>
      </c>
      <c r="R55">
        <f t="shared" ref="R55" si="252">R56+Q55</f>
        <v>3171430329.8979654</v>
      </c>
      <c r="S55">
        <f t="shared" ref="S55" si="253">R55/100000</f>
        <v>31714.303298979656</v>
      </c>
      <c r="T55">
        <f t="shared" ref="T55" si="254">S55/1000</f>
        <v>31.714303298979654</v>
      </c>
    </row>
    <row r="56" spans="1:20" x14ac:dyDescent="0.25">
      <c r="A56" s="5">
        <v>44537</v>
      </c>
      <c r="B56">
        <v>2.017E-2</v>
      </c>
      <c r="C56">
        <v>2.1360000000000001E-2</v>
      </c>
      <c r="D56">
        <v>1.941E-2</v>
      </c>
      <c r="E56">
        <v>1.9879999999999998E-2</v>
      </c>
      <c r="F56">
        <v>903712899</v>
      </c>
      <c r="G56">
        <v>1.9879999999999998E-2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-0.51794871794871988</v>
      </c>
      <c r="Q56">
        <f t="shared" ref="Q56" si="256">F56*P56</f>
        <v>-468076937.43077099</v>
      </c>
      <c r="R56">
        <f t="shared" ref="R56" si="257">R57+Q56</f>
        <v>2920516418.6559286</v>
      </c>
      <c r="S56">
        <f t="shared" ref="S56" si="258">R56/100000</f>
        <v>29205.164186559286</v>
      </c>
      <c r="T56">
        <f t="shared" ref="T56" si="259">S56/1000</f>
        <v>29.205164186559287</v>
      </c>
    </row>
    <row r="57" spans="1:20" x14ac:dyDescent="0.25">
      <c r="A57" s="5">
        <v>44536</v>
      </c>
      <c r="B57">
        <v>1.9470000000000001E-2</v>
      </c>
      <c r="C57">
        <v>2.0449999999999999E-2</v>
      </c>
      <c r="D57">
        <v>1.797E-2</v>
      </c>
      <c r="E57">
        <v>2.017E-2</v>
      </c>
      <c r="F57">
        <v>901493095</v>
      </c>
      <c r="G57">
        <v>2.017E-2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0.77419354838709753</v>
      </c>
      <c r="Q57">
        <f t="shared" ref="Q57" si="261">F57*P57</f>
        <v>697930138.06451678</v>
      </c>
      <c r="R57">
        <f t="shared" ref="R57" si="262">R58+Q57</f>
        <v>3388593356.0866995</v>
      </c>
      <c r="S57">
        <f t="shared" ref="S57" si="263">R57/100000</f>
        <v>33885.933560866994</v>
      </c>
      <c r="T57">
        <f t="shared" ref="T57" si="264">S57/1000</f>
        <v>33.885933560866995</v>
      </c>
    </row>
    <row r="58" spans="1:20" x14ac:dyDescent="0.25">
      <c r="A58" s="5">
        <v>44535</v>
      </c>
      <c r="B58">
        <v>2.01E-2</v>
      </c>
      <c r="C58">
        <v>2.1850000000000001E-2</v>
      </c>
      <c r="D58">
        <v>1.8429999999999998E-2</v>
      </c>
      <c r="E58">
        <v>1.9470000000000001E-2</v>
      </c>
      <c r="F58">
        <v>1226878176</v>
      </c>
      <c r="G58">
        <v>1.9470000000000001E-2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-0.39181286549707495</v>
      </c>
      <c r="Q58">
        <f t="shared" ref="Q58" si="266">F58*P58</f>
        <v>-480706653.75438464</v>
      </c>
      <c r="R58">
        <f t="shared" ref="R58" si="267">R59+Q58</f>
        <v>2690663218.0221829</v>
      </c>
      <c r="S58">
        <f t="shared" ref="S58" si="268">R58/100000</f>
        <v>26906.63218022183</v>
      </c>
      <c r="T58">
        <f t="shared" ref="T58" si="269">S58/1000</f>
        <v>26.90663218022183</v>
      </c>
    </row>
    <row r="59" spans="1:20" x14ac:dyDescent="0.25">
      <c r="A59" s="5">
        <v>44534</v>
      </c>
      <c r="B59">
        <v>2.3029999999999998E-2</v>
      </c>
      <c r="C59">
        <v>2.3089999999999999E-2</v>
      </c>
      <c r="D59">
        <v>1.5100000000000001E-2</v>
      </c>
      <c r="E59">
        <v>2.0060000000000001E-2</v>
      </c>
      <c r="F59">
        <v>2086826013</v>
      </c>
      <c r="G59">
        <v>2.0060000000000001E-2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0.24155193992490653</v>
      </c>
      <c r="Q59">
        <f t="shared" ref="Q59" si="271">F59*P59</f>
        <v>504076871.72590822</v>
      </c>
      <c r="R59">
        <f t="shared" ref="R59" si="272">R60+Q59</f>
        <v>3171369871.7765675</v>
      </c>
      <c r="S59">
        <f t="shared" ref="S59" si="273">R59/100000</f>
        <v>31713.698717765674</v>
      </c>
      <c r="T59">
        <f t="shared" ref="T59" si="274">S59/1000</f>
        <v>31.713698717765674</v>
      </c>
    </row>
    <row r="60" spans="1:20" x14ac:dyDescent="0.25">
      <c r="A60" s="5">
        <v>44533</v>
      </c>
      <c r="B60">
        <v>2.4309999999999998E-2</v>
      </c>
      <c r="C60">
        <v>2.4910000000000002E-2</v>
      </c>
      <c r="D60">
        <v>2.2210000000000001E-2</v>
      </c>
      <c r="E60">
        <v>2.3029999999999998E-2</v>
      </c>
      <c r="F60">
        <v>721989580</v>
      </c>
      <c r="G60">
        <v>2.3029999999999998E-2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-0.39259259259259444</v>
      </c>
      <c r="Q60">
        <f t="shared" ref="Q60" si="276">F60*P60</f>
        <v>-283447761.03703839</v>
      </c>
      <c r="R60">
        <f t="shared" ref="R60" si="277">R61+Q60</f>
        <v>2667293000.0506592</v>
      </c>
      <c r="S60">
        <f t="shared" ref="S60" si="278">R60/100000</f>
        <v>26672.930000506592</v>
      </c>
      <c r="T60">
        <f t="shared" ref="T60" si="279">S60/1000</f>
        <v>26.672930000506593</v>
      </c>
    </row>
    <row r="61" spans="1:20" x14ac:dyDescent="0.25">
      <c r="A61" s="5">
        <v>44532</v>
      </c>
      <c r="B61">
        <v>2.4899999999999999E-2</v>
      </c>
      <c r="C61">
        <v>2.4920000000000001E-2</v>
      </c>
      <c r="D61">
        <v>2.3820000000000001E-2</v>
      </c>
      <c r="E61">
        <v>2.4309999999999998E-2</v>
      </c>
      <c r="F61">
        <v>608826785</v>
      </c>
      <c r="G61">
        <v>2.4309999999999998E-2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-0.10909090909091408</v>
      </c>
      <c r="Q61">
        <f t="shared" ref="Q61" si="281">F61*P61</f>
        <v>-66417467.454548493</v>
      </c>
      <c r="R61">
        <f t="shared" ref="R61" si="282">R62+Q61</f>
        <v>2950740761.0876975</v>
      </c>
      <c r="S61">
        <f t="shared" ref="S61" si="283">R61/100000</f>
        <v>29507.407610876977</v>
      </c>
      <c r="T61">
        <f t="shared" ref="T61" si="284">S61/1000</f>
        <v>29.507407610876978</v>
      </c>
    </row>
    <row r="62" spans="1:20" x14ac:dyDescent="0.25">
      <c r="A62" s="5">
        <v>44531</v>
      </c>
      <c r="B62">
        <v>2.5579999999999999E-2</v>
      </c>
      <c r="C62">
        <v>2.656E-2</v>
      </c>
      <c r="D62">
        <v>2.4590000000000001E-2</v>
      </c>
      <c r="E62">
        <v>2.4899999999999999E-2</v>
      </c>
      <c r="F62">
        <v>898957652</v>
      </c>
      <c r="G62">
        <v>2.4899999999999999E-2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-0.68527918781726105</v>
      </c>
      <c r="Q62">
        <f t="shared" ref="Q62" si="286">F62*P62</f>
        <v>-616036969.64467204</v>
      </c>
      <c r="R62">
        <f t="shared" ref="R62" si="287">R63+Q62</f>
        <v>3017158228.5422459</v>
      </c>
      <c r="S62">
        <f t="shared" ref="S62" si="288">R62/100000</f>
        <v>30171.582285422457</v>
      </c>
      <c r="T62">
        <f t="shared" ref="T62" si="289">S62/1000</f>
        <v>30.171582285422456</v>
      </c>
    </row>
    <row r="63" spans="1:20" x14ac:dyDescent="0.25">
      <c r="A63" s="5">
        <v>44530</v>
      </c>
      <c r="B63">
        <v>2.5510000000000001E-2</v>
      </c>
      <c r="C63">
        <v>2.7009999999999999E-2</v>
      </c>
      <c r="D63">
        <v>2.4320000000000001E-2</v>
      </c>
      <c r="E63">
        <v>2.5569999999999999E-2</v>
      </c>
      <c r="F63">
        <v>1750987049</v>
      </c>
      <c r="G63">
        <v>2.5569999999999999E-2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-7.0631970260224095E-2</v>
      </c>
      <c r="Q63">
        <f t="shared" ref="Q63" si="291">F63*P63</f>
        <v>-123675665.17100555</v>
      </c>
      <c r="R63">
        <f t="shared" ref="R63" si="292">R64+Q63</f>
        <v>3633195198.1869178</v>
      </c>
      <c r="S63">
        <f t="shared" ref="S63" si="293">R63/100000</f>
        <v>36331.951981869177</v>
      </c>
      <c r="T63">
        <f t="shared" ref="T63" si="294">S63/1000</f>
        <v>36.331951981869175</v>
      </c>
    </row>
    <row r="64" spans="1:20" x14ac:dyDescent="0.25">
      <c r="A64" s="5">
        <v>44529</v>
      </c>
      <c r="B64">
        <v>2.496E-2</v>
      </c>
      <c r="C64">
        <v>2.6210000000000001E-2</v>
      </c>
      <c r="D64">
        <v>2.4219999999999998E-2</v>
      </c>
      <c r="E64">
        <v>2.5520000000000001E-2</v>
      </c>
      <c r="F64">
        <v>968817934</v>
      </c>
      <c r="G64">
        <v>2.5520000000000001E-2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0.30653266331658402</v>
      </c>
      <c r="Q64">
        <f t="shared" ref="Q64" si="296">F64*P64</f>
        <v>296974341.57789052</v>
      </c>
      <c r="R64">
        <f t="shared" ref="R64" si="297">R65+Q64</f>
        <v>3756870863.3579235</v>
      </c>
      <c r="S64">
        <f t="shared" ref="S64" si="298">R64/100000</f>
        <v>37568.708633579234</v>
      </c>
      <c r="T64">
        <f t="shared" ref="T64" si="299">S64/1000</f>
        <v>37.568708633579234</v>
      </c>
    </row>
    <row r="65" spans="1:20" x14ac:dyDescent="0.25">
      <c r="A65" s="5">
        <v>44528</v>
      </c>
      <c r="B65">
        <v>2.435E-2</v>
      </c>
      <c r="C65">
        <v>2.5229999999999999E-2</v>
      </c>
      <c r="D65">
        <v>2.2360000000000001E-2</v>
      </c>
      <c r="E65">
        <v>2.4969999999999999E-2</v>
      </c>
      <c r="F65">
        <v>762079976</v>
      </c>
      <c r="G65">
        <v>2.4969999999999999E-2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0.8188153310104529</v>
      </c>
      <c r="Q65">
        <f t="shared" ref="Q65" si="301">F65*P65</f>
        <v>624002767.804878</v>
      </c>
      <c r="R65">
        <f t="shared" ref="R65" si="302">R66+Q65</f>
        <v>3459896521.7800331</v>
      </c>
      <c r="S65">
        <f t="shared" ref="S65" si="303">R65/100000</f>
        <v>34598.965217800331</v>
      </c>
      <c r="T65">
        <f t="shared" ref="T65" si="304">S65/1000</f>
        <v>34.598965217800334</v>
      </c>
    </row>
    <row r="66" spans="1:20" x14ac:dyDescent="0.25">
      <c r="A66" s="5">
        <v>44527</v>
      </c>
      <c r="B66">
        <v>2.383E-2</v>
      </c>
      <c r="C66">
        <v>2.5520000000000001E-2</v>
      </c>
      <c r="D66">
        <v>2.3720000000000001E-2</v>
      </c>
      <c r="E66">
        <v>2.436E-2</v>
      </c>
      <c r="F66">
        <v>748526454</v>
      </c>
      <c r="G66">
        <v>2.436E-2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-0.28888888888889069</v>
      </c>
      <c r="Q66">
        <f t="shared" ref="Q66" si="306">F66*P66</f>
        <v>-216240975.60000136</v>
      </c>
      <c r="R66">
        <f t="shared" ref="R66" si="307">R67+Q66</f>
        <v>2835893753.9751554</v>
      </c>
      <c r="S66">
        <f t="shared" ref="S66" si="308">R66/100000</f>
        <v>28358.937539751554</v>
      </c>
      <c r="T66">
        <f t="shared" ref="T66" si="309">S66/1000</f>
        <v>28.358937539751555</v>
      </c>
    </row>
    <row r="67" spans="1:20" x14ac:dyDescent="0.25">
      <c r="A67" s="5">
        <v>44526</v>
      </c>
      <c r="B67">
        <v>2.6800000000000001E-2</v>
      </c>
      <c r="C67">
        <v>2.6929999999999999E-2</v>
      </c>
      <c r="D67">
        <v>2.2270000000000002E-2</v>
      </c>
      <c r="E67">
        <v>2.383E-2</v>
      </c>
      <c r="F67">
        <v>1231581874</v>
      </c>
      <c r="G67">
        <v>2.383E-2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-0.33047210300429197</v>
      </c>
      <c r="Q67">
        <f t="shared" ref="Q67" si="311">F67*P67</f>
        <v>-407003451.92274696</v>
      </c>
      <c r="R67">
        <f t="shared" ref="R67" si="312">R68+Q67</f>
        <v>3052134729.5751567</v>
      </c>
      <c r="S67">
        <f t="shared" ref="S67" si="313">R67/100000</f>
        <v>30521.347295751566</v>
      </c>
      <c r="T67">
        <f t="shared" ref="T67" si="314">S67/1000</f>
        <v>30.521347295751568</v>
      </c>
    </row>
    <row r="68" spans="1:20" x14ac:dyDescent="0.25">
      <c r="A68" s="5">
        <v>44525</v>
      </c>
      <c r="B68">
        <v>2.588E-2</v>
      </c>
      <c r="C68">
        <v>2.7189999999999999E-2</v>
      </c>
      <c r="D68">
        <v>2.5649999999999999E-2</v>
      </c>
      <c r="E68">
        <v>2.6790000000000001E-2</v>
      </c>
      <c r="F68">
        <v>861184434</v>
      </c>
      <c r="G68">
        <v>2.6790000000000001E-2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0.48051948051948357</v>
      </c>
      <c r="Q68">
        <f t="shared" ref="Q68" si="316">F68*P68</f>
        <v>413815896.85714549</v>
      </c>
      <c r="R68">
        <f t="shared" ref="R68" si="317">R69+Q68</f>
        <v>3459138181.4979038</v>
      </c>
      <c r="S68">
        <f t="shared" ref="S68" si="318">R68/100000</f>
        <v>34591.381814979039</v>
      </c>
      <c r="T68">
        <f t="shared" ref="T68" si="319">S68/1000</f>
        <v>34.591381814979037</v>
      </c>
    </row>
    <row r="69" spans="1:20" x14ac:dyDescent="0.25">
      <c r="A69" s="5">
        <v>44524</v>
      </c>
      <c r="B69">
        <v>2.683E-2</v>
      </c>
      <c r="C69">
        <v>2.6859999999999998E-2</v>
      </c>
      <c r="D69">
        <v>2.5870000000000001E-2</v>
      </c>
      <c r="E69">
        <v>2.6349999999999998E-2</v>
      </c>
      <c r="F69">
        <v>210334652</v>
      </c>
      <c r="G69">
        <v>2.6349999999999998E-2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-3.0303030303032639E-2</v>
      </c>
      <c r="Q69">
        <f t="shared" ref="Q69" si="321">F69*P69</f>
        <v>-6373777.3333338248</v>
      </c>
      <c r="R69">
        <f t="shared" ref="R69" si="322">R70+Q69</f>
        <v>3045322284.6407585</v>
      </c>
      <c r="S69">
        <f t="shared" ref="S69" si="323">R69/100000</f>
        <v>30453.222846407585</v>
      </c>
      <c r="T69">
        <f t="shared" ref="T69" si="324">S69/1000</f>
        <v>30.453222846407584</v>
      </c>
    </row>
    <row r="70" spans="1:20" x14ac:dyDescent="0.25">
      <c r="A70" s="5">
        <v>44523</v>
      </c>
      <c r="B70">
        <v>2.7150000000000001E-2</v>
      </c>
      <c r="C70">
        <v>2.767E-2</v>
      </c>
      <c r="D70">
        <v>2.6259999999999999E-2</v>
      </c>
      <c r="E70">
        <v>2.681E-2</v>
      </c>
      <c r="F70">
        <v>758102277</v>
      </c>
      <c r="G70">
        <v>2.681E-2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-0.21985815602836697</v>
      </c>
      <c r="Q70">
        <f t="shared" ref="Q70" si="326">F70*P70</f>
        <v>-166674968.70212629</v>
      </c>
      <c r="R70">
        <f t="shared" ref="R70" si="327">R71+Q70</f>
        <v>3051696061.9740925</v>
      </c>
      <c r="S70">
        <f t="shared" ref="S70" si="328">R70/100000</f>
        <v>30516.960619740927</v>
      </c>
      <c r="T70">
        <f t="shared" ref="T70" si="329">S70/1000</f>
        <v>30.516960619740928</v>
      </c>
    </row>
    <row r="71" spans="1:20" x14ac:dyDescent="0.25">
      <c r="A71" s="5">
        <v>44522</v>
      </c>
      <c r="B71">
        <v>2.8760000000000001E-2</v>
      </c>
      <c r="C71">
        <v>2.8850000000000001E-2</v>
      </c>
      <c r="D71">
        <v>2.6579999999999999E-2</v>
      </c>
      <c r="E71">
        <v>2.716E-2</v>
      </c>
      <c r="F71">
        <v>714100173</v>
      </c>
      <c r="G71">
        <v>2.716E-2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-0.48898678414096886</v>
      </c>
      <c r="Q71">
        <f t="shared" ref="Q71" si="331">F71*P71</f>
        <v>-349185547.1497795</v>
      </c>
      <c r="R71">
        <f t="shared" ref="R71" si="332">R72+Q71</f>
        <v>3218371030.676219</v>
      </c>
      <c r="S71">
        <f t="shared" ref="S71" si="333">R71/100000</f>
        <v>32183.71030676219</v>
      </c>
      <c r="T71">
        <f t="shared" ref="T71" si="334">S71/1000</f>
        <v>32.183710306762187</v>
      </c>
    </row>
    <row r="72" spans="1:20" x14ac:dyDescent="0.25">
      <c r="A72" s="5">
        <v>44521</v>
      </c>
      <c r="B72">
        <v>2.853E-2</v>
      </c>
      <c r="C72">
        <v>2.9899999999999999E-2</v>
      </c>
      <c r="D72">
        <v>2.7910000000000001E-2</v>
      </c>
      <c r="E72">
        <v>2.878E-2</v>
      </c>
      <c r="F72">
        <v>982805659</v>
      </c>
      <c r="G72">
        <v>2.878E-2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-0.12562814070351777</v>
      </c>
      <c r="Q72">
        <f t="shared" ref="Q72" si="336">F72*P72</f>
        <v>-123468047.61306551</v>
      </c>
      <c r="R72">
        <f t="shared" ref="R72" si="337">R73+Q72</f>
        <v>3567556577.8259983</v>
      </c>
      <c r="S72">
        <f t="shared" ref="S72" si="338">R72/100000</f>
        <v>35675.565778259981</v>
      </c>
      <c r="T72">
        <f t="shared" ref="T72" si="339">S72/1000</f>
        <v>35.67556577825998</v>
      </c>
    </row>
    <row r="73" spans="1:20" x14ac:dyDescent="0.25">
      <c r="A73" s="5">
        <v>44520</v>
      </c>
      <c r="B73">
        <v>2.793E-2</v>
      </c>
      <c r="C73">
        <v>2.9139999999999999E-2</v>
      </c>
      <c r="D73">
        <v>2.7029999999999998E-2</v>
      </c>
      <c r="E73">
        <v>2.8510000000000001E-2</v>
      </c>
      <c r="F73">
        <v>807298958</v>
      </c>
      <c r="G73">
        <v>2.8510000000000001E-2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0.40284360189573615</v>
      </c>
      <c r="Q73">
        <f t="shared" ref="Q73" si="341">F73*P73</f>
        <v>325215220.04739463</v>
      </c>
      <c r="R73">
        <f t="shared" ref="R73" si="342">R74+Q73</f>
        <v>3691024625.439064</v>
      </c>
      <c r="S73">
        <f t="shared" ref="S73" si="343">R73/100000</f>
        <v>36910.246254390637</v>
      </c>
      <c r="T73">
        <f t="shared" ref="T73" si="344">S73/1000</f>
        <v>36.910246254390636</v>
      </c>
    </row>
    <row r="74" spans="1:20" x14ac:dyDescent="0.25">
      <c r="A74" s="5">
        <v>44519</v>
      </c>
      <c r="B74">
        <v>2.648E-2</v>
      </c>
      <c r="C74">
        <v>2.8389999999999999E-2</v>
      </c>
      <c r="D74">
        <v>2.5749999999999999E-2</v>
      </c>
      <c r="E74">
        <v>2.793E-2</v>
      </c>
      <c r="F74">
        <v>650679018</v>
      </c>
      <c r="G74">
        <v>2.793E-2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0.6515151515151526</v>
      </c>
      <c r="Q74">
        <f t="shared" ref="Q74" si="346">F74*P74</f>
        <v>423927239.00000072</v>
      </c>
      <c r="R74">
        <f t="shared" ref="R74" si="347">R75+Q74</f>
        <v>3365809405.3916693</v>
      </c>
      <c r="S74">
        <f t="shared" ref="S74" si="348">R74/100000</f>
        <v>33658.094053916691</v>
      </c>
      <c r="T74">
        <f t="shared" ref="T74" si="349">S74/1000</f>
        <v>33.658094053916692</v>
      </c>
    </row>
    <row r="75" spans="1:20" x14ac:dyDescent="0.25">
      <c r="A75" s="5">
        <v>44518</v>
      </c>
      <c r="B75">
        <v>2.9229999999999999E-2</v>
      </c>
      <c r="C75">
        <v>2.9499999999999998E-2</v>
      </c>
      <c r="D75">
        <v>2.5270000000000001E-2</v>
      </c>
      <c r="E75">
        <v>2.649E-2</v>
      </c>
      <c r="F75">
        <v>943123080</v>
      </c>
      <c r="G75">
        <v>2.649E-2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-0.42316784869976382</v>
      </c>
      <c r="Q75">
        <f t="shared" ref="Q75" si="351">F75*P75</f>
        <v>-399099364.82269526</v>
      </c>
      <c r="R75">
        <f t="shared" ref="R75" si="352">R76+Q75</f>
        <v>2941882166.3916688</v>
      </c>
      <c r="S75">
        <f t="shared" ref="S75" si="353">R75/100000</f>
        <v>29418.821663916689</v>
      </c>
      <c r="T75">
        <f t="shared" ref="T75" si="354">S75/1000</f>
        <v>29.418821663916688</v>
      </c>
    </row>
    <row r="76" spans="1:20" x14ac:dyDescent="0.25">
      <c r="A76" s="5">
        <v>44517</v>
      </c>
      <c r="B76">
        <v>2.9360000000000001E-2</v>
      </c>
      <c r="C76">
        <v>3.0190000000000002E-2</v>
      </c>
      <c r="D76">
        <v>2.8150000000000001E-2</v>
      </c>
      <c r="E76">
        <v>2.9229999999999999E-2</v>
      </c>
      <c r="F76">
        <v>604276023</v>
      </c>
      <c r="G76">
        <v>2.9229999999999999E-2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5.8823529411762304E-2</v>
      </c>
      <c r="Q76">
        <f t="shared" ref="Q76" si="356">F76*P76</f>
        <v>35545648.411763258</v>
      </c>
      <c r="R76">
        <f t="shared" ref="R76" si="357">R77+Q76</f>
        <v>3340981531.2143641</v>
      </c>
      <c r="S76">
        <f t="shared" ref="S76" si="358">R76/100000</f>
        <v>33409.815312143641</v>
      </c>
      <c r="T76">
        <f t="shared" ref="T76" si="359">S76/1000</f>
        <v>33.409815312143643</v>
      </c>
    </row>
    <row r="77" spans="1:20" x14ac:dyDescent="0.25">
      <c r="A77" s="5">
        <v>44516</v>
      </c>
      <c r="B77">
        <v>3.1609999999999999E-2</v>
      </c>
      <c r="C77">
        <v>3.1629999999999998E-2</v>
      </c>
      <c r="D77">
        <v>2.7619999999999999E-2</v>
      </c>
      <c r="E77">
        <v>2.9399999999999999E-2</v>
      </c>
      <c r="F77">
        <v>1020164200</v>
      </c>
      <c r="G77">
        <v>2.9399999999999999E-2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-0.11221945137157084</v>
      </c>
      <c r="Q77">
        <f t="shared" ref="Q77" si="361">F77*P77</f>
        <v>-114482266.83291747</v>
      </c>
      <c r="R77">
        <f t="shared" ref="R77" si="362">R78+Q77</f>
        <v>3305435882.8026009</v>
      </c>
      <c r="S77">
        <f t="shared" ref="S77" si="363">R77/100000</f>
        <v>33054.358828026008</v>
      </c>
      <c r="T77">
        <f t="shared" ref="T77" si="364">S77/1000</f>
        <v>33.054358828026011</v>
      </c>
    </row>
    <row r="78" spans="1:20" x14ac:dyDescent="0.25">
      <c r="A78" s="5">
        <v>44515</v>
      </c>
      <c r="B78">
        <v>3.1179999999999999E-2</v>
      </c>
      <c r="C78">
        <v>3.4250000000000003E-2</v>
      </c>
      <c r="D78">
        <v>3.0700000000000002E-2</v>
      </c>
      <c r="E78">
        <v>3.159E-2</v>
      </c>
      <c r="F78">
        <v>1776925820</v>
      </c>
      <c r="G78">
        <v>3.159E-2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-0.4985915492957757</v>
      </c>
      <c r="Q78">
        <f t="shared" ref="Q78" si="366">F78*P78</f>
        <v>-885960197.57746661</v>
      </c>
      <c r="R78">
        <f t="shared" ref="R78" si="367">R79+Q78</f>
        <v>3419918149.6355186</v>
      </c>
      <c r="S78">
        <f t="shared" ref="S78" si="368">R78/100000</f>
        <v>34199.181496355188</v>
      </c>
      <c r="T78">
        <f t="shared" ref="T78" si="369">S78/1000</f>
        <v>34.199181496355187</v>
      </c>
    </row>
    <row r="79" spans="1:20" x14ac:dyDescent="0.25">
      <c r="A79" s="5">
        <v>44514</v>
      </c>
      <c r="B79">
        <v>3.1669999999999997E-2</v>
      </c>
      <c r="C79">
        <v>3.2030000000000003E-2</v>
      </c>
      <c r="D79">
        <v>3.058E-2</v>
      </c>
      <c r="E79">
        <v>3.116E-2</v>
      </c>
      <c r="F79">
        <v>476158965</v>
      </c>
      <c r="G79">
        <v>3.116E-2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-0.20000000000000095</v>
      </c>
      <c r="Q79">
        <f t="shared" ref="Q79" si="371">F79*P79</f>
        <v>-95231793.000000462</v>
      </c>
      <c r="R79">
        <f t="shared" ref="R79" si="372">R80+Q79</f>
        <v>4305878347.212985</v>
      </c>
      <c r="S79">
        <f t="shared" ref="S79" si="373">R79/100000</f>
        <v>43058.78347212985</v>
      </c>
      <c r="T79">
        <f t="shared" ref="T79" si="374">S79/1000</f>
        <v>43.058783472129846</v>
      </c>
    </row>
    <row r="80" spans="1:20" x14ac:dyDescent="0.25">
      <c r="A80" s="5">
        <v>44513</v>
      </c>
      <c r="B80">
        <v>3.1060000000000001E-2</v>
      </c>
      <c r="C80">
        <v>3.2379999999999999E-2</v>
      </c>
      <c r="D80">
        <v>3.065E-2</v>
      </c>
      <c r="E80">
        <v>3.1669999999999997E-2</v>
      </c>
      <c r="F80">
        <v>719496368</v>
      </c>
      <c r="G80">
        <v>3.1669999999999997E-2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0.17919075144508353</v>
      </c>
      <c r="Q80">
        <f t="shared" ref="Q80" si="376">F80*P80</f>
        <v>128927094.84392835</v>
      </c>
      <c r="R80">
        <f t="shared" ref="R80" si="377">R81+Q80</f>
        <v>4401110140.212985</v>
      </c>
      <c r="S80">
        <f t="shared" ref="S80" si="378">R80/100000</f>
        <v>44011.101402129847</v>
      </c>
      <c r="T80">
        <f t="shared" ref="T80" si="379">S80/1000</f>
        <v>44.011101402129846</v>
      </c>
    </row>
    <row r="81" spans="1:20" x14ac:dyDescent="0.25">
      <c r="A81" s="5">
        <v>44512</v>
      </c>
      <c r="B81">
        <v>3.1809999999999998E-2</v>
      </c>
      <c r="C81">
        <v>3.2500000000000001E-2</v>
      </c>
      <c r="D81">
        <v>2.9749999999999999E-2</v>
      </c>
      <c r="E81">
        <v>3.107E-2</v>
      </c>
      <c r="F81">
        <v>850864468</v>
      </c>
      <c r="G81">
        <v>3.107E-2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-3.9999999999999598E-2</v>
      </c>
      <c r="Q81">
        <f t="shared" ref="Q81" si="381">F81*P81</f>
        <v>-34034578.719999656</v>
      </c>
      <c r="R81">
        <f t="shared" ref="R81" si="382">R82+Q81</f>
        <v>4272183045.3690562</v>
      </c>
      <c r="S81">
        <f t="shared" ref="S81" si="383">R81/100000</f>
        <v>42721.830453690563</v>
      </c>
      <c r="T81">
        <f t="shared" ref="T81" si="384">S81/1000</f>
        <v>42.721830453690565</v>
      </c>
    </row>
    <row r="82" spans="1:20" x14ac:dyDescent="0.25">
      <c r="A82" s="5">
        <v>44511</v>
      </c>
      <c r="B82">
        <v>3.075E-2</v>
      </c>
      <c r="C82">
        <v>3.2539999999999999E-2</v>
      </c>
      <c r="D82">
        <v>3.022E-2</v>
      </c>
      <c r="E82">
        <v>3.1820000000000001E-2</v>
      </c>
      <c r="F82">
        <v>834668948</v>
      </c>
      <c r="G82">
        <v>3.1820000000000001E-2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0.37931034482758735</v>
      </c>
      <c r="Q82">
        <f t="shared" ref="Q82" si="386">F82*P82</f>
        <v>316598566.48275959</v>
      </c>
      <c r="R82">
        <f t="shared" ref="R82" si="387">R83+Q82</f>
        <v>4306217624.089056</v>
      </c>
      <c r="S82">
        <f t="shared" ref="S82" si="388">R82/100000</f>
        <v>43062.176240890563</v>
      </c>
      <c r="T82">
        <f t="shared" ref="T82" si="389">S82/1000</f>
        <v>43.062176240890565</v>
      </c>
    </row>
    <row r="83" spans="1:20" x14ac:dyDescent="0.25">
      <c r="A83" s="5">
        <v>44510</v>
      </c>
      <c r="B83">
        <v>3.3500000000000002E-2</v>
      </c>
      <c r="C83">
        <v>3.4279999999999998E-2</v>
      </c>
      <c r="D83">
        <v>2.8170000000000001E-2</v>
      </c>
      <c r="E83">
        <v>3.075E-2</v>
      </c>
      <c r="F83">
        <v>1433011664</v>
      </c>
      <c r="G83">
        <v>3.075E-2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-0.15548281505728312</v>
      </c>
      <c r="Q83">
        <f t="shared" ref="Q83" si="391">F83*P83</f>
        <v>-222808687.52864155</v>
      </c>
      <c r="R83">
        <f t="shared" ref="R83" si="392">R84+Q83</f>
        <v>3989619057.6062961</v>
      </c>
      <c r="S83">
        <f t="shared" ref="S83" si="393">R83/100000</f>
        <v>39896.19057606296</v>
      </c>
      <c r="T83">
        <f t="shared" ref="T83" si="394">S83/1000</f>
        <v>39.896190576062956</v>
      </c>
    </row>
    <row r="84" spans="1:20" x14ac:dyDescent="0.25">
      <c r="A84" s="5">
        <v>44509</v>
      </c>
      <c r="B84">
        <v>3.4189999999999998E-2</v>
      </c>
      <c r="C84">
        <v>3.5310000000000001E-2</v>
      </c>
      <c r="D84">
        <v>3.2989999999999998E-2</v>
      </c>
      <c r="E84">
        <v>3.3489999999999999E-2</v>
      </c>
      <c r="F84">
        <v>863301103</v>
      </c>
      <c r="G84">
        <v>3.3489999999999999E-2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-0.56896551724137945</v>
      </c>
      <c r="Q84">
        <f t="shared" ref="Q84" si="396">F84*P84</f>
        <v>-491188558.60344839</v>
      </c>
      <c r="R84">
        <f t="shared" ref="R84" si="397">R85+Q84</f>
        <v>4212427745.1349378</v>
      </c>
      <c r="S84">
        <f t="shared" ref="S84" si="398">R84/100000</f>
        <v>42124.277451349379</v>
      </c>
      <c r="T84">
        <f t="shared" ref="T84" si="399">S84/1000</f>
        <v>42.124277451349379</v>
      </c>
    </row>
    <row r="85" spans="1:20" x14ac:dyDescent="0.25">
      <c r="A85" s="5">
        <v>44508</v>
      </c>
      <c r="B85">
        <v>3.4389999999999997E-2</v>
      </c>
      <c r="C85">
        <v>3.4889999999999997E-2</v>
      </c>
      <c r="D85">
        <v>3.3750000000000002E-2</v>
      </c>
      <c r="E85">
        <v>3.4189999999999998E-2</v>
      </c>
      <c r="F85">
        <v>628493646</v>
      </c>
      <c r="G85">
        <v>3.4189999999999998E-2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-0.22807017543860034</v>
      </c>
      <c r="Q85">
        <f t="shared" ref="Q85" si="401">F85*P85</f>
        <v>-143340656.10526559</v>
      </c>
      <c r="R85">
        <f t="shared" ref="R85" si="402">R86+Q85</f>
        <v>4703616303.7383862</v>
      </c>
      <c r="S85">
        <f t="shared" ref="S85" si="403">R85/100000</f>
        <v>47036.163037383863</v>
      </c>
      <c r="T85">
        <f t="shared" ref="T85" si="404">S85/1000</f>
        <v>47.036163037383865</v>
      </c>
    </row>
    <row r="86" spans="1:20" x14ac:dyDescent="0.25">
      <c r="A86" s="5">
        <v>44507</v>
      </c>
      <c r="B86">
        <v>3.3750000000000002E-2</v>
      </c>
      <c r="C86">
        <v>3.5479999999999998E-2</v>
      </c>
      <c r="D86">
        <v>3.354E-2</v>
      </c>
      <c r="E86">
        <v>3.4389999999999997E-2</v>
      </c>
      <c r="F86">
        <v>736412106</v>
      </c>
      <c r="G86">
        <v>3.4389999999999997E-2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-0.12371134020618785</v>
      </c>
      <c r="Q86">
        <f t="shared" ref="Q86" si="406">F86*P86</f>
        <v>-91102528.577321261</v>
      </c>
      <c r="R86">
        <f t="shared" ref="R86" si="407">R87+Q86</f>
        <v>4846956959.8436518</v>
      </c>
      <c r="S86">
        <f t="shared" ref="S86" si="408">R86/100000</f>
        <v>48469.569598436516</v>
      </c>
      <c r="T86">
        <f t="shared" ref="T86" si="409">S86/1000</f>
        <v>48.469569598436514</v>
      </c>
    </row>
    <row r="87" spans="1:20" x14ac:dyDescent="0.25">
      <c r="A87" s="5">
        <v>44506</v>
      </c>
      <c r="B87">
        <v>3.3869999999999997E-2</v>
      </c>
      <c r="C87">
        <v>3.4700000000000002E-2</v>
      </c>
      <c r="D87">
        <v>3.2239999999999998E-2</v>
      </c>
      <c r="E87">
        <v>3.3799999999999997E-2</v>
      </c>
      <c r="F87">
        <v>728140576</v>
      </c>
      <c r="G87">
        <v>3.3799999999999997E-2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0.2682926829268264</v>
      </c>
      <c r="Q87">
        <f t="shared" ref="Q87" si="411">F87*P87</f>
        <v>195354788.68292475</v>
      </c>
      <c r="R87">
        <f t="shared" ref="R87" si="412">R88+Q87</f>
        <v>4938059488.4209728</v>
      </c>
      <c r="S87">
        <f t="shared" ref="S87" si="413">R87/100000</f>
        <v>49380.594884209728</v>
      </c>
      <c r="T87">
        <f t="shared" ref="T87" si="414">S87/1000</f>
        <v>49.380594884209728</v>
      </c>
    </row>
    <row r="88" spans="1:20" x14ac:dyDescent="0.25">
      <c r="A88" s="5">
        <v>44505</v>
      </c>
      <c r="B88">
        <v>3.4259999999999999E-2</v>
      </c>
      <c r="C88">
        <v>3.5920000000000001E-2</v>
      </c>
      <c r="D88">
        <v>3.2809999999999999E-2</v>
      </c>
      <c r="E88">
        <v>3.388E-2</v>
      </c>
      <c r="F88">
        <v>1073516368</v>
      </c>
      <c r="G88">
        <v>3.388E-2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-0.31189710610932414</v>
      </c>
      <c r="Q88">
        <f t="shared" ref="Q88" si="416">F88*P88</f>
        <v>-334826648.54019225</v>
      </c>
      <c r="R88">
        <f t="shared" ref="R88" si="417">R89+Q88</f>
        <v>4742704699.7380486</v>
      </c>
      <c r="S88">
        <f t="shared" ref="S88" si="418">R88/100000</f>
        <v>47427.046997380487</v>
      </c>
      <c r="T88">
        <f t="shared" ref="T88" si="419">S88/1000</f>
        <v>47.427046997380486</v>
      </c>
    </row>
    <row r="89" spans="1:20" x14ac:dyDescent="0.25">
      <c r="A89" s="5">
        <v>44504</v>
      </c>
      <c r="B89">
        <v>3.5909999999999997E-2</v>
      </c>
      <c r="C89">
        <v>3.6790000000000003E-2</v>
      </c>
      <c r="D89">
        <v>3.3640000000000003E-2</v>
      </c>
      <c r="E89">
        <v>3.4270000000000002E-2</v>
      </c>
      <c r="F89">
        <v>1064047960</v>
      </c>
      <c r="G89">
        <v>3.4270000000000002E-2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-0.60000000000000087</v>
      </c>
      <c r="Q89">
        <f t="shared" ref="Q89" si="421">F89*P89</f>
        <v>-638428776.00000095</v>
      </c>
      <c r="R89">
        <f t="shared" ref="R89" si="422">R90+Q89</f>
        <v>5077531348.2782412</v>
      </c>
      <c r="S89">
        <f t="shared" ref="S89" si="423">R89/100000</f>
        <v>50775.313482782411</v>
      </c>
      <c r="T89">
        <f t="shared" ref="T89" si="424">S89/1000</f>
        <v>50.775313482782408</v>
      </c>
    </row>
    <row r="90" spans="1:20" x14ac:dyDescent="0.25">
      <c r="A90" s="5">
        <v>44503</v>
      </c>
      <c r="B90">
        <v>3.7150000000000002E-2</v>
      </c>
      <c r="C90">
        <v>3.78E-2</v>
      </c>
      <c r="D90">
        <v>3.388E-2</v>
      </c>
      <c r="E90">
        <v>3.5929999999999997E-2</v>
      </c>
      <c r="F90">
        <v>1841253872</v>
      </c>
      <c r="G90">
        <v>3.5929999999999997E-2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4.5918367346936904E-2</v>
      </c>
      <c r="Q90">
        <f t="shared" ref="Q90" si="426">F90*P90</f>
        <v>84547371.673465937</v>
      </c>
      <c r="R90">
        <f t="shared" ref="R90" si="427">R91+Q90</f>
        <v>5715960124.2782421</v>
      </c>
      <c r="S90">
        <f t="shared" ref="S90" si="428">R90/100000</f>
        <v>57159.601242782424</v>
      </c>
      <c r="T90">
        <f t="shared" ref="T90" si="429">S90/1000</f>
        <v>57.159601242782422</v>
      </c>
    </row>
    <row r="91" spans="1:20" x14ac:dyDescent="0.25">
      <c r="A91" s="5">
        <v>44502</v>
      </c>
      <c r="B91">
        <v>3.5389999999999998E-2</v>
      </c>
      <c r="C91">
        <v>3.866E-2</v>
      </c>
      <c r="D91">
        <v>3.3570000000000003E-2</v>
      </c>
      <c r="E91">
        <v>3.712E-2</v>
      </c>
      <c r="F91">
        <v>3120140771</v>
      </c>
      <c r="G91">
        <v>3.712E-2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0.3948919449901766</v>
      </c>
      <c r="Q91">
        <f t="shared" ref="Q91" si="431">F91*P91</f>
        <v>1232118457.7033391</v>
      </c>
      <c r="R91">
        <f t="shared" ref="R91" si="432">R92+Q91</f>
        <v>5631412752.6047764</v>
      </c>
      <c r="S91">
        <f t="shared" ref="S91" si="433">R91/100000</f>
        <v>56314.127526047763</v>
      </c>
      <c r="T91">
        <f t="shared" ref="T91" si="434">S91/1000</f>
        <v>56.314127526047763</v>
      </c>
    </row>
    <row r="92" spans="1:20" x14ac:dyDescent="0.25">
      <c r="A92" s="5">
        <v>44501</v>
      </c>
      <c r="B92">
        <v>3.049E-2</v>
      </c>
      <c r="C92">
        <v>3.6749999999999998E-2</v>
      </c>
      <c r="D92">
        <v>2.9520000000000001E-2</v>
      </c>
      <c r="E92">
        <v>3.5409999999999997E-2</v>
      </c>
      <c r="F92">
        <v>4406067734</v>
      </c>
      <c r="G92">
        <v>3.5409999999999997E-2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0.62932226832641724</v>
      </c>
      <c r="Q92">
        <f t="shared" ref="Q92" si="436">F92*P92</f>
        <v>2772836540.7607174</v>
      </c>
      <c r="R92">
        <f t="shared" ref="R92" si="437">R93+Q92</f>
        <v>4399294294.9014378</v>
      </c>
      <c r="S92">
        <f t="shared" ref="S92" si="438">R92/100000</f>
        <v>43992.942949014381</v>
      </c>
      <c r="T92">
        <f t="shared" ref="T92" si="439">S92/1000</f>
        <v>43.992942949014385</v>
      </c>
    </row>
    <row r="93" spans="1:20" x14ac:dyDescent="0.25">
      <c r="A93" s="5">
        <v>44500</v>
      </c>
      <c r="B93">
        <v>3.107E-2</v>
      </c>
      <c r="C93">
        <v>3.1789999999999999E-2</v>
      </c>
      <c r="D93">
        <v>2.8559999999999999E-2</v>
      </c>
      <c r="E93">
        <v>3.0509999999999999E-2</v>
      </c>
      <c r="F93">
        <v>1470608938</v>
      </c>
      <c r="G93">
        <v>3.0509999999999999E-2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0.20743034055727566</v>
      </c>
      <c r="Q93">
        <f t="shared" ref="Q93" si="441">F93*P93</f>
        <v>305048912.83591348</v>
      </c>
      <c r="R93">
        <f t="shared" ref="R93" si="442">R94+Q93</f>
        <v>1626457754.1407201</v>
      </c>
      <c r="S93">
        <f t="shared" ref="S93" si="443">R93/100000</f>
        <v>16264.577541407201</v>
      </c>
      <c r="T93">
        <f t="shared" ref="T93" si="444">S93/1000</f>
        <v>16.264577541407203</v>
      </c>
    </row>
    <row r="94" spans="1:20" x14ac:dyDescent="0.25">
      <c r="A94" s="5">
        <v>44499</v>
      </c>
      <c r="B94">
        <v>3.3029999999999997E-2</v>
      </c>
      <c r="C94">
        <v>3.3529999999999997E-2</v>
      </c>
      <c r="D94">
        <v>3.0269999999999998E-2</v>
      </c>
      <c r="E94">
        <v>3.107E-2</v>
      </c>
      <c r="F94">
        <v>1079633932</v>
      </c>
      <c r="G94">
        <v>3.107E-2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-0.50920245398772868</v>
      </c>
      <c r="Q94">
        <f t="shared" ref="Q94" si="446">F94*P94</f>
        <v>-549752247.58282053</v>
      </c>
      <c r="R94">
        <f t="shared" ref="R94" si="447">R95+Q94</f>
        <v>1321408841.3048067</v>
      </c>
      <c r="S94">
        <f t="shared" ref="S94" si="448">R94/100000</f>
        <v>13214.088413048066</v>
      </c>
      <c r="T94">
        <f t="shared" ref="T94" si="449">S94/1000</f>
        <v>13.214088413048067</v>
      </c>
    </row>
    <row r="95" spans="1:20" x14ac:dyDescent="0.25">
      <c r="A95" s="5">
        <v>44498</v>
      </c>
      <c r="B95">
        <v>2.9020000000000001E-2</v>
      </c>
      <c r="C95">
        <v>3.39E-2</v>
      </c>
      <c r="D95">
        <v>2.8709999999999999E-2</v>
      </c>
      <c r="E95">
        <v>3.3029999999999997E-2</v>
      </c>
      <c r="F95">
        <v>2587437786</v>
      </c>
      <c r="G95">
        <v>3.3029999999999997E-2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0.66473988439306253</v>
      </c>
      <c r="Q95">
        <f t="shared" ref="Q95" si="451">F95*P95</f>
        <v>1719973094.7398818</v>
      </c>
      <c r="R95">
        <f t="shared" ref="R95" si="452">R96+Q95</f>
        <v>1871161088.8876271</v>
      </c>
      <c r="S95">
        <f t="shared" ref="S95" si="453">R95/100000</f>
        <v>18711.610888876272</v>
      </c>
      <c r="T95">
        <f t="shared" ref="T95" si="454">S95/1000</f>
        <v>18.711610888876272</v>
      </c>
    </row>
    <row r="96" spans="1:20" x14ac:dyDescent="0.25">
      <c r="A96" s="5">
        <v>44497</v>
      </c>
      <c r="B96">
        <v>2.7799999999999998E-2</v>
      </c>
      <c r="C96">
        <v>3.0280000000000001E-2</v>
      </c>
      <c r="D96">
        <v>2.7390000000000001E-2</v>
      </c>
      <c r="E96">
        <v>2.903E-2</v>
      </c>
      <c r="F96">
        <v>1302504720</v>
      </c>
      <c r="G96">
        <v>2.903E-2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0.13494809688581244</v>
      </c>
      <c r="Q96">
        <f t="shared" ref="Q96" si="456">F96*P96</f>
        <v>175770533.14878801</v>
      </c>
      <c r="R96">
        <f t="shared" ref="R96" si="457">R97+Q96</f>
        <v>151187994.14774528</v>
      </c>
      <c r="S96">
        <f t="shared" ref="S96" si="458">R96/100000</f>
        <v>1511.8799414774528</v>
      </c>
      <c r="T96">
        <f t="shared" ref="T96" si="459">S96/1000</f>
        <v>1.5118799414774529</v>
      </c>
    </row>
    <row r="97" spans="1:20" x14ac:dyDescent="0.25">
      <c r="A97" s="5">
        <v>44496</v>
      </c>
      <c r="B97">
        <v>3.0679999999999999E-2</v>
      </c>
      <c r="C97">
        <v>3.15E-2</v>
      </c>
      <c r="D97">
        <v>2.5080000000000002E-2</v>
      </c>
      <c r="E97">
        <v>2.7799999999999998E-2</v>
      </c>
      <c r="F97">
        <v>1778118934</v>
      </c>
      <c r="G97">
        <v>2.7799999999999998E-2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-0.15264797507788247</v>
      </c>
      <c r="Q97">
        <f t="shared" ref="Q97" si="461">F97*P97</f>
        <v>-271426254.72274292</v>
      </c>
      <c r="R97">
        <f t="shared" ref="R97" si="462">R98+Q97</f>
        <v>-24582539.001042724</v>
      </c>
      <c r="S97">
        <f t="shared" ref="S97" si="463">R97/100000</f>
        <v>-245.82539001042724</v>
      </c>
      <c r="T97">
        <f t="shared" ref="T97" si="464">S97/1000</f>
        <v>-0.24582539001042725</v>
      </c>
    </row>
    <row r="98" spans="1:20" x14ac:dyDescent="0.25">
      <c r="A98" s="5">
        <v>44495</v>
      </c>
      <c r="B98">
        <v>3.0620000000000001E-2</v>
      </c>
      <c r="C98">
        <v>3.2770000000000001E-2</v>
      </c>
      <c r="D98">
        <v>3.0040000000000001E-2</v>
      </c>
      <c r="E98">
        <v>3.0669999999999999E-2</v>
      </c>
      <c r="F98">
        <v>1739098784</v>
      </c>
      <c r="G98">
        <v>3.0669999999999999E-2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-0.53846153846153944</v>
      </c>
      <c r="Q98">
        <f t="shared" ref="Q98" si="466">F98*P98</f>
        <v>-936437806.76923251</v>
      </c>
      <c r="R98">
        <f t="shared" ref="R98" si="467">R99+Q98</f>
        <v>246843715.72170019</v>
      </c>
      <c r="S98">
        <f t="shared" ref="S98" si="468">R98/100000</f>
        <v>2468.4371572170021</v>
      </c>
      <c r="T98">
        <f t="shared" ref="T98" si="469">S98/1000</f>
        <v>2.4684371572170023</v>
      </c>
    </row>
    <row r="99" spans="1:20" x14ac:dyDescent="0.25">
      <c r="A99" s="5">
        <v>44494</v>
      </c>
      <c r="B99">
        <v>2.8809999999999999E-2</v>
      </c>
      <c r="C99">
        <v>3.0810000000000001E-2</v>
      </c>
      <c r="D99">
        <v>2.8510000000000001E-2</v>
      </c>
      <c r="E99">
        <v>3.0620000000000001E-2</v>
      </c>
      <c r="F99">
        <v>980290585</v>
      </c>
      <c r="G99">
        <v>3.0620000000000001E-2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0.83478260869565291</v>
      </c>
      <c r="Q99">
        <f t="shared" ref="Q99" si="471">F99*P99</f>
        <v>818329531.82608771</v>
      </c>
      <c r="R99">
        <f t="shared" ref="R99" si="472">R100+Q99</f>
        <v>1183281522.4909327</v>
      </c>
      <c r="S99">
        <f t="shared" ref="S99" si="473">R99/100000</f>
        <v>11832.815224909327</v>
      </c>
      <c r="T99">
        <f t="shared" ref="T99" si="474">S99/1000</f>
        <v>11.832815224909327</v>
      </c>
    </row>
    <row r="100" spans="1:20" x14ac:dyDescent="0.25">
      <c r="A100" s="5">
        <v>44493</v>
      </c>
      <c r="B100">
        <v>3.014E-2</v>
      </c>
      <c r="C100">
        <v>3.04E-2</v>
      </c>
      <c r="D100">
        <v>2.8080000000000001E-2</v>
      </c>
      <c r="E100">
        <v>2.8799999999999999E-2</v>
      </c>
      <c r="F100">
        <v>745883203</v>
      </c>
      <c r="G100">
        <v>2.8799999999999999E-2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-0.37931034482758735</v>
      </c>
      <c r="Q100">
        <f t="shared" ref="Q100" si="476">F100*P100</f>
        <v>-282921214.93103534</v>
      </c>
      <c r="R100">
        <f t="shared" ref="R100" si="477">R101+Q100</f>
        <v>364951990.66484493</v>
      </c>
      <c r="S100">
        <f t="shared" ref="S100" si="478">R100/100000</f>
        <v>3649.5199066484493</v>
      </c>
      <c r="T100">
        <f t="shared" ref="T100" si="479">S100/1000</f>
        <v>3.6495199066484494</v>
      </c>
    </row>
    <row r="101" spans="1:20" x14ac:dyDescent="0.25">
      <c r="A101" s="5">
        <v>44492</v>
      </c>
      <c r="B101">
        <v>3.0030000000000001E-2</v>
      </c>
      <c r="C101">
        <v>3.058E-2</v>
      </c>
      <c r="D101">
        <v>2.955E-2</v>
      </c>
      <c r="E101">
        <v>3.014E-2</v>
      </c>
      <c r="F101">
        <v>462140585</v>
      </c>
      <c r="G101">
        <v>3.014E-2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0.1456310679611659</v>
      </c>
      <c r="Q101">
        <f t="shared" ref="Q101" si="481">F101*P101</f>
        <v>67302026.941747963</v>
      </c>
      <c r="R101">
        <f t="shared" ref="R101" si="482">R102+Q101</f>
        <v>647873205.59588027</v>
      </c>
      <c r="S101">
        <f t="shared" ref="S101" si="483">R101/100000</f>
        <v>6478.7320559588024</v>
      </c>
      <c r="T101">
        <f t="shared" ref="T101" si="484">S101/1000</f>
        <v>6.4787320559588029</v>
      </c>
    </row>
    <row r="102" spans="1:20" x14ac:dyDescent="0.25">
      <c r="A102" s="5">
        <v>44491</v>
      </c>
      <c r="B102">
        <v>3.007E-2</v>
      </c>
      <c r="C102">
        <v>3.1350000000000003E-2</v>
      </c>
      <c r="D102">
        <v>2.9329999999999998E-2</v>
      </c>
      <c r="E102">
        <v>3.0030000000000001E-2</v>
      </c>
      <c r="F102">
        <v>734044559</v>
      </c>
      <c r="G102">
        <v>3.0030000000000001E-2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-0.30693069306930576</v>
      </c>
      <c r="Q102">
        <f t="shared" ref="Q102" si="486">F102*P102</f>
        <v>-225300805.23762292</v>
      </c>
      <c r="R102">
        <f t="shared" ref="R102" si="487">R103+Q102</f>
        <v>580571178.65413237</v>
      </c>
      <c r="S102">
        <f t="shared" ref="S102" si="488">R102/100000</f>
        <v>5805.7117865413238</v>
      </c>
      <c r="T102">
        <f t="shared" ref="T102" si="489">S102/1000</f>
        <v>5.8057117865413241</v>
      </c>
    </row>
    <row r="103" spans="1:20" x14ac:dyDescent="0.25">
      <c r="A103" s="5">
        <v>44490</v>
      </c>
      <c r="B103">
        <v>3.1390000000000001E-2</v>
      </c>
      <c r="C103">
        <v>3.2489999999999998E-2</v>
      </c>
      <c r="D103">
        <v>2.9270000000000001E-2</v>
      </c>
      <c r="E103">
        <v>3.0089999999999999E-2</v>
      </c>
      <c r="F103">
        <v>1265064909</v>
      </c>
      <c r="G103">
        <v>3.0089999999999999E-2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-0.49068322981366552</v>
      </c>
      <c r="Q103">
        <f t="shared" ref="Q103" si="491">F103*P103</f>
        <v>-620746135.47205091</v>
      </c>
      <c r="R103">
        <f t="shared" ref="R103" si="492">R104+Q103</f>
        <v>805871983.89175534</v>
      </c>
      <c r="S103">
        <f t="shared" ref="S103" si="493">R103/100000</f>
        <v>8058.7198389175537</v>
      </c>
      <c r="T103">
        <f t="shared" ref="T103" si="494">S103/1000</f>
        <v>8.0587198389175541</v>
      </c>
    </row>
    <row r="104" spans="1:20" x14ac:dyDescent="0.25">
      <c r="A104" s="5">
        <v>44489</v>
      </c>
      <c r="B104">
        <v>3.1150000000000001E-2</v>
      </c>
      <c r="C104">
        <v>3.218E-2</v>
      </c>
      <c r="D104">
        <v>3.065E-2</v>
      </c>
      <c r="E104">
        <v>3.1370000000000002E-2</v>
      </c>
      <c r="F104">
        <v>1284459848</v>
      </c>
      <c r="G104">
        <v>3.1370000000000002E-2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-5.8823529411762304E-2</v>
      </c>
      <c r="Q104">
        <f t="shared" ref="Q104" si="496">F104*P104</f>
        <v>-75556461.647055745</v>
      </c>
      <c r="R104">
        <f t="shared" ref="R104" si="497">R105+Q104</f>
        <v>1426618119.3638062</v>
      </c>
      <c r="S104">
        <f t="shared" ref="S104" si="498">R104/100000</f>
        <v>14266.181193638062</v>
      </c>
      <c r="T104">
        <f t="shared" ref="T104" si="499">S104/1000</f>
        <v>14.266181193638062</v>
      </c>
    </row>
    <row r="105" spans="1:20" x14ac:dyDescent="0.25">
      <c r="A105" s="5">
        <v>44488</v>
      </c>
      <c r="B105">
        <v>3.0790000000000001E-2</v>
      </c>
      <c r="C105">
        <v>3.4470000000000001E-2</v>
      </c>
      <c r="D105">
        <v>3.0110000000000001E-2</v>
      </c>
      <c r="E105">
        <v>3.1150000000000001E-2</v>
      </c>
      <c r="F105">
        <v>4224923197</v>
      </c>
      <c r="G105">
        <v>3.1150000000000001E-2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-0.52293577981651407</v>
      </c>
      <c r="Q105">
        <f t="shared" ref="Q105" si="501">F105*P105</f>
        <v>-2209363506.6880746</v>
      </c>
      <c r="R105">
        <f t="shared" ref="R105" si="502">R106+Q105</f>
        <v>1502174581.0108619</v>
      </c>
      <c r="S105">
        <f t="shared" ref="S105" si="503">R105/100000</f>
        <v>15021.745810108619</v>
      </c>
      <c r="T105">
        <f t="shared" ref="T105" si="504">S105/1000</f>
        <v>15.021745810108619</v>
      </c>
    </row>
    <row r="106" spans="1:20" x14ac:dyDescent="0.25">
      <c r="A106" s="5">
        <v>44487</v>
      </c>
      <c r="B106">
        <v>2.8500000000000001E-2</v>
      </c>
      <c r="C106">
        <v>3.1550000000000002E-2</v>
      </c>
      <c r="D106">
        <v>2.7130000000000001E-2</v>
      </c>
      <c r="E106">
        <v>3.0800000000000001E-2</v>
      </c>
      <c r="F106">
        <v>3129655047</v>
      </c>
      <c r="G106">
        <v>3.0800000000000001E-2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0.66063348416289569</v>
      </c>
      <c r="Q106">
        <f t="shared" ref="Q106" si="506">F106*P106</f>
        <v>2067554917.9276011</v>
      </c>
      <c r="R106">
        <f t="shared" ref="R106" si="507">R107+Q106</f>
        <v>3711538087.6989365</v>
      </c>
      <c r="S106">
        <f t="shared" ref="S106" si="508">R106/100000</f>
        <v>37115.380876989366</v>
      </c>
      <c r="T106">
        <f t="shared" ref="T106" si="509">S106/1000</f>
        <v>37.115380876989363</v>
      </c>
    </row>
    <row r="107" spans="1:20" x14ac:dyDescent="0.25">
      <c r="A107" s="5">
        <v>44486</v>
      </c>
      <c r="B107">
        <v>3.1460000000000002E-2</v>
      </c>
      <c r="C107">
        <v>3.2969999999999999E-2</v>
      </c>
      <c r="D107">
        <v>2.7269999999999999E-2</v>
      </c>
      <c r="E107">
        <v>2.8510000000000001E-2</v>
      </c>
      <c r="F107">
        <v>2943500325</v>
      </c>
      <c r="G107">
        <v>2.8510000000000001E-2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-0.56491228070175392</v>
      </c>
      <c r="Q107">
        <f t="shared" ref="Q107" si="511">F107*P107</f>
        <v>-1662819481.842104</v>
      </c>
      <c r="R107">
        <f t="shared" ref="R107" si="512">R108+Q107</f>
        <v>1643983169.7713356</v>
      </c>
      <c r="S107">
        <f t="shared" ref="S107" si="513">R107/100000</f>
        <v>16439.831697713355</v>
      </c>
      <c r="T107">
        <f t="shared" ref="T107" si="514">S107/1000</f>
        <v>16.439831697713355</v>
      </c>
    </row>
    <row r="108" spans="1:20" x14ac:dyDescent="0.25">
      <c r="A108" s="5">
        <v>44485</v>
      </c>
      <c r="B108">
        <v>2.681E-2</v>
      </c>
      <c r="C108">
        <v>3.3489999999999999E-2</v>
      </c>
      <c r="D108">
        <v>2.6089999999999999E-2</v>
      </c>
      <c r="E108">
        <v>3.1460000000000002E-2</v>
      </c>
      <c r="F108">
        <v>6981698619</v>
      </c>
      <c r="G108">
        <v>3.1460000000000002E-2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0.45135135135135218</v>
      </c>
      <c r="Q108">
        <f t="shared" ref="Q108" si="516">F108*P108</f>
        <v>3151199106.4135194</v>
      </c>
      <c r="R108">
        <f t="shared" ref="R108" si="517">R109+Q108</f>
        <v>3306802651.6134396</v>
      </c>
      <c r="S108">
        <f t="shared" ref="S108" si="518">R108/100000</f>
        <v>33068.026516134392</v>
      </c>
      <c r="T108">
        <f t="shared" ref="T108" si="519">S108/1000</f>
        <v>33.068026516134395</v>
      </c>
    </row>
    <row r="109" spans="1:20" x14ac:dyDescent="0.25">
      <c r="A109" s="5">
        <v>44484</v>
      </c>
      <c r="B109">
        <v>2.393E-2</v>
      </c>
      <c r="C109">
        <v>2.844E-2</v>
      </c>
      <c r="D109">
        <v>2.2519999999999998E-2</v>
      </c>
      <c r="E109">
        <v>2.681E-2</v>
      </c>
      <c r="F109">
        <v>4365107425</v>
      </c>
      <c r="G109">
        <v>2.681E-2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0.44932432432432462</v>
      </c>
      <c r="Q109">
        <f t="shared" ref="Q109" si="521">F109*P109</f>
        <v>1961348944.3412175</v>
      </c>
      <c r="R109">
        <f t="shared" ref="R109" si="522">R110+Q109</f>
        <v>155603545.19992042</v>
      </c>
      <c r="S109">
        <f t="shared" ref="S109" si="523">R109/100000</f>
        <v>1556.0354519992043</v>
      </c>
      <c r="T109">
        <f t="shared" ref="T109" si="524">S109/1000</f>
        <v>1.5560354519992043</v>
      </c>
    </row>
    <row r="110" spans="1:20" x14ac:dyDescent="0.25">
      <c r="A110" s="5">
        <v>44483</v>
      </c>
      <c r="B110">
        <v>2.215E-2</v>
      </c>
      <c r="C110">
        <v>2.63E-2</v>
      </c>
      <c r="D110">
        <v>2.196E-2</v>
      </c>
      <c r="E110">
        <v>2.393E-2</v>
      </c>
      <c r="F110">
        <v>3362825143</v>
      </c>
      <c r="G110">
        <v>2.393E-2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-9.216589861751176E-2</v>
      </c>
      <c r="Q110">
        <f t="shared" ref="Q110" si="526">F110*P110</f>
        <v>-309937801.19815749</v>
      </c>
      <c r="R110">
        <f t="shared" ref="R110" si="527">R111+Q110</f>
        <v>-1805745399.1412971</v>
      </c>
      <c r="S110">
        <f t="shared" ref="S110" si="528">R110/100000</f>
        <v>-18057.453991412971</v>
      </c>
      <c r="T110">
        <f t="shared" ref="T110" si="529">S110/1000</f>
        <v>-18.05745399141297</v>
      </c>
    </row>
    <row r="111" spans="1:20" x14ac:dyDescent="0.25">
      <c r="A111" s="5">
        <v>44482</v>
      </c>
      <c r="B111">
        <v>2.2349999999999998E-2</v>
      </c>
      <c r="C111">
        <v>2.2669999999999999E-2</v>
      </c>
      <c r="D111">
        <v>2.06E-2</v>
      </c>
      <c r="E111">
        <v>2.214E-2</v>
      </c>
      <c r="F111">
        <v>1668921750</v>
      </c>
      <c r="G111">
        <v>2.214E-2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0.48792270531401016</v>
      </c>
      <c r="Q111">
        <f t="shared" ref="Q111" si="531">F111*P111</f>
        <v>814304815.21739209</v>
      </c>
      <c r="R111">
        <f t="shared" ref="R111" si="532">R112+Q111</f>
        <v>-1495807597.9431396</v>
      </c>
      <c r="S111">
        <f t="shared" ref="S111" si="533">R111/100000</f>
        <v>-14958.075979431396</v>
      </c>
      <c r="T111">
        <f t="shared" ref="T111" si="534">S111/1000</f>
        <v>-14.958075979431396</v>
      </c>
    </row>
    <row r="112" spans="1:20" x14ac:dyDescent="0.25">
      <c r="A112" s="5">
        <v>44481</v>
      </c>
      <c r="B112">
        <v>1.9900000000000001E-2</v>
      </c>
      <c r="C112">
        <v>2.2669999999999999E-2</v>
      </c>
      <c r="D112">
        <v>1.8620000000000001E-2</v>
      </c>
      <c r="E112">
        <v>2.2360000000000001E-2</v>
      </c>
      <c r="F112">
        <v>2680698375</v>
      </c>
      <c r="G112">
        <v>2.2360000000000001E-2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0.84691358024691465</v>
      </c>
      <c r="Q112">
        <f t="shared" ref="Q112" si="536">F112*P112</f>
        <v>2270319858.3333364</v>
      </c>
      <c r="R112">
        <f t="shared" ref="R112" si="537">R113+Q112</f>
        <v>-2310112413.1605315</v>
      </c>
      <c r="S112">
        <f t="shared" ref="S112" si="538">R112/100000</f>
        <v>-23101.124131605317</v>
      </c>
      <c r="T112">
        <f t="shared" ref="T112" si="539">S112/1000</f>
        <v>-23.101124131605317</v>
      </c>
    </row>
    <row r="113" spans="1:20" x14ac:dyDescent="0.25">
      <c r="A113" s="5">
        <v>44480</v>
      </c>
      <c r="B113">
        <v>0.02</v>
      </c>
      <c r="C113">
        <v>2.0719999999999999E-2</v>
      </c>
      <c r="D113">
        <v>1.933E-2</v>
      </c>
      <c r="E113">
        <v>1.9890000000000001E-2</v>
      </c>
      <c r="F113">
        <v>578699086</v>
      </c>
      <c r="G113">
        <v>1.9890000000000001E-2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-0.194244604316544</v>
      </c>
      <c r="Q113">
        <f t="shared" ref="Q113" si="541">F113*P113</f>
        <v>-112409174.97841567</v>
      </c>
      <c r="R113">
        <f t="shared" ref="R113" si="542">R114+Q113</f>
        <v>-4580432271.4938679</v>
      </c>
      <c r="S113">
        <f t="shared" ref="S113" si="543">R113/100000</f>
        <v>-45804.32271493868</v>
      </c>
      <c r="T113">
        <f t="shared" ref="T113" si="544">S113/1000</f>
        <v>-45.804322714938678</v>
      </c>
    </row>
    <row r="114" spans="1:20" x14ac:dyDescent="0.25">
      <c r="A114" s="5">
        <v>44479</v>
      </c>
      <c r="B114">
        <v>2.1489999999999999E-2</v>
      </c>
      <c r="C114">
        <v>2.1559999999999999E-2</v>
      </c>
      <c r="D114">
        <v>1.9879999999999998E-2</v>
      </c>
      <c r="E114">
        <v>2.002E-2</v>
      </c>
      <c r="F114">
        <v>538430332</v>
      </c>
      <c r="G114">
        <v>2.002E-2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-0.83333333333333193</v>
      </c>
      <c r="Q114">
        <f t="shared" ref="Q114" si="546">F114*P114</f>
        <v>-448691943.3333326</v>
      </c>
      <c r="R114">
        <f t="shared" ref="R114" si="547">R115+Q114</f>
        <v>-4468023096.5154524</v>
      </c>
      <c r="S114">
        <f t="shared" ref="S114" si="548">R114/100000</f>
        <v>-44680.230965154522</v>
      </c>
      <c r="T114">
        <f t="shared" ref="T114" si="549">S114/1000</f>
        <v>-44.680230965154522</v>
      </c>
    </row>
    <row r="115" spans="1:20" x14ac:dyDescent="0.25">
      <c r="A115" s="5">
        <v>44478</v>
      </c>
      <c r="B115">
        <v>2.121E-2</v>
      </c>
      <c r="C115">
        <v>2.1700000000000001E-2</v>
      </c>
      <c r="D115">
        <v>2.095E-2</v>
      </c>
      <c r="E115">
        <v>2.1499999999999998E-2</v>
      </c>
      <c r="F115">
        <v>470347450</v>
      </c>
      <c r="G115">
        <v>2.1499999999999998E-2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0.46666666666666112</v>
      </c>
      <c r="Q115">
        <f t="shared" ref="Q115" si="551">F115*P115</f>
        <v>219495476.66666406</v>
      </c>
      <c r="R115">
        <f t="shared" ref="R115" si="552">R116+Q115</f>
        <v>-4019331153.1821194</v>
      </c>
      <c r="S115">
        <f t="shared" ref="S115" si="553">R115/100000</f>
        <v>-40193.311531821193</v>
      </c>
      <c r="T115">
        <f t="shared" ref="T115" si="554">S115/1000</f>
        <v>-40.193311531821195</v>
      </c>
    </row>
    <row r="116" spans="1:20" x14ac:dyDescent="0.25">
      <c r="A116" s="5">
        <v>44477</v>
      </c>
      <c r="B116">
        <v>2.1180000000000001E-2</v>
      </c>
      <c r="C116">
        <v>2.231E-2</v>
      </c>
      <c r="D116">
        <v>2.094E-2</v>
      </c>
      <c r="E116">
        <v>2.12E-2</v>
      </c>
      <c r="F116">
        <v>633949136</v>
      </c>
      <c r="G116">
        <v>2.12E-2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-0.62043795620437969</v>
      </c>
      <c r="Q116">
        <f t="shared" ref="Q116" si="556">F116*P116</f>
        <v>-393326106.27737236</v>
      </c>
      <c r="R116">
        <f t="shared" ref="R116" si="557">R117+Q116</f>
        <v>-4238826629.8487835</v>
      </c>
      <c r="S116">
        <f t="shared" ref="S116" si="558">R116/100000</f>
        <v>-42388.266298487833</v>
      </c>
      <c r="T116">
        <f t="shared" ref="T116" si="559">S116/1000</f>
        <v>-42.388266298487835</v>
      </c>
    </row>
    <row r="117" spans="1:20" x14ac:dyDescent="0.25">
      <c r="A117" s="5">
        <v>44476</v>
      </c>
      <c r="B117">
        <v>2.146E-2</v>
      </c>
      <c r="C117">
        <v>2.205E-2</v>
      </c>
      <c r="D117">
        <v>2.086E-2</v>
      </c>
      <c r="E117">
        <v>2.1170000000000001E-2</v>
      </c>
      <c r="F117">
        <v>741471551</v>
      </c>
      <c r="G117">
        <v>2.1170000000000001E-2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-0.47899159663865343</v>
      </c>
      <c r="Q117">
        <f t="shared" ref="Q117" si="561">F117*P117</f>
        <v>-355158642.07562876</v>
      </c>
      <c r="R117">
        <f t="shared" ref="R117" si="562">R118+Q117</f>
        <v>-3845500523.5714111</v>
      </c>
      <c r="S117">
        <f t="shared" ref="S117" si="563">R117/100000</f>
        <v>-38455.00523571411</v>
      </c>
      <c r="T117">
        <f t="shared" ref="T117" si="564">S117/1000</f>
        <v>-38.455005235714111</v>
      </c>
    </row>
    <row r="118" spans="1:20" x14ac:dyDescent="0.25">
      <c r="A118" s="5">
        <v>44475</v>
      </c>
      <c r="B118">
        <v>2.1819999999999999E-2</v>
      </c>
      <c r="C118">
        <v>2.248E-2</v>
      </c>
      <c r="D118">
        <v>2.019E-2</v>
      </c>
      <c r="E118">
        <v>2.145E-2</v>
      </c>
      <c r="F118">
        <v>1202325101</v>
      </c>
      <c r="G118">
        <v>2.145E-2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0.10043668122270787</v>
      </c>
      <c r="Q118">
        <f t="shared" ref="Q118" si="566">F118*P118</f>
        <v>120757542.89519703</v>
      </c>
      <c r="R118">
        <f t="shared" ref="R118" si="567">R119+Q118</f>
        <v>-3490341881.4957824</v>
      </c>
      <c r="S118">
        <f t="shared" ref="S118" si="568">R118/100000</f>
        <v>-34903.418814957826</v>
      </c>
      <c r="T118">
        <f t="shared" ref="T118" si="569">S118/1000</f>
        <v>-34.903418814957824</v>
      </c>
    </row>
    <row r="119" spans="1:20" x14ac:dyDescent="0.25">
      <c r="A119" s="5">
        <v>44474</v>
      </c>
      <c r="B119">
        <v>2.1260000000000001E-2</v>
      </c>
      <c r="C119">
        <v>2.205E-2</v>
      </c>
      <c r="D119">
        <v>2.07E-2</v>
      </c>
      <c r="E119">
        <v>2.1819999999999999E-2</v>
      </c>
      <c r="F119">
        <v>900324881</v>
      </c>
      <c r="G119">
        <v>2.1819999999999999E-2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0.65925925925925788</v>
      </c>
      <c r="Q119">
        <f t="shared" ref="Q119" si="571">F119*P119</f>
        <v>593547514.14073944</v>
      </c>
      <c r="R119">
        <f t="shared" ref="R119" si="572">R120+Q119</f>
        <v>-3611099424.3909793</v>
      </c>
      <c r="S119">
        <f t="shared" ref="S119" si="573">R119/100000</f>
        <v>-36110.994243909794</v>
      </c>
      <c r="T119">
        <f t="shared" ref="T119" si="574">S119/1000</f>
        <v>-36.110994243909794</v>
      </c>
    </row>
    <row r="120" spans="1:20" x14ac:dyDescent="0.25">
      <c r="A120" s="5">
        <v>44473</v>
      </c>
      <c r="B120">
        <v>2.0590000000000001E-2</v>
      </c>
      <c r="C120">
        <v>2.1090000000000001E-2</v>
      </c>
      <c r="D120">
        <v>1.9959999999999999E-2</v>
      </c>
      <c r="E120">
        <v>2.1010000000000001E-2</v>
      </c>
      <c r="F120">
        <v>882587736</v>
      </c>
      <c r="G120">
        <v>2.1010000000000001E-2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0.85840707964601759</v>
      </c>
      <c r="Q120">
        <f t="shared" ref="Q120" si="576">F120*P120</f>
        <v>757619560.99115038</v>
      </c>
      <c r="R120">
        <f t="shared" ref="R120" si="577">R121+Q120</f>
        <v>-4204646938.5317187</v>
      </c>
      <c r="S120">
        <f t="shared" ref="S120" si="578">R120/100000</f>
        <v>-42046.469385317185</v>
      </c>
      <c r="T120">
        <f t="shared" ref="T120" si="579">S120/1000</f>
        <v>-42.046469385317188</v>
      </c>
    </row>
    <row r="121" spans="1:20" x14ac:dyDescent="0.25">
      <c r="A121" s="5">
        <v>44472</v>
      </c>
      <c r="B121">
        <v>2.001E-2</v>
      </c>
      <c r="C121">
        <v>2.1250000000000002E-2</v>
      </c>
      <c r="D121">
        <v>1.9650000000000001E-2</v>
      </c>
      <c r="E121">
        <v>2.051E-2</v>
      </c>
      <c r="F121">
        <v>841869687</v>
      </c>
      <c r="G121">
        <v>2.051E-2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7.4999999999999081E-2</v>
      </c>
      <c r="Q121">
        <f t="shared" ref="Q121" si="581">F121*P121</f>
        <v>63140226.524999224</v>
      </c>
      <c r="R121">
        <f t="shared" ref="R121" si="582">R122+Q121</f>
        <v>-4962266499.5228691</v>
      </c>
      <c r="S121">
        <f t="shared" ref="S121" si="583">R121/100000</f>
        <v>-49622.66499522869</v>
      </c>
      <c r="T121">
        <f t="shared" ref="T121" si="584">S121/1000</f>
        <v>-49.622664995228689</v>
      </c>
    </row>
    <row r="122" spans="1:20" x14ac:dyDescent="0.25">
      <c r="A122" s="5">
        <v>44471</v>
      </c>
      <c r="B122">
        <v>2.0080000000000001E-2</v>
      </c>
      <c r="C122">
        <v>2.0879999999999999E-2</v>
      </c>
      <c r="D122">
        <v>1.9550000000000001E-2</v>
      </c>
      <c r="E122">
        <v>2.002E-2</v>
      </c>
      <c r="F122">
        <v>773095196</v>
      </c>
      <c r="G122">
        <v>2.002E-2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-0.29323308270676851</v>
      </c>
      <c r="Q122">
        <f t="shared" ref="Q122" si="586">F122*P122</f>
        <v>-226697087.54887342</v>
      </c>
      <c r="R122">
        <f t="shared" ref="R122" si="587">R123+Q122</f>
        <v>-5025406726.0478687</v>
      </c>
      <c r="S122">
        <f t="shared" ref="S122" si="588">R122/100000</f>
        <v>-50254.067260478689</v>
      </c>
      <c r="T122">
        <f t="shared" ref="T122" si="589">S122/1000</f>
        <v>-50.254067260478692</v>
      </c>
    </row>
    <row r="123" spans="1:20" x14ac:dyDescent="0.25">
      <c r="A123" s="5">
        <v>44470</v>
      </c>
      <c r="B123">
        <v>1.864E-2</v>
      </c>
      <c r="C123">
        <v>2.017E-2</v>
      </c>
      <c r="D123">
        <v>1.839E-2</v>
      </c>
      <c r="E123">
        <v>2.0080000000000001E-2</v>
      </c>
      <c r="F123">
        <v>882366102</v>
      </c>
      <c r="G123">
        <v>2.0080000000000001E-2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0.89887640449438222</v>
      </c>
      <c r="Q123">
        <f t="shared" ref="Q123" si="591">F123*P123</f>
        <v>793138069.21348333</v>
      </c>
      <c r="R123">
        <f t="shared" ref="R123" si="592">R124+Q123</f>
        <v>-4798709638.4989948</v>
      </c>
      <c r="S123">
        <f t="shared" ref="S123" si="593">R123/100000</f>
        <v>-47987.096384989949</v>
      </c>
      <c r="T123">
        <f t="shared" ref="T123" si="594">S123/1000</f>
        <v>-47.987096384989947</v>
      </c>
    </row>
    <row r="124" spans="1:20" x14ac:dyDescent="0.25">
      <c r="A124" s="5">
        <v>44469</v>
      </c>
      <c r="B124">
        <v>1.7909999999999999E-2</v>
      </c>
      <c r="C124">
        <v>1.8710000000000001E-2</v>
      </c>
      <c r="D124">
        <v>1.78E-2</v>
      </c>
      <c r="E124">
        <v>1.864E-2</v>
      </c>
      <c r="F124">
        <v>514351832</v>
      </c>
      <c r="G124">
        <v>1.864E-2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0.84615384615384504</v>
      </c>
      <c r="Q124">
        <f t="shared" ref="Q124" si="596">F124*P124</f>
        <v>435220780.92307633</v>
      </c>
      <c r="R124">
        <f t="shared" ref="R124" si="597">R125+Q124</f>
        <v>-5591847707.7124777</v>
      </c>
      <c r="S124">
        <f t="shared" ref="S124" si="598">R124/100000</f>
        <v>-55918.477077124779</v>
      </c>
      <c r="T124">
        <f t="shared" ref="T124" si="599">S124/1000</f>
        <v>-55.918477077124777</v>
      </c>
    </row>
    <row r="125" spans="1:20" x14ac:dyDescent="0.25">
      <c r="A125" s="5">
        <v>44468</v>
      </c>
      <c r="B125">
        <v>1.7409999999999998E-2</v>
      </c>
      <c r="C125">
        <v>1.865E-2</v>
      </c>
      <c r="D125">
        <v>1.7319999999999999E-2</v>
      </c>
      <c r="E125">
        <v>1.7899999999999999E-2</v>
      </c>
      <c r="F125">
        <v>514768704</v>
      </c>
      <c r="G125">
        <v>1.7899999999999999E-2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-0.12781954887218033</v>
      </c>
      <c r="Q125">
        <f t="shared" ref="Q125" si="601">F125*P125</f>
        <v>-65797503.518796928</v>
      </c>
      <c r="R125">
        <f t="shared" ref="R125" si="602">R126+Q125</f>
        <v>-6027068488.6355543</v>
      </c>
      <c r="S125">
        <f t="shared" ref="S125" si="603">R125/100000</f>
        <v>-60270.684886355542</v>
      </c>
      <c r="T125">
        <f t="shared" ref="T125" si="604">S125/1000</f>
        <v>-60.270684886355539</v>
      </c>
    </row>
    <row r="126" spans="1:20" x14ac:dyDescent="0.25">
      <c r="A126" s="5">
        <v>44467</v>
      </c>
      <c r="B126">
        <v>1.7760000000000001E-2</v>
      </c>
      <c r="C126">
        <v>1.8329999999999999E-2</v>
      </c>
      <c r="D126">
        <v>1.7319999999999999E-2</v>
      </c>
      <c r="E126">
        <v>1.7409999999999998E-2</v>
      </c>
      <c r="F126">
        <v>415548319</v>
      </c>
      <c r="G126">
        <v>1.7409999999999998E-2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-0.82178217821782229</v>
      </c>
      <c r="Q126">
        <f t="shared" ref="Q126" si="606">F126*P126</f>
        <v>-341490202.74257445</v>
      </c>
      <c r="R126">
        <f t="shared" ref="R126" si="607">R127+Q126</f>
        <v>-5961270985.1167574</v>
      </c>
      <c r="S126">
        <f t="shared" ref="S126" si="608">R126/100000</f>
        <v>-59612.709851167572</v>
      </c>
      <c r="T126">
        <f t="shared" ref="T126" si="609">S126/1000</f>
        <v>-59.612709851167573</v>
      </c>
    </row>
    <row r="127" spans="1:20" x14ac:dyDescent="0.25">
      <c r="A127" s="5">
        <v>44466</v>
      </c>
      <c r="B127">
        <v>1.8329999999999999E-2</v>
      </c>
      <c r="C127">
        <v>1.915E-2</v>
      </c>
      <c r="D127">
        <v>1.7690000000000001E-2</v>
      </c>
      <c r="E127">
        <v>1.7760000000000001E-2</v>
      </c>
      <c r="F127">
        <v>571574412</v>
      </c>
      <c r="G127">
        <v>1.7760000000000001E-2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-0.90410958904109506</v>
      </c>
      <c r="Q127">
        <f t="shared" ref="Q127" si="611">F127*P127</f>
        <v>-516765906.73972553</v>
      </c>
      <c r="R127">
        <f t="shared" ref="R127" si="612">R128+Q127</f>
        <v>-5619780782.3741827</v>
      </c>
      <c r="S127">
        <f t="shared" ref="S127" si="613">R127/100000</f>
        <v>-56197.80782374183</v>
      </c>
      <c r="T127">
        <f t="shared" ref="T127" si="614">S127/1000</f>
        <v>-56.197807823741833</v>
      </c>
    </row>
    <row r="128" spans="1:20" x14ac:dyDescent="0.25">
      <c r="A128" s="5">
        <v>44465</v>
      </c>
      <c r="B128">
        <v>1.8360000000000001E-2</v>
      </c>
      <c r="C128">
        <v>1.873E-2</v>
      </c>
      <c r="D128">
        <v>1.6930000000000001E-2</v>
      </c>
      <c r="E128">
        <v>1.8360000000000001E-2</v>
      </c>
      <c r="F128">
        <v>754400656</v>
      </c>
      <c r="G128">
        <v>1.8360000000000001E-2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0.58888888888889013</v>
      </c>
      <c r="Q128">
        <f t="shared" ref="Q128" si="616">F128*P128</f>
        <v>444258164.08888984</v>
      </c>
      <c r="R128">
        <f t="shared" ref="R128" si="617">R129+Q128</f>
        <v>-5103014875.6344576</v>
      </c>
      <c r="S128">
        <f t="shared" ref="S128" si="618">R128/100000</f>
        <v>-51030.148756344577</v>
      </c>
      <c r="T128">
        <f t="shared" ref="T128" si="619">S128/1000</f>
        <v>-51.03014875634458</v>
      </c>
    </row>
    <row r="129" spans="1:20" x14ac:dyDescent="0.25">
      <c r="A129" s="5">
        <v>44464</v>
      </c>
      <c r="B129">
        <v>1.856E-2</v>
      </c>
      <c r="C129">
        <v>1.891E-2</v>
      </c>
      <c r="D129">
        <v>1.788E-2</v>
      </c>
      <c r="E129">
        <v>1.8360000000000001E-2</v>
      </c>
      <c r="F129">
        <v>526254856</v>
      </c>
      <c r="G129">
        <v>1.8360000000000001E-2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-6.7961165048540939E-2</v>
      </c>
      <c r="Q129">
        <f t="shared" ref="Q129" si="621">F129*P129</f>
        <v>-35764893.126212142</v>
      </c>
      <c r="R129">
        <f t="shared" ref="R129" si="622">R130+Q129</f>
        <v>-5547273039.7233477</v>
      </c>
      <c r="S129">
        <f t="shared" ref="S129" si="623">R129/100000</f>
        <v>-55472.730397233478</v>
      </c>
      <c r="T129">
        <f t="shared" ref="T129" si="624">S129/1000</f>
        <v>-55.472730397233477</v>
      </c>
    </row>
    <row r="130" spans="1:20" x14ac:dyDescent="0.25">
      <c r="A130" s="5">
        <v>44463</v>
      </c>
      <c r="B130">
        <v>2.036E-2</v>
      </c>
      <c r="C130">
        <v>2.0500000000000001E-2</v>
      </c>
      <c r="D130">
        <v>1.7000000000000001E-2</v>
      </c>
      <c r="E130">
        <v>1.856E-2</v>
      </c>
      <c r="F130">
        <v>1128318597</v>
      </c>
      <c r="G130">
        <v>1.856E-2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-0.10857142857142911</v>
      </c>
      <c r="Q130">
        <f t="shared" ref="Q130" si="626">F130*P130</f>
        <v>-122503161.9600006</v>
      </c>
      <c r="R130">
        <f t="shared" ref="R130" si="627">R131+Q130</f>
        <v>-5511508146.5971355</v>
      </c>
      <c r="S130">
        <f t="shared" ref="S130" si="628">R130/100000</f>
        <v>-55115.081465971358</v>
      </c>
      <c r="T130">
        <f t="shared" ref="T130" si="629">S130/1000</f>
        <v>-55.115081465971357</v>
      </c>
    </row>
    <row r="131" spans="1:20" x14ac:dyDescent="0.25">
      <c r="A131" s="5">
        <v>44462</v>
      </c>
      <c r="B131">
        <v>1.9939999999999999E-2</v>
      </c>
      <c r="C131">
        <v>2.0639999999999999E-2</v>
      </c>
      <c r="D131">
        <v>1.949E-2</v>
      </c>
      <c r="E131">
        <v>2.0369999999999999E-2</v>
      </c>
      <c r="F131">
        <v>682978684</v>
      </c>
      <c r="G131">
        <v>2.0369999999999999E-2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0.53043478260869592</v>
      </c>
      <c r="Q131">
        <f t="shared" ref="Q131" si="631">F131*P131</f>
        <v>362275649.7739132</v>
      </c>
      <c r="R131">
        <f t="shared" ref="R131" si="632">R132+Q131</f>
        <v>-5389004984.6371346</v>
      </c>
      <c r="S131">
        <f t="shared" ref="S131" si="633">R131/100000</f>
        <v>-53890.049846371345</v>
      </c>
      <c r="T131">
        <f t="shared" ref="T131" si="634">S131/1000</f>
        <v>-53.890049846371348</v>
      </c>
    </row>
    <row r="132" spans="1:20" x14ac:dyDescent="0.25">
      <c r="A132" s="5">
        <v>44461</v>
      </c>
      <c r="B132">
        <v>1.7469999999999999E-2</v>
      </c>
      <c r="C132">
        <v>1.9980000000000001E-2</v>
      </c>
      <c r="D132">
        <v>1.7149999999999999E-2</v>
      </c>
      <c r="E132">
        <v>1.9949999999999999E-2</v>
      </c>
      <c r="F132">
        <v>696462473</v>
      </c>
      <c r="G132">
        <v>1.9949999999999999E-2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0.97879858657243657</v>
      </c>
      <c r="Q132">
        <f t="shared" ref="Q132" si="636">F132*P132</f>
        <v>681696484.17314374</v>
      </c>
      <c r="R132">
        <f t="shared" ref="R132" si="637">R133+Q132</f>
        <v>-5751280634.4110479</v>
      </c>
      <c r="S132">
        <f t="shared" ref="S132" si="638">R132/100000</f>
        <v>-57512.806344110482</v>
      </c>
      <c r="T132">
        <f t="shared" ref="T132" si="639">S132/1000</f>
        <v>-57.51280634411048</v>
      </c>
    </row>
    <row r="133" spans="1:20" x14ac:dyDescent="0.25">
      <c r="A133" s="5">
        <v>44460</v>
      </c>
      <c r="B133">
        <v>1.8950000000000002E-2</v>
      </c>
      <c r="C133">
        <v>2.0310000000000002E-2</v>
      </c>
      <c r="D133">
        <v>1.6799999999999999E-2</v>
      </c>
      <c r="E133">
        <v>1.7469999999999999E-2</v>
      </c>
      <c r="F133">
        <v>1087123214</v>
      </c>
      <c r="G133">
        <v>1.7469999999999999E-2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-0.61823361823361822</v>
      </c>
      <c r="Q133">
        <f t="shared" ref="Q133" si="641">F133*P133</f>
        <v>-672096118.05698001</v>
      </c>
      <c r="R133">
        <f t="shared" ref="R133" si="642">R134+Q133</f>
        <v>-6432977118.5841913</v>
      </c>
      <c r="S133">
        <f t="shared" ref="S133" si="643">R133/100000</f>
        <v>-64329.771185841913</v>
      </c>
      <c r="T133">
        <f t="shared" ref="T133" si="644">S133/1000</f>
        <v>-64.329771185841906</v>
      </c>
    </row>
    <row r="134" spans="1:20" x14ac:dyDescent="0.25">
      <c r="A134" s="5">
        <v>44459</v>
      </c>
      <c r="B134">
        <v>2.1850000000000001E-2</v>
      </c>
      <c r="C134">
        <v>2.189E-2</v>
      </c>
      <c r="D134">
        <v>1.951E-2</v>
      </c>
      <c r="E134">
        <v>1.9990000000000001E-2</v>
      </c>
      <c r="F134">
        <v>794421087</v>
      </c>
      <c r="G134">
        <v>1.9990000000000001E-2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-0.59663865546218386</v>
      </c>
      <c r="Q134">
        <f t="shared" ref="Q134" si="646">F134*P134</f>
        <v>-473982329.21848661</v>
      </c>
      <c r="R134">
        <f t="shared" ref="R134" si="647">R135+Q134</f>
        <v>-5760881000.5272112</v>
      </c>
      <c r="S134">
        <f t="shared" ref="S134" si="648">R134/100000</f>
        <v>-57608.810005272113</v>
      </c>
      <c r="T134">
        <f t="shared" ref="T134" si="649">S134/1000</f>
        <v>-57.608810005272112</v>
      </c>
    </row>
    <row r="135" spans="1:20" x14ac:dyDescent="0.25">
      <c r="A135" s="5">
        <v>44458</v>
      </c>
      <c r="B135">
        <v>2.291E-2</v>
      </c>
      <c r="C135">
        <v>2.324E-2</v>
      </c>
      <c r="D135">
        <v>2.1530000000000001E-2</v>
      </c>
      <c r="E135">
        <v>2.1819999999999999E-2</v>
      </c>
      <c r="F135">
        <v>547027063</v>
      </c>
      <c r="G135">
        <v>2.1819999999999999E-2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-0.66081871345029397</v>
      </c>
      <c r="Q135">
        <f t="shared" ref="Q135" si="651">F135*P135</f>
        <v>-361485719.9941529</v>
      </c>
      <c r="R135">
        <f t="shared" ref="R135" si="652">R136+Q135</f>
        <v>-5286898671.3087244</v>
      </c>
      <c r="S135">
        <f t="shared" ref="S135" si="653">R135/100000</f>
        <v>-52868.986713087244</v>
      </c>
      <c r="T135">
        <f t="shared" ref="T135" si="654">S135/1000</f>
        <v>-52.868986713087246</v>
      </c>
    </row>
    <row r="136" spans="1:20" x14ac:dyDescent="0.25">
      <c r="A136" s="5">
        <v>44457</v>
      </c>
      <c r="B136">
        <v>2.273E-2</v>
      </c>
      <c r="C136">
        <v>2.3480000000000001E-2</v>
      </c>
      <c r="D136">
        <v>2.2270000000000002E-2</v>
      </c>
      <c r="E136">
        <v>2.2919999999999999E-2</v>
      </c>
      <c r="F136">
        <v>472137246</v>
      </c>
      <c r="G136">
        <v>2.2919999999999999E-2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7.4380165289253217E-2</v>
      </c>
      <c r="Q136">
        <f t="shared" ref="Q136" si="656">F136*P136</f>
        <v>35117646.396692805</v>
      </c>
      <c r="R136">
        <f t="shared" ref="R136" si="657">R137+Q136</f>
        <v>-4925412951.3145714</v>
      </c>
      <c r="S136">
        <f t="shared" ref="S136" si="658">R136/100000</f>
        <v>-49254.129513145715</v>
      </c>
      <c r="T136">
        <f t="shared" ref="T136" si="659">S136/1000</f>
        <v>-49.254129513145713</v>
      </c>
    </row>
    <row r="137" spans="1:20" x14ac:dyDescent="0.25">
      <c r="A137" s="5">
        <v>44456</v>
      </c>
      <c r="B137">
        <v>2.3720000000000001E-2</v>
      </c>
      <c r="C137">
        <v>2.385E-2</v>
      </c>
      <c r="D137">
        <v>2.2360000000000001E-2</v>
      </c>
      <c r="E137">
        <v>2.273E-2</v>
      </c>
      <c r="F137">
        <v>688362428</v>
      </c>
      <c r="G137">
        <v>2.273E-2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-0.50335570469798763</v>
      </c>
      <c r="Q137">
        <f t="shared" ref="Q137" si="661">F137*P137</f>
        <v>-346491155.03355777</v>
      </c>
      <c r="R137">
        <f t="shared" ref="R137" si="662">R138+Q137</f>
        <v>-4960530597.7112646</v>
      </c>
      <c r="S137">
        <f t="shared" ref="S137" si="663">R137/100000</f>
        <v>-49605.305977112643</v>
      </c>
      <c r="T137">
        <f t="shared" ref="T137" si="664">S137/1000</f>
        <v>-49.605305977112643</v>
      </c>
    </row>
    <row r="138" spans="1:20" x14ac:dyDescent="0.25">
      <c r="A138" s="5">
        <v>44455</v>
      </c>
      <c r="B138">
        <v>2.41E-2</v>
      </c>
      <c r="C138">
        <v>2.4979999999999999E-2</v>
      </c>
      <c r="D138">
        <v>2.3040000000000001E-2</v>
      </c>
      <c r="E138">
        <v>2.3720000000000001E-2</v>
      </c>
      <c r="F138">
        <v>1114389115</v>
      </c>
      <c r="G138">
        <v>2.3720000000000001E-2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-0.29896907216494745</v>
      </c>
      <c r="Q138">
        <f t="shared" ref="Q138" si="666">F138*P138</f>
        <v>-333167879.74226689</v>
      </c>
      <c r="R138">
        <f t="shared" ref="R138" si="667">R139+Q138</f>
        <v>-4614039442.6777067</v>
      </c>
      <c r="S138">
        <f t="shared" ref="S138" si="668">R138/100000</f>
        <v>-46140.394426777064</v>
      </c>
      <c r="T138">
        <f t="shared" ref="T138" si="669">S138/1000</f>
        <v>-46.140394426777064</v>
      </c>
    </row>
    <row r="139" spans="1:20" x14ac:dyDescent="0.25">
      <c r="A139" s="5">
        <v>44454</v>
      </c>
      <c r="B139">
        <v>2.385E-2</v>
      </c>
      <c r="C139">
        <v>2.4340000000000001E-2</v>
      </c>
      <c r="D139">
        <v>2.349E-2</v>
      </c>
      <c r="E139">
        <v>2.41E-2</v>
      </c>
      <c r="F139">
        <v>674205145</v>
      </c>
      <c r="G139">
        <v>2.41E-2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0.43529411764705739</v>
      </c>
      <c r="Q139">
        <f t="shared" ref="Q139" si="671">F139*P139</f>
        <v>293477533.70588136</v>
      </c>
      <c r="R139">
        <f t="shared" ref="R139" si="672">R140+Q139</f>
        <v>-4280871562.9354401</v>
      </c>
      <c r="S139">
        <f t="shared" ref="S139" si="673">R139/100000</f>
        <v>-42808.715629354403</v>
      </c>
      <c r="T139">
        <f t="shared" ref="T139" si="674">S139/1000</f>
        <v>-42.808715629354403</v>
      </c>
    </row>
    <row r="140" spans="1:20" x14ac:dyDescent="0.25">
      <c r="A140" s="5">
        <v>44453</v>
      </c>
      <c r="B140">
        <v>2.3060000000000001E-2</v>
      </c>
      <c r="C140">
        <v>2.4500000000000001E-2</v>
      </c>
      <c r="D140">
        <v>2.2720000000000001E-2</v>
      </c>
      <c r="E140">
        <v>2.3879999999999998E-2</v>
      </c>
      <c r="F140">
        <v>848472134</v>
      </c>
      <c r="G140">
        <v>2.3879999999999998E-2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0.30337078651685129</v>
      </c>
      <c r="Q140">
        <f t="shared" ref="Q140" si="676">F140*P140</f>
        <v>257401658.62921125</v>
      </c>
      <c r="R140">
        <f t="shared" ref="R140" si="677">R141+Q140</f>
        <v>-4574349096.6413212</v>
      </c>
      <c r="S140">
        <f t="shared" ref="S140" si="678">R140/100000</f>
        <v>-45743.490966413214</v>
      </c>
      <c r="T140">
        <f t="shared" ref="T140" si="679">S140/1000</f>
        <v>-45.743490966413212</v>
      </c>
    </row>
    <row r="141" spans="1:20" x14ac:dyDescent="0.25">
      <c r="A141" s="5">
        <v>44452</v>
      </c>
      <c r="B141">
        <v>2.478E-2</v>
      </c>
      <c r="C141">
        <v>2.5090000000000001E-2</v>
      </c>
      <c r="D141">
        <v>2.198E-2</v>
      </c>
      <c r="E141">
        <v>2.3060000000000001E-2</v>
      </c>
      <c r="F141">
        <v>1208557108</v>
      </c>
      <c r="G141">
        <v>2.3060000000000001E-2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-0.30546623794212185</v>
      </c>
      <c r="Q141">
        <f t="shared" ref="Q141" si="681">F141*P141</f>
        <v>-369173393.11897063</v>
      </c>
      <c r="R141">
        <f t="shared" ref="R141" si="682">R142+Q141</f>
        <v>-4831750755.2705326</v>
      </c>
      <c r="S141">
        <f t="shared" ref="S141" si="683">R141/100000</f>
        <v>-48317.507552705327</v>
      </c>
      <c r="T141">
        <f t="shared" ref="T141" si="684">S141/1000</f>
        <v>-48.317507552705329</v>
      </c>
    </row>
    <row r="142" spans="1:20" x14ac:dyDescent="0.25">
      <c r="A142" s="5">
        <v>44451</v>
      </c>
      <c r="B142">
        <v>2.487E-2</v>
      </c>
      <c r="C142">
        <v>2.5479999999999999E-2</v>
      </c>
      <c r="D142">
        <v>2.401E-2</v>
      </c>
      <c r="E142">
        <v>2.477E-2</v>
      </c>
      <c r="F142">
        <v>940684967</v>
      </c>
      <c r="G142">
        <v>2.477E-2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3.4013605442177866E-2</v>
      </c>
      <c r="Q142">
        <f t="shared" ref="Q142" si="686">F142*P142</f>
        <v>31996087.312926106</v>
      </c>
      <c r="R142">
        <f t="shared" ref="R142" si="687">R143+Q142</f>
        <v>-4462577362.1515617</v>
      </c>
      <c r="S142">
        <f t="shared" ref="S142" si="688">R142/100000</f>
        <v>-44625.773621515618</v>
      </c>
      <c r="T142">
        <f t="shared" ref="T142" si="689">S142/1000</f>
        <v>-44.62577362151562</v>
      </c>
    </row>
    <row r="143" spans="1:20" x14ac:dyDescent="0.25">
      <c r="A143" s="5">
        <v>44450</v>
      </c>
      <c r="B143">
        <v>2.392E-2</v>
      </c>
      <c r="C143">
        <v>2.7400000000000001E-2</v>
      </c>
      <c r="D143">
        <v>2.3230000000000001E-2</v>
      </c>
      <c r="E143">
        <v>2.487E-2</v>
      </c>
      <c r="F143">
        <v>2823585776</v>
      </c>
      <c r="G143">
        <v>2.487E-2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-0.21342925659472467</v>
      </c>
      <c r="Q143">
        <f t="shared" ref="Q143" si="691">F143*P143</f>
        <v>-602635813.10311878</v>
      </c>
      <c r="R143">
        <f t="shared" ref="R143" si="692">R144+Q143</f>
        <v>-4494573449.464488</v>
      </c>
      <c r="S143">
        <f t="shared" ref="S143" si="693">R143/100000</f>
        <v>-44945.734494644879</v>
      </c>
      <c r="T143">
        <f t="shared" ref="T143" si="694">S143/1000</f>
        <v>-44.945734494644881</v>
      </c>
    </row>
    <row r="144" spans="1:20" x14ac:dyDescent="0.25">
      <c r="A144" s="5">
        <v>44449</v>
      </c>
      <c r="B144">
        <v>2.2589999999999999E-2</v>
      </c>
      <c r="C144">
        <v>2.47E-2</v>
      </c>
      <c r="D144">
        <v>2.0379999999999999E-2</v>
      </c>
      <c r="E144">
        <v>2.3939999999999999E-2</v>
      </c>
      <c r="F144">
        <v>2001982978</v>
      </c>
      <c r="G144">
        <v>2.3939999999999999E-2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0.64814814814814814</v>
      </c>
      <c r="Q144">
        <f t="shared" ref="Q144" si="696">F144*P144</f>
        <v>1297581559.8148148</v>
      </c>
      <c r="R144">
        <f t="shared" ref="R144" si="697">R145+Q144</f>
        <v>-3891937636.3613691</v>
      </c>
      <c r="S144">
        <f t="shared" ref="S144" si="698">R144/100000</f>
        <v>-38919.376363613694</v>
      </c>
      <c r="T144">
        <f t="shared" ref="T144" si="699">S144/1000</f>
        <v>-38.919376363613694</v>
      </c>
    </row>
    <row r="145" spans="1:20" x14ac:dyDescent="0.25">
      <c r="A145" s="5">
        <v>44448</v>
      </c>
      <c r="B145">
        <v>2.2409999999999999E-2</v>
      </c>
      <c r="C145">
        <v>2.367E-2</v>
      </c>
      <c r="D145">
        <v>2.1190000000000001E-2</v>
      </c>
      <c r="E145">
        <v>2.257E-2</v>
      </c>
      <c r="F145">
        <v>1542935358</v>
      </c>
      <c r="G145">
        <v>2.257E-2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0.11290322580645124</v>
      </c>
      <c r="Q145">
        <f t="shared" ref="Q145" si="701">F145*P145</f>
        <v>174202379.12903169</v>
      </c>
      <c r="R145">
        <f t="shared" ref="R145" si="702">R146+Q145</f>
        <v>-5189519196.1761837</v>
      </c>
      <c r="S145">
        <f t="shared" ref="S145" si="703">R145/100000</f>
        <v>-51895.191961761841</v>
      </c>
      <c r="T145">
        <f t="shared" ref="T145" si="704">S145/1000</f>
        <v>-51.895191961761839</v>
      </c>
    </row>
    <row r="146" spans="1:20" x14ac:dyDescent="0.25">
      <c r="A146" s="5">
        <v>44447</v>
      </c>
      <c r="B146">
        <v>2.1440000000000001E-2</v>
      </c>
      <c r="C146">
        <v>2.2679999999999999E-2</v>
      </c>
      <c r="D146">
        <v>1.941E-2</v>
      </c>
      <c r="E146">
        <v>2.2419999999999999E-2</v>
      </c>
      <c r="F146">
        <v>1778016640</v>
      </c>
      <c r="G146">
        <v>2.2419999999999999E-2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0.84097859327217128</v>
      </c>
      <c r="Q146">
        <f t="shared" ref="Q146" si="706">F146*P146</f>
        <v>1495273932.7217126</v>
      </c>
      <c r="R146">
        <f t="shared" ref="R146" si="707">R147+Q146</f>
        <v>-5363721575.3052158</v>
      </c>
      <c r="S146">
        <f t="shared" ref="S146" si="708">R146/100000</f>
        <v>-53637.215753052158</v>
      </c>
      <c r="T146">
        <f t="shared" ref="T146" si="709">S146/1000</f>
        <v>-53.63721575305216</v>
      </c>
    </row>
    <row r="147" spans="1:20" x14ac:dyDescent="0.25">
      <c r="A147" s="5">
        <v>44446</v>
      </c>
      <c r="B147">
        <v>2.8420000000000001E-2</v>
      </c>
      <c r="C147">
        <v>2.8469999999999999E-2</v>
      </c>
      <c r="D147">
        <v>1.8700000000000001E-2</v>
      </c>
      <c r="E147">
        <v>2.1430000000000001E-2</v>
      </c>
      <c r="F147">
        <v>2615960972</v>
      </c>
      <c r="G147">
        <v>2.1430000000000001E-2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-0.44114636642784022</v>
      </c>
      <c r="Q147">
        <f t="shared" ref="Q147" si="711">F147*P147</f>
        <v>-1154021677.5148411</v>
      </c>
      <c r="R147">
        <f t="shared" ref="R147" si="712">R148+Q147</f>
        <v>-6858995508.0269289</v>
      </c>
      <c r="S147">
        <f t="shared" ref="S147" si="713">R147/100000</f>
        <v>-68589.955080269283</v>
      </c>
      <c r="T147">
        <f t="shared" ref="T147" si="714">S147/1000</f>
        <v>-68.589955080269277</v>
      </c>
    </row>
    <row r="148" spans="1:20" x14ac:dyDescent="0.25">
      <c r="A148" s="5">
        <v>44445</v>
      </c>
      <c r="B148">
        <v>2.8830000000000001E-2</v>
      </c>
      <c r="C148">
        <v>2.9870000000000001E-2</v>
      </c>
      <c r="D148">
        <v>2.6110000000000001E-2</v>
      </c>
      <c r="E148">
        <v>2.843E-2</v>
      </c>
      <c r="F148">
        <v>1758635617</v>
      </c>
      <c r="G148">
        <v>2.843E-2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0.23404255319148909</v>
      </c>
      <c r="Q148">
        <f t="shared" ref="Q148" si="716">F148*P148</f>
        <v>411595569.93616974</v>
      </c>
      <c r="R148">
        <f t="shared" ref="R148" si="717">R149+Q148</f>
        <v>-5704973830.5120878</v>
      </c>
      <c r="S148">
        <f t="shared" ref="S148" si="718">R148/100000</f>
        <v>-57049.738305120882</v>
      </c>
      <c r="T148">
        <f t="shared" ref="T148" si="719">S148/1000</f>
        <v>-57.049738305120883</v>
      </c>
    </row>
    <row r="149" spans="1:20" x14ac:dyDescent="0.25">
      <c r="A149" s="5">
        <v>44444</v>
      </c>
      <c r="B149">
        <v>2.828E-2</v>
      </c>
      <c r="C149">
        <v>2.896E-2</v>
      </c>
      <c r="D149">
        <v>2.76E-2</v>
      </c>
      <c r="E149">
        <v>2.8830000000000001E-2</v>
      </c>
      <c r="F149">
        <v>1147829680</v>
      </c>
      <c r="G149">
        <v>2.8830000000000001E-2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0.80882352941176738</v>
      </c>
      <c r="Q149">
        <f t="shared" ref="Q149" si="721">F149*P149</f>
        <v>928391652.94117951</v>
      </c>
      <c r="R149">
        <f t="shared" ref="R149" si="722">R150+Q149</f>
        <v>-6116569400.4482574</v>
      </c>
      <c r="S149">
        <f t="shared" ref="S149" si="723">R149/100000</f>
        <v>-61165.694004482575</v>
      </c>
      <c r="T149">
        <f t="shared" ref="T149" si="724">S149/1000</f>
        <v>-61.165694004482575</v>
      </c>
    </row>
    <row r="150" spans="1:20" x14ac:dyDescent="0.25">
      <c r="A150" s="5">
        <v>44443</v>
      </c>
      <c r="B150">
        <v>2.5700000000000001E-2</v>
      </c>
      <c r="C150">
        <v>2.9499999999999998E-2</v>
      </c>
      <c r="D150">
        <v>2.5510000000000001E-2</v>
      </c>
      <c r="E150">
        <v>2.828E-2</v>
      </c>
      <c r="F150">
        <v>3118458824</v>
      </c>
      <c r="G150">
        <v>2.828E-2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0.38847117794486224</v>
      </c>
      <c r="Q150">
        <f t="shared" ref="Q150" si="726">F150*P150</f>
        <v>1211431372.7318299</v>
      </c>
      <c r="R150">
        <f t="shared" ref="R150" si="727">R151+Q150</f>
        <v>-7044961053.3894367</v>
      </c>
      <c r="S150">
        <f t="shared" ref="S150" si="728">R150/100000</f>
        <v>-70449.610533894374</v>
      </c>
      <c r="T150">
        <f t="shared" ref="T150" si="729">S150/1000</f>
        <v>-70.449610533894372</v>
      </c>
    </row>
    <row r="151" spans="1:20" x14ac:dyDescent="0.25">
      <c r="A151" s="5">
        <v>44442</v>
      </c>
      <c r="B151">
        <v>2.538E-2</v>
      </c>
      <c r="C151">
        <v>2.5850000000000001E-2</v>
      </c>
      <c r="D151">
        <v>2.435E-2</v>
      </c>
      <c r="E151">
        <v>2.5700000000000001E-2</v>
      </c>
      <c r="F151">
        <v>1067155855</v>
      </c>
      <c r="G151">
        <v>2.5700000000000001E-2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0.79999999999999905</v>
      </c>
      <c r="Q151">
        <f t="shared" ref="Q151" si="731">F151*P151</f>
        <v>853724683.99999893</v>
      </c>
      <c r="R151">
        <f t="shared" ref="R151" si="732">R152+Q151</f>
        <v>-8256392426.1212664</v>
      </c>
      <c r="S151">
        <f t="shared" ref="S151" si="733">R151/100000</f>
        <v>-82563.924261212669</v>
      </c>
      <c r="T151">
        <f t="shared" ref="T151" si="734">S151/1000</f>
        <v>-82.563924261212662</v>
      </c>
    </row>
    <row r="152" spans="1:20" x14ac:dyDescent="0.25">
      <c r="A152" s="5">
        <v>44441</v>
      </c>
      <c r="B152">
        <v>2.5149999999999999E-2</v>
      </c>
      <c r="C152">
        <v>2.597E-2</v>
      </c>
      <c r="D152">
        <v>2.486E-2</v>
      </c>
      <c r="E152">
        <v>2.5389999999999999E-2</v>
      </c>
      <c r="F152">
        <v>1252150944</v>
      </c>
      <c r="G152">
        <v>2.5389999999999999E-2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-4.504504504504634E-2</v>
      </c>
      <c r="Q152">
        <f t="shared" ref="Q152" si="736">F152*P152</f>
        <v>-56403195.675677299</v>
      </c>
      <c r="R152">
        <f t="shared" ref="R152" si="737">R153+Q152</f>
        <v>-9110117110.1212654</v>
      </c>
      <c r="S152">
        <f t="shared" ref="S152" si="738">R152/100000</f>
        <v>-91101.171101212647</v>
      </c>
      <c r="T152">
        <f t="shared" ref="T152" si="739">S152/1000</f>
        <v>-91.101171101212643</v>
      </c>
    </row>
    <row r="153" spans="1:20" x14ac:dyDescent="0.25">
      <c r="A153" s="5">
        <v>44440</v>
      </c>
      <c r="B153">
        <v>2.368E-2</v>
      </c>
      <c r="C153">
        <v>2.5510000000000001E-2</v>
      </c>
      <c r="D153">
        <v>2.3290000000000002E-2</v>
      </c>
      <c r="E153">
        <v>2.5149999999999999E-2</v>
      </c>
      <c r="F153">
        <v>1809908318</v>
      </c>
      <c r="G153">
        <v>2.5149999999999999E-2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0.67567567567567322</v>
      </c>
      <c r="Q153">
        <f t="shared" ref="Q153" si="741">F153*P153</f>
        <v>1222911025.6756713</v>
      </c>
      <c r="R153">
        <f t="shared" ref="R153" si="742">R154+Q153</f>
        <v>-9053713914.4455891</v>
      </c>
      <c r="S153">
        <f t="shared" ref="S153" si="743">R153/100000</f>
        <v>-90537.139144455898</v>
      </c>
      <c r="T153">
        <f t="shared" ref="T153" si="744">S153/1000</f>
        <v>-90.537139144455892</v>
      </c>
    </row>
    <row r="154" spans="1:20" x14ac:dyDescent="0.25">
      <c r="A154" s="5">
        <v>44439</v>
      </c>
      <c r="B154">
        <v>2.3109999999999999E-2</v>
      </c>
      <c r="C154">
        <v>2.4379999999999999E-2</v>
      </c>
      <c r="D154">
        <v>2.2620000000000001E-2</v>
      </c>
      <c r="E154">
        <v>2.368E-2</v>
      </c>
      <c r="F154">
        <v>962770984</v>
      </c>
      <c r="G154">
        <v>2.368E-2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0.20454545454545436</v>
      </c>
      <c r="Q154">
        <f t="shared" ref="Q154" si="746">F154*P154</f>
        <v>196930428.54545438</v>
      </c>
      <c r="R154">
        <f t="shared" ref="R154" si="747">R155+Q154</f>
        <v>-10276624940.12126</v>
      </c>
      <c r="S154">
        <f t="shared" ref="S154" si="748">R154/100000</f>
        <v>-102766.2494012126</v>
      </c>
      <c r="T154">
        <f t="shared" ref="T154" si="749">S154/1000</f>
        <v>-102.76624940121259</v>
      </c>
    </row>
    <row r="155" spans="1:20" x14ac:dyDescent="0.25">
      <c r="A155" s="5">
        <v>44438</v>
      </c>
      <c r="B155">
        <v>2.4549999999999999E-2</v>
      </c>
      <c r="C155">
        <v>2.477E-2</v>
      </c>
      <c r="D155">
        <v>2.3E-2</v>
      </c>
      <c r="E155">
        <v>2.3120000000000002E-2</v>
      </c>
      <c r="F155">
        <v>891447473</v>
      </c>
      <c r="G155">
        <v>2.3120000000000002E-2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-0.86440677966101465</v>
      </c>
      <c r="Q155">
        <f t="shared" ref="Q155" si="751">F155*P155</f>
        <v>-770573239.37287927</v>
      </c>
      <c r="R155">
        <f t="shared" ref="R155" si="752">R156+Q155</f>
        <v>-10473555368.666714</v>
      </c>
      <c r="S155">
        <f t="shared" ref="S155" si="753">R155/100000</f>
        <v>-104735.55368666713</v>
      </c>
      <c r="T155">
        <f t="shared" ref="T155" si="754">S155/1000</f>
        <v>-104.73555368666713</v>
      </c>
    </row>
    <row r="156" spans="1:20" x14ac:dyDescent="0.25">
      <c r="A156" s="5">
        <v>44437</v>
      </c>
      <c r="B156">
        <v>2.4250000000000001E-2</v>
      </c>
      <c r="C156">
        <v>2.546E-2</v>
      </c>
      <c r="D156">
        <v>2.3120000000000002E-2</v>
      </c>
      <c r="E156">
        <v>2.4549999999999999E-2</v>
      </c>
      <c r="F156">
        <v>1063958267</v>
      </c>
      <c r="G156">
        <v>2.4549999999999999E-2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0.22222222222222074</v>
      </c>
      <c r="Q156">
        <f t="shared" ref="Q156" si="756">F156*P156</f>
        <v>236435170.44444287</v>
      </c>
      <c r="R156">
        <f t="shared" ref="R156" si="757">R157+Q156</f>
        <v>-9702982129.2938347</v>
      </c>
      <c r="S156">
        <f t="shared" ref="S156" si="758">R156/100000</f>
        <v>-97029.821292938344</v>
      </c>
      <c r="T156">
        <f t="shared" ref="T156" si="759">S156/1000</f>
        <v>-97.029821292938351</v>
      </c>
    </row>
    <row r="157" spans="1:20" x14ac:dyDescent="0.25">
      <c r="A157" s="5">
        <v>44436</v>
      </c>
      <c r="B157">
        <v>2.401E-2</v>
      </c>
      <c r="C157">
        <v>2.5000000000000001E-2</v>
      </c>
      <c r="D157">
        <v>2.3269999999999999E-2</v>
      </c>
      <c r="E157">
        <v>2.4230000000000002E-2</v>
      </c>
      <c r="F157">
        <v>1107339794</v>
      </c>
      <c r="G157">
        <v>2.4230000000000002E-2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0.10982658959537711</v>
      </c>
      <c r="Q157">
        <f t="shared" ref="Q157" si="761">F157*P157</f>
        <v>121615353.09826744</v>
      </c>
      <c r="R157">
        <f t="shared" ref="R157" si="762">R158+Q157</f>
        <v>-9939417299.7382774</v>
      </c>
      <c r="S157">
        <f t="shared" ref="S157" si="763">R157/100000</f>
        <v>-99394.172997382775</v>
      </c>
      <c r="T157">
        <f t="shared" ref="T157" si="764">S157/1000</f>
        <v>-99.394172997382782</v>
      </c>
    </row>
    <row r="158" spans="1:20" x14ac:dyDescent="0.25">
      <c r="A158" s="5">
        <v>44435</v>
      </c>
      <c r="B158">
        <v>2.2419999999999999E-2</v>
      </c>
      <c r="C158">
        <v>2.4160000000000001E-2</v>
      </c>
      <c r="D158">
        <v>2.172E-2</v>
      </c>
      <c r="E158">
        <v>2.4029999999999999E-2</v>
      </c>
      <c r="F158">
        <v>1237205028</v>
      </c>
      <c r="G158">
        <v>2.4029999999999999E-2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0.89344262295081833</v>
      </c>
      <c r="Q158">
        <f t="shared" ref="Q158" si="766">F158*P158</f>
        <v>1105371705.3442607</v>
      </c>
      <c r="R158">
        <f t="shared" ref="R158" si="767">R159+Q158</f>
        <v>-10061032652.836544</v>
      </c>
      <c r="S158">
        <f t="shared" ref="S158" si="768">R158/100000</f>
        <v>-100610.32652836545</v>
      </c>
      <c r="T158">
        <f t="shared" ref="T158" si="769">S158/1000</f>
        <v>-100.61032652836545</v>
      </c>
    </row>
    <row r="159" spans="1:20" x14ac:dyDescent="0.25">
      <c r="A159" s="5">
        <v>44434</v>
      </c>
      <c r="B159">
        <v>2.4479999999999998E-2</v>
      </c>
      <c r="C159">
        <v>2.5309999999999999E-2</v>
      </c>
      <c r="D159">
        <v>2.2123E-2</v>
      </c>
      <c r="E159">
        <v>2.24E-2</v>
      </c>
      <c r="F159">
        <v>1976726725</v>
      </c>
      <c r="G159">
        <v>2.24E-2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-0.82616881079385029</v>
      </c>
      <c r="Q159">
        <f t="shared" ref="Q159" si="771">F159*P159</f>
        <v>-1633109967.6576724</v>
      </c>
      <c r="R159">
        <f t="shared" ref="R159" si="772">R160+Q159</f>
        <v>-11166404358.180805</v>
      </c>
      <c r="S159">
        <f t="shared" ref="S159" si="773">R159/100000</f>
        <v>-111664.04358180806</v>
      </c>
      <c r="T159">
        <f t="shared" ref="T159" si="774">S159/1000</f>
        <v>-111.66404358180806</v>
      </c>
    </row>
    <row r="160" spans="1:20" x14ac:dyDescent="0.25">
      <c r="A160" s="5">
        <v>44433</v>
      </c>
      <c r="B160">
        <v>2.2553E-2</v>
      </c>
      <c r="C160">
        <v>2.52E-2</v>
      </c>
      <c r="D160">
        <v>2.1530000000000001E-2</v>
      </c>
      <c r="E160">
        <v>2.4490000000000001E-2</v>
      </c>
      <c r="F160">
        <v>1562866428</v>
      </c>
      <c r="G160">
        <v>2.4490000000000001E-2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0.6130790190735701</v>
      </c>
      <c r="Q160">
        <f t="shared" ref="Q160" si="776">F160*P160</f>
        <v>958160616.62125432</v>
      </c>
      <c r="R160">
        <f t="shared" ref="R160" si="777">R161+Q160</f>
        <v>-9533294390.5231323</v>
      </c>
      <c r="S160">
        <f t="shared" ref="S160" si="778">R160/100000</f>
        <v>-95332.943905231325</v>
      </c>
      <c r="T160">
        <f t="shared" ref="T160" si="779">S160/1000</f>
        <v>-95.332943905231318</v>
      </c>
    </row>
    <row r="161" spans="1:20" x14ac:dyDescent="0.25">
      <c r="A161" s="5">
        <v>44432</v>
      </c>
      <c r="B161">
        <v>2.4886999999999999E-2</v>
      </c>
      <c r="C161">
        <v>2.5367000000000001E-2</v>
      </c>
      <c r="D161">
        <v>2.1499999999999998E-2</v>
      </c>
      <c r="E161">
        <v>2.2578000000000001E-2</v>
      </c>
      <c r="F161">
        <v>1631118070</v>
      </c>
      <c r="G161">
        <v>2.2578000000000001E-2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-0.44246185673648725</v>
      </c>
      <c r="Q161">
        <f t="shared" ref="Q161" si="781">F161*P161</f>
        <v>-721707529.80863559</v>
      </c>
      <c r="R161">
        <f t="shared" ref="R161" si="782">R162+Q161</f>
        <v>-10491455007.144386</v>
      </c>
      <c r="S161">
        <f t="shared" ref="S161" si="783">R161/100000</f>
        <v>-104914.55007144387</v>
      </c>
      <c r="T161">
        <f t="shared" ref="T161" si="784">S161/1000</f>
        <v>-104.91455007144387</v>
      </c>
    </row>
    <row r="162" spans="1:20" x14ac:dyDescent="0.25">
      <c r="A162" s="5">
        <v>44431</v>
      </c>
      <c r="B162">
        <v>2.6065000000000001E-2</v>
      </c>
      <c r="C162">
        <v>2.6505999999999998E-2</v>
      </c>
      <c r="D162">
        <v>2.4034E-2</v>
      </c>
      <c r="E162">
        <v>2.4878999999999998E-2</v>
      </c>
      <c r="F162">
        <v>1656471812</v>
      </c>
      <c r="G162">
        <v>2.4878999999999998E-2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-0.31634304207119818</v>
      </c>
      <c r="Q162">
        <f t="shared" ref="Q162" si="786">F162*P162</f>
        <v>-524013332.11326987</v>
      </c>
      <c r="R162">
        <f t="shared" ref="R162" si="787">R163+Q162</f>
        <v>-9769747477.3357506</v>
      </c>
      <c r="S162">
        <f t="shared" ref="S162" si="788">R162/100000</f>
        <v>-97697.474773357506</v>
      </c>
      <c r="T162">
        <f t="shared" ref="T162" si="789">S162/1000</f>
        <v>-97.697474773357513</v>
      </c>
    </row>
    <row r="163" spans="1:20" x14ac:dyDescent="0.25">
      <c r="A163" s="5">
        <v>44430</v>
      </c>
      <c r="B163">
        <v>2.2255E-2</v>
      </c>
      <c r="C163">
        <v>2.3018E-2</v>
      </c>
      <c r="D163">
        <v>2.2175E-2</v>
      </c>
      <c r="E163">
        <v>2.2862E-2</v>
      </c>
      <c r="F163">
        <v>180565625</v>
      </c>
      <c r="G163">
        <v>2.2862E-2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0.629893238434164</v>
      </c>
      <c r="Q163">
        <f t="shared" ref="Q163" si="791">F163*P163</f>
        <v>113737066.28113885</v>
      </c>
      <c r="R163">
        <f t="shared" ref="R163" si="792">R164+Q163</f>
        <v>-9245734145.2224808</v>
      </c>
      <c r="S163">
        <f t="shared" ref="S163" si="793">R163/100000</f>
        <v>-92457.341452224806</v>
      </c>
      <c r="T163">
        <f t="shared" ref="T163" si="794">S163/1000</f>
        <v>-92.45734145222481</v>
      </c>
    </row>
    <row r="164" spans="1:20" x14ac:dyDescent="0.25">
      <c r="A164" s="5">
        <v>44429</v>
      </c>
      <c r="B164">
        <v>2.2398999999999999E-2</v>
      </c>
      <c r="C164">
        <v>2.3699999999999999E-2</v>
      </c>
      <c r="D164">
        <v>2.1905000000000001E-2</v>
      </c>
      <c r="E164">
        <v>2.2234E-2</v>
      </c>
      <c r="F164">
        <v>1597684937</v>
      </c>
      <c r="G164">
        <v>2.2234E-2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-0.63342618384401139</v>
      </c>
      <c r="Q164">
        <f t="shared" ref="Q164" si="796">F164*P164</f>
        <v>-1012015472.6289698</v>
      </c>
      <c r="R164">
        <f t="shared" ref="R164" si="797">R165+Q164</f>
        <v>-9359471211.5036201</v>
      </c>
      <c r="S164">
        <f t="shared" ref="S164" si="798">R164/100000</f>
        <v>-93594.712115036207</v>
      </c>
      <c r="T164">
        <f t="shared" ref="T164" si="799">S164/1000</f>
        <v>-93.594712115036202</v>
      </c>
    </row>
    <row r="165" spans="1:20" x14ac:dyDescent="0.25">
      <c r="A165" s="5">
        <v>44428</v>
      </c>
      <c r="B165">
        <v>2.1107999999999998E-2</v>
      </c>
      <c r="C165">
        <v>2.2724000000000001E-2</v>
      </c>
      <c r="D165">
        <v>2.0659E-2</v>
      </c>
      <c r="E165">
        <v>2.2391999999999999E-2</v>
      </c>
      <c r="F165">
        <v>1427511011</v>
      </c>
      <c r="G165">
        <v>2.2391999999999999E-2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0.67845036319612373</v>
      </c>
      <c r="Q165">
        <f t="shared" ref="Q165" si="801">F165*P165</f>
        <v>968495363.87941575</v>
      </c>
      <c r="R165">
        <f t="shared" ref="R165" si="802">R166+Q165</f>
        <v>-8347455738.874651</v>
      </c>
      <c r="S165">
        <f t="shared" ref="S165" si="803">R165/100000</f>
        <v>-83474.557388746514</v>
      </c>
      <c r="T165">
        <f t="shared" ref="T165" si="804">S165/1000</f>
        <v>-83.474557388746518</v>
      </c>
    </row>
    <row r="166" spans="1:20" x14ac:dyDescent="0.25">
      <c r="A166" s="5">
        <v>44427</v>
      </c>
      <c r="B166">
        <v>1.9911000000000002E-2</v>
      </c>
      <c r="C166">
        <v>2.12E-2</v>
      </c>
      <c r="D166">
        <v>1.9452000000000001E-2</v>
      </c>
      <c r="E166">
        <v>2.1111999999999999E-2</v>
      </c>
      <c r="F166">
        <v>887032241</v>
      </c>
      <c r="G166">
        <v>2.1111999999999999E-2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0.89931350114416331</v>
      </c>
      <c r="Q166">
        <f t="shared" ref="Q166" si="806">F166*P166</f>
        <v>797720070.28146327</v>
      </c>
      <c r="R166">
        <f t="shared" ref="R166" si="807">R167+Q166</f>
        <v>-9315951102.7540665</v>
      </c>
      <c r="S166">
        <f t="shared" ref="S166" si="808">R166/100000</f>
        <v>-93159.511027540662</v>
      </c>
      <c r="T166">
        <f t="shared" ref="T166" si="809">S166/1000</f>
        <v>-93.15951102754066</v>
      </c>
    </row>
    <row r="167" spans="1:20" x14ac:dyDescent="0.25">
      <c r="A167" s="5">
        <v>44426</v>
      </c>
      <c r="B167">
        <v>1.9975E-2</v>
      </c>
      <c r="C167">
        <v>2.0754000000000002E-2</v>
      </c>
      <c r="D167">
        <v>1.8720000000000001E-2</v>
      </c>
      <c r="E167">
        <v>1.9869999999999999E-2</v>
      </c>
      <c r="F167">
        <v>857097244</v>
      </c>
      <c r="G167">
        <v>1.9869999999999999E-2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0.13077679449360632</v>
      </c>
      <c r="Q167">
        <f t="shared" ref="Q167" si="811">F167*P167</f>
        <v>112088430.13962436</v>
      </c>
      <c r="R167">
        <f t="shared" ref="R167" si="812">R168+Q167</f>
        <v>-10113671173.03553</v>
      </c>
      <c r="S167">
        <f t="shared" ref="S167" si="813">R167/100000</f>
        <v>-101136.7117303553</v>
      </c>
      <c r="T167">
        <f t="shared" ref="T167" si="814">S167/1000</f>
        <v>-101.1367117303553</v>
      </c>
    </row>
    <row r="168" spans="1:20" x14ac:dyDescent="0.25">
      <c r="A168" s="5">
        <v>44425</v>
      </c>
      <c r="B168">
        <v>2.1727E-2</v>
      </c>
      <c r="C168">
        <v>2.2328000000000001E-2</v>
      </c>
      <c r="D168">
        <v>1.9445E-2</v>
      </c>
      <c r="E168">
        <v>1.9963000000000002E-2</v>
      </c>
      <c r="F168">
        <v>1191399485</v>
      </c>
      <c r="G168">
        <v>1.9963000000000002E-2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-0.64065209850849736</v>
      </c>
      <c r="Q168">
        <f t="shared" ref="Q168" si="816">F168*P168</f>
        <v>-763272580.227193</v>
      </c>
      <c r="R168">
        <f t="shared" ref="R168" si="817">R169+Q168</f>
        <v>-10225759603.175154</v>
      </c>
      <c r="S168">
        <f t="shared" ref="S168" si="818">R168/100000</f>
        <v>-102257.59603175154</v>
      </c>
      <c r="T168">
        <f t="shared" ref="T168" si="819">S168/1000</f>
        <v>-102.25759603175155</v>
      </c>
    </row>
    <row r="169" spans="1:20" x14ac:dyDescent="0.25">
      <c r="A169" s="5">
        <v>44424</v>
      </c>
      <c r="B169">
        <v>2.2277000000000002E-2</v>
      </c>
      <c r="C169">
        <v>2.35E-2</v>
      </c>
      <c r="D169">
        <v>2.1520999999999998E-2</v>
      </c>
      <c r="E169">
        <v>2.1749999999999999E-2</v>
      </c>
      <c r="F169">
        <v>1436657394</v>
      </c>
      <c r="G169">
        <v>2.1749999999999999E-2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-0.76856998484082883</v>
      </c>
      <c r="Q169">
        <f t="shared" ref="Q169" si="821">F169*P169</f>
        <v>-1104171751.5280447</v>
      </c>
      <c r="R169">
        <f t="shared" ref="R169" si="822">R170+Q169</f>
        <v>-9462487022.9479599</v>
      </c>
      <c r="S169">
        <f t="shared" ref="S169" si="823">R169/100000</f>
        <v>-94624.870229479595</v>
      </c>
      <c r="T169">
        <f t="shared" ref="T169" si="824">S169/1000</f>
        <v>-94.624870229479598</v>
      </c>
    </row>
    <row r="170" spans="1:20" x14ac:dyDescent="0.25">
      <c r="A170" s="5">
        <v>44423</v>
      </c>
      <c r="B170">
        <v>2.2245999999999998E-2</v>
      </c>
      <c r="C170">
        <v>2.2443000000000001E-2</v>
      </c>
      <c r="D170">
        <v>2.1069999999999998E-2</v>
      </c>
      <c r="E170">
        <v>2.2277000000000002E-2</v>
      </c>
      <c r="F170">
        <v>831138878</v>
      </c>
      <c r="G170">
        <v>2.2277000000000002E-2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0.75819373634377396</v>
      </c>
      <c r="Q170">
        <f t="shared" ref="Q170" si="826">F170*P170</f>
        <v>630164291.33139217</v>
      </c>
      <c r="R170">
        <f t="shared" ref="R170" si="827">R171+Q170</f>
        <v>-8358315271.4199162</v>
      </c>
      <c r="S170">
        <f t="shared" ref="S170" si="828">R170/100000</f>
        <v>-83583.152714199168</v>
      </c>
      <c r="T170">
        <f t="shared" ref="T170" si="829">S170/1000</f>
        <v>-83.583152714199173</v>
      </c>
    </row>
    <row r="171" spans="1:20" x14ac:dyDescent="0.25">
      <c r="A171" s="5">
        <v>44422</v>
      </c>
      <c r="B171">
        <v>2.2564000000000001E-2</v>
      </c>
      <c r="C171">
        <v>2.3099999999999999E-2</v>
      </c>
      <c r="D171">
        <v>2.1399999999999999E-2</v>
      </c>
      <c r="E171">
        <v>2.2256000000000001E-2</v>
      </c>
      <c r="F171">
        <v>1041105195</v>
      </c>
      <c r="G171">
        <v>2.2256000000000001E-2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7.0588235294147417E-3</v>
      </c>
      <c r="Q171">
        <f t="shared" ref="Q171" si="831">F171*P171</f>
        <v>7348977.8470619228</v>
      </c>
      <c r="R171">
        <f t="shared" ref="R171" si="832">R172+Q171</f>
        <v>-8988479562.7513084</v>
      </c>
      <c r="S171">
        <f t="shared" ref="S171" si="833">R171/100000</f>
        <v>-89884.795627513085</v>
      </c>
      <c r="T171">
        <f t="shared" ref="T171" si="834">S171/1000</f>
        <v>-89.884795627513085</v>
      </c>
    </row>
    <row r="172" spans="1:20" x14ac:dyDescent="0.25">
      <c r="A172" s="5">
        <v>44421</v>
      </c>
      <c r="B172">
        <v>2.1107999999999998E-2</v>
      </c>
      <c r="C172">
        <v>2.2967999999999999E-2</v>
      </c>
      <c r="D172">
        <v>2.0250000000000001E-2</v>
      </c>
      <c r="E172">
        <v>2.2554999999999999E-2</v>
      </c>
      <c r="F172">
        <v>1012830206</v>
      </c>
      <c r="G172">
        <v>2.2554999999999999E-2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0.696100073583517</v>
      </c>
      <c r="Q172">
        <f t="shared" ref="Q172" si="836">F172*P172</f>
        <v>705031180.92420864</v>
      </c>
      <c r="R172">
        <f t="shared" ref="R172" si="837">R173+Q172</f>
        <v>-8995828540.5983696</v>
      </c>
      <c r="S172">
        <f t="shared" ref="S172" si="838">R172/100000</f>
        <v>-89958.285405983697</v>
      </c>
      <c r="T172">
        <f t="shared" ref="T172" si="839">S172/1000</f>
        <v>-89.958285405983702</v>
      </c>
    </row>
    <row r="173" spans="1:20" x14ac:dyDescent="0.25">
      <c r="A173" s="5">
        <v>44420</v>
      </c>
      <c r="B173">
        <v>2.2114999999999999E-2</v>
      </c>
      <c r="C173">
        <v>2.3129E-2</v>
      </c>
      <c r="D173">
        <v>2.0070000000000001E-2</v>
      </c>
      <c r="E173">
        <v>2.1099E-2</v>
      </c>
      <c r="F173">
        <v>1543662615</v>
      </c>
      <c r="G173">
        <v>2.1099E-2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-0.32723112128146525</v>
      </c>
      <c r="Q173">
        <f t="shared" ref="Q173" si="841">F173*P173</f>
        <v>-505134448.38672882</v>
      </c>
      <c r="R173">
        <f t="shared" ref="R173" si="842">R174+Q173</f>
        <v>-9700859721.5225792</v>
      </c>
      <c r="S173">
        <f t="shared" ref="S173" si="843">R173/100000</f>
        <v>-97008.597215225789</v>
      </c>
      <c r="T173">
        <f t="shared" ref="T173" si="844">S173/1000</f>
        <v>-97.008597215225791</v>
      </c>
    </row>
    <row r="174" spans="1:20" x14ac:dyDescent="0.25">
      <c r="A174" s="5">
        <v>44419</v>
      </c>
      <c r="B174">
        <v>2.0669E-2</v>
      </c>
      <c r="C174">
        <v>2.3872000000000001E-2</v>
      </c>
      <c r="D174">
        <v>2.0669E-2</v>
      </c>
      <c r="E174">
        <v>2.2117000000000001E-2</v>
      </c>
      <c r="F174">
        <v>2010967681</v>
      </c>
      <c r="G174">
        <v>2.2117000000000001E-2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-9.5847642834841762E-2</v>
      </c>
      <c r="Q174">
        <f t="shared" ref="Q174" si="846">F174*P174</f>
        <v>-192746512.040898</v>
      </c>
      <c r="R174">
        <f t="shared" ref="R174" si="847">R175+Q174</f>
        <v>-9195725273.1358509</v>
      </c>
      <c r="S174">
        <f t="shared" ref="S174" si="848">R174/100000</f>
        <v>-91957.252731358516</v>
      </c>
      <c r="T174">
        <f t="shared" ref="T174" si="849">S174/1000</f>
        <v>-91.957252731358523</v>
      </c>
    </row>
    <row r="175" spans="1:20" x14ac:dyDescent="0.25">
      <c r="A175" s="5">
        <v>44418</v>
      </c>
      <c r="B175">
        <v>2.0527E-2</v>
      </c>
      <c r="C175">
        <v>2.1818000000000001E-2</v>
      </c>
      <c r="D175">
        <v>1.9719E-2</v>
      </c>
      <c r="E175">
        <v>2.0681000000000001E-2</v>
      </c>
      <c r="F175">
        <v>1626167016</v>
      </c>
      <c r="G175">
        <v>2.0681000000000001E-2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-8.3373034778465013E-2</v>
      </c>
      <c r="Q175">
        <f t="shared" ref="Q175" si="851">F175*P175</f>
        <v>-135578479.18056068</v>
      </c>
      <c r="R175">
        <f t="shared" ref="R175" si="852">R176+Q175</f>
        <v>-9002978761.0949535</v>
      </c>
      <c r="S175">
        <f t="shared" ref="S175" si="853">R175/100000</f>
        <v>-90029.787610949541</v>
      </c>
      <c r="T175">
        <f t="shared" ref="T175" si="854">S175/1000</f>
        <v>-90.029787610949541</v>
      </c>
    </row>
    <row r="176" spans="1:20" x14ac:dyDescent="0.25">
      <c r="A176" s="5">
        <v>44417</v>
      </c>
      <c r="B176">
        <v>1.8041999999999999E-2</v>
      </c>
      <c r="C176">
        <v>2.1600999999999999E-2</v>
      </c>
      <c r="D176">
        <v>1.7985999999999999E-2</v>
      </c>
      <c r="E176">
        <v>2.0531000000000001E-2</v>
      </c>
      <c r="F176">
        <v>3465377265</v>
      </c>
      <c r="G176">
        <v>2.0531000000000001E-2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0.40802213001383236</v>
      </c>
      <c r="Q176">
        <f t="shared" ref="Q176" si="856">F176*P176</f>
        <v>1413950612.9668088</v>
      </c>
      <c r="R176">
        <f t="shared" ref="R176" si="857">R177+Q176</f>
        <v>-8867400281.9143925</v>
      </c>
      <c r="S176">
        <f t="shared" ref="S176" si="858">R176/100000</f>
        <v>-88674.00281914392</v>
      </c>
      <c r="T176">
        <f t="shared" ref="T176" si="859">S176/1000</f>
        <v>-88.674002819143922</v>
      </c>
    </row>
    <row r="177" spans="1:20" x14ac:dyDescent="0.25">
      <c r="A177" s="5">
        <v>44416</v>
      </c>
      <c r="B177">
        <v>1.7766000000000001E-2</v>
      </c>
      <c r="C177">
        <v>1.9653E-2</v>
      </c>
      <c r="D177">
        <v>1.7239999999999998E-2</v>
      </c>
      <c r="E177">
        <v>1.8055000000000002E-2</v>
      </c>
      <c r="F177">
        <v>2064718394</v>
      </c>
      <c r="G177">
        <v>1.8055000000000002E-2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-0.32449233319519061</v>
      </c>
      <c r="Q177">
        <f t="shared" ref="Q177" si="861">F177*P177</f>
        <v>-669985289.06008685</v>
      </c>
      <c r="R177">
        <f t="shared" ref="R177" si="862">R178+Q177</f>
        <v>-10281350894.881201</v>
      </c>
      <c r="S177">
        <f t="shared" ref="S177" si="863">R177/100000</f>
        <v>-102813.50894881201</v>
      </c>
      <c r="T177">
        <f t="shared" ref="T177" si="864">S177/1000</f>
        <v>-102.81350894881201</v>
      </c>
    </row>
    <row r="178" spans="1:20" x14ac:dyDescent="0.25">
      <c r="A178" s="5">
        <v>44415</v>
      </c>
      <c r="B178">
        <v>1.7328E-2</v>
      </c>
      <c r="C178">
        <v>1.8180000000000002E-2</v>
      </c>
      <c r="D178">
        <v>1.7000000000000001E-2</v>
      </c>
      <c r="E178">
        <v>1.7763000000000001E-2</v>
      </c>
      <c r="F178">
        <v>1413716573</v>
      </c>
      <c r="G178">
        <v>1.7763000000000001E-2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0.29322033898304994</v>
      </c>
      <c r="Q178">
        <f t="shared" ref="Q178" si="866">F178*P178</f>
        <v>414530452.76101565</v>
      </c>
      <c r="R178">
        <f t="shared" ref="R178" si="867">R179+Q178</f>
        <v>-9611365605.8211136</v>
      </c>
      <c r="S178">
        <f t="shared" ref="S178" si="868">R178/100000</f>
        <v>-96113.656058211141</v>
      </c>
      <c r="T178">
        <f t="shared" ref="T178" si="869">S178/1000</f>
        <v>-96.113656058211149</v>
      </c>
    </row>
    <row r="179" spans="1:20" x14ac:dyDescent="0.25">
      <c r="A179" s="5">
        <v>44414</v>
      </c>
      <c r="B179">
        <v>1.6306999999999999E-2</v>
      </c>
      <c r="C179">
        <v>1.7977E-2</v>
      </c>
      <c r="D179">
        <v>1.5935000000000001E-2</v>
      </c>
      <c r="E179">
        <v>1.7339E-2</v>
      </c>
      <c r="F179">
        <v>1439855489</v>
      </c>
      <c r="G179">
        <v>1.7339E-2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0.37512242899118503</v>
      </c>
      <c r="Q179">
        <f t="shared" ref="Q179" si="871">F179*P179</f>
        <v>540122088.4299705</v>
      </c>
      <c r="R179">
        <f t="shared" ref="R179" si="872">R180+Q179</f>
        <v>-10025896058.582129</v>
      </c>
      <c r="S179">
        <f t="shared" ref="S179" si="873">R179/100000</f>
        <v>-100258.96058582129</v>
      </c>
      <c r="T179">
        <f t="shared" ref="T179" si="874">S179/1000</f>
        <v>-100.25896058582128</v>
      </c>
    </row>
    <row r="180" spans="1:20" x14ac:dyDescent="0.25">
      <c r="A180" s="5">
        <v>44413</v>
      </c>
      <c r="B180">
        <v>1.5514E-2</v>
      </c>
      <c r="C180">
        <v>1.6452000000000001E-2</v>
      </c>
      <c r="D180">
        <v>1.5065E-2</v>
      </c>
      <c r="E180">
        <v>1.6313000000000001E-2</v>
      </c>
      <c r="F180">
        <v>925201971</v>
      </c>
      <c r="G180">
        <v>1.6313000000000001E-2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0.79956741167988443</v>
      </c>
      <c r="Q180">
        <f t="shared" ref="Q180" si="876">F180*P180</f>
        <v>739761345.23359752</v>
      </c>
      <c r="R180">
        <f t="shared" ref="R180" si="877">R181+Q180</f>
        <v>-10566018147.012098</v>
      </c>
      <c r="S180">
        <f t="shared" ref="S180" si="878">R180/100000</f>
        <v>-105660.18147012098</v>
      </c>
      <c r="T180">
        <f t="shared" ref="T180" si="879">S180/1000</f>
        <v>-105.66018147012097</v>
      </c>
    </row>
    <row r="181" spans="1:20" x14ac:dyDescent="0.25">
      <c r="A181" s="5">
        <v>44412</v>
      </c>
      <c r="B181">
        <v>1.511E-2</v>
      </c>
      <c r="C181">
        <v>1.5649E-2</v>
      </c>
      <c r="D181">
        <v>1.4865E-2</v>
      </c>
      <c r="E181">
        <v>1.5505E-2</v>
      </c>
      <c r="F181">
        <v>446700483</v>
      </c>
      <c r="G181">
        <v>1.5505E-2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0.63265306122448972</v>
      </c>
      <c r="Q181">
        <f t="shared" ref="Q181" si="881">F181*P181</f>
        <v>282606428.02040815</v>
      </c>
      <c r="R181">
        <f t="shared" ref="R181" si="882">R182+Q181</f>
        <v>-11305779492.245695</v>
      </c>
      <c r="S181">
        <f t="shared" ref="S181" si="883">R181/100000</f>
        <v>-113057.79492245695</v>
      </c>
      <c r="T181">
        <f t="shared" ref="T181" si="884">S181/1000</f>
        <v>-113.05779492245695</v>
      </c>
    </row>
    <row r="182" spans="1:20" x14ac:dyDescent="0.25">
      <c r="A182" s="5">
        <v>44411</v>
      </c>
      <c r="B182">
        <v>1.5263000000000001E-2</v>
      </c>
      <c r="C182">
        <v>1.5440000000000001E-2</v>
      </c>
      <c r="D182">
        <v>1.4589E-2</v>
      </c>
      <c r="E182">
        <v>1.5119E-2</v>
      </c>
      <c r="F182">
        <v>467230388</v>
      </c>
      <c r="G182">
        <v>1.5119E-2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0.24559341950646368</v>
      </c>
      <c r="Q182">
        <f t="shared" ref="Q182" si="886">F182*P182</f>
        <v>114748708.68625179</v>
      </c>
      <c r="R182">
        <f t="shared" ref="R182" si="887">R183+Q182</f>
        <v>-11588385920.266104</v>
      </c>
      <c r="S182">
        <f t="shared" ref="S182" si="888">R182/100000</f>
        <v>-115883.85920266104</v>
      </c>
      <c r="T182">
        <f t="shared" ref="T182" si="889">S182/1000</f>
        <v>-115.88385920266104</v>
      </c>
    </row>
    <row r="183" spans="1:20" x14ac:dyDescent="0.25">
      <c r="A183" s="5">
        <v>44410</v>
      </c>
      <c r="B183">
        <v>1.5065E-2</v>
      </c>
      <c r="C183">
        <v>1.5820000000000001E-2</v>
      </c>
      <c r="D183">
        <v>1.482E-2</v>
      </c>
      <c r="E183">
        <v>1.5266999999999999E-2</v>
      </c>
      <c r="F183">
        <v>616087462</v>
      </c>
      <c r="G183">
        <v>1.5266999999999999E-2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-0.10600000000000183</v>
      </c>
      <c r="Q183">
        <f t="shared" ref="Q183" si="891">F183*P183</f>
        <v>-65305270.972001128</v>
      </c>
      <c r="R183">
        <f t="shared" ref="R183" si="892">R184+Q183</f>
        <v>-11703134628.952356</v>
      </c>
      <c r="S183">
        <f t="shared" ref="S183" si="893">R183/100000</f>
        <v>-117031.34628952356</v>
      </c>
      <c r="T183">
        <f t="shared" ref="T183" si="894">S183/1000</f>
        <v>-117.03134628952355</v>
      </c>
    </row>
    <row r="184" spans="1:20" x14ac:dyDescent="0.25">
      <c r="A184" s="5">
        <v>44409</v>
      </c>
      <c r="B184">
        <v>1.5121000000000001E-2</v>
      </c>
      <c r="C184">
        <v>1.6500000000000001E-2</v>
      </c>
      <c r="D184">
        <v>1.4808999999999999E-2</v>
      </c>
      <c r="E184">
        <v>1.5065E-2</v>
      </c>
      <c r="F184">
        <v>1275021792</v>
      </c>
      <c r="G184">
        <v>1.5065E-2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-0.69722057953873351</v>
      </c>
      <c r="Q184">
        <f t="shared" ref="Q184" si="896">F184*P184</f>
        <v>-888971432.74275458</v>
      </c>
      <c r="R184">
        <f t="shared" ref="R184" si="897">R185+Q184</f>
        <v>-11637829357.980354</v>
      </c>
      <c r="S184">
        <f t="shared" ref="S184" si="898">R184/100000</f>
        <v>-116378.29357980355</v>
      </c>
      <c r="T184">
        <f t="shared" ref="T184" si="899">S184/1000</f>
        <v>-116.37829357980355</v>
      </c>
    </row>
    <row r="185" spans="1:20" x14ac:dyDescent="0.25">
      <c r="A185" s="5">
        <v>44408</v>
      </c>
      <c r="B185">
        <v>1.5213000000000001E-2</v>
      </c>
      <c r="C185">
        <v>1.5413E-2</v>
      </c>
      <c r="D185">
        <v>1.4812000000000001E-2</v>
      </c>
      <c r="E185">
        <v>1.5121000000000001E-2</v>
      </c>
      <c r="F185">
        <v>488105347</v>
      </c>
      <c r="G185">
        <v>1.5121000000000001E-2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2.8286189683862588E-2</v>
      </c>
      <c r="Q185">
        <f t="shared" ref="Q185" si="901">F185*P185</f>
        <v>13806640.430949569</v>
      </c>
      <c r="R185">
        <f t="shared" ref="R185" si="902">R186+Q185</f>
        <v>-10748857925.2376</v>
      </c>
      <c r="S185">
        <f t="shared" ref="S185" si="903">R185/100000</f>
        <v>-107488.579252376</v>
      </c>
      <c r="T185">
        <f t="shared" ref="T185" si="904">S185/1000</f>
        <v>-107.488579252376</v>
      </c>
    </row>
    <row r="186" spans="1:20" x14ac:dyDescent="0.25">
      <c r="A186" s="5">
        <v>44407</v>
      </c>
      <c r="B186">
        <v>1.5025999999999999E-2</v>
      </c>
      <c r="C186">
        <v>1.5304E-2</v>
      </c>
      <c r="D186">
        <v>1.4442E-2</v>
      </c>
      <c r="E186">
        <v>1.5207999999999999E-2</v>
      </c>
      <c r="F186">
        <v>479429400</v>
      </c>
      <c r="G186">
        <v>1.5207999999999999E-2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0.77726218097447652</v>
      </c>
      <c r="Q186">
        <f t="shared" ref="Q186" si="906">F186*P186</f>
        <v>372642341.0672847</v>
      </c>
      <c r="R186">
        <f t="shared" ref="R186" si="907">R187+Q186</f>
        <v>-10762664565.66855</v>
      </c>
      <c r="S186">
        <f t="shared" ref="S186" si="908">R186/100000</f>
        <v>-107626.6456566855</v>
      </c>
      <c r="T186">
        <f t="shared" ref="T186" si="909">S186/1000</f>
        <v>-107.62664565668551</v>
      </c>
    </row>
    <row r="187" spans="1:20" x14ac:dyDescent="0.25">
      <c r="A187" s="5">
        <v>44406</v>
      </c>
      <c r="B187">
        <v>1.5054E-2</v>
      </c>
      <c r="C187">
        <v>1.5298000000000001E-2</v>
      </c>
      <c r="D187">
        <v>1.4633E-2</v>
      </c>
      <c r="E187">
        <v>1.5018999999999999E-2</v>
      </c>
      <c r="F187">
        <v>544461318</v>
      </c>
      <c r="G187">
        <v>1.5018999999999999E-2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0.16090225563909416</v>
      </c>
      <c r="Q187">
        <f t="shared" ref="Q187" si="911">F187*P187</f>
        <v>87605054.17443414</v>
      </c>
      <c r="R187">
        <f t="shared" ref="R187" si="912">R188+Q187</f>
        <v>-11135306906.735836</v>
      </c>
      <c r="S187">
        <f t="shared" ref="S187" si="913">R187/100000</f>
        <v>-111353.06906735836</v>
      </c>
      <c r="T187">
        <f t="shared" ref="T187" si="914">S187/1000</f>
        <v>-111.35306906735836</v>
      </c>
    </row>
    <row r="188" spans="1:20" x14ac:dyDescent="0.25">
      <c r="A188" s="5">
        <v>44405</v>
      </c>
      <c r="B188">
        <v>1.4711E-2</v>
      </c>
      <c r="C188">
        <v>1.5315E-2</v>
      </c>
      <c r="D188">
        <v>1.4359E-2</v>
      </c>
      <c r="E188">
        <v>1.5056E-2</v>
      </c>
      <c r="F188">
        <v>689585899</v>
      </c>
      <c r="G188">
        <v>1.5056E-2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0.45815899581589858</v>
      </c>
      <c r="Q188">
        <f t="shared" ref="Q188" si="916">F188*P188</f>
        <v>315939983.01464367</v>
      </c>
      <c r="R188">
        <f t="shared" ref="R188" si="917">R189+Q188</f>
        <v>-11222911960.910271</v>
      </c>
      <c r="S188">
        <f t="shared" ref="S188" si="918">R188/100000</f>
        <v>-112229.11960910271</v>
      </c>
      <c r="T188">
        <f t="shared" ref="T188" si="919">S188/1000</f>
        <v>-112.22911960910271</v>
      </c>
    </row>
    <row r="189" spans="1:20" x14ac:dyDescent="0.25">
      <c r="A189" s="5">
        <v>44404</v>
      </c>
      <c r="B189">
        <v>1.4253999999999999E-2</v>
      </c>
      <c r="C189">
        <v>1.4999999999999999E-2</v>
      </c>
      <c r="D189">
        <v>1.3661E-2</v>
      </c>
      <c r="E189">
        <v>1.4721E-2</v>
      </c>
      <c r="F189">
        <v>667089208</v>
      </c>
      <c r="G189">
        <v>1.4721E-2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0.58327109783420505</v>
      </c>
      <c r="Q189">
        <f t="shared" ref="Q189" si="921">F189*P189</f>
        <v>389093854.70351034</v>
      </c>
      <c r="R189">
        <f t="shared" ref="R189" si="922">R190+Q189</f>
        <v>-11538851943.924913</v>
      </c>
      <c r="S189">
        <f t="shared" ref="S189" si="923">R189/100000</f>
        <v>-115388.51943924914</v>
      </c>
      <c r="T189">
        <f t="shared" ref="T189" si="924">S189/1000</f>
        <v>-115.38851943924914</v>
      </c>
    </row>
    <row r="190" spans="1:20" x14ac:dyDescent="0.25">
      <c r="A190" s="5">
        <v>44403</v>
      </c>
      <c r="B190">
        <v>1.4054000000000001E-2</v>
      </c>
      <c r="C190">
        <v>1.5653E-2</v>
      </c>
      <c r="D190">
        <v>1.4022E-2</v>
      </c>
      <c r="E190">
        <v>1.4257000000000001E-2</v>
      </c>
      <c r="F190">
        <v>1320331584</v>
      </c>
      <c r="G190">
        <v>1.4257000000000001E-2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-0.71183323114653496</v>
      </c>
      <c r="Q190">
        <f t="shared" ref="Q190" si="926">F190*P190</f>
        <v>-939855897.62354267</v>
      </c>
      <c r="R190">
        <f t="shared" ref="R190" si="927">R191+Q190</f>
        <v>-11927945798.628424</v>
      </c>
      <c r="S190">
        <f t="shared" ref="S190" si="928">R190/100000</f>
        <v>-119279.45798628424</v>
      </c>
      <c r="T190">
        <f t="shared" ref="T190" si="929">S190/1000</f>
        <v>-119.27945798628424</v>
      </c>
    </row>
    <row r="191" spans="1:20" x14ac:dyDescent="0.25">
      <c r="A191" s="5">
        <v>44402</v>
      </c>
      <c r="B191">
        <v>1.3974E-2</v>
      </c>
      <c r="C191">
        <v>1.4154E-2</v>
      </c>
      <c r="D191">
        <v>1.3285999999999999E-2</v>
      </c>
      <c r="E191">
        <v>1.4055E-2</v>
      </c>
      <c r="F191">
        <v>453066576</v>
      </c>
      <c r="G191">
        <v>1.4055E-2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0.77188940092165892</v>
      </c>
      <c r="Q191">
        <f t="shared" ref="Q191" si="931">F191*P191</f>
        <v>349717287.92626727</v>
      </c>
      <c r="R191">
        <f t="shared" ref="R191" si="932">R192+Q191</f>
        <v>-10988089901.004881</v>
      </c>
      <c r="S191">
        <f t="shared" ref="S191" si="933">R191/100000</f>
        <v>-109880.89901004882</v>
      </c>
      <c r="T191">
        <f t="shared" ref="T191:T197" si="934">S191/1000</f>
        <v>-109.88089901004882</v>
      </c>
    </row>
    <row r="192" spans="1:20" x14ac:dyDescent="0.25">
      <c r="A192" s="5">
        <v>44401</v>
      </c>
      <c r="B192">
        <v>1.4033E-2</v>
      </c>
      <c r="C192">
        <v>1.4347E-2</v>
      </c>
      <c r="D192">
        <v>1.3554999999999999E-2</v>
      </c>
      <c r="E192">
        <v>1.3957000000000001E-2</v>
      </c>
      <c r="F192">
        <v>620467313</v>
      </c>
      <c r="G192">
        <v>1.3957000000000001E-2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1.5151515151517143E-2</v>
      </c>
      <c r="Q192">
        <f t="shared" ref="Q192" si="936">F192*P192</f>
        <v>9401019.8939406294</v>
      </c>
      <c r="R192">
        <f t="shared" ref="R192" si="937">R193+Q192</f>
        <v>-11337807188.931149</v>
      </c>
      <c r="S192">
        <f t="shared" ref="S192" si="938">R192/100000</f>
        <v>-113378.07188931148</v>
      </c>
      <c r="T192">
        <f t="shared" si="934"/>
        <v>-113.37807188931149</v>
      </c>
    </row>
    <row r="193" spans="1:20" x14ac:dyDescent="0.25">
      <c r="A193" s="5">
        <v>44400</v>
      </c>
      <c r="B193">
        <v>1.3235E-2</v>
      </c>
      <c r="C193">
        <v>1.4118E-2</v>
      </c>
      <c r="D193">
        <v>1.2919999999999999E-2</v>
      </c>
      <c r="E193">
        <v>1.4027E-2</v>
      </c>
      <c r="F193">
        <v>793919237</v>
      </c>
      <c r="G193">
        <v>1.4027E-2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0.84808013355592538</v>
      </c>
      <c r="Q193">
        <f t="shared" ref="Q193" si="940">F193*P193</f>
        <v>673307132.54757833</v>
      </c>
      <c r="R193">
        <f t="shared" ref="R193" si="941">R194+Q193</f>
        <v>-11347208208.825089</v>
      </c>
      <c r="S193">
        <f t="shared" ref="S193" si="942">R193/100000</f>
        <v>-113472.08208825089</v>
      </c>
      <c r="T193">
        <f t="shared" si="934"/>
        <v>-113.47208208825089</v>
      </c>
    </row>
    <row r="194" spans="1:20" x14ac:dyDescent="0.25">
      <c r="A194" s="5">
        <v>44399</v>
      </c>
      <c r="B194">
        <v>1.243E-2</v>
      </c>
      <c r="C194">
        <v>1.3873E-2</v>
      </c>
      <c r="D194">
        <v>1.2149999999999999E-2</v>
      </c>
      <c r="E194">
        <v>1.3231E-2</v>
      </c>
      <c r="F194">
        <v>849000396</v>
      </c>
      <c r="G194">
        <v>1.3231E-2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0.25478816018572259</v>
      </c>
      <c r="Q194">
        <f t="shared" ref="Q194" si="944">F194*P194</f>
        <v>216315248.89378992</v>
      </c>
      <c r="R194">
        <f t="shared" ref="R194" si="945">R195+Q194</f>
        <v>-12020515341.372667</v>
      </c>
      <c r="S194">
        <f t="shared" ref="S194" si="946">R194/100000</f>
        <v>-120205.15341372667</v>
      </c>
      <c r="T194">
        <f t="shared" si="934"/>
        <v>-120.20515341372668</v>
      </c>
    </row>
    <row r="195" spans="1:20" x14ac:dyDescent="0.25">
      <c r="A195" s="5">
        <v>44398</v>
      </c>
      <c r="B195">
        <v>1.149E-2</v>
      </c>
      <c r="C195">
        <v>1.2744999999999999E-2</v>
      </c>
      <c r="D195">
        <v>1.1181E-2</v>
      </c>
      <c r="E195">
        <v>1.2418999999999999E-2</v>
      </c>
      <c r="F195">
        <v>656352920</v>
      </c>
      <c r="G195">
        <v>1.2418999999999999E-2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0.58312020460358049</v>
      </c>
      <c r="Q195">
        <f t="shared" ref="Q195" si="948">F195*P195</f>
        <v>382732649.00255752</v>
      </c>
      <c r="R195">
        <f t="shared" ref="R195" si="949">R196+Q195</f>
        <v>-12236830590.266457</v>
      </c>
      <c r="S195">
        <f t="shared" ref="S195" si="950">R195/100000</f>
        <v>-122368.30590266456</v>
      </c>
      <c r="T195">
        <f t="shared" si="934"/>
        <v>-122.36830590266456</v>
      </c>
    </row>
    <row r="196" spans="1:20" x14ac:dyDescent="0.25">
      <c r="A196" s="5">
        <v>44397</v>
      </c>
      <c r="B196">
        <v>1.2540000000000001E-2</v>
      </c>
      <c r="C196">
        <v>1.2762000000000001E-2</v>
      </c>
      <c r="D196">
        <v>1.1081000000000001E-2</v>
      </c>
      <c r="E196">
        <v>1.1473000000000001E-2</v>
      </c>
      <c r="F196">
        <v>619356999</v>
      </c>
      <c r="G196">
        <v>1.1473000000000001E-2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-0.53361094586555624</v>
      </c>
      <c r="Q196">
        <f t="shared" ref="Q196" si="952">F196*P196</f>
        <v>-330495674.06484234</v>
      </c>
      <c r="R196">
        <f t="shared" ref="R196" si="953">R197+Q196</f>
        <v>-12619563239.269014</v>
      </c>
      <c r="S196">
        <f t="shared" ref="S196" si="954">R196/100000</f>
        <v>-126195.63239269014</v>
      </c>
      <c r="T196">
        <f t="shared" si="934"/>
        <v>-126.19563239269014</v>
      </c>
    </row>
    <row r="197" spans="1:20" x14ac:dyDescent="0.25">
      <c r="A197" s="5">
        <v>44396</v>
      </c>
      <c r="B197">
        <v>1.3358999999999999E-2</v>
      </c>
      <c r="C197">
        <v>1.3409000000000001E-2</v>
      </c>
      <c r="D197">
        <v>1.2500000000000001E-2</v>
      </c>
      <c r="E197">
        <v>1.2548999999999999E-2</v>
      </c>
      <c r="F197">
        <v>352108490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-0.89218921892189507</v>
      </c>
      <c r="Q197">
        <f t="shared" ref="Q197" si="956">F197*P197</f>
        <v>-314147398.66886789</v>
      </c>
      <c r="R197">
        <f t="shared" ref="R197" si="957">R198+Q197</f>
        <v>-12289067565.204172</v>
      </c>
      <c r="S197">
        <f t="shared" ref="S197" si="958">R197/100000</f>
        <v>-122890.67565204173</v>
      </c>
      <c r="T197">
        <f t="shared" si="934"/>
        <v>-122.89067565204172</v>
      </c>
    </row>
    <row r="198" spans="1:20" x14ac:dyDescent="0.25">
      <c r="A198" s="5">
        <v>44395</v>
      </c>
      <c r="B198">
        <v>1.3155E-2</v>
      </c>
      <c r="C198">
        <v>1.3755E-2</v>
      </c>
      <c r="D198">
        <v>1.3009E-2</v>
      </c>
      <c r="E198">
        <v>1.336E-2</v>
      </c>
      <c r="F198">
        <v>283578692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-5.8981233243966348E-2</v>
      </c>
      <c r="Q198">
        <f t="shared" ref="Q198:Q261" si="960">F198*P198</f>
        <v>-16725820.975870894</v>
      </c>
      <c r="R198">
        <f t="shared" ref="R198:R261" si="961">R199+Q198</f>
        <v>-11974920166.535305</v>
      </c>
      <c r="S198">
        <f t="shared" ref="S198:S261" si="962">R198/100000</f>
        <v>-119749.20166535304</v>
      </c>
      <c r="T198">
        <f t="shared" ref="T198:T261" si="963">S198/1000</f>
        <v>-119.74920166535304</v>
      </c>
    </row>
    <row r="199" spans="1:20" x14ac:dyDescent="0.25">
      <c r="A199" s="5">
        <v>44394</v>
      </c>
      <c r="B199">
        <v>1.3275E-2</v>
      </c>
      <c r="C199">
        <v>1.3538E-2</v>
      </c>
      <c r="D199">
        <v>1.2793000000000001E-2</v>
      </c>
      <c r="E199">
        <v>1.3145E-2</v>
      </c>
      <c r="F199">
        <v>317928861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-5.5033557046979084E-2</v>
      </c>
      <c r="Q199">
        <f t="shared" si="960"/>
        <v>-17496756.108724583</v>
      </c>
      <c r="R199">
        <f t="shared" si="961"/>
        <v>-11958194345.559435</v>
      </c>
      <c r="S199">
        <f t="shared" si="962"/>
        <v>-119581.94345559434</v>
      </c>
      <c r="T199">
        <f t="shared" si="963"/>
        <v>-119.58194345559434</v>
      </c>
    </row>
    <row r="200" spans="1:20" x14ac:dyDescent="0.25">
      <c r="A200" s="5">
        <v>44393</v>
      </c>
      <c r="B200">
        <v>1.3925E-2</v>
      </c>
      <c r="C200">
        <v>1.4127000000000001E-2</v>
      </c>
      <c r="D200">
        <v>1.3100000000000001E-2</v>
      </c>
      <c r="E200">
        <v>1.3270000000000001E-2</v>
      </c>
      <c r="F200">
        <v>318604261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-0.66893865628042848</v>
      </c>
      <c r="Q200">
        <f t="shared" si="960"/>
        <v>-213126706.23855892</v>
      </c>
      <c r="R200">
        <f t="shared" si="961"/>
        <v>-11940697589.45071</v>
      </c>
      <c r="S200">
        <f t="shared" si="962"/>
        <v>-119406.97589450711</v>
      </c>
      <c r="T200">
        <f t="shared" si="963"/>
        <v>-119.40697589450711</v>
      </c>
    </row>
    <row r="201" spans="1:20" x14ac:dyDescent="0.25">
      <c r="A201" s="5">
        <v>44392</v>
      </c>
      <c r="B201">
        <v>1.4223E-2</v>
      </c>
      <c r="C201">
        <v>1.4593999999999999E-2</v>
      </c>
      <c r="D201">
        <v>1.3637E-2</v>
      </c>
      <c r="E201">
        <v>1.3922E-2</v>
      </c>
      <c r="F201">
        <v>457562327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-0.40438871473354093</v>
      </c>
      <c r="Q201">
        <f t="shared" si="960"/>
        <v>-185033041.32601818</v>
      </c>
      <c r="R201">
        <f t="shared" si="961"/>
        <v>-11727570883.212151</v>
      </c>
      <c r="S201">
        <f t="shared" si="962"/>
        <v>-117275.70883212151</v>
      </c>
      <c r="T201">
        <f t="shared" si="963"/>
        <v>-117.27570883212151</v>
      </c>
    </row>
    <row r="202" spans="1:20" x14ac:dyDescent="0.25">
      <c r="A202" s="5">
        <v>44391</v>
      </c>
      <c r="B202">
        <v>1.4330000000000001E-2</v>
      </c>
      <c r="C202">
        <v>1.4532E-2</v>
      </c>
      <c r="D202">
        <v>1.3299999999999999E-2</v>
      </c>
      <c r="E202">
        <v>1.4238000000000001E-2</v>
      </c>
      <c r="F202">
        <v>490529857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0.52272727272727437</v>
      </c>
      <c r="Q202">
        <f t="shared" si="960"/>
        <v>256413334.3409099</v>
      </c>
      <c r="R202">
        <f t="shared" si="961"/>
        <v>-11542537841.886133</v>
      </c>
      <c r="S202">
        <f t="shared" si="962"/>
        <v>-115425.37841886134</v>
      </c>
      <c r="T202">
        <f t="shared" si="963"/>
        <v>-115.42537841886134</v>
      </c>
    </row>
    <row r="203" spans="1:20" x14ac:dyDescent="0.25">
      <c r="A203" s="5">
        <v>44390</v>
      </c>
      <c r="B203">
        <v>1.4607E-2</v>
      </c>
      <c r="C203">
        <v>1.4808999999999999E-2</v>
      </c>
      <c r="D203">
        <v>1.4076999999999999E-2</v>
      </c>
      <c r="E203">
        <v>1.4330000000000001E-2</v>
      </c>
      <c r="F203">
        <v>384952952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-0.30874316939890306</v>
      </c>
      <c r="Q203">
        <f t="shared" si="960"/>
        <v>-118851594.46994379</v>
      </c>
      <c r="R203">
        <f t="shared" si="961"/>
        <v>-11798951176.227043</v>
      </c>
      <c r="S203">
        <f t="shared" si="962"/>
        <v>-117989.51176227043</v>
      </c>
      <c r="T203">
        <f t="shared" si="963"/>
        <v>-117.98951176227042</v>
      </c>
    </row>
    <row r="204" spans="1:20" x14ac:dyDescent="0.25">
      <c r="A204" s="5">
        <v>44389</v>
      </c>
      <c r="B204">
        <v>1.5067000000000001E-2</v>
      </c>
      <c r="C204">
        <v>1.5389E-2</v>
      </c>
      <c r="D204">
        <v>1.4201E-2</v>
      </c>
      <c r="E204">
        <v>1.4616000000000001E-2</v>
      </c>
      <c r="F204">
        <v>358099662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-0.30134680134680053</v>
      </c>
      <c r="Q204">
        <f t="shared" si="960"/>
        <v>-107912187.70707041</v>
      </c>
      <c r="R204">
        <f t="shared" si="961"/>
        <v>-11680099581.757099</v>
      </c>
      <c r="S204">
        <f t="shared" si="962"/>
        <v>-116800.99581757099</v>
      </c>
      <c r="T204">
        <f t="shared" si="963"/>
        <v>-116.80099581757099</v>
      </c>
    </row>
    <row r="205" spans="1:20" x14ac:dyDescent="0.25">
      <c r="A205" s="5">
        <v>44388</v>
      </c>
      <c r="B205">
        <v>1.4836E-2</v>
      </c>
      <c r="C205">
        <v>1.5306E-2</v>
      </c>
      <c r="D205">
        <v>1.4548999999999999E-2</v>
      </c>
      <c r="E205">
        <v>1.5056999999999999E-2</v>
      </c>
      <c r="F205">
        <v>210682546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0.34214002642007735</v>
      </c>
      <c r="Q205">
        <f t="shared" si="960"/>
        <v>72082931.854689166</v>
      </c>
      <c r="R205">
        <f t="shared" si="961"/>
        <v>-11572187394.050028</v>
      </c>
      <c r="S205">
        <f t="shared" si="962"/>
        <v>-115721.87394050029</v>
      </c>
      <c r="T205">
        <f t="shared" si="963"/>
        <v>-115.72187394050029</v>
      </c>
    </row>
    <row r="206" spans="1:20" x14ac:dyDescent="0.25">
      <c r="A206" s="5">
        <v>44387</v>
      </c>
      <c r="B206">
        <v>1.5058999999999999E-2</v>
      </c>
      <c r="C206">
        <v>1.5424E-2</v>
      </c>
      <c r="D206">
        <v>1.4579E-2</v>
      </c>
      <c r="E206">
        <v>1.4846E-2</v>
      </c>
      <c r="F206">
        <v>322945285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-0.36804733727810701</v>
      </c>
      <c r="Q206">
        <f t="shared" si="960"/>
        <v>-118859152.2307694</v>
      </c>
      <c r="R206">
        <f t="shared" si="961"/>
        <v>-11644270325.904716</v>
      </c>
      <c r="S206">
        <f t="shared" si="962"/>
        <v>-116442.70325904716</v>
      </c>
      <c r="T206">
        <f t="shared" si="963"/>
        <v>-116.44270325904716</v>
      </c>
    </row>
    <row r="207" spans="1:20" x14ac:dyDescent="0.25">
      <c r="A207" s="5">
        <v>44386</v>
      </c>
      <c r="B207">
        <v>1.4964E-2</v>
      </c>
      <c r="C207">
        <v>1.5287E-2</v>
      </c>
      <c r="D207">
        <v>1.4149999999999999E-2</v>
      </c>
      <c r="E207">
        <v>1.5079E-2</v>
      </c>
      <c r="F207">
        <v>472724947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0.63412489006156603</v>
      </c>
      <c r="Q207">
        <f t="shared" si="960"/>
        <v>299766655.04573464</v>
      </c>
      <c r="R207">
        <f t="shared" si="961"/>
        <v>-11525411173.673946</v>
      </c>
      <c r="S207">
        <f t="shared" si="962"/>
        <v>-115254.11173673946</v>
      </c>
      <c r="T207">
        <f t="shared" si="963"/>
        <v>-115.25411173673946</v>
      </c>
    </row>
    <row r="208" spans="1:20" x14ac:dyDescent="0.25">
      <c r="A208" s="5">
        <v>44385</v>
      </c>
      <c r="B208">
        <v>1.5737000000000001E-2</v>
      </c>
      <c r="C208">
        <v>1.5800999999999999E-2</v>
      </c>
      <c r="D208">
        <v>1.4626E-2</v>
      </c>
      <c r="E208">
        <v>1.4992999999999999E-2</v>
      </c>
      <c r="F208">
        <v>600166627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-0.37531914893617091</v>
      </c>
      <c r="Q208">
        <f t="shared" si="960"/>
        <v>-225254027.66553232</v>
      </c>
      <c r="R208">
        <f t="shared" si="961"/>
        <v>-11825177828.719681</v>
      </c>
      <c r="S208">
        <f t="shared" si="962"/>
        <v>-118251.77828719681</v>
      </c>
      <c r="T208">
        <f t="shared" si="963"/>
        <v>-118.25177828719681</v>
      </c>
    </row>
    <row r="209" spans="1:20" x14ac:dyDescent="0.25">
      <c r="A209" s="5">
        <v>44384</v>
      </c>
      <c r="B209">
        <v>1.6303000000000002E-2</v>
      </c>
      <c r="C209">
        <v>1.6576E-2</v>
      </c>
      <c r="D209">
        <v>1.5599999999999999E-2</v>
      </c>
      <c r="E209">
        <v>1.575E-2</v>
      </c>
      <c r="F209">
        <v>717571027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-0.69262295081967085</v>
      </c>
      <c r="Q209">
        <f t="shared" si="960"/>
        <v>-497006162.14344168</v>
      </c>
      <c r="R209">
        <f t="shared" si="961"/>
        <v>-11599923801.054148</v>
      </c>
      <c r="S209">
        <f t="shared" si="962"/>
        <v>-115999.23801054148</v>
      </c>
      <c r="T209">
        <f t="shared" si="963"/>
        <v>-115.99923801054148</v>
      </c>
    </row>
    <row r="210" spans="1:20" x14ac:dyDescent="0.25">
      <c r="A210" s="5">
        <v>44383</v>
      </c>
      <c r="B210">
        <v>1.4907999999999999E-2</v>
      </c>
      <c r="C210">
        <v>1.66E-2</v>
      </c>
      <c r="D210">
        <v>1.4907E-2</v>
      </c>
      <c r="E210">
        <v>1.6303000000000002E-2</v>
      </c>
      <c r="F210">
        <v>1133059413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0.64914353219137788</v>
      </c>
      <c r="Q210">
        <f t="shared" si="960"/>
        <v>735518189.5375092</v>
      </c>
      <c r="R210">
        <f t="shared" si="961"/>
        <v>-11102917638.910706</v>
      </c>
      <c r="S210">
        <f t="shared" si="962"/>
        <v>-111029.17638910706</v>
      </c>
      <c r="T210">
        <f t="shared" si="963"/>
        <v>-111.02917638910706</v>
      </c>
    </row>
    <row r="211" spans="1:20" x14ac:dyDescent="0.25">
      <c r="A211" s="5">
        <v>44382</v>
      </c>
      <c r="B211">
        <v>1.5677E-2</v>
      </c>
      <c r="C211">
        <v>1.5706999999999999E-2</v>
      </c>
      <c r="D211">
        <v>1.4574E-2</v>
      </c>
      <c r="E211">
        <v>1.4919999999999999E-2</v>
      </c>
      <c r="F211">
        <v>658324624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-0.38923212709620564</v>
      </c>
      <c r="Q211">
        <f t="shared" si="960"/>
        <v>-256241093.71932977</v>
      </c>
      <c r="R211">
        <f t="shared" si="961"/>
        <v>-11838435828.448215</v>
      </c>
      <c r="S211">
        <f t="shared" si="962"/>
        <v>-118384.35828448215</v>
      </c>
      <c r="T211">
        <f t="shared" si="963"/>
        <v>-118.38435828448215</v>
      </c>
    </row>
    <row r="212" spans="1:20" x14ac:dyDescent="0.25">
      <c r="A212" s="5">
        <v>44381</v>
      </c>
      <c r="B212">
        <v>1.5110999999999999E-2</v>
      </c>
      <c r="C212">
        <v>1.6188000000000001E-2</v>
      </c>
      <c r="D212">
        <v>1.4746E-2</v>
      </c>
      <c r="E212">
        <v>1.5678000000000001E-2</v>
      </c>
      <c r="F212">
        <v>723166518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0.2926490984743414</v>
      </c>
      <c r="Q212">
        <f t="shared" si="960"/>
        <v>211634029.53952858</v>
      </c>
      <c r="R212">
        <f t="shared" si="961"/>
        <v>-11582194734.728886</v>
      </c>
      <c r="S212">
        <f t="shared" si="962"/>
        <v>-115821.94734728885</v>
      </c>
      <c r="T212">
        <f t="shared" si="963"/>
        <v>-115.82194734728886</v>
      </c>
    </row>
    <row r="213" spans="1:20" x14ac:dyDescent="0.25">
      <c r="A213" s="5">
        <v>44380</v>
      </c>
      <c r="B213">
        <v>1.4952999999999999E-2</v>
      </c>
      <c r="C213">
        <v>1.5584000000000001E-2</v>
      </c>
      <c r="D213">
        <v>1.4596E-2</v>
      </c>
      <c r="E213">
        <v>1.5117E-2</v>
      </c>
      <c r="F213">
        <v>454666981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5.4655870445344305E-2</v>
      </c>
      <c r="Q213">
        <f t="shared" si="960"/>
        <v>24850219.609311819</v>
      </c>
      <c r="R213">
        <f t="shared" si="961"/>
        <v>-11793828764.268414</v>
      </c>
      <c r="S213">
        <f t="shared" si="962"/>
        <v>-117938.28764268414</v>
      </c>
      <c r="T213">
        <f t="shared" si="963"/>
        <v>-117.93828764268414</v>
      </c>
    </row>
    <row r="214" spans="1:20" x14ac:dyDescent="0.25">
      <c r="A214" s="5">
        <v>44379</v>
      </c>
      <c r="B214">
        <v>1.4951000000000001E-2</v>
      </c>
      <c r="C214">
        <v>1.5214E-2</v>
      </c>
      <c r="D214">
        <v>1.43E-2</v>
      </c>
      <c r="E214">
        <v>1.4956000000000001E-2</v>
      </c>
      <c r="F214">
        <v>351142619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0.43544857768052608</v>
      </c>
      <c r="Q214">
        <f t="shared" si="960"/>
        <v>152904554.00656489</v>
      </c>
      <c r="R214">
        <f t="shared" si="961"/>
        <v>-11818678983.877726</v>
      </c>
      <c r="S214">
        <f t="shared" si="962"/>
        <v>-118186.78983877726</v>
      </c>
      <c r="T214">
        <f t="shared" si="963"/>
        <v>-118.18678983877726</v>
      </c>
    </row>
    <row r="215" spans="1:20" x14ac:dyDescent="0.25">
      <c r="A215" s="5">
        <v>44378</v>
      </c>
      <c r="B215">
        <v>1.5754000000000001E-2</v>
      </c>
      <c r="C215">
        <v>1.5865000000000001E-2</v>
      </c>
      <c r="D215">
        <v>1.4581999999999999E-2</v>
      </c>
      <c r="E215">
        <v>1.4959E-2</v>
      </c>
      <c r="F215">
        <v>565351760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-0.41231488698363172</v>
      </c>
      <c r="Q215">
        <f t="shared" si="960"/>
        <v>-233102947.0303973</v>
      </c>
      <c r="R215">
        <f t="shared" si="961"/>
        <v>-11971583537.884291</v>
      </c>
      <c r="S215">
        <f t="shared" si="962"/>
        <v>-119715.83537884291</v>
      </c>
      <c r="T215">
        <f t="shared" si="963"/>
        <v>-119.71583537884291</v>
      </c>
    </row>
    <row r="216" spans="1:20" x14ac:dyDescent="0.25">
      <c r="A216" s="5">
        <v>44377</v>
      </c>
      <c r="B216">
        <v>1.6313999999999999E-2</v>
      </c>
      <c r="C216">
        <v>1.6646000000000001E-2</v>
      </c>
      <c r="D216">
        <v>1.4773E-2</v>
      </c>
      <c r="E216">
        <v>1.5741000000000002E-2</v>
      </c>
      <c r="F216">
        <v>638378526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3.363587827015603E-2</v>
      </c>
      <c r="Q216">
        <f t="shared" si="960"/>
        <v>21472422.390817635</v>
      </c>
      <c r="R216">
        <f t="shared" si="961"/>
        <v>-11738480590.853893</v>
      </c>
      <c r="S216">
        <f t="shared" si="962"/>
        <v>-117384.80590853894</v>
      </c>
      <c r="T216">
        <f t="shared" si="963"/>
        <v>-117.38480590853894</v>
      </c>
    </row>
    <row r="217" spans="1:20" x14ac:dyDescent="0.25">
      <c r="A217" s="5">
        <v>44376</v>
      </c>
      <c r="B217">
        <v>1.5914999999999999E-2</v>
      </c>
      <c r="C217">
        <v>1.7128000000000001E-2</v>
      </c>
      <c r="D217">
        <v>1.5845000000000001E-2</v>
      </c>
      <c r="E217">
        <v>1.6320999999999999E-2</v>
      </c>
      <c r="F217">
        <v>914420557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-0.25798908807482857</v>
      </c>
      <c r="Q217">
        <f t="shared" si="960"/>
        <v>-235910525.6173068</v>
      </c>
      <c r="R217">
        <f t="shared" si="961"/>
        <v>-11759953013.244711</v>
      </c>
      <c r="S217">
        <f t="shared" si="962"/>
        <v>-117599.53013244711</v>
      </c>
      <c r="T217">
        <f t="shared" si="963"/>
        <v>-117.59953013244711</v>
      </c>
    </row>
    <row r="218" spans="1:20" x14ac:dyDescent="0.25">
      <c r="A218" s="5">
        <v>44375</v>
      </c>
      <c r="B218">
        <v>1.5897000000000001E-2</v>
      </c>
      <c r="C218">
        <v>1.6499E-2</v>
      </c>
      <c r="D218">
        <v>1.532E-2</v>
      </c>
      <c r="E218">
        <v>1.5925999999999999E-2</v>
      </c>
      <c r="F218">
        <v>741107033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2.7989821882950232E-2</v>
      </c>
      <c r="Q218">
        <f t="shared" si="960"/>
        <v>20743453.849871721</v>
      </c>
      <c r="R218">
        <f t="shared" si="961"/>
        <v>-11524042487.627403</v>
      </c>
      <c r="S218">
        <f t="shared" si="962"/>
        <v>-115240.42487627403</v>
      </c>
      <c r="T218">
        <f t="shared" si="963"/>
        <v>-115.24042487627403</v>
      </c>
    </row>
    <row r="219" spans="1:20" x14ac:dyDescent="0.25">
      <c r="A219" s="5">
        <v>44374</v>
      </c>
      <c r="B219">
        <v>1.396E-2</v>
      </c>
      <c r="C219">
        <v>1.6423E-2</v>
      </c>
      <c r="D219">
        <v>1.3802E-2</v>
      </c>
      <c r="E219">
        <v>1.5896E-2</v>
      </c>
      <c r="F219">
        <v>1533837805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0.5978634109118659</v>
      </c>
      <c r="Q219">
        <f t="shared" si="960"/>
        <v>917025501.88286948</v>
      </c>
      <c r="R219">
        <f t="shared" si="961"/>
        <v>-11544785941.477276</v>
      </c>
      <c r="S219">
        <f t="shared" si="962"/>
        <v>-115447.85941477276</v>
      </c>
      <c r="T219">
        <f t="shared" si="963"/>
        <v>-115.44785941477275</v>
      </c>
    </row>
    <row r="220" spans="1:20" x14ac:dyDescent="0.25">
      <c r="A220" s="5">
        <v>44373</v>
      </c>
      <c r="B220">
        <v>1.3686E-2</v>
      </c>
      <c r="C220">
        <v>1.4315E-2</v>
      </c>
      <c r="D220">
        <v>1.3114000000000001E-2</v>
      </c>
      <c r="E220">
        <v>1.3957000000000001E-2</v>
      </c>
      <c r="F220">
        <v>704047688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0.40383014154871066</v>
      </c>
      <c r="Q220">
        <f t="shared" si="960"/>
        <v>284315677.50208247</v>
      </c>
      <c r="R220">
        <f t="shared" si="961"/>
        <v>-12461811443.360146</v>
      </c>
      <c r="S220">
        <f t="shared" si="962"/>
        <v>-124618.11443360145</v>
      </c>
      <c r="T220">
        <f t="shared" si="963"/>
        <v>-124.61811443360145</v>
      </c>
    </row>
    <row r="221" spans="1:20" x14ac:dyDescent="0.25">
      <c r="A221" s="5">
        <v>44372</v>
      </c>
      <c r="B221">
        <v>1.5717999999999999E-2</v>
      </c>
      <c r="C221">
        <v>1.6060999999999999E-2</v>
      </c>
      <c r="D221">
        <v>1.3613999999999999E-2</v>
      </c>
      <c r="E221">
        <v>1.3683000000000001E-2</v>
      </c>
      <c r="F221">
        <v>816953366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-0.94360441356763269</v>
      </c>
      <c r="Q221">
        <f t="shared" si="960"/>
        <v>-770880801.83653355</v>
      </c>
      <c r="R221">
        <f t="shared" si="961"/>
        <v>-12746127120.862228</v>
      </c>
      <c r="S221">
        <f t="shared" si="962"/>
        <v>-127461.27120862229</v>
      </c>
      <c r="T221">
        <f t="shared" si="963"/>
        <v>-127.46127120862229</v>
      </c>
    </row>
    <row r="222" spans="1:20" x14ac:dyDescent="0.25">
      <c r="A222" s="5">
        <v>44371</v>
      </c>
      <c r="B222">
        <v>1.5221E-2</v>
      </c>
      <c r="C222">
        <v>1.61E-2</v>
      </c>
      <c r="D222">
        <v>1.4402E-2</v>
      </c>
      <c r="E222">
        <v>1.5713999999999999E-2</v>
      </c>
      <c r="F222">
        <v>800869161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0.54534746760895059</v>
      </c>
      <c r="Q222">
        <f t="shared" si="960"/>
        <v>436751968.83745492</v>
      </c>
      <c r="R222">
        <f t="shared" si="961"/>
        <v>-11975246319.025696</v>
      </c>
      <c r="S222">
        <f t="shared" si="962"/>
        <v>-119752.46319025695</v>
      </c>
      <c r="T222">
        <f t="shared" si="963"/>
        <v>-119.75246319025695</v>
      </c>
    </row>
    <row r="223" spans="1:20" x14ac:dyDescent="0.25">
      <c r="A223" s="5">
        <v>44370</v>
      </c>
      <c r="B223">
        <v>1.3846000000000001E-2</v>
      </c>
      <c r="C223">
        <v>1.6323000000000001E-2</v>
      </c>
      <c r="D223">
        <v>1.3206000000000001E-2</v>
      </c>
      <c r="E223">
        <v>1.5202E-2</v>
      </c>
      <c r="F223">
        <v>1033973118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0.28071863971767697</v>
      </c>
      <c r="Q223">
        <f t="shared" si="960"/>
        <v>290255527.18960512</v>
      </c>
      <c r="R223">
        <f t="shared" si="961"/>
        <v>-12411998287.863152</v>
      </c>
      <c r="S223">
        <f t="shared" si="962"/>
        <v>-124119.98287863152</v>
      </c>
      <c r="T223">
        <f t="shared" si="963"/>
        <v>-124.11998287863152</v>
      </c>
    </row>
    <row r="224" spans="1:20" x14ac:dyDescent="0.25">
      <c r="A224" s="5">
        <v>44369</v>
      </c>
      <c r="B224">
        <v>1.4708000000000001E-2</v>
      </c>
      <c r="C224">
        <v>1.6011000000000001E-2</v>
      </c>
      <c r="D224">
        <v>1.1900000000000001E-2</v>
      </c>
      <c r="E224">
        <v>1.3816E-2</v>
      </c>
      <c r="F224">
        <v>1664380910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-6.786669909997603E-2</v>
      </c>
      <c r="Q224">
        <f t="shared" si="960"/>
        <v>-112956038.40671429</v>
      </c>
      <c r="R224">
        <f t="shared" si="961"/>
        <v>-12702253815.052757</v>
      </c>
      <c r="S224">
        <f t="shared" si="962"/>
        <v>-127022.53815052757</v>
      </c>
      <c r="T224">
        <f t="shared" si="963"/>
        <v>-127.02253815052757</v>
      </c>
    </row>
    <row r="225" spans="1:20" x14ac:dyDescent="0.25">
      <c r="A225" s="5">
        <v>44368</v>
      </c>
      <c r="B225">
        <v>1.9356999999999999E-2</v>
      </c>
      <c r="C225">
        <v>1.9439999999999999E-2</v>
      </c>
      <c r="D225">
        <v>1.4669E-2</v>
      </c>
      <c r="E225">
        <v>1.4729000000000001E-2</v>
      </c>
      <c r="F225">
        <v>1064998946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-0.97484804024313521</v>
      </c>
      <c r="Q225">
        <f t="shared" si="960"/>
        <v>-1038212135.3691046</v>
      </c>
      <c r="R225">
        <f t="shared" si="961"/>
        <v>-12589297776.646044</v>
      </c>
      <c r="S225">
        <f t="shared" si="962"/>
        <v>-125892.97776646043</v>
      </c>
      <c r="T225">
        <f t="shared" si="963"/>
        <v>-125.89297776646043</v>
      </c>
    </row>
    <row r="226" spans="1:20" x14ac:dyDescent="0.25">
      <c r="A226" s="5">
        <v>44367</v>
      </c>
      <c r="B226">
        <v>1.8967999999999999E-2</v>
      </c>
      <c r="C226">
        <v>1.9522000000000001E-2</v>
      </c>
      <c r="D226">
        <v>1.7641E-2</v>
      </c>
      <c r="E226">
        <v>1.9356999999999999E-2</v>
      </c>
      <c r="F226">
        <v>710770601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0.82456140350876994</v>
      </c>
      <c r="Q226">
        <f t="shared" si="960"/>
        <v>586074004.33333194</v>
      </c>
      <c r="R226">
        <f t="shared" si="961"/>
        <v>-11551085641.276939</v>
      </c>
      <c r="S226">
        <f t="shared" si="962"/>
        <v>-115510.8564127694</v>
      </c>
      <c r="T226">
        <f t="shared" si="963"/>
        <v>-115.5108564127694</v>
      </c>
    </row>
    <row r="227" spans="1:20" x14ac:dyDescent="0.25">
      <c r="A227" s="5">
        <v>44366</v>
      </c>
      <c r="B227">
        <v>1.9685999999999999E-2</v>
      </c>
      <c r="C227">
        <v>1.9803999999999999E-2</v>
      </c>
      <c r="D227">
        <v>1.8801999999999999E-2</v>
      </c>
      <c r="E227">
        <v>1.8967999999999999E-2</v>
      </c>
      <c r="F227">
        <v>472008802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-0.6686626746506994</v>
      </c>
      <c r="Q227">
        <f t="shared" si="960"/>
        <v>-315614668.00399238</v>
      </c>
      <c r="R227">
        <f t="shared" si="961"/>
        <v>-12137159645.610271</v>
      </c>
      <c r="S227">
        <f t="shared" si="962"/>
        <v>-121371.59645610272</v>
      </c>
      <c r="T227">
        <f t="shared" si="963"/>
        <v>-121.37159645610272</v>
      </c>
    </row>
    <row r="228" spans="1:20" x14ac:dyDescent="0.25">
      <c r="A228" s="5">
        <v>44365</v>
      </c>
      <c r="B228">
        <v>2.0732E-2</v>
      </c>
      <c r="C228">
        <v>2.0962000000000001E-2</v>
      </c>
      <c r="D228">
        <v>1.8835000000000001E-2</v>
      </c>
      <c r="E228">
        <v>1.9678000000000001E-2</v>
      </c>
      <c r="F228">
        <v>711082202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-0.20733427362482384</v>
      </c>
      <c r="Q228">
        <f t="shared" si="960"/>
        <v>-147431711.83921027</v>
      </c>
      <c r="R228">
        <f t="shared" si="961"/>
        <v>-11821544977.606279</v>
      </c>
      <c r="S228">
        <f t="shared" si="962"/>
        <v>-118215.4497760628</v>
      </c>
      <c r="T228">
        <f t="shared" si="963"/>
        <v>-118.2154497760628</v>
      </c>
    </row>
    <row r="229" spans="1:20" x14ac:dyDescent="0.25">
      <c r="A229" s="5">
        <v>44364</v>
      </c>
      <c r="B229">
        <v>2.1017999999999998E-2</v>
      </c>
      <c r="C229">
        <v>2.1735000000000001E-2</v>
      </c>
      <c r="D229">
        <v>2.026E-2</v>
      </c>
      <c r="E229">
        <v>2.0733999999999999E-2</v>
      </c>
      <c r="F229">
        <v>566290018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-0.35728813559322231</v>
      </c>
      <c r="Q229">
        <f t="shared" si="960"/>
        <v>-202328704.73627231</v>
      </c>
      <c r="R229">
        <f t="shared" si="961"/>
        <v>-11674113265.767069</v>
      </c>
      <c r="S229">
        <f t="shared" si="962"/>
        <v>-116741.13265767069</v>
      </c>
      <c r="T229">
        <f t="shared" si="963"/>
        <v>-116.74113265767069</v>
      </c>
    </row>
    <row r="230" spans="1:20" x14ac:dyDescent="0.25">
      <c r="A230" s="5">
        <v>44363</v>
      </c>
      <c r="B230">
        <v>2.2460999999999998E-2</v>
      </c>
      <c r="C230">
        <v>2.257E-2</v>
      </c>
      <c r="D230">
        <v>2.0709999999999999E-2</v>
      </c>
      <c r="E230">
        <v>2.1027000000000001E-2</v>
      </c>
      <c r="F230">
        <v>848942578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-0.65913978494623526</v>
      </c>
      <c r="Q230">
        <f t="shared" si="960"/>
        <v>-559571828.29462254</v>
      </c>
      <c r="R230">
        <f t="shared" si="961"/>
        <v>-11471784561.030796</v>
      </c>
      <c r="S230">
        <f t="shared" si="962"/>
        <v>-114717.84561030797</v>
      </c>
      <c r="T230">
        <f t="shared" si="963"/>
        <v>-114.71784561030796</v>
      </c>
    </row>
    <row r="231" spans="1:20" x14ac:dyDescent="0.25">
      <c r="A231" s="5">
        <v>44362</v>
      </c>
      <c r="B231">
        <v>2.1972999999999999E-2</v>
      </c>
      <c r="C231">
        <v>2.375E-2</v>
      </c>
      <c r="D231">
        <v>2.1805999999999999E-2</v>
      </c>
      <c r="E231">
        <v>2.2460999999999998E-2</v>
      </c>
      <c r="F231">
        <v>1182618835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-0.32613168724279951</v>
      </c>
      <c r="Q231">
        <f t="shared" si="960"/>
        <v>-385689476.02366394</v>
      </c>
      <c r="R231">
        <f t="shared" si="961"/>
        <v>-10912212732.736174</v>
      </c>
      <c r="S231">
        <f t="shared" si="962"/>
        <v>-109122.12732736174</v>
      </c>
      <c r="T231">
        <f t="shared" si="963"/>
        <v>-109.12212732736174</v>
      </c>
    </row>
    <row r="232" spans="1:20" x14ac:dyDescent="0.25">
      <c r="A232" s="5">
        <v>44361</v>
      </c>
      <c r="B232">
        <v>2.1666000000000001E-2</v>
      </c>
      <c r="C232">
        <v>2.2280999999999999E-2</v>
      </c>
      <c r="D232">
        <v>2.1205000000000002E-2</v>
      </c>
      <c r="E232">
        <v>2.1974E-2</v>
      </c>
      <c r="F232">
        <v>776352305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0.42936802973977867</v>
      </c>
      <c r="Q232">
        <f t="shared" si="960"/>
        <v>333340859.58178574</v>
      </c>
      <c r="R232">
        <f t="shared" si="961"/>
        <v>-10526523256.712509</v>
      </c>
      <c r="S232">
        <f t="shared" si="962"/>
        <v>-105265.23256712509</v>
      </c>
      <c r="T232">
        <f t="shared" si="963"/>
        <v>-105.26523256712508</v>
      </c>
    </row>
    <row r="233" spans="1:20" x14ac:dyDescent="0.25">
      <c r="A233" s="5">
        <v>44360</v>
      </c>
      <c r="B233">
        <v>2.0024E-2</v>
      </c>
      <c r="C233">
        <v>2.1999999999999999E-2</v>
      </c>
      <c r="D233">
        <v>1.9800000000000002E-2</v>
      </c>
      <c r="E233">
        <v>2.1654E-2</v>
      </c>
      <c r="F233">
        <v>678225689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0.68545454545454587</v>
      </c>
      <c r="Q233">
        <f t="shared" si="960"/>
        <v>464892881.36909121</v>
      </c>
      <c r="R233">
        <f t="shared" si="961"/>
        <v>-10859864116.294294</v>
      </c>
      <c r="S233">
        <f t="shared" si="962"/>
        <v>-108598.64116294295</v>
      </c>
      <c r="T233">
        <f t="shared" si="963"/>
        <v>-108.59864116294295</v>
      </c>
    </row>
    <row r="234" spans="1:20" x14ac:dyDescent="0.25">
      <c r="A234" s="5">
        <v>44359</v>
      </c>
      <c r="B234">
        <v>2.095E-2</v>
      </c>
      <c r="C234">
        <v>2.0958000000000001E-2</v>
      </c>
      <c r="D234">
        <v>1.9262999999999999E-2</v>
      </c>
      <c r="E234">
        <v>2.0015000000000002E-2</v>
      </c>
      <c r="F234">
        <v>687055314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-0.11268436578170885</v>
      </c>
      <c r="Q234">
        <f t="shared" si="960"/>
        <v>-77420392.315042824</v>
      </c>
      <c r="R234">
        <f t="shared" si="961"/>
        <v>-11324756997.663385</v>
      </c>
      <c r="S234">
        <f t="shared" si="962"/>
        <v>-113247.56997663385</v>
      </c>
      <c r="T234">
        <f t="shared" si="963"/>
        <v>-113.24756997663386</v>
      </c>
    </row>
    <row r="235" spans="1:20" x14ac:dyDescent="0.25">
      <c r="A235" s="5">
        <v>44358</v>
      </c>
      <c r="B235">
        <v>2.1592E-2</v>
      </c>
      <c r="C235">
        <v>2.2186000000000001E-2</v>
      </c>
      <c r="D235">
        <v>2.0556000000000001E-2</v>
      </c>
      <c r="E235">
        <v>2.0962000000000001E-2</v>
      </c>
      <c r="F235">
        <v>686601280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-0.50184049079754578</v>
      </c>
      <c r="Q235">
        <f t="shared" si="960"/>
        <v>-344564323.33742315</v>
      </c>
      <c r="R235">
        <f t="shared" si="961"/>
        <v>-11247336605.348343</v>
      </c>
      <c r="S235">
        <f t="shared" si="962"/>
        <v>-112473.36605348343</v>
      </c>
      <c r="T235">
        <f t="shared" si="963"/>
        <v>-112.47336605348343</v>
      </c>
    </row>
    <row r="236" spans="1:20" x14ac:dyDescent="0.25">
      <c r="A236" s="5">
        <v>44357</v>
      </c>
      <c r="B236">
        <v>2.2966E-2</v>
      </c>
      <c r="C236">
        <v>2.3399E-2</v>
      </c>
      <c r="D236">
        <v>2.1135000000000001E-2</v>
      </c>
      <c r="E236">
        <v>2.1545000000000002E-2</v>
      </c>
      <c r="F236">
        <v>840691635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-0.63780918727915115</v>
      </c>
      <c r="Q236">
        <f t="shared" si="960"/>
        <v>-536200848.47173077</v>
      </c>
      <c r="R236">
        <f t="shared" si="961"/>
        <v>-10902772282.01092</v>
      </c>
      <c r="S236">
        <f t="shared" si="962"/>
        <v>-109027.72282010919</v>
      </c>
      <c r="T236">
        <f t="shared" si="963"/>
        <v>-109.02772282010919</v>
      </c>
    </row>
    <row r="237" spans="1:20" x14ac:dyDescent="0.25">
      <c r="A237" s="5">
        <v>44356</v>
      </c>
      <c r="B237">
        <v>2.1727E-2</v>
      </c>
      <c r="C237">
        <v>2.2970000000000001E-2</v>
      </c>
      <c r="D237">
        <v>2.0674999999999999E-2</v>
      </c>
      <c r="E237">
        <v>2.2966E-2</v>
      </c>
      <c r="F237">
        <v>1101650230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0.9965141612200431</v>
      </c>
      <c r="Q237">
        <f t="shared" si="960"/>
        <v>1097810054.9063175</v>
      </c>
      <c r="R237">
        <f t="shared" si="961"/>
        <v>-10366571433.539188</v>
      </c>
      <c r="S237">
        <f t="shared" si="962"/>
        <v>-103665.71433539188</v>
      </c>
      <c r="T237">
        <f t="shared" si="963"/>
        <v>-103.66571433539188</v>
      </c>
    </row>
    <row r="238" spans="1:20" x14ac:dyDescent="0.25">
      <c r="A238" s="5">
        <v>44355</v>
      </c>
      <c r="B238">
        <v>2.2272E-2</v>
      </c>
      <c r="C238">
        <v>2.2707999999999999E-2</v>
      </c>
      <c r="D238">
        <v>1.9064000000000001E-2</v>
      </c>
      <c r="E238">
        <v>2.1725000000000001E-2</v>
      </c>
      <c r="F238">
        <v>1527677462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0.46048298572996799</v>
      </c>
      <c r="Q238">
        <f t="shared" si="960"/>
        <v>703469478.93413973</v>
      </c>
      <c r="R238">
        <f t="shared" si="961"/>
        <v>-11464381488.445505</v>
      </c>
      <c r="S238">
        <f t="shared" si="962"/>
        <v>-114643.81488445505</v>
      </c>
      <c r="T238">
        <f t="shared" si="963"/>
        <v>-114.64381488445504</v>
      </c>
    </row>
    <row r="239" spans="1:20" x14ac:dyDescent="0.25">
      <c r="A239" s="5">
        <v>44354</v>
      </c>
      <c r="B239">
        <v>2.4892999999999998E-2</v>
      </c>
      <c r="C239">
        <v>2.5614999999999999E-2</v>
      </c>
      <c r="D239">
        <v>2.1700000000000001E-2</v>
      </c>
      <c r="E239">
        <v>2.2270000000000002E-2</v>
      </c>
      <c r="F239">
        <v>1089197572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-0.70881226053639779</v>
      </c>
      <c r="Q239">
        <f t="shared" si="960"/>
        <v>-772036593.18007588</v>
      </c>
      <c r="R239">
        <f t="shared" si="961"/>
        <v>-12167850967.379644</v>
      </c>
      <c r="S239">
        <f t="shared" si="962"/>
        <v>-121678.50967379645</v>
      </c>
      <c r="T239">
        <f t="shared" si="963"/>
        <v>-121.67850967379646</v>
      </c>
    </row>
    <row r="240" spans="1:20" x14ac:dyDescent="0.25">
      <c r="A240" s="5">
        <v>44353</v>
      </c>
      <c r="B240">
        <v>2.3975E-2</v>
      </c>
      <c r="C240">
        <v>2.4999E-2</v>
      </c>
      <c r="D240">
        <v>2.3786000000000002E-2</v>
      </c>
      <c r="E240">
        <v>2.4912E-2</v>
      </c>
      <c r="F240">
        <v>624871617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0.85655399835119483</v>
      </c>
      <c r="Q240">
        <f t="shared" si="960"/>
        <v>535236281.99752647</v>
      </c>
      <c r="R240">
        <f t="shared" si="961"/>
        <v>-11395814374.199568</v>
      </c>
      <c r="S240">
        <f t="shared" si="962"/>
        <v>-113958.14374199568</v>
      </c>
      <c r="T240">
        <f t="shared" si="963"/>
        <v>-113.95814374199568</v>
      </c>
    </row>
    <row r="241" spans="1:20" x14ac:dyDescent="0.25">
      <c r="A241" s="5">
        <v>44352</v>
      </c>
      <c r="B241">
        <v>2.4893999999999999E-2</v>
      </c>
      <c r="C241">
        <v>2.6429999999999999E-2</v>
      </c>
      <c r="D241">
        <v>2.3061999999999999E-2</v>
      </c>
      <c r="E241">
        <v>2.3986E-2</v>
      </c>
      <c r="F241">
        <v>1227783650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-0.45130641330166188</v>
      </c>
      <c r="Q241">
        <f t="shared" si="960"/>
        <v>-554106635.39192295</v>
      </c>
      <c r="R241">
        <f t="shared" si="961"/>
        <v>-11931050656.197094</v>
      </c>
      <c r="S241">
        <f t="shared" si="962"/>
        <v>-119310.50656197093</v>
      </c>
      <c r="T241">
        <f t="shared" si="963"/>
        <v>-119.31050656197094</v>
      </c>
    </row>
    <row r="242" spans="1:20" x14ac:dyDescent="0.25">
      <c r="A242" s="5">
        <v>44351</v>
      </c>
      <c r="B242">
        <v>2.7422999999999999E-2</v>
      </c>
      <c r="C242">
        <v>2.7584999999999998E-2</v>
      </c>
      <c r="D242">
        <v>2.334E-2</v>
      </c>
      <c r="E242">
        <v>2.4891E-2</v>
      </c>
      <c r="F242">
        <v>1497377612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-0.26925795053003498</v>
      </c>
      <c r="Q242">
        <f t="shared" si="960"/>
        <v>-403180826.97667789</v>
      </c>
      <c r="R242">
        <f t="shared" si="961"/>
        <v>-11376944020.805172</v>
      </c>
      <c r="S242">
        <f t="shared" si="962"/>
        <v>-113769.44020805172</v>
      </c>
      <c r="T242">
        <f t="shared" si="963"/>
        <v>-113.76944020805172</v>
      </c>
    </row>
    <row r="243" spans="1:20" x14ac:dyDescent="0.25">
      <c r="A243" s="5">
        <v>44350</v>
      </c>
      <c r="B243">
        <v>2.5652000000000001E-2</v>
      </c>
      <c r="C243">
        <v>2.8721E-2</v>
      </c>
      <c r="D243">
        <v>2.5499999999999998E-2</v>
      </c>
      <c r="E243">
        <v>2.7418000000000001E-2</v>
      </c>
      <c r="F243">
        <v>2042233007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0.19093449239366783</v>
      </c>
      <c r="Q243">
        <f t="shared" si="960"/>
        <v>389932722.54113889</v>
      </c>
      <c r="R243">
        <f t="shared" si="961"/>
        <v>-10973763193.828495</v>
      </c>
      <c r="S243">
        <f t="shared" si="962"/>
        <v>-109737.63193828495</v>
      </c>
      <c r="T243">
        <f t="shared" si="963"/>
        <v>-109.73763193828495</v>
      </c>
    </row>
    <row r="244" spans="1:20" x14ac:dyDescent="0.25">
      <c r="A244" s="5">
        <v>44349</v>
      </c>
      <c r="B244">
        <v>2.5065E-2</v>
      </c>
      <c r="C244">
        <v>2.6911000000000001E-2</v>
      </c>
      <c r="D244">
        <v>2.4302000000000001E-2</v>
      </c>
      <c r="E244">
        <v>2.5635999999999999E-2</v>
      </c>
      <c r="F244">
        <v>1486112748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2.2614028363356287E-2</v>
      </c>
      <c r="Q244">
        <f t="shared" si="960"/>
        <v>33606995.834417358</v>
      </c>
      <c r="R244">
        <f t="shared" si="961"/>
        <v>-11363695916.369635</v>
      </c>
      <c r="S244">
        <f t="shared" si="962"/>
        <v>-113636.95916369635</v>
      </c>
      <c r="T244">
        <f t="shared" si="963"/>
        <v>-113.63695916369635</v>
      </c>
    </row>
    <row r="245" spans="1:20" x14ac:dyDescent="0.25">
      <c r="A245" s="5">
        <v>44348</v>
      </c>
      <c r="B245">
        <v>2.6589999999999999E-2</v>
      </c>
      <c r="C245">
        <v>2.7099999999999999E-2</v>
      </c>
      <c r="D245">
        <v>2.4603E-2</v>
      </c>
      <c r="E245">
        <v>2.5049999999999999E-2</v>
      </c>
      <c r="F245">
        <v>1528152778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-0.64197036443732514</v>
      </c>
      <c r="Q245">
        <f t="shared" si="960"/>
        <v>-981028795.80857086</v>
      </c>
      <c r="R245">
        <f t="shared" si="961"/>
        <v>-11397302912.204052</v>
      </c>
      <c r="S245">
        <f t="shared" si="962"/>
        <v>-113973.02912204052</v>
      </c>
      <c r="T245">
        <f t="shared" si="963"/>
        <v>-113.97302912204051</v>
      </c>
    </row>
    <row r="246" spans="1:20" x14ac:dyDescent="0.25">
      <c r="A246" s="5">
        <v>44347</v>
      </c>
      <c r="B246">
        <v>2.5666000000000001E-2</v>
      </c>
      <c r="C246">
        <v>2.7243E-2</v>
      </c>
      <c r="D246">
        <v>2.4042000000000001E-2</v>
      </c>
      <c r="E246">
        <v>2.6601E-2</v>
      </c>
      <c r="F246">
        <v>1597338131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0.59887535145267079</v>
      </c>
      <c r="Q246">
        <f t="shared" si="960"/>
        <v>956606434.59137726</v>
      </c>
      <c r="R246">
        <f t="shared" si="961"/>
        <v>-10416274116.395481</v>
      </c>
      <c r="S246">
        <f t="shared" si="962"/>
        <v>-104162.74116395481</v>
      </c>
      <c r="T246">
        <f t="shared" si="963"/>
        <v>-104.16274116395481</v>
      </c>
    </row>
    <row r="247" spans="1:20" x14ac:dyDescent="0.25">
      <c r="A247" s="5">
        <v>44346</v>
      </c>
      <c r="B247">
        <v>2.4917000000000002E-2</v>
      </c>
      <c r="C247">
        <v>2.7407000000000001E-2</v>
      </c>
      <c r="D247">
        <v>2.2866999999999998E-2</v>
      </c>
      <c r="E247">
        <v>2.5617999999999998E-2</v>
      </c>
      <c r="F247">
        <v>1830534292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0.21189427312775266</v>
      </c>
      <c r="Q247">
        <f t="shared" si="960"/>
        <v>387879733.23876536</v>
      </c>
      <c r="R247">
        <f t="shared" si="961"/>
        <v>-11372880550.986858</v>
      </c>
      <c r="S247">
        <f t="shared" si="962"/>
        <v>-113728.80550986859</v>
      </c>
      <c r="T247">
        <f t="shared" si="963"/>
        <v>-113.72880550986859</v>
      </c>
    </row>
    <row r="248" spans="1:20" x14ac:dyDescent="0.25">
      <c r="A248" s="5">
        <v>44345</v>
      </c>
      <c r="B248">
        <v>2.7761999999999998E-2</v>
      </c>
      <c r="C248">
        <v>2.9266E-2</v>
      </c>
      <c r="D248">
        <v>2.3220999999999999E-2</v>
      </c>
      <c r="E248">
        <v>2.4903000000000002E-2</v>
      </c>
      <c r="F248">
        <v>2263895227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-0.44350703060380398</v>
      </c>
      <c r="Q248">
        <f t="shared" si="960"/>
        <v>-1004053449.7248948</v>
      </c>
      <c r="R248">
        <f t="shared" si="961"/>
        <v>-11760760284.225624</v>
      </c>
      <c r="S248">
        <f t="shared" si="962"/>
        <v>-117607.60284225624</v>
      </c>
      <c r="T248">
        <f t="shared" si="963"/>
        <v>-117.60760284225624</v>
      </c>
    </row>
    <row r="249" spans="1:20" x14ac:dyDescent="0.25">
      <c r="A249" s="5">
        <v>44344</v>
      </c>
      <c r="B249">
        <v>3.6162E-2</v>
      </c>
      <c r="C249">
        <v>3.7400000000000003E-2</v>
      </c>
      <c r="D249">
        <v>2.5631000000000001E-2</v>
      </c>
      <c r="E249">
        <v>2.7761000000000001E-2</v>
      </c>
      <c r="F249">
        <v>5559867699</v>
      </c>
      <c r="G249">
        <v>0</v>
      </c>
      <c r="L249" t="s">
        <v>8</v>
      </c>
      <c r="M249" t="s">
        <v>7</v>
      </c>
      <c r="N249" t="s">
        <v>7</v>
      </c>
      <c r="P249">
        <f t="shared" si="959"/>
        <v>-0.63803211827682904</v>
      </c>
      <c r="Q249">
        <f t="shared" si="960"/>
        <v>-3547374165.3318892</v>
      </c>
      <c r="R249">
        <f t="shared" si="961"/>
        <v>-10756706834.500729</v>
      </c>
      <c r="S249">
        <f t="shared" si="962"/>
        <v>-107567.06834500728</v>
      </c>
      <c r="T249">
        <f t="shared" si="963"/>
        <v>-107.56706834500729</v>
      </c>
    </row>
    <row r="250" spans="1:20" x14ac:dyDescent="0.25">
      <c r="A250" s="5">
        <v>44343</v>
      </c>
      <c r="B250">
        <v>3.2571000000000003E-2</v>
      </c>
      <c r="C250">
        <v>3.6197E-2</v>
      </c>
      <c r="D250">
        <v>2.9055000000000001E-2</v>
      </c>
      <c r="E250">
        <v>3.6162E-2</v>
      </c>
      <c r="F250">
        <v>3665349316</v>
      </c>
      <c r="G250">
        <v>0</v>
      </c>
      <c r="L250" t="s">
        <v>8</v>
      </c>
      <c r="M250" t="s">
        <v>7</v>
      </c>
      <c r="N250" t="s">
        <v>8</v>
      </c>
      <c r="P250">
        <f t="shared" si="959"/>
        <v>0.99019882385886293</v>
      </c>
      <c r="Q250">
        <f t="shared" si="960"/>
        <v>3629424581.7350879</v>
      </c>
      <c r="R250">
        <f t="shared" si="961"/>
        <v>-7209332669.1688385</v>
      </c>
      <c r="S250">
        <f t="shared" si="962"/>
        <v>-72093.326691688388</v>
      </c>
      <c r="T250">
        <f t="shared" si="963"/>
        <v>-72.093326691688389</v>
      </c>
    </row>
    <row r="251" spans="1:20" x14ac:dyDescent="0.25">
      <c r="A251" s="5">
        <v>44342</v>
      </c>
      <c r="B251">
        <v>3.0244E-2</v>
      </c>
      <c r="C251">
        <v>3.4896999999999997E-2</v>
      </c>
      <c r="D251">
        <v>2.9225999999999999E-2</v>
      </c>
      <c r="E251">
        <v>3.2571000000000003E-2</v>
      </c>
      <c r="F251">
        <v>4275067893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0.17968612237700751</v>
      </c>
      <c r="Q251">
        <f t="shared" si="960"/>
        <v>768170372.59161365</v>
      </c>
      <c r="R251">
        <f t="shared" si="961"/>
        <v>-10838757250.903927</v>
      </c>
      <c r="S251">
        <f t="shared" si="962"/>
        <v>-108387.57250903927</v>
      </c>
      <c r="T251">
        <f t="shared" si="963"/>
        <v>-108.38757250903926</v>
      </c>
    </row>
    <row r="252" spans="1:20" x14ac:dyDescent="0.25">
      <c r="A252" s="5">
        <v>44341</v>
      </c>
      <c r="B252">
        <v>2.5759000000000001E-2</v>
      </c>
      <c r="C252">
        <v>3.2197999999999997E-2</v>
      </c>
      <c r="D252">
        <v>2.2471999999999999E-2</v>
      </c>
      <c r="E252">
        <v>3.0273999999999999E-2</v>
      </c>
      <c r="F252">
        <v>4775917133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0.60435944889985627</v>
      </c>
      <c r="Q252">
        <f t="shared" si="960"/>
        <v>2886370646.4912615</v>
      </c>
      <c r="R252">
        <f t="shared" si="961"/>
        <v>-11606927623.495541</v>
      </c>
      <c r="S252">
        <f t="shared" si="962"/>
        <v>-116069.27623495541</v>
      </c>
      <c r="T252">
        <f t="shared" si="963"/>
        <v>-116.06927623495541</v>
      </c>
    </row>
    <row r="253" spans="1:20" x14ac:dyDescent="0.25">
      <c r="A253" s="5">
        <v>44340</v>
      </c>
      <c r="B253">
        <v>2.0611000000000001E-2</v>
      </c>
      <c r="C253">
        <v>2.6665999999999999E-2</v>
      </c>
      <c r="D253">
        <v>1.9968E-2</v>
      </c>
      <c r="E253">
        <v>2.5739000000000001E-2</v>
      </c>
      <c r="F253">
        <v>2598220039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0.72320095550910801</v>
      </c>
      <c r="Q253">
        <f t="shared" si="960"/>
        <v>1879035214.8277118</v>
      </c>
      <c r="R253">
        <f t="shared" si="961"/>
        <v>-14493298269.986801</v>
      </c>
      <c r="S253">
        <f t="shared" si="962"/>
        <v>-144932.98269986801</v>
      </c>
      <c r="T253">
        <f t="shared" si="963"/>
        <v>-144.93298269986801</v>
      </c>
    </row>
    <row r="254" spans="1:20" x14ac:dyDescent="0.25">
      <c r="A254" s="5">
        <v>44339</v>
      </c>
      <c r="B254">
        <v>2.4972999999999999E-2</v>
      </c>
      <c r="C254">
        <v>2.5855E-2</v>
      </c>
      <c r="D254">
        <v>1.6943E-2</v>
      </c>
      <c r="E254">
        <v>2.06E-2</v>
      </c>
      <c r="F254">
        <v>2645962992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-0.17930879712746844</v>
      </c>
      <c r="Q254">
        <f t="shared" si="960"/>
        <v>-474444441.33931738</v>
      </c>
      <c r="R254">
        <f t="shared" si="961"/>
        <v>-16372333484.814512</v>
      </c>
      <c r="S254">
        <f t="shared" si="962"/>
        <v>-163723.33484814511</v>
      </c>
      <c r="T254">
        <f t="shared" si="963"/>
        <v>-163.7233348481451</v>
      </c>
    </row>
    <row r="255" spans="1:20" x14ac:dyDescent="0.25">
      <c r="A255" s="5">
        <v>44338</v>
      </c>
      <c r="B255">
        <v>2.7095999999999999E-2</v>
      </c>
      <c r="C255">
        <v>2.8499E-2</v>
      </c>
      <c r="D255">
        <v>2.4E-2</v>
      </c>
      <c r="E255">
        <v>2.4915E-2</v>
      </c>
      <c r="F255">
        <v>1739767194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-0.59324294287619506</v>
      </c>
      <c r="Q255">
        <f t="shared" si="960"/>
        <v>-1032104610.0880202</v>
      </c>
      <c r="R255">
        <f t="shared" si="961"/>
        <v>-15897889043.475195</v>
      </c>
      <c r="S255">
        <f t="shared" si="962"/>
        <v>-158978.89043475196</v>
      </c>
      <c r="T255">
        <f t="shared" si="963"/>
        <v>-158.97889043475195</v>
      </c>
    </row>
    <row r="256" spans="1:20" x14ac:dyDescent="0.25">
      <c r="A256" s="5">
        <v>44337</v>
      </c>
      <c r="B256">
        <v>3.0182E-2</v>
      </c>
      <c r="C256">
        <v>3.2190999999999997E-2</v>
      </c>
      <c r="D256">
        <v>2.2352E-2</v>
      </c>
      <c r="E256">
        <v>2.7248000000000001E-2</v>
      </c>
      <c r="F256">
        <v>3255094179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-4.7769082223798123E-3</v>
      </c>
      <c r="Q256">
        <f t="shared" si="960"/>
        <v>-15549286.148285765</v>
      </c>
      <c r="R256">
        <f t="shared" si="961"/>
        <v>-14865784433.387175</v>
      </c>
      <c r="S256">
        <f t="shared" si="962"/>
        <v>-148657.84433387173</v>
      </c>
      <c r="T256">
        <f t="shared" si="963"/>
        <v>-148.65784433387174</v>
      </c>
    </row>
    <row r="257" spans="1:20" x14ac:dyDescent="0.25">
      <c r="A257" s="5">
        <v>44336</v>
      </c>
      <c r="B257">
        <v>2.3460999999999999E-2</v>
      </c>
      <c r="C257">
        <v>3.3777000000000001E-2</v>
      </c>
      <c r="D257">
        <v>2.0900999999999999E-2</v>
      </c>
      <c r="E257">
        <v>3.0183999999999999E-2</v>
      </c>
      <c r="F257">
        <v>3805254342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0.44190742466604505</v>
      </c>
      <c r="Q257">
        <f t="shared" si="960"/>
        <v>1681570146.4725058</v>
      </c>
      <c r="R257">
        <f t="shared" si="961"/>
        <v>-14850235147.23889</v>
      </c>
      <c r="S257">
        <f t="shared" si="962"/>
        <v>-148502.35147238889</v>
      </c>
      <c r="T257">
        <f t="shared" si="963"/>
        <v>-148.50235147238888</v>
      </c>
    </row>
    <row r="258" spans="1:20" x14ac:dyDescent="0.25">
      <c r="A258" s="5">
        <v>44335</v>
      </c>
      <c r="B258">
        <v>3.6933000000000001E-2</v>
      </c>
      <c r="C258">
        <v>3.7751E-2</v>
      </c>
      <c r="D258">
        <v>1.6733000000000001E-2</v>
      </c>
      <c r="E258">
        <v>2.3466999999999998E-2</v>
      </c>
      <c r="F258">
        <v>4307096221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-0.35921591017223359</v>
      </c>
      <c r="Q258">
        <f t="shared" si="960"/>
        <v>-1547177489.2259028</v>
      </c>
      <c r="R258">
        <f t="shared" si="961"/>
        <v>-16531805293.711395</v>
      </c>
      <c r="S258">
        <f t="shared" si="962"/>
        <v>-165318.05293711394</v>
      </c>
      <c r="T258">
        <f t="shared" si="963"/>
        <v>-165.31805293711395</v>
      </c>
    </row>
    <row r="259" spans="1:20" x14ac:dyDescent="0.25">
      <c r="A259" s="5">
        <v>44334</v>
      </c>
      <c r="B259">
        <v>3.6402999999999998E-2</v>
      </c>
      <c r="C259">
        <v>3.9710000000000002E-2</v>
      </c>
      <c r="D259">
        <v>3.6038000000000001E-2</v>
      </c>
      <c r="E259">
        <v>3.6958999999999999E-2</v>
      </c>
      <c r="F259">
        <v>1544124837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-0.49836601307189665</v>
      </c>
      <c r="Q259">
        <f t="shared" si="960"/>
        <v>-769539338.70098233</v>
      </c>
      <c r="R259">
        <f t="shared" si="961"/>
        <v>-14984627804.485493</v>
      </c>
      <c r="S259">
        <f t="shared" si="962"/>
        <v>-149846.27804485493</v>
      </c>
      <c r="T259">
        <f t="shared" si="963"/>
        <v>-149.84627804485493</v>
      </c>
    </row>
    <row r="260" spans="1:20" x14ac:dyDescent="0.25">
      <c r="A260" s="5">
        <v>44333</v>
      </c>
      <c r="B260">
        <v>3.9626000000000001E-2</v>
      </c>
      <c r="C260">
        <v>3.9690000000000003E-2</v>
      </c>
      <c r="D260">
        <v>3.4589000000000002E-2</v>
      </c>
      <c r="E260">
        <v>3.6387999999999997E-2</v>
      </c>
      <c r="F260">
        <v>2026756963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-0.29464810821407778</v>
      </c>
      <c r="Q260">
        <f t="shared" si="960"/>
        <v>-597180104.9576596</v>
      </c>
      <c r="R260">
        <f t="shared" si="961"/>
        <v>-14215088465.78451</v>
      </c>
      <c r="S260">
        <f t="shared" si="962"/>
        <v>-142150.8846578451</v>
      </c>
      <c r="T260">
        <f t="shared" si="963"/>
        <v>-142.1508846578451</v>
      </c>
    </row>
    <row r="261" spans="1:20" x14ac:dyDescent="0.25">
      <c r="A261" s="5">
        <v>44332</v>
      </c>
      <c r="B261">
        <v>3.9036000000000001E-2</v>
      </c>
      <c r="C261">
        <v>4.2573E-2</v>
      </c>
      <c r="D261">
        <v>3.6459999999999999E-2</v>
      </c>
      <c r="E261">
        <v>3.9650999999999999E-2</v>
      </c>
      <c r="F261">
        <v>2046423570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4.4004580402420806E-2</v>
      </c>
      <c r="Q261">
        <f t="shared" si="960"/>
        <v>90052010.523474023</v>
      </c>
      <c r="R261">
        <f t="shared" si="961"/>
        <v>-13617908360.826851</v>
      </c>
      <c r="S261">
        <f t="shared" si="962"/>
        <v>-136179.0836082685</v>
      </c>
      <c r="T261">
        <f t="shared" si="963"/>
        <v>-136.17908360826848</v>
      </c>
    </row>
    <row r="262" spans="1:20" x14ac:dyDescent="0.25">
      <c r="A262" s="5">
        <v>44331</v>
      </c>
      <c r="B262">
        <v>4.2882000000000003E-2</v>
      </c>
      <c r="C262">
        <v>4.6099000000000001E-2</v>
      </c>
      <c r="D262">
        <v>3.8542E-2</v>
      </c>
      <c r="E262">
        <v>3.9036000000000001E-2</v>
      </c>
      <c r="F262">
        <v>2720249538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-0.86926028847426196</v>
      </c>
      <c r="Q262">
        <f t="shared" ref="Q262:Q325" si="965">F262*P262</f>
        <v>-2364604898.123858</v>
      </c>
      <c r="R262">
        <f t="shared" ref="R262:R325" si="966">R263+Q262</f>
        <v>-13707960371.350325</v>
      </c>
      <c r="S262">
        <f t="shared" ref="S262:S325" si="967">R262/100000</f>
        <v>-137079.60371350325</v>
      </c>
      <c r="T262">
        <f t="shared" ref="T262:T325" si="968">S262/1000</f>
        <v>-137.07960371350325</v>
      </c>
    </row>
    <row r="263" spans="1:20" x14ac:dyDescent="0.25">
      <c r="A263" s="5">
        <v>44330</v>
      </c>
      <c r="B263">
        <v>3.9600000000000003E-2</v>
      </c>
      <c r="C263">
        <v>4.5726000000000003E-2</v>
      </c>
      <c r="D263">
        <v>3.8427000000000003E-2</v>
      </c>
      <c r="E263">
        <v>4.2849999999999999E-2</v>
      </c>
      <c r="F263">
        <v>2626340268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0.21194684203315425</v>
      </c>
      <c r="Q263">
        <f t="shared" si="965"/>
        <v>556644525.90710795</v>
      </c>
      <c r="R263">
        <f t="shared" si="966"/>
        <v>-11343355473.226467</v>
      </c>
      <c r="S263">
        <f t="shared" si="967"/>
        <v>-113433.55473226467</v>
      </c>
      <c r="T263">
        <f t="shared" si="968"/>
        <v>-113.43355473226467</v>
      </c>
    </row>
    <row r="264" spans="1:20" x14ac:dyDescent="0.25">
      <c r="A264" s="5">
        <v>44329</v>
      </c>
      <c r="B264">
        <v>3.9773000000000003E-2</v>
      </c>
      <c r="C264">
        <v>4.3799999999999999E-2</v>
      </c>
      <c r="D264">
        <v>3.61E-2</v>
      </c>
      <c r="E264">
        <v>3.9592000000000002E-2</v>
      </c>
      <c r="F264">
        <v>3351649568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-9.2987012987012285E-2</v>
      </c>
      <c r="Q264">
        <f t="shared" si="965"/>
        <v>-311659881.90753013</v>
      </c>
      <c r="R264">
        <f t="shared" si="966"/>
        <v>-11899999999.133575</v>
      </c>
      <c r="S264">
        <f t="shared" si="967"/>
        <v>-118999.99999133576</v>
      </c>
      <c r="T264">
        <f t="shared" si="968"/>
        <v>-118.99999999133576</v>
      </c>
    </row>
    <row r="265" spans="1:20" x14ac:dyDescent="0.25">
      <c r="A265" s="5">
        <v>44328</v>
      </c>
      <c r="B265">
        <v>5.1212000000000001E-2</v>
      </c>
      <c r="C265">
        <v>5.3949999999999998E-2</v>
      </c>
      <c r="D265">
        <v>3.8897000000000001E-2</v>
      </c>
      <c r="E265">
        <v>3.9725000000000003E-2</v>
      </c>
      <c r="F265">
        <v>4423489653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-0.88998870657011853</v>
      </c>
      <c r="Q265">
        <f t="shared" si="965"/>
        <v>-3936855834.7997723</v>
      </c>
      <c r="R265">
        <f t="shared" si="966"/>
        <v>-11588340117.226046</v>
      </c>
      <c r="S265">
        <f t="shared" si="967"/>
        <v>-115883.40117226046</v>
      </c>
      <c r="T265">
        <f t="shared" si="968"/>
        <v>-115.88340117226046</v>
      </c>
    </row>
    <row r="266" spans="1:20" x14ac:dyDescent="0.25">
      <c r="A266" s="5">
        <v>44327</v>
      </c>
      <c r="B266">
        <v>3.8052000000000002E-2</v>
      </c>
      <c r="C266">
        <v>5.5500000000000001E-2</v>
      </c>
      <c r="D266">
        <v>3.6499999999999998E-2</v>
      </c>
      <c r="E266">
        <v>5.1151000000000002E-2</v>
      </c>
      <c r="F266">
        <v>12227833746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0.5422105263157897</v>
      </c>
      <c r="Q266">
        <f t="shared" si="965"/>
        <v>6630060171.1206341</v>
      </c>
      <c r="R266">
        <f t="shared" si="966"/>
        <v>-7651484282.4262733</v>
      </c>
      <c r="S266">
        <f t="shared" si="967"/>
        <v>-76514.842824262727</v>
      </c>
      <c r="T266">
        <f t="shared" si="968"/>
        <v>-76.514842824262729</v>
      </c>
    </row>
    <row r="267" spans="1:20" x14ac:dyDescent="0.25">
      <c r="A267" s="5">
        <v>44326</v>
      </c>
      <c r="B267">
        <v>4.2568000000000002E-2</v>
      </c>
      <c r="C267">
        <v>4.3998000000000002E-2</v>
      </c>
      <c r="D267">
        <v>3.4520000000000002E-2</v>
      </c>
      <c r="E267">
        <v>3.8012999999999998E-2</v>
      </c>
      <c r="F267">
        <v>2417857710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-0.2629246676514041</v>
      </c>
      <c r="Q267">
        <f t="shared" si="965"/>
        <v>-635714434.83013499</v>
      </c>
      <c r="R267">
        <f t="shared" si="966"/>
        <v>-14281544453.546907</v>
      </c>
      <c r="S267">
        <f t="shared" si="967"/>
        <v>-142815.44453546908</v>
      </c>
      <c r="T267">
        <f t="shared" si="968"/>
        <v>-142.81544453546908</v>
      </c>
    </row>
    <row r="268" spans="1:20" x14ac:dyDescent="0.25">
      <c r="A268" s="5">
        <v>44325</v>
      </c>
      <c r="B268">
        <v>4.2209999999999998E-2</v>
      </c>
      <c r="C268">
        <v>4.4200000000000003E-2</v>
      </c>
      <c r="D268">
        <v>4.0099999999999997E-2</v>
      </c>
      <c r="E268">
        <v>4.2578999999999999E-2</v>
      </c>
      <c r="F268">
        <v>2045963026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0.20926829268292593</v>
      </c>
      <c r="Q268">
        <f t="shared" si="965"/>
        <v>428155189.34341282</v>
      </c>
      <c r="R268">
        <f t="shared" si="966"/>
        <v>-13645830018.716772</v>
      </c>
      <c r="S268">
        <f t="shared" si="967"/>
        <v>-136458.30018716771</v>
      </c>
      <c r="T268">
        <f t="shared" si="968"/>
        <v>-136.45830018716771</v>
      </c>
    </row>
    <row r="269" spans="1:20" x14ac:dyDescent="0.25">
      <c r="A269" s="5">
        <v>44324</v>
      </c>
      <c r="B269">
        <v>4.1195000000000002E-2</v>
      </c>
      <c r="C269">
        <v>4.5776999999999998E-2</v>
      </c>
      <c r="D269">
        <v>4.0211999999999998E-2</v>
      </c>
      <c r="E269">
        <v>4.2216999999999998E-2</v>
      </c>
      <c r="F269">
        <v>3612712527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-0.27942497753818518</v>
      </c>
      <c r="Q269">
        <f t="shared" si="965"/>
        <v>-1009482116.7088952</v>
      </c>
      <c r="R269">
        <f t="shared" si="966"/>
        <v>-14073985208.060184</v>
      </c>
      <c r="S269">
        <f t="shared" si="967"/>
        <v>-140739.85208060185</v>
      </c>
      <c r="T269">
        <f t="shared" si="968"/>
        <v>-140.73985208060185</v>
      </c>
    </row>
    <row r="270" spans="1:20" x14ac:dyDescent="0.25">
      <c r="A270" s="5">
        <v>44323</v>
      </c>
      <c r="B270">
        <v>3.9028E-2</v>
      </c>
      <c r="C270">
        <v>4.2774E-2</v>
      </c>
      <c r="D270">
        <v>3.7643999999999997E-2</v>
      </c>
      <c r="E270">
        <v>4.1206E-2</v>
      </c>
      <c r="F270">
        <v>2355154816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0.38869395711501009</v>
      </c>
      <c r="Q270">
        <f t="shared" si="965"/>
        <v>915434445.04951346</v>
      </c>
      <c r="R270">
        <f t="shared" si="966"/>
        <v>-13064503091.35129</v>
      </c>
      <c r="S270">
        <f t="shared" si="967"/>
        <v>-130645.03091351289</v>
      </c>
      <c r="T270">
        <f t="shared" si="968"/>
        <v>-130.6450309135129</v>
      </c>
    </row>
    <row r="271" spans="1:20" x14ac:dyDescent="0.25">
      <c r="A271" s="5">
        <v>44322</v>
      </c>
      <c r="B271">
        <v>4.0256E-2</v>
      </c>
      <c r="C271">
        <v>4.1000000000000002E-2</v>
      </c>
      <c r="D271">
        <v>3.7574000000000003E-2</v>
      </c>
      <c r="E271">
        <v>3.9050000000000001E-2</v>
      </c>
      <c r="F271">
        <v>1836045786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-0.13835376532399371</v>
      </c>
      <c r="Q271">
        <f t="shared" si="965"/>
        <v>-254023847.80035159</v>
      </c>
      <c r="R271">
        <f t="shared" si="966"/>
        <v>-13979937536.400803</v>
      </c>
      <c r="S271">
        <f t="shared" si="967"/>
        <v>-139799.37536400804</v>
      </c>
      <c r="T271">
        <f t="shared" si="968"/>
        <v>-139.79937536400803</v>
      </c>
    </row>
    <row r="272" spans="1:20" x14ac:dyDescent="0.25">
      <c r="A272" s="5">
        <v>44321</v>
      </c>
      <c r="B272">
        <v>3.6477000000000002E-2</v>
      </c>
      <c r="C272">
        <v>4.1061E-2</v>
      </c>
      <c r="D272">
        <v>3.5999999999999997E-2</v>
      </c>
      <c r="E272">
        <v>4.0257000000000001E-2</v>
      </c>
      <c r="F272">
        <v>1725736471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0.68227622999407289</v>
      </c>
      <c r="Q272">
        <f t="shared" si="965"/>
        <v>1177428973.3971558</v>
      </c>
      <c r="R272">
        <f t="shared" si="966"/>
        <v>-13725913688.600451</v>
      </c>
      <c r="S272">
        <f t="shared" si="967"/>
        <v>-137259.1368860045</v>
      </c>
      <c r="T272">
        <f t="shared" si="968"/>
        <v>-137.25913688600451</v>
      </c>
    </row>
    <row r="273" spans="1:20" x14ac:dyDescent="0.25">
      <c r="A273" s="5">
        <v>44320</v>
      </c>
      <c r="B273">
        <v>4.1398999999999998E-2</v>
      </c>
      <c r="C273">
        <v>4.1410000000000002E-2</v>
      </c>
      <c r="D273">
        <v>3.6142000000000001E-2</v>
      </c>
      <c r="E273">
        <v>3.6441000000000001E-2</v>
      </c>
      <c r="F273">
        <v>2114003995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-0.88648443432042501</v>
      </c>
      <c r="Q273">
        <f t="shared" si="965"/>
        <v>-1874031635.6586936</v>
      </c>
      <c r="R273">
        <f t="shared" si="966"/>
        <v>-14903342661.997606</v>
      </c>
      <c r="S273">
        <f t="shared" si="967"/>
        <v>-149033.42661997606</v>
      </c>
      <c r="T273">
        <f t="shared" si="968"/>
        <v>-149.03342661997607</v>
      </c>
    </row>
    <row r="274" spans="1:20" x14ac:dyDescent="0.25">
      <c r="A274" s="5">
        <v>44319</v>
      </c>
      <c r="B274">
        <v>3.9849999999999997E-2</v>
      </c>
      <c r="C274">
        <v>4.3889999999999998E-2</v>
      </c>
      <c r="D274">
        <v>3.9684999999999998E-2</v>
      </c>
      <c r="E274">
        <v>4.1399999999999999E-2</v>
      </c>
      <c r="F274">
        <v>1968979039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-0.18430439952437522</v>
      </c>
      <c r="Q274">
        <f t="shared" si="965"/>
        <v>-362891499.45897639</v>
      </c>
      <c r="R274">
        <f t="shared" si="966"/>
        <v>-13029311026.338913</v>
      </c>
      <c r="S274">
        <f t="shared" si="967"/>
        <v>-130293.11026338913</v>
      </c>
      <c r="T274">
        <f t="shared" si="968"/>
        <v>-130.29311026338914</v>
      </c>
    </row>
    <row r="275" spans="1:20" x14ac:dyDescent="0.25">
      <c r="A275" s="5">
        <v>44318</v>
      </c>
      <c r="B275">
        <v>4.1269E-2</v>
      </c>
      <c r="C275">
        <v>4.1328999999999998E-2</v>
      </c>
      <c r="D275">
        <v>3.8198999999999997E-2</v>
      </c>
      <c r="E275">
        <v>3.9849999999999997E-2</v>
      </c>
      <c r="F275">
        <v>1434406227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5.4952076677315817E-2</v>
      </c>
      <c r="Q275">
        <f t="shared" si="965"/>
        <v>78823600.972523272</v>
      </c>
      <c r="R275">
        <f t="shared" si="966"/>
        <v>-12666419526.879936</v>
      </c>
      <c r="S275">
        <f t="shared" si="967"/>
        <v>-126664.19526879936</v>
      </c>
      <c r="T275">
        <f t="shared" si="968"/>
        <v>-126.66419526879936</v>
      </c>
    </row>
    <row r="276" spans="1:20" x14ac:dyDescent="0.25">
      <c r="A276" s="5">
        <v>44317</v>
      </c>
      <c r="B276">
        <v>3.9966000000000002E-2</v>
      </c>
      <c r="C276">
        <v>4.2000000000000003E-2</v>
      </c>
      <c r="D276">
        <v>3.8276999999999999E-2</v>
      </c>
      <c r="E276">
        <v>4.1269E-2</v>
      </c>
      <c r="F276">
        <v>1676155514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0.60730593607305849</v>
      </c>
      <c r="Q276">
        <f t="shared" si="965"/>
        <v>1017939193.4337885</v>
      </c>
      <c r="R276">
        <f t="shared" si="966"/>
        <v>-12745243127.852459</v>
      </c>
      <c r="S276">
        <f t="shared" si="967"/>
        <v>-127452.43127852459</v>
      </c>
      <c r="T276">
        <f t="shared" si="968"/>
        <v>-127.45243127852459</v>
      </c>
    </row>
    <row r="277" spans="1:20" x14ac:dyDescent="0.25">
      <c r="A277" s="5">
        <v>44316</v>
      </c>
      <c r="B277">
        <v>3.5825999999999997E-2</v>
      </c>
      <c r="C277">
        <v>4.1099999999999998E-2</v>
      </c>
      <c r="D277">
        <v>3.5150000000000001E-2</v>
      </c>
      <c r="E277">
        <v>3.9978E-2</v>
      </c>
      <c r="F277">
        <v>2685843089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0.62285714285714333</v>
      </c>
      <c r="Q277">
        <f t="shared" si="965"/>
        <v>1672896552.5771441</v>
      </c>
      <c r="R277">
        <f t="shared" si="966"/>
        <v>-13763182321.286247</v>
      </c>
      <c r="S277">
        <f t="shared" si="967"/>
        <v>-137631.82321286248</v>
      </c>
      <c r="T277">
        <f t="shared" si="968"/>
        <v>-137.63182321286249</v>
      </c>
    </row>
    <row r="278" spans="1:20" x14ac:dyDescent="0.25">
      <c r="A278" s="5">
        <v>44315</v>
      </c>
      <c r="B278">
        <v>3.4964000000000002E-2</v>
      </c>
      <c r="C278">
        <v>3.7205000000000002E-2</v>
      </c>
      <c r="D278">
        <v>3.3764000000000002E-2</v>
      </c>
      <c r="E278">
        <v>3.5804000000000002E-2</v>
      </c>
      <c r="F278">
        <v>1522623793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0.18570183086312139</v>
      </c>
      <c r="Q278">
        <f t="shared" si="965"/>
        <v>282754026.07585037</v>
      </c>
      <c r="R278">
        <f t="shared" si="966"/>
        <v>-15436078873.863392</v>
      </c>
      <c r="S278">
        <f t="shared" si="967"/>
        <v>-154360.78873863391</v>
      </c>
      <c r="T278">
        <f t="shared" si="968"/>
        <v>-154.36078873863391</v>
      </c>
    </row>
    <row r="279" spans="1:20" x14ac:dyDescent="0.25">
      <c r="A279" s="5">
        <v>44314</v>
      </c>
      <c r="B279">
        <v>3.6665999999999997E-2</v>
      </c>
      <c r="C279">
        <v>3.7723E-2</v>
      </c>
      <c r="D279">
        <v>3.3334999999999997E-2</v>
      </c>
      <c r="E279">
        <v>3.4957000000000002E-2</v>
      </c>
      <c r="F279">
        <v>1280466932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-0.26071103008204</v>
      </c>
      <c r="Q279">
        <f t="shared" si="965"/>
        <v>-333831852.82770944</v>
      </c>
      <c r="R279">
        <f t="shared" si="966"/>
        <v>-15718832899.939241</v>
      </c>
      <c r="S279">
        <f t="shared" si="967"/>
        <v>-157188.32899939243</v>
      </c>
      <c r="T279">
        <f t="shared" si="968"/>
        <v>-157.18832899939244</v>
      </c>
    </row>
    <row r="280" spans="1:20" x14ac:dyDescent="0.25">
      <c r="A280" s="5">
        <v>44313</v>
      </c>
      <c r="B280">
        <v>3.5133999999999999E-2</v>
      </c>
      <c r="C280">
        <v>3.7100000000000001E-2</v>
      </c>
      <c r="D280">
        <v>3.4601E-2</v>
      </c>
      <c r="E280">
        <v>3.6665999999999997E-2</v>
      </c>
      <c r="F280">
        <v>1280659953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0.65266106442576743</v>
      </c>
      <c r="Q280">
        <f t="shared" si="965"/>
        <v>835836888.09243333</v>
      </c>
      <c r="R280">
        <f t="shared" si="966"/>
        <v>-15385001047.111532</v>
      </c>
      <c r="S280">
        <f t="shared" si="967"/>
        <v>-153850.01047111533</v>
      </c>
      <c r="T280">
        <f t="shared" si="968"/>
        <v>-153.85001047111533</v>
      </c>
    </row>
    <row r="281" spans="1:20" x14ac:dyDescent="0.25">
      <c r="A281" s="5">
        <v>44312</v>
      </c>
      <c r="B281">
        <v>3.1227000000000001E-2</v>
      </c>
      <c r="C281">
        <v>3.5876999999999999E-2</v>
      </c>
      <c r="D281">
        <v>3.0800999999999999E-2</v>
      </c>
      <c r="E281">
        <v>3.5118999999999997E-2</v>
      </c>
      <c r="F281">
        <v>1326249007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0.70133963750984962</v>
      </c>
      <c r="Q281">
        <f t="shared" si="965"/>
        <v>930150997.81717801</v>
      </c>
      <c r="R281">
        <f t="shared" si="966"/>
        <v>-16220837935.203966</v>
      </c>
      <c r="S281">
        <f t="shared" si="967"/>
        <v>-162208.37935203966</v>
      </c>
      <c r="T281">
        <f t="shared" si="968"/>
        <v>-162.20837935203966</v>
      </c>
    </row>
    <row r="282" spans="1:20" x14ac:dyDescent="0.25">
      <c r="A282" s="5">
        <v>44311</v>
      </c>
      <c r="B282">
        <v>3.1196999999999999E-2</v>
      </c>
      <c r="C282">
        <v>3.3437000000000001E-2</v>
      </c>
      <c r="D282">
        <v>2.9000000000000001E-2</v>
      </c>
      <c r="E282">
        <v>3.1202000000000001E-2</v>
      </c>
      <c r="F282">
        <v>976708171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-7.4374577417177772E-3</v>
      </c>
      <c r="Q282">
        <f t="shared" si="965"/>
        <v>-7264225.7478029607</v>
      </c>
      <c r="R282">
        <f t="shared" si="966"/>
        <v>-17150988933.021145</v>
      </c>
      <c r="S282">
        <f t="shared" si="967"/>
        <v>-171509.88933021144</v>
      </c>
      <c r="T282">
        <f t="shared" si="968"/>
        <v>-171.50988933021145</v>
      </c>
    </row>
    <row r="283" spans="1:20" x14ac:dyDescent="0.25">
      <c r="A283" s="5">
        <v>44310</v>
      </c>
      <c r="B283">
        <v>3.3326000000000001E-2</v>
      </c>
      <c r="C283">
        <v>3.4488999999999999E-2</v>
      </c>
      <c r="D283">
        <v>3.0099999999999998E-2</v>
      </c>
      <c r="E283">
        <v>3.1175999999999999E-2</v>
      </c>
      <c r="F283">
        <v>1415130243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-0.50968329915698318</v>
      </c>
      <c r="Q283">
        <f t="shared" si="965"/>
        <v>-721268250.98906326</v>
      </c>
      <c r="R283">
        <f t="shared" si="966"/>
        <v>-17143724707.273342</v>
      </c>
      <c r="S283">
        <f t="shared" si="967"/>
        <v>-171437.24707273341</v>
      </c>
      <c r="T283">
        <f t="shared" si="968"/>
        <v>-171.43724707273341</v>
      </c>
    </row>
    <row r="284" spans="1:20" x14ac:dyDescent="0.25">
      <c r="A284" s="5">
        <v>44309</v>
      </c>
      <c r="B284">
        <v>3.4840999999999997E-2</v>
      </c>
      <c r="C284">
        <v>3.6908999999999997E-2</v>
      </c>
      <c r="D284">
        <v>2.7758999999999999E-2</v>
      </c>
      <c r="E284">
        <v>3.3309999999999999E-2</v>
      </c>
      <c r="F284">
        <v>3510328568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0.21333333333333362</v>
      </c>
      <c r="Q284">
        <f t="shared" si="965"/>
        <v>748870094.50666773</v>
      </c>
      <c r="R284">
        <f t="shared" si="966"/>
        <v>-16422456456.284279</v>
      </c>
      <c r="S284">
        <f t="shared" si="967"/>
        <v>-164224.5645628428</v>
      </c>
      <c r="T284">
        <f t="shared" si="968"/>
        <v>-164.2245645628428</v>
      </c>
    </row>
    <row r="285" spans="1:20" x14ac:dyDescent="0.25">
      <c r="A285" s="5">
        <v>44308</v>
      </c>
      <c r="B285">
        <v>3.2217000000000003E-2</v>
      </c>
      <c r="C285">
        <v>3.9E-2</v>
      </c>
      <c r="D285">
        <v>3.1199999999999999E-2</v>
      </c>
      <c r="E285">
        <v>3.4841999999999998E-2</v>
      </c>
      <c r="F285">
        <v>3422732133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-6.6153846153846466E-2</v>
      </c>
      <c r="Q285">
        <f t="shared" si="965"/>
        <v>-226426894.95230877</v>
      </c>
      <c r="R285">
        <f t="shared" si="966"/>
        <v>-17171326550.790947</v>
      </c>
      <c r="S285">
        <f t="shared" si="967"/>
        <v>-171713.26550790947</v>
      </c>
      <c r="T285">
        <f t="shared" si="968"/>
        <v>-171.71326550790948</v>
      </c>
    </row>
    <row r="286" spans="1:20" x14ac:dyDescent="0.25">
      <c r="A286" s="5">
        <v>44307</v>
      </c>
      <c r="B286">
        <v>3.4429000000000001E-2</v>
      </c>
      <c r="C286">
        <v>3.56E-2</v>
      </c>
      <c r="D286">
        <v>3.2029000000000002E-2</v>
      </c>
      <c r="E286">
        <v>3.2249E-2</v>
      </c>
      <c r="F286">
        <v>1309022567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-0.8767852142257081</v>
      </c>
      <c r="Q286">
        <f t="shared" si="965"/>
        <v>-1147731631.8333814</v>
      </c>
      <c r="R286">
        <f t="shared" si="966"/>
        <v>-16944899655.838638</v>
      </c>
      <c r="S286">
        <f t="shared" si="967"/>
        <v>-169448.9965583864</v>
      </c>
      <c r="T286">
        <f t="shared" si="968"/>
        <v>-169.4489965583864</v>
      </c>
    </row>
    <row r="287" spans="1:20" x14ac:dyDescent="0.25">
      <c r="A287" s="5">
        <v>44306</v>
      </c>
      <c r="B287">
        <v>3.3999000000000001E-2</v>
      </c>
      <c r="C287">
        <v>3.6170000000000001E-2</v>
      </c>
      <c r="D287">
        <v>3.0336999999999999E-2</v>
      </c>
      <c r="E287">
        <v>3.4422000000000001E-2</v>
      </c>
      <c r="F287">
        <v>1590972458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0.40065146579804589</v>
      </c>
      <c r="Q287">
        <f t="shared" si="965"/>
        <v>637425447.34202003</v>
      </c>
      <c r="R287">
        <f t="shared" si="966"/>
        <v>-15797168024.005257</v>
      </c>
      <c r="S287">
        <f t="shared" si="967"/>
        <v>-157971.68024005258</v>
      </c>
      <c r="T287">
        <f t="shared" si="968"/>
        <v>-157.97168024005256</v>
      </c>
    </row>
    <row r="288" spans="1:20" x14ac:dyDescent="0.25">
      <c r="A288" s="5">
        <v>44305</v>
      </c>
      <c r="B288">
        <v>3.7385000000000002E-2</v>
      </c>
      <c r="C288">
        <v>3.8960000000000002E-2</v>
      </c>
      <c r="D288">
        <v>3.3156999999999999E-2</v>
      </c>
      <c r="E288">
        <v>3.3999000000000001E-2</v>
      </c>
      <c r="F288">
        <v>2122404990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-0.70980527313458486</v>
      </c>
      <c r="Q288">
        <f t="shared" si="965"/>
        <v>-1506494253.6291559</v>
      </c>
      <c r="R288">
        <f t="shared" si="966"/>
        <v>-16434593471.347277</v>
      </c>
      <c r="S288">
        <f t="shared" si="967"/>
        <v>-164345.93471347276</v>
      </c>
      <c r="T288">
        <f t="shared" si="968"/>
        <v>-164.34593471347276</v>
      </c>
    </row>
    <row r="289" spans="1:20" x14ac:dyDescent="0.25">
      <c r="A289" s="5">
        <v>44304</v>
      </c>
      <c r="B289">
        <v>4.5601999999999997E-2</v>
      </c>
      <c r="C289">
        <v>4.7E-2</v>
      </c>
      <c r="D289">
        <v>3.1800000000000002E-2</v>
      </c>
      <c r="E289">
        <v>3.7374999999999999E-2</v>
      </c>
      <c r="F289">
        <v>3632105560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-0.26644736842105299</v>
      </c>
      <c r="Q289">
        <f t="shared" si="965"/>
        <v>-967764968.28947496</v>
      </c>
      <c r="R289">
        <f t="shared" si="966"/>
        <v>-14928099217.718121</v>
      </c>
      <c r="S289">
        <f t="shared" si="967"/>
        <v>-149280.99217718121</v>
      </c>
      <c r="T289">
        <f t="shared" si="968"/>
        <v>-149.28099217718122</v>
      </c>
    </row>
    <row r="290" spans="1:20" x14ac:dyDescent="0.25">
      <c r="A290" s="5">
        <v>44303</v>
      </c>
      <c r="B290">
        <v>4.0016000000000003E-2</v>
      </c>
      <c r="C290">
        <v>4.8726999999999999E-2</v>
      </c>
      <c r="D290">
        <v>3.9979000000000001E-2</v>
      </c>
      <c r="E290">
        <v>4.5601999999999997E-2</v>
      </c>
      <c r="F290">
        <v>4286942676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0.28555098308184657</v>
      </c>
      <c r="Q290">
        <f t="shared" si="965"/>
        <v>1224140695.547322</v>
      </c>
      <c r="R290">
        <f t="shared" si="966"/>
        <v>-13960334249.428646</v>
      </c>
      <c r="S290">
        <f t="shared" si="967"/>
        <v>-139603.34249428645</v>
      </c>
      <c r="T290">
        <f t="shared" si="968"/>
        <v>-139.60334249428644</v>
      </c>
    </row>
    <row r="291" spans="1:20" x14ac:dyDescent="0.25">
      <c r="A291" s="5">
        <v>44302</v>
      </c>
      <c r="B291">
        <v>4.2684E-2</v>
      </c>
      <c r="C291">
        <v>4.3333999999999998E-2</v>
      </c>
      <c r="D291">
        <v>3.8564000000000001E-2</v>
      </c>
      <c r="E291">
        <v>4.0016000000000003E-2</v>
      </c>
      <c r="F291">
        <v>1961092137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-0.39119496855345787</v>
      </c>
      <c r="Q291">
        <f t="shared" si="965"/>
        <v>-767169376.8641485</v>
      </c>
      <c r="R291">
        <f t="shared" si="966"/>
        <v>-15184474944.975967</v>
      </c>
      <c r="S291">
        <f t="shared" si="967"/>
        <v>-151844.74944975966</v>
      </c>
      <c r="T291">
        <f t="shared" si="968"/>
        <v>-151.84474944975966</v>
      </c>
    </row>
    <row r="292" spans="1:20" x14ac:dyDescent="0.25">
      <c r="A292" s="5">
        <v>44301</v>
      </c>
      <c r="B292">
        <v>4.1952999999999997E-2</v>
      </c>
      <c r="C292">
        <v>4.3900000000000002E-2</v>
      </c>
      <c r="D292">
        <v>4.0565999999999998E-2</v>
      </c>
      <c r="E292">
        <v>4.2687999999999997E-2</v>
      </c>
      <c r="F292">
        <v>1974151787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0.27294541091781438</v>
      </c>
      <c r="Q292">
        <f t="shared" si="965"/>
        <v>538835670.71685255</v>
      </c>
      <c r="R292">
        <f t="shared" si="966"/>
        <v>-14417305568.111818</v>
      </c>
      <c r="S292">
        <f t="shared" si="967"/>
        <v>-144173.05568111819</v>
      </c>
      <c r="T292">
        <f t="shared" si="968"/>
        <v>-144.1730556811182</v>
      </c>
    </row>
    <row r="293" spans="1:20" x14ac:dyDescent="0.25">
      <c r="A293" s="5">
        <v>44300</v>
      </c>
      <c r="B293">
        <v>3.9059999999999997E-2</v>
      </c>
      <c r="C293">
        <v>4.2902999999999997E-2</v>
      </c>
      <c r="D293">
        <v>3.8313E-2</v>
      </c>
      <c r="E293">
        <v>4.2021999999999997E-2</v>
      </c>
      <c r="F293">
        <v>3057709345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0.61612200435729825</v>
      </c>
      <c r="Q293">
        <f t="shared" si="965"/>
        <v>1883922010.3834417</v>
      </c>
      <c r="R293">
        <f t="shared" si="966"/>
        <v>-14956141238.828671</v>
      </c>
      <c r="S293">
        <f t="shared" si="967"/>
        <v>-149561.4123882867</v>
      </c>
      <c r="T293">
        <f t="shared" si="968"/>
        <v>-149.5614123882867</v>
      </c>
    </row>
    <row r="294" spans="1:20" x14ac:dyDescent="0.25">
      <c r="A294" s="5">
        <v>44299</v>
      </c>
      <c r="B294">
        <v>3.7938E-2</v>
      </c>
      <c r="C294">
        <v>3.9711000000000003E-2</v>
      </c>
      <c r="D294">
        <v>3.6939E-2</v>
      </c>
      <c r="E294">
        <v>3.9083E-2</v>
      </c>
      <c r="F294">
        <v>1144627387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0.54689754689754488</v>
      </c>
      <c r="Q294">
        <f t="shared" si="965"/>
        <v>625993910.06204677</v>
      </c>
      <c r="R294">
        <f t="shared" si="966"/>
        <v>-16840063249.212112</v>
      </c>
      <c r="S294">
        <f t="shared" si="967"/>
        <v>-168400.63249212113</v>
      </c>
      <c r="T294">
        <f t="shared" si="968"/>
        <v>-168.40063249212113</v>
      </c>
    </row>
    <row r="295" spans="1:20" x14ac:dyDescent="0.25">
      <c r="A295" s="5">
        <v>44298</v>
      </c>
      <c r="B295">
        <v>3.9551000000000003E-2</v>
      </c>
      <c r="C295">
        <v>4.0599000000000003E-2</v>
      </c>
      <c r="D295">
        <v>3.7199999999999997E-2</v>
      </c>
      <c r="E295">
        <v>3.7941999999999997E-2</v>
      </c>
      <c r="F295">
        <v>1214392849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-0.56340100029420526</v>
      </c>
      <c r="Q295">
        <f t="shared" si="965"/>
        <v>-684190145.87672973</v>
      </c>
      <c r="R295">
        <f t="shared" si="966"/>
        <v>-17466057159.274158</v>
      </c>
      <c r="S295">
        <f t="shared" si="967"/>
        <v>-174660.57159274159</v>
      </c>
      <c r="T295">
        <f t="shared" si="968"/>
        <v>-174.66057159274158</v>
      </c>
    </row>
    <row r="296" spans="1:20" x14ac:dyDescent="0.25">
      <c r="A296" s="5">
        <v>44297</v>
      </c>
      <c r="B296">
        <v>3.9660000000000001E-2</v>
      </c>
      <c r="C296">
        <v>4.1567E-2</v>
      </c>
      <c r="D296">
        <v>3.9E-2</v>
      </c>
      <c r="E296">
        <v>3.9593999999999997E-2</v>
      </c>
      <c r="F296">
        <v>1752149878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-0.53720296065446249</v>
      </c>
      <c r="Q296">
        <f t="shared" si="965"/>
        <v>-941260101.9719553</v>
      </c>
      <c r="R296">
        <f t="shared" si="966"/>
        <v>-16781867013.39743</v>
      </c>
      <c r="S296">
        <f t="shared" si="967"/>
        <v>-167818.67013397432</v>
      </c>
      <c r="T296">
        <f t="shared" si="968"/>
        <v>-167.81867013397431</v>
      </c>
    </row>
    <row r="297" spans="1:20" x14ac:dyDescent="0.25">
      <c r="A297" s="5">
        <v>44296</v>
      </c>
      <c r="B297">
        <v>3.8101999999999997E-2</v>
      </c>
      <c r="C297">
        <v>4.2000000000000003E-2</v>
      </c>
      <c r="D297">
        <v>3.7589999999999998E-2</v>
      </c>
      <c r="E297">
        <v>3.9659E-2</v>
      </c>
      <c r="F297">
        <v>2327745906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-6.167800453514765E-2</v>
      </c>
      <c r="Q297">
        <f t="shared" si="965"/>
        <v>-143570722.54693937</v>
      </c>
      <c r="R297">
        <f t="shared" si="966"/>
        <v>-15840606911.425474</v>
      </c>
      <c r="S297">
        <f t="shared" si="967"/>
        <v>-158406.06911425473</v>
      </c>
      <c r="T297">
        <f t="shared" si="968"/>
        <v>-158.40606911425473</v>
      </c>
    </row>
    <row r="298" spans="1:20" x14ac:dyDescent="0.25">
      <c r="A298" s="5">
        <v>44295</v>
      </c>
      <c r="B298">
        <v>3.7422999999999998E-2</v>
      </c>
      <c r="C298">
        <v>3.9100000000000003E-2</v>
      </c>
      <c r="D298">
        <v>3.7035999999999999E-2</v>
      </c>
      <c r="E298">
        <v>3.8135000000000002E-2</v>
      </c>
      <c r="F298">
        <v>1155526558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6.4922480620155987E-2</v>
      </c>
      <c r="Q298">
        <f t="shared" si="965"/>
        <v>75019650.567830548</v>
      </c>
      <c r="R298">
        <f t="shared" si="966"/>
        <v>-15697036188.878534</v>
      </c>
      <c r="S298">
        <f t="shared" si="967"/>
        <v>-156970.36188878535</v>
      </c>
      <c r="T298">
        <f t="shared" si="968"/>
        <v>-156.97036188878536</v>
      </c>
    </row>
    <row r="299" spans="1:20" x14ac:dyDescent="0.25">
      <c r="A299" s="5">
        <v>44294</v>
      </c>
      <c r="B299">
        <v>3.5580000000000001E-2</v>
      </c>
      <c r="C299">
        <v>3.7853999999999999E-2</v>
      </c>
      <c r="D299">
        <v>3.5316E-2</v>
      </c>
      <c r="E299">
        <v>3.7422999999999998E-2</v>
      </c>
      <c r="F299">
        <v>857570670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0.66036249014972337</v>
      </c>
      <c r="Q299">
        <f t="shared" si="965"/>
        <v>566307503.12056673</v>
      </c>
      <c r="R299">
        <f t="shared" si="966"/>
        <v>-15772055839.446365</v>
      </c>
      <c r="S299">
        <f t="shared" si="967"/>
        <v>-157720.55839446365</v>
      </c>
      <c r="T299">
        <f t="shared" si="968"/>
        <v>-157.72055839446364</v>
      </c>
    </row>
    <row r="300" spans="1:20" x14ac:dyDescent="0.25">
      <c r="A300" s="5">
        <v>44293</v>
      </c>
      <c r="B300">
        <v>3.8559000000000003E-2</v>
      </c>
      <c r="C300">
        <v>3.8800000000000001E-2</v>
      </c>
      <c r="D300">
        <v>3.3000000000000002E-2</v>
      </c>
      <c r="E300">
        <v>3.5576000000000003E-2</v>
      </c>
      <c r="F300">
        <v>1379651960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-0.11172413793103377</v>
      </c>
      <c r="Q300">
        <f t="shared" si="965"/>
        <v>-154140425.87586108</v>
      </c>
      <c r="R300">
        <f t="shared" si="966"/>
        <v>-16338363342.566933</v>
      </c>
      <c r="S300">
        <f t="shared" si="967"/>
        <v>-163383.63342566934</v>
      </c>
      <c r="T300">
        <f t="shared" si="968"/>
        <v>-163.38363342566933</v>
      </c>
    </row>
    <row r="301" spans="1:20" x14ac:dyDescent="0.25">
      <c r="A301" s="5">
        <v>44292</v>
      </c>
      <c r="B301">
        <v>3.9342000000000002E-2</v>
      </c>
      <c r="C301">
        <v>4.0800000000000003E-2</v>
      </c>
      <c r="D301">
        <v>3.7185999999999997E-2</v>
      </c>
      <c r="E301">
        <v>3.8560999999999998E-2</v>
      </c>
      <c r="F301">
        <v>1422513350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-0.23907028223575047</v>
      </c>
      <c r="Q301">
        <f t="shared" si="965"/>
        <v>-340080668.06862289</v>
      </c>
      <c r="R301">
        <f t="shared" si="966"/>
        <v>-16184222916.691072</v>
      </c>
      <c r="S301">
        <f t="shared" si="967"/>
        <v>-161842.22916691072</v>
      </c>
      <c r="T301">
        <f t="shared" si="968"/>
        <v>-161.84222916691073</v>
      </c>
    </row>
    <row r="302" spans="1:20" x14ac:dyDescent="0.25">
      <c r="A302" s="5">
        <v>44291</v>
      </c>
      <c r="B302">
        <v>3.8958E-2</v>
      </c>
      <c r="C302">
        <v>4.129E-2</v>
      </c>
      <c r="D302">
        <v>3.6901000000000003E-2</v>
      </c>
      <c r="E302">
        <v>3.9341000000000001E-2</v>
      </c>
      <c r="F302">
        <v>1880777839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0.11187058555479579</v>
      </c>
      <c r="Q302">
        <f t="shared" si="965"/>
        <v>210403718.14741343</v>
      </c>
      <c r="R302">
        <f t="shared" si="966"/>
        <v>-15844142248.62245</v>
      </c>
      <c r="S302">
        <f t="shared" si="967"/>
        <v>-158441.4224862245</v>
      </c>
      <c r="T302">
        <f t="shared" si="968"/>
        <v>-158.4414224862245</v>
      </c>
    </row>
    <row r="303" spans="1:20" x14ac:dyDescent="0.25">
      <c r="A303" s="5">
        <v>44290</v>
      </c>
      <c r="B303">
        <v>3.619E-2</v>
      </c>
      <c r="C303">
        <v>3.9E-2</v>
      </c>
      <c r="D303">
        <v>3.5505000000000002E-2</v>
      </c>
      <c r="E303">
        <v>3.8974000000000002E-2</v>
      </c>
      <c r="F303">
        <v>1120997775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0.98512160228898527</v>
      </c>
      <c r="Q303">
        <f t="shared" si="965"/>
        <v>1104319124.2703874</v>
      </c>
      <c r="R303">
        <f t="shared" si="966"/>
        <v>-16054545966.769863</v>
      </c>
      <c r="S303">
        <f t="shared" si="967"/>
        <v>-160545.45966769863</v>
      </c>
      <c r="T303">
        <f t="shared" si="968"/>
        <v>-160.54545966769862</v>
      </c>
    </row>
    <row r="304" spans="1:20" x14ac:dyDescent="0.25">
      <c r="A304" s="5">
        <v>44289</v>
      </c>
      <c r="B304">
        <v>3.7933000000000001E-2</v>
      </c>
      <c r="C304">
        <v>4.0500000000000001E-2</v>
      </c>
      <c r="D304">
        <v>3.5999999999999997E-2</v>
      </c>
      <c r="E304">
        <v>3.6193000000000003E-2</v>
      </c>
      <c r="F304">
        <v>1717871890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-0.91422222222221983</v>
      </c>
      <c r="Q304">
        <f t="shared" si="965"/>
        <v>-1570516656.7688847</v>
      </c>
      <c r="R304">
        <f t="shared" si="966"/>
        <v>-17158865091.040251</v>
      </c>
      <c r="S304">
        <f t="shared" si="967"/>
        <v>-171588.6509104025</v>
      </c>
      <c r="T304">
        <f t="shared" si="968"/>
        <v>-171.58865091040249</v>
      </c>
    </row>
    <row r="305" spans="1:20" x14ac:dyDescent="0.25">
      <c r="A305" s="5">
        <v>44288</v>
      </c>
      <c r="B305">
        <v>3.8509000000000002E-2</v>
      </c>
      <c r="C305">
        <v>3.9557000000000002E-2</v>
      </c>
      <c r="D305">
        <v>3.7483000000000002E-2</v>
      </c>
      <c r="E305">
        <v>3.7947000000000002E-2</v>
      </c>
      <c r="F305">
        <v>1177839355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-0.5525554484088725</v>
      </c>
      <c r="Q305">
        <f t="shared" si="965"/>
        <v>-650821552.9556421</v>
      </c>
      <c r="R305">
        <f t="shared" si="966"/>
        <v>-15588348434.271366</v>
      </c>
      <c r="S305">
        <f t="shared" si="967"/>
        <v>-155883.48434271367</v>
      </c>
      <c r="T305">
        <f t="shared" si="968"/>
        <v>-155.88348434271367</v>
      </c>
    </row>
    <row r="306" spans="1:20" x14ac:dyDescent="0.25">
      <c r="A306" s="5">
        <v>44287</v>
      </c>
      <c r="B306">
        <v>3.9745999999999997E-2</v>
      </c>
      <c r="C306">
        <v>4.0668000000000003E-2</v>
      </c>
      <c r="D306">
        <v>3.8306E-2</v>
      </c>
      <c r="E306">
        <v>3.8511999999999998E-2</v>
      </c>
      <c r="F306">
        <v>1381368408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-0.82557154953429501</v>
      </c>
      <c r="Q306">
        <f t="shared" si="965"/>
        <v>-1140418457.0702822</v>
      </c>
      <c r="R306">
        <f t="shared" si="966"/>
        <v>-14937526881.315723</v>
      </c>
      <c r="S306">
        <f t="shared" si="967"/>
        <v>-149375.26881315722</v>
      </c>
      <c r="T306">
        <f t="shared" si="968"/>
        <v>-149.37526881315722</v>
      </c>
    </row>
    <row r="307" spans="1:20" x14ac:dyDescent="0.25">
      <c r="A307" s="5">
        <v>44286</v>
      </c>
      <c r="B307">
        <v>4.3053000000000001E-2</v>
      </c>
      <c r="C307">
        <v>4.3900000000000002E-2</v>
      </c>
      <c r="D307">
        <v>3.7400000000000003E-2</v>
      </c>
      <c r="E307">
        <v>3.9694E-2</v>
      </c>
      <c r="F307">
        <v>2254579252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-0.29415384615384682</v>
      </c>
      <c r="Q307">
        <f t="shared" si="965"/>
        <v>-663193158.43446302</v>
      </c>
      <c r="R307">
        <f t="shared" si="966"/>
        <v>-13797108424.245441</v>
      </c>
      <c r="S307">
        <f t="shared" si="967"/>
        <v>-137971.08424245441</v>
      </c>
      <c r="T307">
        <f t="shared" si="968"/>
        <v>-137.97108424245442</v>
      </c>
    </row>
    <row r="308" spans="1:20" x14ac:dyDescent="0.25">
      <c r="A308" s="5">
        <v>44285</v>
      </c>
      <c r="B308">
        <v>4.4288000000000001E-2</v>
      </c>
      <c r="C308">
        <v>4.5499999999999999E-2</v>
      </c>
      <c r="D308">
        <v>4.2615E-2</v>
      </c>
      <c r="E308">
        <v>4.3053000000000001E-2</v>
      </c>
      <c r="F308">
        <v>1407403962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-0.69636048526863015</v>
      </c>
      <c r="Q308">
        <f t="shared" si="965"/>
        <v>-980060505.94731271</v>
      </c>
      <c r="R308">
        <f t="shared" si="966"/>
        <v>-13133915265.810978</v>
      </c>
      <c r="S308">
        <f t="shared" si="967"/>
        <v>-131339.15265810979</v>
      </c>
      <c r="T308">
        <f t="shared" si="968"/>
        <v>-131.33915265810978</v>
      </c>
    </row>
    <row r="309" spans="1:20" x14ac:dyDescent="0.25">
      <c r="A309" s="5">
        <v>44284</v>
      </c>
      <c r="B309">
        <v>3.9271E-2</v>
      </c>
      <c r="C309">
        <v>4.5686999999999998E-2</v>
      </c>
      <c r="D309">
        <v>3.8797999999999999E-2</v>
      </c>
      <c r="E309">
        <v>4.4288000000000001E-2</v>
      </c>
      <c r="F309">
        <v>2743373262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0.59384526056031428</v>
      </c>
      <c r="Q309">
        <f t="shared" si="965"/>
        <v>1629139209.5865893</v>
      </c>
      <c r="R309">
        <f t="shared" si="966"/>
        <v>-12153854759.863665</v>
      </c>
      <c r="S309">
        <f t="shared" si="967"/>
        <v>-121538.54759863665</v>
      </c>
      <c r="T309">
        <f t="shared" si="968"/>
        <v>-121.53854759863665</v>
      </c>
    </row>
    <row r="310" spans="1:20" x14ac:dyDescent="0.25">
      <c r="A310" s="5">
        <v>44283</v>
      </c>
      <c r="B310">
        <v>3.6535999999999999E-2</v>
      </c>
      <c r="C310">
        <v>3.9696000000000002E-2</v>
      </c>
      <c r="D310">
        <v>3.61E-2</v>
      </c>
      <c r="E310">
        <v>3.9260000000000003E-2</v>
      </c>
      <c r="F310">
        <v>1030092587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0.7575083426028929</v>
      </c>
      <c r="Q310">
        <f t="shared" si="965"/>
        <v>780303728.30589628</v>
      </c>
      <c r="R310">
        <f t="shared" si="966"/>
        <v>-13782993969.450254</v>
      </c>
      <c r="S310">
        <f t="shared" si="967"/>
        <v>-137829.93969450254</v>
      </c>
      <c r="T310">
        <f t="shared" si="968"/>
        <v>-137.82993969450254</v>
      </c>
    </row>
    <row r="311" spans="1:20" x14ac:dyDescent="0.25">
      <c r="A311" s="5">
        <v>44282</v>
      </c>
      <c r="B311">
        <v>3.6518000000000002E-2</v>
      </c>
      <c r="C311">
        <v>3.8122999999999997E-2</v>
      </c>
      <c r="D311">
        <v>3.5189999999999999E-2</v>
      </c>
      <c r="E311">
        <v>3.6489000000000001E-2</v>
      </c>
      <c r="F311">
        <v>977757113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-0.11421752471871641</v>
      </c>
      <c r="Q311">
        <f t="shared" si="965"/>
        <v>-111676997.22297829</v>
      </c>
      <c r="R311">
        <f t="shared" si="966"/>
        <v>-14563297697.756151</v>
      </c>
      <c r="S311">
        <f t="shared" si="967"/>
        <v>-145632.97697756151</v>
      </c>
      <c r="T311">
        <f t="shared" si="968"/>
        <v>-145.63297697756153</v>
      </c>
    </row>
    <row r="312" spans="1:20" x14ac:dyDescent="0.25">
      <c r="A312" s="5">
        <v>44281</v>
      </c>
      <c r="B312">
        <v>3.3042000000000002E-2</v>
      </c>
      <c r="C312">
        <v>3.7178999999999997E-2</v>
      </c>
      <c r="D312">
        <v>3.3008000000000003E-2</v>
      </c>
      <c r="E312">
        <v>3.6519999999999997E-2</v>
      </c>
      <c r="F312">
        <v>953168089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0.68400863102373499</v>
      </c>
      <c r="Q312">
        <f t="shared" si="965"/>
        <v>651975199.69239962</v>
      </c>
      <c r="R312">
        <f t="shared" si="966"/>
        <v>-14451620700.533173</v>
      </c>
      <c r="S312">
        <f t="shared" si="967"/>
        <v>-144516.20700533173</v>
      </c>
      <c r="T312">
        <f t="shared" si="968"/>
        <v>-144.51620700533172</v>
      </c>
    </row>
    <row r="313" spans="1:20" x14ac:dyDescent="0.25">
      <c r="A313" s="5">
        <v>44280</v>
      </c>
      <c r="B313">
        <v>3.3834999999999997E-2</v>
      </c>
      <c r="C313">
        <v>3.5000000000000003E-2</v>
      </c>
      <c r="D313">
        <v>3.1356000000000002E-2</v>
      </c>
      <c r="E313">
        <v>3.3008000000000003E-2</v>
      </c>
      <c r="F313">
        <v>1083288112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-9.3304061470911054E-2</v>
      </c>
      <c r="Q313">
        <f t="shared" si="965"/>
        <v>-101075180.59275518</v>
      </c>
      <c r="R313">
        <f t="shared" si="966"/>
        <v>-15103595900.225573</v>
      </c>
      <c r="S313">
        <f t="shared" si="967"/>
        <v>-151035.95900225572</v>
      </c>
      <c r="T313">
        <f t="shared" si="968"/>
        <v>-151.03595900225574</v>
      </c>
    </row>
    <row r="314" spans="1:20" x14ac:dyDescent="0.25">
      <c r="A314" s="5">
        <v>44279</v>
      </c>
      <c r="B314">
        <v>3.7533999999999998E-2</v>
      </c>
      <c r="C314">
        <v>3.9243E-2</v>
      </c>
      <c r="D314">
        <v>3.2222000000000001E-2</v>
      </c>
      <c r="E314">
        <v>3.3907E-2</v>
      </c>
      <c r="F314">
        <v>1340829474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-0.52001139438826405</v>
      </c>
      <c r="Q314">
        <f t="shared" si="965"/>
        <v>-697246604.41162264</v>
      </c>
      <c r="R314">
        <f t="shared" si="966"/>
        <v>-15002520719.632818</v>
      </c>
      <c r="S314">
        <f t="shared" si="967"/>
        <v>-150025.20719632818</v>
      </c>
      <c r="T314">
        <f t="shared" si="968"/>
        <v>-150.02520719632818</v>
      </c>
    </row>
    <row r="315" spans="1:20" x14ac:dyDescent="0.25">
      <c r="A315" s="5">
        <v>44278</v>
      </c>
      <c r="B315">
        <v>3.5881999999999997E-2</v>
      </c>
      <c r="C315">
        <v>3.95E-2</v>
      </c>
      <c r="D315">
        <v>3.3362999999999997E-2</v>
      </c>
      <c r="E315">
        <v>3.7509000000000001E-2</v>
      </c>
      <c r="F315">
        <v>1769047737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0.35114876975721082</v>
      </c>
      <c r="Q315">
        <f t="shared" si="965"/>
        <v>621198936.48932779</v>
      </c>
      <c r="R315">
        <f t="shared" si="966"/>
        <v>-14305274115.221195</v>
      </c>
      <c r="S315">
        <f t="shared" si="967"/>
        <v>-143052.74115221197</v>
      </c>
      <c r="T315">
        <f t="shared" si="968"/>
        <v>-143.05274115221198</v>
      </c>
    </row>
    <row r="316" spans="1:20" x14ac:dyDescent="0.25">
      <c r="A316" s="5">
        <v>44277</v>
      </c>
      <c r="B316">
        <v>3.9391000000000002E-2</v>
      </c>
      <c r="C316">
        <v>4.0085999999999997E-2</v>
      </c>
      <c r="D316">
        <v>3.4043999999999998E-2</v>
      </c>
      <c r="E316">
        <v>3.5943000000000003E-2</v>
      </c>
      <c r="F316">
        <v>1493380465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-0.37140019860973017</v>
      </c>
      <c r="Q316">
        <f t="shared" si="965"/>
        <v>-554641801.30089116</v>
      </c>
      <c r="R316">
        <f t="shared" si="966"/>
        <v>-14926473051.710524</v>
      </c>
      <c r="S316">
        <f t="shared" si="967"/>
        <v>-149264.73051710523</v>
      </c>
      <c r="T316">
        <f t="shared" si="968"/>
        <v>-149.26473051710522</v>
      </c>
    </row>
    <row r="317" spans="1:20" x14ac:dyDescent="0.25">
      <c r="A317" s="5">
        <v>44276</v>
      </c>
      <c r="B317">
        <v>4.0647000000000003E-2</v>
      </c>
      <c r="C317">
        <v>4.129E-2</v>
      </c>
      <c r="D317">
        <v>3.85E-2</v>
      </c>
      <c r="E317">
        <v>3.9427999999999998E-2</v>
      </c>
      <c r="F317">
        <v>1061838032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-0.33476702508960715</v>
      </c>
      <c r="Q317">
        <f t="shared" si="965"/>
        <v>-355468359.09964305</v>
      </c>
      <c r="R317">
        <f t="shared" si="966"/>
        <v>-14371831250.409632</v>
      </c>
      <c r="S317">
        <f t="shared" si="967"/>
        <v>-143718.31250409631</v>
      </c>
      <c r="T317">
        <f t="shared" si="968"/>
        <v>-143.7183125040963</v>
      </c>
    </row>
    <row r="318" spans="1:20" x14ac:dyDescent="0.25">
      <c r="A318" s="5">
        <v>44275</v>
      </c>
      <c r="B318">
        <v>4.0340000000000001E-2</v>
      </c>
      <c r="C318">
        <v>4.3888000000000003E-2</v>
      </c>
      <c r="D318">
        <v>4.0009999999999997E-2</v>
      </c>
      <c r="E318">
        <v>4.0604000000000001E-2</v>
      </c>
      <c r="F318">
        <v>1524001957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-0.69365652398143207</v>
      </c>
      <c r="Q318">
        <f t="shared" si="965"/>
        <v>-1057133900.0335199</v>
      </c>
      <c r="R318">
        <f t="shared" si="966"/>
        <v>-14016362891.309988</v>
      </c>
      <c r="S318">
        <f t="shared" si="967"/>
        <v>-140163.62891309988</v>
      </c>
      <c r="T318">
        <f t="shared" si="968"/>
        <v>-140.16362891309987</v>
      </c>
    </row>
    <row r="319" spans="1:20" x14ac:dyDescent="0.25">
      <c r="A319" s="5">
        <v>44274</v>
      </c>
      <c r="B319">
        <v>3.9201E-2</v>
      </c>
      <c r="C319">
        <v>4.2583000000000003E-2</v>
      </c>
      <c r="D319">
        <v>3.8199999999999998E-2</v>
      </c>
      <c r="E319">
        <v>4.0340000000000001E-2</v>
      </c>
      <c r="F319">
        <v>1953139214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-2.3499885922883598E-2</v>
      </c>
      <c r="Q319">
        <f t="shared" si="965"/>
        <v>-45898548.720510535</v>
      </c>
      <c r="R319">
        <f t="shared" si="966"/>
        <v>-12959228991.276468</v>
      </c>
      <c r="S319">
        <f t="shared" si="967"/>
        <v>-129592.28991276468</v>
      </c>
      <c r="T319">
        <f t="shared" si="968"/>
        <v>-129.59228991276467</v>
      </c>
    </row>
    <row r="320" spans="1:20" x14ac:dyDescent="0.25">
      <c r="A320" s="5">
        <v>44273</v>
      </c>
      <c r="B320">
        <v>3.9517999999999998E-2</v>
      </c>
      <c r="C320">
        <v>4.0569000000000001E-2</v>
      </c>
      <c r="D320">
        <v>3.8043E-2</v>
      </c>
      <c r="E320">
        <v>3.9201E-2</v>
      </c>
      <c r="F320">
        <v>2079875699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-8.313539192399122E-2</v>
      </c>
      <c r="Q320">
        <f t="shared" si="965"/>
        <v>-172911281.38955018</v>
      </c>
      <c r="R320">
        <f t="shared" si="966"/>
        <v>-12913330442.555958</v>
      </c>
      <c r="S320">
        <f t="shared" si="967"/>
        <v>-129133.30442555957</v>
      </c>
      <c r="T320">
        <f t="shared" si="968"/>
        <v>-129.13330442555957</v>
      </c>
    </row>
    <row r="321" spans="1:20" x14ac:dyDescent="0.25">
      <c r="A321" s="5">
        <v>44272</v>
      </c>
      <c r="B321">
        <v>3.8989999999999997E-2</v>
      </c>
      <c r="C321">
        <v>4.0786000000000003E-2</v>
      </c>
      <c r="D321">
        <v>3.7005000000000003E-2</v>
      </c>
      <c r="E321">
        <v>3.9517999999999998E-2</v>
      </c>
      <c r="F321">
        <v>2046620413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0.32927796879132221</v>
      </c>
      <c r="Q321">
        <f t="shared" si="965"/>
        <v>673907012.47949696</v>
      </c>
      <c r="R321">
        <f t="shared" si="966"/>
        <v>-12740419161.166409</v>
      </c>
      <c r="S321">
        <f t="shared" si="967"/>
        <v>-127404.19161166408</v>
      </c>
      <c r="T321">
        <f t="shared" si="968"/>
        <v>-127.40419161166407</v>
      </c>
    </row>
    <row r="322" spans="1:20" x14ac:dyDescent="0.25">
      <c r="A322" s="5">
        <v>44271</v>
      </c>
      <c r="B322">
        <v>4.0152E-2</v>
      </c>
      <c r="C322">
        <v>4.3692000000000002E-2</v>
      </c>
      <c r="D322">
        <v>3.7100000000000001E-2</v>
      </c>
      <c r="E322">
        <v>3.8996999999999997E-2</v>
      </c>
      <c r="F322">
        <v>3646410983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-0.4244538834951469</v>
      </c>
      <c r="Q322">
        <f t="shared" si="965"/>
        <v>-1547733302.5537062</v>
      </c>
      <c r="R322">
        <f t="shared" si="966"/>
        <v>-13414326173.645905</v>
      </c>
      <c r="S322">
        <f t="shared" si="967"/>
        <v>-134143.26173645904</v>
      </c>
      <c r="T322">
        <f t="shared" si="968"/>
        <v>-134.14326173645904</v>
      </c>
    </row>
    <row r="323" spans="1:20" x14ac:dyDescent="0.25">
      <c r="A323" s="5">
        <v>44270</v>
      </c>
      <c r="B323">
        <v>4.9613999999999998E-2</v>
      </c>
      <c r="C323">
        <v>5.8701000000000003E-2</v>
      </c>
      <c r="D323">
        <v>3.8483999999999997E-2</v>
      </c>
      <c r="E323">
        <v>4.0115999999999999E-2</v>
      </c>
      <c r="F323">
        <v>10414027724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-0.83855171390413996</v>
      </c>
      <c r="Q323">
        <f t="shared" si="965"/>
        <v>-8732700796.6054306</v>
      </c>
      <c r="R323">
        <f t="shared" si="966"/>
        <v>-11866592871.092197</v>
      </c>
      <c r="S323">
        <f t="shared" si="967"/>
        <v>-118665.92871092197</v>
      </c>
      <c r="T323">
        <f t="shared" si="968"/>
        <v>-118.66592871092197</v>
      </c>
    </row>
    <row r="324" spans="1:20" x14ac:dyDescent="0.25">
      <c r="A324" s="5">
        <v>44269</v>
      </c>
      <c r="B324">
        <v>4.8876000000000003E-2</v>
      </c>
      <c r="C324">
        <v>5.2241000000000003E-2</v>
      </c>
      <c r="D324">
        <v>4.5245E-2</v>
      </c>
      <c r="E324">
        <v>4.9533000000000001E-2</v>
      </c>
      <c r="F324">
        <v>2750701052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0.22584333905088588</v>
      </c>
      <c r="Q324">
        <f t="shared" si="965"/>
        <v>621227510.31446445</v>
      </c>
      <c r="R324">
        <f t="shared" si="966"/>
        <v>-3133892074.4867673</v>
      </c>
      <c r="S324">
        <f t="shared" si="967"/>
        <v>-31338.920744867672</v>
      </c>
      <c r="T324">
        <f t="shared" si="968"/>
        <v>-31.338920744867671</v>
      </c>
    </row>
    <row r="325" spans="1:20" x14ac:dyDescent="0.25">
      <c r="A325" s="5">
        <v>44268</v>
      </c>
      <c r="B325">
        <v>4.6289999999999998E-2</v>
      </c>
      <c r="C325">
        <v>5.4469999999999998E-2</v>
      </c>
      <c r="D325">
        <v>4.4006000000000003E-2</v>
      </c>
      <c r="E325">
        <v>4.8871999999999999E-2</v>
      </c>
      <c r="F325">
        <v>5728588704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-6.9954128440367344E-2</v>
      </c>
      <c r="Q325">
        <f t="shared" si="965"/>
        <v>-400738429.98165351</v>
      </c>
      <c r="R325">
        <f t="shared" si="966"/>
        <v>-3755119584.8012319</v>
      </c>
      <c r="S325">
        <f t="shared" si="967"/>
        <v>-37551.195848012321</v>
      </c>
      <c r="T325">
        <f t="shared" si="968"/>
        <v>-37.55119584801232</v>
      </c>
    </row>
    <row r="326" spans="1:20" x14ac:dyDescent="0.25">
      <c r="A326" s="5">
        <v>44267</v>
      </c>
      <c r="B326">
        <v>3.6789000000000002E-2</v>
      </c>
      <c r="C326">
        <v>4.9459999999999997E-2</v>
      </c>
      <c r="D326">
        <v>3.5999999999999997E-2</v>
      </c>
      <c r="E326">
        <v>4.6296999999999998E-2</v>
      </c>
      <c r="F326">
        <v>8322991691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0.53001485884101052</v>
      </c>
      <c r="Q326">
        <f t="shared" ref="Q326:Q389" si="970">F326*P326</f>
        <v>4411309266.2402687</v>
      </c>
      <c r="R326">
        <f t="shared" ref="R326:R389" si="971">R327+Q326</f>
        <v>-3354381154.8195782</v>
      </c>
      <c r="S326">
        <f t="shared" ref="S326:S389" si="972">R326/100000</f>
        <v>-33543.811548195779</v>
      </c>
      <c r="T326">
        <f t="shared" ref="T326:T389" si="973">S326/1000</f>
        <v>-33.543811548195777</v>
      </c>
    </row>
    <row r="327" spans="1:20" x14ac:dyDescent="0.25">
      <c r="A327" s="5">
        <v>44266</v>
      </c>
      <c r="B327">
        <v>3.5388999999999997E-2</v>
      </c>
      <c r="C327">
        <v>3.8996000000000003E-2</v>
      </c>
      <c r="D327">
        <v>3.4521999999999997E-2</v>
      </c>
      <c r="E327">
        <v>3.6785999999999999E-2</v>
      </c>
      <c r="F327">
        <v>2203958029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1.2069736253911136E-2</v>
      </c>
      <c r="Q327">
        <f t="shared" si="970"/>
        <v>26601192.124719832</v>
      </c>
      <c r="R327">
        <f t="shared" si="971"/>
        <v>-7765690421.0598469</v>
      </c>
      <c r="S327">
        <f t="shared" si="972"/>
        <v>-77656.90421059847</v>
      </c>
      <c r="T327">
        <f t="shared" si="973"/>
        <v>-77.656904210598469</v>
      </c>
    </row>
    <row r="328" spans="1:20" x14ac:dyDescent="0.25">
      <c r="A328" s="5">
        <v>44265</v>
      </c>
      <c r="B328">
        <v>3.8696000000000001E-2</v>
      </c>
      <c r="C328">
        <v>3.9232999999999997E-2</v>
      </c>
      <c r="D328">
        <v>3.39E-2</v>
      </c>
      <c r="E328">
        <v>3.5383999999999999E-2</v>
      </c>
      <c r="F328">
        <v>2108523804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-0.44346521657603605</v>
      </c>
      <c r="Q328">
        <f t="shared" si="970"/>
        <v>-935056965.39658737</v>
      </c>
      <c r="R328">
        <f t="shared" si="971"/>
        <v>-7792291613.1845665</v>
      </c>
      <c r="S328">
        <f t="shared" si="972"/>
        <v>-77922.916131845661</v>
      </c>
      <c r="T328">
        <f t="shared" si="973"/>
        <v>-77.922916131845668</v>
      </c>
    </row>
    <row r="329" spans="1:20" x14ac:dyDescent="0.25">
      <c r="A329" s="5">
        <v>44264</v>
      </c>
      <c r="B329">
        <v>3.6655E-2</v>
      </c>
      <c r="C329">
        <v>3.9899999999999998E-2</v>
      </c>
      <c r="D329">
        <v>3.61E-2</v>
      </c>
      <c r="E329">
        <v>3.8699999999999998E-2</v>
      </c>
      <c r="F329">
        <v>2173293583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0.36842105263157876</v>
      </c>
      <c r="Q329">
        <f t="shared" si="970"/>
        <v>800687109.52631533</v>
      </c>
      <c r="R329">
        <f t="shared" si="971"/>
        <v>-6857234647.7879791</v>
      </c>
      <c r="S329">
        <f t="shared" si="972"/>
        <v>-68572.346477879793</v>
      </c>
      <c r="T329">
        <f t="shared" si="973"/>
        <v>-68.57234647787979</v>
      </c>
    </row>
    <row r="330" spans="1:20" x14ac:dyDescent="0.25">
      <c r="A330" s="5">
        <v>44263</v>
      </c>
      <c r="B330">
        <v>3.8177999999999997E-2</v>
      </c>
      <c r="C330">
        <v>3.9E-2</v>
      </c>
      <c r="D330">
        <v>3.5830000000000001E-2</v>
      </c>
      <c r="E330">
        <v>3.6653999999999999E-2</v>
      </c>
      <c r="F330">
        <v>1555423547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-0.48012618296530057</v>
      </c>
      <c r="Q330">
        <f t="shared" si="970"/>
        <v>-746799570.51545882</v>
      </c>
      <c r="R330">
        <f t="shared" si="971"/>
        <v>-7657921757.3142948</v>
      </c>
      <c r="S330">
        <f t="shared" si="972"/>
        <v>-76579.217573142945</v>
      </c>
      <c r="T330">
        <f t="shared" si="973"/>
        <v>-76.579217573142941</v>
      </c>
    </row>
    <row r="331" spans="1:20" x14ac:dyDescent="0.25">
      <c r="A331" s="5">
        <v>44262</v>
      </c>
      <c r="B331">
        <v>3.8766000000000002E-2</v>
      </c>
      <c r="C331">
        <v>4.0666000000000001E-2</v>
      </c>
      <c r="D331">
        <v>3.6999999999999998E-2</v>
      </c>
      <c r="E331">
        <v>3.8086000000000002E-2</v>
      </c>
      <c r="F331">
        <v>1208611077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-0.40752864157119323</v>
      </c>
      <c r="Q331">
        <f t="shared" si="970"/>
        <v>-492543630.39770681</v>
      </c>
      <c r="R331">
        <f t="shared" si="971"/>
        <v>-6911122186.7988358</v>
      </c>
      <c r="S331">
        <f t="shared" si="972"/>
        <v>-69111.221867988352</v>
      </c>
      <c r="T331">
        <f t="shared" si="973"/>
        <v>-69.111221867988348</v>
      </c>
    </row>
    <row r="332" spans="1:20" x14ac:dyDescent="0.25">
      <c r="A332" s="5">
        <v>44261</v>
      </c>
      <c r="B332">
        <v>3.8998999999999999E-2</v>
      </c>
      <c r="C332">
        <v>4.215E-2</v>
      </c>
      <c r="D332">
        <v>3.6450000000000003E-2</v>
      </c>
      <c r="E332">
        <v>3.8725000000000002E-2</v>
      </c>
      <c r="F332">
        <v>1770580267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-0.20175438596491208</v>
      </c>
      <c r="Q332">
        <f t="shared" si="970"/>
        <v>-357222334.57017505</v>
      </c>
      <c r="R332">
        <f t="shared" si="971"/>
        <v>-6418578556.4011288</v>
      </c>
      <c r="S332">
        <f t="shared" si="972"/>
        <v>-64185.78556401129</v>
      </c>
      <c r="T332">
        <f t="shared" si="973"/>
        <v>-64.185785564011297</v>
      </c>
    </row>
    <row r="333" spans="1:20" x14ac:dyDescent="0.25">
      <c r="A333" s="5">
        <v>44260</v>
      </c>
      <c r="B333">
        <v>4.1189000000000003E-2</v>
      </c>
      <c r="C333">
        <v>4.1200000000000001E-2</v>
      </c>
      <c r="D333">
        <v>3.7199999999999997E-2</v>
      </c>
      <c r="E333">
        <v>3.9E-2</v>
      </c>
      <c r="F333">
        <v>2079408366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-9.9999999999999312E-2</v>
      </c>
      <c r="Q333">
        <f t="shared" si="970"/>
        <v>-207940836.59999856</v>
      </c>
      <c r="R333">
        <f t="shared" si="971"/>
        <v>-6061356221.8309536</v>
      </c>
      <c r="S333">
        <f t="shared" si="972"/>
        <v>-60613.562218309533</v>
      </c>
      <c r="T333">
        <f t="shared" si="973"/>
        <v>-60.613562218309532</v>
      </c>
    </row>
    <row r="334" spans="1:20" x14ac:dyDescent="0.25">
      <c r="A334" s="5">
        <v>44259</v>
      </c>
      <c r="B334">
        <v>3.7519999999999998E-2</v>
      </c>
      <c r="C334">
        <v>4.3400000000000001E-2</v>
      </c>
      <c r="D334">
        <v>3.6111999999999998E-2</v>
      </c>
      <c r="E334">
        <v>4.1173000000000001E-2</v>
      </c>
      <c r="F334">
        <v>3525491055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0.38885839736553268</v>
      </c>
      <c r="Q334">
        <f t="shared" si="970"/>
        <v>1370916801.5738211</v>
      </c>
      <c r="R334">
        <f t="shared" si="971"/>
        <v>-5853415385.2309551</v>
      </c>
      <c r="S334">
        <f t="shared" si="972"/>
        <v>-58534.153852309551</v>
      </c>
      <c r="T334">
        <f t="shared" si="973"/>
        <v>-58.534153852309551</v>
      </c>
    </row>
    <row r="335" spans="1:20" x14ac:dyDescent="0.25">
      <c r="A335" s="5">
        <v>44258</v>
      </c>
      <c r="B335">
        <v>3.2682000000000003E-2</v>
      </c>
      <c r="C335">
        <v>3.9759000000000003E-2</v>
      </c>
      <c r="D335">
        <v>3.2071000000000002E-2</v>
      </c>
      <c r="E335">
        <v>3.7530000000000001E-2</v>
      </c>
      <c r="F335">
        <v>3227350751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0.42013527575442206</v>
      </c>
      <c r="Q335">
        <f t="shared" si="970"/>
        <v>1355923897.7276261</v>
      </c>
      <c r="R335">
        <f t="shared" si="971"/>
        <v>-7224332186.8047762</v>
      </c>
      <c r="S335">
        <f t="shared" si="972"/>
        <v>-72243.321868047758</v>
      </c>
      <c r="T335">
        <f t="shared" si="973"/>
        <v>-72.243321868047758</v>
      </c>
    </row>
    <row r="336" spans="1:20" x14ac:dyDescent="0.25">
      <c r="A336" s="5">
        <v>44257</v>
      </c>
      <c r="B336">
        <v>3.2284E-2</v>
      </c>
      <c r="C336">
        <v>3.4659000000000002E-2</v>
      </c>
      <c r="D336">
        <v>2.9758E-2</v>
      </c>
      <c r="E336">
        <v>3.2710999999999997E-2</v>
      </c>
      <c r="F336">
        <v>2370309089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0.20506019179759058</v>
      </c>
      <c r="Q336">
        <f t="shared" si="970"/>
        <v>486056036.40991223</v>
      </c>
      <c r="R336">
        <f t="shared" si="971"/>
        <v>-8580256084.532402</v>
      </c>
      <c r="S336">
        <f t="shared" si="972"/>
        <v>-85802.560845324027</v>
      </c>
      <c r="T336">
        <f t="shared" si="973"/>
        <v>-85.802560845324024</v>
      </c>
    </row>
    <row r="337" spans="1:20" x14ac:dyDescent="0.25">
      <c r="A337" s="5">
        <v>44256</v>
      </c>
      <c r="B337">
        <v>2.8251999999999999E-2</v>
      </c>
      <c r="C337">
        <v>3.2500000000000001E-2</v>
      </c>
      <c r="D337">
        <v>2.8160999999999999E-2</v>
      </c>
      <c r="E337">
        <v>3.2224999999999997E-2</v>
      </c>
      <c r="F337">
        <v>1390520761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0.87324268264576899</v>
      </c>
      <c r="Q337">
        <f t="shared" si="970"/>
        <v>1214262079.6102762</v>
      </c>
      <c r="R337">
        <f t="shared" si="971"/>
        <v>-9066312120.9423141</v>
      </c>
      <c r="S337">
        <f t="shared" si="972"/>
        <v>-90663.121209423145</v>
      </c>
      <c r="T337">
        <f t="shared" si="973"/>
        <v>-90.663121209423139</v>
      </c>
    </row>
    <row r="338" spans="1:20" x14ac:dyDescent="0.25">
      <c r="A338" s="5">
        <v>44255</v>
      </c>
      <c r="B338">
        <v>3.1484999999999999E-2</v>
      </c>
      <c r="C338">
        <v>3.1822000000000003E-2</v>
      </c>
      <c r="D338">
        <v>2.5999999999999999E-2</v>
      </c>
      <c r="E338">
        <v>2.8291E-2</v>
      </c>
      <c r="F338">
        <v>1446633505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-0.21298522844383383</v>
      </c>
      <c r="Q338">
        <f t="shared" si="970"/>
        <v>-308111567.53692901</v>
      </c>
      <c r="R338">
        <f t="shared" si="971"/>
        <v>-10280574200.552591</v>
      </c>
      <c r="S338">
        <f t="shared" si="972"/>
        <v>-102805.74200552591</v>
      </c>
      <c r="T338">
        <f t="shared" si="973"/>
        <v>-102.80574200552591</v>
      </c>
    </row>
    <row r="339" spans="1:20" x14ac:dyDescent="0.25">
      <c r="A339" s="5">
        <v>44254</v>
      </c>
      <c r="B339">
        <v>3.0544000000000002E-2</v>
      </c>
      <c r="C339">
        <v>3.2960000000000003E-2</v>
      </c>
      <c r="D339">
        <v>3.005E-2</v>
      </c>
      <c r="E339">
        <v>3.1433999999999997E-2</v>
      </c>
      <c r="F339">
        <v>1375076369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-4.8797250859109978E-2</v>
      </c>
      <c r="Q339">
        <f t="shared" si="970"/>
        <v>-67099946.528527081</v>
      </c>
      <c r="R339">
        <f t="shared" si="971"/>
        <v>-9972462633.0156631</v>
      </c>
      <c r="S339">
        <f t="shared" si="972"/>
        <v>-99724.626330156636</v>
      </c>
      <c r="T339">
        <f t="shared" si="973"/>
        <v>-99.724626330156639</v>
      </c>
    </row>
    <row r="340" spans="1:20" x14ac:dyDescent="0.25">
      <c r="A340" s="5">
        <v>44253</v>
      </c>
      <c r="B340">
        <v>3.1649999999999998E-2</v>
      </c>
      <c r="C340">
        <v>3.2941999999999999E-2</v>
      </c>
      <c r="D340">
        <v>2.8184000000000001E-2</v>
      </c>
      <c r="E340">
        <v>3.0571999999999998E-2</v>
      </c>
      <c r="F340">
        <v>1872108785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3.7831021437572912E-3</v>
      </c>
      <c r="Q340">
        <f t="shared" si="970"/>
        <v>7082378.757880358</v>
      </c>
      <c r="R340">
        <f t="shared" si="971"/>
        <v>-9905362686.4871368</v>
      </c>
      <c r="S340">
        <f t="shared" si="972"/>
        <v>-99053.626864871374</v>
      </c>
      <c r="T340">
        <f t="shared" si="973"/>
        <v>-99.053626864871376</v>
      </c>
    </row>
    <row r="341" spans="1:20" x14ac:dyDescent="0.25">
      <c r="A341" s="5">
        <v>44252</v>
      </c>
      <c r="B341">
        <v>3.3534000000000001E-2</v>
      </c>
      <c r="C341">
        <v>3.78E-2</v>
      </c>
      <c r="D341">
        <v>3.1301000000000002E-2</v>
      </c>
      <c r="E341">
        <v>3.1609999999999999E-2</v>
      </c>
      <c r="F341">
        <v>2679365982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-0.90490844745345533</v>
      </c>
      <c r="Q341">
        <f t="shared" si="970"/>
        <v>-2424580910.9312229</v>
      </c>
      <c r="R341">
        <f t="shared" si="971"/>
        <v>-9912445065.245018</v>
      </c>
      <c r="S341">
        <f t="shared" si="972"/>
        <v>-99124.450652450178</v>
      </c>
      <c r="T341">
        <f t="shared" si="973"/>
        <v>-99.124450652450179</v>
      </c>
    </row>
    <row r="342" spans="1:20" x14ac:dyDescent="0.25">
      <c r="A342" s="5">
        <v>44251</v>
      </c>
      <c r="B342">
        <v>3.0397E-2</v>
      </c>
      <c r="C342">
        <v>3.6628000000000001E-2</v>
      </c>
      <c r="D342">
        <v>2.8000000000000001E-2</v>
      </c>
      <c r="E342">
        <v>3.3515999999999997E-2</v>
      </c>
      <c r="F342">
        <v>2985468604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0.2786277236903098</v>
      </c>
      <c r="Q342">
        <f t="shared" si="970"/>
        <v>831834321.28140688</v>
      </c>
      <c r="R342">
        <f t="shared" si="971"/>
        <v>-7487864154.3137951</v>
      </c>
      <c r="S342">
        <f t="shared" si="972"/>
        <v>-74878.641543137957</v>
      </c>
      <c r="T342">
        <f t="shared" si="973"/>
        <v>-74.87864154313796</v>
      </c>
    </row>
    <row r="343" spans="1:20" x14ac:dyDescent="0.25">
      <c r="A343" s="5">
        <v>44250</v>
      </c>
      <c r="B343">
        <v>3.8242999999999999E-2</v>
      </c>
      <c r="C343">
        <v>3.8387999999999999E-2</v>
      </c>
      <c r="D343">
        <v>2.4500000000000001E-2</v>
      </c>
      <c r="E343">
        <v>3.0397E-2</v>
      </c>
      <c r="F343">
        <v>3725663576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-0.15077764976958519</v>
      </c>
      <c r="Q343">
        <f t="shared" si="970"/>
        <v>-561746797.8214283</v>
      </c>
      <c r="R343">
        <f t="shared" si="971"/>
        <v>-8319698475.5952024</v>
      </c>
      <c r="S343">
        <f t="shared" si="972"/>
        <v>-83196.984755952028</v>
      </c>
      <c r="T343">
        <f t="shared" si="973"/>
        <v>-83.19698475595203</v>
      </c>
    </row>
    <row r="344" spans="1:20" x14ac:dyDescent="0.25">
      <c r="A344" s="5">
        <v>44249</v>
      </c>
      <c r="B344">
        <v>3.8454000000000002E-2</v>
      </c>
      <c r="C344">
        <v>4.3779999999999999E-2</v>
      </c>
      <c r="D344">
        <v>2.9465000000000002E-2</v>
      </c>
      <c r="E344">
        <v>3.8247999999999997E-2</v>
      </c>
      <c r="F344">
        <v>5426092518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0.22710443590639148</v>
      </c>
      <c r="Q344">
        <f t="shared" si="970"/>
        <v>1232289680.4762814</v>
      </c>
      <c r="R344">
        <f t="shared" si="971"/>
        <v>-7757951677.7737741</v>
      </c>
      <c r="S344">
        <f t="shared" si="972"/>
        <v>-77579.516777737736</v>
      </c>
      <c r="T344">
        <f t="shared" si="973"/>
        <v>-77.579516777737737</v>
      </c>
    </row>
    <row r="345" spans="1:20" x14ac:dyDescent="0.25">
      <c r="A345" s="5">
        <v>44248</v>
      </c>
      <c r="B345">
        <v>3.5145999999999997E-2</v>
      </c>
      <c r="C345">
        <v>3.9875000000000001E-2</v>
      </c>
      <c r="D345">
        <v>3.4702999999999998E-2</v>
      </c>
      <c r="E345">
        <v>3.8498999999999999E-2</v>
      </c>
      <c r="F345">
        <v>2426555995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0.46790409899458568</v>
      </c>
      <c r="Q345">
        <f t="shared" si="970"/>
        <v>1135395496.5003853</v>
      </c>
      <c r="R345">
        <f t="shared" si="971"/>
        <v>-8990241358.2500553</v>
      </c>
      <c r="S345">
        <f t="shared" si="972"/>
        <v>-89902.413582500551</v>
      </c>
      <c r="T345">
        <f t="shared" si="973"/>
        <v>-89.902413582500557</v>
      </c>
    </row>
    <row r="346" spans="1:20" x14ac:dyDescent="0.25">
      <c r="A346" s="5">
        <v>44247</v>
      </c>
      <c r="B346">
        <v>3.7373999999999998E-2</v>
      </c>
      <c r="C346">
        <v>4.0899999999999999E-2</v>
      </c>
      <c r="D346">
        <v>3.3403000000000002E-2</v>
      </c>
      <c r="E346">
        <v>3.5168999999999999E-2</v>
      </c>
      <c r="F346">
        <v>3275146690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-0.52887821795384882</v>
      </c>
      <c r="Q346">
        <f t="shared" si="970"/>
        <v>-1732153744.9446466</v>
      </c>
      <c r="R346">
        <f t="shared" si="971"/>
        <v>-10125636854.750441</v>
      </c>
      <c r="S346">
        <f t="shared" si="972"/>
        <v>-101256.3685475044</v>
      </c>
      <c r="T346">
        <f t="shared" si="973"/>
        <v>-101.25636854750441</v>
      </c>
    </row>
    <row r="347" spans="1:20" x14ac:dyDescent="0.25">
      <c r="A347" s="5">
        <v>44246</v>
      </c>
      <c r="B347">
        <v>4.1716000000000003E-2</v>
      </c>
      <c r="C347">
        <v>4.3200000000000002E-2</v>
      </c>
      <c r="D347">
        <v>3.5303000000000001E-2</v>
      </c>
      <c r="E347">
        <v>3.7357000000000001E-2</v>
      </c>
      <c r="F347">
        <v>3293009094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-0.47980245662909965</v>
      </c>
      <c r="Q347">
        <f t="shared" si="970"/>
        <v>-1579993853.0031657</v>
      </c>
      <c r="R347">
        <f t="shared" si="971"/>
        <v>-8393483109.8057938</v>
      </c>
      <c r="S347">
        <f t="shared" si="972"/>
        <v>-83934.831098057941</v>
      </c>
      <c r="T347">
        <f t="shared" si="973"/>
        <v>-83.934831098057941</v>
      </c>
    </row>
    <row r="348" spans="1:20" x14ac:dyDescent="0.25">
      <c r="A348" s="5">
        <v>44245</v>
      </c>
      <c r="B348">
        <v>3.9924000000000001E-2</v>
      </c>
      <c r="C348">
        <v>4.3874999999999997E-2</v>
      </c>
      <c r="D348">
        <v>3.9570000000000001E-2</v>
      </c>
      <c r="E348">
        <v>4.1725999999999999E-2</v>
      </c>
      <c r="F348">
        <v>2855212617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1.6260162601626175E-3</v>
      </c>
      <c r="Q348">
        <f t="shared" si="970"/>
        <v>4642622.1414634595</v>
      </c>
      <c r="R348">
        <f t="shared" si="971"/>
        <v>-6813489256.8026276</v>
      </c>
      <c r="S348">
        <f t="shared" si="972"/>
        <v>-68134.892568026276</v>
      </c>
      <c r="T348">
        <f t="shared" si="973"/>
        <v>-68.134892568026274</v>
      </c>
    </row>
    <row r="349" spans="1:20" x14ac:dyDescent="0.25">
      <c r="A349" s="5">
        <v>44244</v>
      </c>
      <c r="B349">
        <v>3.7481E-2</v>
      </c>
      <c r="C349">
        <v>4.3299999999999998E-2</v>
      </c>
      <c r="D349">
        <v>3.7200999999999998E-2</v>
      </c>
      <c r="E349">
        <v>4.0082E-2</v>
      </c>
      <c r="F349">
        <v>3064801906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-5.5254959829479755E-2</v>
      </c>
      <c r="Q349">
        <f t="shared" si="970"/>
        <v>-169345506.201343</v>
      </c>
      <c r="R349">
        <f t="shared" si="971"/>
        <v>-6818131878.9440908</v>
      </c>
      <c r="S349">
        <f t="shared" si="972"/>
        <v>-68181.318789440906</v>
      </c>
      <c r="T349">
        <f t="shared" si="973"/>
        <v>-68.181318789440908</v>
      </c>
    </row>
    <row r="350" spans="1:20" x14ac:dyDescent="0.25">
      <c r="A350" s="5">
        <v>44243</v>
      </c>
      <c r="B350">
        <v>3.9440000000000003E-2</v>
      </c>
      <c r="C350">
        <v>4.6129000000000003E-2</v>
      </c>
      <c r="D350">
        <v>3.6803000000000002E-2</v>
      </c>
      <c r="E350">
        <v>3.7508E-2</v>
      </c>
      <c r="F350">
        <v>3961308744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-0.84880977911216016</v>
      </c>
      <c r="Q350">
        <f t="shared" si="970"/>
        <v>-3362397599.9897084</v>
      </c>
      <c r="R350">
        <f t="shared" si="971"/>
        <v>-6648786372.7427483</v>
      </c>
      <c r="S350">
        <f t="shared" si="972"/>
        <v>-66487.863727427481</v>
      </c>
      <c r="T350">
        <f t="shared" si="973"/>
        <v>-66.487863727427481</v>
      </c>
    </row>
    <row r="351" spans="1:20" x14ac:dyDescent="0.25">
      <c r="A351" s="5">
        <v>44242</v>
      </c>
      <c r="B351">
        <v>4.6286000000000001E-2</v>
      </c>
      <c r="C351">
        <v>4.7800000000000002E-2</v>
      </c>
      <c r="D351">
        <v>3.5818999999999997E-2</v>
      </c>
      <c r="E351">
        <v>3.9440999999999997E-2</v>
      </c>
      <c r="F351">
        <v>4684206665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-0.39537601201903039</v>
      </c>
      <c r="Q351">
        <f t="shared" si="970"/>
        <v>-1852022950.6806622</v>
      </c>
      <c r="R351">
        <f t="shared" si="971"/>
        <v>-3286388772.7530394</v>
      </c>
      <c r="S351">
        <f t="shared" si="972"/>
        <v>-32863.887727530397</v>
      </c>
      <c r="T351">
        <f t="shared" si="973"/>
        <v>-32.863887727530397</v>
      </c>
    </row>
    <row r="352" spans="1:20" x14ac:dyDescent="0.25">
      <c r="A352" s="5">
        <v>44241</v>
      </c>
      <c r="B352">
        <v>4.9600999999999999E-2</v>
      </c>
      <c r="C352">
        <v>5.2941000000000002E-2</v>
      </c>
      <c r="D352">
        <v>4.1785000000000003E-2</v>
      </c>
      <c r="E352">
        <v>4.6398000000000002E-2</v>
      </c>
      <c r="F352">
        <v>3999848053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-0.17300107565435652</v>
      </c>
      <c r="Q352">
        <f t="shared" si="970"/>
        <v>-691978015.62298357</v>
      </c>
      <c r="R352">
        <f t="shared" si="971"/>
        <v>-1434365822.0723772</v>
      </c>
      <c r="S352">
        <f t="shared" si="972"/>
        <v>-14343.658220723772</v>
      </c>
      <c r="T352">
        <f t="shared" si="973"/>
        <v>-14.343658220723771</v>
      </c>
    </row>
    <row r="353" spans="1:20" x14ac:dyDescent="0.25">
      <c r="A353" s="5">
        <v>44240</v>
      </c>
      <c r="B353">
        <v>4.6199999999999998E-2</v>
      </c>
      <c r="C353">
        <v>5.3552000000000002E-2</v>
      </c>
      <c r="D353">
        <v>4.4600000000000001E-2</v>
      </c>
      <c r="E353">
        <v>4.9600999999999999E-2</v>
      </c>
      <c r="F353">
        <v>4721948157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0.11729222520107185</v>
      </c>
      <c r="Q353">
        <f t="shared" si="970"/>
        <v>553847806.61863017</v>
      </c>
      <c r="R353">
        <f t="shared" si="971"/>
        <v>-742387806.44939375</v>
      </c>
      <c r="S353">
        <f t="shared" si="972"/>
        <v>-7423.8780644939379</v>
      </c>
      <c r="T353">
        <f t="shared" si="973"/>
        <v>-7.4238780644939375</v>
      </c>
    </row>
    <row r="354" spans="1:20" x14ac:dyDescent="0.25">
      <c r="A354" s="5">
        <v>44239</v>
      </c>
      <c r="B354">
        <v>4.3500999999999998E-2</v>
      </c>
      <c r="C354">
        <v>4.8899999999999999E-2</v>
      </c>
      <c r="D354">
        <v>3.8876000000000001E-2</v>
      </c>
      <c r="E354">
        <v>4.6185999999999998E-2</v>
      </c>
      <c r="F354">
        <v>4328566474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0.4584996009577012</v>
      </c>
      <c r="Q354">
        <f t="shared" si="970"/>
        <v>1984646001.0478837</v>
      </c>
      <c r="R354">
        <f t="shared" si="971"/>
        <v>-1296235613.0680239</v>
      </c>
      <c r="S354">
        <f t="shared" si="972"/>
        <v>-12962.356130680238</v>
      </c>
      <c r="T354">
        <f t="shared" si="973"/>
        <v>-12.962356130680238</v>
      </c>
    </row>
    <row r="355" spans="1:20" x14ac:dyDescent="0.25">
      <c r="A355" s="5">
        <v>44238</v>
      </c>
      <c r="B355">
        <v>3.7573000000000002E-2</v>
      </c>
      <c r="C355">
        <v>5.6500000000000002E-2</v>
      </c>
      <c r="D355">
        <v>3.5000000000000003E-2</v>
      </c>
      <c r="E355">
        <v>4.3507999999999998E-2</v>
      </c>
      <c r="F355">
        <v>6241473802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-0.20855813953488414</v>
      </c>
      <c r="Q355">
        <f t="shared" si="970"/>
        <v>-1301710164.1008399</v>
      </c>
      <c r="R355">
        <f t="shared" si="971"/>
        <v>-3280881614.1159077</v>
      </c>
      <c r="S355">
        <f t="shared" si="972"/>
        <v>-32808.816141159077</v>
      </c>
      <c r="T355">
        <f t="shared" si="973"/>
        <v>-32.808816141159078</v>
      </c>
    </row>
    <row r="356" spans="1:20" x14ac:dyDescent="0.25">
      <c r="A356" s="5">
        <v>44237</v>
      </c>
      <c r="B356">
        <v>3.4381000000000002E-2</v>
      </c>
      <c r="C356">
        <v>0.04</v>
      </c>
      <c r="D356">
        <v>0.03</v>
      </c>
      <c r="E356">
        <v>3.7573000000000002E-2</v>
      </c>
      <c r="F356">
        <v>3147837156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0.51460000000000039</v>
      </c>
      <c r="Q356">
        <f t="shared" si="970"/>
        <v>1619877000.4776013</v>
      </c>
      <c r="R356">
        <f t="shared" si="971"/>
        <v>-1979171450.0150678</v>
      </c>
      <c r="S356">
        <f t="shared" si="972"/>
        <v>-19791.71450015068</v>
      </c>
      <c r="T356">
        <f t="shared" si="973"/>
        <v>-19.791714500150679</v>
      </c>
    </row>
    <row r="357" spans="1:20" x14ac:dyDescent="0.25">
      <c r="A357" s="5">
        <v>44236</v>
      </c>
      <c r="B357">
        <v>3.0433999999999999E-2</v>
      </c>
      <c r="C357">
        <v>3.5000000000000003E-2</v>
      </c>
      <c r="D357">
        <v>2.9899999999999999E-2</v>
      </c>
      <c r="E357">
        <v>3.4370999999999999E-2</v>
      </c>
      <c r="F357">
        <v>2237799572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0.75333333333333174</v>
      </c>
      <c r="Q357">
        <f t="shared" si="970"/>
        <v>1685809010.9066632</v>
      </c>
      <c r="R357">
        <f t="shared" si="971"/>
        <v>-3599048450.4926691</v>
      </c>
      <c r="S357">
        <f t="shared" si="972"/>
        <v>-35990.484504926688</v>
      </c>
      <c r="T357">
        <f t="shared" si="973"/>
        <v>-35.990484504926691</v>
      </c>
    </row>
    <row r="358" spans="1:20" x14ac:dyDescent="0.25">
      <c r="A358" s="5">
        <v>44235</v>
      </c>
      <c r="B358">
        <v>2.6155000000000001E-2</v>
      </c>
      <c r="C358">
        <v>3.3258000000000003E-2</v>
      </c>
      <c r="D358">
        <v>2.5305999999999999E-2</v>
      </c>
      <c r="E358">
        <v>3.0401999999999998E-2</v>
      </c>
      <c r="F358">
        <v>2437815663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0.28169014084506971</v>
      </c>
      <c r="Q358">
        <f t="shared" si="970"/>
        <v>686708637.46478701</v>
      </c>
      <c r="R358">
        <f t="shared" si="971"/>
        <v>-5284857461.399332</v>
      </c>
      <c r="S358">
        <f t="shared" si="972"/>
        <v>-52848.574613993318</v>
      </c>
      <c r="T358">
        <f t="shared" si="973"/>
        <v>-52.848574613993321</v>
      </c>
    </row>
    <row r="359" spans="1:20" x14ac:dyDescent="0.25">
      <c r="A359" s="5">
        <v>44234</v>
      </c>
      <c r="B359">
        <v>2.8159E-2</v>
      </c>
      <c r="C359">
        <v>2.8503000000000001E-2</v>
      </c>
      <c r="D359">
        <v>2.2929999999999999E-2</v>
      </c>
      <c r="E359">
        <v>2.6176000000000001E-2</v>
      </c>
      <c r="F359">
        <v>1607191060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0.16490220706980135</v>
      </c>
      <c r="Q359">
        <f t="shared" si="970"/>
        <v>265029352.97685352</v>
      </c>
      <c r="R359">
        <f t="shared" si="971"/>
        <v>-5971566098.8641195</v>
      </c>
      <c r="S359">
        <f t="shared" si="972"/>
        <v>-59715.660988641197</v>
      </c>
      <c r="T359">
        <f t="shared" si="973"/>
        <v>-59.715660988641197</v>
      </c>
    </row>
    <row r="360" spans="1:20" x14ac:dyDescent="0.25">
      <c r="A360" s="5">
        <v>44233</v>
      </c>
      <c r="B360">
        <v>3.0195E-2</v>
      </c>
      <c r="C360">
        <v>3.0249999999999999E-2</v>
      </c>
      <c r="D360">
        <v>2.6020000000000001E-2</v>
      </c>
      <c r="E360">
        <v>2.8129000000000001E-2</v>
      </c>
      <c r="F360">
        <v>1512285048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-2.8368794326236713E-3</v>
      </c>
      <c r="Q360">
        <f t="shared" si="970"/>
        <v>-4290170.3489355016</v>
      </c>
      <c r="R360">
        <f t="shared" si="971"/>
        <v>-6236595451.8409729</v>
      </c>
      <c r="S360">
        <f t="shared" si="972"/>
        <v>-62365.95451840973</v>
      </c>
      <c r="T360">
        <f t="shared" si="973"/>
        <v>-62.36595451840973</v>
      </c>
    </row>
    <row r="361" spans="1:20" x14ac:dyDescent="0.25">
      <c r="A361" s="5">
        <v>44232</v>
      </c>
      <c r="B361">
        <v>2.7822E-2</v>
      </c>
      <c r="C361">
        <v>3.2000000000000001E-2</v>
      </c>
      <c r="D361">
        <v>2.7E-2</v>
      </c>
      <c r="E361">
        <v>3.0193999999999999E-2</v>
      </c>
      <c r="F361">
        <v>1660127241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0.27759999999999935</v>
      </c>
      <c r="Q361">
        <f t="shared" si="970"/>
        <v>460851322.10159892</v>
      </c>
      <c r="R361">
        <f t="shared" si="971"/>
        <v>-6232305281.4920378</v>
      </c>
      <c r="S361">
        <f t="shared" si="972"/>
        <v>-62323.052814920375</v>
      </c>
      <c r="T361">
        <f t="shared" si="973"/>
        <v>-62.323052814920374</v>
      </c>
    </row>
    <row r="362" spans="1:20" x14ac:dyDescent="0.25">
      <c r="A362" s="5">
        <v>44231</v>
      </c>
      <c r="B362">
        <v>2.9876E-2</v>
      </c>
      <c r="C362">
        <v>3.0710000000000001E-2</v>
      </c>
      <c r="D362">
        <v>2.5399999999999999E-2</v>
      </c>
      <c r="E362">
        <v>2.7779000000000002E-2</v>
      </c>
      <c r="F362">
        <v>1635000904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-0.10395480225988639</v>
      </c>
      <c r="Q362">
        <f t="shared" si="970"/>
        <v>-169966195.67005548</v>
      </c>
      <c r="R362">
        <f t="shared" si="971"/>
        <v>-6693156603.5936365</v>
      </c>
      <c r="S362">
        <f t="shared" si="972"/>
        <v>-66931.566035936368</v>
      </c>
      <c r="T362">
        <f t="shared" si="973"/>
        <v>-66.93156603593637</v>
      </c>
    </row>
    <row r="363" spans="1:20" x14ac:dyDescent="0.25">
      <c r="A363" s="5">
        <v>44230</v>
      </c>
      <c r="B363">
        <v>2.5378999999999999E-2</v>
      </c>
      <c r="C363">
        <v>3.1E-2</v>
      </c>
      <c r="D363">
        <v>2.4198999999999998E-2</v>
      </c>
      <c r="E363">
        <v>2.9891999999999998E-2</v>
      </c>
      <c r="F363">
        <v>1809703251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0.67416556388766324</v>
      </c>
      <c r="Q363">
        <f t="shared" si="970"/>
        <v>1220039612.6797523</v>
      </c>
      <c r="R363">
        <f t="shared" si="971"/>
        <v>-6523190407.9235811</v>
      </c>
      <c r="S363">
        <f t="shared" si="972"/>
        <v>-65231.904079235814</v>
      </c>
      <c r="T363">
        <f t="shared" si="973"/>
        <v>-65.231904079235818</v>
      </c>
    </row>
    <row r="364" spans="1:20" x14ac:dyDescent="0.25">
      <c r="A364" s="5">
        <v>44229</v>
      </c>
      <c r="B364">
        <v>2.1780999999999998E-2</v>
      </c>
      <c r="C364">
        <v>2.6960000000000001E-2</v>
      </c>
      <c r="D364">
        <v>2.1661E-2</v>
      </c>
      <c r="E364">
        <v>2.5378999999999999E-2</v>
      </c>
      <c r="F364">
        <v>2325605845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0.40328363842234305</v>
      </c>
      <c r="Q364">
        <f t="shared" si="970"/>
        <v>937878786.70786762</v>
      </c>
      <c r="R364">
        <f t="shared" si="971"/>
        <v>-7743230020.6033335</v>
      </c>
      <c r="S364">
        <f t="shared" si="972"/>
        <v>-77432.300206033338</v>
      </c>
      <c r="T364">
        <f t="shared" si="973"/>
        <v>-77.432300206033332</v>
      </c>
    </row>
    <row r="365" spans="1:20" x14ac:dyDescent="0.25">
      <c r="A365" s="5">
        <v>44228</v>
      </c>
      <c r="B365">
        <v>1.9828999999999999E-2</v>
      </c>
      <c r="C365">
        <v>2.2499999999999999E-2</v>
      </c>
      <c r="D365">
        <v>1.8901000000000001E-2</v>
      </c>
      <c r="E365">
        <v>2.1780999999999998E-2</v>
      </c>
      <c r="F365">
        <v>764838565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0.60044456793553691</v>
      </c>
      <c r="Q365">
        <f t="shared" si="970"/>
        <v>459243161.70186108</v>
      </c>
      <c r="R365">
        <f t="shared" si="971"/>
        <v>-8681108807.3112011</v>
      </c>
      <c r="S365">
        <f t="shared" si="972"/>
        <v>-86811.088073112012</v>
      </c>
      <c r="T365">
        <f t="shared" si="973"/>
        <v>-86.811088073112018</v>
      </c>
    </row>
    <row r="366" spans="1:20" x14ac:dyDescent="0.25">
      <c r="A366" s="5">
        <v>44227</v>
      </c>
      <c r="B366">
        <v>2.0575E-2</v>
      </c>
      <c r="C366">
        <v>2.1989000000000002E-2</v>
      </c>
      <c r="D366">
        <v>1.9040999999999999E-2</v>
      </c>
      <c r="E366">
        <v>1.9852999999999999E-2</v>
      </c>
      <c r="F366">
        <v>763479197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-0.44911804613297185</v>
      </c>
      <c r="Q366">
        <f t="shared" si="970"/>
        <v>-342892285.21981031</v>
      </c>
      <c r="R366">
        <f t="shared" si="971"/>
        <v>-9140351969.0130615</v>
      </c>
      <c r="S366">
        <f t="shared" si="972"/>
        <v>-91403.519690130619</v>
      </c>
      <c r="T366">
        <f t="shared" si="973"/>
        <v>-91.403519690130622</v>
      </c>
    </row>
    <row r="367" spans="1:20" x14ac:dyDescent="0.25">
      <c r="A367" s="5">
        <v>44226</v>
      </c>
      <c r="B367">
        <v>1.8360999999999999E-2</v>
      </c>
      <c r="C367">
        <v>2.1121000000000001E-2</v>
      </c>
      <c r="D367">
        <v>1.7895000000000001E-2</v>
      </c>
      <c r="E367">
        <v>2.0573999999999999E-2</v>
      </c>
      <c r="F367">
        <v>879493120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0.66088034717916777</v>
      </c>
      <c r="Q367">
        <f t="shared" si="970"/>
        <v>581239718.48728943</v>
      </c>
      <c r="R367">
        <f t="shared" si="971"/>
        <v>-8797459683.793251</v>
      </c>
      <c r="S367">
        <f t="shared" si="972"/>
        <v>-87974.596837932506</v>
      </c>
      <c r="T367">
        <f t="shared" si="973"/>
        <v>-87.974596837932509</v>
      </c>
    </row>
    <row r="368" spans="1:20" x14ac:dyDescent="0.25">
      <c r="A368" s="5">
        <v>44225</v>
      </c>
      <c r="B368">
        <v>1.9599999999999999E-2</v>
      </c>
      <c r="C368">
        <v>1.9814999999999999E-2</v>
      </c>
      <c r="D368">
        <v>1.6858000000000001E-2</v>
      </c>
      <c r="E368">
        <v>1.8384000000000001E-2</v>
      </c>
      <c r="F368">
        <v>921225468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3.2127155901251744E-2</v>
      </c>
      <c r="Q368">
        <f t="shared" si="970"/>
        <v>29596354.230639599</v>
      </c>
      <c r="R368">
        <f t="shared" si="971"/>
        <v>-9378699402.2805405</v>
      </c>
      <c r="S368">
        <f t="shared" si="972"/>
        <v>-93786.994022805404</v>
      </c>
      <c r="T368">
        <f t="shared" si="973"/>
        <v>-93.786994022805402</v>
      </c>
    </row>
    <row r="369" spans="1:20" x14ac:dyDescent="0.25">
      <c r="A369" s="5">
        <v>44224</v>
      </c>
      <c r="B369">
        <v>1.8255E-2</v>
      </c>
      <c r="C369">
        <v>2.0750000000000001E-2</v>
      </c>
      <c r="D369">
        <v>1.7749999999999998E-2</v>
      </c>
      <c r="E369">
        <v>1.9601E-2</v>
      </c>
      <c r="F369">
        <v>951857341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0.23400000000000021</v>
      </c>
      <c r="Q369">
        <f t="shared" si="970"/>
        <v>222734617.79400021</v>
      </c>
      <c r="R369">
        <f t="shared" si="971"/>
        <v>-9408295756.5111809</v>
      </c>
      <c r="S369">
        <f t="shared" si="972"/>
        <v>-94082.957565111807</v>
      </c>
      <c r="T369">
        <f t="shared" si="973"/>
        <v>-94.082957565111812</v>
      </c>
    </row>
    <row r="370" spans="1:20" x14ac:dyDescent="0.25">
      <c r="A370" s="5">
        <v>44223</v>
      </c>
      <c r="B370">
        <v>2.1156999999999999E-2</v>
      </c>
      <c r="C370">
        <v>2.2501E-2</v>
      </c>
      <c r="D370">
        <v>1.7429E-2</v>
      </c>
      <c r="E370">
        <v>1.8255E-2</v>
      </c>
      <c r="F370">
        <v>811225785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-0.67429022082018919</v>
      </c>
      <c r="Q370">
        <f t="shared" si="970"/>
        <v>-547001613.7026813</v>
      </c>
      <c r="R370">
        <f t="shared" si="971"/>
        <v>-9631030374.3051815</v>
      </c>
      <c r="S370">
        <f t="shared" si="972"/>
        <v>-96310.303743051816</v>
      </c>
      <c r="T370">
        <f t="shared" si="973"/>
        <v>-96.310303743051819</v>
      </c>
    </row>
    <row r="371" spans="1:20" x14ac:dyDescent="0.25">
      <c r="A371" s="5">
        <v>44222</v>
      </c>
      <c r="B371">
        <v>2.0070999999999999E-2</v>
      </c>
      <c r="C371">
        <v>2.1499999999999998E-2</v>
      </c>
      <c r="D371">
        <v>1.813E-2</v>
      </c>
      <c r="E371">
        <v>2.1101000000000002E-2</v>
      </c>
      <c r="F371">
        <v>722012516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0.76320474777448255</v>
      </c>
      <c r="Q371">
        <f t="shared" si="970"/>
        <v>551043380.16379952</v>
      </c>
      <c r="R371">
        <f t="shared" si="971"/>
        <v>-9084028760.6025009</v>
      </c>
      <c r="S371">
        <f t="shared" si="972"/>
        <v>-90840.287606025013</v>
      </c>
      <c r="T371">
        <f t="shared" si="973"/>
        <v>-90.840287606025015</v>
      </c>
    </row>
    <row r="372" spans="1:20" x14ac:dyDescent="0.25">
      <c r="A372" s="5">
        <v>44221</v>
      </c>
      <c r="B372">
        <v>2.1198999999999999E-2</v>
      </c>
      <c r="C372">
        <v>2.3800000000000002E-2</v>
      </c>
      <c r="D372">
        <v>1.9E-2</v>
      </c>
      <c r="E372">
        <v>2.0073000000000001E-2</v>
      </c>
      <c r="F372">
        <v>904706786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-0.55291666666666639</v>
      </c>
      <c r="Q372">
        <f t="shared" si="970"/>
        <v>-500227460.42583311</v>
      </c>
      <c r="R372">
        <f t="shared" si="971"/>
        <v>-9635072140.7663002</v>
      </c>
      <c r="S372">
        <f t="shared" si="972"/>
        <v>-96350.721407663004</v>
      </c>
      <c r="T372">
        <f t="shared" si="973"/>
        <v>-96.350721407663002</v>
      </c>
    </row>
    <row r="373" spans="1:20" x14ac:dyDescent="0.25">
      <c r="A373" s="5">
        <v>44220</v>
      </c>
      <c r="B373">
        <v>2.1295999999999999E-2</v>
      </c>
      <c r="C373">
        <v>2.3400000000000001E-2</v>
      </c>
      <c r="D373">
        <v>2.1000000000000001E-2</v>
      </c>
      <c r="E373">
        <v>2.1194999999999999E-2</v>
      </c>
      <c r="F373">
        <v>570248269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-0.83750000000000224</v>
      </c>
      <c r="Q373">
        <f t="shared" si="970"/>
        <v>-477582925.28750128</v>
      </c>
      <c r="R373">
        <f t="shared" si="971"/>
        <v>-9134844680.3404675</v>
      </c>
      <c r="S373">
        <f t="shared" si="972"/>
        <v>-91348.446803404673</v>
      </c>
      <c r="T373">
        <f t="shared" si="973"/>
        <v>-91.34844680340467</v>
      </c>
    </row>
    <row r="374" spans="1:20" x14ac:dyDescent="0.25">
      <c r="A374" s="5">
        <v>44219</v>
      </c>
      <c r="B374">
        <v>2.1284000000000001E-2</v>
      </c>
      <c r="C374">
        <v>2.3599999999999999E-2</v>
      </c>
      <c r="D374">
        <v>1.95E-2</v>
      </c>
      <c r="E374">
        <v>2.1295000000000001E-2</v>
      </c>
      <c r="F374">
        <v>850806610</v>
      </c>
      <c r="G374">
        <v>0</v>
      </c>
      <c r="L374" t="s">
        <v>7</v>
      </c>
      <c r="M374" t="s">
        <v>7</v>
      </c>
      <c r="N374" t="s">
        <v>8</v>
      </c>
      <c r="P374">
        <f t="shared" si="969"/>
        <v>-0.12439024390243821</v>
      </c>
      <c r="Q374">
        <f t="shared" si="970"/>
        <v>-105832041.73170662</v>
      </c>
      <c r="R374">
        <f t="shared" si="971"/>
        <v>-8657261755.0529671</v>
      </c>
      <c r="S374">
        <f t="shared" si="972"/>
        <v>-86572.617550529671</v>
      </c>
      <c r="T374">
        <f t="shared" si="973"/>
        <v>-86.572617550529671</v>
      </c>
    </row>
    <row r="375" spans="1:20" x14ac:dyDescent="0.25">
      <c r="A375" s="5">
        <v>44218</v>
      </c>
      <c r="B375">
        <v>2.1201999999999999E-2</v>
      </c>
      <c r="C375">
        <v>2.6209E-2</v>
      </c>
      <c r="D375">
        <v>1.7401E-2</v>
      </c>
      <c r="E375">
        <v>2.1284000000000001E-2</v>
      </c>
      <c r="F375">
        <v>1947823969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-0.1183015440508626</v>
      </c>
      <c r="Q375">
        <f t="shared" si="970"/>
        <v>-230430583.07197952</v>
      </c>
      <c r="R375">
        <f t="shared" si="971"/>
        <v>-8551429713.3212605</v>
      </c>
      <c r="S375">
        <f t="shared" si="972"/>
        <v>-85514.297133212604</v>
      </c>
      <c r="T375">
        <f t="shared" si="973"/>
        <v>-85.514297133212608</v>
      </c>
    </row>
    <row r="376" spans="1:20" x14ac:dyDescent="0.25">
      <c r="A376" s="5">
        <v>44217</v>
      </c>
      <c r="B376">
        <v>2.1510999999999999E-2</v>
      </c>
      <c r="C376">
        <v>2.3E-2</v>
      </c>
      <c r="D376">
        <v>1.9E-2</v>
      </c>
      <c r="E376">
        <v>2.1201999999999999E-2</v>
      </c>
      <c r="F376">
        <v>1177663688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0.10099999999999952</v>
      </c>
      <c r="Q376">
        <f t="shared" si="970"/>
        <v>118944032.48799944</v>
      </c>
      <c r="R376">
        <f t="shared" si="971"/>
        <v>-8320999130.2492809</v>
      </c>
      <c r="S376">
        <f t="shared" si="972"/>
        <v>-83209.99130249281</v>
      </c>
      <c r="T376">
        <f t="shared" si="973"/>
        <v>-83.20999130249281</v>
      </c>
    </row>
    <row r="377" spans="1:20" x14ac:dyDescent="0.25">
      <c r="A377" s="5">
        <v>44216</v>
      </c>
      <c r="B377">
        <v>1.66E-2</v>
      </c>
      <c r="C377">
        <v>2.1956E-2</v>
      </c>
      <c r="D377">
        <v>1.5654999999999999E-2</v>
      </c>
      <c r="E377">
        <v>2.1510000000000001E-2</v>
      </c>
      <c r="F377">
        <v>1411564252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0.85843516902079087</v>
      </c>
      <c r="Q377">
        <f t="shared" si="970"/>
        <v>1211736397.2493262</v>
      </c>
      <c r="R377">
        <f t="shared" si="971"/>
        <v>-8439943162.7372799</v>
      </c>
      <c r="S377">
        <f t="shared" si="972"/>
        <v>-84399.431627372804</v>
      </c>
      <c r="T377">
        <f t="shared" si="973"/>
        <v>-84.399431627372806</v>
      </c>
    </row>
    <row r="378" spans="1:20" x14ac:dyDescent="0.25">
      <c r="A378" s="5">
        <v>44215</v>
      </c>
      <c r="B378">
        <v>1.6648E-2</v>
      </c>
      <c r="C378">
        <v>1.7599E-2</v>
      </c>
      <c r="D378">
        <v>1.4912999999999999E-2</v>
      </c>
      <c r="E378">
        <v>1.66E-2</v>
      </c>
      <c r="F378">
        <v>635256006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0.25614296351452004</v>
      </c>
      <c r="Q378">
        <f t="shared" si="970"/>
        <v>162716355.96723771</v>
      </c>
      <c r="R378">
        <f t="shared" si="971"/>
        <v>-9651679559.9866066</v>
      </c>
      <c r="S378">
        <f t="shared" si="972"/>
        <v>-96516.795599866062</v>
      </c>
      <c r="T378">
        <f t="shared" si="973"/>
        <v>-96.516795599866057</v>
      </c>
    </row>
    <row r="379" spans="1:20" x14ac:dyDescent="0.25">
      <c r="A379" s="5">
        <v>44214</v>
      </c>
      <c r="B379">
        <v>1.7394E-2</v>
      </c>
      <c r="C379">
        <v>1.8898999999999999E-2</v>
      </c>
      <c r="D379">
        <v>1.5513000000000001E-2</v>
      </c>
      <c r="E379">
        <v>1.6685999999999999E-2</v>
      </c>
      <c r="F379">
        <v>616224675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-0.30714707619610204</v>
      </c>
      <c r="Q379">
        <f t="shared" si="970"/>
        <v>-189271607.20614323</v>
      </c>
      <c r="R379">
        <f t="shared" si="971"/>
        <v>-9814395915.9538441</v>
      </c>
      <c r="S379">
        <f t="shared" si="972"/>
        <v>-98143.959159538441</v>
      </c>
      <c r="T379">
        <f t="shared" si="973"/>
        <v>-98.14395915953844</v>
      </c>
    </row>
    <row r="380" spans="1:20" x14ac:dyDescent="0.25">
      <c r="A380" s="5">
        <v>44213</v>
      </c>
      <c r="B380">
        <v>1.6E-2</v>
      </c>
      <c r="C380">
        <v>2.0999E-2</v>
      </c>
      <c r="D380">
        <v>1.465E-2</v>
      </c>
      <c r="E380">
        <v>1.7350999999999998E-2</v>
      </c>
      <c r="F380">
        <v>1972956337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-0.14915734761379798</v>
      </c>
      <c r="Q380">
        <f t="shared" si="970"/>
        <v>-294280934.18475455</v>
      </c>
      <c r="R380">
        <f t="shared" si="971"/>
        <v>-9625124308.7477016</v>
      </c>
      <c r="S380">
        <f t="shared" si="972"/>
        <v>-96251.243087477022</v>
      </c>
      <c r="T380">
        <f t="shared" si="973"/>
        <v>-96.251243087477022</v>
      </c>
    </row>
    <row r="381" spans="1:20" x14ac:dyDescent="0.25">
      <c r="A381" s="5">
        <v>44212</v>
      </c>
      <c r="B381">
        <v>1.2669E-2</v>
      </c>
      <c r="C381">
        <v>1.8880000000000001E-2</v>
      </c>
      <c r="D381">
        <v>1.0621E-2</v>
      </c>
      <c r="E381">
        <v>1.6E-2</v>
      </c>
      <c r="F381">
        <v>1509072795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0.30257900472212124</v>
      </c>
      <c r="Q381">
        <f t="shared" si="970"/>
        <v>456613744.3643297</v>
      </c>
      <c r="R381">
        <f t="shared" si="971"/>
        <v>-9330843374.5629463</v>
      </c>
      <c r="S381">
        <f t="shared" si="972"/>
        <v>-93308.43374562946</v>
      </c>
      <c r="T381">
        <f t="shared" si="973"/>
        <v>-93.308433745629458</v>
      </c>
    </row>
    <row r="382" spans="1:20" x14ac:dyDescent="0.25">
      <c r="A382" s="5">
        <v>44211</v>
      </c>
      <c r="B382">
        <v>9.4500000000000001E-3</v>
      </c>
      <c r="C382">
        <v>1.328E-2</v>
      </c>
      <c r="D382">
        <v>8.8599999999999998E-3</v>
      </c>
      <c r="E382">
        <v>1.2635E-2</v>
      </c>
      <c r="F382">
        <v>1721861860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0.70814479638009065</v>
      </c>
      <c r="Q382">
        <f t="shared" si="970"/>
        <v>1219327516.2443442</v>
      </c>
      <c r="R382">
        <f t="shared" si="971"/>
        <v>-9787457118.9272766</v>
      </c>
      <c r="S382">
        <f t="shared" si="972"/>
        <v>-97874.57118927277</v>
      </c>
      <c r="T382">
        <f t="shared" si="973"/>
        <v>-97.874571189272771</v>
      </c>
    </row>
    <row r="383" spans="1:20" x14ac:dyDescent="0.25">
      <c r="A383" s="5">
        <v>44210</v>
      </c>
      <c r="B383">
        <v>7.9080000000000001E-3</v>
      </c>
      <c r="C383">
        <v>9.9819999999999996E-3</v>
      </c>
      <c r="D383">
        <v>7.7720000000000003E-3</v>
      </c>
      <c r="E383">
        <v>9.4160000000000008E-3</v>
      </c>
      <c r="F383">
        <v>631919316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0.48778280542986518</v>
      </c>
      <c r="Q383">
        <f t="shared" si="970"/>
        <v>308239376.76380152</v>
      </c>
      <c r="R383">
        <f t="shared" si="971"/>
        <v>-11006784635.171621</v>
      </c>
      <c r="S383">
        <f t="shared" si="972"/>
        <v>-110067.84635171622</v>
      </c>
      <c r="T383">
        <f t="shared" si="973"/>
        <v>-110.06784635171621</v>
      </c>
    </row>
    <row r="384" spans="1:20" x14ac:dyDescent="0.25">
      <c r="A384" s="5">
        <v>44209</v>
      </c>
      <c r="B384">
        <v>7.0549999999999996E-3</v>
      </c>
      <c r="C384">
        <v>8.2000000000000007E-3</v>
      </c>
      <c r="D384">
        <v>6.5160000000000001E-3</v>
      </c>
      <c r="E384">
        <v>7.9080000000000001E-3</v>
      </c>
      <c r="F384">
        <v>485703221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0.65320665083135332</v>
      </c>
      <c r="Q384">
        <f t="shared" si="970"/>
        <v>317264574.28741062</v>
      </c>
      <c r="R384">
        <f t="shared" si="971"/>
        <v>-11315024011.935423</v>
      </c>
      <c r="S384">
        <f t="shared" si="972"/>
        <v>-113150.24011935423</v>
      </c>
      <c r="T384">
        <f t="shared" si="973"/>
        <v>-113.15024011935424</v>
      </c>
    </row>
    <row r="385" spans="1:20" x14ac:dyDescent="0.25">
      <c r="A385" s="5">
        <v>44208</v>
      </c>
      <c r="B385">
        <v>8.1550000000000008E-3</v>
      </c>
      <c r="C385">
        <v>8.3330000000000001E-3</v>
      </c>
      <c r="D385">
        <v>6.8149999999999999E-3</v>
      </c>
      <c r="E385">
        <v>7.0549999999999996E-3</v>
      </c>
      <c r="F385">
        <v>539720388</v>
      </c>
      <c r="G385">
        <v>0</v>
      </c>
      <c r="L385" t="s">
        <v>7</v>
      </c>
      <c r="M385" t="s">
        <v>7</v>
      </c>
      <c r="N385" t="s">
        <v>7</v>
      </c>
      <c r="P385">
        <f t="shared" si="969"/>
        <v>-0.68379446640316244</v>
      </c>
      <c r="Q385">
        <f t="shared" si="970"/>
        <v>-369057814.7193678</v>
      </c>
      <c r="R385">
        <f t="shared" si="971"/>
        <v>-11632288586.222834</v>
      </c>
      <c r="S385">
        <f t="shared" si="972"/>
        <v>-116322.88586222833</v>
      </c>
      <c r="T385">
        <f t="shared" si="973"/>
        <v>-116.32288586222833</v>
      </c>
    </row>
    <row r="386" spans="1:20" x14ac:dyDescent="0.25">
      <c r="A386" s="5">
        <v>44207</v>
      </c>
      <c r="B386">
        <v>9.8539999999999999E-3</v>
      </c>
      <c r="C386">
        <v>9.9380000000000007E-3</v>
      </c>
      <c r="D386">
        <v>7.502E-3</v>
      </c>
      <c r="E386">
        <v>8.1530000000000005E-3</v>
      </c>
      <c r="F386">
        <v>314241503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-0.46551724137931005</v>
      </c>
      <c r="Q386">
        <f t="shared" si="970"/>
        <v>-146284837.60344818</v>
      </c>
      <c r="R386">
        <f t="shared" si="971"/>
        <v>-11263230771.503466</v>
      </c>
      <c r="S386">
        <f t="shared" si="972"/>
        <v>-112632.30771503465</v>
      </c>
      <c r="T386">
        <f t="shared" si="973"/>
        <v>-112.63230771503466</v>
      </c>
    </row>
    <row r="387" spans="1:20" x14ac:dyDescent="0.25">
      <c r="A387" s="5">
        <v>44206</v>
      </c>
      <c r="B387">
        <v>9.8969999999999995E-3</v>
      </c>
      <c r="C387">
        <v>1.1010000000000001E-2</v>
      </c>
      <c r="D387">
        <v>9.1999999999999998E-3</v>
      </c>
      <c r="E387">
        <v>9.8560000000000002E-3</v>
      </c>
      <c r="F387">
        <v>314175762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-0.27513812154696132</v>
      </c>
      <c r="Q387">
        <f t="shared" si="970"/>
        <v>-86441728.992265195</v>
      </c>
      <c r="R387">
        <f t="shared" si="971"/>
        <v>-11116945933.900017</v>
      </c>
      <c r="S387">
        <f t="shared" si="972"/>
        <v>-111169.45933900017</v>
      </c>
      <c r="T387">
        <f t="shared" si="973"/>
        <v>-111.16945933900017</v>
      </c>
    </row>
    <row r="388" spans="1:20" x14ac:dyDescent="0.25">
      <c r="A388" s="5">
        <v>44205</v>
      </c>
      <c r="B388">
        <v>9.4940000000000007E-3</v>
      </c>
      <c r="C388">
        <v>1.0500000000000001E-2</v>
      </c>
      <c r="D388">
        <v>9.3500000000000007E-3</v>
      </c>
      <c r="E388">
        <v>9.8379999999999995E-3</v>
      </c>
      <c r="F388">
        <v>275820343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-0.15130434782608895</v>
      </c>
      <c r="Q388">
        <f t="shared" si="970"/>
        <v>-41732817.11478316</v>
      </c>
      <c r="R388">
        <f t="shared" si="971"/>
        <v>-11030504204.907751</v>
      </c>
      <c r="S388">
        <f t="shared" si="972"/>
        <v>-110305.04204907751</v>
      </c>
      <c r="T388">
        <f t="shared" si="973"/>
        <v>-110.30504204907751</v>
      </c>
    </row>
    <row r="389" spans="1:20" x14ac:dyDescent="0.25">
      <c r="A389" s="5">
        <v>44204</v>
      </c>
      <c r="B389">
        <v>9.9979999999999999E-3</v>
      </c>
      <c r="C389">
        <v>1.023E-2</v>
      </c>
      <c r="D389">
        <v>9.1979999999999996E-3</v>
      </c>
      <c r="E389">
        <v>9.4809999999999998E-3</v>
      </c>
      <c r="F389">
        <v>289334004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-0.45155038759689869</v>
      </c>
      <c r="Q389">
        <f t="shared" si="970"/>
        <v>-130648881.65116264</v>
      </c>
      <c r="R389">
        <f t="shared" si="971"/>
        <v>-10988771387.792969</v>
      </c>
      <c r="S389">
        <f t="shared" si="972"/>
        <v>-109887.71387792969</v>
      </c>
      <c r="T389">
        <f t="shared" si="973"/>
        <v>-109.8877138779297</v>
      </c>
    </row>
    <row r="390" spans="1:20" x14ac:dyDescent="0.25">
      <c r="A390" s="5">
        <v>44203</v>
      </c>
      <c r="B390">
        <v>1.034E-2</v>
      </c>
      <c r="C390">
        <v>1.0749999999999999E-2</v>
      </c>
      <c r="D390">
        <v>9.75E-3</v>
      </c>
      <c r="E390">
        <v>9.9979999999999999E-3</v>
      </c>
      <c r="F390">
        <v>392689474</v>
      </c>
      <c r="G390">
        <v>0</v>
      </c>
      <c r="L390" t="s">
        <v>7</v>
      </c>
      <c r="M390" t="s">
        <v>8</v>
      </c>
      <c r="N390" t="s">
        <v>7</v>
      </c>
      <c r="P390">
        <f t="shared" ref="P390:P453" si="974">IF(C390=D390,0,((E390-D390)-(C390-E390))/(C390-D390))</f>
        <v>-0.50399999999999967</v>
      </c>
      <c r="Q390">
        <f t="shared" ref="Q390:Q453" si="975">F390*P390</f>
        <v>-197915494.89599988</v>
      </c>
      <c r="R390">
        <f t="shared" ref="R390:R453" si="976">R391+Q390</f>
        <v>-10858122506.141806</v>
      </c>
      <c r="S390">
        <f t="shared" ref="S390:S453" si="977">R390/100000</f>
        <v>-108581.22506141805</v>
      </c>
      <c r="T390">
        <f t="shared" ref="T390:T453" si="978">S390/1000</f>
        <v>-108.58122506141805</v>
      </c>
    </row>
    <row r="391" spans="1:20" x14ac:dyDescent="0.25">
      <c r="A391" s="5">
        <v>44202</v>
      </c>
      <c r="B391">
        <v>1.1062000000000001E-2</v>
      </c>
      <c r="C391">
        <v>1.1597E-2</v>
      </c>
      <c r="D391">
        <v>1.0045999999999999E-2</v>
      </c>
      <c r="E391">
        <v>1.0333999999999999E-2</v>
      </c>
      <c r="F391">
        <v>362429698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-0.62862669245647973</v>
      </c>
      <c r="Q391">
        <f t="shared" si="975"/>
        <v>-227832982.30174083</v>
      </c>
      <c r="R391">
        <f t="shared" si="976"/>
        <v>-10660207011.245806</v>
      </c>
      <c r="S391">
        <f t="shared" si="977"/>
        <v>-106602.07011245805</v>
      </c>
      <c r="T391">
        <f t="shared" si="978"/>
        <v>-106.60207011245805</v>
      </c>
    </row>
    <row r="392" spans="1:20" x14ac:dyDescent="0.25">
      <c r="A392" s="5">
        <v>44201</v>
      </c>
      <c r="B392">
        <v>1.0116E-2</v>
      </c>
      <c r="C392">
        <v>1.17E-2</v>
      </c>
      <c r="D392">
        <v>9.2499999999999995E-3</v>
      </c>
      <c r="E392">
        <v>1.0980999999999999E-2</v>
      </c>
      <c r="F392">
        <v>548550420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0.41306122448979538</v>
      </c>
      <c r="Q392">
        <f t="shared" si="975"/>
        <v>226584908.17959154</v>
      </c>
      <c r="R392">
        <f t="shared" si="976"/>
        <v>-10432374028.944065</v>
      </c>
      <c r="S392">
        <f t="shared" si="977"/>
        <v>-104323.74028944066</v>
      </c>
      <c r="T392">
        <f t="shared" si="978"/>
        <v>-104.32374028944065</v>
      </c>
    </row>
    <row r="393" spans="1:20" x14ac:dyDescent="0.25">
      <c r="A393" s="5">
        <v>44200</v>
      </c>
      <c r="B393">
        <v>9.9249999999999998E-3</v>
      </c>
      <c r="C393">
        <v>1.1065E-2</v>
      </c>
      <c r="D393">
        <v>9.0320000000000001E-3</v>
      </c>
      <c r="E393">
        <v>1.0121E-2</v>
      </c>
      <c r="F393">
        <v>567924408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7.1323167732414802E-2</v>
      </c>
      <c r="Q393">
        <f t="shared" si="975"/>
        <v>40506167.811116382</v>
      </c>
      <c r="R393">
        <f t="shared" si="976"/>
        <v>-10658958937.123657</v>
      </c>
      <c r="S393">
        <f t="shared" si="977"/>
        <v>-106589.58937123657</v>
      </c>
      <c r="T393">
        <f t="shared" si="978"/>
        <v>-106.58958937123657</v>
      </c>
    </row>
    <row r="394" spans="1:20" x14ac:dyDescent="0.25">
      <c r="A394" s="5">
        <v>44199</v>
      </c>
      <c r="B394">
        <v>1.1325E-2</v>
      </c>
      <c r="C394">
        <v>1.1900000000000001E-2</v>
      </c>
      <c r="D394">
        <v>9.0279999999999996E-3</v>
      </c>
      <c r="E394">
        <v>9.8709999999999996E-3</v>
      </c>
      <c r="F394">
        <v>678332202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-0.41295264623955458</v>
      </c>
      <c r="Q394">
        <f t="shared" si="975"/>
        <v>-280119077.84540409</v>
      </c>
      <c r="R394">
        <f t="shared" si="976"/>
        <v>-10699465104.934774</v>
      </c>
      <c r="S394">
        <f t="shared" si="977"/>
        <v>-106994.65104934774</v>
      </c>
      <c r="T394">
        <f t="shared" si="978"/>
        <v>-106.99465104934774</v>
      </c>
    </row>
    <row r="395" spans="1:20" x14ac:dyDescent="0.25">
      <c r="A395" s="5">
        <v>44198</v>
      </c>
      <c r="B395">
        <v>1.2227999999999999E-2</v>
      </c>
      <c r="C395">
        <v>1.3736E-2</v>
      </c>
      <c r="D395">
        <v>1.09E-2</v>
      </c>
      <c r="E395">
        <v>1.1317000000000001E-2</v>
      </c>
      <c r="F395">
        <v>858056705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-0.70592383638928013</v>
      </c>
      <c r="Q395">
        <f t="shared" si="975"/>
        <v>-605722681.03314483</v>
      </c>
      <c r="R395">
        <f t="shared" si="976"/>
        <v>-10419346027.089371</v>
      </c>
      <c r="S395">
        <f t="shared" si="977"/>
        <v>-104193.4602708937</v>
      </c>
      <c r="T395">
        <f t="shared" si="978"/>
        <v>-104.19346027089369</v>
      </c>
    </row>
    <row r="396" spans="1:20" x14ac:dyDescent="0.25">
      <c r="A396" s="5">
        <v>44197</v>
      </c>
      <c r="B396">
        <v>1.3627E-2</v>
      </c>
      <c r="C396">
        <v>1.5796999999999999E-2</v>
      </c>
      <c r="D396">
        <v>1.1554999999999999E-2</v>
      </c>
      <c r="E396">
        <v>1.2224E-2</v>
      </c>
      <c r="F396">
        <v>1094437719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-0.68458274398868402</v>
      </c>
      <c r="Q396">
        <f t="shared" si="975"/>
        <v>-749233176.79773629</v>
      </c>
      <c r="R396">
        <f t="shared" si="976"/>
        <v>-9813623346.0562267</v>
      </c>
      <c r="S396">
        <f t="shared" si="977"/>
        <v>-98136.233460562275</v>
      </c>
      <c r="T396">
        <f t="shared" si="978"/>
        <v>-98.136233460562281</v>
      </c>
    </row>
    <row r="397" spans="1:20" x14ac:dyDescent="0.25">
      <c r="A397" s="5">
        <v>44196</v>
      </c>
      <c r="B397">
        <v>1.14E-2</v>
      </c>
      <c r="C397">
        <v>1.6768999999999999E-2</v>
      </c>
      <c r="D397">
        <v>1.0777999999999999E-2</v>
      </c>
      <c r="E397">
        <v>1.3625999999999999E-2</v>
      </c>
      <c r="F397">
        <v>1930441867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-4.924052745785347E-2</v>
      </c>
      <c r="Q397">
        <f t="shared" si="975"/>
        <v>-95055975.75780341</v>
      </c>
      <c r="R397">
        <f t="shared" si="976"/>
        <v>-9064390169.2584896</v>
      </c>
      <c r="S397">
        <f t="shared" si="977"/>
        <v>-90643.901692584899</v>
      </c>
      <c r="T397">
        <f t="shared" si="978"/>
        <v>-90.643901692584905</v>
      </c>
    </row>
    <row r="398" spans="1:20" x14ac:dyDescent="0.25">
      <c r="A398" s="5">
        <v>44195</v>
      </c>
      <c r="B398">
        <v>2.3403E-2</v>
      </c>
      <c r="C398">
        <v>2.5399999999999999E-2</v>
      </c>
      <c r="D398">
        <v>1.0879E-2</v>
      </c>
      <c r="E398">
        <v>1.14E-2</v>
      </c>
      <c r="F398">
        <v>3225931573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-0.92824185662144476</v>
      </c>
      <c r="Q398">
        <f t="shared" si="975"/>
        <v>-2994444712.6552577</v>
      </c>
      <c r="R398">
        <f t="shared" si="976"/>
        <v>-8969334193.5006866</v>
      </c>
      <c r="S398">
        <f t="shared" si="977"/>
        <v>-89693.341935006873</v>
      </c>
      <c r="T398">
        <f t="shared" si="978"/>
        <v>-89.69334193500687</v>
      </c>
    </row>
    <row r="399" spans="1:20" x14ac:dyDescent="0.25">
      <c r="A399" s="5">
        <v>44194</v>
      </c>
      <c r="B399">
        <v>1.25E-3</v>
      </c>
      <c r="C399">
        <v>0.3</v>
      </c>
      <c r="D399">
        <v>1.25E-3</v>
      </c>
      <c r="E399">
        <v>2.3487000000000001E-2</v>
      </c>
      <c r="F399">
        <v>7019924147</v>
      </c>
      <c r="G399">
        <v>0</v>
      </c>
      <c r="P399">
        <f t="shared" si="974"/>
        <v>-0.85113305439330544</v>
      </c>
      <c r="Q399">
        <f t="shared" si="975"/>
        <v>-5974889480.8454294</v>
      </c>
      <c r="R399">
        <f t="shared" si="976"/>
        <v>-5974889480.8454294</v>
      </c>
      <c r="S399">
        <f t="shared" si="977"/>
        <v>-59748.894808454294</v>
      </c>
      <c r="T399">
        <f t="shared" si="978"/>
        <v>-59.748894808454295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202:D1048576 C200:D201 D1:D4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X821" sqref="GX82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$A$820</v>
      </c>
      <c r="D111" s="1" t="str">
        <f>ADDRESS(C121-1,D121,1,1)</f>
        <v>$GX$820</v>
      </c>
      <c r="E111"/>
    </row>
    <row r="112" spans="1:5" x14ac:dyDescent="0.25">
      <c r="A112" s="7">
        <v>12164.144957890772</v>
      </c>
      <c r="C112" s="1" t="str">
        <f>ADDRESS(C121,1,1,1)</f>
        <v>$A$821</v>
      </c>
      <c r="D112" s="1" t="str">
        <f>ADDRESS(C121,D121-1,1,1)</f>
        <v>$GW$821</v>
      </c>
      <c r="E112"/>
    </row>
    <row r="113" spans="1:5" x14ac:dyDescent="0.25">
      <c r="A113" s="7">
        <v>11925.63231165762</v>
      </c>
      <c r="C113" s="1" t="str">
        <f>ADDRESS(C121+1,1,1,1)</f>
        <v>$A$822</v>
      </c>
      <c r="D113" s="1" t="str">
        <f>ADDRESS(C121-1,D121+1,1,1)</f>
        <v>$GY$820</v>
      </c>
    </row>
    <row r="114" spans="1:5" x14ac:dyDescent="0.25">
      <c r="A114" s="7">
        <v>11691.796383978059</v>
      </c>
      <c r="C114" s="1" t="str">
        <f>ADDRESS(C121,D121,1,1)</f>
        <v>$GX$821</v>
      </c>
      <c r="D114" s="1" t="str">
        <f>ADDRESS(C121+1,D121+1,1,1)</f>
        <v>$GY$822</v>
      </c>
    </row>
    <row r="115" spans="1:5" x14ac:dyDescent="0.25">
      <c r="A115" s="7">
        <v>11462.545474488292</v>
      </c>
      <c r="C115" s="1" t="str">
        <f>ADDRESS(C121+1,D121,1,1)</f>
        <v>$GX$822</v>
      </c>
    </row>
    <row r="116" spans="1:5" x14ac:dyDescent="0.25">
      <c r="A116" s="7">
        <v>11237.789680870874</v>
      </c>
      <c r="C116" s="1">
        <f>C117-1</f>
        <v>820</v>
      </c>
    </row>
    <row r="117" spans="1:5" x14ac:dyDescent="0.25">
      <c r="A117" s="7">
        <v>11017.440863598895</v>
      </c>
      <c r="C117" s="1">
        <f>C121</f>
        <v>821</v>
      </c>
      <c r="D117" s="1">
        <f>D121</f>
        <v>206</v>
      </c>
    </row>
    <row r="118" spans="1:5" x14ac:dyDescent="0.25">
      <c r="A118" s="7">
        <v>10801.412611371465</v>
      </c>
      <c r="C118" s="1">
        <f>C117+1</f>
        <v>822</v>
      </c>
      <c r="D118" s="1">
        <f>D117+1</f>
        <v>207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821</v>
      </c>
      <c r="D121" s="19">
        <v>206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R821</v>
      </c>
      <c r="D123" s="1" t="str">
        <f>"C"&amp;D121</f>
        <v>C206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9.717617659540009E-3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80" x14ac:dyDescent="0.25">
      <c r="A721" s="7">
        <v>7.0400701055846782E-2</v>
      </c>
      <c r="B721"/>
      <c r="C721"/>
      <c r="D721"/>
      <c r="E721"/>
      <c r="F721" s="27" t="s">
        <v>7</v>
      </c>
    </row>
    <row r="722" spans="1:80" x14ac:dyDescent="0.25">
      <c r="A722" s="7">
        <v>6.9020295152790956E-2</v>
      </c>
      <c r="B722"/>
      <c r="C722"/>
      <c r="D722"/>
      <c r="E722"/>
      <c r="F722" s="27" t="s">
        <v>7</v>
      </c>
    </row>
    <row r="723" spans="1:80" x14ac:dyDescent="0.25">
      <c r="A723" s="7">
        <v>6.7666956032147993E-2</v>
      </c>
      <c r="B723"/>
      <c r="C723"/>
      <c r="D723"/>
      <c r="E723"/>
      <c r="F723" s="27" t="s">
        <v>7</v>
      </c>
    </row>
    <row r="724" spans="1:80" x14ac:dyDescent="0.25">
      <c r="A724" s="7">
        <v>6.6340152972694105E-2</v>
      </c>
      <c r="B724"/>
      <c r="C724"/>
      <c r="D724"/>
      <c r="E724"/>
      <c r="F724" s="27" t="s">
        <v>7</v>
      </c>
    </row>
    <row r="725" spans="1:80" x14ac:dyDescent="0.25">
      <c r="A725" s="7">
        <v>6.5039365659504023E-2</v>
      </c>
      <c r="B725"/>
      <c r="C725"/>
      <c r="D725"/>
      <c r="E725"/>
      <c r="F725" s="27" t="s">
        <v>7</v>
      </c>
    </row>
    <row r="726" spans="1:80" x14ac:dyDescent="0.25">
      <c r="A726" s="7">
        <v>6.3764083979905906E-2</v>
      </c>
      <c r="B726"/>
      <c r="C726"/>
      <c r="D726"/>
      <c r="E726"/>
      <c r="F726" s="27" t="s">
        <v>7</v>
      </c>
    </row>
    <row r="727" spans="1:80" x14ac:dyDescent="0.25">
      <c r="A727" s="7">
        <v>6.251380782343717E-2</v>
      </c>
      <c r="B727"/>
      <c r="C727"/>
      <c r="D727"/>
      <c r="E727"/>
      <c r="F727" s="27" t="s">
        <v>7</v>
      </c>
    </row>
    <row r="728" spans="1:80" x14ac:dyDescent="0.25">
      <c r="A728" s="7">
        <v>6.1288046885722716E-2</v>
      </c>
      <c r="B728"/>
      <c r="C728"/>
      <c r="D728"/>
      <c r="E728"/>
      <c r="F728" s="27" t="s">
        <v>7</v>
      </c>
    </row>
    <row r="729" spans="1:80" x14ac:dyDescent="0.25">
      <c r="A729" s="7">
        <v>6.0086320476198739E-2</v>
      </c>
      <c r="B729"/>
      <c r="C729"/>
      <c r="D729"/>
      <c r="E729"/>
      <c r="F729" s="27" t="s">
        <v>7</v>
      </c>
    </row>
    <row r="730" spans="1:80" x14ac:dyDescent="0.25">
      <c r="A730" s="7">
        <v>5.8908157329606609E-2</v>
      </c>
      <c r="B730"/>
      <c r="C730"/>
      <c r="D730"/>
      <c r="E730"/>
      <c r="F730" s="27" t="s">
        <v>7</v>
      </c>
    </row>
    <row r="731" spans="1:80" x14ac:dyDescent="0.25">
      <c r="A731" s="7">
        <v>5.7753095421182947E-2</v>
      </c>
      <c r="B731"/>
      <c r="C731"/>
      <c r="D731"/>
      <c r="E731"/>
      <c r="F731" s="27" t="s">
        <v>7</v>
      </c>
    </row>
    <row r="732" spans="1:80" x14ac:dyDescent="0.25">
      <c r="A732" s="7">
        <v>5.6620681785473484E-2</v>
      </c>
      <c r="B732"/>
      <c r="C732"/>
      <c r="D732"/>
      <c r="E732"/>
      <c r="F732" s="27" t="s">
        <v>7</v>
      </c>
    </row>
    <row r="733" spans="1:80" x14ac:dyDescent="0.25">
      <c r="A733" s="7">
        <v>5.5510472338699497E-2</v>
      </c>
      <c r="B733"/>
      <c r="C733"/>
      <c r="D733"/>
      <c r="E733"/>
      <c r="F733" s="27" t="s">
        <v>7</v>
      </c>
      <c r="Y733" s="27" t="s">
        <v>8</v>
      </c>
    </row>
    <row r="734" spans="1:80" x14ac:dyDescent="0.25">
      <c r="A734" s="7">
        <v>5.4422031704607354E-2</v>
      </c>
      <c r="B734"/>
      <c r="C734"/>
      <c r="D734"/>
      <c r="E734"/>
      <c r="F734" s="27" t="s">
        <v>7</v>
      </c>
      <c r="Y734" s="27" t="s">
        <v>8</v>
      </c>
      <c r="Z734" s="27" t="s">
        <v>7</v>
      </c>
      <c r="AS734" s="27" t="s">
        <v>8</v>
      </c>
      <c r="CA734" s="27" t="s">
        <v>8</v>
      </c>
    </row>
    <row r="735" spans="1:80" x14ac:dyDescent="0.25">
      <c r="A735" s="7">
        <v>5.3354933043732705E-2</v>
      </c>
      <c r="B735"/>
      <c r="C735"/>
      <c r="D735"/>
      <c r="E735"/>
      <c r="F735" s="27" t="s">
        <v>7</v>
      </c>
      <c r="Y735" s="27" t="s">
        <v>8</v>
      </c>
      <c r="Z735" s="27" t="s">
        <v>7</v>
      </c>
      <c r="AA735" s="27" t="s">
        <v>8</v>
      </c>
      <c r="AS735" s="27" t="s">
        <v>8</v>
      </c>
      <c r="AT735" s="27" t="s">
        <v>7</v>
      </c>
      <c r="CA735" s="27" t="s">
        <v>8</v>
      </c>
      <c r="CB735" s="27" t="s">
        <v>7</v>
      </c>
    </row>
    <row r="736" spans="1:80" x14ac:dyDescent="0.25">
      <c r="A736" s="7">
        <v>5.2308757886012455E-2</v>
      </c>
      <c r="B736"/>
      <c r="C736"/>
      <c r="D736"/>
      <c r="E736"/>
      <c r="F736" s="27" t="s">
        <v>7</v>
      </c>
      <c r="Y736" s="27" t="s">
        <v>8</v>
      </c>
      <c r="Z736" s="27" t="s">
        <v>7</v>
      </c>
      <c r="AA736" s="27" t="s">
        <v>8</v>
      </c>
      <c r="AB736" s="27" t="s">
        <v>7</v>
      </c>
      <c r="AS736" s="27" t="s">
        <v>8</v>
      </c>
      <c r="AT736" s="27" t="s">
        <v>7</v>
      </c>
      <c r="CA736" s="27" t="s">
        <v>8</v>
      </c>
      <c r="CB736" s="27" t="s">
        <v>7</v>
      </c>
    </row>
    <row r="737" spans="1:165" x14ac:dyDescent="0.25">
      <c r="A737" s="7">
        <v>5.1283095966678877E-2</v>
      </c>
      <c r="B737"/>
      <c r="C737"/>
      <c r="D737"/>
      <c r="E737"/>
      <c r="F737" s="27" t="s">
        <v>7</v>
      </c>
      <c r="Y737" s="27" t="s">
        <v>8</v>
      </c>
      <c r="Z737" s="27" t="s">
        <v>7</v>
      </c>
      <c r="AA737" s="27" t="s">
        <v>8</v>
      </c>
      <c r="AB737" s="27" t="s">
        <v>7</v>
      </c>
      <c r="AS737" s="27" t="s">
        <v>8</v>
      </c>
      <c r="AT737" s="27" t="s">
        <v>7</v>
      </c>
      <c r="CA737" s="27" t="s">
        <v>8</v>
      </c>
      <c r="CB737" s="27" t="s">
        <v>7</v>
      </c>
    </row>
    <row r="738" spans="1:165" x14ac:dyDescent="0.25">
      <c r="A738" s="7">
        <v>5.0277545065371444E-2</v>
      </c>
      <c r="B738"/>
      <c r="C738"/>
      <c r="D738"/>
      <c r="E738"/>
      <c r="F738" s="27" t="s">
        <v>7</v>
      </c>
      <c r="Y738" s="27" t="s">
        <v>8</v>
      </c>
      <c r="Z738" s="27" t="s">
        <v>7</v>
      </c>
      <c r="AA738" s="27" t="s">
        <v>8</v>
      </c>
      <c r="AB738" s="27" t="s">
        <v>7</v>
      </c>
      <c r="AS738" s="27" t="s">
        <v>8</v>
      </c>
      <c r="AT738" s="27" t="s">
        <v>7</v>
      </c>
      <c r="CA738" s="27" t="s">
        <v>8</v>
      </c>
      <c r="CB738" s="27" t="s">
        <v>7</v>
      </c>
    </row>
    <row r="739" spans="1:165" x14ac:dyDescent="0.25">
      <c r="A739" s="7">
        <v>4.9291710848403378E-2</v>
      </c>
      <c r="B739"/>
      <c r="C739"/>
      <c r="D739"/>
      <c r="E739"/>
      <c r="F739" s="27" t="s">
        <v>7</v>
      </c>
      <c r="Y739" s="27" t="s">
        <v>8</v>
      </c>
      <c r="Z739" s="27" t="s">
        <v>7</v>
      </c>
      <c r="AA739" s="27" t="s">
        <v>8</v>
      </c>
      <c r="AB739" s="27" t="s">
        <v>7</v>
      </c>
      <c r="AS739" s="27" t="s">
        <v>8</v>
      </c>
      <c r="AT739" s="27" t="s">
        <v>7</v>
      </c>
      <c r="CA739" s="27" t="s">
        <v>8</v>
      </c>
      <c r="CB739" s="27" t="s">
        <v>7</v>
      </c>
    </row>
    <row r="740" spans="1:165" x14ac:dyDescent="0.25">
      <c r="A740" s="7">
        <v>4.8325206714120959E-2</v>
      </c>
      <c r="B740"/>
      <c r="C740"/>
      <c r="D740"/>
      <c r="E740"/>
      <c r="F740" s="27" t="s">
        <v>7</v>
      </c>
      <c r="Y740" s="27" t="s">
        <v>8</v>
      </c>
      <c r="Z740" s="27" t="s">
        <v>7</v>
      </c>
      <c r="AA740" s="27" t="s">
        <v>8</v>
      </c>
      <c r="AB740" s="27" t="s">
        <v>7</v>
      </c>
      <c r="AS740" s="27" t="s">
        <v>8</v>
      </c>
      <c r="AT740" s="27" t="s">
        <v>7</v>
      </c>
      <c r="BI740" s="27" t="s">
        <v>8</v>
      </c>
      <c r="CA740" s="27" t="s">
        <v>8</v>
      </c>
      <c r="CB740" s="27" t="s">
        <v>7</v>
      </c>
    </row>
    <row r="741" spans="1:165" x14ac:dyDescent="0.25">
      <c r="A741" s="7">
        <v>4.7377653641295057E-2</v>
      </c>
      <c r="B741"/>
      <c r="C741"/>
      <c r="D741"/>
      <c r="E741"/>
      <c r="F741" s="27" t="s">
        <v>7</v>
      </c>
      <c r="Y741" s="27" t="s">
        <v>8</v>
      </c>
      <c r="Z741" s="27" t="s">
        <v>7</v>
      </c>
      <c r="AA741" s="27" t="s">
        <v>8</v>
      </c>
      <c r="AB741" s="27" t="s">
        <v>7</v>
      </c>
      <c r="AS741" s="27" t="s">
        <v>8</v>
      </c>
      <c r="AT741" s="27" t="s">
        <v>7</v>
      </c>
      <c r="BI741" s="27" t="s">
        <v>8</v>
      </c>
      <c r="BJ741" s="27" t="s">
        <v>7</v>
      </c>
      <c r="CA741" s="27" t="s">
        <v>8</v>
      </c>
      <c r="CB741" s="27" t="s">
        <v>7</v>
      </c>
    </row>
    <row r="742" spans="1:165" x14ac:dyDescent="0.25">
      <c r="A742" s="7">
        <v>4.644868004048535E-2</v>
      </c>
      <c r="B742"/>
      <c r="C742"/>
      <c r="D742"/>
      <c r="E742"/>
      <c r="F742" s="27" t="s">
        <v>7</v>
      </c>
      <c r="Y742" s="27" t="s">
        <v>8</v>
      </c>
      <c r="Z742" s="27" t="s">
        <v>7</v>
      </c>
      <c r="AA742" s="27" t="s">
        <v>8</v>
      </c>
      <c r="AB742" s="27" t="s">
        <v>7</v>
      </c>
      <c r="AS742" s="27" t="s">
        <v>8</v>
      </c>
      <c r="AT742" s="27" t="s">
        <v>7</v>
      </c>
      <c r="BI742" s="27" t="s">
        <v>8</v>
      </c>
      <c r="BJ742" s="27" t="s">
        <v>7</v>
      </c>
      <c r="CA742" s="27" t="s">
        <v>8</v>
      </c>
      <c r="CB742" s="27" t="s">
        <v>7</v>
      </c>
    </row>
    <row r="743" spans="1:165" x14ac:dyDescent="0.25">
      <c r="A743" s="7">
        <v>4.5537921608318974E-2</v>
      </c>
      <c r="B743"/>
      <c r="C743"/>
      <c r="D743"/>
      <c r="E743"/>
      <c r="F743" s="27" t="s">
        <v>7</v>
      </c>
      <c r="Y743" s="27" t="s">
        <v>8</v>
      </c>
      <c r="Z743" s="27" t="s">
        <v>7</v>
      </c>
      <c r="AA743" s="27" t="s">
        <v>8</v>
      </c>
      <c r="AB743" s="27" t="s">
        <v>7</v>
      </c>
      <c r="AC743" s="27" t="s">
        <v>8</v>
      </c>
      <c r="AS743" s="27" t="s">
        <v>8</v>
      </c>
      <c r="AT743" s="27" t="s">
        <v>7</v>
      </c>
      <c r="AY743" s="27" t="s">
        <v>8</v>
      </c>
      <c r="BI743" s="27" t="s">
        <v>8</v>
      </c>
      <c r="BJ743" s="27" t="s">
        <v>7</v>
      </c>
      <c r="BY743" s="27" t="s">
        <v>8</v>
      </c>
      <c r="CA743" s="27" t="s">
        <v>8</v>
      </c>
      <c r="CB743" s="27" t="s">
        <v>7</v>
      </c>
      <c r="CC743" s="27" t="s">
        <v>8</v>
      </c>
    </row>
    <row r="744" spans="1:165" x14ac:dyDescent="0.25">
      <c r="A744" s="7">
        <v>4.4645021184626446E-2</v>
      </c>
      <c r="B744"/>
      <c r="C744"/>
      <c r="D744"/>
      <c r="E744"/>
      <c r="F744" s="27" t="s">
        <v>7</v>
      </c>
      <c r="Y744" s="27" t="s">
        <v>8</v>
      </c>
      <c r="Z744" s="27" t="s">
        <v>7</v>
      </c>
      <c r="AA744" s="27" t="s">
        <v>8</v>
      </c>
      <c r="AB744" s="27" t="s">
        <v>7</v>
      </c>
      <c r="AC744" s="27" t="s">
        <v>8</v>
      </c>
      <c r="AD744" s="27" t="s">
        <v>7</v>
      </c>
      <c r="AS744" s="27" t="s">
        <v>8</v>
      </c>
      <c r="AT744" s="27" t="s">
        <v>7</v>
      </c>
      <c r="AY744" s="27" t="s">
        <v>8</v>
      </c>
      <c r="AZ744" s="27" t="s">
        <v>7</v>
      </c>
      <c r="BI744" s="27" t="s">
        <v>8</v>
      </c>
      <c r="BJ744" s="27" t="s">
        <v>7</v>
      </c>
      <c r="BY744" s="27" t="s">
        <v>8</v>
      </c>
      <c r="BZ744" s="27" t="s">
        <v>7</v>
      </c>
      <c r="CA744" s="27" t="s">
        <v>8</v>
      </c>
      <c r="CB744" s="27" t="s">
        <v>7</v>
      </c>
      <c r="CC744" s="27" t="s">
        <v>8</v>
      </c>
      <c r="CD744" s="27" t="s">
        <v>7</v>
      </c>
    </row>
    <row r="745" spans="1:165" x14ac:dyDescent="0.25">
      <c r="A745" s="7">
        <v>4.3769628612378868E-2</v>
      </c>
      <c r="B745"/>
      <c r="C745"/>
      <c r="D745"/>
      <c r="E745"/>
      <c r="F745" s="27" t="s">
        <v>7</v>
      </c>
      <c r="Y745" s="27" t="s">
        <v>8</v>
      </c>
      <c r="Z745" s="27" t="s">
        <v>7</v>
      </c>
      <c r="AA745" s="27" t="s">
        <v>8</v>
      </c>
      <c r="AB745" s="27" t="s">
        <v>7</v>
      </c>
      <c r="AC745" s="27" t="s">
        <v>8</v>
      </c>
      <c r="AD745" s="27" t="s">
        <v>7</v>
      </c>
      <c r="AE745" s="27" t="s">
        <v>8</v>
      </c>
      <c r="AG745" s="27" t="s">
        <v>8</v>
      </c>
      <c r="AS745" s="27" t="s">
        <v>8</v>
      </c>
      <c r="AT745" s="27" t="s">
        <v>7</v>
      </c>
      <c r="AW745" s="27" t="s">
        <v>8</v>
      </c>
      <c r="AY745" s="27" t="s">
        <v>8</v>
      </c>
      <c r="AZ745" s="27" t="s">
        <v>7</v>
      </c>
      <c r="BG745" s="27" t="s">
        <v>8</v>
      </c>
      <c r="BI745" s="27" t="s">
        <v>8</v>
      </c>
      <c r="BJ745" s="27" t="s">
        <v>7</v>
      </c>
      <c r="BU745" s="27" t="s">
        <v>8</v>
      </c>
      <c r="BY745" s="27" t="s">
        <v>8</v>
      </c>
      <c r="BZ745" s="27" t="s">
        <v>7</v>
      </c>
      <c r="CA745" s="27" t="s">
        <v>8</v>
      </c>
      <c r="CB745" s="27" t="s">
        <v>7</v>
      </c>
      <c r="CC745" s="27" t="s">
        <v>8</v>
      </c>
      <c r="CD745" s="27" t="s">
        <v>7</v>
      </c>
    </row>
    <row r="746" spans="1:165" x14ac:dyDescent="0.25">
      <c r="A746" s="7">
        <v>4.2911400600371442E-2</v>
      </c>
      <c r="B746"/>
      <c r="C746"/>
      <c r="D746"/>
      <c r="E746"/>
      <c r="F746" s="27" t="s">
        <v>7</v>
      </c>
      <c r="Y746" s="27" t="s">
        <v>8</v>
      </c>
      <c r="Z746" s="27" t="s">
        <v>7</v>
      </c>
      <c r="AA746" s="27" t="s">
        <v>8</v>
      </c>
      <c r="AB746" s="27" t="s">
        <v>7</v>
      </c>
      <c r="AC746" s="27" t="s">
        <v>8</v>
      </c>
      <c r="AD746" s="27" t="s">
        <v>7</v>
      </c>
      <c r="AE746" s="27" t="s">
        <v>8</v>
      </c>
      <c r="AF746" s="27" t="s">
        <v>7</v>
      </c>
      <c r="AG746" s="27" t="s">
        <v>8</v>
      </c>
      <c r="AH746" s="27" t="s">
        <v>7</v>
      </c>
      <c r="AM746" s="27" t="s">
        <v>8</v>
      </c>
      <c r="AS746" s="27" t="s">
        <v>8</v>
      </c>
      <c r="AT746" s="27" t="s">
        <v>7</v>
      </c>
      <c r="AW746" s="27" t="s">
        <v>8</v>
      </c>
      <c r="AX746" s="27" t="s">
        <v>7</v>
      </c>
      <c r="AY746" s="27" t="s">
        <v>8</v>
      </c>
      <c r="AZ746" s="27" t="s">
        <v>7</v>
      </c>
      <c r="BG746" s="27" t="s">
        <v>8</v>
      </c>
      <c r="BH746" s="27" t="s">
        <v>7</v>
      </c>
      <c r="BI746" s="27" t="s">
        <v>8</v>
      </c>
      <c r="BJ746" s="27" t="s">
        <v>7</v>
      </c>
      <c r="BU746" s="27" t="s">
        <v>8</v>
      </c>
      <c r="BV746" s="27" t="s">
        <v>7</v>
      </c>
      <c r="BY746" s="27" t="s">
        <v>8</v>
      </c>
      <c r="BZ746" s="27" t="s">
        <v>7</v>
      </c>
      <c r="CA746" s="27" t="s">
        <v>8</v>
      </c>
      <c r="CB746" s="27" t="s">
        <v>7</v>
      </c>
      <c r="CC746" s="27" t="s">
        <v>8</v>
      </c>
      <c r="CD746" s="27" t="s">
        <v>7</v>
      </c>
    </row>
    <row r="747" spans="1:165" x14ac:dyDescent="0.25">
      <c r="A747" s="7">
        <v>4.2070000588599457E-2</v>
      </c>
      <c r="B747"/>
      <c r="C747"/>
      <c r="D747"/>
      <c r="E747"/>
      <c r="F747" s="27" t="s">
        <v>7</v>
      </c>
      <c r="Y747" s="27" t="s">
        <v>8</v>
      </c>
      <c r="Z747" s="27" t="s">
        <v>7</v>
      </c>
      <c r="AA747" s="27" t="s">
        <v>8</v>
      </c>
      <c r="AB747" s="27" t="s">
        <v>7</v>
      </c>
      <c r="AC747" s="27" t="s">
        <v>8</v>
      </c>
      <c r="AD747" s="27" t="s">
        <v>7</v>
      </c>
      <c r="AE747" s="27" t="s">
        <v>8</v>
      </c>
      <c r="AF747" s="27" t="s">
        <v>7</v>
      </c>
      <c r="AG747" s="27" t="s">
        <v>8</v>
      </c>
      <c r="AH747" s="27" t="s">
        <v>7</v>
      </c>
      <c r="AM747" s="27" t="s">
        <v>8</v>
      </c>
      <c r="AN747" s="27" t="s">
        <v>7</v>
      </c>
      <c r="AS747" s="27" t="s">
        <v>8</v>
      </c>
      <c r="AT747" s="27" t="s">
        <v>7</v>
      </c>
      <c r="AW747" s="27" t="s">
        <v>8</v>
      </c>
      <c r="AX747" s="27" t="s">
        <v>7</v>
      </c>
      <c r="AY747" s="27" t="s">
        <v>8</v>
      </c>
      <c r="AZ747" s="27" t="s">
        <v>7</v>
      </c>
      <c r="BG747" s="27" t="s">
        <v>8</v>
      </c>
      <c r="BH747" s="27" t="s">
        <v>7</v>
      </c>
      <c r="BI747" s="27" t="s">
        <v>8</v>
      </c>
      <c r="BJ747" s="27" t="s">
        <v>7</v>
      </c>
      <c r="BU747" s="27" t="s">
        <v>8</v>
      </c>
      <c r="BV747" s="27" t="s">
        <v>7</v>
      </c>
      <c r="BY747" s="27" t="s">
        <v>8</v>
      </c>
      <c r="BZ747" s="27" t="s">
        <v>7</v>
      </c>
      <c r="CA747" s="27" t="s">
        <v>8</v>
      </c>
      <c r="CB747" s="27" t="s">
        <v>7</v>
      </c>
      <c r="CC747" s="27" t="s">
        <v>8</v>
      </c>
      <c r="CD747" s="27" t="s">
        <v>7</v>
      </c>
    </row>
    <row r="748" spans="1:165" x14ac:dyDescent="0.25">
      <c r="A748" s="7">
        <v>4.1245098616273977E-2</v>
      </c>
      <c r="B748"/>
      <c r="C748"/>
      <c r="D748"/>
      <c r="E748"/>
      <c r="F748" s="27" t="s">
        <v>7</v>
      </c>
      <c r="Y748" s="27" t="s">
        <v>8</v>
      </c>
      <c r="Z748" s="27" t="s">
        <v>7</v>
      </c>
      <c r="AA748" s="27" t="s">
        <v>8</v>
      </c>
      <c r="AB748" s="27" t="s">
        <v>7</v>
      </c>
      <c r="AC748" s="27" t="s">
        <v>8</v>
      </c>
      <c r="AD748" s="27" t="s">
        <v>7</v>
      </c>
      <c r="AE748" s="27" t="s">
        <v>8</v>
      </c>
      <c r="AF748" s="27" t="s">
        <v>7</v>
      </c>
      <c r="AG748" s="27" t="s">
        <v>8</v>
      </c>
      <c r="AH748" s="27" t="s">
        <v>7</v>
      </c>
      <c r="AM748" s="27" t="s">
        <v>8</v>
      </c>
      <c r="AN748" s="27" t="s">
        <v>7</v>
      </c>
      <c r="AS748" s="27" t="s">
        <v>8</v>
      </c>
      <c r="AT748" s="27" t="s">
        <v>7</v>
      </c>
      <c r="AW748" s="27" t="s">
        <v>8</v>
      </c>
      <c r="AX748" s="27" t="s">
        <v>7</v>
      </c>
      <c r="AY748" s="27" t="s">
        <v>8</v>
      </c>
      <c r="AZ748" s="27" t="s">
        <v>7</v>
      </c>
      <c r="BC748" s="27" t="s">
        <v>8</v>
      </c>
      <c r="BE748" s="27" t="s">
        <v>8</v>
      </c>
      <c r="BG748" s="27" t="s">
        <v>8</v>
      </c>
      <c r="BH748" s="27" t="s">
        <v>7</v>
      </c>
      <c r="BI748" s="27" t="s">
        <v>8</v>
      </c>
      <c r="BJ748" s="27" t="s">
        <v>7</v>
      </c>
      <c r="BS748" s="27" t="s">
        <v>8</v>
      </c>
      <c r="BU748" s="27" t="s">
        <v>8</v>
      </c>
      <c r="BV748" s="27" t="s">
        <v>7</v>
      </c>
      <c r="BY748" s="27" t="s">
        <v>8</v>
      </c>
      <c r="BZ748" s="27" t="s">
        <v>7</v>
      </c>
      <c r="CA748" s="27" t="s">
        <v>8</v>
      </c>
      <c r="CB748" s="27" t="s">
        <v>7</v>
      </c>
      <c r="CC748" s="27" t="s">
        <v>8</v>
      </c>
      <c r="CD748" s="27" t="s">
        <v>7</v>
      </c>
    </row>
    <row r="749" spans="1:165" x14ac:dyDescent="0.25">
      <c r="A749" s="7">
        <v>4.043637119242547E-2</v>
      </c>
      <c r="B749"/>
      <c r="C749"/>
      <c r="D749"/>
      <c r="E749"/>
      <c r="F749" s="27" t="s">
        <v>7</v>
      </c>
      <c r="Y749" s="27" t="s">
        <v>8</v>
      </c>
      <c r="Z749" s="27" t="s">
        <v>7</v>
      </c>
      <c r="AA749" s="27" t="s">
        <v>8</v>
      </c>
      <c r="AB749" s="27" t="s">
        <v>7</v>
      </c>
      <c r="AC749" s="27" t="s">
        <v>8</v>
      </c>
      <c r="AD749" s="27" t="s">
        <v>7</v>
      </c>
      <c r="AE749" s="27" t="s">
        <v>8</v>
      </c>
      <c r="AF749" s="27" t="s">
        <v>7</v>
      </c>
      <c r="AG749" s="27" t="s">
        <v>8</v>
      </c>
      <c r="AH749" s="27" t="s">
        <v>7</v>
      </c>
      <c r="AM749" s="27" t="s">
        <v>8</v>
      </c>
      <c r="AN749" s="27" t="s">
        <v>7</v>
      </c>
      <c r="AO749" s="27" t="s">
        <v>8</v>
      </c>
      <c r="AS749" s="27" t="s">
        <v>8</v>
      </c>
      <c r="AT749" s="27" t="s">
        <v>7</v>
      </c>
      <c r="AU749" s="27" t="s">
        <v>8</v>
      </c>
      <c r="AW749" s="27" t="s">
        <v>8</v>
      </c>
      <c r="AX749" s="27" t="s">
        <v>7</v>
      </c>
      <c r="AY749" s="27" t="s">
        <v>8</v>
      </c>
      <c r="AZ749" s="27" t="s">
        <v>7</v>
      </c>
      <c r="BA749" s="27" t="s">
        <v>8</v>
      </c>
      <c r="BC749" s="27" t="s">
        <v>8</v>
      </c>
      <c r="BD749" s="27" t="s">
        <v>7</v>
      </c>
      <c r="BE749" s="27" t="s">
        <v>8</v>
      </c>
      <c r="BF749" s="27" t="s">
        <v>7</v>
      </c>
      <c r="BG749" s="27" t="s">
        <v>8</v>
      </c>
      <c r="BH749" s="27" t="s">
        <v>7</v>
      </c>
      <c r="BI749" s="27" t="s">
        <v>8</v>
      </c>
      <c r="BJ749" s="27" t="s">
        <v>7</v>
      </c>
      <c r="BS749" s="27" t="s">
        <v>8</v>
      </c>
      <c r="BT749" s="27" t="s">
        <v>7</v>
      </c>
      <c r="BU749" s="27" t="s">
        <v>8</v>
      </c>
      <c r="BV749" s="27" t="s">
        <v>7</v>
      </c>
      <c r="BW749" s="27" t="s">
        <v>8</v>
      </c>
      <c r="BY749" s="27" t="s">
        <v>8</v>
      </c>
      <c r="BZ749" s="27" t="s">
        <v>7</v>
      </c>
      <c r="CA749" s="27" t="s">
        <v>8</v>
      </c>
      <c r="CB749" s="27" t="s">
        <v>7</v>
      </c>
      <c r="CC749" s="27" t="s">
        <v>8</v>
      </c>
      <c r="CD749" s="27" t="s">
        <v>7</v>
      </c>
    </row>
    <row r="750" spans="1:165" x14ac:dyDescent="0.25">
      <c r="A750" s="7">
        <v>3.9643501169044582E-2</v>
      </c>
      <c r="B750"/>
      <c r="C750"/>
      <c r="D750"/>
      <c r="E750"/>
      <c r="F750" s="27" t="s">
        <v>7</v>
      </c>
      <c r="Y750" s="27" t="s">
        <v>8</v>
      </c>
      <c r="Z750" s="27" t="s">
        <v>7</v>
      </c>
      <c r="AB750" s="27" t="s">
        <v>7</v>
      </c>
      <c r="AC750" s="27" t="s">
        <v>8</v>
      </c>
      <c r="AD750" s="27" t="s">
        <v>7</v>
      </c>
      <c r="AE750" s="27" t="s">
        <v>8</v>
      </c>
      <c r="AF750" s="27" t="s">
        <v>7</v>
      </c>
      <c r="AG750" s="27" t="s">
        <v>8</v>
      </c>
      <c r="AH750" s="27" t="s">
        <v>7</v>
      </c>
      <c r="AM750" s="27" t="s">
        <v>8</v>
      </c>
      <c r="AN750" s="27" t="s">
        <v>7</v>
      </c>
      <c r="AO750" s="27" t="s">
        <v>8</v>
      </c>
      <c r="AP750" s="27" t="s">
        <v>7</v>
      </c>
      <c r="AQ750" s="27" t="s">
        <v>8</v>
      </c>
      <c r="AS750" s="27" t="s">
        <v>8</v>
      </c>
      <c r="AT750" s="27" t="s">
        <v>7</v>
      </c>
      <c r="AU750" s="27" t="s">
        <v>8</v>
      </c>
      <c r="AV750" s="27" t="s">
        <v>7</v>
      </c>
      <c r="AW750" s="27" t="s">
        <v>8</v>
      </c>
      <c r="AX750" s="27" t="s">
        <v>7</v>
      </c>
      <c r="AY750" s="27" t="s">
        <v>8</v>
      </c>
      <c r="AZ750" s="27" t="s">
        <v>7</v>
      </c>
      <c r="BA750" s="27" t="s">
        <v>8</v>
      </c>
      <c r="BB750" s="27" t="s">
        <v>7</v>
      </c>
      <c r="BC750" s="27" t="s">
        <v>8</v>
      </c>
      <c r="BD750" s="27" t="s">
        <v>7</v>
      </c>
      <c r="BE750" s="27" t="s">
        <v>8</v>
      </c>
      <c r="BF750" s="27" t="s">
        <v>7</v>
      </c>
      <c r="BG750" s="27" t="s">
        <v>8</v>
      </c>
      <c r="BH750" s="27" t="s">
        <v>7</v>
      </c>
      <c r="BI750" s="27" t="s">
        <v>8</v>
      </c>
      <c r="BJ750" s="27" t="s">
        <v>7</v>
      </c>
      <c r="BS750" s="27" t="s">
        <v>8</v>
      </c>
      <c r="BT750" s="27" t="s">
        <v>7</v>
      </c>
      <c r="BU750" s="27" t="s">
        <v>8</v>
      </c>
      <c r="BV750" s="27" t="s">
        <v>7</v>
      </c>
      <c r="BW750" s="27" t="s">
        <v>8</v>
      </c>
      <c r="BX750" s="27" t="s">
        <v>7</v>
      </c>
      <c r="BY750" s="27" t="s">
        <v>8</v>
      </c>
      <c r="BZ750" s="27" t="s">
        <v>7</v>
      </c>
      <c r="CA750" s="27" t="s">
        <v>8</v>
      </c>
      <c r="CB750" s="27" t="s">
        <v>7</v>
      </c>
      <c r="CC750" s="27" t="s">
        <v>8</v>
      </c>
      <c r="CD750" s="27" t="s">
        <v>7</v>
      </c>
      <c r="CE750" s="27" t="s">
        <v>8</v>
      </c>
    </row>
    <row r="751" spans="1:165" x14ac:dyDescent="0.25">
      <c r="A751" s="7">
        <v>3.8866177616710372E-2</v>
      </c>
      <c r="B751"/>
      <c r="C751"/>
      <c r="D751"/>
      <c r="E751"/>
      <c r="F751" s="27" t="s">
        <v>7</v>
      </c>
      <c r="Y751" s="27" t="s">
        <v>8</v>
      </c>
      <c r="AB751" s="27" t="s">
        <v>7</v>
      </c>
      <c r="AC751" s="27" t="s">
        <v>8</v>
      </c>
      <c r="AD751" s="27" t="s">
        <v>7</v>
      </c>
      <c r="AE751" s="27" t="s">
        <v>8</v>
      </c>
      <c r="AF751" s="27" t="s">
        <v>7</v>
      </c>
      <c r="AG751" s="27" t="s">
        <v>8</v>
      </c>
      <c r="AH751" s="27" t="s">
        <v>7</v>
      </c>
      <c r="AM751" s="27" t="s">
        <v>8</v>
      </c>
      <c r="AN751" s="27" t="s">
        <v>7</v>
      </c>
      <c r="AO751" s="27" t="s">
        <v>8</v>
      </c>
      <c r="AP751" s="27" t="s">
        <v>7</v>
      </c>
      <c r="AQ751" s="27" t="s">
        <v>8</v>
      </c>
      <c r="AR751" s="27" t="s">
        <v>7</v>
      </c>
      <c r="AS751" s="27" t="s">
        <v>8</v>
      </c>
      <c r="AT751" s="27" t="s">
        <v>7</v>
      </c>
      <c r="AU751" s="27" t="s">
        <v>8</v>
      </c>
      <c r="AV751" s="27" t="s">
        <v>7</v>
      </c>
      <c r="AW751" s="27" t="s">
        <v>8</v>
      </c>
      <c r="AX751" s="27" t="s">
        <v>7</v>
      </c>
      <c r="AY751" s="27" t="s">
        <v>8</v>
      </c>
      <c r="AZ751" s="27" t="s">
        <v>7</v>
      </c>
      <c r="BA751" s="27" t="s">
        <v>8</v>
      </c>
      <c r="BB751" s="27" t="s">
        <v>7</v>
      </c>
      <c r="BC751" s="27" t="s">
        <v>8</v>
      </c>
      <c r="BD751" s="27" t="s">
        <v>7</v>
      </c>
      <c r="BE751" s="27" t="s">
        <v>8</v>
      </c>
      <c r="BF751" s="27" t="s">
        <v>7</v>
      </c>
      <c r="BG751" s="27" t="s">
        <v>8</v>
      </c>
      <c r="BH751" s="27" t="s">
        <v>7</v>
      </c>
      <c r="BJ751" s="27" t="s">
        <v>7</v>
      </c>
      <c r="BK751" s="27" t="s">
        <v>8</v>
      </c>
      <c r="BM751" s="27" t="s">
        <v>8</v>
      </c>
      <c r="BS751" s="27" t="s">
        <v>8</v>
      </c>
      <c r="BT751" s="27" t="s">
        <v>7</v>
      </c>
      <c r="BV751" s="27" t="s">
        <v>7</v>
      </c>
      <c r="BW751" s="27" t="s">
        <v>8</v>
      </c>
      <c r="BX751" s="27" t="s">
        <v>7</v>
      </c>
      <c r="BY751" s="27" t="s">
        <v>8</v>
      </c>
      <c r="BZ751" s="27" t="s">
        <v>7</v>
      </c>
      <c r="CA751" s="27" t="s">
        <v>8</v>
      </c>
      <c r="CB751" s="27" t="s">
        <v>7</v>
      </c>
      <c r="CC751" s="27" t="s">
        <v>8</v>
      </c>
      <c r="CD751" s="27" t="s">
        <v>7</v>
      </c>
      <c r="CE751" s="27" t="s">
        <v>8</v>
      </c>
      <c r="CF751" s="27" t="s">
        <v>7</v>
      </c>
    </row>
    <row r="752" spans="1:165" x14ac:dyDescent="0.25">
      <c r="A752" s="7">
        <v>3.8104095702657229E-2</v>
      </c>
      <c r="B752"/>
      <c r="C752"/>
      <c r="D752"/>
      <c r="E752"/>
      <c r="F752" s="27" t="s">
        <v>7</v>
      </c>
      <c r="Y752" s="27" t="s">
        <v>8</v>
      </c>
      <c r="AB752" s="27" t="s">
        <v>7</v>
      </c>
      <c r="AC752" s="27" t="s">
        <v>8</v>
      </c>
      <c r="AD752" s="27" t="s">
        <v>7</v>
      </c>
      <c r="AE752" s="27" t="s">
        <v>8</v>
      </c>
      <c r="AF752" s="27" t="s">
        <v>7</v>
      </c>
      <c r="AG752" s="27" t="s">
        <v>8</v>
      </c>
      <c r="AH752" s="27" t="s">
        <v>7</v>
      </c>
      <c r="AM752" s="27" t="s">
        <v>8</v>
      </c>
      <c r="AN752" s="27" t="s">
        <v>7</v>
      </c>
      <c r="AO752" s="27" t="s">
        <v>8</v>
      </c>
      <c r="AP752" s="27" t="s">
        <v>7</v>
      </c>
      <c r="AQ752" s="27" t="s">
        <v>8</v>
      </c>
      <c r="AR752" s="27" t="s">
        <v>7</v>
      </c>
      <c r="AS752" s="27" t="s">
        <v>8</v>
      </c>
      <c r="AT752" s="27" t="s">
        <v>7</v>
      </c>
      <c r="AU752" s="27" t="s">
        <v>8</v>
      </c>
      <c r="AV752" s="27" t="s">
        <v>7</v>
      </c>
      <c r="AX752" s="27" t="s">
        <v>7</v>
      </c>
      <c r="AY752" s="27" t="s">
        <v>8</v>
      </c>
      <c r="AZ752" s="27" t="s">
        <v>7</v>
      </c>
      <c r="BB752" s="27" t="s">
        <v>7</v>
      </c>
      <c r="BC752" s="27" t="s">
        <v>8</v>
      </c>
      <c r="BD752" s="27" t="s">
        <v>7</v>
      </c>
      <c r="BE752" s="27" t="s">
        <v>8</v>
      </c>
      <c r="BF752" s="27" t="s">
        <v>7</v>
      </c>
      <c r="BG752" s="27" t="s">
        <v>8</v>
      </c>
      <c r="BJ752" s="27" t="s">
        <v>7</v>
      </c>
      <c r="BK752" s="27" t="s">
        <v>8</v>
      </c>
      <c r="BL752" s="27" t="s">
        <v>7</v>
      </c>
      <c r="BM752" s="27" t="s">
        <v>8</v>
      </c>
      <c r="BN752" s="27" t="s">
        <v>7</v>
      </c>
      <c r="BS752" s="27" t="s">
        <v>8</v>
      </c>
      <c r="BV752" s="27" t="s">
        <v>7</v>
      </c>
      <c r="BW752" s="27" t="s">
        <v>8</v>
      </c>
      <c r="BX752" s="27" t="s">
        <v>7</v>
      </c>
      <c r="BZ752" s="27" t="s">
        <v>7</v>
      </c>
      <c r="CA752" s="27" t="s">
        <v>8</v>
      </c>
      <c r="CB752" s="27" t="s">
        <v>7</v>
      </c>
      <c r="CC752" s="27" t="s">
        <v>8</v>
      </c>
      <c r="CD752" s="27" t="s">
        <v>7</v>
      </c>
      <c r="CE752" s="27" t="s">
        <v>8</v>
      </c>
      <c r="CF752" s="27" t="s">
        <v>7</v>
      </c>
      <c r="FI752" s="27" t="s">
        <v>8</v>
      </c>
    </row>
    <row r="753" spans="1:176" x14ac:dyDescent="0.25">
      <c r="A753" s="7">
        <v>3.7356956571232579E-2</v>
      </c>
      <c r="B753"/>
      <c r="C753"/>
      <c r="D753"/>
      <c r="E753"/>
      <c r="F753" s="27" t="s">
        <v>7</v>
      </c>
      <c r="Y753" s="27" t="s">
        <v>8</v>
      </c>
      <c r="AB753" s="27" t="s">
        <v>7</v>
      </c>
      <c r="AC753" s="27" t="s">
        <v>8</v>
      </c>
      <c r="AD753" s="27" t="s">
        <v>7</v>
      </c>
      <c r="AF753" s="27" t="s">
        <v>7</v>
      </c>
      <c r="AG753" s="27" t="s">
        <v>8</v>
      </c>
      <c r="AH753" s="27" t="s">
        <v>7</v>
      </c>
      <c r="AI753" s="27" t="s">
        <v>8</v>
      </c>
      <c r="AM753" s="27" t="s">
        <v>8</v>
      </c>
      <c r="AN753" s="27" t="s">
        <v>7</v>
      </c>
      <c r="AO753" s="27" t="s">
        <v>8</v>
      </c>
      <c r="AP753" s="27" t="s">
        <v>7</v>
      </c>
      <c r="AQ753" s="27" t="s">
        <v>8</v>
      </c>
      <c r="AR753" s="27" t="s">
        <v>7</v>
      </c>
      <c r="AS753" s="27" t="s">
        <v>8</v>
      </c>
      <c r="AT753" s="27" t="s">
        <v>7</v>
      </c>
      <c r="AX753" s="27" t="s">
        <v>7</v>
      </c>
      <c r="AY753" s="27" t="s">
        <v>8</v>
      </c>
      <c r="BB753" s="27" t="s">
        <v>7</v>
      </c>
      <c r="BC753" s="27" t="s">
        <v>8</v>
      </c>
      <c r="BD753" s="27" t="s">
        <v>7</v>
      </c>
      <c r="BE753" s="27" t="s">
        <v>8</v>
      </c>
      <c r="BF753" s="27" t="s">
        <v>7</v>
      </c>
      <c r="BJ753" s="27" t="s">
        <v>7</v>
      </c>
      <c r="BK753" s="27" t="s">
        <v>8</v>
      </c>
      <c r="BL753" s="27" t="s">
        <v>7</v>
      </c>
      <c r="BM753" s="27" t="s">
        <v>8</v>
      </c>
      <c r="BN753" s="27" t="s">
        <v>7</v>
      </c>
      <c r="BQ753" s="27" t="s">
        <v>8</v>
      </c>
      <c r="BS753" s="27" t="s">
        <v>8</v>
      </c>
      <c r="BV753" s="27" t="s">
        <v>7</v>
      </c>
      <c r="BW753" s="27" t="s">
        <v>8</v>
      </c>
      <c r="BZ753" s="27" t="s">
        <v>7</v>
      </c>
      <c r="CA753" s="27" t="s">
        <v>8</v>
      </c>
      <c r="CB753" s="27" t="s">
        <v>7</v>
      </c>
      <c r="CC753" s="27" t="s">
        <v>8</v>
      </c>
      <c r="CD753" s="27" t="s">
        <v>7</v>
      </c>
      <c r="CE753" s="27" t="s">
        <v>8</v>
      </c>
      <c r="CF753" s="27" t="s">
        <v>7</v>
      </c>
      <c r="CK753" s="27" t="s">
        <v>8</v>
      </c>
      <c r="FI753" s="27" t="s">
        <v>8</v>
      </c>
      <c r="FJ753" s="27" t="s">
        <v>7</v>
      </c>
    </row>
    <row r="754" spans="1:176" x14ac:dyDescent="0.25">
      <c r="A754" s="7">
        <v>3.6624467226698605E-2</v>
      </c>
      <c r="B754"/>
      <c r="C754"/>
      <c r="D754"/>
      <c r="E754"/>
      <c r="F754" s="27" t="s">
        <v>7</v>
      </c>
      <c r="Y754" s="27" t="s">
        <v>8</v>
      </c>
      <c r="AB754" s="27" t="s">
        <v>7</v>
      </c>
      <c r="AC754" s="27" t="s">
        <v>8</v>
      </c>
      <c r="AF754" s="27" t="s">
        <v>7</v>
      </c>
      <c r="AG754" s="27" t="s">
        <v>8</v>
      </c>
      <c r="AH754" s="27" t="s">
        <v>7</v>
      </c>
      <c r="AI754" s="27" t="s">
        <v>8</v>
      </c>
      <c r="AJ754" s="27" t="s">
        <v>7</v>
      </c>
      <c r="AM754" s="27" t="s">
        <v>8</v>
      </c>
      <c r="AN754" s="27" t="s">
        <v>7</v>
      </c>
      <c r="AP754" s="27" t="s">
        <v>7</v>
      </c>
      <c r="AQ754" s="27" t="s">
        <v>8</v>
      </c>
      <c r="AR754" s="27" t="s">
        <v>7</v>
      </c>
      <c r="AS754" s="27" t="s">
        <v>8</v>
      </c>
      <c r="AX754" s="27" t="s">
        <v>7</v>
      </c>
      <c r="AY754" s="27" t="s">
        <v>8</v>
      </c>
      <c r="BB754" s="27" t="s">
        <v>7</v>
      </c>
      <c r="BC754" s="27" t="s">
        <v>8</v>
      </c>
      <c r="BD754" s="27" t="s">
        <v>7</v>
      </c>
      <c r="BE754" s="27" t="s">
        <v>8</v>
      </c>
      <c r="BJ754" s="27" t="s">
        <v>7</v>
      </c>
      <c r="BK754" s="27" t="s">
        <v>8</v>
      </c>
      <c r="BL754" s="27" t="s">
        <v>7</v>
      </c>
      <c r="BM754" s="27" t="s">
        <v>8</v>
      </c>
      <c r="BN754" s="27" t="s">
        <v>7</v>
      </c>
      <c r="BQ754" s="27" t="s">
        <v>8</v>
      </c>
      <c r="BR754" s="27" t="s">
        <v>7</v>
      </c>
      <c r="BS754" s="27" t="s">
        <v>8</v>
      </c>
      <c r="BV754" s="27" t="s">
        <v>7</v>
      </c>
      <c r="BZ754" s="27" t="s">
        <v>7</v>
      </c>
      <c r="CA754" s="27" t="s">
        <v>8</v>
      </c>
      <c r="CB754" s="27" t="s">
        <v>7</v>
      </c>
      <c r="CD754" s="27" t="s">
        <v>7</v>
      </c>
      <c r="CE754" s="27" t="s">
        <v>8</v>
      </c>
      <c r="CF754" s="27" t="s">
        <v>7</v>
      </c>
      <c r="CK754" s="27" t="s">
        <v>8</v>
      </c>
      <c r="CL754" s="27" t="s">
        <v>7</v>
      </c>
      <c r="FI754" s="27" t="s">
        <v>8</v>
      </c>
      <c r="FJ754" s="27" t="s">
        <v>7</v>
      </c>
    </row>
    <row r="755" spans="1:176" x14ac:dyDescent="0.25">
      <c r="A755" s="7">
        <v>3.5906340418331961E-2</v>
      </c>
      <c r="B755"/>
      <c r="C755"/>
      <c r="D755"/>
      <c r="E755"/>
      <c r="F755" s="27" t="s">
        <v>7</v>
      </c>
      <c r="Y755" s="27" t="s">
        <v>8</v>
      </c>
      <c r="AB755" s="27" t="s">
        <v>7</v>
      </c>
      <c r="AF755" s="27" t="s">
        <v>7</v>
      </c>
      <c r="AG755" s="27" t="s">
        <v>8</v>
      </c>
      <c r="AH755" s="27" t="s">
        <v>7</v>
      </c>
      <c r="AI755" s="27" t="s">
        <v>8</v>
      </c>
      <c r="AJ755" s="27" t="s">
        <v>7</v>
      </c>
      <c r="AM755" s="27" t="s">
        <v>8</v>
      </c>
      <c r="AP755" s="27" t="s">
        <v>7</v>
      </c>
      <c r="AR755" s="27" t="s">
        <v>7</v>
      </c>
      <c r="AS755" s="27" t="s">
        <v>8</v>
      </c>
      <c r="AX755" s="27" t="s">
        <v>7</v>
      </c>
      <c r="AY755" s="27" t="s">
        <v>8</v>
      </c>
      <c r="BB755" s="27" t="s">
        <v>7</v>
      </c>
      <c r="BD755" s="27" t="s">
        <v>7</v>
      </c>
      <c r="BE755" s="27" t="s">
        <v>8</v>
      </c>
      <c r="BJ755" s="27" t="s">
        <v>7</v>
      </c>
      <c r="BK755" s="27" t="s">
        <v>8</v>
      </c>
      <c r="BL755" s="27" t="s">
        <v>7</v>
      </c>
      <c r="BM755" s="27" t="s">
        <v>8</v>
      </c>
      <c r="BN755" s="27" t="s">
        <v>7</v>
      </c>
      <c r="BQ755" s="27" t="s">
        <v>8</v>
      </c>
      <c r="BR755" s="27" t="s">
        <v>7</v>
      </c>
      <c r="BS755" s="27" t="s">
        <v>8</v>
      </c>
      <c r="BZ755" s="27" t="s">
        <v>7</v>
      </c>
      <c r="CA755" s="27" t="s">
        <v>8</v>
      </c>
      <c r="CD755" s="27" t="s">
        <v>7</v>
      </c>
      <c r="CE755" s="27" t="s">
        <v>8</v>
      </c>
      <c r="CF755" s="27" t="s">
        <v>7</v>
      </c>
      <c r="CK755" s="27" t="s">
        <v>8</v>
      </c>
      <c r="CL755" s="27" t="s">
        <v>7</v>
      </c>
      <c r="FI755" s="27" t="s">
        <v>8</v>
      </c>
      <c r="FJ755" s="27" t="s">
        <v>7</v>
      </c>
    </row>
    <row r="756" spans="1:176" x14ac:dyDescent="0.25">
      <c r="A756" s="7">
        <v>3.5202294527776436E-2</v>
      </c>
      <c r="B756"/>
      <c r="C756"/>
      <c r="D756"/>
      <c r="E756"/>
      <c r="F756" s="27" t="s">
        <v>7</v>
      </c>
      <c r="Y756" s="27" t="s">
        <v>8</v>
      </c>
      <c r="AF756" s="27" t="s">
        <v>7</v>
      </c>
      <c r="AG756" s="27" t="s">
        <v>8</v>
      </c>
      <c r="AH756" s="27" t="s">
        <v>7</v>
      </c>
      <c r="AI756" s="27" t="s">
        <v>8</v>
      </c>
      <c r="AJ756" s="27" t="s">
        <v>7</v>
      </c>
      <c r="AM756" s="27" t="s">
        <v>8</v>
      </c>
      <c r="AR756" s="27" t="s">
        <v>7</v>
      </c>
      <c r="AS756" s="27" t="s">
        <v>8</v>
      </c>
      <c r="AX756" s="27" t="s">
        <v>7</v>
      </c>
      <c r="AY756" s="27" t="s">
        <v>8</v>
      </c>
      <c r="BD756" s="27" t="s">
        <v>7</v>
      </c>
      <c r="BE756" s="27" t="s">
        <v>8</v>
      </c>
      <c r="BJ756" s="27" t="s">
        <v>7</v>
      </c>
      <c r="BK756" s="27" t="s">
        <v>8</v>
      </c>
      <c r="BL756" s="27" t="s">
        <v>7</v>
      </c>
      <c r="BM756" s="27" t="s">
        <v>8</v>
      </c>
      <c r="BN756" s="27" t="s">
        <v>7</v>
      </c>
      <c r="BQ756" s="27" t="s">
        <v>8</v>
      </c>
      <c r="BR756" s="27" t="s">
        <v>7</v>
      </c>
      <c r="BS756" s="27" t="s">
        <v>8</v>
      </c>
      <c r="BZ756" s="27" t="s">
        <v>7</v>
      </c>
      <c r="CD756" s="27" t="s">
        <v>7</v>
      </c>
      <c r="CF756" s="27" t="s">
        <v>7</v>
      </c>
      <c r="CK756" s="27" t="s">
        <v>8</v>
      </c>
      <c r="CL756" s="27" t="s">
        <v>7</v>
      </c>
      <c r="FI756" s="27" t="s">
        <v>8</v>
      </c>
      <c r="FJ756" s="27" t="s">
        <v>7</v>
      </c>
      <c r="FK756" s="27" t="s">
        <v>8</v>
      </c>
    </row>
    <row r="757" spans="1:176" x14ac:dyDescent="0.25">
      <c r="A757" s="7">
        <v>3.451205345860435E-2</v>
      </c>
      <c r="B757"/>
      <c r="C757"/>
      <c r="D757"/>
      <c r="E757"/>
      <c r="F757" s="27" t="s">
        <v>7</v>
      </c>
      <c r="Y757" s="27" t="s">
        <v>8</v>
      </c>
      <c r="AF757" s="27" t="s">
        <v>7</v>
      </c>
      <c r="AG757" s="27" t="s">
        <v>8</v>
      </c>
      <c r="AH757" s="27" t="s">
        <v>7</v>
      </c>
      <c r="AI757" s="27" t="s">
        <v>8</v>
      </c>
      <c r="AJ757" s="27" t="s">
        <v>7</v>
      </c>
      <c r="AM757" s="27" t="s">
        <v>8</v>
      </c>
      <c r="AR757" s="27" t="s">
        <v>7</v>
      </c>
      <c r="AX757" s="27" t="s">
        <v>7</v>
      </c>
      <c r="AY757" s="27" t="s">
        <v>8</v>
      </c>
      <c r="BD757" s="27" t="s">
        <v>7</v>
      </c>
      <c r="BE757" s="27" t="s">
        <v>8</v>
      </c>
      <c r="BJ757" s="27" t="s">
        <v>7</v>
      </c>
      <c r="BK757" s="27" t="s">
        <v>8</v>
      </c>
      <c r="BL757" s="27" t="s">
        <v>7</v>
      </c>
      <c r="BM757" s="27" t="s">
        <v>8</v>
      </c>
      <c r="BN757" s="27" t="s">
        <v>7</v>
      </c>
      <c r="BQ757" s="27" t="s">
        <v>8</v>
      </c>
      <c r="BR757" s="27" t="s">
        <v>7</v>
      </c>
      <c r="BS757" s="27" t="s">
        <v>8</v>
      </c>
      <c r="CF757" s="27" t="s">
        <v>7</v>
      </c>
      <c r="CK757" s="27" t="s">
        <v>8</v>
      </c>
      <c r="CL757" s="27" t="s">
        <v>7</v>
      </c>
      <c r="FI757" s="27" t="s">
        <v>8</v>
      </c>
      <c r="FJ757" s="27" t="s">
        <v>7</v>
      </c>
      <c r="FK757" s="27" t="s">
        <v>8</v>
      </c>
      <c r="FL757" s="27" t="s">
        <v>7</v>
      </c>
    </row>
    <row r="758" spans="1:176" x14ac:dyDescent="0.25">
      <c r="A758" s="7">
        <v>3.3835346528043479E-2</v>
      </c>
      <c r="B758"/>
      <c r="C758"/>
      <c r="D758"/>
      <c r="E758"/>
      <c r="F758" s="27" t="s">
        <v>7</v>
      </c>
      <c r="Y758" s="27" t="s">
        <v>8</v>
      </c>
      <c r="AF758" s="27" t="s">
        <v>7</v>
      </c>
      <c r="AH758" s="27" t="s">
        <v>7</v>
      </c>
      <c r="AI758" s="27" t="s">
        <v>8</v>
      </c>
      <c r="AJ758" s="27" t="s">
        <v>7</v>
      </c>
      <c r="AM758" s="27" t="s">
        <v>8</v>
      </c>
      <c r="AX758" s="27" t="s">
        <v>7</v>
      </c>
      <c r="AY758" s="27" t="s">
        <v>8</v>
      </c>
      <c r="BD758" s="27" t="s">
        <v>7</v>
      </c>
      <c r="BE758" s="27" t="s">
        <v>8</v>
      </c>
      <c r="BJ758" s="27" t="s">
        <v>7</v>
      </c>
      <c r="BK758" s="27" t="s">
        <v>8</v>
      </c>
      <c r="BL758" s="27" t="s">
        <v>7</v>
      </c>
      <c r="BM758" s="27" t="s">
        <v>8</v>
      </c>
      <c r="BN758" s="27" t="s">
        <v>7</v>
      </c>
      <c r="BO758" s="27" t="s">
        <v>8</v>
      </c>
      <c r="BQ758" s="27" t="s">
        <v>8</v>
      </c>
      <c r="BR758" s="27" t="s">
        <v>7</v>
      </c>
      <c r="CF758" s="27" t="s">
        <v>7</v>
      </c>
      <c r="CK758" s="27" t="s">
        <v>8</v>
      </c>
      <c r="CL758" s="27" t="s">
        <v>7</v>
      </c>
      <c r="FA758" s="27" t="s">
        <v>8</v>
      </c>
      <c r="FG758" s="27" t="s">
        <v>8</v>
      </c>
      <c r="FI758" s="27" t="s">
        <v>8</v>
      </c>
      <c r="FJ758" s="27" t="s">
        <v>7</v>
      </c>
      <c r="FK758" s="27" t="s">
        <v>8</v>
      </c>
      <c r="FL758" s="27" t="s">
        <v>7</v>
      </c>
      <c r="FO758" s="27" t="s">
        <v>8</v>
      </c>
    </row>
    <row r="759" spans="1:176" x14ac:dyDescent="0.25">
      <c r="A759" s="7">
        <v>3.3171908360826938E-2</v>
      </c>
      <c r="B759"/>
      <c r="C759"/>
      <c r="D759"/>
      <c r="E759"/>
      <c r="F759" s="27" t="s">
        <v>7</v>
      </c>
      <c r="Y759" s="27" t="s">
        <v>8</v>
      </c>
      <c r="AH759" s="27" t="s">
        <v>7</v>
      </c>
      <c r="AI759" s="27" t="s">
        <v>8</v>
      </c>
      <c r="AJ759" s="27" t="s">
        <v>7</v>
      </c>
      <c r="AM759" s="27" t="s">
        <v>8</v>
      </c>
      <c r="AX759" s="27" t="s">
        <v>7</v>
      </c>
      <c r="AY759" s="27" t="s">
        <v>8</v>
      </c>
      <c r="BD759" s="27" t="s">
        <v>7</v>
      </c>
      <c r="BJ759" s="27" t="s">
        <v>7</v>
      </c>
      <c r="BK759" s="27" t="s">
        <v>8</v>
      </c>
      <c r="BL759" s="27" t="s">
        <v>7</v>
      </c>
      <c r="BM759" s="27" t="s">
        <v>8</v>
      </c>
      <c r="BN759" s="27" t="s">
        <v>7</v>
      </c>
      <c r="BO759" s="27" t="s">
        <v>8</v>
      </c>
      <c r="BP759" s="27" t="s">
        <v>7</v>
      </c>
      <c r="BQ759" s="27" t="s">
        <v>8</v>
      </c>
      <c r="CF759" s="27" t="s">
        <v>7</v>
      </c>
      <c r="CG759" s="27" t="s">
        <v>8</v>
      </c>
      <c r="CK759" s="27" t="s">
        <v>8</v>
      </c>
      <c r="CL759" s="27" t="s">
        <v>7</v>
      </c>
      <c r="EY759" s="27" t="s">
        <v>8</v>
      </c>
      <c r="FA759" s="27" t="s">
        <v>8</v>
      </c>
      <c r="FB759" s="27" t="s">
        <v>7</v>
      </c>
      <c r="FG759" s="27" t="s">
        <v>8</v>
      </c>
      <c r="FH759" s="27" t="s">
        <v>7</v>
      </c>
      <c r="FI759" s="27" t="s">
        <v>8</v>
      </c>
      <c r="FJ759" s="27" t="s">
        <v>7</v>
      </c>
      <c r="FK759" s="27" t="s">
        <v>8</v>
      </c>
      <c r="FL759" s="27" t="s">
        <v>7</v>
      </c>
      <c r="FO759" s="27" t="s">
        <v>8</v>
      </c>
      <c r="FP759" s="27" t="s">
        <v>7</v>
      </c>
    </row>
    <row r="760" spans="1:176" x14ac:dyDescent="0.25">
      <c r="A760" s="7">
        <v>3.2521478785124451E-2</v>
      </c>
      <c r="B760"/>
      <c r="C760"/>
      <c r="D760"/>
      <c r="E760"/>
      <c r="F760" s="27" t="s">
        <v>7</v>
      </c>
      <c r="Y760" s="27" t="s">
        <v>8</v>
      </c>
      <c r="AH760" s="27" t="s">
        <v>7</v>
      </c>
      <c r="AI760" s="27" t="s">
        <v>8</v>
      </c>
      <c r="AJ760" s="27" t="s">
        <v>7</v>
      </c>
      <c r="AK760" s="27" t="s">
        <v>8</v>
      </c>
      <c r="AM760" s="27" t="s">
        <v>8</v>
      </c>
      <c r="AX760" s="27" t="s">
        <v>7</v>
      </c>
      <c r="AY760" s="27" t="s">
        <v>8</v>
      </c>
      <c r="BJ760" s="27" t="s">
        <v>7</v>
      </c>
      <c r="BK760" s="27" t="s">
        <v>8</v>
      </c>
      <c r="BL760" s="27" t="s">
        <v>7</v>
      </c>
      <c r="BM760" s="27" t="s">
        <v>8</v>
      </c>
      <c r="BN760" s="27" t="s">
        <v>7</v>
      </c>
      <c r="BO760" s="27" t="s">
        <v>8</v>
      </c>
      <c r="BP760" s="27" t="s">
        <v>7</v>
      </c>
      <c r="BQ760" s="27" t="s">
        <v>8</v>
      </c>
      <c r="CF760" s="27" t="s">
        <v>7</v>
      </c>
      <c r="CG760" s="27" t="s">
        <v>8</v>
      </c>
      <c r="CH760" s="27" t="s">
        <v>7</v>
      </c>
      <c r="CK760" s="27" t="s">
        <v>8</v>
      </c>
      <c r="CL760" s="27" t="s">
        <v>7</v>
      </c>
      <c r="EY760" s="27" t="s">
        <v>8</v>
      </c>
      <c r="EZ760" s="27" t="s">
        <v>7</v>
      </c>
      <c r="FA760" s="27" t="s">
        <v>8</v>
      </c>
      <c r="FB760" s="27" t="s">
        <v>7</v>
      </c>
      <c r="FE760" s="27" t="s">
        <v>8</v>
      </c>
      <c r="FG760" s="27" t="s">
        <v>8</v>
      </c>
      <c r="FH760" s="27" t="s">
        <v>7</v>
      </c>
      <c r="FI760" s="27" t="s">
        <v>8</v>
      </c>
      <c r="FJ760" s="27" t="s">
        <v>7</v>
      </c>
      <c r="FL760" s="27" t="s">
        <v>7</v>
      </c>
      <c r="FM760" s="27" t="s">
        <v>8</v>
      </c>
      <c r="FO760" s="27" t="s">
        <v>8</v>
      </c>
      <c r="FP760" s="27" t="s">
        <v>7</v>
      </c>
    </row>
    <row r="761" spans="1:176" x14ac:dyDescent="0.25">
      <c r="A761" s="7">
        <v>3.1883802730514173E-2</v>
      </c>
      <c r="B761"/>
      <c r="C761"/>
      <c r="D761"/>
      <c r="E761"/>
      <c r="F761" s="27" t="s">
        <v>7</v>
      </c>
      <c r="W761" s="27" t="s">
        <v>8</v>
      </c>
      <c r="Y761" s="27" t="s">
        <v>8</v>
      </c>
      <c r="AH761" s="27" t="s">
        <v>7</v>
      </c>
      <c r="AI761" s="27" t="s">
        <v>8</v>
      </c>
      <c r="AJ761" s="27" t="s">
        <v>7</v>
      </c>
      <c r="AK761" s="27" t="s">
        <v>8</v>
      </c>
      <c r="AL761" s="27" t="s">
        <v>7</v>
      </c>
      <c r="AM761" s="27" t="s">
        <v>8</v>
      </c>
      <c r="AX761" s="27" t="s">
        <v>7</v>
      </c>
      <c r="BJ761" s="27" t="s">
        <v>7</v>
      </c>
      <c r="BL761" s="27" t="s">
        <v>7</v>
      </c>
      <c r="BM761" s="27" t="s">
        <v>8</v>
      </c>
      <c r="BN761" s="27" t="s">
        <v>7</v>
      </c>
      <c r="BO761" s="27" t="s">
        <v>8</v>
      </c>
      <c r="BP761" s="27" t="s">
        <v>7</v>
      </c>
      <c r="BQ761" s="27" t="s">
        <v>8</v>
      </c>
      <c r="CF761" s="27" t="s">
        <v>7</v>
      </c>
      <c r="CG761" s="27" t="s">
        <v>8</v>
      </c>
      <c r="CH761" s="27" t="s">
        <v>7</v>
      </c>
      <c r="CK761" s="27" t="s">
        <v>8</v>
      </c>
      <c r="CL761" s="27" t="s">
        <v>7</v>
      </c>
      <c r="EY761" s="27" t="s">
        <v>8</v>
      </c>
      <c r="EZ761" s="27" t="s">
        <v>7</v>
      </c>
      <c r="FA761" s="27" t="s">
        <v>8</v>
      </c>
      <c r="FB761" s="27" t="s">
        <v>7</v>
      </c>
      <c r="FE761" s="27" t="s">
        <v>8</v>
      </c>
      <c r="FF761" s="27" t="s">
        <v>7</v>
      </c>
      <c r="FG761" s="27" t="s">
        <v>8</v>
      </c>
      <c r="FH761" s="27" t="s">
        <v>7</v>
      </c>
      <c r="FI761" s="27" t="s">
        <v>8</v>
      </c>
      <c r="FL761" s="27" t="s">
        <v>7</v>
      </c>
      <c r="FM761" s="27" t="s">
        <v>8</v>
      </c>
      <c r="FN761" s="27" t="s">
        <v>7</v>
      </c>
      <c r="FO761" s="27" t="s">
        <v>8</v>
      </c>
      <c r="FP761" s="27" t="s">
        <v>7</v>
      </c>
    </row>
    <row r="762" spans="1:176" x14ac:dyDescent="0.25">
      <c r="A762" s="7">
        <v>3.1258630127955073E-2</v>
      </c>
      <c r="B762"/>
      <c r="C762"/>
      <c r="D762"/>
      <c r="E762"/>
      <c r="F762" s="27" t="s">
        <v>7</v>
      </c>
      <c r="W762" s="27" t="s">
        <v>8</v>
      </c>
      <c r="X762" s="27" t="s">
        <v>7</v>
      </c>
      <c r="Y762" s="27" t="s">
        <v>8</v>
      </c>
      <c r="AH762" s="27" t="s">
        <v>7</v>
      </c>
      <c r="AI762" s="27" t="s">
        <v>8</v>
      </c>
      <c r="AJ762" s="27" t="s">
        <v>7</v>
      </c>
      <c r="AK762" s="27" t="s">
        <v>8</v>
      </c>
      <c r="AL762" s="27" t="s">
        <v>7</v>
      </c>
      <c r="AM762" s="27" t="s">
        <v>8</v>
      </c>
      <c r="BL762" s="27" t="s">
        <v>7</v>
      </c>
      <c r="BM762" s="27" t="s">
        <v>8</v>
      </c>
      <c r="BN762" s="27" t="s">
        <v>7</v>
      </c>
      <c r="BO762" s="27" t="s">
        <v>8</v>
      </c>
      <c r="BP762" s="27" t="s">
        <v>7</v>
      </c>
      <c r="BQ762" s="27" t="s">
        <v>8</v>
      </c>
      <c r="CF762" s="27" t="s">
        <v>7</v>
      </c>
      <c r="CG762" s="27" t="s">
        <v>8</v>
      </c>
      <c r="CH762" s="27" t="s">
        <v>7</v>
      </c>
      <c r="CK762" s="27" t="s">
        <v>8</v>
      </c>
      <c r="CL762" s="27" t="s">
        <v>7</v>
      </c>
      <c r="EY762" s="27" t="s">
        <v>8</v>
      </c>
      <c r="EZ762" s="27" t="s">
        <v>7</v>
      </c>
      <c r="FA762" s="27" t="s">
        <v>8</v>
      </c>
      <c r="FB762" s="27" t="s">
        <v>7</v>
      </c>
      <c r="FC762" s="27" t="s">
        <v>8</v>
      </c>
      <c r="FE762" s="27" t="s">
        <v>8</v>
      </c>
      <c r="FF762" s="27" t="s">
        <v>7</v>
      </c>
      <c r="FG762" s="27" t="s">
        <v>8</v>
      </c>
      <c r="FH762" s="27" t="s">
        <v>7</v>
      </c>
      <c r="FI762" s="27" t="s">
        <v>8</v>
      </c>
      <c r="FL762" s="27" t="s">
        <v>7</v>
      </c>
      <c r="FM762" s="27" t="s">
        <v>8</v>
      </c>
      <c r="FN762" s="27" t="s">
        <v>7</v>
      </c>
      <c r="FO762" s="27" t="s">
        <v>8</v>
      </c>
      <c r="FP762" s="27" t="s">
        <v>7</v>
      </c>
    </row>
    <row r="763" spans="1:176" x14ac:dyDescent="0.25">
      <c r="A763" s="7">
        <v>3.064571581172066E-2</v>
      </c>
      <c r="B763"/>
      <c r="C763"/>
      <c r="D763"/>
      <c r="E763"/>
      <c r="F763" s="27" t="s">
        <v>7</v>
      </c>
      <c r="U763" s="27" t="s">
        <v>8</v>
      </c>
      <c r="W763" s="27" t="s">
        <v>8</v>
      </c>
      <c r="X763" s="27" t="s">
        <v>7</v>
      </c>
      <c r="Y763" s="27" t="s">
        <v>8</v>
      </c>
      <c r="AH763" s="27" t="s">
        <v>7</v>
      </c>
      <c r="AI763" s="27" t="s">
        <v>8</v>
      </c>
      <c r="AJ763" s="27" t="s">
        <v>7</v>
      </c>
      <c r="AK763" s="27" t="s">
        <v>8</v>
      </c>
      <c r="AL763" s="27" t="s">
        <v>7</v>
      </c>
      <c r="AM763" s="27" t="s">
        <v>8</v>
      </c>
      <c r="BL763" s="27" t="s">
        <v>7</v>
      </c>
      <c r="BN763" s="27" t="s">
        <v>7</v>
      </c>
      <c r="BO763" s="27" t="s">
        <v>8</v>
      </c>
      <c r="BP763" s="27" t="s">
        <v>7</v>
      </c>
      <c r="BQ763" s="27" t="s">
        <v>8</v>
      </c>
      <c r="CF763" s="27" t="s">
        <v>7</v>
      </c>
      <c r="CG763" s="27" t="s">
        <v>8</v>
      </c>
      <c r="CH763" s="27" t="s">
        <v>7</v>
      </c>
      <c r="CK763" s="27" t="s">
        <v>8</v>
      </c>
      <c r="CL763" s="27" t="s">
        <v>7</v>
      </c>
      <c r="EY763" s="27" t="s">
        <v>8</v>
      </c>
      <c r="EZ763" s="27" t="s">
        <v>7</v>
      </c>
      <c r="FA763" s="27" t="s">
        <v>8</v>
      </c>
      <c r="FB763" s="27" t="s">
        <v>7</v>
      </c>
      <c r="FC763" s="27" t="s">
        <v>8</v>
      </c>
      <c r="FD763" s="27" t="s">
        <v>7</v>
      </c>
      <c r="FE763" s="27" t="s">
        <v>8</v>
      </c>
      <c r="FF763" s="27" t="s">
        <v>7</v>
      </c>
      <c r="FG763" s="27" t="s">
        <v>8</v>
      </c>
      <c r="FH763" s="27" t="s">
        <v>7</v>
      </c>
      <c r="FI763" s="27" t="s">
        <v>8</v>
      </c>
      <c r="FL763" s="27" t="s">
        <v>7</v>
      </c>
      <c r="FM763" s="27" t="s">
        <v>8</v>
      </c>
      <c r="FN763" s="27" t="s">
        <v>7</v>
      </c>
      <c r="FO763" s="27" t="s">
        <v>8</v>
      </c>
      <c r="FP763" s="27" t="s">
        <v>7</v>
      </c>
    </row>
    <row r="764" spans="1:176" x14ac:dyDescent="0.25">
      <c r="A764" s="7">
        <v>3.0044819423255549E-2</v>
      </c>
      <c r="B764"/>
      <c r="C764"/>
      <c r="D764"/>
      <c r="E764"/>
      <c r="F764" s="27" t="s">
        <v>7</v>
      </c>
      <c r="U764" s="27" t="s">
        <v>8</v>
      </c>
      <c r="V764" s="27" t="s">
        <v>7</v>
      </c>
      <c r="W764" s="27" t="s">
        <v>8</v>
      </c>
      <c r="X764" s="27" t="s">
        <v>7</v>
      </c>
      <c r="Y764" s="27" t="s">
        <v>8</v>
      </c>
      <c r="AH764" s="27" t="s">
        <v>7</v>
      </c>
      <c r="AI764" s="27" t="s">
        <v>8</v>
      </c>
      <c r="AJ764" s="27" t="s">
        <v>7</v>
      </c>
      <c r="AK764" s="27" t="s">
        <v>8</v>
      </c>
      <c r="AL764" s="27" t="s">
        <v>7</v>
      </c>
      <c r="AM764" s="27" t="s">
        <v>8</v>
      </c>
      <c r="BN764" s="27" t="s">
        <v>7</v>
      </c>
      <c r="BO764" s="27" t="s">
        <v>8</v>
      </c>
      <c r="BP764" s="27" t="s">
        <v>7</v>
      </c>
      <c r="BQ764" s="27" t="s">
        <v>8</v>
      </c>
      <c r="CF764" s="27" t="s">
        <v>7</v>
      </c>
      <c r="CG764" s="27" t="s">
        <v>8</v>
      </c>
      <c r="CH764" s="27" t="s">
        <v>7</v>
      </c>
      <c r="CK764" s="27" t="s">
        <v>8</v>
      </c>
      <c r="CL764" s="27" t="s">
        <v>7</v>
      </c>
      <c r="EY764" s="27" t="s">
        <v>8</v>
      </c>
      <c r="EZ764" s="27" t="s">
        <v>7</v>
      </c>
      <c r="FA764" s="27" t="s">
        <v>8</v>
      </c>
      <c r="FB764" s="27" t="s">
        <v>7</v>
      </c>
      <c r="FC764" s="27" t="s">
        <v>8</v>
      </c>
      <c r="FD764" s="27" t="s">
        <v>7</v>
      </c>
      <c r="FE764" s="27" t="s">
        <v>8</v>
      </c>
      <c r="FF764" s="27" t="s">
        <v>7</v>
      </c>
      <c r="FG764" s="27" t="s">
        <v>8</v>
      </c>
      <c r="FH764" s="27" t="s">
        <v>7</v>
      </c>
      <c r="FI764" s="27" t="s">
        <v>8</v>
      </c>
      <c r="FL764" s="27" t="s">
        <v>7</v>
      </c>
      <c r="FM764" s="27" t="s">
        <v>8</v>
      </c>
      <c r="FN764" s="27" t="s">
        <v>7</v>
      </c>
      <c r="FP764" s="27" t="s">
        <v>7</v>
      </c>
      <c r="FQ764" s="27" t="s">
        <v>8</v>
      </c>
    </row>
    <row r="765" spans="1:176" x14ac:dyDescent="0.25">
      <c r="A765" s="7">
        <v>2.9455705316917203E-2</v>
      </c>
      <c r="B765"/>
      <c r="C765"/>
      <c r="D765"/>
      <c r="E765"/>
      <c r="F765" s="27" t="s">
        <v>7</v>
      </c>
      <c r="U765" s="27" t="s">
        <v>8</v>
      </c>
      <c r="V765" s="27" t="s">
        <v>7</v>
      </c>
      <c r="W765" s="27" t="s">
        <v>8</v>
      </c>
      <c r="X765" s="27" t="s">
        <v>7</v>
      </c>
      <c r="Y765" s="27" t="s">
        <v>8</v>
      </c>
      <c r="AH765" s="27" t="s">
        <v>7</v>
      </c>
      <c r="AI765" s="27" t="s">
        <v>8</v>
      </c>
      <c r="AJ765" s="27" t="s">
        <v>7</v>
      </c>
      <c r="AK765" s="27" t="s">
        <v>8</v>
      </c>
      <c r="AL765" s="27" t="s">
        <v>7</v>
      </c>
      <c r="AM765" s="27" t="s">
        <v>8</v>
      </c>
      <c r="BN765" s="27" t="s">
        <v>7</v>
      </c>
      <c r="BO765" s="27" t="s">
        <v>8</v>
      </c>
      <c r="BP765" s="27" t="s">
        <v>7</v>
      </c>
      <c r="CF765" s="27" t="s">
        <v>7</v>
      </c>
      <c r="CG765" s="27" t="s">
        <v>8</v>
      </c>
      <c r="CH765" s="27" t="s">
        <v>7</v>
      </c>
      <c r="CK765" s="27" t="s">
        <v>8</v>
      </c>
      <c r="CL765" s="27" t="s">
        <v>7</v>
      </c>
      <c r="EK765" s="27" t="s">
        <v>8</v>
      </c>
      <c r="EY765" s="27" t="s">
        <v>8</v>
      </c>
      <c r="EZ765" s="27" t="s">
        <v>7</v>
      </c>
      <c r="FA765" s="27" t="s">
        <v>8</v>
      </c>
      <c r="FB765" s="27" t="s">
        <v>7</v>
      </c>
      <c r="FD765" s="27" t="s">
        <v>7</v>
      </c>
      <c r="FE765" s="27" t="s">
        <v>8</v>
      </c>
      <c r="FF765" s="27" t="s">
        <v>7</v>
      </c>
      <c r="FG765" s="27" t="s">
        <v>8</v>
      </c>
      <c r="FH765" s="27" t="s">
        <v>7</v>
      </c>
      <c r="FI765" s="27" t="s">
        <v>8</v>
      </c>
      <c r="FL765" s="27" t="s">
        <v>7</v>
      </c>
      <c r="FM765" s="27" t="s">
        <v>8</v>
      </c>
      <c r="FP765" s="27" t="s">
        <v>7</v>
      </c>
      <c r="FQ765" s="27" t="s">
        <v>8</v>
      </c>
      <c r="FR765" s="27" t="s">
        <v>7</v>
      </c>
      <c r="FS765" s="27" t="s">
        <v>8</v>
      </c>
    </row>
    <row r="766" spans="1:176" x14ac:dyDescent="0.25">
      <c r="A766" s="7">
        <v>2.8878142467565884E-2</v>
      </c>
      <c r="B766"/>
      <c r="C766"/>
      <c r="D766"/>
      <c r="E766"/>
      <c r="F766" s="27" t="s">
        <v>7</v>
      </c>
      <c r="U766" s="27" t="s">
        <v>8</v>
      </c>
      <c r="V766" s="27" t="s">
        <v>7</v>
      </c>
      <c r="W766" s="27" t="s">
        <v>8</v>
      </c>
      <c r="X766" s="27" t="s">
        <v>7</v>
      </c>
      <c r="Y766" s="27" t="s">
        <v>8</v>
      </c>
      <c r="AH766" s="27" t="s">
        <v>7</v>
      </c>
      <c r="AI766" s="27" t="s">
        <v>8</v>
      </c>
      <c r="AJ766" s="27" t="s">
        <v>7</v>
      </c>
      <c r="AK766" s="27" t="s">
        <v>8</v>
      </c>
      <c r="AL766" s="27" t="s">
        <v>7</v>
      </c>
      <c r="AM766" s="27" t="s">
        <v>8</v>
      </c>
      <c r="BN766" s="27" t="s">
        <v>7</v>
      </c>
      <c r="BO766" s="27" t="s">
        <v>8</v>
      </c>
      <c r="CF766" s="27" t="s">
        <v>7</v>
      </c>
      <c r="CG766" s="27" t="s">
        <v>8</v>
      </c>
      <c r="CH766" s="27" t="s">
        <v>7</v>
      </c>
      <c r="CK766" s="27" t="s">
        <v>8</v>
      </c>
      <c r="CL766" s="27" t="s">
        <v>7</v>
      </c>
      <c r="EK766" s="27" t="s">
        <v>8</v>
      </c>
      <c r="EL766" s="27" t="s">
        <v>7</v>
      </c>
      <c r="EY766" s="27" t="s">
        <v>8</v>
      </c>
      <c r="EZ766" s="27" t="s">
        <v>7</v>
      </c>
      <c r="FA766" s="27" t="s">
        <v>8</v>
      </c>
      <c r="FD766" s="27" t="s">
        <v>7</v>
      </c>
      <c r="FE766" s="27" t="s">
        <v>8</v>
      </c>
      <c r="FF766" s="27" t="s">
        <v>7</v>
      </c>
      <c r="FG766" s="27" t="s">
        <v>8</v>
      </c>
      <c r="FH766" s="27" t="s">
        <v>7</v>
      </c>
      <c r="FL766" s="27" t="s">
        <v>7</v>
      </c>
      <c r="FM766" s="27" t="s">
        <v>8</v>
      </c>
      <c r="FP766" s="27" t="s">
        <v>7</v>
      </c>
      <c r="FQ766" s="27" t="s">
        <v>8</v>
      </c>
      <c r="FR766" s="27" t="s">
        <v>7</v>
      </c>
      <c r="FS766" s="27" t="s">
        <v>8</v>
      </c>
      <c r="FT766" s="27" t="s">
        <v>7</v>
      </c>
    </row>
    <row r="767" spans="1:176" x14ac:dyDescent="0.25">
      <c r="A767" s="7">
        <v>2.8311904379966554E-2</v>
      </c>
      <c r="B767"/>
      <c r="C767"/>
      <c r="D767"/>
      <c r="E767"/>
      <c r="F767" s="27" t="s">
        <v>7</v>
      </c>
      <c r="U767" s="27" t="s">
        <v>8</v>
      </c>
      <c r="V767" s="27" t="s">
        <v>7</v>
      </c>
      <c r="W767" s="27" t="s">
        <v>8</v>
      </c>
      <c r="X767" s="27" t="s">
        <v>7</v>
      </c>
      <c r="Y767" s="27" t="s">
        <v>8</v>
      </c>
      <c r="AH767" s="27" t="s">
        <v>7</v>
      </c>
      <c r="AI767" s="27" t="s">
        <v>8</v>
      </c>
      <c r="AJ767" s="27" t="s">
        <v>7</v>
      </c>
      <c r="AL767" s="27" t="s">
        <v>7</v>
      </c>
      <c r="AM767" s="27" t="s">
        <v>8</v>
      </c>
      <c r="BN767" s="27" t="s">
        <v>7</v>
      </c>
      <c r="CF767" s="27" t="s">
        <v>7</v>
      </c>
      <c r="CG767" s="27" t="s">
        <v>8</v>
      </c>
      <c r="CH767" s="27" t="s">
        <v>7</v>
      </c>
      <c r="CI767" s="27" t="s">
        <v>8</v>
      </c>
      <c r="CK767" s="27" t="s">
        <v>8</v>
      </c>
      <c r="CL767" s="27" t="s">
        <v>7</v>
      </c>
      <c r="CQ767" s="27" t="s">
        <v>8</v>
      </c>
      <c r="EK767" s="27" t="s">
        <v>8</v>
      </c>
      <c r="EL767" s="27" t="s">
        <v>7</v>
      </c>
      <c r="EY767" s="27" t="s">
        <v>8</v>
      </c>
      <c r="EZ767" s="27" t="s">
        <v>7</v>
      </c>
      <c r="FA767" s="27" t="s">
        <v>8</v>
      </c>
      <c r="FD767" s="27" t="s">
        <v>7</v>
      </c>
      <c r="FF767" s="27" t="s">
        <v>7</v>
      </c>
      <c r="FG767" s="27" t="s">
        <v>8</v>
      </c>
      <c r="FL767" s="27" t="s">
        <v>7</v>
      </c>
      <c r="FP767" s="27" t="s">
        <v>7</v>
      </c>
      <c r="FQ767" s="27" t="s">
        <v>8</v>
      </c>
      <c r="FR767" s="27" t="s">
        <v>7</v>
      </c>
      <c r="FS767" s="27" t="s">
        <v>8</v>
      </c>
      <c r="FT767" s="27" t="s">
        <v>7</v>
      </c>
    </row>
    <row r="768" spans="1:176" x14ac:dyDescent="0.25">
      <c r="A768" s="7">
        <v>2.7756768999967207E-2</v>
      </c>
      <c r="B768"/>
      <c r="C768"/>
      <c r="D768"/>
      <c r="E768"/>
      <c r="F768" s="27" t="s">
        <v>7</v>
      </c>
      <c r="U768" s="27" t="s">
        <v>8</v>
      </c>
      <c r="V768" s="27" t="s">
        <v>7</v>
      </c>
      <c r="W768" s="27" t="s">
        <v>8</v>
      </c>
      <c r="X768" s="27" t="s">
        <v>7</v>
      </c>
      <c r="Y768" s="27" t="s">
        <v>8</v>
      </c>
      <c r="AH768" s="27" t="s">
        <v>7</v>
      </c>
      <c r="AI768" s="27" t="s">
        <v>8</v>
      </c>
      <c r="AL768" s="27" t="s">
        <v>7</v>
      </c>
      <c r="AM768" s="27" t="s">
        <v>8</v>
      </c>
      <c r="CF768" s="27" t="s">
        <v>7</v>
      </c>
      <c r="CG768" s="27" t="s">
        <v>8</v>
      </c>
      <c r="CH768" s="27" t="s">
        <v>7</v>
      </c>
      <c r="CI768" s="27" t="s">
        <v>8</v>
      </c>
      <c r="CJ768" s="27" t="s">
        <v>7</v>
      </c>
      <c r="CK768" s="27" t="s">
        <v>8</v>
      </c>
      <c r="CL768" s="27" t="s">
        <v>7</v>
      </c>
      <c r="CQ768" s="27" t="s">
        <v>8</v>
      </c>
      <c r="CR768" s="27" t="s">
        <v>7</v>
      </c>
      <c r="EK768" s="27" t="s">
        <v>8</v>
      </c>
      <c r="EL768" s="27" t="s">
        <v>7</v>
      </c>
      <c r="EY768" s="27" t="s">
        <v>8</v>
      </c>
      <c r="EZ768" s="27" t="s">
        <v>7</v>
      </c>
      <c r="FA768" s="27" t="s">
        <v>8</v>
      </c>
      <c r="FF768" s="27" t="s">
        <v>7</v>
      </c>
      <c r="FG768" s="27" t="s">
        <v>8</v>
      </c>
      <c r="FP768" s="27" t="s">
        <v>7</v>
      </c>
      <c r="FR768" s="27" t="s">
        <v>7</v>
      </c>
      <c r="FS768" s="27" t="s">
        <v>8</v>
      </c>
      <c r="FT768" s="27" t="s">
        <v>7</v>
      </c>
    </row>
    <row r="769" spans="1:194" x14ac:dyDescent="0.25">
      <c r="A769" s="7">
        <v>2.7212518627418834E-2</v>
      </c>
      <c r="B769"/>
      <c r="C769"/>
      <c r="D769"/>
      <c r="E769"/>
      <c r="F769" s="27" t="s">
        <v>7</v>
      </c>
      <c r="U769" s="27" t="s">
        <v>8</v>
      </c>
      <c r="V769" s="27" t="s">
        <v>7</v>
      </c>
      <c r="W769" s="27" t="s">
        <v>8</v>
      </c>
      <c r="X769" s="27" t="s">
        <v>7</v>
      </c>
      <c r="Y769" s="27" t="s">
        <v>8</v>
      </c>
      <c r="AH769" s="27" t="s">
        <v>7</v>
      </c>
      <c r="AI769" s="27" t="s">
        <v>8</v>
      </c>
      <c r="AL769" s="27" t="s">
        <v>7</v>
      </c>
      <c r="AM769" s="27" t="s">
        <v>8</v>
      </c>
      <c r="CF769" s="27" t="s">
        <v>7</v>
      </c>
      <c r="CG769" s="27" t="s">
        <v>8</v>
      </c>
      <c r="CH769" s="27" t="s">
        <v>7</v>
      </c>
      <c r="CI769" s="27" t="s">
        <v>8</v>
      </c>
      <c r="CJ769" s="27" t="s">
        <v>7</v>
      </c>
      <c r="CK769" s="27" t="s">
        <v>8</v>
      </c>
      <c r="CL769" s="27" t="s">
        <v>7</v>
      </c>
      <c r="CM769" s="27" t="s">
        <v>8</v>
      </c>
      <c r="CQ769" s="27" t="s">
        <v>8</v>
      </c>
      <c r="CR769" s="27" t="s">
        <v>7</v>
      </c>
      <c r="EK769" s="27" t="s">
        <v>8</v>
      </c>
      <c r="EL769" s="27" t="s">
        <v>7</v>
      </c>
      <c r="EM769" s="27" t="s">
        <v>8</v>
      </c>
      <c r="EY769" s="27" t="s">
        <v>8</v>
      </c>
      <c r="EZ769" s="27" t="s">
        <v>7</v>
      </c>
      <c r="FF769" s="27" t="s">
        <v>7</v>
      </c>
      <c r="FG769" s="27" t="s">
        <v>8</v>
      </c>
      <c r="FR769" s="27" t="s">
        <v>7</v>
      </c>
      <c r="FS769" s="27" t="s">
        <v>8</v>
      </c>
      <c r="FT769" s="27" t="s">
        <v>7</v>
      </c>
    </row>
    <row r="770" spans="1:194" x14ac:dyDescent="0.25">
      <c r="A770" s="7">
        <v>2.6678939830802779E-2</v>
      </c>
      <c r="B770"/>
      <c r="C770"/>
      <c r="D770"/>
      <c r="E770"/>
      <c r="F770" s="27" t="s">
        <v>7</v>
      </c>
      <c r="U770" s="27" t="s">
        <v>8</v>
      </c>
      <c r="V770" s="27" t="s">
        <v>7</v>
      </c>
      <c r="W770" s="27" t="s">
        <v>8</v>
      </c>
      <c r="X770" s="27" t="s">
        <v>7</v>
      </c>
      <c r="Y770" s="27" t="s">
        <v>8</v>
      </c>
      <c r="AH770" s="27" t="s">
        <v>7</v>
      </c>
      <c r="AI770" s="27" t="s">
        <v>8</v>
      </c>
      <c r="AL770" s="27" t="s">
        <v>7</v>
      </c>
      <c r="AM770" s="27" t="s">
        <v>8</v>
      </c>
      <c r="CF770" s="27" t="s">
        <v>7</v>
      </c>
      <c r="CG770" s="27" t="s">
        <v>8</v>
      </c>
      <c r="CH770" s="27" t="s">
        <v>7</v>
      </c>
      <c r="CI770" s="27" t="s">
        <v>8</v>
      </c>
      <c r="CJ770" s="27" t="s">
        <v>7</v>
      </c>
      <c r="CK770" s="27" t="s">
        <v>8</v>
      </c>
      <c r="CL770" s="27" t="s">
        <v>7</v>
      </c>
      <c r="CM770" s="27" t="s">
        <v>8</v>
      </c>
      <c r="CN770" s="27" t="s">
        <v>7</v>
      </c>
      <c r="CO770" s="27" t="s">
        <v>8</v>
      </c>
      <c r="CQ770" s="27" t="s">
        <v>8</v>
      </c>
      <c r="CR770" s="27" t="s">
        <v>7</v>
      </c>
      <c r="EK770" s="27" t="s">
        <v>8</v>
      </c>
      <c r="EL770" s="27" t="s">
        <v>7</v>
      </c>
      <c r="EM770" s="27" t="s">
        <v>8</v>
      </c>
      <c r="EN770" s="27" t="s">
        <v>7</v>
      </c>
      <c r="EY770" s="27" t="s">
        <v>8</v>
      </c>
      <c r="FF770" s="27" t="s">
        <v>7</v>
      </c>
      <c r="FG770" s="27" t="s">
        <v>8</v>
      </c>
      <c r="FR770" s="27" t="s">
        <v>7</v>
      </c>
      <c r="FS770" s="27" t="s">
        <v>8</v>
      </c>
      <c r="FT770" s="27" t="s">
        <v>7</v>
      </c>
      <c r="FW770" s="27" t="s">
        <v>8</v>
      </c>
    </row>
    <row r="771" spans="1:194" x14ac:dyDescent="0.25">
      <c r="A771" s="7">
        <v>2.615582336353214E-2</v>
      </c>
      <c r="B771"/>
      <c r="C771"/>
      <c r="D771"/>
      <c r="E771"/>
      <c r="F771" s="27" t="s">
        <v>7</v>
      </c>
      <c r="O771" s="27" t="s">
        <v>8</v>
      </c>
      <c r="U771" s="27" t="s">
        <v>8</v>
      </c>
      <c r="V771" s="27" t="s">
        <v>7</v>
      </c>
      <c r="W771" s="27" t="s">
        <v>8</v>
      </c>
      <c r="X771" s="27" t="s">
        <v>7</v>
      </c>
      <c r="Y771" s="27" t="s">
        <v>8</v>
      </c>
      <c r="AH771" s="27" t="s">
        <v>7</v>
      </c>
      <c r="AI771" s="27" t="s">
        <v>8</v>
      </c>
      <c r="AL771" s="27" t="s">
        <v>7</v>
      </c>
      <c r="CF771" s="27" t="s">
        <v>7</v>
      </c>
      <c r="CG771" s="27" t="s">
        <v>8</v>
      </c>
      <c r="CH771" s="27" t="s">
        <v>7</v>
      </c>
      <c r="CI771" s="27" t="s">
        <v>8</v>
      </c>
      <c r="CJ771" s="27" t="s">
        <v>7</v>
      </c>
      <c r="CK771" s="27" t="s">
        <v>8</v>
      </c>
      <c r="CL771" s="27" t="s">
        <v>7</v>
      </c>
      <c r="CM771" s="27" t="s">
        <v>8</v>
      </c>
      <c r="CN771" s="27" t="s">
        <v>7</v>
      </c>
      <c r="CO771" s="27" t="s">
        <v>8</v>
      </c>
      <c r="CP771" s="27" t="s">
        <v>7</v>
      </c>
      <c r="CQ771" s="27" t="s">
        <v>8</v>
      </c>
      <c r="CR771" s="27" t="s">
        <v>7</v>
      </c>
      <c r="EE771" s="27" t="s">
        <v>8</v>
      </c>
      <c r="EK771" s="27" t="s">
        <v>8</v>
      </c>
      <c r="EL771" s="27" t="s">
        <v>7</v>
      </c>
      <c r="EM771" s="27" t="s">
        <v>8</v>
      </c>
      <c r="EN771" s="27" t="s">
        <v>7</v>
      </c>
      <c r="EY771" s="27" t="s">
        <v>8</v>
      </c>
      <c r="FF771" s="27" t="s">
        <v>7</v>
      </c>
      <c r="FG771" s="27" t="s">
        <v>8</v>
      </c>
      <c r="FR771" s="27" t="s">
        <v>7</v>
      </c>
      <c r="FS771" s="27" t="s">
        <v>8</v>
      </c>
      <c r="FT771" s="27" t="s">
        <v>7</v>
      </c>
      <c r="FW771" s="27" t="s">
        <v>8</v>
      </c>
      <c r="FX771" s="27" t="s">
        <v>7</v>
      </c>
    </row>
    <row r="772" spans="1:194" x14ac:dyDescent="0.25">
      <c r="A772" s="7">
        <v>2.5642964081894253E-2</v>
      </c>
      <c r="B772"/>
      <c r="C772"/>
      <c r="D772"/>
      <c r="E772"/>
      <c r="F772" s="27" t="s">
        <v>7</v>
      </c>
      <c r="O772" s="27" t="s">
        <v>8</v>
      </c>
      <c r="P772" s="27" t="s">
        <v>7</v>
      </c>
      <c r="U772" s="27" t="s">
        <v>8</v>
      </c>
      <c r="V772" s="27" t="s">
        <v>7</v>
      </c>
      <c r="X772" s="27" t="s">
        <v>7</v>
      </c>
      <c r="Y772" s="27" t="s">
        <v>8</v>
      </c>
      <c r="AH772" s="27" t="s">
        <v>7</v>
      </c>
      <c r="AI772" s="27" t="s">
        <v>8</v>
      </c>
      <c r="CF772" s="27" t="s">
        <v>7</v>
      </c>
      <c r="CG772" s="27" t="s">
        <v>8</v>
      </c>
      <c r="CH772" s="27" t="s">
        <v>7</v>
      </c>
      <c r="CI772" s="27" t="s">
        <v>8</v>
      </c>
      <c r="CJ772" s="27" t="s">
        <v>7</v>
      </c>
      <c r="CK772" s="27" t="s">
        <v>8</v>
      </c>
      <c r="CL772" s="27" t="s">
        <v>7</v>
      </c>
      <c r="CM772" s="27" t="s">
        <v>8</v>
      </c>
      <c r="CN772" s="27" t="s">
        <v>7</v>
      </c>
      <c r="CO772" s="27" t="s">
        <v>8</v>
      </c>
      <c r="CP772" s="27" t="s">
        <v>7</v>
      </c>
      <c r="CQ772" s="27" t="s">
        <v>8</v>
      </c>
      <c r="CR772" s="27" t="s">
        <v>7</v>
      </c>
      <c r="EE772" s="27" t="s">
        <v>8</v>
      </c>
      <c r="EF772" s="27" t="s">
        <v>7</v>
      </c>
      <c r="EK772" s="27" t="s">
        <v>8</v>
      </c>
      <c r="EL772" s="27" t="s">
        <v>7</v>
      </c>
      <c r="EM772" s="27" t="s">
        <v>8</v>
      </c>
      <c r="EN772" s="27" t="s">
        <v>7</v>
      </c>
      <c r="EY772" s="27" t="s">
        <v>8</v>
      </c>
      <c r="FF772" s="27" t="s">
        <v>7</v>
      </c>
      <c r="FG772" s="27" t="s">
        <v>8</v>
      </c>
      <c r="FR772" s="27" t="s">
        <v>7</v>
      </c>
      <c r="FT772" s="27" t="s">
        <v>7</v>
      </c>
      <c r="FW772" s="27" t="s">
        <v>8</v>
      </c>
      <c r="FX772" s="27" t="s">
        <v>7</v>
      </c>
    </row>
    <row r="773" spans="1:194" x14ac:dyDescent="0.25">
      <c r="A773" s="7">
        <v>2.5140160864602207E-2</v>
      </c>
      <c r="B773"/>
      <c r="C773"/>
      <c r="D773"/>
      <c r="E773"/>
      <c r="F773" s="27" t="s">
        <v>7</v>
      </c>
      <c r="O773" s="27" t="s">
        <v>8</v>
      </c>
      <c r="P773" s="27" t="s">
        <v>7</v>
      </c>
      <c r="U773" s="27" t="s">
        <v>8</v>
      </c>
      <c r="X773" s="27" t="s">
        <v>7</v>
      </c>
      <c r="Y773" s="27" t="s">
        <v>8</v>
      </c>
      <c r="AH773" s="27" t="s">
        <v>7</v>
      </c>
      <c r="AI773" s="27" t="s">
        <v>8</v>
      </c>
      <c r="CF773" s="27" t="s">
        <v>7</v>
      </c>
      <c r="CG773" s="27" t="s">
        <v>8</v>
      </c>
      <c r="CH773" s="27" t="s">
        <v>7</v>
      </c>
      <c r="CI773" s="27" t="s">
        <v>8</v>
      </c>
      <c r="CJ773" s="27" t="s">
        <v>7</v>
      </c>
      <c r="CK773" s="27" t="s">
        <v>8</v>
      </c>
      <c r="CL773" s="27" t="s">
        <v>7</v>
      </c>
      <c r="CM773" s="27" t="s">
        <v>8</v>
      </c>
      <c r="CN773" s="27" t="s">
        <v>7</v>
      </c>
      <c r="CO773" s="27" t="s">
        <v>8</v>
      </c>
      <c r="CP773" s="27" t="s">
        <v>7</v>
      </c>
      <c r="CQ773" s="27" t="s">
        <v>8</v>
      </c>
      <c r="CR773" s="27" t="s">
        <v>7</v>
      </c>
      <c r="CS773" s="27" t="s">
        <v>8</v>
      </c>
      <c r="EE773" s="27" t="s">
        <v>8</v>
      </c>
      <c r="EF773" s="27" t="s">
        <v>7</v>
      </c>
      <c r="EG773" s="27" t="s">
        <v>8</v>
      </c>
      <c r="EI773" s="27" t="s">
        <v>8</v>
      </c>
      <c r="EK773" s="27" t="s">
        <v>8</v>
      </c>
      <c r="EL773" s="27" t="s">
        <v>7</v>
      </c>
      <c r="EM773" s="27" t="s">
        <v>8</v>
      </c>
      <c r="EN773" s="27" t="s">
        <v>7</v>
      </c>
      <c r="EY773" s="27" t="s">
        <v>8</v>
      </c>
      <c r="FF773" s="27" t="s">
        <v>7</v>
      </c>
      <c r="FT773" s="27" t="s">
        <v>7</v>
      </c>
      <c r="FU773" s="27" t="s">
        <v>8</v>
      </c>
      <c r="FW773" s="27" t="s">
        <v>8</v>
      </c>
      <c r="FX773" s="27" t="s">
        <v>7</v>
      </c>
    </row>
    <row r="774" spans="1:194" x14ac:dyDescent="0.25">
      <c r="A774" s="7">
        <v>2.4647216533923735E-2</v>
      </c>
      <c r="B774"/>
      <c r="C774"/>
      <c r="D774"/>
      <c r="E774"/>
      <c r="F774" s="27" t="s">
        <v>7</v>
      </c>
      <c r="O774" s="27" t="s">
        <v>8</v>
      </c>
      <c r="P774" s="27" t="s">
        <v>7</v>
      </c>
      <c r="U774" s="27" t="s">
        <v>8</v>
      </c>
      <c r="X774" s="27" t="s">
        <v>7</v>
      </c>
      <c r="Y774" s="27" t="s">
        <v>8</v>
      </c>
      <c r="AH774" s="27" t="s">
        <v>7</v>
      </c>
      <c r="CF774" s="27" t="s">
        <v>7</v>
      </c>
      <c r="CG774" s="27" t="s">
        <v>8</v>
      </c>
      <c r="CH774" s="27" t="s">
        <v>7</v>
      </c>
      <c r="CI774" s="27" t="s">
        <v>8</v>
      </c>
      <c r="CJ774" s="27" t="s">
        <v>7</v>
      </c>
      <c r="CK774" s="27" t="s">
        <v>8</v>
      </c>
      <c r="CL774" s="27" t="s">
        <v>7</v>
      </c>
      <c r="CM774" s="27" t="s">
        <v>8</v>
      </c>
      <c r="CN774" s="27" t="s">
        <v>7</v>
      </c>
      <c r="CO774" s="27" t="s">
        <v>8</v>
      </c>
      <c r="CP774" s="27" t="s">
        <v>7</v>
      </c>
      <c r="CR774" s="27" t="s">
        <v>7</v>
      </c>
      <c r="CS774" s="27" t="s">
        <v>8</v>
      </c>
      <c r="CT774" s="27" t="s">
        <v>7</v>
      </c>
      <c r="EE774" s="27" t="s">
        <v>8</v>
      </c>
      <c r="EF774" s="27" t="s">
        <v>7</v>
      </c>
      <c r="EG774" s="27" t="s">
        <v>8</v>
      </c>
      <c r="EH774" s="27" t="s">
        <v>7</v>
      </c>
      <c r="EI774" s="27" t="s">
        <v>8</v>
      </c>
      <c r="EJ774" s="27" t="s">
        <v>7</v>
      </c>
      <c r="EK774" s="27" t="s">
        <v>8</v>
      </c>
      <c r="EL774" s="27" t="s">
        <v>7</v>
      </c>
      <c r="EM774" s="27" t="s">
        <v>8</v>
      </c>
      <c r="EN774" s="27" t="s">
        <v>7</v>
      </c>
      <c r="EO774" s="27" t="s">
        <v>8</v>
      </c>
      <c r="EY774" s="27" t="s">
        <v>8</v>
      </c>
      <c r="FT774" s="27" t="s">
        <v>7</v>
      </c>
      <c r="FU774" s="27" t="s">
        <v>8</v>
      </c>
      <c r="FV774" s="27" t="s">
        <v>7</v>
      </c>
      <c r="FW774" s="27" t="s">
        <v>8</v>
      </c>
      <c r="FX774" s="27" t="s">
        <v>7</v>
      </c>
    </row>
    <row r="775" spans="1:194" x14ac:dyDescent="0.25">
      <c r="A775" s="7">
        <v>2.4163937778356601E-2</v>
      </c>
      <c r="B775"/>
      <c r="C775"/>
      <c r="D775"/>
      <c r="E775"/>
      <c r="F775" s="27" t="s">
        <v>7</v>
      </c>
      <c r="O775" s="27" t="s">
        <v>8</v>
      </c>
      <c r="P775" s="27" t="s">
        <v>7</v>
      </c>
      <c r="U775" s="27" t="s">
        <v>8</v>
      </c>
      <c r="X775" s="27" t="s">
        <v>7</v>
      </c>
      <c r="Y775" s="27" t="s">
        <v>8</v>
      </c>
      <c r="CF775" s="27" t="s">
        <v>7</v>
      </c>
      <c r="CG775" s="27" t="s">
        <v>8</v>
      </c>
      <c r="CH775" s="27" t="s">
        <v>7</v>
      </c>
      <c r="CI775" s="27" t="s">
        <v>8</v>
      </c>
      <c r="CJ775" s="27" t="s">
        <v>7</v>
      </c>
      <c r="CK775" s="27" t="s">
        <v>8</v>
      </c>
      <c r="CL775" s="27" t="s">
        <v>7</v>
      </c>
      <c r="CM775" s="27" t="s">
        <v>8</v>
      </c>
      <c r="CN775" s="27" t="s">
        <v>7</v>
      </c>
      <c r="CR775" s="27" t="s">
        <v>7</v>
      </c>
      <c r="CS775" s="27" t="s">
        <v>8</v>
      </c>
      <c r="CT775" s="27" t="s">
        <v>7</v>
      </c>
      <c r="EE775" s="27" t="s">
        <v>8</v>
      </c>
      <c r="EF775" s="27" t="s">
        <v>7</v>
      </c>
      <c r="EG775" s="27" t="s">
        <v>8</v>
      </c>
      <c r="EH775" s="27" t="s">
        <v>7</v>
      </c>
      <c r="EI775" s="27" t="s">
        <v>8</v>
      </c>
      <c r="EJ775" s="27" t="s">
        <v>7</v>
      </c>
      <c r="EK775" s="27" t="s">
        <v>8</v>
      </c>
      <c r="EL775" s="27" t="s">
        <v>7</v>
      </c>
      <c r="EM775" s="27" t="s">
        <v>8</v>
      </c>
      <c r="EN775" s="27" t="s">
        <v>7</v>
      </c>
      <c r="EO775" s="27" t="s">
        <v>8</v>
      </c>
      <c r="EP775" s="27" t="s">
        <v>7</v>
      </c>
      <c r="EY775" s="27" t="s">
        <v>8</v>
      </c>
      <c r="FT775" s="27" t="s">
        <v>7</v>
      </c>
      <c r="FU775" s="27" t="s">
        <v>8</v>
      </c>
      <c r="FV775" s="27" t="s">
        <v>7</v>
      </c>
      <c r="FW775" s="27" t="s">
        <v>8</v>
      </c>
      <c r="FX775" s="27" t="s">
        <v>7</v>
      </c>
    </row>
    <row r="776" spans="1:194" x14ac:dyDescent="0.25">
      <c r="A776" s="7">
        <v>2.3690135076820197E-2</v>
      </c>
      <c r="B776"/>
      <c r="C776"/>
      <c r="D776"/>
      <c r="E776"/>
      <c r="F776" s="27" t="s">
        <v>7</v>
      </c>
      <c r="O776" s="27" t="s">
        <v>8</v>
      </c>
      <c r="P776" s="27" t="s">
        <v>7</v>
      </c>
      <c r="Q776" s="27" t="s">
        <v>8</v>
      </c>
      <c r="U776" s="27" t="s">
        <v>8</v>
      </c>
      <c r="X776" s="27" t="s">
        <v>7</v>
      </c>
      <c r="Y776" s="27" t="s">
        <v>8</v>
      </c>
      <c r="CF776" s="27" t="s">
        <v>7</v>
      </c>
      <c r="CG776" s="27" t="s">
        <v>8</v>
      </c>
      <c r="CH776" s="27" t="s">
        <v>7</v>
      </c>
      <c r="CI776" s="27" t="s">
        <v>8</v>
      </c>
      <c r="CJ776" s="27" t="s">
        <v>7</v>
      </c>
      <c r="CK776" s="27" t="s">
        <v>8</v>
      </c>
      <c r="CL776" s="27" t="s">
        <v>7</v>
      </c>
      <c r="CM776" s="27" t="s">
        <v>8</v>
      </c>
      <c r="CR776" s="27" t="s">
        <v>7</v>
      </c>
      <c r="CS776" s="27" t="s">
        <v>8</v>
      </c>
      <c r="CT776" s="27" t="s">
        <v>7</v>
      </c>
      <c r="CW776" s="27" t="s">
        <v>8</v>
      </c>
      <c r="DW776" s="27" t="s">
        <v>8</v>
      </c>
      <c r="EC776" s="27" t="s">
        <v>8</v>
      </c>
      <c r="EE776" s="27" t="s">
        <v>8</v>
      </c>
      <c r="EF776" s="27" t="s">
        <v>7</v>
      </c>
      <c r="EG776" s="27" t="s">
        <v>8</v>
      </c>
      <c r="EH776" s="27" t="s">
        <v>7</v>
      </c>
      <c r="EI776" s="27" t="s">
        <v>8</v>
      </c>
      <c r="EJ776" s="27" t="s">
        <v>7</v>
      </c>
      <c r="EK776" s="27" t="s">
        <v>8</v>
      </c>
      <c r="EL776" s="27" t="s">
        <v>7</v>
      </c>
      <c r="EM776" s="27" t="s">
        <v>8</v>
      </c>
      <c r="EN776" s="27" t="s">
        <v>7</v>
      </c>
      <c r="EO776" s="27" t="s">
        <v>8</v>
      </c>
      <c r="EP776" s="27" t="s">
        <v>7</v>
      </c>
      <c r="EY776" s="27" t="s">
        <v>8</v>
      </c>
      <c r="FT776" s="27" t="s">
        <v>7</v>
      </c>
      <c r="FU776" s="27" t="s">
        <v>8</v>
      </c>
      <c r="FV776" s="27" t="s">
        <v>7</v>
      </c>
      <c r="FW776" s="27" t="s">
        <v>8</v>
      </c>
      <c r="FX776" s="27" t="s">
        <v>7</v>
      </c>
    </row>
    <row r="777" spans="1:194" x14ac:dyDescent="0.25">
      <c r="A777" s="7">
        <v>2.3225622624333527E-2</v>
      </c>
      <c r="B777"/>
      <c r="C777"/>
      <c r="D777"/>
      <c r="E777"/>
      <c r="F777" s="27" t="s">
        <v>7</v>
      </c>
      <c r="O777" s="27" t="s">
        <v>8</v>
      </c>
      <c r="P777" s="27" t="s">
        <v>7</v>
      </c>
      <c r="Q777" s="27" t="s">
        <v>8</v>
      </c>
      <c r="R777" s="27" t="s">
        <v>7</v>
      </c>
      <c r="U777" s="27" t="s">
        <v>8</v>
      </c>
      <c r="X777" s="27" t="s">
        <v>7</v>
      </c>
      <c r="CF777" s="27" t="s">
        <v>7</v>
      </c>
      <c r="CG777" s="27" t="s">
        <v>8</v>
      </c>
      <c r="CH777" s="27" t="s">
        <v>7</v>
      </c>
      <c r="CI777" s="27" t="s">
        <v>8</v>
      </c>
      <c r="CJ777" s="27" t="s">
        <v>7</v>
      </c>
      <c r="CK777" s="27" t="s">
        <v>8</v>
      </c>
      <c r="CL777" s="27" t="s">
        <v>7</v>
      </c>
      <c r="CR777" s="27" t="s">
        <v>7</v>
      </c>
      <c r="CT777" s="27" t="s">
        <v>7</v>
      </c>
      <c r="CU777" s="27" t="s">
        <v>8</v>
      </c>
      <c r="CW777" s="27" t="s">
        <v>8</v>
      </c>
      <c r="CX777" s="27" t="s">
        <v>7</v>
      </c>
      <c r="DW777" s="27" t="s">
        <v>8</v>
      </c>
      <c r="DX777" s="27" t="s">
        <v>7</v>
      </c>
      <c r="EA777" s="27" t="s">
        <v>8</v>
      </c>
      <c r="EC777" s="27" t="s">
        <v>8</v>
      </c>
      <c r="ED777" s="27" t="s">
        <v>7</v>
      </c>
      <c r="EE777" s="27" t="s">
        <v>8</v>
      </c>
      <c r="EF777" s="27" t="s">
        <v>7</v>
      </c>
      <c r="EG777" s="27" t="s">
        <v>8</v>
      </c>
      <c r="EH777" s="27" t="s">
        <v>7</v>
      </c>
      <c r="EI777" s="27" t="s">
        <v>8</v>
      </c>
      <c r="EJ777" s="27" t="s">
        <v>7</v>
      </c>
      <c r="EK777" s="27" t="s">
        <v>8</v>
      </c>
      <c r="EL777" s="27" t="s">
        <v>7</v>
      </c>
      <c r="EM777" s="27" t="s">
        <v>8</v>
      </c>
      <c r="EN777" s="27" t="s">
        <v>7</v>
      </c>
      <c r="EO777" s="27" t="s">
        <v>8</v>
      </c>
      <c r="EP777" s="27" t="s">
        <v>7</v>
      </c>
      <c r="EY777" s="27" t="s">
        <v>8</v>
      </c>
      <c r="FT777" s="27" t="s">
        <v>7</v>
      </c>
      <c r="FU777" s="27" t="s">
        <v>8</v>
      </c>
      <c r="FV777" s="27" t="s">
        <v>7</v>
      </c>
      <c r="FW777" s="27" t="s">
        <v>8</v>
      </c>
      <c r="FX777" s="27" t="s">
        <v>7</v>
      </c>
    </row>
    <row r="778" spans="1:194" x14ac:dyDescent="0.25">
      <c r="A778" s="7">
        <v>2.2770218259150519E-2</v>
      </c>
      <c r="B778"/>
      <c r="C778"/>
      <c r="D778"/>
      <c r="E778"/>
      <c r="F778" s="27" t="s">
        <v>7</v>
      </c>
      <c r="O778" s="27" t="s">
        <v>8</v>
      </c>
      <c r="P778" s="27" t="s">
        <v>7</v>
      </c>
      <c r="Q778" s="27" t="s">
        <v>8</v>
      </c>
      <c r="R778" s="27" t="s">
        <v>7</v>
      </c>
      <c r="U778" s="27" t="s">
        <v>8</v>
      </c>
      <c r="CF778" s="27" t="s">
        <v>7</v>
      </c>
      <c r="CG778" s="27" t="s">
        <v>8</v>
      </c>
      <c r="CH778" s="27" t="s">
        <v>7</v>
      </c>
      <c r="CJ778" s="27" t="s">
        <v>7</v>
      </c>
      <c r="CK778" s="27" t="s">
        <v>8</v>
      </c>
      <c r="CT778" s="27" t="s">
        <v>7</v>
      </c>
      <c r="CU778" s="27" t="s">
        <v>8</v>
      </c>
      <c r="CV778" s="27" t="s">
        <v>7</v>
      </c>
      <c r="CW778" s="27" t="s">
        <v>8</v>
      </c>
      <c r="CX778" s="27" t="s">
        <v>7</v>
      </c>
      <c r="DW778" s="27" t="s">
        <v>8</v>
      </c>
      <c r="DX778" s="27" t="s">
        <v>7</v>
      </c>
      <c r="DY778" s="27" t="s">
        <v>8</v>
      </c>
      <c r="EA778" s="27" t="s">
        <v>8</v>
      </c>
      <c r="EB778" s="27" t="s">
        <v>7</v>
      </c>
      <c r="EC778" s="27" t="s">
        <v>8</v>
      </c>
      <c r="ED778" s="27" t="s">
        <v>7</v>
      </c>
      <c r="EE778" s="27" t="s">
        <v>8</v>
      </c>
      <c r="EF778" s="27" t="s">
        <v>7</v>
      </c>
      <c r="EG778" s="27" t="s">
        <v>8</v>
      </c>
      <c r="EH778" s="27" t="s">
        <v>7</v>
      </c>
      <c r="EI778" s="27" t="s">
        <v>8</v>
      </c>
      <c r="EJ778" s="27" t="s">
        <v>7</v>
      </c>
      <c r="EL778" s="27" t="s">
        <v>7</v>
      </c>
      <c r="EM778" s="27" t="s">
        <v>8</v>
      </c>
      <c r="EN778" s="27" t="s">
        <v>7</v>
      </c>
      <c r="EO778" s="27" t="s">
        <v>8</v>
      </c>
      <c r="EP778" s="27" t="s">
        <v>7</v>
      </c>
      <c r="EY778" s="27" t="s">
        <v>8</v>
      </c>
      <c r="FT778" s="27" t="s">
        <v>7</v>
      </c>
      <c r="FU778" s="27" t="s">
        <v>8</v>
      </c>
      <c r="FV778" s="27" t="s">
        <v>7</v>
      </c>
      <c r="FX778" s="27" t="s">
        <v>7</v>
      </c>
    </row>
    <row r="779" spans="1:194" x14ac:dyDescent="0.25">
      <c r="A779" s="7">
        <v>2.2323743391324039E-2</v>
      </c>
      <c r="B779"/>
      <c r="C779"/>
      <c r="D779"/>
      <c r="E779"/>
      <c r="F779" s="27" t="s">
        <v>7</v>
      </c>
      <c r="O779" s="27" t="s">
        <v>8</v>
      </c>
      <c r="P779" s="27" t="s">
        <v>7</v>
      </c>
      <c r="Q779" s="27" t="s">
        <v>8</v>
      </c>
      <c r="R779" s="27" t="s">
        <v>7</v>
      </c>
      <c r="U779" s="27" t="s">
        <v>8</v>
      </c>
      <c r="CF779" s="27" t="s">
        <v>7</v>
      </c>
      <c r="CG779" s="27" t="s">
        <v>8</v>
      </c>
      <c r="CJ779" s="27" t="s">
        <v>7</v>
      </c>
      <c r="CK779" s="27" t="s">
        <v>8</v>
      </c>
      <c r="CT779" s="27" t="s">
        <v>7</v>
      </c>
      <c r="CU779" s="27" t="s">
        <v>8</v>
      </c>
      <c r="CV779" s="27" t="s">
        <v>7</v>
      </c>
      <c r="CW779" s="27" t="s">
        <v>8</v>
      </c>
      <c r="CX779" s="27" t="s">
        <v>7</v>
      </c>
      <c r="DW779" s="27" t="s">
        <v>8</v>
      </c>
      <c r="DX779" s="27" t="s">
        <v>7</v>
      </c>
      <c r="DY779" s="27" t="s">
        <v>8</v>
      </c>
      <c r="DZ779" s="27" t="s">
        <v>7</v>
      </c>
      <c r="EA779" s="27" t="s">
        <v>8</v>
      </c>
      <c r="EB779" s="27" t="s">
        <v>7</v>
      </c>
      <c r="EC779" s="27" t="s">
        <v>8</v>
      </c>
      <c r="ED779" s="27" t="s">
        <v>7</v>
      </c>
      <c r="EF779" s="27" t="s">
        <v>7</v>
      </c>
      <c r="EG779" s="27" t="s">
        <v>8</v>
      </c>
      <c r="EH779" s="27" t="s">
        <v>7</v>
      </c>
      <c r="EI779" s="27" t="s">
        <v>8</v>
      </c>
      <c r="EL779" s="27" t="s">
        <v>7</v>
      </c>
      <c r="EM779" s="27" t="s">
        <v>8</v>
      </c>
      <c r="EN779" s="27" t="s">
        <v>7</v>
      </c>
      <c r="EP779" s="27" t="s">
        <v>7</v>
      </c>
      <c r="EW779" s="27" t="s">
        <v>8</v>
      </c>
      <c r="EY779" s="27" t="s">
        <v>8</v>
      </c>
      <c r="FT779" s="27" t="s">
        <v>7</v>
      </c>
      <c r="FX779" s="27" t="s">
        <v>7</v>
      </c>
    </row>
    <row r="780" spans="1:194" x14ac:dyDescent="0.25">
      <c r="A780" s="7">
        <v>2.188602293267063E-2</v>
      </c>
      <c r="B780"/>
      <c r="C780"/>
      <c r="D780"/>
      <c r="E780"/>
      <c r="F780" s="27" t="s">
        <v>7</v>
      </c>
      <c r="O780" s="27" t="s">
        <v>8</v>
      </c>
      <c r="P780" s="27" t="s">
        <v>7</v>
      </c>
      <c r="Q780" s="27" t="s">
        <v>8</v>
      </c>
      <c r="R780" s="27" t="s">
        <v>7</v>
      </c>
      <c r="U780" s="27" t="s">
        <v>8</v>
      </c>
      <c r="CF780" s="27" t="s">
        <v>7</v>
      </c>
      <c r="CG780" s="27" t="s">
        <v>8</v>
      </c>
      <c r="CJ780" s="27" t="s">
        <v>7</v>
      </c>
      <c r="CK780" s="27" t="s">
        <v>8</v>
      </c>
      <c r="CT780" s="27" t="s">
        <v>7</v>
      </c>
      <c r="CU780" s="27" t="s">
        <v>8</v>
      </c>
      <c r="CV780" s="27" t="s">
        <v>7</v>
      </c>
      <c r="CW780" s="27" t="s">
        <v>8</v>
      </c>
      <c r="CX780" s="27" t="s">
        <v>7</v>
      </c>
      <c r="DW780" s="27" t="s">
        <v>8</v>
      </c>
      <c r="DX780" s="27" t="s">
        <v>7</v>
      </c>
      <c r="DY780" s="27" t="s">
        <v>8</v>
      </c>
      <c r="DZ780" s="27" t="s">
        <v>7</v>
      </c>
      <c r="EA780" s="27" t="s">
        <v>8</v>
      </c>
      <c r="EB780" s="27" t="s">
        <v>7</v>
      </c>
      <c r="EC780" s="27" t="s">
        <v>8</v>
      </c>
      <c r="EF780" s="27" t="s">
        <v>7</v>
      </c>
      <c r="EH780" s="27" t="s">
        <v>7</v>
      </c>
      <c r="EL780" s="27" t="s">
        <v>7</v>
      </c>
      <c r="EM780" s="27" t="s">
        <v>8</v>
      </c>
      <c r="EP780" s="27" t="s">
        <v>7</v>
      </c>
      <c r="EW780" s="27" t="s">
        <v>8</v>
      </c>
      <c r="EX780" s="27" t="s">
        <v>7</v>
      </c>
      <c r="EY780" s="27" t="s">
        <v>8</v>
      </c>
      <c r="FX780" s="27" t="s">
        <v>7</v>
      </c>
      <c r="GI780" s="27" t="s">
        <v>8</v>
      </c>
    </row>
    <row r="781" spans="1:194" x14ac:dyDescent="0.25">
      <c r="A781" s="7">
        <v>2.1456885228108461E-2</v>
      </c>
      <c r="B781"/>
      <c r="C781"/>
      <c r="D781"/>
      <c r="E781"/>
      <c r="F781" s="27" t="s">
        <v>7</v>
      </c>
      <c r="O781" s="27" t="s">
        <v>8</v>
      </c>
      <c r="P781" s="27" t="s">
        <v>7</v>
      </c>
      <c r="Q781" s="27" t="s">
        <v>8</v>
      </c>
      <c r="R781" s="27" t="s">
        <v>7</v>
      </c>
      <c r="U781" s="27" t="s">
        <v>8</v>
      </c>
      <c r="CF781" s="27" t="s">
        <v>7</v>
      </c>
      <c r="CG781" s="27" t="s">
        <v>8</v>
      </c>
      <c r="CJ781" s="27" t="s">
        <v>7</v>
      </c>
      <c r="CK781" s="27" t="s">
        <v>8</v>
      </c>
      <c r="CT781" s="27" t="s">
        <v>7</v>
      </c>
      <c r="CU781" s="27" t="s">
        <v>8</v>
      </c>
      <c r="CV781" s="27" t="s">
        <v>7</v>
      </c>
      <c r="CW781" s="27" t="s">
        <v>8</v>
      </c>
      <c r="CX781" s="27" t="s">
        <v>7</v>
      </c>
      <c r="DU781" s="27" t="s">
        <v>8</v>
      </c>
      <c r="DW781" s="27" t="s">
        <v>8</v>
      </c>
      <c r="DX781" s="27" t="s">
        <v>7</v>
      </c>
      <c r="DY781" s="27" t="s">
        <v>8</v>
      </c>
      <c r="DZ781" s="27" t="s">
        <v>7</v>
      </c>
      <c r="EB781" s="27" t="s">
        <v>7</v>
      </c>
      <c r="EC781" s="27" t="s">
        <v>8</v>
      </c>
      <c r="EL781" s="27" t="s">
        <v>7</v>
      </c>
      <c r="EM781" s="27" t="s">
        <v>8</v>
      </c>
      <c r="EP781" s="27" t="s">
        <v>7</v>
      </c>
      <c r="EW781" s="27" t="s">
        <v>8</v>
      </c>
      <c r="EX781" s="27" t="s">
        <v>7</v>
      </c>
      <c r="EY781" s="27" t="s">
        <v>8</v>
      </c>
      <c r="FX781" s="27" t="s">
        <v>7</v>
      </c>
      <c r="FY781" s="27" t="s">
        <v>8</v>
      </c>
      <c r="GG781" s="27" t="s">
        <v>8</v>
      </c>
      <c r="GI781" s="27" t="s">
        <v>8</v>
      </c>
      <c r="GJ781" s="27" t="s">
        <v>7</v>
      </c>
      <c r="GK781" s="27" t="s">
        <v>8</v>
      </c>
    </row>
    <row r="782" spans="1:194" x14ac:dyDescent="0.25">
      <c r="A782" s="7">
        <v>2.1036161988341632E-2</v>
      </c>
      <c r="B782"/>
      <c r="C782"/>
      <c r="D782"/>
      <c r="E782"/>
      <c r="F782" s="27" t="s">
        <v>7</v>
      </c>
      <c r="O782" s="27" t="s">
        <v>8</v>
      </c>
      <c r="P782" s="27" t="s">
        <v>7</v>
      </c>
      <c r="Q782" s="27" t="s">
        <v>8</v>
      </c>
      <c r="R782" s="27" t="s">
        <v>7</v>
      </c>
      <c r="U782" s="27" t="s">
        <v>8</v>
      </c>
      <c r="CF782" s="27" t="s">
        <v>7</v>
      </c>
      <c r="CG782" s="27" t="s">
        <v>8</v>
      </c>
      <c r="CJ782" s="27" t="s">
        <v>7</v>
      </c>
      <c r="CK782" s="27" t="s">
        <v>8</v>
      </c>
      <c r="CT782" s="27" t="s">
        <v>7</v>
      </c>
      <c r="CU782" s="27" t="s">
        <v>8</v>
      </c>
      <c r="CV782" s="27" t="s">
        <v>7</v>
      </c>
      <c r="CW782" s="27" t="s">
        <v>8</v>
      </c>
      <c r="CX782" s="27" t="s">
        <v>7</v>
      </c>
      <c r="DU782" s="27" t="s">
        <v>8</v>
      </c>
      <c r="DV782" s="27" t="s">
        <v>7</v>
      </c>
      <c r="DW782" s="27" t="s">
        <v>8</v>
      </c>
      <c r="DX782" s="27" t="s">
        <v>7</v>
      </c>
      <c r="DY782" s="27" t="s">
        <v>8</v>
      </c>
      <c r="EB782" s="27" t="s">
        <v>7</v>
      </c>
      <c r="EC782" s="27" t="s">
        <v>8</v>
      </c>
      <c r="EL782" s="27" t="s">
        <v>7</v>
      </c>
      <c r="EM782" s="27" t="s">
        <v>8</v>
      </c>
      <c r="EP782" s="27" t="s">
        <v>7</v>
      </c>
      <c r="EW782" s="27" t="s">
        <v>8</v>
      </c>
      <c r="EX782" s="27" t="s">
        <v>7</v>
      </c>
      <c r="EY782" s="27" t="s">
        <v>8</v>
      </c>
      <c r="FX782" s="27" t="s">
        <v>7</v>
      </c>
      <c r="FY782" s="27" t="s">
        <v>8</v>
      </c>
      <c r="FZ782" s="27" t="s">
        <v>7</v>
      </c>
      <c r="GA782" s="27" t="s">
        <v>8</v>
      </c>
      <c r="GG782" s="27" t="s">
        <v>8</v>
      </c>
      <c r="GH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</row>
    <row r="783" spans="1:194" x14ac:dyDescent="0.25">
      <c r="A783" s="7">
        <v>2.0623688223864345E-2</v>
      </c>
      <c r="B783"/>
      <c r="C783"/>
      <c r="D783"/>
      <c r="E783"/>
      <c r="F783" s="27" t="s">
        <v>7</v>
      </c>
      <c r="M783" s="27" t="s">
        <v>8</v>
      </c>
      <c r="O783" s="27" t="s">
        <v>8</v>
      </c>
      <c r="P783" s="27" t="s">
        <v>7</v>
      </c>
      <c r="Q783" s="27" t="s">
        <v>8</v>
      </c>
      <c r="R783" s="27" t="s">
        <v>7</v>
      </c>
      <c r="S783" s="27" t="s">
        <v>8</v>
      </c>
      <c r="U783" s="27" t="s">
        <v>8</v>
      </c>
      <c r="CF783" s="27" t="s">
        <v>7</v>
      </c>
      <c r="CG783" s="27" t="s">
        <v>8</v>
      </c>
      <c r="CJ783" s="27" t="s">
        <v>7</v>
      </c>
      <c r="CK783" s="27" t="s">
        <v>8</v>
      </c>
      <c r="CT783" s="27" t="s">
        <v>7</v>
      </c>
      <c r="CU783" s="27" t="s">
        <v>8</v>
      </c>
      <c r="CV783" s="27" t="s">
        <v>7</v>
      </c>
      <c r="CW783" s="27" t="s">
        <v>8</v>
      </c>
      <c r="CX783" s="27" t="s">
        <v>7</v>
      </c>
      <c r="DU783" s="27" t="s">
        <v>8</v>
      </c>
      <c r="DV783" s="27" t="s">
        <v>7</v>
      </c>
      <c r="DW783" s="27" t="s">
        <v>8</v>
      </c>
      <c r="DX783" s="27" t="s">
        <v>7</v>
      </c>
      <c r="DY783" s="27" t="s">
        <v>8</v>
      </c>
      <c r="EB783" s="27" t="s">
        <v>7</v>
      </c>
      <c r="EC783" s="27" t="s">
        <v>8</v>
      </c>
      <c r="EL783" s="27" t="s">
        <v>7</v>
      </c>
      <c r="EM783" s="27" t="s">
        <v>8</v>
      </c>
      <c r="EP783" s="27" t="s">
        <v>7</v>
      </c>
      <c r="EQ783" s="27" t="s">
        <v>8</v>
      </c>
      <c r="EW783" s="27" t="s">
        <v>8</v>
      </c>
      <c r="EX783" s="27" t="s">
        <v>7</v>
      </c>
      <c r="EY783" s="27" t="s">
        <v>8</v>
      </c>
      <c r="FX783" s="27" t="s">
        <v>7</v>
      </c>
      <c r="FY783" s="27" t="s">
        <v>8</v>
      </c>
      <c r="FZ783" s="27" t="s">
        <v>7</v>
      </c>
      <c r="GA783" s="27" t="s">
        <v>8</v>
      </c>
      <c r="GB783" s="27" t="s">
        <v>7</v>
      </c>
      <c r="GG783" s="27" t="s">
        <v>8</v>
      </c>
      <c r="GH783" s="27" t="s">
        <v>7</v>
      </c>
      <c r="GI783" s="27" t="s">
        <v>8</v>
      </c>
      <c r="GJ783" s="27" t="s">
        <v>7</v>
      </c>
      <c r="GK783" s="27" t="s">
        <v>8</v>
      </c>
      <c r="GL783" s="27" t="s">
        <v>7</v>
      </c>
    </row>
    <row r="784" spans="1:194" x14ac:dyDescent="0.25">
      <c r="A784" s="7">
        <v>2.021930218025916E-2</v>
      </c>
      <c r="B784"/>
      <c r="C784"/>
      <c r="D784"/>
      <c r="E784"/>
      <c r="F784" s="27" t="s">
        <v>7</v>
      </c>
      <c r="M784" s="27" t="s">
        <v>8</v>
      </c>
      <c r="N784" s="27" t="s">
        <v>7</v>
      </c>
      <c r="O784" s="27" t="s">
        <v>8</v>
      </c>
      <c r="P784" s="27" t="s">
        <v>7</v>
      </c>
      <c r="Q784" s="27" t="s">
        <v>8</v>
      </c>
      <c r="R784" s="27" t="s">
        <v>7</v>
      </c>
      <c r="S784" s="27" t="s">
        <v>8</v>
      </c>
      <c r="T784" s="27" t="s">
        <v>7</v>
      </c>
      <c r="U784" s="27" t="s">
        <v>8</v>
      </c>
      <c r="CF784" s="27" t="s">
        <v>7</v>
      </c>
      <c r="CG784" s="27" t="s">
        <v>8</v>
      </c>
      <c r="CJ784" s="27" t="s">
        <v>7</v>
      </c>
      <c r="CK784" s="27" t="s">
        <v>8</v>
      </c>
      <c r="CT784" s="27" t="s">
        <v>7</v>
      </c>
      <c r="CU784" s="27" t="s">
        <v>8</v>
      </c>
      <c r="CV784" s="27" t="s">
        <v>7</v>
      </c>
      <c r="CW784" s="27" t="s">
        <v>8</v>
      </c>
      <c r="CX784" s="27" t="s">
        <v>7</v>
      </c>
      <c r="DU784" s="27" t="s">
        <v>8</v>
      </c>
      <c r="DV784" s="27" t="s">
        <v>7</v>
      </c>
      <c r="DW784" s="27" t="s">
        <v>8</v>
      </c>
      <c r="DX784" s="27" t="s">
        <v>7</v>
      </c>
      <c r="EB784" s="27" t="s">
        <v>7</v>
      </c>
      <c r="EC784" s="27" t="s">
        <v>8</v>
      </c>
      <c r="EL784" s="27" t="s">
        <v>7</v>
      </c>
      <c r="EM784" s="27" t="s">
        <v>8</v>
      </c>
      <c r="EP784" s="27" t="s">
        <v>7</v>
      </c>
      <c r="EQ784" s="27" t="s">
        <v>8</v>
      </c>
      <c r="ER784" s="27" t="s">
        <v>7</v>
      </c>
      <c r="EW784" s="27" t="s">
        <v>8</v>
      </c>
      <c r="EX784" s="27" t="s">
        <v>7</v>
      </c>
      <c r="EY784" s="27" t="s">
        <v>8</v>
      </c>
      <c r="FX784" s="27" t="s">
        <v>7</v>
      </c>
      <c r="FY784" s="27" t="s">
        <v>8</v>
      </c>
      <c r="FZ784" s="27" t="s">
        <v>7</v>
      </c>
      <c r="GA784" s="27" t="s">
        <v>8</v>
      </c>
      <c r="GB784" s="27" t="s">
        <v>7</v>
      </c>
      <c r="GG784" s="27" t="s">
        <v>8</v>
      </c>
      <c r="GH784" s="27" t="s">
        <v>7</v>
      </c>
      <c r="GI784" s="27" t="s">
        <v>8</v>
      </c>
      <c r="GJ784" s="27" t="s">
        <v>7</v>
      </c>
      <c r="GL784" s="27" t="s">
        <v>7</v>
      </c>
    </row>
    <row r="785" spans="1:201" x14ac:dyDescent="0.25">
      <c r="A785" s="7">
        <v>1.9822845274763884E-2</v>
      </c>
      <c r="B785"/>
      <c r="C785"/>
      <c r="D785"/>
      <c r="E785"/>
      <c r="F785" s="27" t="s">
        <v>7</v>
      </c>
      <c r="M785" s="27" t="s">
        <v>8</v>
      </c>
      <c r="N785" s="27" t="s">
        <v>7</v>
      </c>
      <c r="O785" s="27" t="s">
        <v>8</v>
      </c>
      <c r="P785" s="27" t="s">
        <v>7</v>
      </c>
      <c r="R785" s="27" t="s">
        <v>7</v>
      </c>
      <c r="S785" s="27" t="s">
        <v>8</v>
      </c>
      <c r="T785" s="27" t="s">
        <v>7</v>
      </c>
      <c r="U785" s="27" t="s">
        <v>8</v>
      </c>
      <c r="CF785" s="27" t="s">
        <v>7</v>
      </c>
      <c r="CG785" s="27" t="s">
        <v>8</v>
      </c>
      <c r="CJ785" s="27" t="s">
        <v>7</v>
      </c>
      <c r="CK785" s="27" t="s">
        <v>8</v>
      </c>
      <c r="CT785" s="27" t="s">
        <v>7</v>
      </c>
      <c r="CU785" s="27" t="s">
        <v>8</v>
      </c>
      <c r="CV785" s="27" t="s">
        <v>7</v>
      </c>
      <c r="CW785" s="27" t="s">
        <v>8</v>
      </c>
      <c r="CX785" s="27" t="s">
        <v>7</v>
      </c>
      <c r="DU785" s="27" t="s">
        <v>8</v>
      </c>
      <c r="DV785" s="27" t="s">
        <v>7</v>
      </c>
      <c r="EB785" s="27" t="s">
        <v>7</v>
      </c>
      <c r="EC785" s="27" t="s">
        <v>8</v>
      </c>
      <c r="EL785" s="27" t="s">
        <v>7</v>
      </c>
      <c r="EM785" s="27" t="s">
        <v>8</v>
      </c>
      <c r="EP785" s="27" t="s">
        <v>7</v>
      </c>
      <c r="EQ785" s="27" t="s">
        <v>8</v>
      </c>
      <c r="ER785" s="27" t="s">
        <v>7</v>
      </c>
      <c r="EW785" s="27" t="s">
        <v>8</v>
      </c>
      <c r="EX785" s="27" t="s">
        <v>7</v>
      </c>
      <c r="EY785" s="27" t="s">
        <v>8</v>
      </c>
      <c r="FX785" s="27" t="s">
        <v>7</v>
      </c>
      <c r="FY785" s="27" t="s">
        <v>8</v>
      </c>
      <c r="FZ785" s="27" t="s">
        <v>7</v>
      </c>
      <c r="GA785" s="27" t="s">
        <v>8</v>
      </c>
      <c r="GB785" s="27" t="s">
        <v>7</v>
      </c>
      <c r="GG785" s="27" t="s">
        <v>8</v>
      </c>
      <c r="GH785" s="27" t="s">
        <v>7</v>
      </c>
      <c r="GI785" s="27" t="s">
        <v>8</v>
      </c>
      <c r="GL785" s="27" t="s">
        <v>7</v>
      </c>
    </row>
    <row r="786" spans="1:201" x14ac:dyDescent="0.25">
      <c r="A786" s="7">
        <v>1.9434162034082238E-2</v>
      </c>
      <c r="B786"/>
      <c r="C786"/>
      <c r="D786"/>
      <c r="E786"/>
      <c r="F786" s="27" t="s">
        <v>7</v>
      </c>
      <c r="M786" s="27" t="s">
        <v>8</v>
      </c>
      <c r="N786" s="27" t="s">
        <v>7</v>
      </c>
      <c r="O786" s="27" t="s">
        <v>8</v>
      </c>
      <c r="R786" s="27" t="s">
        <v>7</v>
      </c>
      <c r="S786" s="27" t="s">
        <v>8</v>
      </c>
      <c r="T786" s="27" t="s">
        <v>7</v>
      </c>
      <c r="U786" s="27" t="s">
        <v>8</v>
      </c>
      <c r="CF786" s="27" t="s">
        <v>7</v>
      </c>
      <c r="CG786" s="27" t="s">
        <v>8</v>
      </c>
      <c r="CJ786" s="27" t="s">
        <v>7</v>
      </c>
      <c r="CK786" s="27" t="s">
        <v>8</v>
      </c>
      <c r="CT786" s="27" t="s">
        <v>7</v>
      </c>
      <c r="CV786" s="27" t="s">
        <v>7</v>
      </c>
      <c r="CX786" s="27" t="s">
        <v>7</v>
      </c>
      <c r="DU786" s="27" t="s">
        <v>8</v>
      </c>
      <c r="EB786" s="27" t="s">
        <v>7</v>
      </c>
      <c r="EC786" s="27" t="s">
        <v>8</v>
      </c>
      <c r="EL786" s="27" t="s">
        <v>7</v>
      </c>
      <c r="EM786" s="27" t="s">
        <v>8</v>
      </c>
      <c r="EP786" s="27" t="s">
        <v>7</v>
      </c>
      <c r="EQ786" s="27" t="s">
        <v>8</v>
      </c>
      <c r="ER786" s="27" t="s">
        <v>7</v>
      </c>
      <c r="EW786" s="27" t="s">
        <v>8</v>
      </c>
      <c r="EX786" s="27" t="s">
        <v>7</v>
      </c>
      <c r="EY786" s="27" t="s">
        <v>8</v>
      </c>
      <c r="FX786" s="27" t="s">
        <v>7</v>
      </c>
      <c r="FY786" s="27" t="s">
        <v>8</v>
      </c>
      <c r="FZ786" s="27" t="s">
        <v>7</v>
      </c>
      <c r="GA786" s="27" t="s">
        <v>8</v>
      </c>
      <c r="GB786" s="27" t="s">
        <v>7</v>
      </c>
      <c r="GC786" s="27" t="s">
        <v>8</v>
      </c>
      <c r="GG786" s="27" t="s">
        <v>8</v>
      </c>
      <c r="GH786" s="27" t="s">
        <v>7</v>
      </c>
      <c r="GI786" s="27" t="s">
        <v>8</v>
      </c>
      <c r="GL786" s="27" t="s">
        <v>7</v>
      </c>
      <c r="GM786" s="27" t="s">
        <v>8</v>
      </c>
    </row>
    <row r="787" spans="1:201" x14ac:dyDescent="0.25">
      <c r="A787" s="7">
        <v>1.9053100033413959E-2</v>
      </c>
      <c r="B787"/>
      <c r="C787"/>
      <c r="D787"/>
      <c r="E787"/>
      <c r="F787" s="27" t="s">
        <v>7</v>
      </c>
      <c r="M787" s="27" t="s">
        <v>8</v>
      </c>
      <c r="N787" s="27" t="s">
        <v>7</v>
      </c>
      <c r="O787" s="27" t="s">
        <v>8</v>
      </c>
      <c r="R787" s="27" t="s">
        <v>7</v>
      </c>
      <c r="S787" s="27" t="s">
        <v>8</v>
      </c>
      <c r="T787" s="27" t="s">
        <v>7</v>
      </c>
      <c r="U787" s="27" t="s">
        <v>8</v>
      </c>
      <c r="CF787" s="27" t="s">
        <v>7</v>
      </c>
      <c r="CG787" s="27" t="s">
        <v>8</v>
      </c>
      <c r="CJ787" s="27" t="s">
        <v>7</v>
      </c>
      <c r="CK787" s="27" t="s">
        <v>8</v>
      </c>
      <c r="CX787" s="27" t="s">
        <v>7</v>
      </c>
      <c r="DU787" s="27" t="s">
        <v>8</v>
      </c>
      <c r="EB787" s="27" t="s">
        <v>7</v>
      </c>
      <c r="EL787" s="27" t="s">
        <v>7</v>
      </c>
      <c r="EP787" s="27" t="s">
        <v>7</v>
      </c>
      <c r="EQ787" s="27" t="s">
        <v>8</v>
      </c>
      <c r="ER787" s="27" t="s">
        <v>7</v>
      </c>
      <c r="EU787" s="27" t="s">
        <v>8</v>
      </c>
      <c r="EW787" s="27" t="s">
        <v>8</v>
      </c>
      <c r="EX787" s="27" t="s">
        <v>7</v>
      </c>
      <c r="EY787" s="27" t="s">
        <v>8</v>
      </c>
      <c r="FX787" s="27" t="s">
        <v>7</v>
      </c>
      <c r="FY787" s="27" t="s">
        <v>8</v>
      </c>
      <c r="FZ787" s="27" t="s">
        <v>7</v>
      </c>
      <c r="GA787" s="27" t="s">
        <v>8</v>
      </c>
      <c r="GB787" s="27" t="s">
        <v>7</v>
      </c>
      <c r="GC787" s="27" t="s">
        <v>8</v>
      </c>
      <c r="GD787" s="27" t="s">
        <v>7</v>
      </c>
      <c r="GG787" s="27" t="s">
        <v>8</v>
      </c>
      <c r="GH787" s="27" t="s">
        <v>7</v>
      </c>
      <c r="GI787" s="27" t="s">
        <v>8</v>
      </c>
      <c r="GL787" s="27" t="s">
        <v>7</v>
      </c>
      <c r="GM787" s="27" t="s">
        <v>8</v>
      </c>
      <c r="GN787" s="27" t="s">
        <v>7</v>
      </c>
    </row>
    <row r="788" spans="1:201" x14ac:dyDescent="0.25">
      <c r="A788" s="7">
        <v>1.867950983668035E-2</v>
      </c>
      <c r="B788"/>
      <c r="C788"/>
      <c r="D788"/>
      <c r="E788"/>
      <c r="F788" s="27" t="s">
        <v>7</v>
      </c>
      <c r="M788" s="27" t="s">
        <v>8</v>
      </c>
      <c r="N788" s="27" t="s">
        <v>7</v>
      </c>
      <c r="O788" s="27" t="s">
        <v>8</v>
      </c>
      <c r="R788" s="27" t="s">
        <v>7</v>
      </c>
      <c r="S788" s="27" t="s">
        <v>8</v>
      </c>
      <c r="T788" s="27" t="s">
        <v>7</v>
      </c>
      <c r="U788" s="27" t="s">
        <v>8</v>
      </c>
      <c r="CF788" s="27" t="s">
        <v>7</v>
      </c>
      <c r="CG788" s="27" t="s">
        <v>8</v>
      </c>
      <c r="CJ788" s="27" t="s">
        <v>7</v>
      </c>
      <c r="CK788" s="27" t="s">
        <v>8</v>
      </c>
      <c r="CX788" s="27" t="s">
        <v>7</v>
      </c>
      <c r="DU788" s="27" t="s">
        <v>8</v>
      </c>
      <c r="EP788" s="27" t="s">
        <v>7</v>
      </c>
      <c r="EQ788" s="27" t="s">
        <v>8</v>
      </c>
      <c r="ER788" s="27" t="s">
        <v>7</v>
      </c>
      <c r="ES788" s="27" t="s">
        <v>8</v>
      </c>
      <c r="EU788" s="27" t="s">
        <v>8</v>
      </c>
      <c r="EV788" s="27" t="s">
        <v>7</v>
      </c>
      <c r="EW788" s="27" t="s">
        <v>8</v>
      </c>
      <c r="EX788" s="27" t="s">
        <v>7</v>
      </c>
      <c r="FX788" s="27" t="s">
        <v>7</v>
      </c>
      <c r="FY788" s="27" t="s">
        <v>8</v>
      </c>
      <c r="FZ788" s="27" t="s">
        <v>7</v>
      </c>
      <c r="GA788" s="27" t="s">
        <v>8</v>
      </c>
      <c r="GB788" s="27" t="s">
        <v>7</v>
      </c>
      <c r="GC788" s="27" t="s">
        <v>8</v>
      </c>
      <c r="GD788" s="27" t="s">
        <v>7</v>
      </c>
      <c r="GG788" s="27" t="s">
        <v>8</v>
      </c>
      <c r="GH788" s="27" t="s">
        <v>7</v>
      </c>
      <c r="GI788" s="27" t="s">
        <v>8</v>
      </c>
      <c r="GL788" s="27" t="s">
        <v>7</v>
      </c>
      <c r="GM788" s="27" t="s">
        <v>8</v>
      </c>
      <c r="GN788" s="27" t="s">
        <v>7</v>
      </c>
    </row>
    <row r="789" spans="1:201" x14ac:dyDescent="0.25">
      <c r="A789" s="7">
        <v>1.8313244937921913E-2</v>
      </c>
      <c r="B789"/>
      <c r="C789"/>
      <c r="D789"/>
      <c r="E789"/>
      <c r="F789" s="27" t="s">
        <v>7</v>
      </c>
      <c r="M789" s="27" t="s">
        <v>8</v>
      </c>
      <c r="N789" s="27" t="s">
        <v>7</v>
      </c>
      <c r="O789" s="27" t="s">
        <v>8</v>
      </c>
      <c r="R789" s="27" t="s">
        <v>7</v>
      </c>
      <c r="S789" s="27" t="s">
        <v>8</v>
      </c>
      <c r="T789" s="27" t="s">
        <v>7</v>
      </c>
      <c r="U789" s="27" t="s">
        <v>8</v>
      </c>
      <c r="CF789" s="27" t="s">
        <v>7</v>
      </c>
      <c r="CG789" s="27" t="s">
        <v>8</v>
      </c>
      <c r="CJ789" s="27" t="s">
        <v>7</v>
      </c>
      <c r="CK789" s="27" t="s">
        <v>8</v>
      </c>
      <c r="CX789" s="27" t="s">
        <v>7</v>
      </c>
      <c r="DU789" s="27" t="s">
        <v>8</v>
      </c>
      <c r="EP789" s="27" t="s">
        <v>7</v>
      </c>
      <c r="EQ789" s="27" t="s">
        <v>8</v>
      </c>
      <c r="ER789" s="27" t="s">
        <v>7</v>
      </c>
      <c r="ES789" s="27" t="s">
        <v>8</v>
      </c>
      <c r="ET789" s="27" t="s">
        <v>7</v>
      </c>
      <c r="EU789" s="27" t="s">
        <v>8</v>
      </c>
      <c r="EV789" s="27" t="s">
        <v>7</v>
      </c>
      <c r="EW789" s="27" t="s">
        <v>8</v>
      </c>
      <c r="FX789" s="27" t="s">
        <v>7</v>
      </c>
      <c r="FY789" s="27" t="s">
        <v>8</v>
      </c>
      <c r="FZ789" s="27" t="s">
        <v>7</v>
      </c>
      <c r="GB789" s="27" t="s">
        <v>7</v>
      </c>
      <c r="GC789" s="27" t="s">
        <v>8</v>
      </c>
      <c r="GD789" s="27" t="s">
        <v>7</v>
      </c>
      <c r="GE789" s="27" t="s">
        <v>8</v>
      </c>
      <c r="GG789" s="27" t="s">
        <v>8</v>
      </c>
      <c r="GH789" s="27" t="s">
        <v>7</v>
      </c>
      <c r="GI789" s="27" t="s">
        <v>8</v>
      </c>
      <c r="GL789" s="27" t="s">
        <v>7</v>
      </c>
      <c r="GM789" s="27" t="s">
        <v>8</v>
      </c>
      <c r="GN789" s="27" t="s">
        <v>7</v>
      </c>
    </row>
    <row r="790" spans="1:201" x14ac:dyDescent="0.25">
      <c r="A790" s="7">
        <v>1.7954161703845013E-2</v>
      </c>
      <c r="B790"/>
      <c r="C790"/>
      <c r="D790"/>
      <c r="E790"/>
      <c r="F790" s="27" t="s">
        <v>7</v>
      </c>
      <c r="M790" s="27" t="s">
        <v>8</v>
      </c>
      <c r="N790" s="27" t="s">
        <v>7</v>
      </c>
      <c r="O790" s="27" t="s">
        <v>8</v>
      </c>
      <c r="R790" s="27" t="s">
        <v>7</v>
      </c>
      <c r="S790" s="27" t="s">
        <v>8</v>
      </c>
      <c r="T790" s="27" t="s">
        <v>7</v>
      </c>
      <c r="U790" s="27" t="s">
        <v>8</v>
      </c>
      <c r="CF790" s="27" t="s">
        <v>7</v>
      </c>
      <c r="CG790" s="27" t="s">
        <v>8</v>
      </c>
      <c r="CJ790" s="27" t="s">
        <v>7</v>
      </c>
      <c r="CK790" s="27" t="s">
        <v>8</v>
      </c>
      <c r="CX790" s="27" t="s">
        <v>7</v>
      </c>
      <c r="DU790" s="27" t="s">
        <v>8</v>
      </c>
      <c r="EP790" s="27" t="s">
        <v>7</v>
      </c>
      <c r="EQ790" s="27" t="s">
        <v>8</v>
      </c>
      <c r="ER790" s="27" t="s">
        <v>7</v>
      </c>
      <c r="ES790" s="27" t="s">
        <v>8</v>
      </c>
      <c r="ET790" s="27" t="s">
        <v>7</v>
      </c>
      <c r="EU790" s="27" t="s">
        <v>8</v>
      </c>
      <c r="EV790" s="27" t="s">
        <v>7</v>
      </c>
      <c r="EW790" s="27" t="s">
        <v>8</v>
      </c>
      <c r="FX790" s="27" t="s">
        <v>7</v>
      </c>
      <c r="FY790" s="27" t="s">
        <v>8</v>
      </c>
      <c r="GB790" s="27" t="s">
        <v>7</v>
      </c>
      <c r="GC790" s="27" t="s">
        <v>8</v>
      </c>
      <c r="GD790" s="27" t="s">
        <v>7</v>
      </c>
      <c r="GE790" s="27" t="s">
        <v>8</v>
      </c>
      <c r="GF790" s="27" t="s">
        <v>7</v>
      </c>
      <c r="GG790" s="27" t="s">
        <v>8</v>
      </c>
      <c r="GH790" s="27" t="s">
        <v>7</v>
      </c>
      <c r="GI790" s="27" t="s">
        <v>8</v>
      </c>
      <c r="GL790" s="27" t="s">
        <v>7</v>
      </c>
      <c r="GN790" s="27" t="s">
        <v>7</v>
      </c>
    </row>
    <row r="791" spans="1:201" x14ac:dyDescent="0.25">
      <c r="A791" s="7">
        <v>1.7602119317495109E-2</v>
      </c>
      <c r="B791"/>
      <c r="C791"/>
      <c r="D791"/>
      <c r="E791"/>
      <c r="F791" s="27" t="s">
        <v>7</v>
      </c>
      <c r="M791" s="27" t="s">
        <v>8</v>
      </c>
      <c r="N791" s="27" t="s">
        <v>7</v>
      </c>
      <c r="O791" s="27" t="s">
        <v>8</v>
      </c>
      <c r="R791" s="27" t="s">
        <v>7</v>
      </c>
      <c r="T791" s="27" t="s">
        <v>7</v>
      </c>
      <c r="U791" s="27" t="s">
        <v>8</v>
      </c>
      <c r="CF791" s="27" t="s">
        <v>7</v>
      </c>
      <c r="CG791" s="27" t="s">
        <v>8</v>
      </c>
      <c r="CJ791" s="27" t="s">
        <v>7</v>
      </c>
      <c r="CK791" s="27" t="s">
        <v>8</v>
      </c>
      <c r="CX791" s="27" t="s">
        <v>7</v>
      </c>
      <c r="DU791" s="27" t="s">
        <v>8</v>
      </c>
      <c r="EP791" s="27" t="s">
        <v>7</v>
      </c>
      <c r="EQ791" s="27" t="s">
        <v>8</v>
      </c>
      <c r="ER791" s="27" t="s">
        <v>7</v>
      </c>
      <c r="ES791" s="27" t="s">
        <v>8</v>
      </c>
      <c r="ET791" s="27" t="s">
        <v>7</v>
      </c>
      <c r="EU791" s="27" t="s">
        <v>8</v>
      </c>
      <c r="EV791" s="27" t="s">
        <v>7</v>
      </c>
      <c r="FX791" s="27" t="s">
        <v>7</v>
      </c>
      <c r="FY791" s="27" t="s">
        <v>8</v>
      </c>
      <c r="GB791" s="27" t="s">
        <v>7</v>
      </c>
      <c r="GD791" s="27" t="s">
        <v>7</v>
      </c>
      <c r="GE791" s="27" t="s">
        <v>8</v>
      </c>
      <c r="GF791" s="27" t="s">
        <v>7</v>
      </c>
      <c r="GG791" s="27" t="s">
        <v>8</v>
      </c>
      <c r="GH791" s="27" t="s">
        <v>7</v>
      </c>
      <c r="GN791" s="27" t="s">
        <v>7</v>
      </c>
    </row>
    <row r="792" spans="1:201" x14ac:dyDescent="0.25">
      <c r="A792" s="7">
        <v>1.7256979723034419E-2</v>
      </c>
      <c r="B792"/>
      <c r="C792"/>
      <c r="D792"/>
      <c r="E792"/>
      <c r="F792" s="27" t="s">
        <v>7</v>
      </c>
      <c r="M792" s="27" t="s">
        <v>8</v>
      </c>
      <c r="N792" s="27" t="s">
        <v>7</v>
      </c>
      <c r="O792" s="27" t="s">
        <v>8</v>
      </c>
      <c r="T792" s="27" t="s">
        <v>7</v>
      </c>
      <c r="U792" s="27" t="s">
        <v>8</v>
      </c>
      <c r="CF792" s="27" t="s">
        <v>7</v>
      </c>
      <c r="CG792" s="27" t="s">
        <v>8</v>
      </c>
      <c r="CJ792" s="27" t="s">
        <v>7</v>
      </c>
      <c r="CX792" s="27" t="s">
        <v>7</v>
      </c>
      <c r="DU792" s="27" t="s">
        <v>8</v>
      </c>
      <c r="EP792" s="27" t="s">
        <v>7</v>
      </c>
      <c r="EQ792" s="27" t="s">
        <v>8</v>
      </c>
      <c r="ER792" s="27" t="s">
        <v>7</v>
      </c>
      <c r="ET792" s="27" t="s">
        <v>7</v>
      </c>
      <c r="FX792" s="27" t="s">
        <v>7</v>
      </c>
      <c r="FY792" s="27" t="s">
        <v>8</v>
      </c>
      <c r="GD792" s="27" t="s">
        <v>7</v>
      </c>
      <c r="GE792" s="27" t="s">
        <v>8</v>
      </c>
      <c r="GF792" s="27" t="s">
        <v>7</v>
      </c>
      <c r="GG792" s="27" t="s">
        <v>8</v>
      </c>
      <c r="GN792" s="27" t="s">
        <v>7</v>
      </c>
    </row>
    <row r="793" spans="1:201" x14ac:dyDescent="0.25">
      <c r="A793" s="7">
        <v>1.6918607571602372E-2</v>
      </c>
      <c r="B793"/>
      <c r="C793"/>
      <c r="D793"/>
      <c r="E793"/>
      <c r="F793" s="27" t="s">
        <v>7</v>
      </c>
      <c r="M793" s="27" t="s">
        <v>8</v>
      </c>
      <c r="N793" s="27" t="s">
        <v>7</v>
      </c>
      <c r="O793" s="27" t="s">
        <v>8</v>
      </c>
      <c r="T793" s="27" t="s">
        <v>7</v>
      </c>
      <c r="CF793" s="27" t="s">
        <v>7</v>
      </c>
      <c r="CX793" s="27" t="s">
        <v>7</v>
      </c>
      <c r="DC793" s="27" t="s">
        <v>8</v>
      </c>
      <c r="DU793" s="27" t="s">
        <v>8</v>
      </c>
      <c r="EP793" s="27" t="s">
        <v>7</v>
      </c>
      <c r="FX793" s="27" t="s">
        <v>7</v>
      </c>
      <c r="FY793" s="27" t="s">
        <v>8</v>
      </c>
      <c r="GD793" s="27" t="s">
        <v>7</v>
      </c>
      <c r="GF793" s="27" t="s">
        <v>7</v>
      </c>
      <c r="GG793" s="27" t="s">
        <v>8</v>
      </c>
      <c r="GN793" s="27" t="s">
        <v>7</v>
      </c>
    </row>
    <row r="794" spans="1:201" x14ac:dyDescent="0.25">
      <c r="A794" s="7">
        <v>1.6586870168237622E-2</v>
      </c>
      <c r="B794"/>
      <c r="C794"/>
      <c r="D794"/>
      <c r="E794"/>
      <c r="F794" s="27" t="s">
        <v>7</v>
      </c>
      <c r="G794" s="27" t="s">
        <v>8</v>
      </c>
      <c r="M794" s="27" t="s">
        <v>8</v>
      </c>
      <c r="N794" s="27" t="s">
        <v>7</v>
      </c>
      <c r="O794" s="27" t="s">
        <v>8</v>
      </c>
      <c r="CX794" s="27" t="s">
        <v>7</v>
      </c>
      <c r="DC794" s="27" t="s">
        <v>8</v>
      </c>
      <c r="DD794" s="27" t="s">
        <v>7</v>
      </c>
      <c r="DG794" s="27" t="s">
        <v>8</v>
      </c>
      <c r="DU794" s="27" t="s">
        <v>8</v>
      </c>
      <c r="FX794" s="27" t="s">
        <v>7</v>
      </c>
      <c r="FY794" s="27" t="s">
        <v>8</v>
      </c>
      <c r="GF794" s="27" t="s">
        <v>7</v>
      </c>
      <c r="GG794" s="27" t="s">
        <v>8</v>
      </c>
      <c r="GN794" s="27" t="s">
        <v>7</v>
      </c>
    </row>
    <row r="795" spans="1:201" x14ac:dyDescent="0.25">
      <c r="A795" s="7">
        <v>1.6261637419840807E-2</v>
      </c>
      <c r="B795"/>
      <c r="C795"/>
      <c r="D795"/>
      <c r="E795"/>
      <c r="F795" s="27" t="s">
        <v>7</v>
      </c>
      <c r="G795" s="27" t="s">
        <v>8</v>
      </c>
      <c r="H795" s="27" t="s">
        <v>7</v>
      </c>
      <c r="M795" s="27" t="s">
        <v>8</v>
      </c>
      <c r="N795" s="27" t="s">
        <v>7</v>
      </c>
      <c r="O795" s="27" t="s">
        <v>8</v>
      </c>
      <c r="CX795" s="27" t="s">
        <v>7</v>
      </c>
      <c r="CY795" s="27" t="s">
        <v>8</v>
      </c>
      <c r="DA795" s="27" t="s">
        <v>8</v>
      </c>
      <c r="DC795" s="27" t="s">
        <v>8</v>
      </c>
      <c r="DD795" s="27" t="s">
        <v>7</v>
      </c>
      <c r="DG795" s="27" t="s">
        <v>8</v>
      </c>
      <c r="DH795" s="27" t="s">
        <v>7</v>
      </c>
      <c r="DS795" s="27" t="s">
        <v>8</v>
      </c>
      <c r="DU795" s="27" t="s">
        <v>8</v>
      </c>
      <c r="FX795" s="27" t="s">
        <v>7</v>
      </c>
      <c r="FY795" s="27" t="s">
        <v>8</v>
      </c>
      <c r="GF795" s="27" t="s">
        <v>7</v>
      </c>
      <c r="GN795" s="27" t="s">
        <v>7</v>
      </c>
    </row>
    <row r="796" spans="1:201" x14ac:dyDescent="0.25">
      <c r="A796" s="7">
        <v>1.5942781784157655E-2</v>
      </c>
      <c r="B796"/>
      <c r="C796"/>
      <c r="D796"/>
      <c r="E796"/>
      <c r="F796" s="27" t="s">
        <v>7</v>
      </c>
      <c r="G796" s="27" t="s">
        <v>8</v>
      </c>
      <c r="H796" s="27" t="s">
        <v>7</v>
      </c>
      <c r="M796" s="27" t="s">
        <v>8</v>
      </c>
      <c r="N796" s="27" t="s">
        <v>7</v>
      </c>
      <c r="O796" s="27" t="s">
        <v>8</v>
      </c>
      <c r="CX796" s="27" t="s">
        <v>7</v>
      </c>
      <c r="CY796" s="27" t="s">
        <v>8</v>
      </c>
      <c r="CZ796" s="27" t="s">
        <v>7</v>
      </c>
      <c r="DA796" s="27" t="s">
        <v>8</v>
      </c>
      <c r="DB796" s="27" t="s">
        <v>7</v>
      </c>
      <c r="DC796" s="27" t="s">
        <v>8</v>
      </c>
      <c r="DD796" s="27" t="s">
        <v>7</v>
      </c>
      <c r="DE796" s="27" t="s">
        <v>8</v>
      </c>
      <c r="DG796" s="27" t="s">
        <v>8</v>
      </c>
      <c r="DH796" s="27" t="s">
        <v>7</v>
      </c>
      <c r="DS796" s="27" t="s">
        <v>8</v>
      </c>
      <c r="DT796" s="27" t="s">
        <v>7</v>
      </c>
      <c r="DU796" s="27" t="s">
        <v>8</v>
      </c>
      <c r="FX796" s="27" t="s">
        <v>7</v>
      </c>
      <c r="FY796" s="27" t="s">
        <v>8</v>
      </c>
      <c r="GN796" s="27" t="s">
        <v>7</v>
      </c>
    </row>
    <row r="797" spans="1:201" x14ac:dyDescent="0.25">
      <c r="A797" s="7">
        <v>1.5630178219762408E-2</v>
      </c>
      <c r="B797"/>
      <c r="C797"/>
      <c r="D797"/>
      <c r="E797"/>
      <c r="F797" s="27" t="s">
        <v>7</v>
      </c>
      <c r="G797" s="27" t="s">
        <v>8</v>
      </c>
      <c r="H797" s="27" t="s">
        <v>7</v>
      </c>
      <c r="M797" s="27" t="s">
        <v>8</v>
      </c>
      <c r="N797" s="27" t="s">
        <v>7</v>
      </c>
      <c r="O797" s="27" t="s">
        <v>8</v>
      </c>
      <c r="CX797" s="27" t="s">
        <v>7</v>
      </c>
      <c r="CY797" s="27" t="s">
        <v>8</v>
      </c>
      <c r="CZ797" s="27" t="s">
        <v>7</v>
      </c>
      <c r="DA797" s="27" t="s">
        <v>8</v>
      </c>
      <c r="DB797" s="27" t="s">
        <v>7</v>
      </c>
      <c r="DC797" s="27" t="s">
        <v>8</v>
      </c>
      <c r="DD797" s="27" t="s">
        <v>7</v>
      </c>
      <c r="DE797" s="27" t="s">
        <v>8</v>
      </c>
      <c r="DF797" s="27" t="s">
        <v>7</v>
      </c>
      <c r="DG797" s="27" t="s">
        <v>8</v>
      </c>
      <c r="DH797" s="27" t="s">
        <v>7</v>
      </c>
      <c r="DQ797" s="27" t="s">
        <v>8</v>
      </c>
      <c r="DS797" s="27" t="s">
        <v>8</v>
      </c>
      <c r="DT797" s="27" t="s">
        <v>7</v>
      </c>
      <c r="DU797" s="27" t="s">
        <v>8</v>
      </c>
      <c r="FX797" s="27" t="s">
        <v>7</v>
      </c>
      <c r="FY797" s="27" t="s">
        <v>8</v>
      </c>
      <c r="GN797" s="27" t="s">
        <v>7</v>
      </c>
    </row>
    <row r="798" spans="1:201" x14ac:dyDescent="0.25">
      <c r="A798" s="7">
        <v>1.5323704137021967E-2</v>
      </c>
      <c r="B798"/>
      <c r="C798"/>
      <c r="D798"/>
      <c r="E798"/>
      <c r="F798" s="27" t="s">
        <v>7</v>
      </c>
      <c r="G798" s="27" t="s">
        <v>8</v>
      </c>
      <c r="H798" s="27" t="s">
        <v>7</v>
      </c>
      <c r="M798" s="27" t="s">
        <v>8</v>
      </c>
      <c r="N798" s="27" t="s">
        <v>7</v>
      </c>
      <c r="O798" s="27" t="s">
        <v>8</v>
      </c>
      <c r="CX798" s="27" t="s">
        <v>7</v>
      </c>
      <c r="CY798" s="27" t="s">
        <v>8</v>
      </c>
      <c r="CZ798" s="27" t="s">
        <v>7</v>
      </c>
      <c r="DA798" s="27" t="s">
        <v>8</v>
      </c>
      <c r="DB798" s="27" t="s">
        <v>7</v>
      </c>
      <c r="DD798" s="27" t="s">
        <v>7</v>
      </c>
      <c r="DE798" s="27" t="s">
        <v>8</v>
      </c>
      <c r="DF798" s="27" t="s">
        <v>7</v>
      </c>
      <c r="DG798" s="27" t="s">
        <v>8</v>
      </c>
      <c r="DH798" s="27" t="s">
        <v>7</v>
      </c>
      <c r="DI798" s="27" t="s">
        <v>8</v>
      </c>
      <c r="DQ798" s="27" t="s">
        <v>8</v>
      </c>
      <c r="DR798" s="27" t="s">
        <v>7</v>
      </c>
      <c r="DS798" s="27" t="s">
        <v>8</v>
      </c>
      <c r="DT798" s="27" t="s">
        <v>7</v>
      </c>
      <c r="DU798" s="27" t="s">
        <v>8</v>
      </c>
      <c r="FX798" s="27" t="s">
        <v>7</v>
      </c>
      <c r="GN798" s="27" t="s">
        <v>7</v>
      </c>
    </row>
    <row r="799" spans="1:201" x14ac:dyDescent="0.25">
      <c r="A799" s="7">
        <v>1.5023239350021535E-2</v>
      </c>
      <c r="B799"/>
      <c r="C799"/>
      <c r="D799"/>
      <c r="E799"/>
      <c r="F799" s="27" t="s">
        <v>7</v>
      </c>
      <c r="G799" s="27" t="s">
        <v>8</v>
      </c>
      <c r="H799" s="27" t="s">
        <v>7</v>
      </c>
      <c r="M799" s="27" t="s">
        <v>8</v>
      </c>
      <c r="N799" s="27" t="s">
        <v>7</v>
      </c>
      <c r="CX799" s="27" t="s">
        <v>7</v>
      </c>
      <c r="CY799" s="27" t="s">
        <v>8</v>
      </c>
      <c r="CZ799" s="27" t="s">
        <v>7</v>
      </c>
      <c r="DA799" s="27" t="s">
        <v>8</v>
      </c>
      <c r="DD799" s="27" t="s">
        <v>7</v>
      </c>
      <c r="DE799" s="27" t="s">
        <v>8</v>
      </c>
      <c r="DF799" s="27" t="s">
        <v>7</v>
      </c>
      <c r="DG799" s="27" t="s">
        <v>8</v>
      </c>
      <c r="DH799" s="27" t="s">
        <v>7</v>
      </c>
      <c r="DI799" s="27" t="s">
        <v>8</v>
      </c>
      <c r="DJ799" s="27" t="s">
        <v>7</v>
      </c>
      <c r="DQ799" s="27" t="s">
        <v>8</v>
      </c>
      <c r="DR799" s="27" t="s">
        <v>7</v>
      </c>
      <c r="DS799" s="27" t="s">
        <v>8</v>
      </c>
      <c r="DT799" s="27" t="s">
        <v>7</v>
      </c>
      <c r="DU799" s="27" t="s">
        <v>8</v>
      </c>
      <c r="GN799" s="27" t="s">
        <v>7</v>
      </c>
    </row>
    <row r="800" spans="1:201" x14ac:dyDescent="0.25">
      <c r="A800" s="7">
        <v>1.4728666029432878E-2</v>
      </c>
      <c r="B800"/>
      <c r="C800"/>
      <c r="D800"/>
      <c r="E800"/>
      <c r="F800" s="27" t="s">
        <v>7</v>
      </c>
      <c r="G800" s="27" t="s">
        <v>8</v>
      </c>
      <c r="H800" s="27" t="s">
        <v>7</v>
      </c>
      <c r="M800" s="27" t="s">
        <v>8</v>
      </c>
      <c r="CX800" s="27" t="s">
        <v>7</v>
      </c>
      <c r="CY800" s="27" t="s">
        <v>8</v>
      </c>
      <c r="CZ800" s="27" t="s">
        <v>7</v>
      </c>
      <c r="DA800" s="27" t="s">
        <v>8</v>
      </c>
      <c r="DD800" s="27" t="s">
        <v>7</v>
      </c>
      <c r="DE800" s="27" t="s">
        <v>8</v>
      </c>
      <c r="DF800" s="27" t="s">
        <v>7</v>
      </c>
      <c r="DH800" s="27" t="s">
        <v>7</v>
      </c>
      <c r="DI800" s="27" t="s">
        <v>8</v>
      </c>
      <c r="DJ800" s="27" t="s">
        <v>7</v>
      </c>
      <c r="DQ800" s="27" t="s">
        <v>8</v>
      </c>
      <c r="DR800" s="27" t="s">
        <v>7</v>
      </c>
      <c r="DS800" s="27" t="s">
        <v>8</v>
      </c>
      <c r="DT800" s="27" t="s">
        <v>7</v>
      </c>
      <c r="GN800" s="27" t="s">
        <v>7</v>
      </c>
      <c r="GQ800" s="27" t="s">
        <v>8</v>
      </c>
      <c r="GS800" s="27" t="s">
        <v>8</v>
      </c>
    </row>
    <row r="801" spans="1:202" x14ac:dyDescent="0.25">
      <c r="A801" s="7">
        <v>1.4439868656306743E-2</v>
      </c>
      <c r="B801"/>
      <c r="C801"/>
      <c r="D801"/>
      <c r="E801"/>
      <c r="F801" s="27" t="s">
        <v>7</v>
      </c>
      <c r="G801" s="27" t="s">
        <v>8</v>
      </c>
      <c r="H801" s="27" t="s">
        <v>7</v>
      </c>
      <c r="M801" s="27" t="s">
        <v>8</v>
      </c>
      <c r="CX801" s="27" t="s">
        <v>7</v>
      </c>
      <c r="CY801" s="27" t="s">
        <v>8</v>
      </c>
      <c r="CZ801" s="27" t="s">
        <v>7</v>
      </c>
      <c r="DA801" s="27" t="s">
        <v>8</v>
      </c>
      <c r="DD801" s="27" t="s">
        <v>7</v>
      </c>
      <c r="DH801" s="27" t="s">
        <v>7</v>
      </c>
      <c r="DI801" s="27" t="s">
        <v>8</v>
      </c>
      <c r="DJ801" s="27" t="s">
        <v>7</v>
      </c>
      <c r="DK801" s="27" t="s">
        <v>8</v>
      </c>
      <c r="DQ801" s="27" t="s">
        <v>8</v>
      </c>
      <c r="DR801" s="27" t="s">
        <v>7</v>
      </c>
      <c r="DS801" s="27" t="s">
        <v>8</v>
      </c>
      <c r="GN801" s="27" t="s">
        <v>7</v>
      </c>
      <c r="GO801" s="27" t="s">
        <v>8</v>
      </c>
      <c r="GQ801" s="27" t="s">
        <v>8</v>
      </c>
      <c r="GR801" s="27" t="s">
        <v>7</v>
      </c>
      <c r="GS801" s="27" t="s">
        <v>8</v>
      </c>
      <c r="GT801" s="27" t="s">
        <v>7</v>
      </c>
    </row>
    <row r="802" spans="1:202" x14ac:dyDescent="0.25">
      <c r="A802" s="7">
        <v>1.4156733976771318E-2</v>
      </c>
      <c r="B802"/>
      <c r="C802"/>
      <c r="D802"/>
      <c r="E802"/>
      <c r="F802" s="27" t="s">
        <v>7</v>
      </c>
      <c r="G802" s="27" t="s">
        <v>8</v>
      </c>
      <c r="H802" s="27" t="s">
        <v>7</v>
      </c>
      <c r="M802" s="27" t="s">
        <v>8</v>
      </c>
      <c r="CX802" s="27" t="s">
        <v>7</v>
      </c>
      <c r="CY802" s="27" t="s">
        <v>8</v>
      </c>
      <c r="CZ802" s="27" t="s">
        <v>7</v>
      </c>
      <c r="DA802" s="27" t="s">
        <v>8</v>
      </c>
      <c r="DH802" s="27" t="s">
        <v>7</v>
      </c>
      <c r="DJ802" s="27" t="s">
        <v>7</v>
      </c>
      <c r="DK802" s="27" t="s">
        <v>8</v>
      </c>
      <c r="DL802" s="27" t="s">
        <v>7</v>
      </c>
      <c r="DO802" s="27" t="s">
        <v>8</v>
      </c>
      <c r="DQ802" s="27" t="s">
        <v>8</v>
      </c>
      <c r="DR802" s="27" t="s">
        <v>7</v>
      </c>
      <c r="DS802" s="27" t="s">
        <v>8</v>
      </c>
      <c r="GN802" s="27" t="s">
        <v>7</v>
      </c>
      <c r="GO802" s="27" t="s">
        <v>8</v>
      </c>
      <c r="GP802" s="27" t="s">
        <v>7</v>
      </c>
      <c r="GQ802" s="27" t="s">
        <v>8</v>
      </c>
      <c r="GR802" s="27" t="s">
        <v>7</v>
      </c>
      <c r="GS802" s="27" t="s">
        <v>8</v>
      </c>
      <c r="GT802" s="27" t="s">
        <v>7</v>
      </c>
    </row>
    <row r="803" spans="1:202" x14ac:dyDescent="0.25">
      <c r="A803" s="7">
        <v>1.3879150957618939E-2</v>
      </c>
      <c r="B803"/>
      <c r="C803"/>
      <c r="D803"/>
      <c r="E803"/>
      <c r="F803" s="27" t="s">
        <v>7</v>
      </c>
      <c r="G803" s="27" t="s">
        <v>8</v>
      </c>
      <c r="H803" s="27" t="s">
        <v>7</v>
      </c>
      <c r="M803" s="27" t="s">
        <v>8</v>
      </c>
      <c r="CX803" s="27" t="s">
        <v>7</v>
      </c>
      <c r="CY803" s="27" t="s">
        <v>8</v>
      </c>
      <c r="CZ803" s="27" t="s">
        <v>7</v>
      </c>
      <c r="DA803" s="27" t="s">
        <v>8</v>
      </c>
      <c r="DJ803" s="27" t="s">
        <v>7</v>
      </c>
      <c r="DK803" s="27" t="s">
        <v>8</v>
      </c>
      <c r="DL803" s="27" t="s">
        <v>7</v>
      </c>
      <c r="DO803" s="27" t="s">
        <v>8</v>
      </c>
      <c r="DP803" s="27" t="s">
        <v>7</v>
      </c>
      <c r="DQ803" s="27" t="s">
        <v>8</v>
      </c>
      <c r="DR803" s="27" t="s">
        <v>7</v>
      </c>
      <c r="GN803" s="27" t="s">
        <v>7</v>
      </c>
      <c r="GO803" s="27" t="s">
        <v>8</v>
      </c>
      <c r="GP803" s="27" t="s">
        <v>7</v>
      </c>
      <c r="GQ803" s="27" t="s">
        <v>8</v>
      </c>
      <c r="GR803" s="27" t="s">
        <v>7</v>
      </c>
      <c r="GS803" s="27" t="s">
        <v>8</v>
      </c>
      <c r="GT803" s="27" t="s">
        <v>7</v>
      </c>
    </row>
    <row r="804" spans="1:202" x14ac:dyDescent="0.25">
      <c r="A804" s="7">
        <v>1.3607010742763666E-2</v>
      </c>
      <c r="B804"/>
      <c r="C804"/>
      <c r="D804"/>
      <c r="E804"/>
      <c r="F804" s="27" t="s">
        <v>7</v>
      </c>
      <c r="G804" s="27" t="s">
        <v>8</v>
      </c>
      <c r="H804" s="27" t="s">
        <v>7</v>
      </c>
      <c r="M804" s="27" t="s">
        <v>8</v>
      </c>
      <c r="CX804" s="27" t="s">
        <v>7</v>
      </c>
      <c r="CY804" s="27" t="s">
        <v>8</v>
      </c>
      <c r="CZ804" s="27" t="s">
        <v>7</v>
      </c>
      <c r="DA804" s="27" t="s">
        <v>8</v>
      </c>
      <c r="DJ804" s="27" t="s">
        <v>7</v>
      </c>
      <c r="DK804" s="27" t="s">
        <v>8</v>
      </c>
      <c r="DL804" s="27" t="s">
        <v>7</v>
      </c>
      <c r="DM804" s="27" t="s">
        <v>8</v>
      </c>
      <c r="DO804" s="27" t="s">
        <v>8</v>
      </c>
      <c r="DP804" s="27" t="s">
        <v>7</v>
      </c>
      <c r="DQ804" s="27" t="s">
        <v>8</v>
      </c>
      <c r="GN804" s="27" t="s">
        <v>7</v>
      </c>
      <c r="GP804" s="27" t="s">
        <v>7</v>
      </c>
      <c r="GQ804" s="27" t="s">
        <v>8</v>
      </c>
      <c r="GR804" s="27" t="s">
        <v>7</v>
      </c>
      <c r="GT804" s="27" t="s">
        <v>7</v>
      </c>
    </row>
    <row r="805" spans="1:202" x14ac:dyDescent="0.25">
      <c r="A805" s="7">
        <v>1.3340206610552614E-2</v>
      </c>
      <c r="B805"/>
      <c r="C805"/>
      <c r="D805"/>
      <c r="E805"/>
      <c r="F805" s="27" t="s">
        <v>7</v>
      </c>
      <c r="G805" s="27" t="s">
        <v>8</v>
      </c>
      <c r="H805" s="27" t="s">
        <v>7</v>
      </c>
      <c r="M805" s="27" t="s">
        <v>8</v>
      </c>
      <c r="CX805" s="27" t="s">
        <v>7</v>
      </c>
      <c r="CY805" s="27" t="s">
        <v>8</v>
      </c>
      <c r="CZ805" s="27" t="s">
        <v>7</v>
      </c>
      <c r="DJ805" s="27" t="s">
        <v>7</v>
      </c>
      <c r="DL805" s="27" t="s">
        <v>7</v>
      </c>
      <c r="DM805" s="27" t="s">
        <v>8</v>
      </c>
      <c r="DN805" s="27" t="s">
        <v>7</v>
      </c>
      <c r="DO805" s="27" t="s">
        <v>8</v>
      </c>
      <c r="DP805" s="27" t="s">
        <v>7</v>
      </c>
      <c r="GP805" s="27" t="s">
        <v>7</v>
      </c>
      <c r="GQ805" s="27" t="s">
        <v>8</v>
      </c>
      <c r="GT805" s="27" t="s">
        <v>7</v>
      </c>
    </row>
    <row r="806" spans="1:202" x14ac:dyDescent="0.25">
      <c r="A806" s="7">
        <v>1.3078633931914328E-2</v>
      </c>
      <c r="B806"/>
      <c r="C806"/>
      <c r="D806"/>
      <c r="E806"/>
      <c r="F806" s="27" t="s">
        <v>7</v>
      </c>
      <c r="G806" s="27" t="s">
        <v>8</v>
      </c>
      <c r="H806" s="27" t="s">
        <v>7</v>
      </c>
      <c r="M806" s="27" t="s">
        <v>8</v>
      </c>
      <c r="CX806" s="27" t="s">
        <v>7</v>
      </c>
      <c r="CY806" s="27" t="s">
        <v>8</v>
      </c>
      <c r="DL806" s="27" t="s">
        <v>7</v>
      </c>
      <c r="DM806" s="27" t="s">
        <v>8</v>
      </c>
      <c r="DN806" s="27" t="s">
        <v>7</v>
      </c>
      <c r="DO806" s="27" t="s">
        <v>8</v>
      </c>
      <c r="GP806" s="27" t="s">
        <v>7</v>
      </c>
      <c r="GQ806" s="27" t="s">
        <v>8</v>
      </c>
      <c r="GT806" s="27" t="s">
        <v>7</v>
      </c>
    </row>
    <row r="807" spans="1:202" x14ac:dyDescent="0.25">
      <c r="A807" s="7">
        <v>1.2822190129327771E-2</v>
      </c>
      <c r="B807"/>
      <c r="C807"/>
      <c r="D807"/>
      <c r="E807"/>
      <c r="F807" s="27" t="s">
        <v>7</v>
      </c>
      <c r="G807" s="27" t="s">
        <v>8</v>
      </c>
      <c r="H807" s="27" t="s">
        <v>7</v>
      </c>
      <c r="M807" s="27" t="s">
        <v>8</v>
      </c>
      <c r="CX807" s="27" t="s">
        <v>7</v>
      </c>
      <c r="CY807" s="27" t="s">
        <v>8</v>
      </c>
      <c r="DL807" s="27" t="s">
        <v>7</v>
      </c>
      <c r="DN807" s="27" t="s">
        <v>7</v>
      </c>
      <c r="DO807" s="27" t="s">
        <v>8</v>
      </c>
      <c r="GP807" s="27" t="s">
        <v>7</v>
      </c>
      <c r="GQ807" s="27" t="s">
        <v>8</v>
      </c>
      <c r="GT807" s="27" t="s">
        <v>7</v>
      </c>
    </row>
    <row r="808" spans="1:202" x14ac:dyDescent="0.25">
      <c r="A808" s="7">
        <v>1.2570774636595854E-2</v>
      </c>
      <c r="B808"/>
      <c r="C808"/>
      <c r="D808"/>
      <c r="E808"/>
      <c r="F808" s="27" t="s">
        <v>7</v>
      </c>
      <c r="G808" s="27" t="s">
        <v>8</v>
      </c>
      <c r="H808" s="27" t="s">
        <v>7</v>
      </c>
      <c r="M808" s="27" t="s">
        <v>8</v>
      </c>
      <c r="CX808" s="27" t="s">
        <v>7</v>
      </c>
      <c r="CY808" s="27" t="s">
        <v>8</v>
      </c>
      <c r="DN808" s="18" t="s">
        <v>7</v>
      </c>
      <c r="DO808" s="27" t="s">
        <v>8</v>
      </c>
      <c r="GP808" s="27" t="s">
        <v>7</v>
      </c>
      <c r="GT808" s="27" t="s">
        <v>7</v>
      </c>
    </row>
    <row r="809" spans="1:202" x14ac:dyDescent="0.25">
      <c r="A809" s="7">
        <v>1.23242888594077E-2</v>
      </c>
      <c r="B809"/>
      <c r="C809"/>
      <c r="D809"/>
      <c r="E809"/>
      <c r="F809" s="27" t="s">
        <v>7</v>
      </c>
      <c r="G809" s="27" t="s">
        <v>8</v>
      </c>
      <c r="H809" s="27" t="s">
        <v>7</v>
      </c>
      <c r="M809" s="27" t="s">
        <v>8</v>
      </c>
      <c r="CX809" s="27" t="s">
        <v>7</v>
      </c>
      <c r="CY809" s="27" t="s">
        <v>8</v>
      </c>
      <c r="DN809" s="27" t="s">
        <v>7</v>
      </c>
      <c r="DO809" s="27" t="s">
        <v>8</v>
      </c>
      <c r="GT809" s="27" t="s">
        <v>7</v>
      </c>
    </row>
    <row r="810" spans="1:202" x14ac:dyDescent="0.25">
      <c r="A810" s="7">
        <v>1.2082636136674216E-2</v>
      </c>
      <c r="B810"/>
      <c r="C810"/>
      <c r="D810"/>
      <c r="E810"/>
      <c r="F810" s="27" t="s">
        <v>7</v>
      </c>
      <c r="G810" s="27" t="s">
        <v>8</v>
      </c>
      <c r="H810" s="27" t="s">
        <v>7</v>
      </c>
      <c r="M810" s="27" t="s">
        <v>8</v>
      </c>
      <c r="CX810" s="27" t="s">
        <v>7</v>
      </c>
      <c r="DN810" s="27" t="s">
        <v>7</v>
      </c>
      <c r="DO810" s="27" t="s">
        <v>8</v>
      </c>
      <c r="GT810" s="27" t="s">
        <v>7</v>
      </c>
    </row>
    <row r="811" spans="1:202" x14ac:dyDescent="0.25">
      <c r="A811" s="7">
        <v>1.184572170262178E-2</v>
      </c>
      <c r="B811"/>
      <c r="C811"/>
      <c r="D811"/>
      <c r="E811"/>
      <c r="F811" s="27" t="s">
        <v>7</v>
      </c>
      <c r="G811" s="27" t="s">
        <v>8</v>
      </c>
      <c r="H811" s="27" t="s">
        <v>7</v>
      </c>
      <c r="M811" s="27" t="s">
        <v>8</v>
      </c>
      <c r="DN811" s="27" t="s">
        <v>7</v>
      </c>
      <c r="DO811" s="27" t="s">
        <v>8</v>
      </c>
      <c r="GT811" s="27" t="s">
        <v>7</v>
      </c>
    </row>
    <row r="812" spans="1:202" x14ac:dyDescent="0.25">
      <c r="A812" s="7">
        <v>1.1613452649629196E-2</v>
      </c>
      <c r="B812"/>
      <c r="C812"/>
      <c r="D812"/>
      <c r="E812"/>
      <c r="F812" s="27" t="s">
        <v>7</v>
      </c>
      <c r="G812" s="27" t="s">
        <v>8</v>
      </c>
      <c r="H812" s="27" t="s">
        <v>7</v>
      </c>
      <c r="I812" s="27" t="s">
        <v>8</v>
      </c>
      <c r="M812" s="27" t="s">
        <v>8</v>
      </c>
      <c r="DN812" s="27" t="s">
        <v>7</v>
      </c>
      <c r="DO812" s="27" t="s">
        <v>8</v>
      </c>
      <c r="GT812" s="27" t="s">
        <v>7</v>
      </c>
    </row>
    <row r="813" spans="1:202" x14ac:dyDescent="0.25">
      <c r="A813" s="7">
        <v>1.138573789179333E-2</v>
      </c>
      <c r="B813"/>
      <c r="C813"/>
      <c r="D813"/>
      <c r="E813"/>
      <c r="F813" s="27" t="s">
        <v>7</v>
      </c>
      <c r="G813" s="27" t="s">
        <v>8</v>
      </c>
      <c r="H813" s="27" t="s">
        <v>7</v>
      </c>
      <c r="I813" s="27" t="s">
        <v>8</v>
      </c>
      <c r="J813" s="27" t="s">
        <v>7</v>
      </c>
      <c r="M813" s="27" t="s">
        <v>8</v>
      </c>
      <c r="DN813" s="27" t="s">
        <v>7</v>
      </c>
      <c r="DO813" s="27" t="s">
        <v>8</v>
      </c>
      <c r="GT813" s="27" t="s">
        <v>7</v>
      </c>
    </row>
    <row r="814" spans="1:202" x14ac:dyDescent="0.25">
      <c r="A814" s="7">
        <v>1.1162488129209149E-2</v>
      </c>
      <c r="B814"/>
      <c r="C814"/>
      <c r="D814"/>
      <c r="E814"/>
      <c r="F814" s="27" t="s">
        <v>7</v>
      </c>
      <c r="G814" s="27" t="s">
        <v>8</v>
      </c>
      <c r="H814" s="27" t="s">
        <v>7</v>
      </c>
      <c r="I814" s="27" t="s">
        <v>8</v>
      </c>
      <c r="J814" s="27" t="s">
        <v>7</v>
      </c>
      <c r="M814" s="27" t="s">
        <v>8</v>
      </c>
      <c r="DN814" s="27" t="s">
        <v>7</v>
      </c>
      <c r="GT814" s="27" t="s">
        <v>7</v>
      </c>
    </row>
    <row r="815" spans="1:202" x14ac:dyDescent="0.25">
      <c r="A815" s="7">
        <v>1.0943615812950145E-2</v>
      </c>
      <c r="B815"/>
      <c r="C815"/>
      <c r="D815"/>
      <c r="E815"/>
      <c r="F815" s="27" t="s">
        <v>7</v>
      </c>
      <c r="H815" s="27" t="s">
        <v>7</v>
      </c>
      <c r="I815" s="27" t="s">
        <v>8</v>
      </c>
      <c r="J815" s="27" t="s">
        <v>7</v>
      </c>
      <c r="K815" s="27" t="s">
        <v>8</v>
      </c>
      <c r="M815" s="27" t="s">
        <v>8</v>
      </c>
      <c r="GT815" s="27" t="s">
        <v>7</v>
      </c>
    </row>
    <row r="816" spans="1:202" x14ac:dyDescent="0.25">
      <c r="A816" s="7">
        <v>1.0729035110735436E-2</v>
      </c>
      <c r="B816"/>
      <c r="C816"/>
      <c r="D816"/>
      <c r="E816"/>
      <c r="H816" s="27" t="s">
        <v>7</v>
      </c>
      <c r="I816" s="27" t="s">
        <v>8</v>
      </c>
      <c r="J816" s="27" t="s">
        <v>7</v>
      </c>
      <c r="K816" s="27" t="s">
        <v>8</v>
      </c>
      <c r="L816" s="27" t="s">
        <v>7</v>
      </c>
      <c r="M816" s="27" t="s">
        <v>8</v>
      </c>
      <c r="GT816" s="27" t="s">
        <v>7</v>
      </c>
    </row>
    <row r="817" spans="1:206" x14ac:dyDescent="0.25">
      <c r="A817" s="7">
        <v>1.0518661873270036E-2</v>
      </c>
      <c r="B817"/>
      <c r="C817"/>
      <c r="D817"/>
      <c r="E817"/>
      <c r="H817" s="27" t="s">
        <v>7</v>
      </c>
      <c r="I817" s="27" t="s">
        <v>8</v>
      </c>
      <c r="J817" s="27" t="s">
        <v>7</v>
      </c>
      <c r="K817" s="27" t="s">
        <v>8</v>
      </c>
      <c r="L817" s="27" t="s">
        <v>7</v>
      </c>
      <c r="M817" s="27" t="s">
        <v>8</v>
      </c>
      <c r="GT817" s="27" t="s">
        <v>7</v>
      </c>
      <c r="GW817" s="27" t="s">
        <v>8</v>
      </c>
    </row>
    <row r="818" spans="1:206" x14ac:dyDescent="0.25">
      <c r="A818" s="7">
        <v>1.0312413601245135E-2</v>
      </c>
      <c r="B818"/>
      <c r="C818"/>
      <c r="D818"/>
      <c r="E818"/>
      <c r="H818" s="27" t="s">
        <v>7</v>
      </c>
      <c r="I818" s="27" t="s">
        <v>8</v>
      </c>
      <c r="J818" s="27" t="s">
        <v>7</v>
      </c>
      <c r="K818" s="27" t="s">
        <v>8</v>
      </c>
      <c r="L818" s="27" t="s">
        <v>7</v>
      </c>
      <c r="M818" s="27" t="s">
        <v>8</v>
      </c>
      <c r="GT818" s="27" t="s">
        <v>7</v>
      </c>
      <c r="GU818" s="27" t="s">
        <v>8</v>
      </c>
      <c r="GW818" s="27" t="s">
        <v>8</v>
      </c>
      <c r="GX818" s="27" t="s">
        <v>7</v>
      </c>
    </row>
    <row r="819" spans="1:206" x14ac:dyDescent="0.25">
      <c r="A819" s="7">
        <v>1.0110209412985426E-2</v>
      </c>
      <c r="B819"/>
      <c r="C819"/>
      <c r="D819"/>
      <c r="E819"/>
      <c r="H819" s="27" t="s">
        <v>7</v>
      </c>
      <c r="I819" s="27" t="s">
        <v>8</v>
      </c>
      <c r="J819" s="27" t="s">
        <v>7</v>
      </c>
      <c r="K819" s="27" t="s">
        <v>8</v>
      </c>
      <c r="L819" s="27" t="s">
        <v>7</v>
      </c>
      <c r="M819" s="27" t="s">
        <v>8</v>
      </c>
      <c r="GT819" s="27" t="s">
        <v>7</v>
      </c>
      <c r="GU819" s="27" t="s">
        <v>8</v>
      </c>
      <c r="GV819" s="27" t="s">
        <v>7</v>
      </c>
      <c r="GW819" s="27" t="s">
        <v>8</v>
      </c>
      <c r="GX819" s="27" t="s">
        <v>7</v>
      </c>
    </row>
    <row r="820" spans="1:206" x14ac:dyDescent="0.25">
      <c r="A820" s="7">
        <v>9.9119700127308103E-3</v>
      </c>
      <c r="B820"/>
      <c r="C820"/>
      <c r="D820"/>
      <c r="E820"/>
      <c r="H820" s="27" t="s">
        <v>7</v>
      </c>
      <c r="I820" s="27" t="s">
        <v>8</v>
      </c>
      <c r="J820" s="27" t="s">
        <v>7</v>
      </c>
      <c r="K820" s="27" t="s">
        <v>8</v>
      </c>
      <c r="L820" s="27" t="s">
        <v>7</v>
      </c>
      <c r="M820" s="27" t="s">
        <v>8</v>
      </c>
      <c r="GT820" s="27" t="s">
        <v>7</v>
      </c>
      <c r="GU820" s="27" t="s">
        <v>8</v>
      </c>
      <c r="GV820" s="27" t="s">
        <v>7</v>
      </c>
      <c r="GW820" s="27" t="s">
        <v>8</v>
      </c>
      <c r="GX820" s="27" t="s">
        <v>7</v>
      </c>
    </row>
    <row r="821" spans="1:206" x14ac:dyDescent="0.25">
      <c r="A821" s="7">
        <v>9.717617659540009E-3</v>
      </c>
      <c r="B821"/>
      <c r="C821"/>
      <c r="D821"/>
      <c r="E821"/>
      <c r="H821" s="27" t="s">
        <v>7</v>
      </c>
      <c r="I821" s="27" t="s">
        <v>8</v>
      </c>
      <c r="J821" s="27" t="s">
        <v>7</v>
      </c>
      <c r="K821" s="27" t="s">
        <v>8</v>
      </c>
      <c r="L821" s="27" t="s">
        <v>7</v>
      </c>
      <c r="M821" s="27" t="s">
        <v>8</v>
      </c>
      <c r="GT821" s="27" t="s">
        <v>7</v>
      </c>
      <c r="GU821" s="27" t="s">
        <v>8</v>
      </c>
      <c r="GV821" s="27" t="s">
        <v>7</v>
      </c>
      <c r="GW821" s="27" t="s">
        <v>8</v>
      </c>
      <c r="GX821" s="27" t="s">
        <v>7</v>
      </c>
    </row>
    <row r="822" spans="1:206" x14ac:dyDescent="0.25">
      <c r="A822" s="7">
        <v>9.5270761368039299E-3</v>
      </c>
      <c r="B822"/>
      <c r="C822"/>
      <c r="D822"/>
      <c r="E822"/>
      <c r="H822" s="27" t="s">
        <v>7</v>
      </c>
      <c r="I822" s="27" t="s">
        <v>8</v>
      </c>
      <c r="J822" s="27" t="s">
        <v>7</v>
      </c>
      <c r="K822" s="27" t="s">
        <v>8</v>
      </c>
      <c r="L822" s="27" t="s">
        <v>7</v>
      </c>
      <c r="M822" s="27" t="s">
        <v>8</v>
      </c>
      <c r="GT822" s="27" t="s">
        <v>7</v>
      </c>
      <c r="GU822" s="27" t="s">
        <v>8</v>
      </c>
      <c r="GV822" s="27" t="s">
        <v>7</v>
      </c>
      <c r="GW822" s="27" t="s">
        <v>8</v>
      </c>
    </row>
    <row r="823" spans="1:206" x14ac:dyDescent="0.25">
      <c r="A823" s="7">
        <v>9.3402707223567936E-3</v>
      </c>
      <c r="B823"/>
      <c r="C823"/>
      <c r="D823"/>
      <c r="E823"/>
      <c r="H823" s="27" t="s">
        <v>7</v>
      </c>
      <c r="I823" s="27" t="s">
        <v>8</v>
      </c>
      <c r="J823" s="27" t="s">
        <v>7</v>
      </c>
      <c r="L823" s="27" t="s">
        <v>7</v>
      </c>
      <c r="M823" s="27" t="s">
        <v>8</v>
      </c>
      <c r="GT823" s="27" t="s">
        <v>7</v>
      </c>
      <c r="GU823" s="27" t="s">
        <v>8</v>
      </c>
      <c r="GV823" s="27" t="s">
        <v>7</v>
      </c>
      <c r="GW823" s="27" t="s">
        <v>8</v>
      </c>
    </row>
    <row r="824" spans="1:206" x14ac:dyDescent="0.25">
      <c r="A824" s="7">
        <v>9.1571281591733261E-3</v>
      </c>
      <c r="B824"/>
      <c r="C824"/>
      <c r="D824"/>
      <c r="E824"/>
      <c r="H824" s="27" t="s">
        <v>7</v>
      </c>
      <c r="L824" s="27" t="s">
        <v>7</v>
      </c>
      <c r="M824" s="27" t="s">
        <v>8</v>
      </c>
      <c r="GT824" s="27" t="s">
        <v>7</v>
      </c>
      <c r="GU824" s="27" t="s">
        <v>8</v>
      </c>
      <c r="GV824" s="27" t="s">
        <v>7</v>
      </c>
      <c r="GW824" s="27" t="s">
        <v>8</v>
      </c>
    </row>
    <row r="825" spans="1:206" x14ac:dyDescent="0.25">
      <c r="A825" s="7">
        <v>8.9775766266405148E-3</v>
      </c>
      <c r="B825"/>
      <c r="C825"/>
      <c r="D825"/>
      <c r="E825"/>
      <c r="L825" s="27" t="s">
        <v>7</v>
      </c>
      <c r="M825" s="27" t="s">
        <v>8</v>
      </c>
      <c r="GT825" s="27" t="s">
        <v>7</v>
      </c>
      <c r="GU825" s="27" t="s">
        <v>8</v>
      </c>
      <c r="GV825" s="27" t="s">
        <v>7</v>
      </c>
      <c r="GW825" s="27" t="s">
        <v>8</v>
      </c>
    </row>
    <row r="826" spans="1:206" x14ac:dyDescent="0.25">
      <c r="A826" s="7">
        <v>8.8015457123926614E-3</v>
      </c>
      <c r="B826"/>
      <c r="C826"/>
      <c r="D826"/>
      <c r="E826"/>
      <c r="L826" s="27" t="s">
        <v>7</v>
      </c>
      <c r="M826" s="27" t="s">
        <v>8</v>
      </c>
      <c r="GT826" s="27" t="s">
        <v>7</v>
      </c>
      <c r="GV826" s="27" t="s">
        <v>7</v>
      </c>
    </row>
    <row r="827" spans="1:206" x14ac:dyDescent="0.25">
      <c r="A827" s="7">
        <v>8.6289663846986879E-3</v>
      </c>
      <c r="B827"/>
      <c r="C827"/>
      <c r="D827"/>
      <c r="E827"/>
      <c r="L827" s="27" t="s">
        <v>7</v>
      </c>
      <c r="M827" s="27" t="s">
        <v>8</v>
      </c>
    </row>
    <row r="828" spans="1:206" x14ac:dyDescent="0.25">
      <c r="A828" s="7">
        <v>8.4597709653908715E-3</v>
      </c>
      <c r="B828"/>
      <c r="C828"/>
      <c r="D828"/>
      <c r="E828"/>
      <c r="L828" s="27" t="s">
        <v>7</v>
      </c>
      <c r="M828" s="27" t="s">
        <v>8</v>
      </c>
    </row>
    <row r="829" spans="1:206" x14ac:dyDescent="0.25">
      <c r="A829" s="7">
        <v>8.2938931033243839E-3</v>
      </c>
      <c r="B829"/>
      <c r="C829"/>
      <c r="D829"/>
      <c r="E829"/>
      <c r="L829" s="27" t="s">
        <v>7</v>
      </c>
      <c r="M829" s="27" t="s">
        <v>8</v>
      </c>
    </row>
    <row r="830" spans="1:206" x14ac:dyDescent="0.25">
      <c r="A830" s="7">
        <v>8.1312677483572383E-3</v>
      </c>
      <c r="B830"/>
      <c r="C830"/>
      <c r="D830"/>
      <c r="E830"/>
      <c r="L830" s="27" t="s">
        <v>7</v>
      </c>
      <c r="M830" s="27" t="s">
        <v>8</v>
      </c>
    </row>
    <row r="831" spans="1:206" x14ac:dyDescent="0.25">
      <c r="A831" s="7">
        <v>7.9718311258404305E-3</v>
      </c>
      <c r="B831"/>
      <c r="C831"/>
      <c r="D831"/>
      <c r="E831"/>
      <c r="L831" s="27" t="s">
        <v>7</v>
      </c>
      <c r="M831" s="27" t="s">
        <v>8</v>
      </c>
    </row>
    <row r="832" spans="1:206" x14ac:dyDescent="0.25">
      <c r="A832" s="7">
        <v>7.8155207116082648E-3</v>
      </c>
      <c r="B832"/>
      <c r="C832"/>
      <c r="D832"/>
      <c r="E832"/>
      <c r="L832" s="27" t="s">
        <v>7</v>
      </c>
      <c r="M832" s="27" t="s">
        <v>8</v>
      </c>
    </row>
    <row r="833" spans="1:13" x14ac:dyDescent="0.25">
      <c r="A833" s="7">
        <v>7.6622752074590825E-3</v>
      </c>
      <c r="B833"/>
      <c r="C833"/>
      <c r="D833"/>
      <c r="E833"/>
      <c r="L833" s="27" t="s">
        <v>7</v>
      </c>
      <c r="M833" s="27" t="s">
        <v>8</v>
      </c>
    </row>
    <row r="834" spans="1:13" x14ac:dyDescent="0.25">
      <c r="A834" s="7">
        <v>7.5120345171167469E-3</v>
      </c>
      <c r="B834"/>
      <c r="C834"/>
      <c r="D834"/>
      <c r="E834"/>
      <c r="L834" s="27" t="s">
        <v>7</v>
      </c>
      <c r="M834" s="27" t="s">
        <v>8</v>
      </c>
    </row>
    <row r="835" spans="1:13" x14ac:dyDescent="0.25">
      <c r="A835" s="7">
        <v>7.3647397226634772E-3</v>
      </c>
      <c r="B835"/>
      <c r="C835"/>
      <c r="D835"/>
      <c r="E835"/>
      <c r="L835" s="27" t="s">
        <v>7</v>
      </c>
      <c r="M835" s="27" t="s">
        <v>8</v>
      </c>
    </row>
    <row r="836" spans="1:13" x14ac:dyDescent="0.25">
      <c r="A836" s="7">
        <v>7.2203330614347815E-3</v>
      </c>
      <c r="B836"/>
      <c r="C836"/>
      <c r="D836"/>
      <c r="E836"/>
      <c r="L836" s="27" t="s">
        <v>7</v>
      </c>
      <c r="M836" s="27" t="s">
        <v>8</v>
      </c>
    </row>
    <row r="837" spans="1:13" x14ac:dyDescent="0.25">
      <c r="A837" s="7">
        <v>7.0787579033674327E-3</v>
      </c>
      <c r="B837"/>
      <c r="C837"/>
      <c r="D837"/>
      <c r="E837"/>
      <c r="L837" s="27" t="s">
        <v>7</v>
      </c>
      <c r="M837" s="27" t="s">
        <v>8</v>
      </c>
    </row>
    <row r="838" spans="1:13" x14ac:dyDescent="0.25">
      <c r="A838" s="7">
        <v>6.9399587287916013E-3</v>
      </c>
      <c r="B838"/>
      <c r="C838"/>
      <c r="D838"/>
      <c r="E838"/>
      <c r="L838" s="27" t="s">
        <v>7</v>
      </c>
      <c r="M838" s="27" t="s">
        <v>8</v>
      </c>
    </row>
    <row r="839" spans="1:13" x14ac:dyDescent="0.25">
      <c r="A839" s="7">
        <v>6.8038811066584333E-3</v>
      </c>
      <c r="B839"/>
      <c r="C839"/>
      <c r="D839"/>
      <c r="E839"/>
      <c r="L839" s="27" t="s">
        <v>7</v>
      </c>
      <c r="M839" s="27" t="s">
        <v>8</v>
      </c>
    </row>
    <row r="840" spans="1:13" x14ac:dyDescent="0.25">
      <c r="A840" s="7">
        <v>6.6704716731945425E-3</v>
      </c>
      <c r="B840"/>
      <c r="C840"/>
      <c r="D840"/>
      <c r="E840"/>
      <c r="L840" s="27" t="s">
        <v>7</v>
      </c>
      <c r="M840" s="27" t="s">
        <v>8</v>
      </c>
    </row>
    <row r="841" spans="1:13" x14ac:dyDescent="0.25">
      <c r="A841" s="7">
        <v>6.5396781109750427E-3</v>
      </c>
      <c r="B841"/>
      <c r="C841"/>
      <c r="D841"/>
      <c r="E841"/>
      <c r="L841" s="27" t="s">
        <v>7</v>
      </c>
    </row>
    <row r="842" spans="1:13" x14ac:dyDescent="0.25">
      <c r="A842" s="7">
        <v>6.4114491284069045E-3</v>
      </c>
      <c r="B842"/>
      <c r="C842"/>
      <c r="D842"/>
      <c r="E842"/>
    </row>
    <row r="843" spans="1:13" x14ac:dyDescent="0.25">
      <c r="A843" s="7">
        <v>6.2857344396146115E-3</v>
      </c>
      <c r="B843"/>
      <c r="C843"/>
      <c r="D843"/>
      <c r="E843"/>
    </row>
    <row r="844" spans="1:13" x14ac:dyDescent="0.25">
      <c r="A844" s="7">
        <v>6.1624847447202076E-3</v>
      </c>
      <c r="B844"/>
      <c r="C844"/>
      <c r="D844"/>
      <c r="E844"/>
    </row>
    <row r="845" spans="1:13" x14ac:dyDescent="0.25">
      <c r="A845" s="7">
        <v>6.0416517105100079E-3</v>
      </c>
      <c r="B845"/>
      <c r="C845"/>
      <c r="D845"/>
      <c r="E845"/>
    </row>
    <row r="846" spans="1:13" x14ac:dyDescent="0.25">
      <c r="A846" s="7">
        <v>5.9231879514803996E-3</v>
      </c>
      <c r="B846"/>
      <c r="C846"/>
      <c r="D846"/>
      <c r="E846"/>
    </row>
    <row r="847" spans="1:13" x14ac:dyDescent="0.25">
      <c r="A847" s="7">
        <v>5.8070470112552936E-3</v>
      </c>
      <c r="B847"/>
      <c r="C847"/>
      <c r="D847"/>
      <c r="E847"/>
    </row>
    <row r="848" spans="1:13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00" operator="equal">
      <formula>$U$1</formula>
    </cfRule>
    <cfRule type="cellIs" dxfId="89" priority="801" operator="equal">
      <formula>$S$1</formula>
    </cfRule>
  </conditionalFormatting>
  <conditionalFormatting sqref="D27">
    <cfRule type="cellIs" dxfId="88" priority="798" operator="equal">
      <formula>$S$1</formula>
    </cfRule>
    <cfRule type="cellIs" dxfId="87" priority="799" operator="equal">
      <formula>$U$1</formula>
    </cfRule>
  </conditionalFormatting>
  <conditionalFormatting sqref="C164">
    <cfRule type="cellIs" dxfId="86" priority="796" operator="equal">
      <formula>$U$1</formula>
    </cfRule>
    <cfRule type="cellIs" dxfId="85" priority="797" operator="equal">
      <formula>$S$1</formula>
    </cfRule>
  </conditionalFormatting>
  <conditionalFormatting sqref="D164">
    <cfRule type="cellIs" dxfId="84" priority="794" operator="equal">
      <formula>$S$1</formula>
    </cfRule>
    <cfRule type="cellIs" dxfId="83" priority="795" operator="equal">
      <formula>$U$1</formula>
    </cfRule>
  </conditionalFormatting>
  <conditionalFormatting sqref="C55">
    <cfRule type="cellIs" dxfId="82" priority="792" operator="equal">
      <formula>$U$1</formula>
    </cfRule>
    <cfRule type="cellIs" dxfId="81" priority="793" operator="equal">
      <formula>$S$1</formula>
    </cfRule>
  </conditionalFormatting>
  <conditionalFormatting sqref="D55">
    <cfRule type="cellIs" dxfId="80" priority="790" operator="equal">
      <formula>$S$1</formula>
    </cfRule>
    <cfRule type="cellIs" dxfId="79" priority="791" operator="equal">
      <formula>$U$1</formula>
    </cfRule>
  </conditionalFormatting>
  <conditionalFormatting sqref="C89">
    <cfRule type="cellIs" dxfId="78" priority="788" operator="equal">
      <formula>$U$1</formula>
    </cfRule>
    <cfRule type="cellIs" dxfId="77" priority="789" operator="equal">
      <formula>$S$1</formula>
    </cfRule>
  </conditionalFormatting>
  <conditionalFormatting sqref="D89">
    <cfRule type="cellIs" dxfId="76" priority="786" operator="equal">
      <formula>$S$1</formula>
    </cfRule>
    <cfRule type="cellIs" dxfId="75" priority="787" operator="equal">
      <formula>$U$1</formula>
    </cfRule>
  </conditionalFormatting>
  <conditionalFormatting sqref="C136">
    <cfRule type="cellIs" dxfId="74" priority="784" operator="equal">
      <formula>$U$1</formula>
    </cfRule>
    <cfRule type="cellIs" dxfId="73" priority="785" operator="equal">
      <formula>$S$1</formula>
    </cfRule>
  </conditionalFormatting>
  <conditionalFormatting sqref="D136">
    <cfRule type="cellIs" dxfId="72" priority="782" operator="equal">
      <formula>$S$1</formula>
    </cfRule>
    <cfRule type="cellIs" dxfId="71" priority="783" operator="equal">
      <formula>$U$1</formula>
    </cfRule>
  </conditionalFormatting>
  <conditionalFormatting sqref="C1">
    <cfRule type="cellIs" dxfId="70" priority="78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02" zoomScale="90" zoomScaleNormal="90" workbookViewId="0">
      <pane xSplit="4" topLeftCell="AO1" activePane="topRight" state="frozen"/>
      <selection activeCell="A109" sqref="A109"/>
      <selection pane="topRight" activeCell="DC334" sqref="DC3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$A$333</v>
      </c>
      <c r="D111" s="1" t="str">
        <f>ADDRESS(C121-1,D121,1,1)</f>
        <v>$DC$333</v>
      </c>
      <c r="E111"/>
    </row>
    <row r="112" spans="1:5" x14ac:dyDescent="0.25">
      <c r="A112" s="30">
        <v>515.50191262726139</v>
      </c>
      <c r="C112" s="1" t="str">
        <f>ADDRESS(C121,1,1,1)</f>
        <v>$A$334</v>
      </c>
      <c r="D112" s="1" t="str">
        <f>ADDRESS(C121,D121-1,1,1)</f>
        <v>$DB$334</v>
      </c>
      <c r="E112"/>
    </row>
    <row r="113" spans="1:5" x14ac:dyDescent="0.25">
      <c r="A113" s="30">
        <v>490.95420250215363</v>
      </c>
      <c r="C113" s="1" t="str">
        <f>ADDRESS(C121+1,1,1,1)</f>
        <v>$A$335</v>
      </c>
      <c r="D113" s="1" t="str">
        <f>ADDRESS(C121-1,D121+1,1,1)</f>
        <v>$DD$333</v>
      </c>
    </row>
    <row r="114" spans="1:5" x14ac:dyDescent="0.25">
      <c r="A114" s="30">
        <v>467.57543095443202</v>
      </c>
      <c r="C114" s="1" t="str">
        <f>ADDRESS(C121,D121,1,1)</f>
        <v>$DC$334</v>
      </c>
      <c r="D114" s="1" t="str">
        <f>ADDRESS(C121+1,D121+1,1,1)</f>
        <v>$DD$335</v>
      </c>
    </row>
    <row r="115" spans="1:5" x14ac:dyDescent="0.25">
      <c r="A115" s="30">
        <v>445.30993424231622</v>
      </c>
      <c r="C115" s="1" t="str">
        <f>ADDRESS(C121+1,D121,1,1)</f>
        <v>$DC$335</v>
      </c>
    </row>
    <row r="116" spans="1:5" x14ac:dyDescent="0.25">
      <c r="A116" s="30">
        <v>424.10469927839637</v>
      </c>
      <c r="C116" s="1">
        <f>C117-1</f>
        <v>333</v>
      </c>
    </row>
    <row r="117" spans="1:5" x14ac:dyDescent="0.25">
      <c r="A117" s="30">
        <v>403.9092374079965</v>
      </c>
      <c r="C117" s="1">
        <f>C121</f>
        <v>334</v>
      </c>
      <c r="D117" s="1">
        <f>D121</f>
        <v>107</v>
      </c>
    </row>
    <row r="118" spans="1:5" x14ac:dyDescent="0.25">
      <c r="A118" s="30">
        <v>384.6754641980919</v>
      </c>
      <c r="C118" s="1">
        <f>C117+1</f>
        <v>335</v>
      </c>
      <c r="D118" s="1">
        <f>D117+1</f>
        <v>108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334</v>
      </c>
      <c r="D121" s="19">
        <v>107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R334</v>
      </c>
      <c r="D123" s="1" t="str">
        <f>"C"&amp;D121</f>
        <v>C107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1.0190743895326324E-2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53" x14ac:dyDescent="0.25">
      <c r="A289" s="30">
        <v>9.1563913320997906E-2</v>
      </c>
      <c r="B289"/>
      <c r="C289"/>
      <c r="D289"/>
      <c r="E289"/>
      <c r="F289" s="27" t="s">
        <v>7</v>
      </c>
    </row>
    <row r="290" spans="1:53" x14ac:dyDescent="0.25">
      <c r="A290" s="30">
        <v>8.7203726972378923E-2</v>
      </c>
      <c r="B290"/>
      <c r="C290"/>
      <c r="D290"/>
      <c r="E290"/>
      <c r="F290" s="27" t="s">
        <v>7</v>
      </c>
    </row>
    <row r="291" spans="1:53" x14ac:dyDescent="0.25">
      <c r="A291" s="30">
        <v>8.3051168545122747E-2</v>
      </c>
      <c r="B291"/>
      <c r="C291"/>
      <c r="D291"/>
      <c r="E291"/>
      <c r="F291" s="27" t="s">
        <v>7</v>
      </c>
    </row>
    <row r="292" spans="1:53" x14ac:dyDescent="0.25">
      <c r="A292" s="30">
        <v>7.9096350995354961E-2</v>
      </c>
      <c r="B292"/>
      <c r="C292"/>
      <c r="D292"/>
      <c r="E292"/>
      <c r="F292" s="27" t="s">
        <v>7</v>
      </c>
    </row>
    <row r="293" spans="1:53" x14ac:dyDescent="0.25">
      <c r="A293" s="30">
        <v>7.5329858090814217E-2</v>
      </c>
      <c r="B293"/>
      <c r="C293"/>
      <c r="D293"/>
      <c r="E293"/>
      <c r="F293" s="27" t="s">
        <v>7</v>
      </c>
    </row>
    <row r="294" spans="1:53" x14ac:dyDescent="0.25">
      <c r="A294" s="30">
        <v>7.1742721991251604E-2</v>
      </c>
      <c r="B294"/>
      <c r="C294"/>
      <c r="D294"/>
      <c r="E294"/>
      <c r="F294" s="27" t="s">
        <v>7</v>
      </c>
    </row>
    <row r="295" spans="1:53" x14ac:dyDescent="0.25">
      <c r="A295" s="30">
        <v>6.8326401896430078E-2</v>
      </c>
      <c r="B295"/>
      <c r="C295"/>
      <c r="D295"/>
      <c r="E295"/>
      <c r="F295" s="27" t="s">
        <v>7</v>
      </c>
    </row>
    <row r="296" spans="1:53" x14ac:dyDescent="0.25">
      <c r="A296" s="30">
        <v>6.5072763710885759E-2</v>
      </c>
      <c r="B296"/>
      <c r="C296"/>
      <c r="D296"/>
      <c r="E296"/>
      <c r="F296" s="27" t="s">
        <v>7</v>
      </c>
    </row>
    <row r="297" spans="1:53" x14ac:dyDescent="0.25">
      <c r="A297" s="30">
        <v>6.197406067703403E-2</v>
      </c>
      <c r="B297"/>
      <c r="C297"/>
      <c r="D297"/>
      <c r="E297"/>
      <c r="F297" s="27" t="s">
        <v>7</v>
      </c>
    </row>
    <row r="298" spans="1:53" x14ac:dyDescent="0.25">
      <c r="A298" s="30">
        <v>5.9022914930508576E-2</v>
      </c>
      <c r="B298"/>
      <c r="C298"/>
      <c r="D298"/>
      <c r="E298"/>
      <c r="F298" s="27" t="s">
        <v>7</v>
      </c>
    </row>
    <row r="299" spans="1:53" x14ac:dyDescent="0.25">
      <c r="A299" s="30">
        <v>5.6212299933817669E-2</v>
      </c>
      <c r="B299"/>
      <c r="C299"/>
      <c r="D299"/>
      <c r="E299"/>
      <c r="F299" s="27" t="s">
        <v>7</v>
      </c>
      <c r="Y299" s="27" t="s">
        <v>8</v>
      </c>
    </row>
    <row r="300" spans="1:53" x14ac:dyDescent="0.25">
      <c r="A300" s="30">
        <v>5.3535523746492994E-2</v>
      </c>
      <c r="B300"/>
      <c r="C300"/>
      <c r="D300"/>
      <c r="E300"/>
      <c r="F300" s="27" t="s">
        <v>7</v>
      </c>
      <c r="Y300" s="27" t="s">
        <v>8</v>
      </c>
      <c r="Z300" s="27" t="s">
        <v>7</v>
      </c>
      <c r="AA300" s="27" t="s">
        <v>8</v>
      </c>
      <c r="AK300" s="27" t="s">
        <v>8</v>
      </c>
      <c r="AY300" s="27" t="s">
        <v>8</v>
      </c>
    </row>
    <row r="301" spans="1:53" x14ac:dyDescent="0.25">
      <c r="A301" s="30">
        <v>5.0986213091898068E-2</v>
      </c>
      <c r="B301"/>
      <c r="C301"/>
      <c r="D301"/>
      <c r="E301"/>
      <c r="F301" s="27" t="s">
        <v>7</v>
      </c>
      <c r="Y301" s="27" t="s">
        <v>8</v>
      </c>
      <c r="Z301" s="27" t="s">
        <v>7</v>
      </c>
      <c r="AA301" s="27" t="s">
        <v>8</v>
      </c>
      <c r="AB301" s="27" t="s">
        <v>7</v>
      </c>
      <c r="AK301" s="27" t="s">
        <v>8</v>
      </c>
      <c r="AL301" s="27" t="s">
        <v>7</v>
      </c>
      <c r="AY301" s="27" t="s">
        <v>8</v>
      </c>
      <c r="AZ301" s="27" t="s">
        <v>7</v>
      </c>
    </row>
    <row r="302" spans="1:53" x14ac:dyDescent="0.25">
      <c r="A302" s="30">
        <v>4.8558298182760043E-2</v>
      </c>
      <c r="B302"/>
      <c r="C302"/>
      <c r="D302"/>
      <c r="E302"/>
      <c r="F302" s="27" t="s">
        <v>7</v>
      </c>
      <c r="Y302" s="27" t="s">
        <v>8</v>
      </c>
      <c r="Z302" s="27" t="s">
        <v>7</v>
      </c>
      <c r="AA302" s="27" t="s">
        <v>8</v>
      </c>
      <c r="AB302" s="27" t="s">
        <v>7</v>
      </c>
      <c r="AK302" s="27" t="s">
        <v>8</v>
      </c>
      <c r="AL302" s="27" t="s">
        <v>7</v>
      </c>
      <c r="AO302" s="27" t="s">
        <v>8</v>
      </c>
      <c r="AY302" s="27" t="s">
        <v>8</v>
      </c>
      <c r="AZ302" s="27" t="s">
        <v>7</v>
      </c>
    </row>
    <row r="303" spans="1:53" x14ac:dyDescent="0.25">
      <c r="A303" s="30">
        <v>4.6245998269295263E-2</v>
      </c>
      <c r="B303"/>
      <c r="C303"/>
      <c r="D303"/>
      <c r="E303"/>
      <c r="F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K303" s="27" t="s">
        <v>8</v>
      </c>
      <c r="AL303" s="27" t="s">
        <v>7</v>
      </c>
      <c r="AO303" s="27" t="s">
        <v>8</v>
      </c>
      <c r="AP303" s="27" t="s">
        <v>7</v>
      </c>
      <c r="AY303" s="27" t="s">
        <v>8</v>
      </c>
      <c r="AZ303" s="27" t="s">
        <v>7</v>
      </c>
    </row>
    <row r="304" spans="1:53" x14ac:dyDescent="0.25">
      <c r="A304" s="30">
        <v>4.4043807875519279E-2</v>
      </c>
      <c r="B304"/>
      <c r="C304"/>
      <c r="D304"/>
      <c r="E304"/>
      <c r="F304" s="27" t="s">
        <v>7</v>
      </c>
      <c r="Y304" s="27" t="s">
        <v>8</v>
      </c>
      <c r="Z304" s="27" t="s">
        <v>7</v>
      </c>
      <c r="AA304" s="27" t="s">
        <v>8</v>
      </c>
      <c r="AB304" s="27" t="s">
        <v>7</v>
      </c>
      <c r="AC304" s="27" t="s">
        <v>8</v>
      </c>
      <c r="AK304" s="27" t="s">
        <v>8</v>
      </c>
      <c r="AL304" s="27" t="s">
        <v>7</v>
      </c>
      <c r="AM304" s="27" t="s">
        <v>8</v>
      </c>
      <c r="AO304" s="27" t="s">
        <v>8</v>
      </c>
      <c r="AP304" s="27" t="s">
        <v>7</v>
      </c>
      <c r="AW304" s="27" t="s">
        <v>8</v>
      </c>
      <c r="AY304" s="27" t="s">
        <v>8</v>
      </c>
      <c r="AZ304" s="27" t="s">
        <v>7</v>
      </c>
      <c r="BA304" s="27" t="s">
        <v>8</v>
      </c>
    </row>
    <row r="305" spans="1:104" x14ac:dyDescent="0.25">
      <c r="A305" s="30">
        <v>4.1946483690970725E-2</v>
      </c>
      <c r="B305"/>
      <c r="C305"/>
      <c r="D305"/>
      <c r="E305"/>
      <c r="F305" s="27" t="s">
        <v>7</v>
      </c>
      <c r="Y305" s="27" t="s">
        <v>8</v>
      </c>
      <c r="Z305" s="27" t="s">
        <v>7</v>
      </c>
      <c r="AA305" s="27" t="s">
        <v>8</v>
      </c>
      <c r="AB305" s="27" t="s">
        <v>7</v>
      </c>
      <c r="AC305" s="27" t="s">
        <v>8</v>
      </c>
      <c r="AD305" s="27" t="s">
        <v>7</v>
      </c>
      <c r="AI305" s="27" t="s">
        <v>8</v>
      </c>
      <c r="AK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P305" s="27" t="s">
        <v>7</v>
      </c>
      <c r="AU305" s="27" t="s">
        <v>8</v>
      </c>
      <c r="AW305" s="27" t="s">
        <v>8</v>
      </c>
      <c r="AX305" s="27" t="s">
        <v>7</v>
      </c>
      <c r="AY305" s="27" t="s">
        <v>8</v>
      </c>
      <c r="AZ305" s="27" t="s">
        <v>7</v>
      </c>
      <c r="BA305" s="27" t="s">
        <v>8</v>
      </c>
      <c r="BB305" s="27" t="s">
        <v>7</v>
      </c>
    </row>
    <row r="306" spans="1:104" x14ac:dyDescent="0.25">
      <c r="A306" s="30">
        <v>3.9949032086638768E-2</v>
      </c>
      <c r="B306"/>
      <c r="C306"/>
      <c r="D306"/>
      <c r="E306"/>
      <c r="F306" s="27" t="s">
        <v>7</v>
      </c>
      <c r="Y306" s="27" t="s">
        <v>8</v>
      </c>
      <c r="Z306" s="27" t="s">
        <v>7</v>
      </c>
      <c r="AB306" s="27" t="s">
        <v>7</v>
      </c>
      <c r="AC306" s="27" t="s">
        <v>8</v>
      </c>
      <c r="AD306" s="27" t="s">
        <v>7</v>
      </c>
      <c r="AI306" s="27" t="s">
        <v>8</v>
      </c>
      <c r="AJ306" s="27" t="s">
        <v>7</v>
      </c>
      <c r="AK306" s="27" t="s">
        <v>8</v>
      </c>
      <c r="AL306" s="27" t="s">
        <v>7</v>
      </c>
      <c r="AM306" s="27" t="s">
        <v>8</v>
      </c>
      <c r="AN306" s="27" t="s">
        <v>7</v>
      </c>
      <c r="AO306" s="27" t="s">
        <v>8</v>
      </c>
      <c r="AP306" s="27" t="s">
        <v>7</v>
      </c>
      <c r="AU306" s="27" t="s">
        <v>8</v>
      </c>
      <c r="AV306" s="27" t="s">
        <v>7</v>
      </c>
      <c r="AW306" s="27" t="s">
        <v>8</v>
      </c>
      <c r="AX306" s="27" t="s">
        <v>7</v>
      </c>
      <c r="AY306" s="27" t="s">
        <v>8</v>
      </c>
      <c r="AZ306" s="27" t="s">
        <v>7</v>
      </c>
      <c r="BA306" s="27" t="s">
        <v>8</v>
      </c>
      <c r="BB306" s="27" t="s">
        <v>7</v>
      </c>
    </row>
    <row r="307" spans="1:104" x14ac:dyDescent="0.25">
      <c r="A307" s="30">
        <v>3.8046697225370241E-2</v>
      </c>
      <c r="B307"/>
      <c r="C307"/>
      <c r="D307"/>
      <c r="E307"/>
      <c r="F307" s="27" t="s">
        <v>7</v>
      </c>
      <c r="Y307" s="27" t="s">
        <v>8</v>
      </c>
      <c r="AB307" s="27" t="s">
        <v>7</v>
      </c>
      <c r="AC307" s="27" t="s">
        <v>8</v>
      </c>
      <c r="AD307" s="27" t="s">
        <v>7</v>
      </c>
      <c r="AI307" s="27" t="s">
        <v>8</v>
      </c>
      <c r="AJ307" s="27" t="s">
        <v>7</v>
      </c>
      <c r="AK307" s="27" t="s">
        <v>8</v>
      </c>
      <c r="AL307" s="27" t="s">
        <v>7</v>
      </c>
      <c r="AM307" s="27" t="s">
        <v>8</v>
      </c>
      <c r="AN307" s="27" t="s">
        <v>7</v>
      </c>
      <c r="AO307" s="27" t="s">
        <v>8</v>
      </c>
      <c r="AP307" s="27" t="s">
        <v>7</v>
      </c>
      <c r="AQ307" s="27" t="s">
        <v>8</v>
      </c>
      <c r="AS307" s="27" t="s">
        <v>8</v>
      </c>
      <c r="AU307" s="27" t="s">
        <v>8</v>
      </c>
      <c r="AV307" s="27" t="s">
        <v>7</v>
      </c>
      <c r="AW307" s="27" t="s">
        <v>8</v>
      </c>
      <c r="AX307" s="27" t="s">
        <v>7</v>
      </c>
      <c r="AY307" s="27" t="s">
        <v>8</v>
      </c>
      <c r="AZ307" s="27" t="s">
        <v>7</v>
      </c>
      <c r="BA307" s="27" t="s">
        <v>8</v>
      </c>
      <c r="BB307" s="27" t="s">
        <v>7</v>
      </c>
      <c r="CM307" s="27" t="s">
        <v>8</v>
      </c>
    </row>
    <row r="308" spans="1:104" x14ac:dyDescent="0.25">
      <c r="A308" s="30">
        <v>3.6234949738447833E-2</v>
      </c>
      <c r="B308"/>
      <c r="C308"/>
      <c r="D308"/>
      <c r="E308"/>
      <c r="F308" s="27" t="s">
        <v>7</v>
      </c>
      <c r="Y308" s="27" t="s">
        <v>8</v>
      </c>
      <c r="AB308" s="27" t="s">
        <v>7</v>
      </c>
      <c r="AD308" s="27" t="s">
        <v>7</v>
      </c>
      <c r="AE308" s="27" t="s">
        <v>8</v>
      </c>
      <c r="AI308" s="27" t="s">
        <v>8</v>
      </c>
      <c r="AJ308" s="27" t="s">
        <v>7</v>
      </c>
      <c r="AK308" s="27" t="s">
        <v>8</v>
      </c>
      <c r="AL308" s="27" t="s">
        <v>7</v>
      </c>
      <c r="AM308" s="27" t="s">
        <v>8</v>
      </c>
      <c r="AN308" s="27" t="s">
        <v>7</v>
      </c>
      <c r="AO308" s="27" t="s">
        <v>8</v>
      </c>
      <c r="AP308" s="27" t="s">
        <v>7</v>
      </c>
      <c r="AQ308" s="27" t="s">
        <v>8</v>
      </c>
      <c r="AR308" s="27" t="s">
        <v>7</v>
      </c>
      <c r="AS308" s="27" t="s">
        <v>8</v>
      </c>
      <c r="AT308" s="27" t="s">
        <v>7</v>
      </c>
      <c r="AU308" s="27" t="s">
        <v>8</v>
      </c>
      <c r="AV308" s="27" t="s">
        <v>7</v>
      </c>
      <c r="AX308" s="27" t="s">
        <v>7</v>
      </c>
      <c r="AZ308" s="27" t="s">
        <v>7</v>
      </c>
      <c r="BB308" s="27" t="s">
        <v>7</v>
      </c>
      <c r="CM308" s="27" t="s">
        <v>8</v>
      </c>
      <c r="CN308" s="27" t="s">
        <v>7</v>
      </c>
    </row>
    <row r="309" spans="1:104" x14ac:dyDescent="0.25">
      <c r="A309" s="30">
        <v>3.4509475941378875E-2</v>
      </c>
      <c r="B309"/>
      <c r="C309"/>
      <c r="D309"/>
      <c r="E309"/>
      <c r="F309" s="27" t="s">
        <v>7</v>
      </c>
      <c r="Y309" s="27" t="s">
        <v>8</v>
      </c>
      <c r="AD309" s="27" t="s">
        <v>7</v>
      </c>
      <c r="AE309" s="27" t="s">
        <v>8</v>
      </c>
      <c r="AF309" s="27" t="s">
        <v>7</v>
      </c>
      <c r="AI309" s="27" t="s">
        <v>8</v>
      </c>
      <c r="AJ309" s="27" t="s">
        <v>7</v>
      </c>
      <c r="AL309" s="27" t="s">
        <v>7</v>
      </c>
      <c r="AM309" s="27" t="s">
        <v>8</v>
      </c>
      <c r="AN309" s="27" t="s">
        <v>7</v>
      </c>
      <c r="AP309" s="27" t="s">
        <v>7</v>
      </c>
      <c r="AQ309" s="27" t="s">
        <v>8</v>
      </c>
      <c r="AR309" s="27" t="s">
        <v>7</v>
      </c>
      <c r="AS309" s="27" t="s">
        <v>8</v>
      </c>
      <c r="AT309" s="27" t="s">
        <v>7</v>
      </c>
      <c r="AU309" s="27" t="s">
        <v>8</v>
      </c>
      <c r="BB309" s="31" t="s">
        <v>7</v>
      </c>
      <c r="BG309" s="27" t="s">
        <v>8</v>
      </c>
      <c r="CM309" s="27" t="s">
        <v>8</v>
      </c>
      <c r="CN309" s="27" t="s">
        <v>7</v>
      </c>
    </row>
    <row r="310" spans="1:104" x14ac:dyDescent="0.25">
      <c r="A310" s="30">
        <v>3.286616756321796E-2</v>
      </c>
      <c r="B310"/>
      <c r="C310"/>
      <c r="D310"/>
      <c r="E310"/>
      <c r="F310" s="27" t="s">
        <v>7</v>
      </c>
      <c r="Y310" s="27" t="s">
        <v>8</v>
      </c>
      <c r="AD310" s="27" t="s">
        <v>7</v>
      </c>
      <c r="AE310" s="27" t="s">
        <v>8</v>
      </c>
      <c r="AF310" s="27" t="s">
        <v>7</v>
      </c>
      <c r="AG310" s="27" t="s">
        <v>8</v>
      </c>
      <c r="AI310" s="27" t="s">
        <v>8</v>
      </c>
      <c r="AL310" s="27" t="s">
        <v>7</v>
      </c>
      <c r="AP310" s="27" t="s">
        <v>7</v>
      </c>
      <c r="AR310" s="27" t="s">
        <v>7</v>
      </c>
      <c r="AS310" s="27" t="s">
        <v>8</v>
      </c>
      <c r="AT310" s="27" t="s">
        <v>7</v>
      </c>
      <c r="AU310" s="27" t="s">
        <v>8</v>
      </c>
      <c r="BB310" s="27" t="s">
        <v>7</v>
      </c>
      <c r="BC310" s="27" t="s">
        <v>8</v>
      </c>
      <c r="BG310" s="27" t="s">
        <v>8</v>
      </c>
      <c r="BH310" s="27" t="s">
        <v>7</v>
      </c>
      <c r="CI310" s="27" t="s">
        <v>8</v>
      </c>
      <c r="CK310" s="27" t="s">
        <v>8</v>
      </c>
      <c r="CM310" s="27" t="s">
        <v>8</v>
      </c>
      <c r="CN310" s="27" t="s">
        <v>7</v>
      </c>
      <c r="CO310" s="27" t="s">
        <v>8</v>
      </c>
    </row>
    <row r="311" spans="1:104" x14ac:dyDescent="0.25">
      <c r="A311" s="30">
        <v>3.1301111964969472E-2</v>
      </c>
      <c r="B311"/>
      <c r="C311"/>
      <c r="D311"/>
      <c r="E311"/>
      <c r="F311" s="27" t="s">
        <v>7</v>
      </c>
      <c r="W311" s="27" t="s">
        <v>8</v>
      </c>
      <c r="Y311" s="27" t="s">
        <v>8</v>
      </c>
      <c r="AD311" s="27" t="s">
        <v>7</v>
      </c>
      <c r="AE311" s="27" t="s">
        <v>8</v>
      </c>
      <c r="AF311" s="27" t="s">
        <v>7</v>
      </c>
      <c r="AG311" s="27" t="s">
        <v>8</v>
      </c>
      <c r="AH311" s="27" t="s">
        <v>7</v>
      </c>
      <c r="AI311" s="27" t="s">
        <v>8</v>
      </c>
      <c r="AR311" s="27" t="s">
        <v>7</v>
      </c>
      <c r="AT311" s="27" t="s">
        <v>7</v>
      </c>
      <c r="AU311" s="27" t="s">
        <v>8</v>
      </c>
      <c r="BB311" s="27" t="s">
        <v>7</v>
      </c>
      <c r="BC311" s="27" t="s">
        <v>8</v>
      </c>
      <c r="BD311" s="27" t="s">
        <v>7</v>
      </c>
      <c r="BG311" s="27" t="s">
        <v>8</v>
      </c>
      <c r="BH311" s="27" t="s">
        <v>7</v>
      </c>
      <c r="CI311" s="27" t="s">
        <v>8</v>
      </c>
      <c r="CJ311" s="27" t="s">
        <v>7</v>
      </c>
      <c r="CK311" s="27" t="s">
        <v>8</v>
      </c>
      <c r="CL311" s="27" t="s">
        <v>7</v>
      </c>
      <c r="CM311" s="27" t="s">
        <v>8</v>
      </c>
      <c r="CN311" s="27" t="s">
        <v>7</v>
      </c>
      <c r="CO311" s="27" t="s">
        <v>8</v>
      </c>
      <c r="CP311" s="27" t="s">
        <v>7</v>
      </c>
    </row>
    <row r="312" spans="1:104" x14ac:dyDescent="0.25">
      <c r="A312" s="30">
        <v>2.9810582823780438E-2</v>
      </c>
      <c r="B312"/>
      <c r="C312"/>
      <c r="D312"/>
      <c r="E312"/>
      <c r="F312" s="27" t="s">
        <v>7</v>
      </c>
      <c r="U312" s="27" t="s">
        <v>8</v>
      </c>
      <c r="W312" s="27" t="s">
        <v>8</v>
      </c>
      <c r="X312" s="27" t="s">
        <v>7</v>
      </c>
      <c r="Y312" s="27" t="s">
        <v>8</v>
      </c>
      <c r="AD312" s="27" t="s">
        <v>7</v>
      </c>
      <c r="AE312" s="27" t="s">
        <v>8</v>
      </c>
      <c r="AF312" s="27" t="s">
        <v>7</v>
      </c>
      <c r="AG312" s="27" t="s">
        <v>8</v>
      </c>
      <c r="AH312" s="27" t="s">
        <v>7</v>
      </c>
      <c r="AI312" s="27" t="s">
        <v>8</v>
      </c>
      <c r="AT312" s="27" t="s">
        <v>7</v>
      </c>
      <c r="AU312" s="27" t="s">
        <v>8</v>
      </c>
      <c r="BB312" s="27" t="s">
        <v>7</v>
      </c>
      <c r="BC312" s="27" t="s">
        <v>8</v>
      </c>
      <c r="BD312" s="27" t="s">
        <v>7</v>
      </c>
      <c r="BG312" s="32" t="s">
        <v>8</v>
      </c>
      <c r="BH312" s="27" t="s">
        <v>7</v>
      </c>
      <c r="CA312" s="27" t="s">
        <v>8</v>
      </c>
      <c r="CI312" s="27" t="s">
        <v>8</v>
      </c>
      <c r="CJ312" s="27" t="s">
        <v>7</v>
      </c>
      <c r="CK312" s="27" t="s">
        <v>8</v>
      </c>
      <c r="CL312" s="27" t="s">
        <v>7</v>
      </c>
      <c r="CM312" s="27" t="s">
        <v>8</v>
      </c>
      <c r="CN312" s="27" t="s">
        <v>7</v>
      </c>
      <c r="CO312" s="27" t="s">
        <v>8</v>
      </c>
      <c r="CP312" s="27" t="s">
        <v>7</v>
      </c>
      <c r="CQ312" s="27" t="s">
        <v>8</v>
      </c>
    </row>
    <row r="313" spans="1:104" x14ac:dyDescent="0.25">
      <c r="A313" s="30">
        <v>2.8391031260743264E-2</v>
      </c>
      <c r="B313"/>
      <c r="C313"/>
      <c r="D313"/>
      <c r="E313"/>
      <c r="F313" s="27" t="s">
        <v>7</v>
      </c>
      <c r="U313" s="27" t="s">
        <v>8</v>
      </c>
      <c r="V313" s="27" t="s">
        <v>7</v>
      </c>
      <c r="W313" s="27" t="s">
        <v>8</v>
      </c>
      <c r="X313" s="27" t="s">
        <v>7</v>
      </c>
      <c r="Y313" s="27" t="s">
        <v>8</v>
      </c>
      <c r="AD313" s="27" t="s">
        <v>7</v>
      </c>
      <c r="AE313" s="27" t="s">
        <v>8</v>
      </c>
      <c r="AF313" s="27" t="s">
        <v>7</v>
      </c>
      <c r="AH313" s="27" t="s">
        <v>7</v>
      </c>
      <c r="AI313" s="27" t="s">
        <v>8</v>
      </c>
      <c r="AT313" s="27" t="s">
        <v>7</v>
      </c>
      <c r="BB313" s="27" t="s">
        <v>7</v>
      </c>
      <c r="BC313" s="27" t="s">
        <v>8</v>
      </c>
      <c r="BD313" s="27" t="s">
        <v>7</v>
      </c>
      <c r="BE313" s="27" t="s">
        <v>8</v>
      </c>
      <c r="BG313" s="27" t="s">
        <v>8</v>
      </c>
      <c r="BH313" s="27" t="s">
        <v>7</v>
      </c>
      <c r="BI313" s="27" t="s">
        <v>8</v>
      </c>
      <c r="CA313" s="27" t="s">
        <v>8</v>
      </c>
      <c r="CB313" s="27" t="s">
        <v>7</v>
      </c>
      <c r="CI313" s="27" t="s">
        <v>8</v>
      </c>
      <c r="CJ313" s="27" t="s">
        <v>7</v>
      </c>
      <c r="CL313" s="27" t="s">
        <v>7</v>
      </c>
      <c r="CM313" s="27" t="s">
        <v>8</v>
      </c>
      <c r="CN313" s="27" t="s">
        <v>7</v>
      </c>
      <c r="CP313" s="27" t="s">
        <v>7</v>
      </c>
      <c r="CQ313" s="27" t="s">
        <v>8</v>
      </c>
      <c r="CR313" s="27" t="s">
        <v>7</v>
      </c>
    </row>
    <row r="314" spans="1:104" x14ac:dyDescent="0.25">
      <c r="A314" s="30">
        <v>2.7039077391184052E-2</v>
      </c>
      <c r="B314"/>
      <c r="C314"/>
      <c r="D314"/>
      <c r="E314"/>
      <c r="F314" s="27" t="s">
        <v>7</v>
      </c>
      <c r="U314" s="27" t="s">
        <v>8</v>
      </c>
      <c r="V314" s="27" t="s">
        <v>7</v>
      </c>
      <c r="W314" s="27" t="s">
        <v>8</v>
      </c>
      <c r="X314" s="27" t="s">
        <v>7</v>
      </c>
      <c r="Y314" s="27" t="s">
        <v>8</v>
      </c>
      <c r="AD314" s="27" t="s">
        <v>7</v>
      </c>
      <c r="AE314" s="27" t="s">
        <v>8</v>
      </c>
      <c r="AH314" s="27" t="s">
        <v>7</v>
      </c>
      <c r="BB314" s="27" t="s">
        <v>7</v>
      </c>
      <c r="BC314" s="27" t="s">
        <v>8</v>
      </c>
      <c r="BD314" s="27" t="s">
        <v>7</v>
      </c>
      <c r="BE314" s="27" t="s">
        <v>8</v>
      </c>
      <c r="BF314" s="27" t="s">
        <v>7</v>
      </c>
      <c r="BG314" s="27" t="s">
        <v>8</v>
      </c>
      <c r="BH314" s="27" t="s">
        <v>7</v>
      </c>
      <c r="BI314" s="27" t="s">
        <v>8</v>
      </c>
      <c r="BJ314" s="27" t="s">
        <v>7</v>
      </c>
      <c r="CA314" s="27" t="s">
        <v>8</v>
      </c>
      <c r="CB314" s="27" t="s">
        <v>7</v>
      </c>
      <c r="CC314" s="27" t="s">
        <v>8</v>
      </c>
      <c r="CI314" s="27" t="s">
        <v>8</v>
      </c>
      <c r="CL314" s="27" t="s">
        <v>7</v>
      </c>
      <c r="CM314" s="27" t="s">
        <v>8</v>
      </c>
      <c r="CP314" s="27" t="s">
        <v>7</v>
      </c>
      <c r="CQ314" s="27" t="s">
        <v>8</v>
      </c>
      <c r="CR314" s="27" t="s">
        <v>7</v>
      </c>
    </row>
    <row r="315" spans="1:104" x14ac:dyDescent="0.25">
      <c r="A315" s="30">
        <v>2.5751502277318133E-2</v>
      </c>
      <c r="B315"/>
      <c r="C315"/>
      <c r="D315"/>
      <c r="E315"/>
      <c r="F315" s="27" t="s">
        <v>7</v>
      </c>
      <c r="O315" s="27" t="s">
        <v>8</v>
      </c>
      <c r="U315" s="27" t="s">
        <v>8</v>
      </c>
      <c r="V315" s="27" t="s">
        <v>7</v>
      </c>
      <c r="X315" s="27" t="s">
        <v>7</v>
      </c>
      <c r="Y315" s="27" t="s">
        <v>8</v>
      </c>
      <c r="AD315" s="27" t="s">
        <v>7</v>
      </c>
      <c r="AE315" s="27" t="s">
        <v>8</v>
      </c>
      <c r="BB315" s="27" t="s">
        <v>7</v>
      </c>
      <c r="BC315" s="27" t="s">
        <v>8</v>
      </c>
      <c r="BD315" s="27" t="s">
        <v>7</v>
      </c>
      <c r="BE315" s="27" t="s">
        <v>8</v>
      </c>
      <c r="BF315" s="27" t="s">
        <v>7</v>
      </c>
      <c r="BG315" s="27" t="s">
        <v>8</v>
      </c>
      <c r="BH315" s="27" t="s">
        <v>7</v>
      </c>
      <c r="BI315" s="27" t="s">
        <v>8</v>
      </c>
      <c r="BJ315" s="27" t="s">
        <v>7</v>
      </c>
      <c r="BY315" s="27" t="s">
        <v>8</v>
      </c>
      <c r="CA315" s="27" t="s">
        <v>8</v>
      </c>
      <c r="CB315" s="27" t="s">
        <v>7</v>
      </c>
      <c r="CC315" s="27" t="s">
        <v>8</v>
      </c>
      <c r="CD315" s="27" t="s">
        <v>7</v>
      </c>
      <c r="CI315" s="27" t="s">
        <v>8</v>
      </c>
      <c r="CL315" s="27" t="s">
        <v>7</v>
      </c>
      <c r="CP315" s="27" t="s">
        <v>7</v>
      </c>
      <c r="CR315" s="27" t="s">
        <v>7</v>
      </c>
    </row>
    <row r="316" spans="1:104" x14ac:dyDescent="0.25">
      <c r="A316" s="30">
        <v>2.4525240264112496E-2</v>
      </c>
      <c r="B316"/>
      <c r="C316"/>
      <c r="D316"/>
      <c r="E316"/>
      <c r="F316" s="27" t="s">
        <v>7</v>
      </c>
      <c r="O316" s="27" t="s">
        <v>8</v>
      </c>
      <c r="P316" s="27" t="s">
        <v>7</v>
      </c>
      <c r="U316" s="27" t="s">
        <v>8</v>
      </c>
      <c r="X316" s="27" t="s">
        <v>7</v>
      </c>
      <c r="Y316" s="27" t="s">
        <v>8</v>
      </c>
      <c r="AD316" s="27" t="s">
        <v>7</v>
      </c>
      <c r="BB316" s="27" t="s">
        <v>7</v>
      </c>
      <c r="BC316" s="27" t="s">
        <v>8</v>
      </c>
      <c r="BD316" s="27" t="s">
        <v>7</v>
      </c>
      <c r="BE316" s="27" t="s">
        <v>8</v>
      </c>
      <c r="BF316" s="27" t="s">
        <v>7</v>
      </c>
      <c r="BG316" s="27" t="s">
        <v>8</v>
      </c>
      <c r="BH316" s="27" t="s">
        <v>7</v>
      </c>
      <c r="BI316" s="27" t="s">
        <v>8</v>
      </c>
      <c r="BJ316" s="27" t="s">
        <v>7</v>
      </c>
      <c r="BY316" s="27" t="s">
        <v>8</v>
      </c>
      <c r="BZ316" s="27" t="s">
        <v>7</v>
      </c>
      <c r="CA316" s="27" t="s">
        <v>8</v>
      </c>
      <c r="CB316" s="27" t="s">
        <v>7</v>
      </c>
      <c r="CC316" s="27" t="s">
        <v>8</v>
      </c>
      <c r="CD316" s="27" t="s">
        <v>7</v>
      </c>
      <c r="CI316" s="27" t="s">
        <v>8</v>
      </c>
      <c r="CR316" s="27" t="s">
        <v>7</v>
      </c>
    </row>
    <row r="317" spans="1:104" x14ac:dyDescent="0.25">
      <c r="A317" s="30">
        <v>2.3357371680107129E-2</v>
      </c>
      <c r="B317"/>
      <c r="C317"/>
      <c r="D317"/>
      <c r="E317"/>
      <c r="F317" s="27" t="s">
        <v>7</v>
      </c>
      <c r="O317" s="27" t="s">
        <v>8</v>
      </c>
      <c r="P317" s="27" t="s">
        <v>7</v>
      </c>
      <c r="Q317" s="27" t="s">
        <v>8</v>
      </c>
      <c r="U317" s="27" t="s">
        <v>8</v>
      </c>
      <c r="X317" s="27" t="s">
        <v>7</v>
      </c>
      <c r="BB317" s="27" t="s">
        <v>7</v>
      </c>
      <c r="BC317" s="27" t="s">
        <v>8</v>
      </c>
      <c r="BD317" s="27" t="s">
        <v>7</v>
      </c>
      <c r="BF317" s="27" t="s">
        <v>7</v>
      </c>
      <c r="BG317" s="27" t="s">
        <v>8</v>
      </c>
      <c r="BH317" s="27" t="s">
        <v>7</v>
      </c>
      <c r="BJ317" s="27" t="s">
        <v>7</v>
      </c>
      <c r="BK317" s="27" t="s">
        <v>8</v>
      </c>
      <c r="BM317" s="27" t="s">
        <v>8</v>
      </c>
      <c r="BU317" s="27" t="s">
        <v>8</v>
      </c>
      <c r="BW317" s="27" t="s">
        <v>8</v>
      </c>
      <c r="BY317" s="27" t="s">
        <v>8</v>
      </c>
      <c r="BZ317" s="27" t="s">
        <v>7</v>
      </c>
      <c r="CA317" s="27" t="s">
        <v>8</v>
      </c>
      <c r="CB317" s="27" t="s">
        <v>7</v>
      </c>
      <c r="CC317" s="27" t="s">
        <v>8</v>
      </c>
      <c r="CD317" s="27" t="s">
        <v>7</v>
      </c>
      <c r="CI317" s="27" t="s">
        <v>8</v>
      </c>
      <c r="CR317" s="27" t="s">
        <v>7</v>
      </c>
    </row>
    <row r="318" spans="1:104" x14ac:dyDescent="0.25">
      <c r="A318" s="30">
        <v>2.2245115885816305E-2</v>
      </c>
      <c r="B318"/>
      <c r="C318"/>
      <c r="D318"/>
      <c r="E318"/>
      <c r="F318" s="27" t="s">
        <v>7</v>
      </c>
      <c r="O318" s="27" t="s">
        <v>8</v>
      </c>
      <c r="P318" s="27" t="s">
        <v>7</v>
      </c>
      <c r="Q318" s="27" t="s">
        <v>8</v>
      </c>
      <c r="R318" s="27" t="s">
        <v>7</v>
      </c>
      <c r="U318" s="27" t="s">
        <v>8</v>
      </c>
      <c r="BB318" s="27" t="s">
        <v>7</v>
      </c>
      <c r="BC318" s="27" t="s">
        <v>8</v>
      </c>
      <c r="BF318" s="27" t="s">
        <v>7</v>
      </c>
      <c r="BG318" s="27" t="s">
        <v>8</v>
      </c>
      <c r="BJ318" s="31" t="s">
        <v>7</v>
      </c>
      <c r="BK318" s="27" t="s">
        <v>8</v>
      </c>
      <c r="BL318" s="27" t="s">
        <v>7</v>
      </c>
      <c r="BM318" s="27" t="s">
        <v>8</v>
      </c>
      <c r="BN318" s="27" t="s">
        <v>7</v>
      </c>
      <c r="BU318" s="27" t="s">
        <v>8</v>
      </c>
      <c r="BV318" s="27" t="s">
        <v>7</v>
      </c>
      <c r="BW318" s="27" t="s">
        <v>8</v>
      </c>
      <c r="BX318" s="27" t="s">
        <v>7</v>
      </c>
      <c r="BY318" s="27" t="s">
        <v>8</v>
      </c>
      <c r="BZ318" s="27" t="s">
        <v>7</v>
      </c>
      <c r="CB318" s="27" t="s">
        <v>7</v>
      </c>
      <c r="CC318" s="27" t="s">
        <v>8</v>
      </c>
      <c r="CD318" s="27" t="s">
        <v>7</v>
      </c>
      <c r="CG318" s="27" t="s">
        <v>8</v>
      </c>
      <c r="CI318" s="27" t="s">
        <v>8</v>
      </c>
      <c r="CR318" s="27" t="s">
        <v>7</v>
      </c>
      <c r="CY318" s="27" t="s">
        <v>8</v>
      </c>
    </row>
    <row r="319" spans="1:104" x14ac:dyDescent="0.25">
      <c r="A319" s="30">
        <v>2.1185824653158377E-2</v>
      </c>
      <c r="B319"/>
      <c r="C319"/>
      <c r="D319"/>
      <c r="E319"/>
      <c r="F319" s="27" t="s">
        <v>7</v>
      </c>
      <c r="O319" s="27" t="s">
        <v>8</v>
      </c>
      <c r="P319" s="27" t="s">
        <v>7</v>
      </c>
      <c r="Q319" s="27" t="s">
        <v>8</v>
      </c>
      <c r="R319" s="27" t="s">
        <v>7</v>
      </c>
      <c r="U319" s="27" t="s">
        <v>8</v>
      </c>
      <c r="BB319" s="27" t="s">
        <v>7</v>
      </c>
      <c r="BC319" s="27" t="s">
        <v>8</v>
      </c>
      <c r="BF319" s="27" t="s">
        <v>7</v>
      </c>
      <c r="BG319" s="27" t="s">
        <v>8</v>
      </c>
      <c r="BJ319" s="27" t="s">
        <v>7</v>
      </c>
      <c r="BK319" s="27" t="s">
        <v>8</v>
      </c>
      <c r="BL319" s="27" t="s">
        <v>7</v>
      </c>
      <c r="BM319" s="27" t="s">
        <v>8</v>
      </c>
      <c r="BN319" s="27" t="s">
        <v>7</v>
      </c>
      <c r="BU319" s="27" t="s">
        <v>8</v>
      </c>
      <c r="BV319" s="27" t="s">
        <v>7</v>
      </c>
      <c r="BW319" s="27" t="s">
        <v>8</v>
      </c>
      <c r="BX319" s="27" t="s">
        <v>7</v>
      </c>
      <c r="BY319" s="27" t="s">
        <v>8</v>
      </c>
      <c r="CB319" s="27" t="s">
        <v>7</v>
      </c>
      <c r="CC319" s="27" t="s">
        <v>8</v>
      </c>
      <c r="CD319" s="27" t="s">
        <v>7</v>
      </c>
      <c r="CG319" s="27" t="s">
        <v>8</v>
      </c>
      <c r="CH319" s="27" t="s">
        <v>7</v>
      </c>
      <c r="CI319" s="27" t="s">
        <v>8</v>
      </c>
      <c r="CR319" s="27" t="s">
        <v>7</v>
      </c>
      <c r="CS319" s="27" t="s">
        <v>8</v>
      </c>
      <c r="CU319" s="27" t="s">
        <v>8</v>
      </c>
      <c r="CW319" s="27" t="s">
        <v>8</v>
      </c>
      <c r="CY319" s="27" t="s">
        <v>8</v>
      </c>
      <c r="CZ319" s="27" t="s">
        <v>7</v>
      </c>
    </row>
    <row r="320" spans="1:104" x14ac:dyDescent="0.25">
      <c r="A320" s="30">
        <v>2.0176975860150829E-2</v>
      </c>
      <c r="B320"/>
      <c r="C320"/>
      <c r="D320"/>
      <c r="E320"/>
      <c r="F320" s="27" t="s">
        <v>7</v>
      </c>
      <c r="M320" s="27" t="s">
        <v>8</v>
      </c>
      <c r="O320" s="27" t="s">
        <v>8</v>
      </c>
      <c r="P320" s="27" t="s">
        <v>7</v>
      </c>
      <c r="R320" s="27" t="s">
        <v>7</v>
      </c>
      <c r="S320" s="27" t="s">
        <v>8</v>
      </c>
      <c r="U320" s="27" t="s">
        <v>8</v>
      </c>
      <c r="BB320" s="27" t="s">
        <v>7</v>
      </c>
      <c r="BC320" s="27" t="s">
        <v>8</v>
      </c>
      <c r="BF320" s="27" t="s">
        <v>7</v>
      </c>
      <c r="BG320" s="27" t="s">
        <v>8</v>
      </c>
      <c r="BJ320" s="27" t="s">
        <v>7</v>
      </c>
      <c r="BK320" s="27" t="s">
        <v>8</v>
      </c>
      <c r="BL320" s="27" t="s">
        <v>7</v>
      </c>
      <c r="BN320" s="27" t="s">
        <v>7</v>
      </c>
      <c r="BU320" s="27" t="s">
        <v>8</v>
      </c>
      <c r="BV320" s="27" t="s">
        <v>7</v>
      </c>
      <c r="BX320" s="27" t="s">
        <v>7</v>
      </c>
      <c r="BY320" s="27" t="s">
        <v>8</v>
      </c>
      <c r="CB320" s="27" t="s">
        <v>7</v>
      </c>
      <c r="CC320" s="27" t="s">
        <v>8</v>
      </c>
      <c r="CD320" s="27" t="s">
        <v>7</v>
      </c>
      <c r="CE320" s="27" t="s">
        <v>8</v>
      </c>
      <c r="CG320" s="27" t="s">
        <v>8</v>
      </c>
      <c r="CH320" s="27" t="s">
        <v>7</v>
      </c>
      <c r="CI320" s="27" t="s">
        <v>8</v>
      </c>
      <c r="CR320" s="27" t="s">
        <v>7</v>
      </c>
      <c r="CS320" s="27" t="s">
        <v>8</v>
      </c>
      <c r="CT320" s="27" t="s">
        <v>7</v>
      </c>
      <c r="CU320" s="27" t="s">
        <v>8</v>
      </c>
      <c r="CV320" s="27" t="s">
        <v>7</v>
      </c>
      <c r="CW320" s="27" t="s">
        <v>8</v>
      </c>
      <c r="CX320" s="27" t="s">
        <v>7</v>
      </c>
      <c r="CY320" s="27" t="s">
        <v>8</v>
      </c>
      <c r="CZ320" s="27" t="s">
        <v>7</v>
      </c>
    </row>
    <row r="321" spans="1:107" x14ac:dyDescent="0.25">
      <c r="A321" s="30">
        <v>1.9216167485857926E-2</v>
      </c>
      <c r="B321"/>
      <c r="C321"/>
      <c r="D321"/>
      <c r="E321"/>
      <c r="F321" s="27" t="s">
        <v>7</v>
      </c>
      <c r="M321" s="27" t="s">
        <v>8</v>
      </c>
      <c r="N321" s="27" t="s">
        <v>7</v>
      </c>
      <c r="O321" s="27" t="s">
        <v>8</v>
      </c>
      <c r="R321" s="27" t="s">
        <v>7</v>
      </c>
      <c r="S321" s="27" t="s">
        <v>8</v>
      </c>
      <c r="T321" s="27" t="s">
        <v>7</v>
      </c>
      <c r="U321" s="27" t="s">
        <v>8</v>
      </c>
      <c r="BB321" s="27" t="s">
        <v>7</v>
      </c>
      <c r="BC321" s="27" t="s">
        <v>8</v>
      </c>
      <c r="BF321" s="27" t="s">
        <v>7</v>
      </c>
      <c r="BG321" s="27" t="s">
        <v>8</v>
      </c>
      <c r="BJ321" s="27" t="s">
        <v>7</v>
      </c>
      <c r="BN321" s="27" t="s">
        <v>7</v>
      </c>
      <c r="BU321" s="27" t="s">
        <v>8</v>
      </c>
      <c r="BX321" s="27" t="s">
        <v>7</v>
      </c>
      <c r="CB321" s="27" t="s">
        <v>7</v>
      </c>
      <c r="CD321" s="27" t="s">
        <v>7</v>
      </c>
      <c r="CE321" s="27" t="s">
        <v>8</v>
      </c>
      <c r="CF321" s="27" t="s">
        <v>7</v>
      </c>
      <c r="CG321" s="27" t="s">
        <v>8</v>
      </c>
      <c r="CH321" s="27" t="s">
        <v>7</v>
      </c>
      <c r="CR321" s="27" t="s">
        <v>7</v>
      </c>
      <c r="CS321" s="27" t="s">
        <v>8</v>
      </c>
      <c r="CT321" s="27" t="s">
        <v>7</v>
      </c>
      <c r="CU321" s="27" t="s">
        <v>8</v>
      </c>
      <c r="CV321" s="27" t="s">
        <v>7</v>
      </c>
      <c r="CW321" s="27" t="s">
        <v>8</v>
      </c>
      <c r="CX321" s="27" t="s">
        <v>7</v>
      </c>
      <c r="CY321" s="27" t="s">
        <v>8</v>
      </c>
      <c r="CZ321" s="27" t="s">
        <v>7</v>
      </c>
    </row>
    <row r="322" spans="1:107" x14ac:dyDescent="0.25">
      <c r="A322" s="30">
        <v>1.8301111891293256E-2</v>
      </c>
      <c r="B322"/>
      <c r="C322"/>
      <c r="D322"/>
      <c r="E322"/>
      <c r="F322" s="27" t="s">
        <v>7</v>
      </c>
      <c r="M322" s="27" t="s">
        <v>8</v>
      </c>
      <c r="N322" s="27" t="s">
        <v>7</v>
      </c>
      <c r="O322" s="27" t="s">
        <v>8</v>
      </c>
      <c r="R322" s="27" t="s">
        <v>7</v>
      </c>
      <c r="S322" s="27" t="s">
        <v>8</v>
      </c>
      <c r="T322" s="27" t="s">
        <v>7</v>
      </c>
      <c r="U322" s="27" t="s">
        <v>8</v>
      </c>
      <c r="BB322" s="27" t="s">
        <v>7</v>
      </c>
      <c r="BC322" s="27" t="s">
        <v>8</v>
      </c>
      <c r="BF322" s="27" t="s">
        <v>7</v>
      </c>
      <c r="BG322" s="27" t="s">
        <v>8</v>
      </c>
      <c r="BN322" s="27" t="s">
        <v>7</v>
      </c>
      <c r="BU322" s="27" t="s">
        <v>8</v>
      </c>
      <c r="CD322" s="27" t="s">
        <v>7</v>
      </c>
      <c r="CE322" s="27" t="s">
        <v>8</v>
      </c>
      <c r="CF322" s="27" t="s">
        <v>7</v>
      </c>
      <c r="CG322" s="27" t="s">
        <v>8</v>
      </c>
      <c r="CR322" s="27" t="s">
        <v>7</v>
      </c>
      <c r="CS322" s="27" t="s">
        <v>8</v>
      </c>
      <c r="CT322" s="27" t="s">
        <v>7</v>
      </c>
      <c r="CV322" s="27" t="s">
        <v>7</v>
      </c>
      <c r="CW322" s="27" t="s">
        <v>8</v>
      </c>
      <c r="CX322" s="27" t="s">
        <v>7</v>
      </c>
      <c r="CY322" s="27" t="s">
        <v>8</v>
      </c>
      <c r="CZ322" s="27" t="s">
        <v>7</v>
      </c>
    </row>
    <row r="323" spans="1:107" x14ac:dyDescent="0.25">
      <c r="A323" s="30">
        <v>1.7429630372660238E-2</v>
      </c>
      <c r="B323"/>
      <c r="C323"/>
      <c r="D323"/>
      <c r="E323"/>
      <c r="F323" s="27" t="s">
        <v>7</v>
      </c>
      <c r="M323" s="27" t="s">
        <v>8</v>
      </c>
      <c r="N323" s="27" t="s">
        <v>7</v>
      </c>
      <c r="O323" s="27" t="s">
        <v>8</v>
      </c>
      <c r="R323" s="27" t="s">
        <v>7</v>
      </c>
      <c r="T323" s="27" t="s">
        <v>7</v>
      </c>
      <c r="BB323" s="27" t="s">
        <v>7</v>
      </c>
      <c r="BF323" s="27" t="s">
        <v>7</v>
      </c>
      <c r="BN323" s="27" t="s">
        <v>7</v>
      </c>
      <c r="BU323" s="32" t="s">
        <v>8</v>
      </c>
      <c r="CD323" s="27" t="s">
        <v>7</v>
      </c>
      <c r="CF323" s="27" t="s">
        <v>7</v>
      </c>
      <c r="CR323" s="27" t="s">
        <v>7</v>
      </c>
      <c r="CS323" s="27" t="s">
        <v>8</v>
      </c>
      <c r="CV323" s="27" t="s">
        <v>7</v>
      </c>
      <c r="CW323" s="27" t="s">
        <v>8</v>
      </c>
      <c r="CX323" s="27" t="s">
        <v>7</v>
      </c>
      <c r="CZ323" s="27" t="s">
        <v>7</v>
      </c>
    </row>
    <row r="324" spans="1:107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M324" s="27" t="s">
        <v>8</v>
      </c>
      <c r="N324" s="27" t="s">
        <v>7</v>
      </c>
      <c r="O324" s="27" t="s">
        <v>8</v>
      </c>
      <c r="BN324" s="27" t="s">
        <v>7</v>
      </c>
      <c r="BQ324" s="32" t="s">
        <v>8</v>
      </c>
      <c r="BS324" s="27" t="s">
        <v>8</v>
      </c>
      <c r="BU324" s="27" t="s">
        <v>8</v>
      </c>
      <c r="CR324" s="27" t="s">
        <v>7</v>
      </c>
      <c r="CS324" s="27" t="s">
        <v>8</v>
      </c>
      <c r="CV324" s="27" t="s">
        <v>7</v>
      </c>
      <c r="CZ324" s="27" t="s">
        <v>7</v>
      </c>
    </row>
    <row r="325" spans="1:107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M325" s="27" t="s">
        <v>8</v>
      </c>
      <c r="N325" s="27" t="s">
        <v>7</v>
      </c>
      <c r="O325" s="27" t="s">
        <v>8</v>
      </c>
      <c r="BN325" s="27" t="s">
        <v>7</v>
      </c>
      <c r="BO325" s="27" t="s">
        <v>8</v>
      </c>
      <c r="BQ325" s="27" t="s">
        <v>8</v>
      </c>
      <c r="BR325" s="27" t="s">
        <v>7</v>
      </c>
      <c r="BS325" s="27" t="s">
        <v>8</v>
      </c>
      <c r="BT325" s="27" t="s">
        <v>7</v>
      </c>
      <c r="BU325" s="27" t="s">
        <v>8</v>
      </c>
      <c r="CR325" s="27" t="s">
        <v>7</v>
      </c>
      <c r="CZ325" s="27" t="s">
        <v>7</v>
      </c>
    </row>
    <row r="326" spans="1:107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H326" s="27" t="s">
        <v>7</v>
      </c>
      <c r="M326" s="27" t="s">
        <v>8</v>
      </c>
      <c r="N326" s="27" t="s">
        <v>7</v>
      </c>
      <c r="BN326" s="27" t="s">
        <v>7</v>
      </c>
      <c r="BO326" s="27" t="s">
        <v>8</v>
      </c>
      <c r="BP326" s="27" t="s">
        <v>7</v>
      </c>
      <c r="BQ326" s="27" t="s">
        <v>8</v>
      </c>
      <c r="BR326" s="27" t="s">
        <v>7</v>
      </c>
      <c r="BS326" s="27" t="s">
        <v>8</v>
      </c>
      <c r="BT326" s="27" t="s">
        <v>7</v>
      </c>
      <c r="BU326" s="27" t="s">
        <v>8</v>
      </c>
      <c r="CZ326" s="27" t="s">
        <v>7</v>
      </c>
    </row>
    <row r="327" spans="1:107" x14ac:dyDescent="0.25">
      <c r="A327" s="30">
        <v>1.4339400042295308E-2</v>
      </c>
      <c r="B327"/>
      <c r="C327"/>
      <c r="D327"/>
      <c r="E327"/>
      <c r="F327" s="27" t="s">
        <v>7</v>
      </c>
      <c r="G327" s="27" t="s">
        <v>8</v>
      </c>
      <c r="H327" s="27" t="s">
        <v>7</v>
      </c>
      <c r="M327" s="27" t="s">
        <v>8</v>
      </c>
      <c r="BN327" s="27" t="s">
        <v>7</v>
      </c>
      <c r="BO327" s="27" t="s">
        <v>8</v>
      </c>
      <c r="BP327" s="27" t="s">
        <v>7</v>
      </c>
      <c r="BQ327" s="27" t="s">
        <v>8</v>
      </c>
      <c r="BR327" s="27" t="s">
        <v>7</v>
      </c>
      <c r="BT327" s="27" t="s">
        <v>7</v>
      </c>
      <c r="BU327" s="27" t="s">
        <v>8</v>
      </c>
      <c r="CZ327" s="27" t="s">
        <v>7</v>
      </c>
    </row>
    <row r="328" spans="1:107" x14ac:dyDescent="0.25">
      <c r="A328" s="30">
        <v>1.365657146885267E-2</v>
      </c>
      <c r="B328"/>
      <c r="C328"/>
      <c r="D328"/>
      <c r="E328"/>
      <c r="F328" s="27" t="s">
        <v>7</v>
      </c>
      <c r="G328" s="27" t="s">
        <v>8</v>
      </c>
      <c r="H328" s="27" t="s">
        <v>7</v>
      </c>
      <c r="M328" s="27" t="s">
        <v>8</v>
      </c>
      <c r="BN328" s="27" t="s">
        <v>7</v>
      </c>
      <c r="BO328" s="27" t="s">
        <v>8</v>
      </c>
      <c r="BP328" s="27" t="s">
        <v>7</v>
      </c>
      <c r="BT328" s="31" t="s">
        <v>7</v>
      </c>
      <c r="BU328" s="27" t="s">
        <v>8</v>
      </c>
      <c r="CZ328" s="27" t="s">
        <v>7</v>
      </c>
    </row>
    <row r="329" spans="1:107" x14ac:dyDescent="0.25">
      <c r="A329" s="30">
        <v>1.3006258541764442E-2</v>
      </c>
      <c r="B329"/>
      <c r="C329"/>
      <c r="D329"/>
      <c r="E329"/>
      <c r="F329" s="27" t="s">
        <v>7</v>
      </c>
      <c r="G329" s="27" t="s">
        <v>8</v>
      </c>
      <c r="H329" s="27" t="s">
        <v>7</v>
      </c>
      <c r="M329" s="27" t="s">
        <v>8</v>
      </c>
      <c r="BN329" s="27" t="s">
        <v>7</v>
      </c>
      <c r="BO329" s="27" t="s">
        <v>8</v>
      </c>
      <c r="BT329" s="18" t="s">
        <v>7</v>
      </c>
      <c r="BU329" s="27" t="s">
        <v>8</v>
      </c>
      <c r="CZ329" s="27" t="s">
        <v>7</v>
      </c>
    </row>
    <row r="330" spans="1:107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H330" s="27" t="s">
        <v>7</v>
      </c>
      <c r="M330" s="27" t="s">
        <v>8</v>
      </c>
      <c r="BN330" s="27" t="s">
        <v>7</v>
      </c>
      <c r="BT330" s="27" t="s">
        <v>7</v>
      </c>
      <c r="BU330" s="27" t="s">
        <v>8</v>
      </c>
      <c r="CZ330" s="27" t="s">
        <v>7</v>
      </c>
    </row>
    <row r="331" spans="1:107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M331" s="27" t="s">
        <v>8</v>
      </c>
      <c r="BT331" s="27" t="s">
        <v>7</v>
      </c>
      <c r="BU331" s="27" t="s">
        <v>8</v>
      </c>
      <c r="CZ331" s="27" t="s">
        <v>7</v>
      </c>
    </row>
    <row r="332" spans="1:107" x14ac:dyDescent="0.25">
      <c r="A332" s="30">
        <v>1.1235295144597281E-2</v>
      </c>
      <c r="B332"/>
      <c r="C332"/>
      <c r="D332"/>
      <c r="E332"/>
      <c r="F332" s="27" t="s">
        <v>7</v>
      </c>
      <c r="H332" s="27" t="s">
        <v>7</v>
      </c>
      <c r="I332" s="27" t="s">
        <v>8</v>
      </c>
      <c r="M332" s="27" t="s">
        <v>8</v>
      </c>
      <c r="BT332" s="27" t="s">
        <v>7</v>
      </c>
      <c r="CZ332" s="27" t="s">
        <v>7</v>
      </c>
    </row>
    <row r="333" spans="1:107" x14ac:dyDescent="0.25">
      <c r="A333" s="30">
        <v>1.0700281090092644E-2</v>
      </c>
      <c r="B333"/>
      <c r="C333"/>
      <c r="D333"/>
      <c r="E333"/>
      <c r="H333" s="27" t="s">
        <v>7</v>
      </c>
      <c r="I333" s="27" t="s">
        <v>8</v>
      </c>
      <c r="J333" s="27" t="s">
        <v>7</v>
      </c>
      <c r="K333" s="27" t="s">
        <v>8</v>
      </c>
      <c r="M333" s="27" t="s">
        <v>8</v>
      </c>
      <c r="CZ333" s="27" t="s">
        <v>7</v>
      </c>
    </row>
    <row r="334" spans="1:107" x14ac:dyDescent="0.25">
      <c r="A334" s="30">
        <v>1.0190743895326324E-2</v>
      </c>
      <c r="B334"/>
      <c r="C334"/>
      <c r="D334"/>
      <c r="E334"/>
      <c r="H334" s="27" t="s">
        <v>7</v>
      </c>
      <c r="I334" s="27" t="s">
        <v>8</v>
      </c>
      <c r="J334" s="27" t="s">
        <v>7</v>
      </c>
      <c r="K334" s="27" t="s">
        <v>8</v>
      </c>
      <c r="L334" s="27" t="s">
        <v>7</v>
      </c>
      <c r="M334" s="27" t="s">
        <v>8</v>
      </c>
      <c r="CZ334" s="27" t="s">
        <v>7</v>
      </c>
      <c r="DA334" s="27" t="s">
        <v>8</v>
      </c>
      <c r="DC334" s="27" t="s">
        <v>8</v>
      </c>
    </row>
    <row r="335" spans="1:107" x14ac:dyDescent="0.25">
      <c r="A335" s="30">
        <v>9.7054703765012563E-3</v>
      </c>
      <c r="B335"/>
      <c r="C335"/>
      <c r="D335"/>
      <c r="E335"/>
      <c r="H335" s="27" t="s">
        <v>7</v>
      </c>
      <c r="I335" s="27" t="s">
        <v>8</v>
      </c>
      <c r="J335" s="27" t="s">
        <v>7</v>
      </c>
      <c r="K335" s="27" t="s">
        <v>8</v>
      </c>
      <c r="L335" s="27" t="s">
        <v>7</v>
      </c>
      <c r="M335" s="27" t="s">
        <v>8</v>
      </c>
      <c r="CZ335" s="27" t="s">
        <v>7</v>
      </c>
      <c r="DA335" s="27" t="s">
        <v>8</v>
      </c>
      <c r="DB335" s="27" t="s">
        <v>7</v>
      </c>
      <c r="DC335" s="27" t="s">
        <v>8</v>
      </c>
    </row>
    <row r="336" spans="1:107" x14ac:dyDescent="0.25">
      <c r="A336" s="30">
        <v>9.2433051204773835E-3</v>
      </c>
      <c r="B336"/>
      <c r="C336"/>
      <c r="D336"/>
      <c r="E336"/>
      <c r="H336" s="27" t="s">
        <v>7</v>
      </c>
      <c r="J336" s="27" t="s">
        <v>7</v>
      </c>
      <c r="L336" s="27" t="s">
        <v>7</v>
      </c>
      <c r="M336" s="27" t="s">
        <v>8</v>
      </c>
      <c r="CZ336" s="27" t="s">
        <v>7</v>
      </c>
      <c r="DA336" s="27" t="s">
        <v>8</v>
      </c>
      <c r="DB336" s="27" t="s">
        <v>7</v>
      </c>
      <c r="DC336" s="27" t="s">
        <v>8</v>
      </c>
    </row>
    <row r="337" spans="1:106" x14ac:dyDescent="0.25">
      <c r="A337" s="30">
        <v>8.8031477337879808E-3</v>
      </c>
      <c r="B337"/>
      <c r="C337"/>
      <c r="D337"/>
      <c r="E337"/>
      <c r="L337" s="27" t="s">
        <v>7</v>
      </c>
      <c r="M337" s="27" t="s">
        <v>8</v>
      </c>
      <c r="CZ337" s="27" t="s">
        <v>7</v>
      </c>
      <c r="DB337" s="27" t="s">
        <v>7</v>
      </c>
    </row>
    <row r="338" spans="1:106" x14ac:dyDescent="0.25">
      <c r="A338" s="30">
        <v>8.3839502226552166E-3</v>
      </c>
      <c r="B338"/>
      <c r="C338"/>
      <c r="D338"/>
      <c r="E338"/>
      <c r="L338" s="27" t="s">
        <v>7</v>
      </c>
      <c r="M338" s="27" t="s">
        <v>8</v>
      </c>
    </row>
    <row r="339" spans="1:106" x14ac:dyDescent="0.25">
      <c r="A339" s="30">
        <v>7.9847144977668698E-3</v>
      </c>
      <c r="B339"/>
      <c r="C339"/>
      <c r="D339"/>
      <c r="E339"/>
      <c r="L339" s="27" t="s">
        <v>7</v>
      </c>
      <c r="M339" s="27" t="s">
        <v>8</v>
      </c>
    </row>
    <row r="340" spans="1:106" x14ac:dyDescent="0.25">
      <c r="A340" s="30">
        <v>7.6044899978732058E-3</v>
      </c>
      <c r="B340"/>
      <c r="C340"/>
      <c r="D340"/>
      <c r="E340"/>
      <c r="L340" s="27" t="s">
        <v>7</v>
      </c>
      <c r="M340" s="27" t="s">
        <v>8</v>
      </c>
    </row>
    <row r="341" spans="1:106" x14ac:dyDescent="0.25">
      <c r="A341" s="30">
        <v>7.2423714265459072E-3</v>
      </c>
      <c r="B341"/>
      <c r="C341"/>
      <c r="D341"/>
      <c r="E341"/>
      <c r="L341" s="27" t="s">
        <v>7</v>
      </c>
      <c r="M341" s="27" t="s">
        <v>8</v>
      </c>
    </row>
    <row r="342" spans="1:106" x14ac:dyDescent="0.25">
      <c r="A342" s="30">
        <v>6.8974965967103846E-3</v>
      </c>
      <c r="B342"/>
      <c r="C342"/>
      <c r="D342"/>
      <c r="E342"/>
      <c r="L342" s="27" t="s">
        <v>7</v>
      </c>
      <c r="M342" s="27" t="s">
        <v>8</v>
      </c>
    </row>
    <row r="343" spans="1:106" x14ac:dyDescent="0.25">
      <c r="A343" s="30">
        <v>6.5690443778194116E-3</v>
      </c>
      <c r="B343"/>
      <c r="C343"/>
      <c r="D343"/>
      <c r="E343"/>
      <c r="L343" s="27" t="s">
        <v>7</v>
      </c>
    </row>
    <row r="344" spans="1:106" x14ac:dyDescent="0.25">
      <c r="A344" s="30">
        <v>6.2562327407803897E-3</v>
      </c>
      <c r="B344"/>
      <c r="C344"/>
      <c r="D344"/>
      <c r="E344"/>
    </row>
    <row r="345" spans="1:106" x14ac:dyDescent="0.25">
      <c r="A345" s="30">
        <v>5.9583168959813212E-3</v>
      </c>
      <c r="B345"/>
      <c r="C345"/>
      <c r="D345"/>
      <c r="E345"/>
    </row>
    <row r="346" spans="1:106" x14ac:dyDescent="0.25">
      <c r="A346" s="30">
        <v>5.6745875199822084E-3</v>
      </c>
      <c r="B346"/>
      <c r="C346"/>
      <c r="D346"/>
      <c r="E346"/>
    </row>
    <row r="347" spans="1:106" x14ac:dyDescent="0.25">
      <c r="A347" s="30">
        <v>5.4043690666497205E-3</v>
      </c>
      <c r="B347"/>
      <c r="C347"/>
      <c r="D347"/>
      <c r="E347"/>
    </row>
    <row r="348" spans="1:106" x14ac:dyDescent="0.25">
      <c r="A348" s="30">
        <v>5.1470181587140174E-3</v>
      </c>
      <c r="B348"/>
      <c r="C348"/>
      <c r="D348"/>
      <c r="E348"/>
    </row>
    <row r="349" spans="1:106" x14ac:dyDescent="0.25">
      <c r="A349" s="30">
        <v>4.9019220559181099E-3</v>
      </c>
      <c r="B349"/>
      <c r="C349"/>
      <c r="D349"/>
      <c r="E349"/>
    </row>
    <row r="350" spans="1:106" x14ac:dyDescent="0.25">
      <c r="A350" s="30">
        <v>4.6684971961124836E-3</v>
      </c>
      <c r="B350"/>
      <c r="C350"/>
      <c r="D350"/>
      <c r="E350"/>
    </row>
    <row r="351" spans="1:106" x14ac:dyDescent="0.25">
      <c r="A351" s="30">
        <v>4.4461878058214112E-3</v>
      </c>
      <c r="B351"/>
      <c r="C351"/>
      <c r="D351"/>
      <c r="E351"/>
    </row>
    <row r="352" spans="1:106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15" operator="equal">
      <formula>$U$1</formula>
    </cfRule>
    <cfRule type="cellIs" dxfId="67" priority="816" operator="equal">
      <formula>$S$1</formula>
    </cfRule>
  </conditionalFormatting>
  <conditionalFormatting sqref="D136">
    <cfRule type="cellIs" dxfId="66" priority="813" operator="equal">
      <formula>$S$1</formula>
    </cfRule>
    <cfRule type="cellIs" dxfId="65" priority="814" operator="equal">
      <formula>$U$1</formula>
    </cfRule>
  </conditionalFormatting>
  <conditionalFormatting sqref="C162">
    <cfRule type="cellIs" dxfId="64" priority="811" operator="equal">
      <formula>$U$1</formula>
    </cfRule>
    <cfRule type="cellIs" dxfId="63" priority="812" operator="equal">
      <formula>$S$1</formula>
    </cfRule>
  </conditionalFormatting>
  <conditionalFormatting sqref="D162">
    <cfRule type="cellIs" dxfId="62" priority="809" operator="equal">
      <formula>$S$1</formula>
    </cfRule>
    <cfRule type="cellIs" dxfId="61" priority="810" operator="equal">
      <formula>$U$1</formula>
    </cfRule>
  </conditionalFormatting>
  <conditionalFormatting sqref="C187">
    <cfRule type="cellIs" dxfId="60" priority="807" operator="equal">
      <formula>$U$1</formula>
    </cfRule>
    <cfRule type="cellIs" dxfId="59" priority="808" operator="equal">
      <formula>$S$1</formula>
    </cfRule>
  </conditionalFormatting>
  <conditionalFormatting sqref="D187">
    <cfRule type="cellIs" dxfId="58" priority="805" operator="equal">
      <formula>$S$1</formula>
    </cfRule>
    <cfRule type="cellIs" dxfId="57" priority="806" operator="equal">
      <formula>$U$1</formula>
    </cfRule>
  </conditionalFormatting>
  <conditionalFormatting sqref="C212">
    <cfRule type="cellIs" dxfId="56" priority="803" operator="equal">
      <formula>$U$1</formula>
    </cfRule>
    <cfRule type="cellIs" dxfId="55" priority="804" operator="equal">
      <formula>$S$1</formula>
    </cfRule>
  </conditionalFormatting>
  <conditionalFormatting sqref="D212">
    <cfRule type="cellIs" dxfId="54" priority="801" operator="equal">
      <formula>$S$1</formula>
    </cfRule>
    <cfRule type="cellIs" dxfId="53" priority="802" operator="equal">
      <formula>$U$1</formula>
    </cfRule>
  </conditionalFormatting>
  <conditionalFormatting sqref="C237">
    <cfRule type="cellIs" dxfId="52" priority="799" operator="equal">
      <formula>$U$1</formula>
    </cfRule>
    <cfRule type="cellIs" dxfId="51" priority="800" operator="equal">
      <formula>$S$1</formula>
    </cfRule>
  </conditionalFormatting>
  <conditionalFormatting sqref="D237">
    <cfRule type="cellIs" dxfId="50" priority="797" operator="equal">
      <formula>$S$1</formula>
    </cfRule>
    <cfRule type="cellIs" dxfId="49" priority="798" operator="equal">
      <formula>$U$1</formula>
    </cfRule>
  </conditionalFormatting>
  <conditionalFormatting sqref="C106">
    <cfRule type="cellIs" dxfId="48" priority="795" operator="equal">
      <formula>$U$1</formula>
    </cfRule>
    <cfRule type="cellIs" dxfId="47" priority="796" operator="equal">
      <formula>$S$1</formula>
    </cfRule>
  </conditionalFormatting>
  <conditionalFormatting sqref="D106">
    <cfRule type="cellIs" dxfId="46" priority="793" operator="equal">
      <formula>$S$1</formula>
    </cfRule>
    <cfRule type="cellIs" dxfId="45" priority="794" operator="equal">
      <formula>$U$1</formula>
    </cfRule>
  </conditionalFormatting>
  <conditionalFormatting sqref="C81">
    <cfRule type="cellIs" dxfId="44" priority="791" operator="equal">
      <formula>$U$1</formula>
    </cfRule>
    <cfRule type="cellIs" dxfId="43" priority="792" operator="equal">
      <formula>$S$1</formula>
    </cfRule>
  </conditionalFormatting>
  <conditionalFormatting sqref="D81">
    <cfRule type="cellIs" dxfId="42" priority="789" operator="equal">
      <formula>$S$1</formula>
    </cfRule>
    <cfRule type="cellIs" dxfId="41" priority="790" operator="equal">
      <formula>$U$1</formula>
    </cfRule>
  </conditionalFormatting>
  <conditionalFormatting sqref="C56">
    <cfRule type="cellIs" dxfId="40" priority="787" operator="equal">
      <formula>$U$1</formula>
    </cfRule>
    <cfRule type="cellIs" dxfId="39" priority="788" operator="equal">
      <formula>$S$1</formula>
    </cfRule>
  </conditionalFormatting>
  <conditionalFormatting sqref="D56">
    <cfRule type="cellIs" dxfId="38" priority="785" operator="equal">
      <formula>$S$1</formula>
    </cfRule>
    <cfRule type="cellIs" dxfId="37" priority="786" operator="equal">
      <formula>$U$1</formula>
    </cfRule>
  </conditionalFormatting>
  <conditionalFormatting sqref="C31">
    <cfRule type="cellIs" dxfId="36" priority="783" operator="equal">
      <formula>$U$1</formula>
    </cfRule>
    <cfRule type="cellIs" dxfId="35" priority="784" operator="equal">
      <formula>$S$1</formula>
    </cfRule>
  </conditionalFormatting>
  <conditionalFormatting sqref="D31">
    <cfRule type="cellIs" dxfId="34" priority="781" operator="equal">
      <formula>$S$1</formula>
    </cfRule>
    <cfRule type="cellIs" dxfId="33" priority="78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L170" sqref="AL17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$A$169</v>
      </c>
      <c r="D111" s="1" t="str">
        <f>ADDRESS(C121-1,D121,1,1)</f>
        <v>$AL$169</v>
      </c>
      <c r="E111"/>
    </row>
    <row r="112" spans="1:5" x14ac:dyDescent="0.25">
      <c r="A112" s="30">
        <v>2.3579476910000019</v>
      </c>
      <c r="C112" s="1" t="str">
        <f>ADDRESS(C121,1,1,1)</f>
        <v>$A$170</v>
      </c>
      <c r="D112" s="1" t="str">
        <f>ADDRESS(C121,D121-1,1,1)</f>
        <v>$AK$170</v>
      </c>
      <c r="E112"/>
    </row>
    <row r="113" spans="1:6" x14ac:dyDescent="0.25">
      <c r="A113" s="30">
        <v>2.1435888100000016</v>
      </c>
      <c r="C113" s="1" t="str">
        <f>ADDRESS(C121+1,1,1,1)</f>
        <v>$A$171</v>
      </c>
      <c r="D113" s="1" t="str">
        <f>ADDRESS(C121-1,D121+1,1,1)</f>
        <v>$AM$169</v>
      </c>
    </row>
    <row r="114" spans="1:6" x14ac:dyDescent="0.25">
      <c r="A114" s="30">
        <v>1.9487171000000014</v>
      </c>
      <c r="C114" s="1" t="str">
        <f>ADDRESS(C121,D121,1,1)</f>
        <v>$AL$170</v>
      </c>
      <c r="D114" s="1" t="str">
        <f>ADDRESS(C121+1,D121+1,1,1)</f>
        <v>$AM$171</v>
      </c>
    </row>
    <row r="115" spans="1:6" x14ac:dyDescent="0.25">
      <c r="A115" s="30">
        <v>1.7715610000000011</v>
      </c>
      <c r="C115" s="1" t="str">
        <f>ADDRESS(C121+1,D121,1,1)</f>
        <v>$AL$171</v>
      </c>
    </row>
    <row r="116" spans="1:6" x14ac:dyDescent="0.25">
      <c r="A116" s="30">
        <v>1.6105100000000008</v>
      </c>
      <c r="C116" s="1">
        <f>C117-1</f>
        <v>169</v>
      </c>
    </row>
    <row r="117" spans="1:6" x14ac:dyDescent="0.25">
      <c r="A117" s="30">
        <v>1.4641000000000006</v>
      </c>
      <c r="C117" s="1">
        <f>C121</f>
        <v>170</v>
      </c>
      <c r="D117" s="1">
        <f>D121</f>
        <v>38</v>
      </c>
    </row>
    <row r="118" spans="1:6" x14ac:dyDescent="0.25">
      <c r="A118" s="30">
        <v>1.3310000000000004</v>
      </c>
      <c r="C118" s="1">
        <f>C117+1</f>
        <v>171</v>
      </c>
      <c r="D118" s="1">
        <f>D117+1</f>
        <v>39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170</v>
      </c>
      <c r="D121" s="19">
        <v>38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R170</v>
      </c>
      <c r="D123" s="1" t="str">
        <f>"C"&amp;D121</f>
        <v>C38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9.3704064074506318E-3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36" x14ac:dyDescent="0.25">
      <c r="A145" s="30">
        <v>0.10152559799477026</v>
      </c>
      <c r="B145"/>
      <c r="C145"/>
      <c r="D145"/>
      <c r="E145"/>
      <c r="F145" s="27" t="s">
        <v>7</v>
      </c>
    </row>
    <row r="146" spans="1:36" x14ac:dyDescent="0.25">
      <c r="A146" s="30">
        <v>9.2295998177063854E-2</v>
      </c>
      <c r="B146"/>
      <c r="C146"/>
      <c r="D146"/>
      <c r="E146"/>
      <c r="F146" s="27" t="s">
        <v>7</v>
      </c>
    </row>
    <row r="147" spans="1:36" x14ac:dyDescent="0.25">
      <c r="A147" s="30">
        <v>8.3905452888239848E-2</v>
      </c>
      <c r="B147"/>
      <c r="C147"/>
      <c r="D147"/>
      <c r="E147"/>
      <c r="F147" s="27" t="s">
        <v>7</v>
      </c>
    </row>
    <row r="148" spans="1:36" x14ac:dyDescent="0.25">
      <c r="A148" s="30">
        <v>7.6277684443854396E-2</v>
      </c>
      <c r="B148"/>
      <c r="C148"/>
      <c r="D148"/>
      <c r="E148"/>
      <c r="F148" s="27" t="s">
        <v>7</v>
      </c>
    </row>
    <row r="149" spans="1:36" x14ac:dyDescent="0.25">
      <c r="A149" s="30">
        <v>6.9343349494413078E-2</v>
      </c>
      <c r="B149"/>
      <c r="C149"/>
      <c r="D149"/>
      <c r="E149"/>
      <c r="F149" s="27" t="s">
        <v>7</v>
      </c>
    </row>
    <row r="150" spans="1:36" x14ac:dyDescent="0.25">
      <c r="A150" s="30">
        <v>6.3039408631284613E-2</v>
      </c>
      <c r="B150"/>
      <c r="C150"/>
      <c r="D150"/>
      <c r="E150"/>
      <c r="F150" s="27" t="s">
        <v>7</v>
      </c>
    </row>
    <row r="151" spans="1:36" x14ac:dyDescent="0.25">
      <c r="A151" s="30">
        <v>5.7308553301167818E-2</v>
      </c>
      <c r="B151"/>
      <c r="C151"/>
      <c r="D151"/>
      <c r="E151"/>
      <c r="F151" s="27" t="s">
        <v>7</v>
      </c>
      <c r="S151" s="27" t="s">
        <v>8</v>
      </c>
    </row>
    <row r="152" spans="1:36" x14ac:dyDescent="0.25">
      <c r="A152" s="30">
        <v>5.2098684819243464E-2</v>
      </c>
      <c r="B152"/>
      <c r="C152"/>
      <c r="D152"/>
      <c r="E152"/>
      <c r="F152" s="27" t="s">
        <v>7</v>
      </c>
      <c r="M152" s="27" t="s">
        <v>8</v>
      </c>
      <c r="O152" s="27" t="s">
        <v>8</v>
      </c>
      <c r="S152" s="27" t="s">
        <v>8</v>
      </c>
      <c r="T152" s="27" t="s">
        <v>7</v>
      </c>
      <c r="W152" s="27" t="s">
        <v>8</v>
      </c>
    </row>
    <row r="153" spans="1:36" x14ac:dyDescent="0.25">
      <c r="A153" s="30">
        <v>4.7362440744766775E-2</v>
      </c>
      <c r="B153"/>
      <c r="C153"/>
      <c r="D153"/>
      <c r="E153"/>
      <c r="F153" s="27" t="s">
        <v>7</v>
      </c>
      <c r="M153" s="27" t="s">
        <v>8</v>
      </c>
      <c r="N153" s="27" t="s">
        <v>7</v>
      </c>
      <c r="O153" s="27" t="s">
        <v>8</v>
      </c>
      <c r="P153" s="27" t="s">
        <v>7</v>
      </c>
      <c r="S153" s="27" t="s">
        <v>8</v>
      </c>
      <c r="T153" s="27" t="s">
        <v>7</v>
      </c>
      <c r="U153" s="27" t="s">
        <v>8</v>
      </c>
      <c r="W153" s="27" t="s">
        <v>8</v>
      </c>
      <c r="X153" s="27" t="s">
        <v>7</v>
      </c>
    </row>
    <row r="154" spans="1:36" x14ac:dyDescent="0.25">
      <c r="A154" s="30">
        <v>4.3056764313424332E-2</v>
      </c>
      <c r="B154"/>
      <c r="C154"/>
      <c r="D154"/>
      <c r="E154"/>
      <c r="F154" s="27" t="s">
        <v>7</v>
      </c>
      <c r="M154" s="27" t="s">
        <v>8</v>
      </c>
      <c r="N154" s="27" t="s">
        <v>7</v>
      </c>
      <c r="O154" s="27" t="s">
        <v>8</v>
      </c>
      <c r="P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X154" s="27" t="s">
        <v>7</v>
      </c>
    </row>
    <row r="155" spans="1:36" x14ac:dyDescent="0.25">
      <c r="A155" s="30">
        <v>3.9142513012203929E-2</v>
      </c>
      <c r="B155"/>
      <c r="C155"/>
      <c r="D155"/>
      <c r="E155"/>
      <c r="F155" s="27" t="s">
        <v>7</v>
      </c>
      <c r="M155" s="27" t="s">
        <v>8</v>
      </c>
      <c r="N155" s="27" t="s">
        <v>7</v>
      </c>
      <c r="P155" s="27" t="s">
        <v>7</v>
      </c>
      <c r="S155" s="27" t="s">
        <v>8</v>
      </c>
      <c r="T155" s="27" t="s">
        <v>7</v>
      </c>
      <c r="U155" s="27" t="s">
        <v>8</v>
      </c>
      <c r="V155" s="27" t="s">
        <v>7</v>
      </c>
      <c r="W155" s="27" t="s">
        <v>8</v>
      </c>
      <c r="X155" s="27" t="s">
        <v>7</v>
      </c>
    </row>
    <row r="156" spans="1:36" x14ac:dyDescent="0.25">
      <c r="A156" s="30">
        <v>3.55841027383672E-2</v>
      </c>
      <c r="B156"/>
      <c r="C156"/>
      <c r="D156"/>
      <c r="E156"/>
      <c r="F156" s="27" t="s">
        <v>7</v>
      </c>
      <c r="M156" s="27" t="s">
        <v>8</v>
      </c>
      <c r="P156" s="27" t="s">
        <v>7</v>
      </c>
      <c r="Q156" s="27" t="s">
        <v>8</v>
      </c>
      <c r="S156" s="27" t="s">
        <v>8</v>
      </c>
      <c r="T156" s="27" t="s">
        <v>7</v>
      </c>
      <c r="U156" s="27" t="s">
        <v>8</v>
      </c>
      <c r="V156" s="27" t="s">
        <v>7</v>
      </c>
      <c r="W156" s="27" t="s">
        <v>8</v>
      </c>
      <c r="X156" s="27" t="s">
        <v>7</v>
      </c>
      <c r="AA156" s="27" t="s">
        <v>8</v>
      </c>
      <c r="AI156" s="27" t="s">
        <v>8</v>
      </c>
    </row>
    <row r="157" spans="1:36" x14ac:dyDescent="0.25">
      <c r="A157" s="30">
        <v>3.2349184307606541E-2</v>
      </c>
      <c r="B157"/>
      <c r="C157"/>
      <c r="D157"/>
      <c r="E157"/>
      <c r="F157" s="27" t="s">
        <v>7</v>
      </c>
      <c r="M157" s="27" t="s">
        <v>8</v>
      </c>
      <c r="P157" s="27" t="s">
        <v>7</v>
      </c>
      <c r="Q157" s="27" t="s">
        <v>8</v>
      </c>
      <c r="R157" s="27" t="s">
        <v>7</v>
      </c>
      <c r="S157" s="27" t="s">
        <v>8</v>
      </c>
      <c r="T157" s="27" t="s">
        <v>7</v>
      </c>
      <c r="V157" s="27" t="s">
        <v>7</v>
      </c>
      <c r="W157" s="27" t="s">
        <v>8</v>
      </c>
      <c r="X157" s="27" t="s">
        <v>7</v>
      </c>
      <c r="Y157" s="27" t="s">
        <v>8</v>
      </c>
      <c r="AA157" s="27" t="s">
        <v>8</v>
      </c>
      <c r="AB157" s="27" t="s">
        <v>7</v>
      </c>
      <c r="AI157" s="27" t="s">
        <v>8</v>
      </c>
      <c r="AJ157" s="27" t="s">
        <v>7</v>
      </c>
    </row>
    <row r="158" spans="1:36" x14ac:dyDescent="0.25">
      <c r="A158" s="30">
        <v>2.9408349370551395E-2</v>
      </c>
      <c r="B158"/>
      <c r="C158"/>
      <c r="D158"/>
      <c r="E158"/>
      <c r="F158" s="27" t="s">
        <v>7</v>
      </c>
      <c r="M158" s="27" t="s">
        <v>8</v>
      </c>
      <c r="P158" s="27" t="s">
        <v>7</v>
      </c>
      <c r="Q158" s="27" t="s">
        <v>8</v>
      </c>
      <c r="R158" s="27" t="s">
        <v>7</v>
      </c>
      <c r="S158" s="27" t="s">
        <v>8</v>
      </c>
      <c r="V158" s="27" t="s">
        <v>7</v>
      </c>
      <c r="X158" s="27" t="s">
        <v>7</v>
      </c>
      <c r="Y158" s="27" t="s">
        <v>8</v>
      </c>
      <c r="Z158" s="27" t="s">
        <v>7</v>
      </c>
      <c r="AA158" s="27" t="s">
        <v>8</v>
      </c>
      <c r="AB158" s="27" t="s">
        <v>7</v>
      </c>
      <c r="AE158" s="27" t="s">
        <v>8</v>
      </c>
      <c r="AI158" s="27" t="s">
        <v>8</v>
      </c>
      <c r="AJ158" s="27" t="s">
        <v>7</v>
      </c>
    </row>
    <row r="159" spans="1:36" x14ac:dyDescent="0.25">
      <c r="A159" s="30">
        <v>2.6734863064137627E-2</v>
      </c>
      <c r="B159"/>
      <c r="C159"/>
      <c r="D159"/>
      <c r="E159"/>
      <c r="F159" s="27" t="s">
        <v>7</v>
      </c>
      <c r="M159" s="27" t="s">
        <v>8</v>
      </c>
      <c r="P159" s="27" t="s">
        <v>7</v>
      </c>
      <c r="R159" s="27" t="s">
        <v>7</v>
      </c>
      <c r="X159" s="27" t="s">
        <v>7</v>
      </c>
      <c r="Y159" s="27" t="s">
        <v>8</v>
      </c>
      <c r="Z159" s="27" t="s">
        <v>7</v>
      </c>
      <c r="AA159" s="27" t="s">
        <v>8</v>
      </c>
      <c r="AB159" s="27" t="s">
        <v>7</v>
      </c>
      <c r="AE159" s="27" t="s">
        <v>8</v>
      </c>
      <c r="AF159" s="27" t="s">
        <v>7</v>
      </c>
      <c r="AG159" s="27" t="s">
        <v>8</v>
      </c>
      <c r="AI159" s="27" t="s">
        <v>8</v>
      </c>
      <c r="AJ159" s="27" t="s">
        <v>7</v>
      </c>
    </row>
    <row r="160" spans="1:36" x14ac:dyDescent="0.25">
      <c r="A160" s="30">
        <v>2.4304420967397839E-2</v>
      </c>
      <c r="B160"/>
      <c r="C160"/>
      <c r="D160"/>
      <c r="E160"/>
      <c r="F160" s="27" t="s">
        <v>7</v>
      </c>
      <c r="K160" s="27" t="s">
        <v>8</v>
      </c>
      <c r="M160" s="27" t="s">
        <v>8</v>
      </c>
      <c r="X160" s="27" t="s">
        <v>7</v>
      </c>
      <c r="Y160" s="27" t="s">
        <v>8</v>
      </c>
      <c r="Z160" s="27" t="s">
        <v>7</v>
      </c>
      <c r="AA160" s="27" t="s">
        <v>8</v>
      </c>
      <c r="AB160" s="27" t="s">
        <v>7</v>
      </c>
      <c r="AE160" s="27" t="s">
        <v>8</v>
      </c>
      <c r="AF160" s="27" t="s">
        <v>7</v>
      </c>
      <c r="AG160" s="27" t="s">
        <v>8</v>
      </c>
      <c r="AH160" s="27" t="s">
        <v>7</v>
      </c>
      <c r="AI160" s="27" t="s">
        <v>8</v>
      </c>
      <c r="AJ160" s="27" t="s">
        <v>7</v>
      </c>
    </row>
    <row r="161" spans="1:38" x14ac:dyDescent="0.25">
      <c r="A161" s="30">
        <v>2.2094928152179852E-2</v>
      </c>
      <c r="B161"/>
      <c r="C161"/>
      <c r="D161"/>
      <c r="E161"/>
      <c r="F161" s="27" t="s">
        <v>7</v>
      </c>
      <c r="K161" s="27" t="s">
        <v>8</v>
      </c>
      <c r="L161" s="27" t="s">
        <v>7</v>
      </c>
      <c r="M161" s="27" t="s">
        <v>8</v>
      </c>
      <c r="X161" s="27" t="s">
        <v>7</v>
      </c>
      <c r="Y161" s="27" t="s">
        <v>8</v>
      </c>
      <c r="Z161" s="27" t="s">
        <v>7</v>
      </c>
      <c r="AA161" s="27" t="s">
        <v>8</v>
      </c>
      <c r="AB161" s="27" t="s">
        <v>7</v>
      </c>
      <c r="AE161" s="27" t="s">
        <v>8</v>
      </c>
      <c r="AF161" s="27" t="s">
        <v>7</v>
      </c>
      <c r="AG161" s="27" t="s">
        <v>8</v>
      </c>
      <c r="AH161" s="27" t="s">
        <v>7</v>
      </c>
      <c r="AI161" s="27" t="s">
        <v>8</v>
      </c>
      <c r="AJ161" s="27" t="s">
        <v>7</v>
      </c>
      <c r="AK161" s="27" t="s">
        <v>8</v>
      </c>
    </row>
    <row r="162" spans="1:38" x14ac:dyDescent="0.25">
      <c r="A162" s="30">
        <v>2.0086298320163499E-2</v>
      </c>
      <c r="B162"/>
      <c r="C162"/>
      <c r="D162"/>
      <c r="E162"/>
      <c r="F162" s="27" t="s">
        <v>7</v>
      </c>
      <c r="I162" s="27" t="s">
        <v>8</v>
      </c>
      <c r="K162" s="27" t="s">
        <v>8</v>
      </c>
      <c r="L162" s="27" t="s">
        <v>7</v>
      </c>
      <c r="M162" s="27" t="s">
        <v>8</v>
      </c>
      <c r="X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E162" s="27" t="s">
        <v>8</v>
      </c>
      <c r="AF162" s="27" t="s">
        <v>7</v>
      </c>
      <c r="AH162" s="27" t="s">
        <v>7</v>
      </c>
      <c r="AI162" s="27" t="s">
        <v>8</v>
      </c>
      <c r="AJ162" s="27" t="s">
        <v>7</v>
      </c>
      <c r="AK162" s="27" t="s">
        <v>8</v>
      </c>
      <c r="AL162" s="27" t="s">
        <v>7</v>
      </c>
    </row>
    <row r="163" spans="1:38" x14ac:dyDescent="0.25">
      <c r="A163" s="30">
        <v>1.8260271200148632E-2</v>
      </c>
      <c r="B163"/>
      <c r="C163"/>
      <c r="D163"/>
      <c r="E163"/>
      <c r="F163" s="27" t="s">
        <v>7</v>
      </c>
      <c r="I163" s="27" t="s">
        <v>8</v>
      </c>
      <c r="J163" s="27" t="s">
        <v>7</v>
      </c>
      <c r="K163" s="27" t="s">
        <v>8</v>
      </c>
      <c r="L163" s="27" t="s">
        <v>7</v>
      </c>
      <c r="X163" s="27" t="s">
        <v>7</v>
      </c>
      <c r="Z163" s="27" t="s">
        <v>7</v>
      </c>
      <c r="AB163" s="27" t="s">
        <v>7</v>
      </c>
      <c r="AE163" s="27" t="s">
        <v>8</v>
      </c>
      <c r="AH163" s="27" t="s">
        <v>7</v>
      </c>
      <c r="AJ163" s="27" t="s">
        <v>7</v>
      </c>
      <c r="AK163" s="27" t="s">
        <v>8</v>
      </c>
      <c r="AL163" s="27" t="s">
        <v>7</v>
      </c>
    </row>
    <row r="164" spans="1:38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I164" s="27" t="s">
        <v>8</v>
      </c>
      <c r="J164" s="27" t="s">
        <v>7</v>
      </c>
      <c r="K164" s="27" t="s">
        <v>8</v>
      </c>
      <c r="AB164" s="27" t="s">
        <v>7</v>
      </c>
      <c r="AC164" s="18" t="s">
        <v>8</v>
      </c>
      <c r="AE164" s="27" t="s">
        <v>8</v>
      </c>
      <c r="AJ164" s="27" t="s">
        <v>7</v>
      </c>
      <c r="AL164" s="27" t="s">
        <v>7</v>
      </c>
    </row>
    <row r="165" spans="1:38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I165" s="27" t="s">
        <v>8</v>
      </c>
      <c r="J165" s="27" t="s">
        <v>7</v>
      </c>
      <c r="AB165" s="27" t="s">
        <v>7</v>
      </c>
      <c r="AC165" s="27" t="s">
        <v>8</v>
      </c>
      <c r="AD165" s="27" t="s">
        <v>7</v>
      </c>
      <c r="AE165" s="27" t="s">
        <v>8</v>
      </c>
      <c r="AL165" s="27" t="s">
        <v>7</v>
      </c>
    </row>
    <row r="166" spans="1:38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AB166" s="27" t="s">
        <v>7</v>
      </c>
      <c r="AC166" s="27" t="s">
        <v>8</v>
      </c>
      <c r="AD166" s="27" t="s">
        <v>7</v>
      </c>
      <c r="AE166" s="27" t="s">
        <v>8</v>
      </c>
      <c r="AL166" s="27" t="s">
        <v>7</v>
      </c>
    </row>
    <row r="167" spans="1:38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AB167" s="27" t="s">
        <v>7</v>
      </c>
      <c r="AD167" s="27" t="s">
        <v>7</v>
      </c>
      <c r="AE167" s="27" t="s">
        <v>8</v>
      </c>
      <c r="AL167" s="27" t="s">
        <v>7</v>
      </c>
    </row>
    <row r="168" spans="1:38" x14ac:dyDescent="0.25">
      <c r="A168" s="30">
        <v>1.1338191753015267E-2</v>
      </c>
      <c r="B168"/>
      <c r="C168"/>
      <c r="D168"/>
      <c r="E168"/>
      <c r="F168" s="27" t="s">
        <v>7</v>
      </c>
      <c r="H168" s="27" t="s">
        <v>7</v>
      </c>
      <c r="I168" s="27" t="s">
        <v>8</v>
      </c>
      <c r="AD168" s="27" t="s">
        <v>7</v>
      </c>
      <c r="AL168" s="27" t="s">
        <v>7</v>
      </c>
    </row>
    <row r="169" spans="1:38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AL169" s="27" t="s">
        <v>7</v>
      </c>
    </row>
    <row r="170" spans="1:38" x14ac:dyDescent="0.25">
      <c r="A170" s="30">
        <v>9.3704064074506318E-3</v>
      </c>
      <c r="B170"/>
      <c r="C170"/>
      <c r="D170"/>
      <c r="E170"/>
      <c r="H170" s="27" t="s">
        <v>7</v>
      </c>
      <c r="I170" s="27" t="s">
        <v>8</v>
      </c>
      <c r="AL170" s="27" t="s">
        <v>7</v>
      </c>
    </row>
    <row r="171" spans="1:38" x14ac:dyDescent="0.25">
      <c r="A171" s="30">
        <v>8.5185512795005747E-3</v>
      </c>
      <c r="H171" s="27" t="s">
        <v>7</v>
      </c>
      <c r="I171" s="27" t="s">
        <v>8</v>
      </c>
    </row>
    <row r="172" spans="1:38" x14ac:dyDescent="0.25">
      <c r="A172" s="30">
        <v>7.744137526818704E-3</v>
      </c>
      <c r="H172" s="27" t="s">
        <v>7</v>
      </c>
      <c r="I172" s="27" t="s">
        <v>8</v>
      </c>
    </row>
    <row r="173" spans="1:38" x14ac:dyDescent="0.25">
      <c r="A173" s="30">
        <v>7.0401250243806394E-3</v>
      </c>
      <c r="H173" s="27" t="s">
        <v>7</v>
      </c>
    </row>
    <row r="174" spans="1:38" x14ac:dyDescent="0.25">
      <c r="A174" s="30">
        <v>6.4001136585278536E-3</v>
      </c>
    </row>
    <row r="175" spans="1:38" x14ac:dyDescent="0.25">
      <c r="A175" s="30">
        <v>5.8182851441162305E-3</v>
      </c>
    </row>
    <row r="176" spans="1:38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99" operator="equal">
      <formula>$U$1</formula>
    </cfRule>
    <cfRule type="cellIs" dxfId="30" priority="800" operator="equal">
      <formula>$S$1</formula>
    </cfRule>
  </conditionalFormatting>
  <conditionalFormatting sqref="D136">
    <cfRule type="cellIs" dxfId="29" priority="797" operator="equal">
      <formula>$S$1</formula>
    </cfRule>
    <cfRule type="cellIs" dxfId="28" priority="798" operator="equal">
      <formula>$U$1</formula>
    </cfRule>
  </conditionalFormatting>
  <conditionalFormatting sqref="C102">
    <cfRule type="cellIs" dxfId="27" priority="795" operator="equal">
      <formula>$U$1</formula>
    </cfRule>
    <cfRule type="cellIs" dxfId="26" priority="796" operator="equal">
      <formula>$S$1</formula>
    </cfRule>
  </conditionalFormatting>
  <conditionalFormatting sqref="D102">
    <cfRule type="cellIs" dxfId="25" priority="793" operator="equal">
      <formula>$S$1</formula>
    </cfRule>
    <cfRule type="cellIs" dxfId="24" priority="794" operator="equal">
      <formula>$U$1</formula>
    </cfRule>
  </conditionalFormatting>
  <conditionalFormatting sqref="C77">
    <cfRule type="cellIs" dxfId="23" priority="791" operator="equal">
      <formula>$U$1</formula>
    </cfRule>
    <cfRule type="cellIs" dxfId="22" priority="792" operator="equal">
      <formula>$S$1</formula>
    </cfRule>
  </conditionalFormatting>
  <conditionalFormatting sqref="D77">
    <cfRule type="cellIs" dxfId="21" priority="789" operator="equal">
      <formula>$S$1</formula>
    </cfRule>
    <cfRule type="cellIs" dxfId="20" priority="790" operator="equal">
      <formula>$U$1</formula>
    </cfRule>
  </conditionalFormatting>
  <conditionalFormatting sqref="C52">
    <cfRule type="cellIs" dxfId="19" priority="787" operator="equal">
      <formula>$U$1</formula>
    </cfRule>
    <cfRule type="cellIs" dxfId="18" priority="788" operator="equal">
      <formula>$S$1</formula>
    </cfRule>
  </conditionalFormatting>
  <conditionalFormatting sqref="D52">
    <cfRule type="cellIs" dxfId="17" priority="785" operator="equal">
      <formula>$S$1</formula>
    </cfRule>
    <cfRule type="cellIs" dxfId="16" priority="786" operator="equal">
      <formula>$U$1</formula>
    </cfRule>
  </conditionalFormatting>
  <conditionalFormatting sqref="C26">
    <cfRule type="cellIs" dxfId="15" priority="783" operator="equal">
      <formula>$U$1</formula>
    </cfRule>
    <cfRule type="cellIs" dxfId="14" priority="784" operator="equal">
      <formula>$S$1</formula>
    </cfRule>
  </conditionalFormatting>
  <conditionalFormatting sqref="D26">
    <cfRule type="cellIs" dxfId="13" priority="781" operator="equal">
      <formula>$S$1</formula>
    </cfRule>
    <cfRule type="cellIs" dxfId="12" priority="78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1.1235295144597281E-2</v>
      </c>
      <c r="F3" s="30">
        <v>1.179705990182715E-2</v>
      </c>
      <c r="G3" s="30">
        <v>2.3357371680107129E-2</v>
      </c>
      <c r="H3" s="25">
        <f>IF(G3="","",(3*(G3-F3))+E3)</f>
        <v>4.5916230479437214E-2</v>
      </c>
      <c r="I3" s="7"/>
      <c r="J3" s="7">
        <f>(E3+G3)/2</f>
        <v>1.7296333412352205E-2</v>
      </c>
      <c r="K3" s="7">
        <f>H3/2</f>
        <v>2.2958115239718607E-2</v>
      </c>
      <c r="M3" s="26">
        <f>IF(OR(J3="",H3=""),"",H3/J3)</f>
        <v>2.6546800055696234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2022-01-28T01:20:40Z</dcterms:modified>
</cp:coreProperties>
</file>