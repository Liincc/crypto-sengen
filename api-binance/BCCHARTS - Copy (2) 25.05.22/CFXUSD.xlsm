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7B8B45A-91D1-4130-A5E0-6E069C5D9184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4"/>
  <c r="C122" i="4"/>
  <c r="C133" i="4" s="1"/>
  <c r="C136" i="4" s="1"/>
  <c r="C122" i="5"/>
  <c r="C133" i="5" s="1"/>
  <c r="D136" i="5" s="1"/>
  <c r="C116" i="5"/>
  <c r="C122" i="3"/>
  <c r="C133" i="3" s="1"/>
  <c r="D136" i="3" s="1"/>
  <c r="C116" i="3"/>
  <c r="R765" i="1"/>
  <c r="D136" i="4" l="1"/>
  <c r="C138" i="4" s="1"/>
  <c r="C136" i="5"/>
  <c r="C138" i="5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S74" i="1" l="1"/>
  <c r="T74" i="1" s="1"/>
  <c r="R73" i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S62" i="1" l="1"/>
  <c r="T62" i="1" s="1"/>
  <c r="R61" i="1"/>
  <c r="S61" i="1" l="1"/>
  <c r="T61" i="1" s="1"/>
  <c r="R60" i="1"/>
  <c r="S60" i="1" l="1"/>
  <c r="T60" i="1" s="1"/>
  <c r="R59" i="1"/>
  <c r="S59" i="1" l="1"/>
  <c r="T59" i="1" s="1"/>
  <c r="R58" i="1"/>
  <c r="S58" i="1" l="1"/>
  <c r="T58" i="1" s="1"/>
  <c r="R57" i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S50" i="1" l="1"/>
  <c r="T50" i="1" s="1"/>
  <c r="R49" i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<sst xmlns="http://schemas.openxmlformats.org/spreadsheetml/2006/main" count="3560" uniqueCount="34">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</sst>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0.1037</c:v>
                </c:pt>
                <c:pt idx="1">
                  <c:v>0.1047</c:v>
                </c:pt>
                <c:pt idx="2">
                  <c:v>0.10290000000000001</c:v>
                </c:pt>
                <c:pt idx="3">
                  <c:v>0.10349999999999999</c:v>
                </c:pt>
                <c:pt idx="4">
                  <c:v>0.10780000000000001</c:v>
                </c:pt>
                <c:pt idx="5">
                  <c:v>0.10730000000000001</c:v>
                </c:pt>
                <c:pt idx="6">
                  <c:v>0.1255</c:v>
                </c:pt>
                <c:pt idx="7">
                  <c:v>0.16389999999999999</c:v>
                </c:pt>
                <c:pt idx="8">
                  <c:v>0.16689999999999999</c:v>
                </c:pt>
                <c:pt idx="9">
                  <c:v>0.1716</c:v>
                </c:pt>
                <c:pt idx="10">
                  <c:v>0.17680000000000001</c:v>
                </c:pt>
                <c:pt idx="11">
                  <c:v>0.1855</c:v>
                </c:pt>
                <c:pt idx="12">
                  <c:v>0.18290000000000001</c:v>
                </c:pt>
                <c:pt idx="13">
                  <c:v>0.1764</c:v>
                </c:pt>
                <c:pt idx="14">
                  <c:v>0.17610000000000001</c:v>
                </c:pt>
                <c:pt idx="15">
                  <c:v>0.18440000000000001</c:v>
                </c:pt>
                <c:pt idx="16">
                  <c:v>0.1789</c:v>
                </c:pt>
                <c:pt idx="17">
                  <c:v>0.1734</c:v>
                </c:pt>
                <c:pt idx="18">
                  <c:v>0.18260000000000001</c:v>
                </c:pt>
                <c:pt idx="19">
                  <c:v>0.1767</c:v>
                </c:pt>
                <c:pt idx="20">
                  <c:v>0.19220000000000001</c:v>
                </c:pt>
                <c:pt idx="21">
                  <c:v>0.19750000000000001</c:v>
                </c:pt>
                <c:pt idx="22">
                  <c:v>0.19969999999999999</c:v>
                </c:pt>
                <c:pt idx="23">
                  <c:v>0.20480000000000001</c:v>
                </c:pt>
                <c:pt idx="24">
                  <c:v>0.2099</c:v>
                </c:pt>
                <c:pt idx="25">
                  <c:v>0.22639999999999999</c:v>
                </c:pt>
                <c:pt idx="26">
                  <c:v>0.2044</c:v>
                </c:pt>
                <c:pt idx="27">
                  <c:v>0.1986</c:v>
                </c:pt>
                <c:pt idx="28">
                  <c:v>0.19900000000000001</c:v>
                </c:pt>
                <c:pt idx="29">
                  <c:v>0.19700000000000001</c:v>
                </c:pt>
                <c:pt idx="30">
                  <c:v>0.20399999999999999</c:v>
                </c:pt>
                <c:pt idx="31">
                  <c:v>0.23150000000000001</c:v>
                </c:pt>
                <c:pt idx="32">
                  <c:v>0.22770000000000001</c:v>
                </c:pt>
                <c:pt idx="33">
                  <c:v>0.22919999999999999</c:v>
                </c:pt>
                <c:pt idx="34">
                  <c:v>0.22989999999999999</c:v>
                </c:pt>
                <c:pt idx="35">
                  <c:v>0.23180000000000001</c:v>
                </c:pt>
                <c:pt idx="36">
                  <c:v>0.2208</c:v>
                </c:pt>
                <c:pt idx="37">
                  <c:v>0.22520000000000001</c:v>
                </c:pt>
                <c:pt idx="38">
                  <c:v>0.21510000000000001</c:v>
                </c:pt>
                <c:pt idx="39">
                  <c:v>0.22220000000000001</c:v>
                </c:pt>
                <c:pt idx="40">
                  <c:v>0.2412</c:v>
                </c:pt>
                <c:pt idx="41">
                  <c:v>0.21729999999999999</c:v>
                </c:pt>
                <c:pt idx="42">
                  <c:v>0.20449999999999999</c:v>
                </c:pt>
                <c:pt idx="43">
                  <c:v>0.20799999999999999</c:v>
                </c:pt>
                <c:pt idx="44">
                  <c:v>0.19819999999999999</c:v>
                </c:pt>
                <c:pt idx="45">
                  <c:v>0.1918</c:v>
                </c:pt>
                <c:pt idx="46">
                  <c:v>0.21829999999999999</c:v>
                </c:pt>
                <c:pt idx="47">
                  <c:v>0.2041</c:v>
                </c:pt>
                <c:pt idx="48">
                  <c:v>0.20319999999999999</c:v>
                </c:pt>
                <c:pt idx="49">
                  <c:v>0.20849999999999999</c:v>
                </c:pt>
                <c:pt idx="50">
                  <c:v>0.2392</c:v>
                </c:pt>
                <c:pt idx="51">
                  <c:v>0.21970000000000001</c:v>
                </c:pt>
                <c:pt idx="52">
                  <c:v>0.22620000000000001</c:v>
                </c:pt>
                <c:pt idx="53">
                  <c:v>0.2177</c:v>
                </c:pt>
                <c:pt idx="54">
                  <c:v>0.23569999999999999</c:v>
                </c:pt>
                <c:pt idx="55">
                  <c:v>0.29380000000000001</c:v>
                </c:pt>
                <c:pt idx="56">
                  <c:v>0.30740000000000001</c:v>
                </c:pt>
                <c:pt idx="57">
                  <c:v>0.28620000000000001</c:v>
                </c:pt>
                <c:pt idx="58">
                  <c:v>0.2777</c:v>
                </c:pt>
                <c:pt idx="59">
                  <c:v>0.28299999999999997</c:v>
                </c:pt>
                <c:pt idx="60">
                  <c:v>0.2858</c:v>
                </c:pt>
                <c:pt idx="61">
                  <c:v>0.3</c:v>
                </c:pt>
                <c:pt idx="62">
                  <c:v>0.26669999999999999</c:v>
                </c:pt>
                <c:pt idx="63">
                  <c:v>0.29909999999999998</c:v>
                </c:pt>
                <c:pt idx="64">
                  <c:v>0.28000000000000003</c:v>
                </c:pt>
                <c:pt idx="65">
                  <c:v>0.2913</c:v>
                </c:pt>
                <c:pt idx="66">
                  <c:v>0.30430000000000001</c:v>
                </c:pt>
                <c:pt idx="67">
                  <c:v>0.29759999999999998</c:v>
                </c:pt>
                <c:pt idx="68">
                  <c:v>0.28239999999999998</c:v>
                </c:pt>
                <c:pt idx="69">
                  <c:v>0.27550000000000002</c:v>
                </c:pt>
                <c:pt idx="70">
                  <c:v>0.2626</c:v>
                </c:pt>
                <c:pt idx="71">
                  <c:v>0.28029999999999999</c:v>
                </c:pt>
                <c:pt idx="72">
                  <c:v>0.27689999999999998</c:v>
                </c:pt>
                <c:pt idx="73">
                  <c:v>0.30659999999999998</c:v>
                </c:pt>
                <c:pt idx="74">
                  <c:v>0.31440000000000001</c:v>
                </c:pt>
                <c:pt idx="75">
                  <c:v>0.31119999999999998</c:v>
                </c:pt>
                <c:pt idx="76">
                  <c:v>0.3125</c:v>
                </c:pt>
                <c:pt idx="77">
                  <c:v>0.31330000000000002</c:v>
                </c:pt>
                <c:pt idx="78">
                  <c:v>0.31240000000000001</c:v>
                </c:pt>
                <c:pt idx="79">
                  <c:v>0.33019999999999999</c:v>
                </c:pt>
                <c:pt idx="80">
                  <c:v>0.33760000000000001</c:v>
                </c:pt>
                <c:pt idx="81">
                  <c:v>0.34160000000000001</c:v>
                </c:pt>
                <c:pt idx="82">
                  <c:v>0.33550000000000002</c:v>
                </c:pt>
                <c:pt idx="83">
                  <c:v>0.34660000000000002</c:v>
                </c:pt>
                <c:pt idx="84">
                  <c:v>0.3251</c:v>
                </c:pt>
                <c:pt idx="85">
                  <c:v>0.32879999999999998</c:v>
                </c:pt>
                <c:pt idx="86">
                  <c:v>0.34129999999999999</c:v>
                </c:pt>
                <c:pt idx="87">
                  <c:v>0.32329999999999998</c:v>
                </c:pt>
                <c:pt idx="88">
                  <c:v>0.31540000000000001</c:v>
                </c:pt>
                <c:pt idx="89">
                  <c:v>0.30980000000000002</c:v>
                </c:pt>
                <c:pt idx="90">
                  <c:v>0.31659999999999999</c:v>
                </c:pt>
                <c:pt idx="91">
                  <c:v>0.30299999999999999</c:v>
                </c:pt>
                <c:pt idx="92">
                  <c:v>0.29680000000000001</c:v>
                </c:pt>
                <c:pt idx="93">
                  <c:v>0.33579999999999999</c:v>
                </c:pt>
                <c:pt idx="94">
                  <c:v>0.33389999999999997</c:v>
                </c:pt>
                <c:pt idx="95">
                  <c:v>0.3286</c:v>
                </c:pt>
                <c:pt idx="96">
                  <c:v>0.33979999999999999</c:v>
                </c:pt>
                <c:pt idx="97">
                  <c:v>0.34079999999999999</c:v>
                </c:pt>
                <c:pt idx="98">
                  <c:v>0.34320000000000001</c:v>
                </c:pt>
                <c:pt idx="99">
                  <c:v>0.34329999999999999</c:v>
                </c:pt>
                <c:pt idx="100">
                  <c:v>0.33129999999999998</c:v>
                </c:pt>
                <c:pt idx="101">
                  <c:v>0.33679999999999999</c:v>
                </c:pt>
                <c:pt idx="102">
                  <c:v>0.33750000000000002</c:v>
                </c:pt>
                <c:pt idx="103">
                  <c:v>0.35320000000000001</c:v>
                </c:pt>
                <c:pt idx="104">
                  <c:v>0.37319999999999998</c:v>
                </c:pt>
                <c:pt idx="105">
                  <c:v>0.33660000000000001</c:v>
                </c:pt>
                <c:pt idx="106">
                  <c:v>0.31619999999999998</c:v>
                </c:pt>
                <c:pt idx="107">
                  <c:v>0.32450000000000001</c:v>
                </c:pt>
                <c:pt idx="108">
                  <c:v>0.34200000000000003</c:v>
                </c:pt>
                <c:pt idx="109">
                  <c:v>0.3548</c:v>
                </c:pt>
                <c:pt idx="110">
                  <c:v>0.34300000000000003</c:v>
                </c:pt>
                <c:pt idx="111">
                  <c:v>0.33300000000000002</c:v>
                </c:pt>
                <c:pt idx="112">
                  <c:v>0.32129999999999997</c:v>
                </c:pt>
                <c:pt idx="113">
                  <c:v>0.32569999999999999</c:v>
                </c:pt>
                <c:pt idx="114">
                  <c:v>0.33710000000000001</c:v>
                </c:pt>
                <c:pt idx="115">
                  <c:v>0.34370000000000001</c:v>
                </c:pt>
                <c:pt idx="116">
                  <c:v>0.34089999999999998</c:v>
                </c:pt>
                <c:pt idx="117">
                  <c:v>0.32400000000000001</c:v>
                </c:pt>
                <c:pt idx="118">
                  <c:v>0.3256</c:v>
                </c:pt>
                <c:pt idx="119">
                  <c:v>0.30570000000000003</c:v>
                </c:pt>
                <c:pt idx="120">
                  <c:v>0.29520000000000002</c:v>
                </c:pt>
                <c:pt idx="121">
                  <c:v>0.31180000000000002</c:v>
                </c:pt>
                <c:pt idx="122">
                  <c:v>0.34739999999999999</c:v>
                </c:pt>
                <c:pt idx="123">
                  <c:v>0.31619999999999998</c:v>
                </c:pt>
                <c:pt idx="124">
                  <c:v>0.34489999999999998</c:v>
                </c:pt>
                <c:pt idx="125">
                  <c:v>0.35799999999999998</c:v>
                </c:pt>
                <c:pt idx="126">
                  <c:v>0.38700000000000001</c:v>
                </c:pt>
                <c:pt idx="127">
                  <c:v>0.39679999999999999</c:v>
                </c:pt>
                <c:pt idx="128">
                  <c:v>0.36630000000000001</c:v>
                </c:pt>
                <c:pt idx="129">
                  <c:v>0.48520000000000002</c:v>
                </c:pt>
                <c:pt idx="130">
                  <c:v>0.54469999999999996</c:v>
                </c:pt>
                <c:pt idx="131">
                  <c:v>0.63190000000000002</c:v>
                </c:pt>
                <c:pt idx="132">
                  <c:v>0.26219999999999999</c:v>
                </c:pt>
                <c:pt idx="133">
                  <c:v>0.26279999999999998</c:v>
                </c:pt>
                <c:pt idx="134">
                  <c:v>0.26490000000000002</c:v>
                </c:pt>
                <c:pt idx="135">
                  <c:v>0.25719999999999998</c:v>
                </c:pt>
                <c:pt idx="136">
                  <c:v>0.25</c:v>
                </c:pt>
                <c:pt idx="137">
                  <c:v>0.26910000000000001</c:v>
                </c:pt>
                <c:pt idx="138">
                  <c:v>0.27389999999999998</c:v>
                </c:pt>
                <c:pt idx="139">
                  <c:v>0.26769999999999999</c:v>
                </c:pt>
                <c:pt idx="140">
                  <c:v>0.29330000000000001</c:v>
                </c:pt>
                <c:pt idx="141">
                  <c:v>0.27450000000000002</c:v>
                </c:pt>
                <c:pt idx="142">
                  <c:v>0.27829999999999999</c:v>
                </c:pt>
                <c:pt idx="143">
                  <c:v>0.34889999999999999</c:v>
                </c:pt>
                <c:pt idx="144">
                  <c:v>0.33600000000000002</c:v>
                </c:pt>
                <c:pt idx="145">
                  <c:v>0.32469999999999999</c:v>
                </c:pt>
                <c:pt idx="146">
                  <c:v>0.32400000000000001</c:v>
                </c:pt>
                <c:pt idx="147">
                  <c:v>0.32219999999999999</c:v>
                </c:pt>
                <c:pt idx="148">
                  <c:v>0.30499999999999999</c:v>
                </c:pt>
                <c:pt idx="149">
                  <c:v>0.29820000000000002</c:v>
                </c:pt>
                <c:pt idx="150">
                  <c:v>0.2979</c:v>
                </c:pt>
                <c:pt idx="151">
                  <c:v>0.31290000000000001</c:v>
                </c:pt>
                <c:pt idx="152">
                  <c:v>0.32100000000000001</c:v>
                </c:pt>
                <c:pt idx="153">
                  <c:v>0.34039999999999998</c:v>
                </c:pt>
                <c:pt idx="154">
                  <c:v>0.30099999999999999</c:v>
                </c:pt>
                <c:pt idx="155">
                  <c:v>0.34599999999999997</c:v>
                </c:pt>
                <c:pt idx="156">
                  <c:v>0.29399999999999998</c:v>
                </c:pt>
                <c:pt idx="157">
                  <c:v>0.32100000000000001</c:v>
                </c:pt>
                <c:pt idx="158">
                  <c:v>0.312</c:v>
                </c:pt>
                <c:pt idx="159">
                  <c:v>0.308</c:v>
                </c:pt>
                <c:pt idx="160">
                  <c:v>0.33500000000000002</c:v>
                </c:pt>
                <c:pt idx="161">
                  <c:v>0.32100000000000001</c:v>
                </c:pt>
                <c:pt idx="162">
                  <c:v>0.30599999999999999</c:v>
                </c:pt>
                <c:pt idx="163">
                  <c:v>0.314</c:v>
                </c:pt>
                <c:pt idx="164">
                  <c:v>0.34599999999999997</c:v>
                </c:pt>
                <c:pt idx="165">
                  <c:v>0.37</c:v>
                </c:pt>
                <c:pt idx="166">
                  <c:v>0.32400000000000001</c:v>
                </c:pt>
                <c:pt idx="167">
                  <c:v>0.32500000000000001</c:v>
                </c:pt>
                <c:pt idx="168">
                  <c:v>0.309</c:v>
                </c:pt>
                <c:pt idx="169">
                  <c:v>0.32900000000000001</c:v>
                </c:pt>
                <c:pt idx="170">
                  <c:v>0.32300000000000001</c:v>
                </c:pt>
                <c:pt idx="171">
                  <c:v>0.31</c:v>
                </c:pt>
                <c:pt idx="172">
                  <c:v>0.29399999999999998</c:v>
                </c:pt>
                <c:pt idx="173">
                  <c:v>0.32700000000000001</c:v>
                </c:pt>
                <c:pt idx="174">
                  <c:v>0.26100000000000001</c:v>
                </c:pt>
                <c:pt idx="175">
                  <c:v>0.27600000000000002</c:v>
                </c:pt>
                <c:pt idx="176">
                  <c:v>0.214</c:v>
                </c:pt>
                <c:pt idx="177">
                  <c:v>0.20200000000000001</c:v>
                </c:pt>
                <c:pt idx="178">
                  <c:v>0.21</c:v>
                </c:pt>
                <c:pt idx="179">
                  <c:v>0.21099999999999999</c:v>
                </c:pt>
                <c:pt idx="180">
                  <c:v>0.215</c:v>
                </c:pt>
                <c:pt idx="181">
                  <c:v>0.21099999999999999</c:v>
                </c:pt>
                <c:pt idx="182">
                  <c:v>0.21</c:v>
                </c:pt>
                <c:pt idx="183">
                  <c:v>0.20799999999999999</c:v>
                </c:pt>
                <c:pt idx="184">
                  <c:v>0.21</c:v>
                </c:pt>
                <c:pt idx="185">
                  <c:v>0.219</c:v>
                </c:pt>
                <c:pt idx="186">
                  <c:v>0.222</c:v>
                </c:pt>
                <c:pt idx="187">
                  <c:v>0.21199999999999999</c:v>
                </c:pt>
                <c:pt idx="188">
                  <c:v>0.21199999999999999</c:v>
                </c:pt>
                <c:pt idx="189">
                  <c:v>0.20200000000000001</c:v>
                </c:pt>
                <c:pt idx="190">
                  <c:v>0.20100000000000001</c:v>
                </c:pt>
                <c:pt idx="191">
                  <c:v>0.187</c:v>
                </c:pt>
                <c:pt idx="192">
                  <c:v>0.188</c:v>
                </c:pt>
                <c:pt idx="193">
                  <c:v>0.20200000000000001</c:v>
                </c:pt>
                <c:pt idx="194">
                  <c:v>0.20100000000000001</c:v>
                </c:pt>
                <c:pt idx="195">
                  <c:v>0.21</c:v>
                </c:pt>
                <c:pt idx="196">
                  <c:v>0.21299999999999999</c:v>
                </c:pt>
                <c:pt idx="197">
                  <c:v>0.217</c:v>
                </c:pt>
                <c:pt idx="198">
                  <c:v>0.22600000000000001</c:v>
                </c:pt>
                <c:pt idx="199">
                  <c:v>0.23300000000000001</c:v>
                </c:pt>
                <c:pt idx="200">
                  <c:v>0.24199999999999999</c:v>
                </c:pt>
                <c:pt idx="201">
                  <c:v>0.24</c:v>
                </c:pt>
                <c:pt idx="202">
                  <c:v>0.249</c:v>
                </c:pt>
                <c:pt idx="203">
                  <c:v>0.23899999999999999</c:v>
                </c:pt>
                <c:pt idx="204">
                  <c:v>0.25800000000000001</c:v>
                </c:pt>
                <c:pt idx="205">
                  <c:v>0.26300000000000001</c:v>
                </c:pt>
                <c:pt idx="206">
                  <c:v>0.27800000000000002</c:v>
                </c:pt>
                <c:pt idx="207">
                  <c:v>0.253</c:v>
                </c:pt>
                <c:pt idx="208">
                  <c:v>0.23599999999999999</c:v>
                </c:pt>
                <c:pt idx="209">
                  <c:v>0.23100000000000001</c:v>
                </c:pt>
                <c:pt idx="210">
                  <c:v>0.23599999999999999</c:v>
                </c:pt>
                <c:pt idx="211">
                  <c:v>0.252</c:v>
                </c:pt>
                <c:pt idx="212">
                  <c:v>0.255</c:v>
                </c:pt>
                <c:pt idx="213">
                  <c:v>0.25600000000000001</c:v>
                </c:pt>
                <c:pt idx="214">
                  <c:v>0.26100000000000001</c:v>
                </c:pt>
                <c:pt idx="215">
                  <c:v>0.24399999999999999</c:v>
                </c:pt>
                <c:pt idx="216">
                  <c:v>0.20399999999999999</c:v>
                </c:pt>
                <c:pt idx="217">
                  <c:v>0.20899999999999999</c:v>
                </c:pt>
                <c:pt idx="218">
                  <c:v>0.20599999999999999</c:v>
                </c:pt>
                <c:pt idx="219">
                  <c:v>0.182</c:v>
                </c:pt>
                <c:pt idx="220">
                  <c:v>0.215</c:v>
                </c:pt>
                <c:pt idx="221">
                  <c:v>0.26800000000000002</c:v>
                </c:pt>
                <c:pt idx="222">
                  <c:v>0.28699999999999998</c:v>
                </c:pt>
                <c:pt idx="223">
                  <c:v>0.29699999999999999</c:v>
                </c:pt>
                <c:pt idx="224">
                  <c:v>0.32500000000000001</c:v>
                </c:pt>
                <c:pt idx="225">
                  <c:v>0.32300000000000001</c:v>
                </c:pt>
                <c:pt idx="226">
                  <c:v>0.34200000000000003</c:v>
                </c:pt>
                <c:pt idx="227">
                  <c:v>0.34100000000000003</c:v>
                </c:pt>
                <c:pt idx="228">
                  <c:v>0.33600000000000002</c:v>
                </c:pt>
                <c:pt idx="229">
                  <c:v>0.32100000000000001</c:v>
                </c:pt>
                <c:pt idx="230">
                  <c:v>0.32700000000000001</c:v>
                </c:pt>
                <c:pt idx="231">
                  <c:v>0.34200000000000003</c:v>
                </c:pt>
                <c:pt idx="232">
                  <c:v>0.35199999999999998</c:v>
                </c:pt>
                <c:pt idx="233">
                  <c:v>0.34300000000000003</c:v>
                </c:pt>
                <c:pt idx="234">
                  <c:v>0.36299999999999999</c:v>
                </c:pt>
                <c:pt idx="235">
                  <c:v>0.41899999999999998</c:v>
                </c:pt>
                <c:pt idx="236">
                  <c:v>0.42099999999999999</c:v>
                </c:pt>
                <c:pt idx="237">
                  <c:v>0.42799999999999999</c:v>
                </c:pt>
                <c:pt idx="238">
                  <c:v>0.501</c:v>
                </c:pt>
                <c:pt idx="239">
                  <c:v>0.442</c:v>
                </c:pt>
                <c:pt idx="240">
                  <c:v>0.41</c:v>
                </c:pt>
                <c:pt idx="241">
                  <c:v>0.40899999999999997</c:v>
                </c:pt>
                <c:pt idx="242">
                  <c:v>0.32600000000000001</c:v>
                </c:pt>
                <c:pt idx="243">
                  <c:v>0.313</c:v>
                </c:pt>
                <c:pt idx="244">
                  <c:v>0.33600000000000002</c:v>
                </c:pt>
                <c:pt idx="245">
                  <c:v>0.38200000000000001</c:v>
                </c:pt>
                <c:pt idx="246">
                  <c:v>0.40799999999999997</c:v>
                </c:pt>
                <c:pt idx="247">
                  <c:v>0.374</c:v>
                </c:pt>
                <c:pt idx="248">
                  <c:v>0.39500000000000002</c:v>
                </c:pt>
                <c:pt idx="249">
                  <c:v>0.32500000000000001</c:v>
                </c:pt>
                <c:pt idx="250">
                  <c:v>0.376</c:v>
                </c:pt>
                <c:pt idx="251">
                  <c:v>0.40500000000000003</c:v>
                </c:pt>
                <c:pt idx="252">
                  <c:v>0.49299999999999999</c:v>
                </c:pt>
                <c:pt idx="253">
                  <c:v>0.38300000000000001</c:v>
                </c:pt>
                <c:pt idx="254">
                  <c:v>0.61699999999999999</c:v>
                </c:pt>
                <c:pt idx="255">
                  <c:v>0.61799999999999999</c:v>
                </c:pt>
                <c:pt idx="256">
                  <c:v>0.71599999999999997</c:v>
                </c:pt>
                <c:pt idx="257">
                  <c:v>0.72399999999999998</c:v>
                </c:pt>
                <c:pt idx="258">
                  <c:v>0.81599999999999995</c:v>
                </c:pt>
                <c:pt idx="259">
                  <c:v>0.80100000000000005</c:v>
                </c:pt>
                <c:pt idx="260">
                  <c:v>0.8</c:v>
                </c:pt>
                <c:pt idx="261">
                  <c:v>0.82399999999999995</c:v>
                </c:pt>
                <c:pt idx="262">
                  <c:v>0.80300000000000005</c:v>
                </c:pt>
                <c:pt idx="263">
                  <c:v>0.88400000000000001</c:v>
                </c:pt>
                <c:pt idx="264">
                  <c:v>0.88900000000000001</c:v>
                </c:pt>
                <c:pt idx="265">
                  <c:v>0.93799999999999994</c:v>
                </c:pt>
                <c:pt idx="266">
                  <c:v>0.876</c:v>
                </c:pt>
                <c:pt idx="267">
                  <c:v>0.90800000000000003</c:v>
                </c:pt>
                <c:pt idx="268">
                  <c:v>0.86399999999999999</c:v>
                </c:pt>
                <c:pt idx="269">
                  <c:v>0.95699999999999996</c:v>
                </c:pt>
                <c:pt idx="270">
                  <c:v>0.94</c:v>
                </c:pt>
                <c:pt idx="271">
                  <c:v>0.99</c:v>
                </c:pt>
                <c:pt idx="272">
                  <c:v>1</c:v>
                </c:pt>
                <c:pt idx="273">
                  <c:v>0.997</c:v>
                </c:pt>
                <c:pt idx="274">
                  <c:v>1.0449999999999999</c:v>
                </c:pt>
                <c:pt idx="275">
                  <c:v>1.014</c:v>
                </c:pt>
                <c:pt idx="276">
                  <c:v>0.94299999999999995</c:v>
                </c:pt>
                <c:pt idx="277">
                  <c:v>0.86099999999999999</c:v>
                </c:pt>
                <c:pt idx="278">
                  <c:v>0.85099999999999998</c:v>
                </c:pt>
                <c:pt idx="279">
                  <c:v>0.86899999999999999</c:v>
                </c:pt>
                <c:pt idx="280">
                  <c:v>0.90400000000000003</c:v>
                </c:pt>
                <c:pt idx="281">
                  <c:v>0.94199999999999995</c:v>
                </c:pt>
                <c:pt idx="282">
                  <c:v>1.0429999999999999</c:v>
                </c:pt>
                <c:pt idx="283">
                  <c:v>1.0669999999999999</c:v>
                </c:pt>
                <c:pt idx="284">
                  <c:v>0.97199999999999998</c:v>
                </c:pt>
                <c:pt idx="285">
                  <c:v>1.05</c:v>
                </c:pt>
                <c:pt idx="286">
                  <c:v>1.075</c:v>
                </c:pt>
                <c:pt idx="287">
                  <c:v>1.1080000000000001</c:v>
                </c:pt>
                <c:pt idx="288">
                  <c:v>1.141</c:v>
                </c:pt>
                <c:pt idx="289">
                  <c:v>1.127</c:v>
                </c:pt>
                <c:pt idx="290">
                  <c:v>1.202</c:v>
                </c:pt>
                <c:pt idx="291">
                  <c:v>1.2070000000000001</c:v>
                </c:pt>
                <c:pt idx="292">
                  <c:v>1.236</c:v>
                </c:pt>
                <c:pt idx="293">
                  <c:v>1.266</c:v>
                </c:pt>
                <c:pt idx="294">
                  <c:v>1.274</c:v>
                </c:pt>
                <c:pt idx="295">
                  <c:v>1.129</c:v>
                </c:pt>
                <c:pt idx="296">
                  <c:v>1.1419999999999999</c:v>
                </c:pt>
                <c:pt idx="297">
                  <c:v>1.222</c:v>
                </c:pt>
                <c:pt idx="298">
                  <c:v>1.1379999999999999</c:v>
                </c:pt>
                <c:pt idx="299">
                  <c:v>1.0289999999999999</c:v>
                </c:pt>
                <c:pt idx="300">
                  <c:v>1.1279999999999999</c:v>
                </c:pt>
                <c:pt idx="301">
                  <c:v>1.0229999999999999</c:v>
                </c:pt>
                <c:pt idx="302">
                  <c:v>1.117</c:v>
                </c:pt>
                <c:pt idx="303">
                  <c:v>1.2809999999999999</c:v>
                </c:pt>
                <c:pt idx="304">
                  <c:v>1.379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0-4AD9-9FF6-95CEA56DD2F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-14.045379087309382</c:v>
                </c:pt>
                <c:pt idx="1">
                  <c:v>-14.038127019662323</c:v>
                </c:pt>
                <c:pt idx="2">
                  <c:v>-13.944066197787322</c:v>
                </c:pt>
                <c:pt idx="3">
                  <c:v>-13.978814473906727</c:v>
                </c:pt>
                <c:pt idx="4">
                  <c:v>-14.085726059724907</c:v>
                </c:pt>
                <c:pt idx="5">
                  <c:v>-14.050579183875852</c:v>
                </c:pt>
                <c:pt idx="6">
                  <c:v>-13.981171652675853</c:v>
                </c:pt>
                <c:pt idx="7">
                  <c:v>-13.712449984946376</c:v>
                </c:pt>
                <c:pt idx="8">
                  <c:v>-13.670936032974543</c:v>
                </c:pt>
                <c:pt idx="9">
                  <c:v>-13.591737491675842</c:v>
                </c:pt>
                <c:pt idx="10">
                  <c:v>-13.589491479028782</c:v>
                </c:pt>
                <c:pt idx="11">
                  <c:v>-13.535609728008376</c:v>
                </c:pt>
                <c:pt idx="12">
                  <c:v>-13.559109951571594</c:v>
                </c:pt>
                <c:pt idx="13">
                  <c:v>-13.558280107921957</c:v>
                </c:pt>
                <c:pt idx="14">
                  <c:v>-13.574353586980783</c:v>
                </c:pt>
                <c:pt idx="15">
                  <c:v>-13.522915470138676</c:v>
                </c:pt>
                <c:pt idx="16">
                  <c:v>-13.546316828682366</c:v>
                </c:pt>
                <c:pt idx="17">
                  <c:v>-13.562191749816387</c:v>
                </c:pt>
                <c:pt idx="18">
                  <c:v>-13.510386999994957</c:v>
                </c:pt>
                <c:pt idx="19">
                  <c:v>-13.483439787782569</c:v>
                </c:pt>
                <c:pt idx="20">
                  <c:v>-13.403913581396015</c:v>
                </c:pt>
                <c:pt idx="21">
                  <c:v>-13.381237112696828</c:v>
                </c:pt>
                <c:pt idx="22">
                  <c:v>-13.374604916275775</c:v>
                </c:pt>
                <c:pt idx="23">
                  <c:v>-13.356191795799585</c:v>
                </c:pt>
                <c:pt idx="24">
                  <c:v>-13.305233932257917</c:v>
                </c:pt>
                <c:pt idx="25">
                  <c:v>-13.129496642377319</c:v>
                </c:pt>
                <c:pt idx="26">
                  <c:v>-13.213507081013683</c:v>
                </c:pt>
                <c:pt idx="27">
                  <c:v>-13.24415797268035</c:v>
                </c:pt>
                <c:pt idx="28">
                  <c:v>-13.212940016988041</c:v>
                </c:pt>
                <c:pt idx="29">
                  <c:v>-13.185880816988041</c:v>
                </c:pt>
                <c:pt idx="30">
                  <c:v>-13.113210970321374</c:v>
                </c:pt>
                <c:pt idx="31">
                  <c:v>-12.992006696377711</c:v>
                </c:pt>
                <c:pt idx="32">
                  <c:v>-12.976371230223865</c:v>
                </c:pt>
                <c:pt idx="33">
                  <c:v>-13.015902363267344</c:v>
                </c:pt>
                <c:pt idx="34">
                  <c:v>-12.986996297968197</c:v>
                </c:pt>
                <c:pt idx="35">
                  <c:v>-12.917422095258519</c:v>
                </c:pt>
                <c:pt idx="36">
                  <c:v>-13.021650560643135</c:v>
                </c:pt>
                <c:pt idx="37">
                  <c:v>-12.912013633559802</c:v>
                </c:pt>
                <c:pt idx="38">
                  <c:v>-12.982624687907629</c:v>
                </c:pt>
                <c:pt idx="39">
                  <c:v>-12.904091385417832</c:v>
                </c:pt>
                <c:pt idx="40">
                  <c:v>-12.626993625964458</c:v>
                </c:pt>
                <c:pt idx="41">
                  <c:v>-11.636939688865898</c:v>
                </c:pt>
                <c:pt idx="42">
                  <c:v>-11.58021820357178</c:v>
                </c:pt>
                <c:pt idx="43">
                  <c:v>-11.503345458656526</c:v>
                </c:pt>
                <c:pt idx="44">
                  <c:v>-11.505042416807784</c:v>
                </c:pt>
                <c:pt idx="45">
                  <c:v>-11.352199790976581</c:v>
                </c:pt>
                <c:pt idx="46">
                  <c:v>-11.272807500190673</c:v>
                </c:pt>
                <c:pt idx="47">
                  <c:v>-11.245438760263932</c:v>
                </c:pt>
                <c:pt idx="48">
                  <c:v>-11.248992894835361</c:v>
                </c:pt>
                <c:pt idx="49">
                  <c:v>-11.144193020307059</c:v>
                </c:pt>
                <c:pt idx="50">
                  <c:v>-10.896249085956182</c:v>
                </c:pt>
                <c:pt idx="51">
                  <c:v>-10.959511434125197</c:v>
                </c:pt>
                <c:pt idx="52">
                  <c:v>-10.871589287353897</c:v>
                </c:pt>
                <c:pt idx="53">
                  <c:v>-11.029920896379684</c:v>
                </c:pt>
                <c:pt idx="54">
                  <c:v>-10.951452371673804</c:v>
                </c:pt>
                <c:pt idx="55">
                  <c:v>-10.956733474523206</c:v>
                </c:pt>
                <c:pt idx="56">
                  <c:v>-10.54874433530752</c:v>
                </c:pt>
                <c:pt idx="57">
                  <c:v>-10.702559420507519</c:v>
                </c:pt>
                <c:pt idx="58">
                  <c:v>-10.715159886461716</c:v>
                </c:pt>
                <c:pt idx="59">
                  <c:v>-10.706603561366178</c:v>
                </c:pt>
                <c:pt idx="60">
                  <c:v>-10.684476664807036</c:v>
                </c:pt>
                <c:pt idx="61">
                  <c:v>-10.34541575184315</c:v>
                </c:pt>
                <c:pt idx="62">
                  <c:v>-10.466272971751618</c:v>
                </c:pt>
                <c:pt idx="63">
                  <c:v>-10.212346414005138</c:v>
                </c:pt>
                <c:pt idx="64">
                  <c:v>-10.306871731641502</c:v>
                </c:pt>
                <c:pt idx="65">
                  <c:v>-10.271125685808169</c:v>
                </c:pt>
                <c:pt idx="66">
                  <c:v>-10.209190143265795</c:v>
                </c:pt>
                <c:pt idx="67">
                  <c:v>-9.8590133483517057</c:v>
                </c:pt>
                <c:pt idx="68">
                  <c:v>-9.824441318816822</c:v>
                </c:pt>
                <c:pt idx="69">
                  <c:v>-9.906279035225662</c:v>
                </c:pt>
                <c:pt idx="70">
                  <c:v>-9.9630399511515861</c:v>
                </c:pt>
                <c:pt idx="71">
                  <c:v>-9.8093319790935407</c:v>
                </c:pt>
                <c:pt idx="72">
                  <c:v>-9.8818760696414856</c:v>
                </c:pt>
                <c:pt idx="73">
                  <c:v>-9.7853227412867287</c:v>
                </c:pt>
                <c:pt idx="74">
                  <c:v>-9.6987298544650233</c:v>
                </c:pt>
                <c:pt idx="75">
                  <c:v>-9.7446650719863914</c:v>
                </c:pt>
                <c:pt idx="76">
                  <c:v>-9.695818131510201</c:v>
                </c:pt>
                <c:pt idx="77">
                  <c:v>-9.7724014987964463</c:v>
                </c:pt>
                <c:pt idx="78">
                  <c:v>-9.7706290264154934</c:v>
                </c:pt>
                <c:pt idx="79">
                  <c:v>-9.6869946387737009</c:v>
                </c:pt>
                <c:pt idx="80">
                  <c:v>-9.5567339225832253</c:v>
                </c:pt>
                <c:pt idx="81">
                  <c:v>-9.5734430499249967</c:v>
                </c:pt>
                <c:pt idx="82">
                  <c:v>-9.7146409059905725</c:v>
                </c:pt>
                <c:pt idx="83">
                  <c:v>-9.5977472390387035</c:v>
                </c:pt>
                <c:pt idx="84">
                  <c:v>-9.4740023466594536</c:v>
                </c:pt>
                <c:pt idx="85">
                  <c:v>-9.4022472789671472</c:v>
                </c:pt>
                <c:pt idx="86">
                  <c:v>-9.3889092980349425</c:v>
                </c:pt>
                <c:pt idx="87">
                  <c:v>-9.5888107096628517</c:v>
                </c:pt>
                <c:pt idx="88">
                  <c:v>-9.6833646101243893</c:v>
                </c:pt>
                <c:pt idx="89">
                  <c:v>-9.8040136735605117</c:v>
                </c:pt>
                <c:pt idx="90">
                  <c:v>-9.7184222517373069</c:v>
                </c:pt>
                <c:pt idx="91">
                  <c:v>-9.6875672328282167</c:v>
                </c:pt>
                <c:pt idx="92">
                  <c:v>-9.6813243122442749</c:v>
                </c:pt>
                <c:pt idx="93">
                  <c:v>-9.3557901428886669</c:v>
                </c:pt>
                <c:pt idx="94">
                  <c:v>-9.2248156944350583</c:v>
                </c:pt>
                <c:pt idx="95">
                  <c:v>-9.2310799206766685</c:v>
                </c:pt>
                <c:pt idx="96">
                  <c:v>-9.1443605226278866</c:v>
                </c:pt>
                <c:pt idx="97">
                  <c:v>-9.1633890913897922</c:v>
                </c:pt>
                <c:pt idx="98">
                  <c:v>-9.1522413960787876</c:v>
                </c:pt>
                <c:pt idx="99">
                  <c:v>-9.0959868941353239</c:v>
                </c:pt>
                <c:pt idx="100">
                  <c:v>-9.0991245680019919</c:v>
                </c:pt>
                <c:pt idx="101">
                  <c:v>-8.9972518973734186</c:v>
                </c:pt>
                <c:pt idx="102">
                  <c:v>-8.9793103288080189</c:v>
                </c:pt>
                <c:pt idx="103">
                  <c:v>-8.8694036768080178</c:v>
                </c:pt>
                <c:pt idx="104">
                  <c:v>-8.7290391037804973</c:v>
                </c:pt>
                <c:pt idx="105">
                  <c:v>-8.8560518421804968</c:v>
                </c:pt>
                <c:pt idx="106">
                  <c:v>-9.0111828346725087</c:v>
                </c:pt>
                <c:pt idx="107">
                  <c:v>-8.9276626287465835</c:v>
                </c:pt>
                <c:pt idx="108">
                  <c:v>-8.9186380042011297</c:v>
                </c:pt>
                <c:pt idx="109">
                  <c:v>-8.6875318369284038</c:v>
                </c:pt>
                <c:pt idx="110">
                  <c:v>-8.4096775586225583</c:v>
                </c:pt>
                <c:pt idx="111">
                  <c:v>-8.3852128104211197</c:v>
                </c:pt>
                <c:pt idx="112">
                  <c:v>-7.9851593337774007</c:v>
                </c:pt>
                <c:pt idx="113">
                  <c:v>-7.8238063216034881</c:v>
                </c:pt>
                <c:pt idx="114">
                  <c:v>-7.7557249367463443</c:v>
                </c:pt>
                <c:pt idx="115">
                  <c:v>-7.6081752478006575</c:v>
                </c:pt>
                <c:pt idx="116">
                  <c:v>-7.5214192084481395</c:v>
                </c:pt>
                <c:pt idx="117">
                  <c:v>-7.4155514579473047</c:v>
                </c:pt>
                <c:pt idx="118">
                  <c:v>-7.30833655087506</c:v>
                </c:pt>
                <c:pt idx="119">
                  <c:v>-7.5468691170310498</c:v>
                </c:pt>
                <c:pt idx="120">
                  <c:v>-7.5905131522105371</c:v>
                </c:pt>
                <c:pt idx="121">
                  <c:v>-7.353838712118371</c:v>
                </c:pt>
                <c:pt idx="122">
                  <c:v>-6.6431495677498731</c:v>
                </c:pt>
                <c:pt idx="123">
                  <c:v>-6.6509765344165395</c:v>
                </c:pt>
                <c:pt idx="124">
                  <c:v>-6.614835220521802</c:v>
                </c:pt>
                <c:pt idx="125">
                  <c:v>-6.3357323423551346</c:v>
                </c:pt>
                <c:pt idx="126">
                  <c:v>-6.0786693960136713</c:v>
                </c:pt>
                <c:pt idx="127">
                  <c:v>-5.7582690111471093</c:v>
                </c:pt>
                <c:pt idx="128">
                  <c:v>-5.9040612495728695</c:v>
                </c:pt>
                <c:pt idx="129">
                  <c:v>-5.2728701433696621</c:v>
                </c:pt>
                <c:pt idx="130">
                  <c:v>-4.8600172989081241</c:v>
                </c:pt>
                <c:pt idx="131">
                  <c:v>-0.7299033826551935</c:v>
                </c:pt>
                <c:pt idx="132">
                  <c:v>-3.2049576123203454</c:v>
                </c:pt>
                <c:pt idx="133">
                  <c:v>-3.095377212973407</c:v>
                </c:pt>
                <c:pt idx="134">
                  <c:v>-2.9999861658118343</c:v>
                </c:pt>
                <c:pt idx="135">
                  <c:v>-3.0728497069077254</c:v>
                </c:pt>
                <c:pt idx="136">
                  <c:v>-3.13444722603816</c:v>
                </c:pt>
                <c:pt idx="137">
                  <c:v>-3.1048051119384366</c:v>
                </c:pt>
                <c:pt idx="138">
                  <c:v>-3.0636148614384364</c:v>
                </c:pt>
                <c:pt idx="139">
                  <c:v>-3.0137069948721713</c:v>
                </c:pt>
                <c:pt idx="140">
                  <c:v>-2.8839801633570201</c:v>
                </c:pt>
                <c:pt idx="141">
                  <c:v>-2.9536202684335149</c:v>
                </c:pt>
                <c:pt idx="142">
                  <c:v>-3.1216659417668482</c:v>
                </c:pt>
                <c:pt idx="143">
                  <c:v>-2.8212430496997363</c:v>
                </c:pt>
                <c:pt idx="144">
                  <c:v>-3.0255395549305053</c:v>
                </c:pt>
                <c:pt idx="145">
                  <c:v>-3.155331568263839</c:v>
                </c:pt>
                <c:pt idx="146">
                  <c:v>-3.1950421066089931</c:v>
                </c:pt>
                <c:pt idx="147">
                  <c:v>-3.2017052595447728</c:v>
                </c:pt>
                <c:pt idx="148">
                  <c:v>-3.1781689229930481</c:v>
                </c:pt>
                <c:pt idx="149">
                  <c:v>-3.2844810562622784</c:v>
                </c:pt>
                <c:pt idx="150">
                  <c:v>-3.2031879917550183</c:v>
                </c:pt>
                <c:pt idx="151">
                  <c:v>-3.068557277156339</c:v>
                </c:pt>
                <c:pt idx="152">
                  <c:v>-3.0158365438230059</c:v>
                </c:pt>
                <c:pt idx="153">
                  <c:v>-2.8630287552670493</c:v>
                </c:pt>
                <c:pt idx="154">
                  <c:v>-3.1013106620490176</c:v>
                </c:pt>
                <c:pt idx="155">
                  <c:v>-2.4755088213356755</c:v>
                </c:pt>
                <c:pt idx="156">
                  <c:v>-2.7555396425371042</c:v>
                </c:pt>
                <c:pt idx="157">
                  <c:v>-2.6718108257537705</c:v>
                </c:pt>
                <c:pt idx="158">
                  <c:v>-2.643484774016402</c:v>
                </c:pt>
                <c:pt idx="159">
                  <c:v>-2.6514054867778309</c:v>
                </c:pt>
                <c:pt idx="160">
                  <c:v>-2.5617332531004111</c:v>
                </c:pt>
                <c:pt idx="161">
                  <c:v>-2.6752352876848557</c:v>
                </c:pt>
                <c:pt idx="162">
                  <c:v>-2.808706597617427</c:v>
                </c:pt>
                <c:pt idx="163">
                  <c:v>-2.787894680295889</c:v>
                </c:pt>
                <c:pt idx="164">
                  <c:v>-2.642921058929474</c:v>
                </c:pt>
                <c:pt idx="165">
                  <c:v>-2.4432155522610115</c:v>
                </c:pt>
                <c:pt idx="166">
                  <c:v>-2.5092069988400811</c:v>
                </c:pt>
                <c:pt idx="167">
                  <c:v>-2.4576762773249596</c:v>
                </c:pt>
                <c:pt idx="168">
                  <c:v>-2.5238046530849596</c:v>
                </c:pt>
                <c:pt idx="169">
                  <c:v>-2.4219015713151557</c:v>
                </c:pt>
                <c:pt idx="170">
                  <c:v>-2.2870325736910386</c:v>
                </c:pt>
                <c:pt idx="171">
                  <c:v>-2.3702347805928565</c:v>
                </c:pt>
                <c:pt idx="172">
                  <c:v>-2.4053173593306747</c:v>
                </c:pt>
                <c:pt idx="173">
                  <c:v>-1.7566364935397976</c:v>
                </c:pt>
                <c:pt idx="174">
                  <c:v>-1.7668648790180328</c:v>
                </c:pt>
                <c:pt idx="175">
                  <c:v>-1.7245066339121506</c:v>
                </c:pt>
                <c:pt idx="176">
                  <c:v>-1.9781137992494238</c:v>
                </c:pt>
                <c:pt idx="177">
                  <c:v>-2.0123987853834238</c:v>
                </c:pt>
                <c:pt idx="178">
                  <c:v>-1.988672578403424</c:v>
                </c:pt>
                <c:pt idx="179">
                  <c:v>-1.998109066173424</c:v>
                </c:pt>
                <c:pt idx="180">
                  <c:v>-1.954799191923424</c:v>
                </c:pt>
                <c:pt idx="181">
                  <c:v>-1.9817757737234241</c:v>
                </c:pt>
                <c:pt idx="182">
                  <c:v>-1.9993825931962812</c:v>
                </c:pt>
                <c:pt idx="183">
                  <c:v>-1.9993825931962812</c:v>
                </c:pt>
                <c:pt idx="184">
                  <c:v>-1.9663954420826446</c:v>
                </c:pt>
                <c:pt idx="185">
                  <c:v>-1.9385717996895677</c:v>
                </c:pt>
                <c:pt idx="186">
                  <c:v>-1.866900375570901</c:v>
                </c:pt>
                <c:pt idx="187">
                  <c:v>-1.9101833481864567</c:v>
                </c:pt>
                <c:pt idx="188">
                  <c:v>-1.8580331648414565</c:v>
                </c:pt>
                <c:pt idx="189">
                  <c:v>-1.8942167725314565</c:v>
                </c:pt>
                <c:pt idx="190">
                  <c:v>-1.9100832493647897</c:v>
                </c:pt>
                <c:pt idx="191">
                  <c:v>-1.9257020630784261</c:v>
                </c:pt>
                <c:pt idx="192">
                  <c:v>-1.8710076459750931</c:v>
                </c:pt>
                <c:pt idx="193">
                  <c:v>-1.8441279976703562</c:v>
                </c:pt>
                <c:pt idx="194">
                  <c:v>-1.8327001123403561</c:v>
                </c:pt>
                <c:pt idx="195">
                  <c:v>-1.8068307458803561</c:v>
                </c:pt>
                <c:pt idx="196">
                  <c:v>-1.8068307458803561</c:v>
                </c:pt>
                <c:pt idx="197">
                  <c:v>-1.7707151454758108</c:v>
                </c:pt>
                <c:pt idx="198">
                  <c:v>-1.7707151454758108</c:v>
                </c:pt>
                <c:pt idx="199">
                  <c:v>-1.7343585351638107</c:v>
                </c:pt>
                <c:pt idx="200">
                  <c:v>-1.7192443219178108</c:v>
                </c:pt>
                <c:pt idx="201">
                  <c:v>-1.7227277241458105</c:v>
                </c:pt>
                <c:pt idx="202">
                  <c:v>-1.7146901954986677</c:v>
                </c:pt>
                <c:pt idx="203">
                  <c:v>-1.7368270802074912</c:v>
                </c:pt>
                <c:pt idx="204">
                  <c:v>-1.7120680162174911</c:v>
                </c:pt>
                <c:pt idx="205">
                  <c:v>-1.6825329891574912</c:v>
                </c:pt>
                <c:pt idx="206">
                  <c:v>-1.6536035963380469</c:v>
                </c:pt>
                <c:pt idx="207">
                  <c:v>-1.7006367910680469</c:v>
                </c:pt>
                <c:pt idx="208">
                  <c:v>-1.6915947937238609</c:v>
                </c:pt>
                <c:pt idx="209">
                  <c:v>-1.697938662373861</c:v>
                </c:pt>
                <c:pt idx="210">
                  <c:v>-1.689502713350528</c:v>
                </c:pt>
                <c:pt idx="211">
                  <c:v>-1.6698630286571947</c:v>
                </c:pt>
                <c:pt idx="212">
                  <c:v>-1.6963003173971947</c:v>
                </c:pt>
                <c:pt idx="213">
                  <c:v>-1.6729994349662272</c:v>
                </c:pt>
                <c:pt idx="214">
                  <c:v>-1.6276473512428935</c:v>
                </c:pt>
                <c:pt idx="215">
                  <c:v>-1.4815691859264422</c:v>
                </c:pt>
                <c:pt idx="216">
                  <c:v>-1.3819139789024422</c:v>
                </c:pt>
                <c:pt idx="217">
                  <c:v>-1.3688146639057752</c:v>
                </c:pt>
                <c:pt idx="218">
                  <c:v>-1.3787462604972038</c:v>
                </c:pt>
                <c:pt idx="219">
                  <c:v>-1.4301615914084942</c:v>
                </c:pt>
                <c:pt idx="220">
                  <c:v>-1.3759030141536002</c:v>
                </c:pt>
                <c:pt idx="221">
                  <c:v>-1.3107473811561003</c:v>
                </c:pt>
                <c:pt idx="222">
                  <c:v>-1.3030632514675289</c:v>
                </c:pt>
                <c:pt idx="223">
                  <c:v>-1.2818308236946716</c:v>
                </c:pt>
                <c:pt idx="224">
                  <c:v>-1.252509780017252</c:v>
                </c:pt>
                <c:pt idx="225">
                  <c:v>-1.2616866634472521</c:v>
                </c:pt>
                <c:pt idx="226">
                  <c:v>-1.2490598826334589</c:v>
                </c:pt>
                <c:pt idx="227">
                  <c:v>-1.2452668624420304</c:v>
                </c:pt>
                <c:pt idx="228">
                  <c:v>-1.2576014622843834</c:v>
                </c:pt>
                <c:pt idx="229">
                  <c:v>-1.2764997092796009</c:v>
                </c:pt>
                <c:pt idx="230">
                  <c:v>-1.2652913671396009</c:v>
                </c:pt>
                <c:pt idx="231">
                  <c:v>-1.2400839897330296</c:v>
                </c:pt>
                <c:pt idx="232">
                  <c:v>-1.2156059638446084</c:v>
                </c:pt>
                <c:pt idx="233">
                  <c:v>-1.2177866650999418</c:v>
                </c:pt>
                <c:pt idx="234">
                  <c:v>-1.2273084367913212</c:v>
                </c:pt>
                <c:pt idx="235">
                  <c:v>-1.1550679990877917</c:v>
                </c:pt>
                <c:pt idx="236">
                  <c:v>-1.135065076556363</c:v>
                </c:pt>
                <c:pt idx="237">
                  <c:v>-1.106852490317991</c:v>
                </c:pt>
                <c:pt idx="238">
                  <c:v>-1.0681589526341813</c:v>
                </c:pt>
                <c:pt idx="239">
                  <c:v>-1.1235310293541814</c:v>
                </c:pt>
                <c:pt idx="240">
                  <c:v>-1.1383576099861814</c:v>
                </c:pt>
                <c:pt idx="241">
                  <c:v>-1.0868705344861813</c:v>
                </c:pt>
                <c:pt idx="242">
                  <c:v>-1.1600840784967485</c:v>
                </c:pt>
                <c:pt idx="243">
                  <c:v>-1.1752249563241171</c:v>
                </c:pt>
                <c:pt idx="244">
                  <c:v>-1.1613457072848314</c:v>
                </c:pt>
                <c:pt idx="245">
                  <c:v>-1.1297152745635812</c:v>
                </c:pt>
                <c:pt idx="246">
                  <c:v>-1.1226996016926722</c:v>
                </c:pt>
                <c:pt idx="247">
                  <c:v>-1.1508435997360054</c:v>
                </c:pt>
                <c:pt idx="248">
                  <c:v>-1.1350355359586246</c:v>
                </c:pt>
                <c:pt idx="249">
                  <c:v>-1.177367023923575</c:v>
                </c:pt>
                <c:pt idx="250">
                  <c:v>-1.1629794772536652</c:v>
                </c:pt>
                <c:pt idx="251">
                  <c:v>-1.1463722302301653</c:v>
                </c:pt>
                <c:pt idx="252">
                  <c:v>-1.1195492555590543</c:v>
                </c:pt>
                <c:pt idx="253">
                  <c:v>-1.151075940333449</c:v>
                </c:pt>
                <c:pt idx="254">
                  <c:v>-1.1367812919142004</c:v>
                </c:pt>
                <c:pt idx="255">
                  <c:v>-1.1327821130314732</c:v>
                </c:pt>
                <c:pt idx="256">
                  <c:v>-1.0950390950190321</c:v>
                </c:pt>
                <c:pt idx="257">
                  <c:v>-1.0872209195547464</c:v>
                </c:pt>
                <c:pt idx="258">
                  <c:v>-1.0472633793828419</c:v>
                </c:pt>
                <c:pt idx="259">
                  <c:v>-1.0311439702861069</c:v>
                </c:pt>
                <c:pt idx="260">
                  <c:v>-1.0017895216890922</c:v>
                </c:pt>
                <c:pt idx="261">
                  <c:v>-0.84779053715320696</c:v>
                </c:pt>
                <c:pt idx="262">
                  <c:v>-0.88936921017515802</c:v>
                </c:pt>
                <c:pt idx="263">
                  <c:v>-0.82865789736664741</c:v>
                </c:pt>
                <c:pt idx="264">
                  <c:v>-0.82773478452140148</c:v>
                </c:pt>
                <c:pt idx="265">
                  <c:v>-0.77612147865168735</c:v>
                </c:pt>
                <c:pt idx="266">
                  <c:v>-0.74673401256275385</c:v>
                </c:pt>
                <c:pt idx="267">
                  <c:v>-0.73622000709146351</c:v>
                </c:pt>
                <c:pt idx="268">
                  <c:v>-0.74672265996960308</c:v>
                </c:pt>
                <c:pt idx="269">
                  <c:v>-0.69114239714123948</c:v>
                </c:pt>
                <c:pt idx="270">
                  <c:v>-0.64817067847163934</c:v>
                </c:pt>
                <c:pt idx="271">
                  <c:v>-0.62238036825363918</c:v>
                </c:pt>
                <c:pt idx="272">
                  <c:v>-0.61333771545530602</c:v>
                </c:pt>
                <c:pt idx="273">
                  <c:v>-0.61883371124498865</c:v>
                </c:pt>
                <c:pt idx="274">
                  <c:v>-0.61378977373690791</c:v>
                </c:pt>
                <c:pt idx="275">
                  <c:v>-0.59105732735343575</c:v>
                </c:pt>
                <c:pt idx="276">
                  <c:v>-0.59856128474088255</c:v>
                </c:pt>
                <c:pt idx="277">
                  <c:v>-0.62247247780488246</c:v>
                </c:pt>
                <c:pt idx="278">
                  <c:v>-0.62817978358019111</c:v>
                </c:pt>
                <c:pt idx="279">
                  <c:v>-0.61172712856019118</c:v>
                </c:pt>
                <c:pt idx="280">
                  <c:v>-0.63255875200447687</c:v>
                </c:pt>
                <c:pt idx="281">
                  <c:v>-0.57152805117641714</c:v>
                </c:pt>
                <c:pt idx="282">
                  <c:v>-0.52315843650471894</c:v>
                </c:pt>
                <c:pt idx="283">
                  <c:v>-0.54061563841001303</c:v>
                </c:pt>
                <c:pt idx="284">
                  <c:v>-0.52380005264467966</c:v>
                </c:pt>
                <c:pt idx="285">
                  <c:v>-0.56678667599121357</c:v>
                </c:pt>
                <c:pt idx="286">
                  <c:v>-0.53834329769605227</c:v>
                </c:pt>
                <c:pt idx="287">
                  <c:v>-0.5147200561562848</c:v>
                </c:pt>
                <c:pt idx="288">
                  <c:v>-0.46074627566216725</c:v>
                </c:pt>
                <c:pt idx="289">
                  <c:v>-0.49802788018542304</c:v>
                </c:pt>
                <c:pt idx="290">
                  <c:v>-0.46832143763679912</c:v>
                </c:pt>
                <c:pt idx="291">
                  <c:v>-0.45218044082636438</c:v>
                </c:pt>
                <c:pt idx="292">
                  <c:v>-0.43832514378707876</c:v>
                </c:pt>
                <c:pt idx="293">
                  <c:v>-0.39836397306653332</c:v>
                </c:pt>
                <c:pt idx="294">
                  <c:v>-0.35433487935715835</c:v>
                </c:pt>
                <c:pt idx="295">
                  <c:v>-0.4320441975002195</c:v>
                </c:pt>
                <c:pt idx="296">
                  <c:v>-0.43667844759390873</c:v>
                </c:pt>
                <c:pt idx="297">
                  <c:v>-0.41988634866910868</c:v>
                </c:pt>
                <c:pt idx="298">
                  <c:v>-0.46568208767035874</c:v>
                </c:pt>
                <c:pt idx="299">
                  <c:v>-0.51306565054445941</c:v>
                </c:pt>
                <c:pt idx="300">
                  <c:v>-0.45831588334021167</c:v>
                </c:pt>
                <c:pt idx="301">
                  <c:v>-0.5049108745818317</c:v>
                </c:pt>
                <c:pt idx="302">
                  <c:v>-0.39235619678906575</c:v>
                </c:pt>
                <c:pt idx="303">
                  <c:v>-0.26154535051550787</c:v>
                </c:pt>
                <c:pt idx="304">
                  <c:v>-0.22152246116241261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0-4AD9-9FF6-95CEA56DD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8622959"/>
        <c:axId val="1968623375"/>
      </c:lineChart>
      <c:dateAx>
        <c:axId val="19686229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623375"/>
        <c:crosses val="autoZero"/>
        <c:auto val="1"/>
        <c:lblOffset val="100"/>
        <c:baseTimeUnit val="days"/>
      </c:dateAx>
      <c:valAx>
        <c:axId val="1968623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622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AEFAA73-4E26-47F6-AE61-6777E47B54CA}">
  <sheetPr codeName="Chart1"/>
  <sheetViews>
    <sheetView zoomScale="7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6C47D0-3616-4DF8-A11C-70749661E01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1.85</v>
      </c>
      <c r="D2" s="4">
        <f>MIN(D3:D1912)</f>
        <v>9.1200000000000003E-2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0.1047</v>
      </c>
      <c r="C5">
        <v>0.1069</v>
      </c>
      <c r="D5">
        <v>0.10349999999999999</v>
      </c>
      <c r="E5">
        <v>0.1037</v>
      </c>
      <c r="F5">
        <v>821901</v>
      </c>
      <c r="G5">
        <v>0.1037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-0.88235294117646723</v>
      </c>
      <c r="Q5">
        <f t="shared" ref="Q5" si="1">F5*P5</f>
        <v>-725206.76470587961</v>
      </c>
      <c r="R5">
        <f t="shared" ref="R5" si="2">R6+Q5</f>
        <v>-1404537908.7309382</v>
      </c>
      <c r="S5">
        <f t="shared" ref="S5" si="3">R5/100000</f>
        <v>-14045.379087309382</v>
      </c>
      <c r="T5">
        <f t="shared" ref="T5" si="4">S5/1000</f>
        <v>-14.045379087309382</v>
      </c>
    </row>
    <row r="6" spans="1:20" x14ac:dyDescent="0.25">
      <c r="A6" s="5">
        <v>44587</v>
      </c>
      <c r="B6">
        <v>0.1031</v>
      </c>
      <c r="C6">
        <v>0.1148</v>
      </c>
      <c r="D6">
        <v>0.10199999999999999</v>
      </c>
      <c r="E6">
        <v>0.1047</v>
      </c>
      <c r="F6">
        <v>16269980</v>
      </c>
      <c r="G6">
        <v>0.1047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-0.578124999999999</v>
      </c>
      <c r="Q6">
        <f t="shared" ref="Q6" si="6">F6*P6</f>
        <v>-9406082.1874999832</v>
      </c>
      <c r="R6">
        <f t="shared" ref="R6" si="7">R7+Q6</f>
        <v>-1403812701.9662323</v>
      </c>
      <c r="S6">
        <f t="shared" ref="S6" si="8">R6/100000</f>
        <v>-14038.127019662323</v>
      </c>
      <c r="T6">
        <f t="shared" ref="T6" si="9">S6/1000</f>
        <v>-14.038127019662323</v>
      </c>
    </row>
    <row r="7" spans="1:20" x14ac:dyDescent="0.25">
      <c r="A7" s="5">
        <v>44586</v>
      </c>
      <c r="B7">
        <v>0.10349999999999999</v>
      </c>
      <c r="C7">
        <v>0.1048</v>
      </c>
      <c r="D7">
        <v>9.8100000000000007E-2</v>
      </c>
      <c r="E7">
        <v>0.10290000000000001</v>
      </c>
      <c r="F7">
        <v>8028050</v>
      </c>
      <c r="G7">
        <v>0.10290000000000001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0.43283582089552253</v>
      </c>
      <c r="Q7">
        <f t="shared" ref="Q7" si="11">F7*P7</f>
        <v>3474827.6119402996</v>
      </c>
      <c r="R7">
        <f t="shared" ref="R7" si="12">R8+Q7</f>
        <v>-1394406619.7787323</v>
      </c>
      <c r="S7">
        <f t="shared" ref="S7" si="13">R7/100000</f>
        <v>-13944.066197787322</v>
      </c>
      <c r="T7">
        <f t="shared" ref="T7" si="14">S7/1000</f>
        <v>-13.944066197787322</v>
      </c>
    </row>
    <row r="8" spans="1:20" x14ac:dyDescent="0.25">
      <c r="A8" s="5">
        <v>44585</v>
      </c>
      <c r="B8">
        <v>0.1075</v>
      </c>
      <c r="C8">
        <v>0.1077</v>
      </c>
      <c r="D8">
        <v>9.1200000000000003E-2</v>
      </c>
      <c r="E8">
        <v>0.10349999999999999</v>
      </c>
      <c r="F8">
        <v>21778286</v>
      </c>
      <c r="G8">
        <v>0.10349999999999999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0.4909090909090898</v>
      </c>
      <c r="Q8">
        <f t="shared" ref="Q8" si="16">F8*P8</f>
        <v>10691158.581818158</v>
      </c>
      <c r="R8">
        <f t="shared" ref="R8" si="17">R9+Q8</f>
        <v>-1397881447.3906727</v>
      </c>
      <c r="S8">
        <f t="shared" ref="S8" si="18">R8/100000</f>
        <v>-13978.814473906727</v>
      </c>
      <c r="T8">
        <f t="shared" ref="T8" si="19">S8/1000</f>
        <v>-13.978814473906727</v>
      </c>
    </row>
    <row r="9" spans="1:20" x14ac:dyDescent="0.25">
      <c r="A9" s="5">
        <v>44584</v>
      </c>
      <c r="B9">
        <v>0.1072</v>
      </c>
      <c r="C9">
        <v>0.1173</v>
      </c>
      <c r="D9">
        <v>0.1014</v>
      </c>
      <c r="E9">
        <v>0.10780000000000001</v>
      </c>
      <c r="F9">
        <v>18026946</v>
      </c>
      <c r="G9">
        <v>0.10780000000000001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-0.19496855345911901</v>
      </c>
      <c r="Q9">
        <f t="shared" ref="Q9" si="21">F9*P9</f>
        <v>-3514687.5849056514</v>
      </c>
      <c r="R9">
        <f t="shared" ref="R9" si="22">R10+Q9</f>
        <v>-1408572605.9724908</v>
      </c>
      <c r="S9">
        <f t="shared" ref="S9" si="23">R9/100000</f>
        <v>-14085.726059724908</v>
      </c>
      <c r="T9">
        <f t="shared" ref="T9" si="24">S9/1000</f>
        <v>-14.085726059724907</v>
      </c>
    </row>
    <row r="10" spans="1:20" x14ac:dyDescent="0.25">
      <c r="A10" s="5">
        <v>44583</v>
      </c>
      <c r="B10">
        <v>0.1255</v>
      </c>
      <c r="C10">
        <v>0.12859999999999999</v>
      </c>
      <c r="D10">
        <v>9.3100000000000002E-2</v>
      </c>
      <c r="E10">
        <v>0.10730000000000001</v>
      </c>
      <c r="F10">
        <v>34703765.600000001</v>
      </c>
      <c r="G10">
        <v>0.10730000000000001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-0.19999999999999954</v>
      </c>
      <c r="Q10">
        <f t="shared" ref="Q10" si="26">F10*P10</f>
        <v>-6940753.1199999843</v>
      </c>
      <c r="R10">
        <f t="shared" ref="R10" si="27">R11+Q10</f>
        <v>-1405057918.3875852</v>
      </c>
      <c r="S10">
        <f t="shared" ref="S10" si="28">R10/100000</f>
        <v>-14050.579183875852</v>
      </c>
      <c r="T10">
        <f t="shared" ref="T10" si="29">S10/1000</f>
        <v>-14.050579183875852</v>
      </c>
    </row>
    <row r="11" spans="1:20" x14ac:dyDescent="0.25">
      <c r="A11" s="5">
        <v>44582</v>
      </c>
      <c r="B11">
        <v>0.16400000000000001</v>
      </c>
      <c r="C11">
        <v>0.16450000000000001</v>
      </c>
      <c r="D11">
        <v>0.12230000000000001</v>
      </c>
      <c r="E11">
        <v>0.1255</v>
      </c>
      <c r="F11">
        <v>31676129.548</v>
      </c>
      <c r="G11">
        <v>0.1255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-0.84834123222748836</v>
      </c>
      <c r="Q11">
        <f t="shared" ref="Q11" si="31">F11*P11</f>
        <v>-26872166.772947874</v>
      </c>
      <c r="R11">
        <f t="shared" ref="R11" si="32">R12+Q11</f>
        <v>-1398117165.2675853</v>
      </c>
      <c r="S11">
        <f t="shared" ref="S11" si="33">R11/100000</f>
        <v>-13981.171652675852</v>
      </c>
      <c r="T11">
        <f t="shared" ref="T11" si="34">S11/1000</f>
        <v>-13.981171652675853</v>
      </c>
    </row>
    <row r="12" spans="1:20" x14ac:dyDescent="0.25">
      <c r="A12" s="5">
        <v>44581</v>
      </c>
      <c r="B12">
        <v>0.16700000000000001</v>
      </c>
      <c r="C12">
        <v>0.17630000000000001</v>
      </c>
      <c r="D12">
        <v>0.16209999999999999</v>
      </c>
      <c r="E12">
        <v>0.16389999999999999</v>
      </c>
      <c r="F12">
        <v>5561303</v>
      </c>
      <c r="G12">
        <v>0.16389999999999999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-0.74647887323943751</v>
      </c>
      <c r="Q12">
        <f t="shared" ref="Q12" si="36">F12*P12</f>
        <v>-4151395.1971831038</v>
      </c>
      <c r="R12">
        <f t="shared" ref="R12" si="37">R13+Q12</f>
        <v>-1371244998.4946375</v>
      </c>
      <c r="S12">
        <f t="shared" ref="S12" si="38">R12/100000</f>
        <v>-13712.449984946375</v>
      </c>
      <c r="T12">
        <f t="shared" ref="T12" si="39">S12/1000</f>
        <v>-13.712449984946376</v>
      </c>
    </row>
    <row r="13" spans="1:20" x14ac:dyDescent="0.25">
      <c r="A13" s="5">
        <v>44580</v>
      </c>
      <c r="B13">
        <v>0.17169999999999999</v>
      </c>
      <c r="C13">
        <v>0.18179999999999999</v>
      </c>
      <c r="D13">
        <v>0.16639999999999999</v>
      </c>
      <c r="E13">
        <v>0.16689999999999999</v>
      </c>
      <c r="F13">
        <v>8469844</v>
      </c>
      <c r="G13">
        <v>0.16689999999999999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-0.93506493506493504</v>
      </c>
      <c r="Q13">
        <f t="shared" ref="Q13" si="41">F13*P13</f>
        <v>-7919854.1298701297</v>
      </c>
      <c r="R13">
        <f t="shared" ref="R13" si="42">R14+Q13</f>
        <v>-1367093603.2974544</v>
      </c>
      <c r="S13">
        <f t="shared" ref="S13" si="43">R13/100000</f>
        <v>-13670.936032974543</v>
      </c>
      <c r="T13">
        <f t="shared" ref="T13" si="44">S13/1000</f>
        <v>-13.670936032974543</v>
      </c>
    </row>
    <row r="14" spans="1:20" x14ac:dyDescent="0.25">
      <c r="A14" s="5">
        <v>44579</v>
      </c>
      <c r="B14">
        <v>0.17680000000000001</v>
      </c>
      <c r="C14">
        <v>0.17860000000000001</v>
      </c>
      <c r="D14">
        <v>0.16500000000000001</v>
      </c>
      <c r="E14">
        <v>0.1716</v>
      </c>
      <c r="F14">
        <v>7636443</v>
      </c>
      <c r="G14">
        <v>0.1716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-2.9411764705883192E-2</v>
      </c>
      <c r="Q14">
        <f t="shared" ref="Q14" si="46">F14*P14</f>
        <v>-224601.26470588875</v>
      </c>
      <c r="R14">
        <f t="shared" ref="R14" si="47">R15+Q14</f>
        <v>-1359173749.1675842</v>
      </c>
      <c r="S14">
        <f t="shared" ref="S14" si="48">R14/100000</f>
        <v>-13591.737491675842</v>
      </c>
      <c r="T14">
        <f t="shared" ref="T14" si="49">S14/1000</f>
        <v>-13.591737491675842</v>
      </c>
    </row>
    <row r="15" spans="1:20" x14ac:dyDescent="0.25">
      <c r="A15" s="5">
        <v>44578</v>
      </c>
      <c r="B15">
        <v>0.18579999999999999</v>
      </c>
      <c r="C15">
        <v>0.18890000000000001</v>
      </c>
      <c r="D15">
        <v>0.17419999999999999</v>
      </c>
      <c r="E15">
        <v>0.17680000000000001</v>
      </c>
      <c r="F15">
        <v>8337492</v>
      </c>
      <c r="G15">
        <v>0.17680000000000001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-0.64625850340135838</v>
      </c>
      <c r="Q15">
        <f t="shared" ref="Q15" si="51">F15*P15</f>
        <v>-5388175.1020407984</v>
      </c>
      <c r="R15">
        <f t="shared" ref="R15" si="52">R16+Q15</f>
        <v>-1358949147.9028783</v>
      </c>
      <c r="S15">
        <f t="shared" ref="S15" si="53">R15/100000</f>
        <v>-13589.491479028782</v>
      </c>
      <c r="T15">
        <f t="shared" ref="T15" si="54">S15/1000</f>
        <v>-13.589491479028782</v>
      </c>
    </row>
    <row r="16" spans="1:20" x14ac:dyDescent="0.25">
      <c r="A16" s="5">
        <v>44577</v>
      </c>
      <c r="B16">
        <v>0.18279999999999999</v>
      </c>
      <c r="C16">
        <v>0.18870000000000001</v>
      </c>
      <c r="D16">
        <v>0.18</v>
      </c>
      <c r="E16">
        <v>0.1855</v>
      </c>
      <c r="F16">
        <v>8889215</v>
      </c>
      <c r="G16">
        <v>0.1855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0.2643678160919532</v>
      </c>
      <c r="Q16">
        <f t="shared" ref="Q16" si="56">F16*P16</f>
        <v>2350022.3563218317</v>
      </c>
      <c r="R16">
        <f t="shared" ref="R16" si="57">R17+Q16</f>
        <v>-1353560972.8008375</v>
      </c>
      <c r="S16">
        <f t="shared" ref="S16" si="58">R16/100000</f>
        <v>-13535.609728008376</v>
      </c>
      <c r="T16">
        <f t="shared" ref="T16" si="59">S16/1000</f>
        <v>-13.535609728008376</v>
      </c>
    </row>
    <row r="17" spans="1:20" x14ac:dyDescent="0.25">
      <c r="A17" s="5">
        <v>44576</v>
      </c>
      <c r="B17">
        <v>0.17730000000000001</v>
      </c>
      <c r="C17">
        <v>0.1898</v>
      </c>
      <c r="D17">
        <v>0.17610000000000001</v>
      </c>
      <c r="E17">
        <v>0.18290000000000001</v>
      </c>
      <c r="F17">
        <v>11368858</v>
      </c>
      <c r="G17">
        <v>0.18290000000000001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-7.2992700729919025E-3</v>
      </c>
      <c r="Q17">
        <f t="shared" ref="Q17" si="61">F17*P17</f>
        <v>-82984.364963494576</v>
      </c>
      <c r="R17">
        <f t="shared" ref="R17" si="62">R18+Q17</f>
        <v>-1355910995.1571593</v>
      </c>
      <c r="S17">
        <f t="shared" ref="S17" si="63">R17/100000</f>
        <v>-13559.109951571594</v>
      </c>
      <c r="T17">
        <f t="shared" ref="T17" si="64">S17/1000</f>
        <v>-13.559109951571594</v>
      </c>
    </row>
    <row r="18" spans="1:20" x14ac:dyDescent="0.25">
      <c r="A18" s="5">
        <v>44575</v>
      </c>
      <c r="B18">
        <v>0.17610000000000001</v>
      </c>
      <c r="C18">
        <v>0.17960000000000001</v>
      </c>
      <c r="D18">
        <v>0.1711</v>
      </c>
      <c r="E18">
        <v>0.1764</v>
      </c>
      <c r="F18">
        <v>6505932</v>
      </c>
      <c r="G18">
        <v>0.1764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0.24705882352941047</v>
      </c>
      <c r="Q18">
        <f t="shared" ref="Q18" si="66">F18*P18</f>
        <v>1607347.9058823446</v>
      </c>
      <c r="R18">
        <f t="shared" ref="R18" si="67">R19+Q18</f>
        <v>-1355828010.7921958</v>
      </c>
      <c r="S18">
        <f t="shared" ref="S18" si="68">R18/100000</f>
        <v>-13558.280107921957</v>
      </c>
      <c r="T18">
        <f t="shared" ref="T18" si="69">S18/1000</f>
        <v>-13.558280107921957</v>
      </c>
    </row>
    <row r="19" spans="1:20" x14ac:dyDescent="0.25">
      <c r="A19" s="5">
        <v>44574</v>
      </c>
      <c r="B19">
        <v>0.18490000000000001</v>
      </c>
      <c r="C19">
        <v>0.18690000000000001</v>
      </c>
      <c r="D19">
        <v>0.17549999999999999</v>
      </c>
      <c r="E19">
        <v>0.17610000000000001</v>
      </c>
      <c r="F19">
        <v>5748966</v>
      </c>
      <c r="G19">
        <v>0.17610000000000001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-0.89473684210526039</v>
      </c>
      <c r="Q19">
        <f t="shared" ref="Q19" si="71">F19*P19</f>
        <v>-5143811.68421051</v>
      </c>
      <c r="R19">
        <f t="shared" ref="R19" si="72">R20+Q19</f>
        <v>-1357435358.6980782</v>
      </c>
      <c r="S19">
        <f t="shared" ref="S19" si="73">R19/100000</f>
        <v>-13574.353586980782</v>
      </c>
      <c r="T19">
        <f t="shared" ref="T19" si="74">S19/1000</f>
        <v>-13.574353586980783</v>
      </c>
    </row>
    <row r="20" spans="1:20" x14ac:dyDescent="0.25">
      <c r="A20" s="5">
        <v>44573</v>
      </c>
      <c r="B20">
        <v>0.17929999999999999</v>
      </c>
      <c r="C20">
        <v>0.18809999999999999</v>
      </c>
      <c r="D20">
        <v>0.17780000000000001</v>
      </c>
      <c r="E20">
        <v>0.18440000000000001</v>
      </c>
      <c r="F20">
        <v>8311517</v>
      </c>
      <c r="G20">
        <v>0.18440000000000001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0.28155339805825441</v>
      </c>
      <c r="Q20">
        <f t="shared" ref="Q20" si="76">F20*P20</f>
        <v>2340135.8543689484</v>
      </c>
      <c r="R20">
        <f t="shared" ref="R20" si="77">R21+Q20</f>
        <v>-1352291547.0138676</v>
      </c>
      <c r="S20">
        <f t="shared" ref="S20" si="78">R20/100000</f>
        <v>-13522.915470138676</v>
      </c>
      <c r="T20">
        <f t="shared" ref="T20" si="79">S20/1000</f>
        <v>-13.522915470138676</v>
      </c>
    </row>
    <row r="21" spans="1:20" x14ac:dyDescent="0.25">
      <c r="A21" s="5">
        <v>44572</v>
      </c>
      <c r="B21">
        <v>0.1739</v>
      </c>
      <c r="C21">
        <v>0.182</v>
      </c>
      <c r="D21">
        <v>0.17230000000000001</v>
      </c>
      <c r="E21">
        <v>0.1789</v>
      </c>
      <c r="F21">
        <v>4399621</v>
      </c>
      <c r="G21">
        <v>0.1789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0.36082474226804206</v>
      </c>
      <c r="Q21">
        <f t="shared" ref="Q21" si="81">F21*P21</f>
        <v>1587492.1134020656</v>
      </c>
      <c r="R21">
        <f t="shared" ref="R21" si="82">R22+Q21</f>
        <v>-1354631682.8682365</v>
      </c>
      <c r="S21">
        <f t="shared" ref="S21" si="83">R21/100000</f>
        <v>-13546.316828682366</v>
      </c>
      <c r="T21">
        <f t="shared" ref="T21" si="84">S21/1000</f>
        <v>-13.546316828682366</v>
      </c>
    </row>
    <row r="22" spans="1:20" x14ac:dyDescent="0.25">
      <c r="A22" s="5">
        <v>44571</v>
      </c>
      <c r="B22">
        <v>0.1827</v>
      </c>
      <c r="C22">
        <v>0.19189999999999999</v>
      </c>
      <c r="D22">
        <v>0.16950000000000001</v>
      </c>
      <c r="E22">
        <v>0.1734</v>
      </c>
      <c r="F22">
        <v>7948126</v>
      </c>
      <c r="G22">
        <v>0.1734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-0.65178571428571508</v>
      </c>
      <c r="Q22">
        <f t="shared" ref="Q22" si="86">F22*P22</f>
        <v>-5180474.9821428638</v>
      </c>
      <c r="R22">
        <f t="shared" ref="R22" si="87">R23+Q22</f>
        <v>-1356219174.9816387</v>
      </c>
      <c r="S22">
        <f t="shared" ref="S22" si="88">R22/100000</f>
        <v>-13562.191749816388</v>
      </c>
      <c r="T22">
        <f t="shared" ref="T22" si="89">S22/1000</f>
        <v>-13.562191749816387</v>
      </c>
    </row>
    <row r="23" spans="1:20" x14ac:dyDescent="0.25">
      <c r="A23" s="5">
        <v>44570</v>
      </c>
      <c r="B23">
        <v>0.1767</v>
      </c>
      <c r="C23">
        <v>0.1978</v>
      </c>
      <c r="D23">
        <v>0.17519999999999999</v>
      </c>
      <c r="E23">
        <v>0.18260000000000001</v>
      </c>
      <c r="F23">
        <v>7807782</v>
      </c>
      <c r="G23">
        <v>0.18260000000000001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-0.34513274336283056</v>
      </c>
      <c r="Q23">
        <f t="shared" ref="Q23" si="91">F23*P23</f>
        <v>-2694721.2212389279</v>
      </c>
      <c r="R23">
        <f t="shared" ref="R23" si="92">R24+Q23</f>
        <v>-1351038699.9994957</v>
      </c>
      <c r="S23">
        <f t="shared" ref="S23" si="93">R23/100000</f>
        <v>-13510.386999994957</v>
      </c>
      <c r="T23">
        <f t="shared" ref="T23" si="94">S23/1000</f>
        <v>-13.510386999994957</v>
      </c>
    </row>
    <row r="24" spans="1:20" x14ac:dyDescent="0.25">
      <c r="A24" s="5">
        <v>44569</v>
      </c>
      <c r="B24">
        <v>0.19259999999999999</v>
      </c>
      <c r="C24">
        <v>0.19650000000000001</v>
      </c>
      <c r="D24">
        <v>0.17269999999999999</v>
      </c>
      <c r="E24">
        <v>0.1767</v>
      </c>
      <c r="F24">
        <v>11979264</v>
      </c>
      <c r="G24">
        <v>0.1767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-0.66386554621848737</v>
      </c>
      <c r="Q24">
        <f t="shared" ref="Q24" si="96">F24*P24</f>
        <v>-7952620.6386554623</v>
      </c>
      <c r="R24">
        <f t="shared" ref="R24" si="97">R25+Q24</f>
        <v>-1348343978.7782569</v>
      </c>
      <c r="S24">
        <f t="shared" ref="S24" si="98">R24/100000</f>
        <v>-13483.439787782569</v>
      </c>
      <c r="T24">
        <f t="shared" ref="T24" si="99">S24/1000</f>
        <v>-13.483439787782569</v>
      </c>
    </row>
    <row r="25" spans="1:20" x14ac:dyDescent="0.25">
      <c r="A25" s="5">
        <v>44568</v>
      </c>
      <c r="B25">
        <v>0.1978</v>
      </c>
      <c r="C25">
        <v>0.2001</v>
      </c>
      <c r="D25">
        <v>0.18779999999999999</v>
      </c>
      <c r="E25">
        <v>0.19220000000000001</v>
      </c>
      <c r="F25">
        <v>7969159</v>
      </c>
      <c r="G25">
        <v>0.19220000000000001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-0.28455284552845317</v>
      </c>
      <c r="Q25">
        <f t="shared" ref="Q25" si="101">F25*P25</f>
        <v>-2267646.8699186821</v>
      </c>
      <c r="R25">
        <f t="shared" ref="R25" si="102">R26+Q25</f>
        <v>-1340391358.1396015</v>
      </c>
      <c r="S25">
        <f t="shared" ref="S25" si="103">R25/100000</f>
        <v>-13403.913581396015</v>
      </c>
      <c r="T25">
        <f t="shared" ref="T25" si="104">S25/1000</f>
        <v>-13.403913581396015</v>
      </c>
    </row>
    <row r="26" spans="1:20" x14ac:dyDescent="0.25">
      <c r="A26" s="5">
        <v>44567</v>
      </c>
      <c r="B26">
        <v>0.19969999999999999</v>
      </c>
      <c r="C26">
        <v>0.2077</v>
      </c>
      <c r="D26">
        <v>0.18870000000000001</v>
      </c>
      <c r="E26">
        <v>0.19750000000000001</v>
      </c>
      <c r="F26">
        <v>9000838</v>
      </c>
      <c r="G26">
        <v>0.19750000000000001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-7.3684210526315019E-2</v>
      </c>
      <c r="Q26">
        <f t="shared" ref="Q26" si="106">F26*P26</f>
        <v>-663219.64210525621</v>
      </c>
      <c r="R26">
        <f t="shared" ref="R26" si="107">R27+Q26</f>
        <v>-1338123711.2696829</v>
      </c>
      <c r="S26">
        <f t="shared" ref="S26" si="108">R26/100000</f>
        <v>-13381.237112696828</v>
      </c>
      <c r="T26">
        <f t="shared" ref="T26" si="109">S26/1000</f>
        <v>-13.381237112696828</v>
      </c>
    </row>
    <row r="27" spans="1:20" x14ac:dyDescent="0.25">
      <c r="A27" s="5">
        <v>44566</v>
      </c>
      <c r="B27">
        <v>0.20499999999999999</v>
      </c>
      <c r="C27">
        <v>0.21310000000000001</v>
      </c>
      <c r="D27">
        <v>0.19</v>
      </c>
      <c r="E27">
        <v>0.19969999999999999</v>
      </c>
      <c r="F27">
        <v>11495759</v>
      </c>
      <c r="G27">
        <v>0.19969999999999999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-0.16017316017316169</v>
      </c>
      <c r="Q27">
        <f t="shared" ref="Q27" si="111">F27*P27</f>
        <v>-1841312.047619065</v>
      </c>
      <c r="R27">
        <f t="shared" ref="R27" si="112">R28+Q27</f>
        <v>-1337460491.6275775</v>
      </c>
      <c r="S27">
        <f t="shared" ref="S27" si="113">R27/100000</f>
        <v>-13374.604916275775</v>
      </c>
      <c r="T27">
        <f t="shared" ref="T27" si="114">S27/1000</f>
        <v>-13.374604916275775</v>
      </c>
    </row>
    <row r="28" spans="1:20" x14ac:dyDescent="0.25">
      <c r="A28" s="5">
        <v>44565</v>
      </c>
      <c r="B28">
        <v>0.2094</v>
      </c>
      <c r="C28">
        <v>0.21249999999999999</v>
      </c>
      <c r="D28">
        <v>0.2029</v>
      </c>
      <c r="E28">
        <v>0.20480000000000001</v>
      </c>
      <c r="F28">
        <v>8434405</v>
      </c>
      <c r="G28">
        <v>0.20480000000000001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-0.60416666666666385</v>
      </c>
      <c r="Q28">
        <f t="shared" ref="Q28" si="116">F28*P28</f>
        <v>-5095786.3541666428</v>
      </c>
      <c r="R28">
        <f t="shared" ref="R28" si="117">R29+Q28</f>
        <v>-1335619179.5799584</v>
      </c>
      <c r="S28">
        <f t="shared" ref="S28" si="118">R28/100000</f>
        <v>-13356.191795799585</v>
      </c>
      <c r="T28">
        <f t="shared" ref="T28" si="119">S28/1000</f>
        <v>-13.356191795799585</v>
      </c>
    </row>
    <row r="29" spans="1:20" x14ac:dyDescent="0.25">
      <c r="A29" s="5">
        <v>44564</v>
      </c>
      <c r="B29">
        <v>0.22650000000000001</v>
      </c>
      <c r="C29">
        <v>0.23849999999999999</v>
      </c>
      <c r="D29">
        <v>0.20499999999999999</v>
      </c>
      <c r="E29">
        <v>0.2099</v>
      </c>
      <c r="F29">
        <v>24840503</v>
      </c>
      <c r="G29">
        <v>0.2099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-0.70746268656716327</v>
      </c>
      <c r="Q29">
        <f t="shared" ref="Q29" si="121">F29*P29</f>
        <v>-17573728.988059677</v>
      </c>
      <c r="R29">
        <f t="shared" ref="R29" si="122">R30+Q29</f>
        <v>-1330523393.2257917</v>
      </c>
      <c r="S29">
        <f t="shared" ref="S29" si="123">R29/100000</f>
        <v>-13305.233932257917</v>
      </c>
      <c r="T29">
        <f t="shared" ref="T29" si="124">S29/1000</f>
        <v>-13.305233932257917</v>
      </c>
    </row>
    <row r="30" spans="1:20" x14ac:dyDescent="0.25">
      <c r="A30" s="5">
        <v>44563</v>
      </c>
      <c r="B30">
        <v>0.2046</v>
      </c>
      <c r="C30">
        <v>0.24390000000000001</v>
      </c>
      <c r="D30">
        <v>0.19989999999999999</v>
      </c>
      <c r="E30">
        <v>0.22639999999999999</v>
      </c>
      <c r="F30">
        <v>41071770</v>
      </c>
      <c r="G30">
        <v>0.22639999999999999</v>
      </c>
      <c r="L30" t="s">
        <v>8</v>
      </c>
      <c r="M30" t="s">
        <v>8</v>
      </c>
      <c r="N30" t="s">
        <v>7</v>
      </c>
      <c r="P30">
        <f t="shared" ref="P30" si="125">IF(C30=D30,0,((E30-D30)-(C30-E30))/(C30-D30))</f>
        <v>0.20454545454545403</v>
      </c>
      <c r="Q30">
        <f t="shared" ref="Q30" si="126">F30*P30</f>
        <v>8401043.8636363428</v>
      </c>
      <c r="R30">
        <f t="shared" ref="R30" si="127">R31+Q30</f>
        <v>-1312949664.2377319</v>
      </c>
      <c r="S30">
        <f t="shared" ref="S30" si="128">R30/100000</f>
        <v>-13129.496642377318</v>
      </c>
      <c r="T30">
        <f t="shared" ref="T30" si="129">S30/1000</f>
        <v>-13.129496642377319</v>
      </c>
    </row>
    <row r="31" spans="1:20" x14ac:dyDescent="0.25">
      <c r="A31" s="5">
        <v>44562</v>
      </c>
      <c r="B31">
        <v>0.1983</v>
      </c>
      <c r="C31">
        <v>0.20499999999999999</v>
      </c>
      <c r="D31">
        <v>0.1978</v>
      </c>
      <c r="E31">
        <v>0.2044</v>
      </c>
      <c r="F31">
        <v>3678107</v>
      </c>
      <c r="G31">
        <v>0.2044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0.83333333333333592</v>
      </c>
      <c r="Q31">
        <f t="shared" ref="Q31" si="131">F31*P31</f>
        <v>3065089.1666666763</v>
      </c>
      <c r="R31">
        <f t="shared" ref="R31" si="132">R32+Q31</f>
        <v>-1321350708.1013682</v>
      </c>
      <c r="S31">
        <f t="shared" ref="S31" si="133">R31/100000</f>
        <v>-13213.507081013682</v>
      </c>
      <c r="T31">
        <f t="shared" ref="T31" si="134">S31/1000</f>
        <v>-13.213507081013683</v>
      </c>
    </row>
    <row r="32" spans="1:20" x14ac:dyDescent="0.25">
      <c r="A32" s="5">
        <v>44561</v>
      </c>
      <c r="B32">
        <v>0.19900000000000001</v>
      </c>
      <c r="C32">
        <v>0.20799999999999999</v>
      </c>
      <c r="D32">
        <v>0.19500000000000001</v>
      </c>
      <c r="E32">
        <v>0.1986</v>
      </c>
      <c r="F32">
        <v>6997128</v>
      </c>
      <c r="G32">
        <v>0.1986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-0.44615384615384668</v>
      </c>
      <c r="Q32">
        <f t="shared" ref="Q32" si="136">F32*P32</f>
        <v>-3121795.569230773</v>
      </c>
      <c r="R32">
        <f t="shared" ref="R32" si="137">R33+Q32</f>
        <v>-1324415797.2680349</v>
      </c>
      <c r="S32">
        <f t="shared" ref="S32" si="138">R32/100000</f>
        <v>-13244.15797268035</v>
      </c>
      <c r="T32">
        <f t="shared" ref="T32" si="139">S32/1000</f>
        <v>-13.24415797268035</v>
      </c>
    </row>
    <row r="33" spans="1:20" x14ac:dyDescent="0.25">
      <c r="A33" s="5">
        <v>44560</v>
      </c>
      <c r="B33">
        <v>0.19700000000000001</v>
      </c>
      <c r="C33">
        <v>0.21</v>
      </c>
      <c r="D33">
        <v>0.193</v>
      </c>
      <c r="E33">
        <v>0.19900000000000001</v>
      </c>
      <c r="F33">
        <v>9200128</v>
      </c>
      <c r="G33">
        <v>0.19900000000000001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-0.29411764705882237</v>
      </c>
      <c r="Q33">
        <f t="shared" ref="Q33" si="141">F33*P33</f>
        <v>-2705919.9999999893</v>
      </c>
      <c r="R33">
        <f t="shared" ref="R33" si="142">R34+Q33</f>
        <v>-1321294001.6988041</v>
      </c>
      <c r="S33">
        <f t="shared" ref="S33" si="143">R33/100000</f>
        <v>-13212.940016988041</v>
      </c>
      <c r="T33">
        <f t="shared" ref="T33" si="144">S33/1000</f>
        <v>-13.212940016988041</v>
      </c>
    </row>
    <row r="34" spans="1:20" x14ac:dyDescent="0.25">
      <c r="A34" s="5">
        <v>44559</v>
      </c>
      <c r="B34">
        <v>0.20399999999999999</v>
      </c>
      <c r="C34">
        <v>0.2135</v>
      </c>
      <c r="D34">
        <v>0.19370000000000001</v>
      </c>
      <c r="E34">
        <v>0.19700000000000001</v>
      </c>
      <c r="F34">
        <v>10900477</v>
      </c>
      <c r="G34">
        <v>0.19700000000000001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-0.66666666666666663</v>
      </c>
      <c r="Q34">
        <f t="shared" ref="Q34" si="146">F34*P34</f>
        <v>-7266984.666666666</v>
      </c>
      <c r="R34">
        <f t="shared" ref="R34" si="147">R35+Q34</f>
        <v>-1318588081.6988041</v>
      </c>
      <c r="S34">
        <f t="shared" ref="S34" si="148">R34/100000</f>
        <v>-13185.880816988041</v>
      </c>
      <c r="T34">
        <f t="shared" ref="T34" si="149">S34/1000</f>
        <v>-13.185880816988041</v>
      </c>
    </row>
    <row r="35" spans="1:20" x14ac:dyDescent="0.25">
      <c r="A35" s="5">
        <v>44558</v>
      </c>
      <c r="B35">
        <v>0.2316</v>
      </c>
      <c r="C35">
        <v>0.2316</v>
      </c>
      <c r="D35">
        <v>0.20319999999999999</v>
      </c>
      <c r="E35">
        <v>0.20399999999999999</v>
      </c>
      <c r="F35">
        <v>12844035</v>
      </c>
      <c r="G35">
        <v>0.20399999999999999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-0.94366197183098632</v>
      </c>
      <c r="Q35">
        <f t="shared" ref="Q35" si="151">F35*P35</f>
        <v>-12120427.394366203</v>
      </c>
      <c r="R35">
        <f t="shared" ref="R35" si="152">R36+Q35</f>
        <v>-1311321097.0321374</v>
      </c>
      <c r="S35">
        <f t="shared" ref="S35" si="153">R35/100000</f>
        <v>-13113.210970321374</v>
      </c>
      <c r="T35">
        <f t="shared" ref="T35" si="154">S35/1000</f>
        <v>-13.113210970321374</v>
      </c>
    </row>
    <row r="36" spans="1:20" x14ac:dyDescent="0.25">
      <c r="A36" s="5">
        <v>44557</v>
      </c>
      <c r="B36">
        <v>0.22750000000000001</v>
      </c>
      <c r="C36">
        <v>0.23899999999999999</v>
      </c>
      <c r="D36">
        <v>0.22600000000000001</v>
      </c>
      <c r="E36">
        <v>0.23150000000000001</v>
      </c>
      <c r="F36">
        <v>10163053</v>
      </c>
      <c r="G36">
        <v>0.23150000000000001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-0.15384615384615205</v>
      </c>
      <c r="Q36">
        <f t="shared" ref="Q36" si="156">F36*P36</f>
        <v>-1563546.6153845971</v>
      </c>
      <c r="R36">
        <f t="shared" ref="R36" si="157">R37+Q36</f>
        <v>-1299200669.6377711</v>
      </c>
      <c r="S36">
        <f t="shared" ref="S36" si="158">R36/100000</f>
        <v>-12992.006696377712</v>
      </c>
      <c r="T36">
        <f t="shared" ref="T36" si="159">S36/1000</f>
        <v>-12.992006696377711</v>
      </c>
    </row>
    <row r="37" spans="1:20" x14ac:dyDescent="0.25">
      <c r="A37" s="5">
        <v>44556</v>
      </c>
      <c r="B37">
        <v>0.22869999999999999</v>
      </c>
      <c r="C37">
        <v>0.23080000000000001</v>
      </c>
      <c r="D37">
        <v>0.21929999999999999</v>
      </c>
      <c r="E37">
        <v>0.22770000000000001</v>
      </c>
      <c r="F37">
        <v>8577510</v>
      </c>
      <c r="G37">
        <v>0.22770000000000001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0.46086956521739325</v>
      </c>
      <c r="Q37">
        <f t="shared" ref="Q37" si="161">F37*P37</f>
        <v>3953113.3043478429</v>
      </c>
      <c r="R37">
        <f t="shared" ref="R37" si="162">R38+Q37</f>
        <v>-1297637123.0223866</v>
      </c>
      <c r="S37">
        <f t="shared" ref="S37" si="163">R37/100000</f>
        <v>-12976.371230223865</v>
      </c>
      <c r="T37">
        <f t="shared" ref="T37" si="164">S37/1000</f>
        <v>-12.976371230223865</v>
      </c>
    </row>
    <row r="38" spans="1:20" x14ac:dyDescent="0.25">
      <c r="A38" s="5">
        <v>44555</v>
      </c>
      <c r="B38">
        <v>0.22989999999999999</v>
      </c>
      <c r="C38">
        <v>0.23710000000000001</v>
      </c>
      <c r="D38">
        <v>0.22539999999999999</v>
      </c>
      <c r="E38">
        <v>0.22919999999999999</v>
      </c>
      <c r="F38">
        <v>8248804</v>
      </c>
      <c r="G38">
        <v>0.22919999999999999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-0.35042735042735168</v>
      </c>
      <c r="Q38">
        <f t="shared" ref="Q38" si="166">F38*P38</f>
        <v>-2890606.5299145402</v>
      </c>
      <c r="R38">
        <f t="shared" ref="R38" si="167">R39+Q38</f>
        <v>-1301590236.3267343</v>
      </c>
      <c r="S38">
        <f t="shared" ref="S38" si="168">R38/100000</f>
        <v>-13015.902363267343</v>
      </c>
      <c r="T38">
        <f t="shared" ref="T38" si="169">S38/1000</f>
        <v>-13.015902363267344</v>
      </c>
    </row>
    <row r="39" spans="1:20" x14ac:dyDescent="0.25">
      <c r="A39" s="5">
        <v>44554</v>
      </c>
      <c r="B39">
        <v>0.23230000000000001</v>
      </c>
      <c r="C39">
        <v>0.24299999999999999</v>
      </c>
      <c r="D39">
        <v>0.22750000000000001</v>
      </c>
      <c r="E39">
        <v>0.22989999999999999</v>
      </c>
      <c r="F39">
        <v>10078506</v>
      </c>
      <c r="G39">
        <v>0.22989999999999999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-0.69032258064516283</v>
      </c>
      <c r="Q39">
        <f t="shared" ref="Q39" si="171">F39*P39</f>
        <v>-6957420.2709677573</v>
      </c>
      <c r="R39">
        <f t="shared" ref="R39" si="172">R40+Q39</f>
        <v>-1298699629.7968197</v>
      </c>
      <c r="S39">
        <f t="shared" ref="S39" si="173">R39/100000</f>
        <v>-12986.996297968197</v>
      </c>
      <c r="T39">
        <f t="shared" ref="T39" si="174">S39/1000</f>
        <v>-12.986996297968197</v>
      </c>
    </row>
    <row r="40" spans="1:20" x14ac:dyDescent="0.25">
      <c r="A40" s="5">
        <v>44553</v>
      </c>
      <c r="B40">
        <v>0.22059999999999999</v>
      </c>
      <c r="C40">
        <v>0.2354</v>
      </c>
      <c r="D40">
        <v>0.21590000000000001</v>
      </c>
      <c r="E40">
        <v>0.23180000000000001</v>
      </c>
      <c r="F40">
        <v>16524025</v>
      </c>
      <c r="G40">
        <v>0.23180000000000001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0.63076923076923141</v>
      </c>
      <c r="Q40">
        <f t="shared" ref="Q40" si="176">F40*P40</f>
        <v>10422846.538461549</v>
      </c>
      <c r="R40">
        <f t="shared" ref="R40" si="177">R41+Q40</f>
        <v>-1291742209.525852</v>
      </c>
      <c r="S40">
        <f t="shared" ref="S40" si="178">R40/100000</f>
        <v>-12917.42209525852</v>
      </c>
      <c r="T40">
        <f t="shared" ref="T40" si="179">S40/1000</f>
        <v>-12.917422095258519</v>
      </c>
    </row>
    <row r="41" spans="1:20" x14ac:dyDescent="0.25">
      <c r="A41" s="5">
        <v>44552</v>
      </c>
      <c r="B41">
        <v>0.22520000000000001</v>
      </c>
      <c r="C41">
        <v>0.23799999999999999</v>
      </c>
      <c r="D41">
        <v>0.21879999999999999</v>
      </c>
      <c r="E41">
        <v>0.2208</v>
      </c>
      <c r="F41">
        <v>13848875</v>
      </c>
      <c r="G41">
        <v>0.2208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-0.79166666666666641</v>
      </c>
      <c r="Q41">
        <f t="shared" ref="Q41" si="181">F41*P41</f>
        <v>-10963692.70833333</v>
      </c>
      <c r="R41">
        <f t="shared" ref="R41" si="182">R42+Q41</f>
        <v>-1302165056.0643134</v>
      </c>
      <c r="S41">
        <f t="shared" ref="S41" si="183">R41/100000</f>
        <v>-13021.650560643135</v>
      </c>
      <c r="T41">
        <f t="shared" ref="T41" si="184">S41/1000</f>
        <v>-13.021650560643135</v>
      </c>
    </row>
    <row r="42" spans="1:20" x14ac:dyDescent="0.25">
      <c r="A42" s="5">
        <v>44551</v>
      </c>
      <c r="B42">
        <v>0.21579999999999999</v>
      </c>
      <c r="C42">
        <v>0.22819999999999999</v>
      </c>
      <c r="D42">
        <v>0.21440000000000001</v>
      </c>
      <c r="E42">
        <v>0.22520000000000001</v>
      </c>
      <c r="F42">
        <v>12492725</v>
      </c>
      <c r="G42">
        <v>0.22520000000000001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0.56521739130435078</v>
      </c>
      <c r="Q42">
        <f t="shared" ref="Q42" si="186">F42*P42</f>
        <v>7061105.4347826457</v>
      </c>
      <c r="R42">
        <f t="shared" ref="R42" si="187">R43+Q42</f>
        <v>-1291201363.3559802</v>
      </c>
      <c r="S42">
        <f t="shared" ref="S42" si="188">R42/100000</f>
        <v>-12912.013633559802</v>
      </c>
      <c r="T42">
        <f t="shared" ref="T42" si="189">S42/1000</f>
        <v>-12.912013633559802</v>
      </c>
    </row>
    <row r="43" spans="1:20" x14ac:dyDescent="0.25">
      <c r="A43" s="5">
        <v>44550</v>
      </c>
      <c r="B43">
        <v>0.22239999999999999</v>
      </c>
      <c r="C43">
        <v>0.23150000000000001</v>
      </c>
      <c r="D43">
        <v>0.20699999999999999</v>
      </c>
      <c r="E43">
        <v>0.21510000000000001</v>
      </c>
      <c r="F43">
        <v>23181517</v>
      </c>
      <c r="G43">
        <v>0.21510000000000001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-0.33877551020408025</v>
      </c>
      <c r="Q43">
        <f t="shared" ref="Q43" si="191">F43*P43</f>
        <v>-7853330.2489795601</v>
      </c>
      <c r="R43">
        <f t="shared" ref="R43" si="192">R44+Q43</f>
        <v>-1298262468.7907629</v>
      </c>
      <c r="S43">
        <f t="shared" ref="S43" si="193">R43/100000</f>
        <v>-12982.62468790763</v>
      </c>
      <c r="T43">
        <f t="shared" ref="T43" si="194">S43/1000</f>
        <v>-12.982624687907629</v>
      </c>
    </row>
    <row r="44" spans="1:20" x14ac:dyDescent="0.25">
      <c r="A44" s="5">
        <v>44549</v>
      </c>
      <c r="B44">
        <v>0.2407</v>
      </c>
      <c r="C44">
        <v>0.25240000000000001</v>
      </c>
      <c r="D44">
        <v>0.2213</v>
      </c>
      <c r="E44">
        <v>0.22220000000000001</v>
      </c>
      <c r="F44">
        <v>29412083</v>
      </c>
      <c r="G44">
        <v>0.22220000000000001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-0.94212218649517609</v>
      </c>
      <c r="Q44">
        <f t="shared" ref="Q44" si="196">F44*P44</f>
        <v>-27709775.945337597</v>
      </c>
      <c r="R44">
        <f t="shared" ref="R44" si="197">R45+Q44</f>
        <v>-1290409138.5417833</v>
      </c>
      <c r="S44">
        <f t="shared" ref="S44" si="198">R44/100000</f>
        <v>-12904.091385417832</v>
      </c>
      <c r="T44">
        <f t="shared" ref="T44" si="199">S44/1000</f>
        <v>-12.904091385417832</v>
      </c>
    </row>
    <row r="45" spans="1:20" x14ac:dyDescent="0.25">
      <c r="A45" s="5">
        <v>44548</v>
      </c>
      <c r="B45">
        <v>0.2172</v>
      </c>
      <c r="C45">
        <v>0.30430000000000001</v>
      </c>
      <c r="D45">
        <v>0.214</v>
      </c>
      <c r="E45">
        <v>0.2412</v>
      </c>
      <c r="F45">
        <v>249030280</v>
      </c>
      <c r="G45">
        <v>0.2412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-0.39756367663344416</v>
      </c>
      <c r="Q45">
        <f t="shared" ref="Q45" si="201">F45*P45</f>
        <v>-99005393.709856063</v>
      </c>
      <c r="R45">
        <f t="shared" ref="R45" si="202">R46+Q45</f>
        <v>-1262699362.5964458</v>
      </c>
      <c r="S45">
        <f t="shared" ref="S45" si="203">R45/100000</f>
        <v>-12626.993625964458</v>
      </c>
      <c r="T45">
        <f t="shared" ref="T45" si="204">S45/1000</f>
        <v>-12.626993625964458</v>
      </c>
    </row>
    <row r="46" spans="1:20" x14ac:dyDescent="0.25">
      <c r="A46" s="5">
        <v>44547</v>
      </c>
      <c r="B46">
        <v>0.20449999999999999</v>
      </c>
      <c r="C46">
        <v>0.245</v>
      </c>
      <c r="D46">
        <v>0.19739999999999999</v>
      </c>
      <c r="E46">
        <v>0.21729999999999999</v>
      </c>
      <c r="F46">
        <v>34614650</v>
      </c>
      <c r="G46">
        <v>0.21729999999999999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-0.16386554621848742</v>
      </c>
      <c r="Q46">
        <f t="shared" ref="Q46" si="206">F46*P46</f>
        <v>-5672148.5294117657</v>
      </c>
      <c r="R46">
        <f t="shared" ref="R46" si="207">R47+Q46</f>
        <v>-1163693968.8865898</v>
      </c>
      <c r="S46">
        <f t="shared" ref="S46" si="208">R46/100000</f>
        <v>-11636.939688865898</v>
      </c>
      <c r="T46">
        <f t="shared" ref="T46" si="209">S46/1000</f>
        <v>-11.636939688865898</v>
      </c>
    </row>
    <row r="47" spans="1:20" x14ac:dyDescent="0.25">
      <c r="A47" s="5">
        <v>44546</v>
      </c>
      <c r="B47">
        <v>0.2074</v>
      </c>
      <c r="C47">
        <v>0.21590000000000001</v>
      </c>
      <c r="D47">
        <v>0.2041</v>
      </c>
      <c r="E47">
        <v>0.20449999999999999</v>
      </c>
      <c r="F47">
        <v>8246349</v>
      </c>
      <c r="G47">
        <v>0.20449999999999999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-0.93220338983051132</v>
      </c>
      <c r="Q47">
        <f t="shared" ref="Q47" si="211">F47*P47</f>
        <v>-7687274.491525447</v>
      </c>
      <c r="R47">
        <f t="shared" ref="R47" si="212">R48+Q47</f>
        <v>-1158021820.357178</v>
      </c>
      <c r="S47">
        <f t="shared" ref="S47" si="213">R47/100000</f>
        <v>-11580.21820357178</v>
      </c>
      <c r="T47">
        <f t="shared" ref="T47" si="214">S47/1000</f>
        <v>-11.58021820357178</v>
      </c>
    </row>
    <row r="48" spans="1:20" x14ac:dyDescent="0.25">
      <c r="A48" s="5">
        <v>44545</v>
      </c>
      <c r="B48">
        <v>0.1981</v>
      </c>
      <c r="C48">
        <v>0.2198</v>
      </c>
      <c r="D48">
        <v>0.19600000000000001</v>
      </c>
      <c r="E48">
        <v>0.20799999999999999</v>
      </c>
      <c r="F48">
        <v>20193802</v>
      </c>
      <c r="G48">
        <v>0.20799999999999999</v>
      </c>
      <c r="L48" t="s">
        <v>7</v>
      </c>
      <c r="M48" t="s">
        <v>8</v>
      </c>
      <c r="N48" t="s">
        <v>7</v>
      </c>
      <c r="P48">
        <f t="shared" ref="P48" si="215">IF(C48=D48,0,((E48-D48)-(C48-E48))/(C48-D48))</f>
        <v>8.4033613445368936E-3</v>
      </c>
      <c r="Q48">
        <f t="shared" ref="Q48" si="216">F48*P48</f>
        <v>169695.81512603181</v>
      </c>
      <c r="R48">
        <f t="shared" ref="R48" si="217">R49+Q48</f>
        <v>-1150334545.8656526</v>
      </c>
      <c r="S48">
        <f t="shared" ref="S48" si="218">R48/100000</f>
        <v>-11503.345458656526</v>
      </c>
      <c r="T48">
        <f t="shared" ref="T48" si="219">S48/1000</f>
        <v>-11.503345458656526</v>
      </c>
    </row>
    <row r="49" spans="1:20" x14ac:dyDescent="0.25">
      <c r="A49" s="5">
        <v>44544</v>
      </c>
      <c r="B49">
        <v>0.19170000000000001</v>
      </c>
      <c r="C49">
        <v>0.22750000000000001</v>
      </c>
      <c r="D49">
        <v>0.18840000000000001</v>
      </c>
      <c r="E49">
        <v>0.19819999999999999</v>
      </c>
      <c r="F49">
        <v>30646906</v>
      </c>
      <c r="G49">
        <v>0.19819999999999999</v>
      </c>
      <c r="L49" t="s">
        <v>8</v>
      </c>
      <c r="M49" t="s">
        <v>8</v>
      </c>
      <c r="N49" t="s">
        <v>7</v>
      </c>
      <c r="P49">
        <f t="shared" ref="P49" si="220">IF(C49=D49,0,((E49-D49)-(C49-E49))/(C49-D49))</f>
        <v>-0.49872122762148458</v>
      </c>
      <c r="Q49">
        <f t="shared" ref="Q49" si="221">F49*P49</f>
        <v>-15284262.583120242</v>
      </c>
      <c r="R49">
        <f t="shared" ref="R49" si="222">R50+Q49</f>
        <v>-1150504241.6807785</v>
      </c>
      <c r="S49">
        <f t="shared" ref="S49" si="223">R49/100000</f>
        <v>-11505.042416807784</v>
      </c>
      <c r="T49">
        <f t="shared" ref="T49" si="224">S49/1000</f>
        <v>-11.505042416807784</v>
      </c>
    </row>
    <row r="50" spans="1:20" x14ac:dyDescent="0.25">
      <c r="A50" s="5">
        <v>44543</v>
      </c>
      <c r="B50">
        <v>0.21909999999999999</v>
      </c>
      <c r="C50">
        <v>0.22140000000000001</v>
      </c>
      <c r="D50">
        <v>0.1845</v>
      </c>
      <c r="E50">
        <v>0.1918</v>
      </c>
      <c r="F50">
        <v>13137110</v>
      </c>
      <c r="G50">
        <v>0.1918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-0.60433604336043367</v>
      </c>
      <c r="Q50">
        <f t="shared" ref="Q50" si="226">F50*P50</f>
        <v>-7939229.078590787</v>
      </c>
      <c r="R50">
        <f t="shared" ref="R50" si="227">R51+Q50</f>
        <v>-1135219979.0976582</v>
      </c>
      <c r="S50">
        <f t="shared" ref="S50" si="228">R50/100000</f>
        <v>-11352.199790976581</v>
      </c>
      <c r="T50">
        <f t="shared" ref="T50" si="229">S50/1000</f>
        <v>-11.352199790976581</v>
      </c>
    </row>
    <row r="51" spans="1:20" x14ac:dyDescent="0.25">
      <c r="A51" s="5">
        <v>44542</v>
      </c>
      <c r="B51">
        <v>0.21079999999999999</v>
      </c>
      <c r="C51">
        <v>0.23319999999999999</v>
      </c>
      <c r="D51">
        <v>0.2059</v>
      </c>
      <c r="E51">
        <v>0.21829999999999999</v>
      </c>
      <c r="F51">
        <v>29886664</v>
      </c>
      <c r="G51">
        <v>0.21829999999999999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-9.157509157509168E-2</v>
      </c>
      <c r="Q51">
        <f t="shared" ref="Q51" si="231">F51*P51</f>
        <v>-2736873.9926739959</v>
      </c>
      <c r="R51">
        <f t="shared" ref="R51" si="232">R52+Q51</f>
        <v>-1127280750.0190673</v>
      </c>
      <c r="S51">
        <f t="shared" ref="S51" si="233">R51/100000</f>
        <v>-11272.807500190673</v>
      </c>
      <c r="T51">
        <f t="shared" ref="T51" si="234">S51/1000</f>
        <v>-11.272807500190673</v>
      </c>
    </row>
    <row r="52" spans="1:20" x14ac:dyDescent="0.25">
      <c r="A52" s="5">
        <v>44541</v>
      </c>
      <c r="B52">
        <v>0.2034</v>
      </c>
      <c r="C52">
        <v>0.20569999999999999</v>
      </c>
      <c r="D52">
        <v>0.19869999999999999</v>
      </c>
      <c r="E52">
        <v>0.2041</v>
      </c>
      <c r="F52">
        <v>654709</v>
      </c>
      <c r="G52">
        <v>0.2041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0.54285714285714604</v>
      </c>
      <c r="Q52">
        <f t="shared" ref="Q52" si="236">F52*P52</f>
        <v>355413.45714285923</v>
      </c>
      <c r="R52">
        <f t="shared" ref="R52" si="237">R53+Q52</f>
        <v>-1124543876.0263932</v>
      </c>
      <c r="S52">
        <f t="shared" ref="S52" si="238">R52/100000</f>
        <v>-11245.438760263933</v>
      </c>
      <c r="T52">
        <f t="shared" ref="T52" si="239">S52/1000</f>
        <v>-11.245438760263932</v>
      </c>
    </row>
    <row r="53" spans="1:20" x14ac:dyDescent="0.25">
      <c r="A53" s="5">
        <v>44540</v>
      </c>
      <c r="B53">
        <v>0.2084</v>
      </c>
      <c r="C53">
        <v>0.22040000000000001</v>
      </c>
      <c r="D53">
        <v>0.19919999999999999</v>
      </c>
      <c r="E53">
        <v>0.20319999999999999</v>
      </c>
      <c r="F53">
        <v>16831495</v>
      </c>
      <c r="G53">
        <v>0.20319999999999999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-0.62264150943396235</v>
      </c>
      <c r="Q53">
        <f t="shared" ref="Q53" si="241">F53*P53</f>
        <v>-10479987.45283019</v>
      </c>
      <c r="R53">
        <f t="shared" ref="R53" si="242">R54+Q53</f>
        <v>-1124899289.483536</v>
      </c>
      <c r="S53">
        <f t="shared" ref="S53" si="243">R53/100000</f>
        <v>-11248.992894835361</v>
      </c>
      <c r="T53">
        <f t="shared" ref="T53" si="244">S53/1000</f>
        <v>-11.248992894835361</v>
      </c>
    </row>
    <row r="54" spans="1:20" x14ac:dyDescent="0.25">
      <c r="A54" s="5">
        <v>44539</v>
      </c>
      <c r="B54">
        <v>0.23899999999999999</v>
      </c>
      <c r="C54">
        <v>0.26469999999999999</v>
      </c>
      <c r="D54">
        <v>0.2077</v>
      </c>
      <c r="E54">
        <v>0.20849999999999999</v>
      </c>
      <c r="F54">
        <v>25510477</v>
      </c>
      <c r="G54">
        <v>0.20849999999999999</v>
      </c>
      <c r="L54" t="s">
        <v>8</v>
      </c>
      <c r="M54" t="s">
        <v>7</v>
      </c>
      <c r="N54" t="s">
        <v>8</v>
      </c>
      <c r="P54">
        <f t="shared" ref="P54" si="245">IF(C54=D54,0,((E54-D54)-(C54-E54))/(C54-D54))</f>
        <v>-0.97192982456140364</v>
      </c>
      <c r="Q54">
        <f t="shared" ref="Q54" si="246">F54*P54</f>
        <v>-24794393.435087722</v>
      </c>
      <c r="R54">
        <f t="shared" ref="R54" si="247">R55+Q54</f>
        <v>-1114419302.0307059</v>
      </c>
      <c r="S54">
        <f t="shared" ref="S54" si="248">R54/100000</f>
        <v>-11144.193020307059</v>
      </c>
      <c r="T54">
        <f t="shared" ref="T54" si="249">S54/1000</f>
        <v>-11.144193020307059</v>
      </c>
    </row>
    <row r="55" spans="1:20" x14ac:dyDescent="0.25">
      <c r="A55" s="5">
        <v>44538</v>
      </c>
      <c r="B55">
        <v>0.21970000000000001</v>
      </c>
      <c r="C55">
        <v>0.25569999999999998</v>
      </c>
      <c r="D55">
        <v>0.21310000000000001</v>
      </c>
      <c r="E55">
        <v>0.2392</v>
      </c>
      <c r="F55">
        <v>28072667</v>
      </c>
      <c r="G55">
        <v>0.2392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0.22535211267605643</v>
      </c>
      <c r="Q55">
        <f t="shared" ref="Q55" si="251">F55*P55</f>
        <v>6326234.8169014109</v>
      </c>
      <c r="R55">
        <f t="shared" ref="R55" si="252">R56+Q55</f>
        <v>-1089624908.5956182</v>
      </c>
      <c r="S55">
        <f t="shared" ref="S55" si="253">R55/100000</f>
        <v>-10896.249085956182</v>
      </c>
      <c r="T55">
        <f t="shared" ref="T55" si="254">S55/1000</f>
        <v>-10.896249085956182</v>
      </c>
    </row>
    <row r="56" spans="1:20" x14ac:dyDescent="0.25">
      <c r="A56" s="5">
        <v>44537</v>
      </c>
      <c r="B56">
        <v>0.22650000000000001</v>
      </c>
      <c r="C56">
        <v>0.23680000000000001</v>
      </c>
      <c r="D56">
        <v>0.2145</v>
      </c>
      <c r="E56">
        <v>0.21970000000000001</v>
      </c>
      <c r="F56">
        <v>16476167</v>
      </c>
      <c r="G56">
        <v>0.21970000000000001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-0.53363228699551513</v>
      </c>
      <c r="Q56">
        <f t="shared" ref="Q56" si="256">F56*P56</f>
        <v>-8792214.6771300361</v>
      </c>
      <c r="R56">
        <f t="shared" ref="R56" si="257">R57+Q56</f>
        <v>-1095951143.4125197</v>
      </c>
      <c r="S56">
        <f t="shared" ref="S56" si="258">R56/100000</f>
        <v>-10959.511434125197</v>
      </c>
      <c r="T56">
        <f t="shared" ref="T56" si="259">S56/1000</f>
        <v>-10.959511434125197</v>
      </c>
    </row>
    <row r="57" spans="1:20" x14ac:dyDescent="0.25">
      <c r="A57" s="5">
        <v>44536</v>
      </c>
      <c r="B57">
        <v>0.21809999999999999</v>
      </c>
      <c r="C57">
        <v>0.2293</v>
      </c>
      <c r="D57">
        <v>0.19439999999999999</v>
      </c>
      <c r="E57">
        <v>0.22620000000000001</v>
      </c>
      <c r="F57">
        <v>19253565</v>
      </c>
      <c r="G57">
        <v>0.22620000000000001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0.82234957020057364</v>
      </c>
      <c r="Q57">
        <f t="shared" ref="Q57" si="261">F57*P57</f>
        <v>15833160.902578808</v>
      </c>
      <c r="R57">
        <f t="shared" ref="R57" si="262">R58+Q57</f>
        <v>-1087158928.7353897</v>
      </c>
      <c r="S57">
        <f t="shared" ref="S57" si="263">R57/100000</f>
        <v>-10871.589287353898</v>
      </c>
      <c r="T57">
        <f t="shared" ref="T57" si="264">S57/1000</f>
        <v>-10.871589287353897</v>
      </c>
    </row>
    <row r="58" spans="1:20" x14ac:dyDescent="0.25">
      <c r="A58" s="5">
        <v>44535</v>
      </c>
      <c r="B58">
        <v>0.23519999999999999</v>
      </c>
      <c r="C58">
        <v>0.2387</v>
      </c>
      <c r="D58">
        <v>0.20810000000000001</v>
      </c>
      <c r="E58">
        <v>0.2177</v>
      </c>
      <c r="F58">
        <v>21062604</v>
      </c>
      <c r="G58">
        <v>0.2177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-0.37254901960784309</v>
      </c>
      <c r="Q58">
        <f t="shared" ref="Q58" si="266">F58*P58</f>
        <v>-7846852.4705882343</v>
      </c>
      <c r="R58">
        <f t="shared" ref="R58" si="267">R59+Q58</f>
        <v>-1102992089.6379685</v>
      </c>
      <c r="S58">
        <f t="shared" ref="S58" si="268">R58/100000</f>
        <v>-11029.920896379685</v>
      </c>
      <c r="T58">
        <f t="shared" ref="T58" si="269">S58/1000</f>
        <v>-11.029920896379684</v>
      </c>
    </row>
    <row r="59" spans="1:20" x14ac:dyDescent="0.25">
      <c r="A59" s="5">
        <v>44534</v>
      </c>
      <c r="B59">
        <v>0.29360000000000003</v>
      </c>
      <c r="C59">
        <v>0.29420000000000002</v>
      </c>
      <c r="D59">
        <v>0.17530000000000001</v>
      </c>
      <c r="E59">
        <v>0.23569999999999999</v>
      </c>
      <c r="F59">
        <v>33048585.726</v>
      </c>
      <c r="G59">
        <v>0.23569999999999999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1.5979814970563139E-2</v>
      </c>
      <c r="Q59">
        <f t="shared" ref="Q59" si="271">F59*P59</f>
        <v>528110.28494027408</v>
      </c>
      <c r="R59">
        <f t="shared" ref="R59" si="272">R60+Q59</f>
        <v>-1095145237.1673803</v>
      </c>
      <c r="S59">
        <f t="shared" ref="S59" si="273">R59/100000</f>
        <v>-10951.452371673804</v>
      </c>
      <c r="T59">
        <f t="shared" ref="T59" si="274">S59/1000</f>
        <v>-10.951452371673804</v>
      </c>
    </row>
    <row r="60" spans="1:20" x14ac:dyDescent="0.25">
      <c r="A60" s="5">
        <v>44533</v>
      </c>
      <c r="B60">
        <v>0.30769999999999997</v>
      </c>
      <c r="C60">
        <v>0.32819999999999999</v>
      </c>
      <c r="D60">
        <v>0.28739999999999999</v>
      </c>
      <c r="E60">
        <v>0.29380000000000001</v>
      </c>
      <c r="F60">
        <v>59449846</v>
      </c>
      <c r="G60">
        <v>0.29380000000000001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-0.6862745098039208</v>
      </c>
      <c r="Q60">
        <f t="shared" ref="Q60" si="276">F60*P60</f>
        <v>-40798913.92156858</v>
      </c>
      <c r="R60">
        <f t="shared" ref="R60" si="277">R61+Q60</f>
        <v>-1095673347.4523206</v>
      </c>
      <c r="S60">
        <f t="shared" ref="S60" si="278">R60/100000</f>
        <v>-10956.733474523206</v>
      </c>
      <c r="T60">
        <f t="shared" ref="T60" si="279">S60/1000</f>
        <v>-10.956733474523206</v>
      </c>
    </row>
    <row r="61" spans="1:20" x14ac:dyDescent="0.25">
      <c r="A61" s="5">
        <v>44532</v>
      </c>
      <c r="B61">
        <v>0.28620000000000001</v>
      </c>
      <c r="C61">
        <v>0.32300000000000001</v>
      </c>
      <c r="D61">
        <v>0.27800000000000002</v>
      </c>
      <c r="E61">
        <v>0.30740000000000001</v>
      </c>
      <c r="F61">
        <v>50157093</v>
      </c>
      <c r="G61">
        <v>0.30740000000000001</v>
      </c>
      <c r="L61" t="s">
        <v>8</v>
      </c>
      <c r="M61" t="s">
        <v>7</v>
      </c>
      <c r="N61" t="s">
        <v>8</v>
      </c>
      <c r="P61">
        <f t="shared" ref="P61" si="280">IF(C61=D61,0,((E61-D61)-(C61-E61))/(C61-D61))</f>
        <v>0.30666666666666631</v>
      </c>
      <c r="Q61">
        <f t="shared" ref="Q61" si="281">F61*P61</f>
        <v>15381508.519999983</v>
      </c>
      <c r="R61">
        <f t="shared" ref="R61" si="282">R62+Q61</f>
        <v>-1054874433.5307519</v>
      </c>
      <c r="S61">
        <f t="shared" ref="S61" si="283">R61/100000</f>
        <v>-10548.74433530752</v>
      </c>
      <c r="T61">
        <f t="shared" ref="T61" si="284">S61/1000</f>
        <v>-10.54874433530752</v>
      </c>
    </row>
    <row r="62" spans="1:20" x14ac:dyDescent="0.25">
      <c r="A62" s="5">
        <v>44531</v>
      </c>
      <c r="B62">
        <v>0.27800000000000002</v>
      </c>
      <c r="C62">
        <v>0.29849999999999999</v>
      </c>
      <c r="D62">
        <v>0.27229999999999999</v>
      </c>
      <c r="E62">
        <v>0.28620000000000001</v>
      </c>
      <c r="F62">
        <v>20633263</v>
      </c>
      <c r="G62">
        <v>0.28620000000000001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6.1068702290078082E-2</v>
      </c>
      <c r="Q62">
        <f t="shared" ref="Q62" si="286">F62*P62</f>
        <v>1260046.5954198833</v>
      </c>
      <c r="R62">
        <f t="shared" ref="R62" si="287">R63+Q62</f>
        <v>-1070255942.0507519</v>
      </c>
      <c r="S62">
        <f t="shared" ref="S62" si="288">R62/100000</f>
        <v>-10702.559420507519</v>
      </c>
      <c r="T62">
        <f t="shared" ref="T62" si="289">S62/1000</f>
        <v>-10.702559420507519</v>
      </c>
    </row>
    <row r="63" spans="1:20" x14ac:dyDescent="0.25">
      <c r="A63" s="5">
        <v>44530</v>
      </c>
      <c r="B63">
        <v>0.28299999999999997</v>
      </c>
      <c r="C63">
        <v>0.28620000000000001</v>
      </c>
      <c r="D63">
        <v>0.27050000000000002</v>
      </c>
      <c r="E63">
        <v>0.2777</v>
      </c>
      <c r="F63">
        <v>10333408</v>
      </c>
      <c r="G63">
        <v>0.2777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-8.2802547770702173E-2</v>
      </c>
      <c r="Q63">
        <f t="shared" ref="Q63" si="291">F63*P63</f>
        <v>-855632.50955415599</v>
      </c>
      <c r="R63">
        <f t="shared" ref="R63" si="292">R64+Q63</f>
        <v>-1071515988.6461718</v>
      </c>
      <c r="S63">
        <f t="shared" ref="S63" si="293">R63/100000</f>
        <v>-10715.159886461717</v>
      </c>
      <c r="T63">
        <f t="shared" ref="T63" si="294">S63/1000</f>
        <v>-10.715159886461716</v>
      </c>
    </row>
    <row r="64" spans="1:20" x14ac:dyDescent="0.25">
      <c r="A64" s="5">
        <v>44529</v>
      </c>
      <c r="B64">
        <v>0.28599999999999998</v>
      </c>
      <c r="C64">
        <v>0.28849999999999998</v>
      </c>
      <c r="D64">
        <v>0.2792</v>
      </c>
      <c r="E64">
        <v>0.28299999999999997</v>
      </c>
      <c r="F64">
        <v>12104714</v>
      </c>
      <c r="G64">
        <v>0.28299999999999997</v>
      </c>
      <c r="L64" t="s">
        <v>7</v>
      </c>
      <c r="M64" t="s">
        <v>7</v>
      </c>
      <c r="N64" t="s">
        <v>8</v>
      </c>
      <c r="P64">
        <f t="shared" ref="P64" si="295">IF(C64=D64,0,((E64-D64)-(C64-E64))/(C64-D64))</f>
        <v>-0.18279569892473541</v>
      </c>
      <c r="Q64">
        <f t="shared" ref="Q64" si="296">F64*P64</f>
        <v>-2212689.6559140296</v>
      </c>
      <c r="R64">
        <f t="shared" ref="R64" si="297">R65+Q64</f>
        <v>-1070660356.1366177</v>
      </c>
      <c r="S64">
        <f t="shared" ref="S64" si="298">R64/100000</f>
        <v>-10706.603561366177</v>
      </c>
      <c r="T64">
        <f t="shared" ref="T64" si="299">S64/1000</f>
        <v>-10.706603561366178</v>
      </c>
    </row>
    <row r="65" spans="1:20" x14ac:dyDescent="0.25">
      <c r="A65" s="5">
        <v>44528</v>
      </c>
      <c r="B65">
        <v>0.2999</v>
      </c>
      <c r="C65">
        <v>0.34899999999999998</v>
      </c>
      <c r="D65">
        <v>0.26869999999999999</v>
      </c>
      <c r="E65">
        <v>0.2858</v>
      </c>
      <c r="F65">
        <v>59059851</v>
      </c>
      <c r="G65">
        <v>0.2858</v>
      </c>
      <c r="L65" t="s">
        <v>8</v>
      </c>
      <c r="M65" t="s">
        <v>8</v>
      </c>
      <c r="N65" t="s">
        <v>8</v>
      </c>
      <c r="P65">
        <f t="shared" ref="P65" si="300">IF(C65=D65,0,((E65-D65)-(C65-E65))/(C65-D65))</f>
        <v>-0.57409713574097121</v>
      </c>
      <c r="Q65">
        <f t="shared" ref="Q65" si="301">F65*P65</f>
        <v>-33906091.296388537</v>
      </c>
      <c r="R65">
        <f t="shared" ref="R65" si="302">R66+Q65</f>
        <v>-1068447666.4807036</v>
      </c>
      <c r="S65">
        <f t="shared" ref="S65" si="303">R65/100000</f>
        <v>-10684.476664807036</v>
      </c>
      <c r="T65">
        <f t="shared" ref="T65" si="304">S65/1000</f>
        <v>-10.684476664807036</v>
      </c>
    </row>
    <row r="66" spans="1:20" x14ac:dyDescent="0.25">
      <c r="A66" s="5">
        <v>44527</v>
      </c>
      <c r="B66">
        <v>0.26700000000000002</v>
      </c>
      <c r="C66">
        <v>0.309</v>
      </c>
      <c r="D66">
        <v>0.26529999999999998</v>
      </c>
      <c r="E66">
        <v>0.3</v>
      </c>
      <c r="F66">
        <v>20550430</v>
      </c>
      <c r="G66">
        <v>0.3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0.58810068649885561</v>
      </c>
      <c r="Q66">
        <f t="shared" ref="Q66" si="306">F66*P66</f>
        <v>12085721.990846677</v>
      </c>
      <c r="R66">
        <f t="shared" ref="R66" si="307">R67+Q66</f>
        <v>-1034541575.1843151</v>
      </c>
      <c r="S66">
        <f t="shared" ref="S66" si="308">R66/100000</f>
        <v>-10345.415751843151</v>
      </c>
      <c r="T66">
        <f t="shared" ref="T66" si="309">S66/1000</f>
        <v>-10.34541575184315</v>
      </c>
    </row>
    <row r="67" spans="1:20" x14ac:dyDescent="0.25">
      <c r="A67" s="5">
        <v>44526</v>
      </c>
      <c r="B67">
        <v>0.29930000000000001</v>
      </c>
      <c r="C67">
        <v>0.30690000000000001</v>
      </c>
      <c r="D67">
        <v>0.26429999999999998</v>
      </c>
      <c r="E67">
        <v>0.26669999999999999</v>
      </c>
      <c r="F67">
        <v>28617120</v>
      </c>
      <c r="G67">
        <v>0.26669999999999999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-0.88732394366197131</v>
      </c>
      <c r="Q67">
        <f t="shared" ref="Q67" si="311">F67*P67</f>
        <v>-25392655.774647873</v>
      </c>
      <c r="R67">
        <f t="shared" ref="R67" si="312">R68+Q67</f>
        <v>-1046627297.1751617</v>
      </c>
      <c r="S67">
        <f t="shared" ref="S67" si="313">R67/100000</f>
        <v>-10466.272971751618</v>
      </c>
      <c r="T67">
        <f t="shared" ref="T67" si="314">S67/1000</f>
        <v>-10.466272971751618</v>
      </c>
    </row>
    <row r="68" spans="1:20" x14ac:dyDescent="0.25">
      <c r="A68" s="5">
        <v>44525</v>
      </c>
      <c r="B68">
        <v>0.28239999999999998</v>
      </c>
      <c r="C68">
        <v>0.3095</v>
      </c>
      <c r="D68">
        <v>0.28199999999999997</v>
      </c>
      <c r="E68">
        <v>0.29909999999999998</v>
      </c>
      <c r="F68">
        <v>38797705</v>
      </c>
      <c r="G68">
        <v>0.29909999999999998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0.24363636363636282</v>
      </c>
      <c r="Q68">
        <f t="shared" ref="Q68" si="316">F68*P68</f>
        <v>9452531.763636332</v>
      </c>
      <c r="R68">
        <f t="shared" ref="R68" si="317">R69+Q68</f>
        <v>-1021234641.4005139</v>
      </c>
      <c r="S68">
        <f t="shared" ref="S68" si="318">R68/100000</f>
        <v>-10212.346414005138</v>
      </c>
      <c r="T68">
        <f t="shared" ref="T68" si="319">S68/1000</f>
        <v>-10.212346414005138</v>
      </c>
    </row>
    <row r="69" spans="1:20" x14ac:dyDescent="0.25">
      <c r="A69" s="5">
        <v>44524</v>
      </c>
      <c r="B69">
        <v>0.29110000000000003</v>
      </c>
      <c r="C69">
        <v>0.29189999999999999</v>
      </c>
      <c r="D69">
        <v>0.27750000000000002</v>
      </c>
      <c r="E69">
        <v>0.28000000000000003</v>
      </c>
      <c r="F69">
        <v>5475990</v>
      </c>
      <c r="G69">
        <v>0.28000000000000003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-0.65277777777777668</v>
      </c>
      <c r="Q69">
        <f t="shared" ref="Q69" si="321">F69*P69</f>
        <v>-3574604.5833333274</v>
      </c>
      <c r="R69">
        <f t="shared" ref="R69" si="322">R70+Q69</f>
        <v>-1030687173.1641502</v>
      </c>
      <c r="S69">
        <f t="shared" ref="S69" si="323">R69/100000</f>
        <v>-10306.871731641502</v>
      </c>
      <c r="T69">
        <f t="shared" ref="T69" si="324">S69/1000</f>
        <v>-10.306871731641502</v>
      </c>
    </row>
    <row r="70" spans="1:20" x14ac:dyDescent="0.25">
      <c r="A70" s="5">
        <v>44523</v>
      </c>
      <c r="B70">
        <v>0.30430000000000001</v>
      </c>
      <c r="C70">
        <v>0.30430000000000001</v>
      </c>
      <c r="D70">
        <v>0.28660000000000002</v>
      </c>
      <c r="E70">
        <v>0.2913</v>
      </c>
      <c r="F70">
        <v>13207941</v>
      </c>
      <c r="G70">
        <v>0.2913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-0.46892655367231822</v>
      </c>
      <c r="Q70">
        <f t="shared" ref="Q70" si="326">F70*P70</f>
        <v>-6193554.2542373128</v>
      </c>
      <c r="R70">
        <f t="shared" ref="R70" si="327">R71+Q70</f>
        <v>-1027112568.5808169</v>
      </c>
      <c r="S70">
        <f t="shared" ref="S70" si="328">R70/100000</f>
        <v>-10271.125685808169</v>
      </c>
      <c r="T70">
        <f t="shared" ref="T70" si="329">S70/1000</f>
        <v>-10.271125685808169</v>
      </c>
    </row>
    <row r="71" spans="1:20" x14ac:dyDescent="0.25">
      <c r="A71" s="5">
        <v>44522</v>
      </c>
      <c r="B71">
        <v>0.29730000000000001</v>
      </c>
      <c r="C71">
        <v>0.35399999999999998</v>
      </c>
      <c r="D71">
        <v>0.29580000000000001</v>
      </c>
      <c r="E71">
        <v>0.30430000000000001</v>
      </c>
      <c r="F71">
        <v>49466722</v>
      </c>
      <c r="G71">
        <v>0.30430000000000001</v>
      </c>
      <c r="L71" t="s">
        <v>8</v>
      </c>
      <c r="M71" t="s">
        <v>8</v>
      </c>
      <c r="N71" t="s">
        <v>8</v>
      </c>
      <c r="P71">
        <f t="shared" ref="P71" si="330">IF(C71=D71,0,((E71-D71)-(C71-E71))/(C71-D71))</f>
        <v>-0.70790378006872812</v>
      </c>
      <c r="Q71">
        <f t="shared" ref="Q71" si="331">F71*P71</f>
        <v>-35017679.491408914</v>
      </c>
      <c r="R71">
        <f t="shared" ref="R71" si="332">R72+Q71</f>
        <v>-1020919014.3265796</v>
      </c>
      <c r="S71">
        <f t="shared" ref="S71" si="333">R71/100000</f>
        <v>-10209.190143265796</v>
      </c>
      <c r="T71">
        <f t="shared" ref="T71" si="334">S71/1000</f>
        <v>-10.209190143265795</v>
      </c>
    </row>
    <row r="72" spans="1:20" x14ac:dyDescent="0.25">
      <c r="A72" s="5">
        <v>44521</v>
      </c>
      <c r="B72">
        <v>0.28239999999999998</v>
      </c>
      <c r="C72">
        <v>0.31900000000000001</v>
      </c>
      <c r="D72">
        <v>0.28029999999999999</v>
      </c>
      <c r="E72">
        <v>0.29759999999999998</v>
      </c>
      <c r="F72">
        <v>32632623</v>
      </c>
      <c r="G72">
        <v>0.29759999999999998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-0.10594315245478157</v>
      </c>
      <c r="Q72">
        <f t="shared" ref="Q72" si="336">F72*P72</f>
        <v>-3457202.9534884114</v>
      </c>
      <c r="R72">
        <f t="shared" ref="R72" si="337">R73+Q72</f>
        <v>-985901334.83517063</v>
      </c>
      <c r="S72">
        <f t="shared" ref="S72" si="338">R72/100000</f>
        <v>-9859.0133483517056</v>
      </c>
      <c r="T72">
        <f t="shared" ref="T72" si="339">S72/1000</f>
        <v>-9.8590133483517057</v>
      </c>
    </row>
    <row r="73" spans="1:20" x14ac:dyDescent="0.25">
      <c r="A73" s="5">
        <v>44520</v>
      </c>
      <c r="B73">
        <v>0.27550000000000002</v>
      </c>
      <c r="C73">
        <v>0.28639999999999999</v>
      </c>
      <c r="D73">
        <v>0.26829999999999998</v>
      </c>
      <c r="E73">
        <v>0.28239999999999998</v>
      </c>
      <c r="F73">
        <v>14665967</v>
      </c>
      <c r="G73">
        <v>0.28239999999999998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0.55801104972375659</v>
      </c>
      <c r="Q73">
        <f t="shared" ref="Q73" si="341">F73*P73</f>
        <v>8183771.6408839729</v>
      </c>
      <c r="R73">
        <f t="shared" ref="R73" si="342">R74+Q73</f>
        <v>-982444131.88168216</v>
      </c>
      <c r="S73">
        <f t="shared" ref="S73" si="343">R73/100000</f>
        <v>-9824.4413188168219</v>
      </c>
      <c r="T73">
        <f t="shared" ref="T73" si="344">S73/1000</f>
        <v>-9.824441318816822</v>
      </c>
    </row>
    <row r="74" spans="1:20" x14ac:dyDescent="0.25">
      <c r="A74" s="5">
        <v>44519</v>
      </c>
      <c r="B74">
        <v>0.26279999999999998</v>
      </c>
      <c r="C74">
        <v>0.28000000000000003</v>
      </c>
      <c r="D74">
        <v>0.25569999999999998</v>
      </c>
      <c r="E74">
        <v>0.27550000000000002</v>
      </c>
      <c r="F74">
        <v>9014969</v>
      </c>
      <c r="G74">
        <v>0.27550000000000002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0.62962962962962998</v>
      </c>
      <c r="Q74">
        <f t="shared" ref="Q74" si="346">F74*P74</f>
        <v>5676091.5925925961</v>
      </c>
      <c r="R74">
        <f t="shared" ref="R74" si="347">R75+Q74</f>
        <v>-990627903.52256608</v>
      </c>
      <c r="S74">
        <f t="shared" ref="S74" si="348">R74/100000</f>
        <v>-9906.2790352256616</v>
      </c>
      <c r="T74">
        <f t="shared" ref="T74" si="349">S74/1000</f>
        <v>-9.906279035225662</v>
      </c>
    </row>
    <row r="75" spans="1:20" x14ac:dyDescent="0.25">
      <c r="A75" s="5">
        <v>44518</v>
      </c>
      <c r="B75">
        <v>0.28060000000000002</v>
      </c>
      <c r="C75">
        <v>0.2974</v>
      </c>
      <c r="D75">
        <v>0.25950000000000001</v>
      </c>
      <c r="E75">
        <v>0.2626</v>
      </c>
      <c r="F75">
        <v>18377073</v>
      </c>
      <c r="G75">
        <v>0.2626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-0.8364116094986811</v>
      </c>
      <c r="Q75">
        <f t="shared" ref="Q75" si="351">F75*P75</f>
        <v>-15370797.205804756</v>
      </c>
      <c r="R75">
        <f t="shared" ref="R75" si="352">R76+Q75</f>
        <v>-996303995.11515868</v>
      </c>
      <c r="S75">
        <f t="shared" ref="S75" si="353">R75/100000</f>
        <v>-9963.0399511515861</v>
      </c>
      <c r="T75">
        <f t="shared" ref="T75" si="354">S75/1000</f>
        <v>-9.9630399511515861</v>
      </c>
    </row>
    <row r="76" spans="1:20" x14ac:dyDescent="0.25">
      <c r="A76" s="5">
        <v>44517</v>
      </c>
      <c r="B76">
        <v>0.27689999999999998</v>
      </c>
      <c r="C76">
        <v>0.28270000000000001</v>
      </c>
      <c r="D76">
        <v>0.2681</v>
      </c>
      <c r="E76">
        <v>0.28029999999999999</v>
      </c>
      <c r="F76">
        <v>10807589</v>
      </c>
      <c r="G76">
        <v>0.28029999999999999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0.67123287671232701</v>
      </c>
      <c r="Q76">
        <f t="shared" ref="Q76" si="356">F76*P76</f>
        <v>7254409.0547945015</v>
      </c>
      <c r="R76">
        <f t="shared" ref="R76" si="357">R77+Q76</f>
        <v>-980933197.90935397</v>
      </c>
      <c r="S76">
        <f t="shared" ref="S76" si="358">R76/100000</f>
        <v>-9809.3319790935402</v>
      </c>
      <c r="T76">
        <f t="shared" ref="T76" si="359">S76/1000</f>
        <v>-9.8093319790935407</v>
      </c>
    </row>
    <row r="77" spans="1:20" x14ac:dyDescent="0.25">
      <c r="A77" s="5">
        <v>44516</v>
      </c>
      <c r="B77">
        <v>0.30620000000000003</v>
      </c>
      <c r="C77">
        <v>0.30649999999999999</v>
      </c>
      <c r="D77">
        <v>0.2676</v>
      </c>
      <c r="E77">
        <v>0.27689999999999998</v>
      </c>
      <c r="F77">
        <v>18502091</v>
      </c>
      <c r="G77">
        <v>0.27689999999999998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-0.52185089974293175</v>
      </c>
      <c r="Q77">
        <f t="shared" ref="Q77" si="361">F77*P77</f>
        <v>-9655332.8354755994</v>
      </c>
      <c r="R77">
        <f t="shared" ref="R77" si="362">R78+Q77</f>
        <v>-988187606.96414852</v>
      </c>
      <c r="S77">
        <f t="shared" ref="S77" si="363">R77/100000</f>
        <v>-9881.8760696414847</v>
      </c>
      <c r="T77">
        <f t="shared" ref="T77" si="364">S77/1000</f>
        <v>-9.8818760696414856</v>
      </c>
    </row>
    <row r="78" spans="1:20" x14ac:dyDescent="0.25">
      <c r="A78" s="5">
        <v>44515</v>
      </c>
      <c r="B78">
        <v>0.31440000000000001</v>
      </c>
      <c r="C78">
        <v>0.31900000000000001</v>
      </c>
      <c r="D78">
        <v>0.30609999999999998</v>
      </c>
      <c r="E78">
        <v>0.30659999999999998</v>
      </c>
      <c r="F78">
        <v>9386960</v>
      </c>
      <c r="G78">
        <v>0.30659999999999998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-0.92248062015503884</v>
      </c>
      <c r="Q78">
        <f t="shared" ref="Q78" si="366">F78*P78</f>
        <v>-8659288.6821705438</v>
      </c>
      <c r="R78">
        <f t="shared" ref="R78" si="367">R79+Q78</f>
        <v>-978532274.12867296</v>
      </c>
      <c r="S78">
        <f t="shared" ref="S78" si="368">R78/100000</f>
        <v>-9785.3227412867291</v>
      </c>
      <c r="T78">
        <f t="shared" ref="T78" si="369">S78/1000</f>
        <v>-9.7853227412867287</v>
      </c>
    </row>
    <row r="79" spans="1:20" x14ac:dyDescent="0.25">
      <c r="A79" s="5">
        <v>44514</v>
      </c>
      <c r="B79">
        <v>0.31119999999999998</v>
      </c>
      <c r="C79">
        <v>0.31780000000000003</v>
      </c>
      <c r="D79">
        <v>0.30609999999999998</v>
      </c>
      <c r="E79">
        <v>0.31440000000000001</v>
      </c>
      <c r="F79">
        <v>10968205</v>
      </c>
      <c r="G79">
        <v>0.31440000000000001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0.41880341880341854</v>
      </c>
      <c r="Q79">
        <f t="shared" ref="Q79" si="371">F79*P79</f>
        <v>4593521.7521367492</v>
      </c>
      <c r="R79">
        <f t="shared" ref="R79" si="372">R80+Q79</f>
        <v>-969872985.44650245</v>
      </c>
      <c r="S79">
        <f t="shared" ref="S79" si="373">R79/100000</f>
        <v>-9698.7298544650239</v>
      </c>
      <c r="T79">
        <f t="shared" ref="T79" si="374">S79/1000</f>
        <v>-9.6987298544650233</v>
      </c>
    </row>
    <row r="80" spans="1:20" x14ac:dyDescent="0.25">
      <c r="A80" s="5">
        <v>44513</v>
      </c>
      <c r="B80">
        <v>0.3125</v>
      </c>
      <c r="C80">
        <v>0.32</v>
      </c>
      <c r="D80">
        <v>0.30740000000000001</v>
      </c>
      <c r="E80">
        <v>0.31119999999999998</v>
      </c>
      <c r="F80">
        <v>12309429</v>
      </c>
      <c r="G80">
        <v>0.31119999999999998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-0.39682539682540158</v>
      </c>
      <c r="Q80">
        <f t="shared" ref="Q80" si="376">F80*P80</f>
        <v>-4884694.0476191062</v>
      </c>
      <c r="R80">
        <f t="shared" ref="R80" si="377">R81+Q80</f>
        <v>-974466507.19863915</v>
      </c>
      <c r="S80">
        <f t="shared" ref="S80" si="378">R80/100000</f>
        <v>-9744.6650719863919</v>
      </c>
      <c r="T80">
        <f t="shared" ref="T80" si="379">S80/1000</f>
        <v>-9.7446650719863914</v>
      </c>
    </row>
    <row r="81" spans="1:20" x14ac:dyDescent="0.25">
      <c r="A81" s="5">
        <v>44512</v>
      </c>
      <c r="B81">
        <v>0.31340000000000001</v>
      </c>
      <c r="C81">
        <v>0.32140000000000002</v>
      </c>
      <c r="D81">
        <v>0.29449999999999998</v>
      </c>
      <c r="E81">
        <v>0.3125</v>
      </c>
      <c r="F81">
        <v>22638380</v>
      </c>
      <c r="G81">
        <v>0.3125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0.33828996282527823</v>
      </c>
      <c r="Q81">
        <f t="shared" ref="Q81" si="381">F81*P81</f>
        <v>7658336.7286245227</v>
      </c>
      <c r="R81">
        <f t="shared" ref="R81" si="382">R82+Q81</f>
        <v>-969581813.15102005</v>
      </c>
      <c r="S81">
        <f t="shared" ref="S81" si="383">R81/100000</f>
        <v>-9695.8181315102011</v>
      </c>
      <c r="T81">
        <f t="shared" ref="T81" si="384">S81/1000</f>
        <v>-9.695818131510201</v>
      </c>
    </row>
    <row r="82" spans="1:20" x14ac:dyDescent="0.25">
      <c r="A82" s="5">
        <v>44511</v>
      </c>
      <c r="B82">
        <v>0.31209999999999999</v>
      </c>
      <c r="C82">
        <v>0.31969999999999998</v>
      </c>
      <c r="D82">
        <v>0.30709999999999998</v>
      </c>
      <c r="E82">
        <v>0.31330000000000002</v>
      </c>
      <c r="F82">
        <v>11166576</v>
      </c>
      <c r="G82">
        <v>0.31330000000000002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-1.5873015873009721E-2</v>
      </c>
      <c r="Q82">
        <f t="shared" ref="Q82" si="386">F82*P82</f>
        <v>-177247.23809516939</v>
      </c>
      <c r="R82">
        <f t="shared" ref="R82" si="387">R83+Q82</f>
        <v>-977240149.87964451</v>
      </c>
      <c r="S82">
        <f t="shared" ref="S82" si="388">R82/100000</f>
        <v>-9772.4014987964456</v>
      </c>
      <c r="T82">
        <f t="shared" ref="T82" si="389">S82/1000</f>
        <v>-9.7724014987964463</v>
      </c>
    </row>
    <row r="83" spans="1:20" x14ac:dyDescent="0.25">
      <c r="A83" s="5">
        <v>44510</v>
      </c>
      <c r="B83">
        <v>0.33019999999999999</v>
      </c>
      <c r="C83">
        <v>0.33450000000000002</v>
      </c>
      <c r="D83">
        <v>0.30099999999999999</v>
      </c>
      <c r="E83">
        <v>0.31240000000000001</v>
      </c>
      <c r="F83">
        <v>26184598</v>
      </c>
      <c r="G83">
        <v>0.31240000000000001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-0.31940298507462622</v>
      </c>
      <c r="Q83">
        <f t="shared" ref="Q83" si="391">F83*P83</f>
        <v>-8363438.7641790872</v>
      </c>
      <c r="R83">
        <f t="shared" ref="R83" si="392">R84+Q83</f>
        <v>-977062902.64154935</v>
      </c>
      <c r="S83">
        <f t="shared" ref="S83" si="393">R83/100000</f>
        <v>-9770.6290264154941</v>
      </c>
      <c r="T83">
        <f t="shared" ref="T83" si="394">S83/1000</f>
        <v>-9.7706290264154934</v>
      </c>
    </row>
    <row r="84" spans="1:20" x14ac:dyDescent="0.25">
      <c r="A84" s="5">
        <v>44509</v>
      </c>
      <c r="B84">
        <v>0.33760000000000001</v>
      </c>
      <c r="C84">
        <v>0.33760000000000001</v>
      </c>
      <c r="D84">
        <v>0.32919999999999999</v>
      </c>
      <c r="E84">
        <v>0.33019999999999999</v>
      </c>
      <c r="F84">
        <v>17096719</v>
      </c>
      <c r="G84">
        <v>0.33019999999999999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-0.7619047619047622</v>
      </c>
      <c r="Q84">
        <f t="shared" ref="Q84" si="396">F84*P84</f>
        <v>-13026071.619047623</v>
      </c>
      <c r="R84">
        <f t="shared" ref="R84" si="397">R85+Q84</f>
        <v>-968699463.87737024</v>
      </c>
      <c r="S84">
        <f t="shared" ref="S84" si="398">R84/100000</f>
        <v>-9686.9946387737018</v>
      </c>
      <c r="T84">
        <f t="shared" ref="T84" si="399">S84/1000</f>
        <v>-9.6869946387737009</v>
      </c>
    </row>
    <row r="85" spans="1:20" x14ac:dyDescent="0.25">
      <c r="A85" s="5">
        <v>44508</v>
      </c>
      <c r="B85">
        <v>0.34160000000000001</v>
      </c>
      <c r="C85">
        <v>0.34489999999999998</v>
      </c>
      <c r="D85">
        <v>0.3291</v>
      </c>
      <c r="E85">
        <v>0.33760000000000001</v>
      </c>
      <c r="F85">
        <v>22000351</v>
      </c>
      <c r="G85">
        <v>0.33760000000000001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7.5949367088609859E-2</v>
      </c>
      <c r="Q85">
        <f t="shared" ref="Q85" si="401">F85*P85</f>
        <v>1670912.7341772651</v>
      </c>
      <c r="R85">
        <f t="shared" ref="R85" si="402">R86+Q85</f>
        <v>-955673392.2583226</v>
      </c>
      <c r="S85">
        <f t="shared" ref="S85" si="403">R85/100000</f>
        <v>-9556.7339225832256</v>
      </c>
      <c r="T85">
        <f t="shared" ref="T85" si="404">S85/1000</f>
        <v>-9.5567339225832253</v>
      </c>
    </row>
    <row r="86" spans="1:20" x14ac:dyDescent="0.25">
      <c r="A86" s="5">
        <v>44507</v>
      </c>
      <c r="B86">
        <v>0.33550000000000002</v>
      </c>
      <c r="C86">
        <v>0.34239999999999998</v>
      </c>
      <c r="D86">
        <v>0.33019999999999999</v>
      </c>
      <c r="E86">
        <v>0.34160000000000001</v>
      </c>
      <c r="F86">
        <v>16251074</v>
      </c>
      <c r="G86">
        <v>0.34160000000000001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0.86885245901639863</v>
      </c>
      <c r="Q86">
        <f t="shared" ref="Q86" si="406">F86*P86</f>
        <v>14119785.606557461</v>
      </c>
      <c r="R86">
        <f t="shared" ref="R86" si="407">R87+Q86</f>
        <v>-957344304.99249983</v>
      </c>
      <c r="S86">
        <f t="shared" ref="S86" si="408">R86/100000</f>
        <v>-9573.4430499249975</v>
      </c>
      <c r="T86">
        <f t="shared" ref="T86" si="409">S86/1000</f>
        <v>-9.5734430499249967</v>
      </c>
    </row>
    <row r="87" spans="1:20" x14ac:dyDescent="0.25">
      <c r="A87" s="5">
        <v>44506</v>
      </c>
      <c r="B87">
        <v>0.3468</v>
      </c>
      <c r="C87">
        <v>0.36249999999999999</v>
      </c>
      <c r="D87">
        <v>0.3251</v>
      </c>
      <c r="E87">
        <v>0.33550000000000002</v>
      </c>
      <c r="F87">
        <v>26336284</v>
      </c>
      <c r="G87">
        <v>0.33550000000000002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-0.44385026737967787</v>
      </c>
      <c r="Q87">
        <f t="shared" ref="Q87" si="411">F87*P87</f>
        <v>-11689366.695187133</v>
      </c>
      <c r="R87">
        <f t="shared" ref="R87" si="412">R88+Q87</f>
        <v>-971464090.59905732</v>
      </c>
      <c r="S87">
        <f t="shared" ref="S87" si="413">R87/100000</f>
        <v>-9714.6409059905727</v>
      </c>
      <c r="T87">
        <f t="shared" ref="T87" si="414">S87/1000</f>
        <v>-9.7146409059905725</v>
      </c>
    </row>
    <row r="88" spans="1:20" x14ac:dyDescent="0.25">
      <c r="A88" s="5">
        <v>44505</v>
      </c>
      <c r="B88">
        <v>0.32500000000000001</v>
      </c>
      <c r="C88">
        <v>0.3795</v>
      </c>
      <c r="D88">
        <v>0.3236</v>
      </c>
      <c r="E88">
        <v>0.34660000000000002</v>
      </c>
      <c r="F88">
        <v>69872116</v>
      </c>
      <c r="G88">
        <v>0.34660000000000002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-0.17710196779964157</v>
      </c>
      <c r="Q88">
        <f t="shared" ref="Q88" si="416">F88*P88</f>
        <v>-12374489.237924822</v>
      </c>
      <c r="R88">
        <f t="shared" ref="R88" si="417">R89+Q88</f>
        <v>-959774723.90387022</v>
      </c>
      <c r="S88">
        <f t="shared" ref="S88" si="418">R88/100000</f>
        <v>-9597.7472390387029</v>
      </c>
      <c r="T88">
        <f t="shared" ref="T88" si="419">S88/1000</f>
        <v>-9.5977472390387035</v>
      </c>
    </row>
    <row r="89" spans="1:20" x14ac:dyDescent="0.25">
      <c r="A89" s="5">
        <v>44504</v>
      </c>
      <c r="B89">
        <v>0.32879999999999998</v>
      </c>
      <c r="C89">
        <v>0.33700000000000002</v>
      </c>
      <c r="D89">
        <v>0.31879999999999997</v>
      </c>
      <c r="E89">
        <v>0.3251</v>
      </c>
      <c r="F89">
        <v>23320397</v>
      </c>
      <c r="G89">
        <v>0.3251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-0.30769230769230654</v>
      </c>
      <c r="Q89">
        <f t="shared" ref="Q89" si="421">F89*P89</f>
        <v>-7175506.769230742</v>
      </c>
      <c r="R89">
        <f t="shared" ref="R89" si="422">R90+Q89</f>
        <v>-947400234.66594541</v>
      </c>
      <c r="S89">
        <f t="shared" ref="S89" si="423">R89/100000</f>
        <v>-9474.0023466594539</v>
      </c>
      <c r="T89">
        <f t="shared" ref="T89" si="424">S89/1000</f>
        <v>-9.4740023466594536</v>
      </c>
    </row>
    <row r="90" spans="1:20" x14ac:dyDescent="0.25">
      <c r="A90" s="5">
        <v>44503</v>
      </c>
      <c r="B90">
        <v>0.34129999999999999</v>
      </c>
      <c r="C90">
        <v>0.34129999999999999</v>
      </c>
      <c r="D90">
        <v>0.31769999999999998</v>
      </c>
      <c r="E90">
        <v>0.32879999999999998</v>
      </c>
      <c r="F90">
        <v>22484025</v>
      </c>
      <c r="G90">
        <v>0.32879999999999998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-5.9322033898305586E-2</v>
      </c>
      <c r="Q90">
        <f t="shared" ref="Q90" si="426">F90*P90</f>
        <v>-1333798.0932203503</v>
      </c>
      <c r="R90">
        <f t="shared" ref="R90" si="427">R91+Q90</f>
        <v>-940224727.89671469</v>
      </c>
      <c r="S90">
        <f t="shared" ref="S90" si="428">R90/100000</f>
        <v>-9402.2472789671465</v>
      </c>
      <c r="T90">
        <f t="shared" ref="T90" si="429">S90/1000</f>
        <v>-9.4022472789671472</v>
      </c>
    </row>
    <row r="91" spans="1:20" x14ac:dyDescent="0.25">
      <c r="A91" s="5">
        <v>44502</v>
      </c>
      <c r="B91">
        <v>0.32329999999999998</v>
      </c>
      <c r="C91">
        <v>0.34599999999999997</v>
      </c>
      <c r="D91">
        <v>0.32019999999999998</v>
      </c>
      <c r="E91">
        <v>0.34129999999999999</v>
      </c>
      <c r="F91">
        <v>31447905</v>
      </c>
      <c r="G91">
        <v>0.34129999999999999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0.63565891472868341</v>
      </c>
      <c r="Q91">
        <f t="shared" ref="Q91" si="431">F91*P91</f>
        <v>19990141.162790738</v>
      </c>
      <c r="R91">
        <f t="shared" ref="R91" si="432">R92+Q91</f>
        <v>-938890929.80349433</v>
      </c>
      <c r="S91">
        <f t="shared" ref="S91" si="433">R91/100000</f>
        <v>-9388.9092980349433</v>
      </c>
      <c r="T91">
        <f t="shared" ref="T91" si="434">S91/1000</f>
        <v>-9.3889092980349425</v>
      </c>
    </row>
    <row r="92" spans="1:20" x14ac:dyDescent="0.25">
      <c r="A92" s="5">
        <v>44501</v>
      </c>
      <c r="B92">
        <v>0.31540000000000001</v>
      </c>
      <c r="C92">
        <v>0.33250000000000002</v>
      </c>
      <c r="D92">
        <v>0.30649999999999999</v>
      </c>
      <c r="E92">
        <v>0.32329999999999998</v>
      </c>
      <c r="F92">
        <v>32347387</v>
      </c>
      <c r="G92">
        <v>0.32329999999999998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0.29230769230768977</v>
      </c>
      <c r="Q92">
        <f t="shared" ref="Q92" si="436">F92*P92</f>
        <v>9455390.0461537633</v>
      </c>
      <c r="R92">
        <f t="shared" ref="R92" si="437">R93+Q92</f>
        <v>-958881070.96628511</v>
      </c>
      <c r="S92">
        <f t="shared" ref="S92" si="438">R92/100000</f>
        <v>-9588.8107096628519</v>
      </c>
      <c r="T92">
        <f t="shared" ref="T92" si="439">S92/1000</f>
        <v>-9.5888107096628517</v>
      </c>
    </row>
    <row r="93" spans="1:20" x14ac:dyDescent="0.25">
      <c r="A93" s="5">
        <v>44500</v>
      </c>
      <c r="B93">
        <v>0.31019999999999998</v>
      </c>
      <c r="C93">
        <v>0.32100000000000001</v>
      </c>
      <c r="D93">
        <v>0.29830000000000001</v>
      </c>
      <c r="E93">
        <v>0.31540000000000001</v>
      </c>
      <c r="F93">
        <v>23815076</v>
      </c>
      <c r="G93">
        <v>0.31540000000000001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0.506607929515419</v>
      </c>
      <c r="Q93">
        <f t="shared" ref="Q93" si="441">F93*P93</f>
        <v>12064906.343612347</v>
      </c>
      <c r="R93">
        <f t="shared" ref="R93" si="442">R94+Q93</f>
        <v>-968336461.01243889</v>
      </c>
      <c r="S93">
        <f t="shared" ref="S93" si="443">R93/100000</f>
        <v>-9683.3646101243885</v>
      </c>
      <c r="T93">
        <f t="shared" ref="T93" si="444">S93/1000</f>
        <v>-9.6833646101243893</v>
      </c>
    </row>
    <row r="94" spans="1:20" x14ac:dyDescent="0.25">
      <c r="A94" s="5">
        <v>44499</v>
      </c>
      <c r="B94">
        <v>0.31669999999999998</v>
      </c>
      <c r="C94">
        <v>0.33500000000000002</v>
      </c>
      <c r="D94">
        <v>0.29880000000000001</v>
      </c>
      <c r="E94">
        <v>0.30980000000000002</v>
      </c>
      <c r="F94">
        <v>21819785</v>
      </c>
      <c r="G94">
        <v>0.30980000000000002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-0.39226519337016535</v>
      </c>
      <c r="Q94">
        <f t="shared" ref="Q94" si="446">F94*P94</f>
        <v>-8559142.1823204327</v>
      </c>
      <c r="R94">
        <f t="shared" ref="R94" si="447">R95+Q94</f>
        <v>-980401367.35605121</v>
      </c>
      <c r="S94">
        <f t="shared" ref="S94" si="448">R94/100000</f>
        <v>-9804.013673560512</v>
      </c>
      <c r="T94">
        <f t="shared" ref="T94" si="449">S94/1000</f>
        <v>-9.8040136735605117</v>
      </c>
    </row>
    <row r="95" spans="1:20" x14ac:dyDescent="0.25">
      <c r="A95" s="5">
        <v>44498</v>
      </c>
      <c r="B95">
        <v>0.3034</v>
      </c>
      <c r="C95">
        <v>0.33500000000000002</v>
      </c>
      <c r="D95">
        <v>0.30199999999999999</v>
      </c>
      <c r="E95">
        <v>0.31659999999999999</v>
      </c>
      <c r="F95">
        <v>26795148</v>
      </c>
      <c r="G95">
        <v>0.31659999999999999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-0.11515151515151582</v>
      </c>
      <c r="Q95">
        <f t="shared" ref="Q95" si="451">F95*P95</f>
        <v>-3085501.8909091088</v>
      </c>
      <c r="R95">
        <f t="shared" ref="R95" si="452">R96+Q95</f>
        <v>-971842225.17373073</v>
      </c>
      <c r="S95">
        <f t="shared" ref="S95" si="453">R95/100000</f>
        <v>-9718.4222517373073</v>
      </c>
      <c r="T95">
        <f t="shared" ref="T95" si="454">S95/1000</f>
        <v>-9.7184222517373069</v>
      </c>
    </row>
    <row r="96" spans="1:20" x14ac:dyDescent="0.25">
      <c r="A96" s="5">
        <v>44497</v>
      </c>
      <c r="B96">
        <v>0.29649999999999999</v>
      </c>
      <c r="C96">
        <v>0.31709999999999999</v>
      </c>
      <c r="D96">
        <v>0.28970000000000001</v>
      </c>
      <c r="E96">
        <v>0.30299999999999999</v>
      </c>
      <c r="F96">
        <v>21382003</v>
      </c>
      <c r="G96">
        <v>0.30299999999999999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-2.9197080291971659E-2</v>
      </c>
      <c r="Q96">
        <f t="shared" ref="Q96" si="456">F96*P96</f>
        <v>-624292.05839417886</v>
      </c>
      <c r="R96">
        <f t="shared" ref="R96" si="457">R97+Q96</f>
        <v>-968756723.28282166</v>
      </c>
      <c r="S96">
        <f t="shared" ref="S96" si="458">R96/100000</f>
        <v>-9687.5672328282162</v>
      </c>
      <c r="T96">
        <f t="shared" ref="T96" si="459">S96/1000</f>
        <v>-9.6875672328282167</v>
      </c>
    </row>
    <row r="97" spans="1:20" x14ac:dyDescent="0.25">
      <c r="A97" s="5">
        <v>44496</v>
      </c>
      <c r="B97">
        <v>0.33579999999999999</v>
      </c>
      <c r="C97">
        <v>0.3382</v>
      </c>
      <c r="D97">
        <v>0.29630000000000001</v>
      </c>
      <c r="E97">
        <v>0.29680000000000001</v>
      </c>
      <c r="F97">
        <v>33349344</v>
      </c>
      <c r="G97">
        <v>0.29680000000000001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-0.9761336515513126</v>
      </c>
      <c r="Q97">
        <f t="shared" ref="Q97" si="461">F97*P97</f>
        <v>-32553416.935560856</v>
      </c>
      <c r="R97">
        <f t="shared" ref="R97" si="462">R98+Q97</f>
        <v>-968132431.22442746</v>
      </c>
      <c r="S97">
        <f t="shared" ref="S97" si="463">R97/100000</f>
        <v>-9681.3243122442746</v>
      </c>
      <c r="T97">
        <f t="shared" ref="T97" si="464">S97/1000</f>
        <v>-9.6813243122442749</v>
      </c>
    </row>
    <row r="98" spans="1:20" x14ac:dyDescent="0.25">
      <c r="A98" s="5">
        <v>44495</v>
      </c>
      <c r="B98">
        <v>0.33400000000000002</v>
      </c>
      <c r="C98">
        <v>0.35</v>
      </c>
      <c r="D98">
        <v>0.3306</v>
      </c>
      <c r="E98">
        <v>0.33579999999999999</v>
      </c>
      <c r="F98">
        <v>28232270</v>
      </c>
      <c r="G98">
        <v>0.33579999999999999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-0.46391752577319695</v>
      </c>
      <c r="Q98">
        <f t="shared" ref="Q98" si="466">F98*P98</f>
        <v>-13097444.845360855</v>
      </c>
      <c r="R98">
        <f t="shared" ref="R98" si="467">R99+Q98</f>
        <v>-935579014.28886664</v>
      </c>
      <c r="S98">
        <f t="shared" ref="S98" si="468">R98/100000</f>
        <v>-9355.7901428886671</v>
      </c>
      <c r="T98">
        <f t="shared" ref="T98" si="469">S98/1000</f>
        <v>-9.3557901428886669</v>
      </c>
    </row>
    <row r="99" spans="1:20" x14ac:dyDescent="0.25">
      <c r="A99" s="5">
        <v>44494</v>
      </c>
      <c r="B99">
        <v>0.3286</v>
      </c>
      <c r="C99">
        <v>0.34100000000000003</v>
      </c>
      <c r="D99">
        <v>0.3261</v>
      </c>
      <c r="E99">
        <v>0.33389999999999997</v>
      </c>
      <c r="F99">
        <v>13333853</v>
      </c>
      <c r="G99">
        <v>0.33389999999999997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4.6979865771806829E-2</v>
      </c>
      <c r="Q99">
        <f t="shared" ref="Q99" si="471">F99*P99</f>
        <v>626422.62416100386</v>
      </c>
      <c r="R99">
        <f t="shared" ref="R99" si="472">R100+Q99</f>
        <v>-922481569.44350576</v>
      </c>
      <c r="S99">
        <f t="shared" ref="S99" si="473">R99/100000</f>
        <v>-9224.8156944350576</v>
      </c>
      <c r="T99">
        <f t="shared" ref="T99" si="474">S99/1000</f>
        <v>-9.2248156944350583</v>
      </c>
    </row>
    <row r="100" spans="1:20" x14ac:dyDescent="0.25">
      <c r="A100" s="5">
        <v>44493</v>
      </c>
      <c r="B100">
        <v>0.33910000000000001</v>
      </c>
      <c r="C100">
        <v>0.34870000000000001</v>
      </c>
      <c r="D100">
        <v>0.3241</v>
      </c>
      <c r="E100">
        <v>0.3286</v>
      </c>
      <c r="F100">
        <v>13674982</v>
      </c>
      <c r="G100">
        <v>0.3286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-0.63414634146341442</v>
      </c>
      <c r="Q100">
        <f t="shared" ref="Q100" si="476">F100*P100</f>
        <v>-8671939.8048780467</v>
      </c>
      <c r="R100">
        <f t="shared" ref="R100" si="477">R101+Q100</f>
        <v>-923107992.06766677</v>
      </c>
      <c r="S100">
        <f t="shared" ref="S100" si="478">R100/100000</f>
        <v>-9231.0799206766678</v>
      </c>
      <c r="T100">
        <f t="shared" ref="T100" si="479">S100/1000</f>
        <v>-9.2310799206766685</v>
      </c>
    </row>
    <row r="101" spans="1:20" x14ac:dyDescent="0.25">
      <c r="A101" s="5">
        <v>44492</v>
      </c>
      <c r="B101">
        <v>0.3407</v>
      </c>
      <c r="C101">
        <v>0.34410000000000002</v>
      </c>
      <c r="D101">
        <v>0.33360000000000001</v>
      </c>
      <c r="E101">
        <v>0.33979999999999999</v>
      </c>
      <c r="F101">
        <v>10515788</v>
      </c>
      <c r="G101">
        <v>0.33979999999999999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0.18095238095237673</v>
      </c>
      <c r="Q101">
        <f t="shared" ref="Q101" si="481">F101*P101</f>
        <v>1902856.8761904319</v>
      </c>
      <c r="R101">
        <f t="shared" ref="R101" si="482">R102+Q101</f>
        <v>-914436052.26278877</v>
      </c>
      <c r="S101">
        <f t="shared" ref="S101" si="483">R101/100000</f>
        <v>-9144.3605226278869</v>
      </c>
      <c r="T101">
        <f t="shared" ref="T101" si="484">S101/1000</f>
        <v>-9.1443605226278866</v>
      </c>
    </row>
    <row r="102" spans="1:20" x14ac:dyDescent="0.25">
      <c r="A102" s="5">
        <v>44491</v>
      </c>
      <c r="B102">
        <v>0.34320000000000001</v>
      </c>
      <c r="C102">
        <v>0.35189999999999999</v>
      </c>
      <c r="D102">
        <v>0.33100000000000002</v>
      </c>
      <c r="E102">
        <v>0.34079999999999999</v>
      </c>
      <c r="F102">
        <v>17922064</v>
      </c>
      <c r="G102">
        <v>0.34079999999999999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-6.2200956937800235E-2</v>
      </c>
      <c r="Q102">
        <f t="shared" ref="Q102" si="486">F102*P102</f>
        <v>-1114769.5311004999</v>
      </c>
      <c r="R102">
        <f t="shared" ref="R102" si="487">R103+Q102</f>
        <v>-916338909.1389792</v>
      </c>
      <c r="S102">
        <f t="shared" ref="S102" si="488">R102/100000</f>
        <v>-9163.3890913897922</v>
      </c>
      <c r="T102">
        <f t="shared" ref="T102" si="489">S102/1000</f>
        <v>-9.1633890913897922</v>
      </c>
    </row>
    <row r="103" spans="1:20" x14ac:dyDescent="0.25">
      <c r="A103" s="5">
        <v>44490</v>
      </c>
      <c r="B103">
        <v>0.34279999999999999</v>
      </c>
      <c r="C103">
        <v>0.35980000000000001</v>
      </c>
      <c r="D103">
        <v>0.33150000000000002</v>
      </c>
      <c r="E103">
        <v>0.34320000000000001</v>
      </c>
      <c r="F103">
        <v>32489845</v>
      </c>
      <c r="G103">
        <v>0.34320000000000001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-0.17314487632508893</v>
      </c>
      <c r="Q103">
        <f t="shared" ref="Q103" si="491">F103*P103</f>
        <v>-5625450.1943463087</v>
      </c>
      <c r="R103">
        <f t="shared" ref="R103" si="492">R104+Q103</f>
        <v>-915224139.60787868</v>
      </c>
      <c r="S103">
        <f t="shared" ref="S103" si="493">R103/100000</f>
        <v>-9152.2413960787871</v>
      </c>
      <c r="T103">
        <f t="shared" ref="T103" si="494">S103/1000</f>
        <v>-9.1522413960787876</v>
      </c>
    </row>
    <row r="104" spans="1:20" x14ac:dyDescent="0.25">
      <c r="A104" s="5">
        <v>44489</v>
      </c>
      <c r="B104">
        <v>0.33129999999999998</v>
      </c>
      <c r="C104">
        <v>0.35809999999999997</v>
      </c>
      <c r="D104">
        <v>0.3281</v>
      </c>
      <c r="E104">
        <v>0.34329999999999999</v>
      </c>
      <c r="F104">
        <v>23532554</v>
      </c>
      <c r="G104">
        <v>0.34329999999999999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1.3333333333333728E-2</v>
      </c>
      <c r="Q104">
        <f t="shared" ref="Q104" si="496">F104*P104</f>
        <v>313767.38666667597</v>
      </c>
      <c r="R104">
        <f t="shared" ref="R104" si="497">R105+Q104</f>
        <v>-909598689.41353238</v>
      </c>
      <c r="S104">
        <f t="shared" ref="S104" si="498">R104/100000</f>
        <v>-9095.9868941353234</v>
      </c>
      <c r="T104">
        <f t="shared" ref="T104" si="499">S104/1000</f>
        <v>-9.0959868941353239</v>
      </c>
    </row>
    <row r="105" spans="1:20" x14ac:dyDescent="0.25">
      <c r="A105" s="5">
        <v>44488</v>
      </c>
      <c r="B105">
        <v>0.33660000000000001</v>
      </c>
      <c r="C105">
        <v>0.34549999999999997</v>
      </c>
      <c r="D105">
        <v>0.32800000000000001</v>
      </c>
      <c r="E105">
        <v>0.33129999999999998</v>
      </c>
      <c r="F105">
        <v>16355704</v>
      </c>
      <c r="G105">
        <v>0.33129999999999998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-0.62285714285714544</v>
      </c>
      <c r="Q105">
        <f t="shared" ref="Q105" si="501">F105*P105</f>
        <v>-10187267.062857185</v>
      </c>
      <c r="R105">
        <f t="shared" ref="R105" si="502">R106+Q105</f>
        <v>-909912456.80019903</v>
      </c>
      <c r="S105">
        <f t="shared" ref="S105" si="503">R105/100000</f>
        <v>-9099.1245680019911</v>
      </c>
      <c r="T105">
        <f t="shared" ref="T105" si="504">S105/1000</f>
        <v>-9.0991245680019919</v>
      </c>
    </row>
    <row r="106" spans="1:20" x14ac:dyDescent="0.25">
      <c r="A106" s="5">
        <v>44487</v>
      </c>
      <c r="B106">
        <v>0.33760000000000001</v>
      </c>
      <c r="C106">
        <v>0.34989999999999999</v>
      </c>
      <c r="D106">
        <v>0.32619999999999999</v>
      </c>
      <c r="E106">
        <v>0.33679999999999999</v>
      </c>
      <c r="F106">
        <v>17008607</v>
      </c>
      <c r="G106">
        <v>0.33679999999999999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-0.10548523206751065</v>
      </c>
      <c r="Q106">
        <f t="shared" ref="Q106" si="506">F106*P106</f>
        <v>-1794156.856540086</v>
      </c>
      <c r="R106">
        <f t="shared" ref="R106" si="507">R107+Q106</f>
        <v>-899725189.73734188</v>
      </c>
      <c r="S106">
        <f t="shared" ref="S106" si="508">R106/100000</f>
        <v>-8997.2518973734186</v>
      </c>
      <c r="T106">
        <f t="shared" ref="T106" si="509">S106/1000</f>
        <v>-8.9972518973734186</v>
      </c>
    </row>
    <row r="107" spans="1:20" x14ac:dyDescent="0.25">
      <c r="A107" s="5">
        <v>44486</v>
      </c>
      <c r="B107">
        <v>0.35339999999999999</v>
      </c>
      <c r="C107">
        <v>0.35780000000000001</v>
      </c>
      <c r="D107">
        <v>0.32879999999999998</v>
      </c>
      <c r="E107">
        <v>0.33750000000000002</v>
      </c>
      <c r="F107">
        <v>27476663</v>
      </c>
      <c r="G107">
        <v>0.33750000000000002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-0.39999999999999769</v>
      </c>
      <c r="Q107">
        <f t="shared" ref="Q107" si="511">F107*P107</f>
        <v>-10990665.199999936</v>
      </c>
      <c r="R107">
        <f t="shared" ref="R107" si="512">R108+Q107</f>
        <v>-897931032.8808018</v>
      </c>
      <c r="S107">
        <f t="shared" ref="S107" si="513">R107/100000</f>
        <v>-8979.3103288080183</v>
      </c>
      <c r="T107">
        <f t="shared" ref="T107" si="514">S107/1000</f>
        <v>-8.9793103288080189</v>
      </c>
    </row>
    <row r="108" spans="1:20" x14ac:dyDescent="0.25">
      <c r="A108" s="5">
        <v>44485</v>
      </c>
      <c r="B108">
        <v>0.37359999999999999</v>
      </c>
      <c r="C108">
        <v>0.37359999999999999</v>
      </c>
      <c r="D108">
        <v>0.34089999999999998</v>
      </c>
      <c r="E108">
        <v>0.35320000000000001</v>
      </c>
      <c r="F108">
        <v>56665698</v>
      </c>
      <c r="G108">
        <v>0.35320000000000001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-0.24770642201834675</v>
      </c>
      <c r="Q108">
        <f t="shared" ref="Q108" si="516">F108*P108</f>
        <v>-14036457.302752187</v>
      </c>
      <c r="R108">
        <f t="shared" ref="R108" si="517">R109+Q108</f>
        <v>-886940367.68080187</v>
      </c>
      <c r="S108">
        <f t="shared" ref="S108" si="518">R108/100000</f>
        <v>-8869.4036768080186</v>
      </c>
      <c r="T108">
        <f t="shared" ref="T108" si="519">S108/1000</f>
        <v>-8.8694036768080178</v>
      </c>
    </row>
    <row r="109" spans="1:20" x14ac:dyDescent="0.25">
      <c r="A109" s="5">
        <v>44484</v>
      </c>
      <c r="B109">
        <v>0.33600000000000002</v>
      </c>
      <c r="C109">
        <v>0.42380000000000001</v>
      </c>
      <c r="D109">
        <v>0.31380000000000002</v>
      </c>
      <c r="E109">
        <v>0.37319999999999998</v>
      </c>
      <c r="F109">
        <v>158765923</v>
      </c>
      <c r="G109">
        <v>0.37319999999999998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7.999999999999928E-2</v>
      </c>
      <c r="Q109">
        <f t="shared" ref="Q109" si="521">F109*P109</f>
        <v>12701273.839999886</v>
      </c>
      <c r="R109">
        <f t="shared" ref="R109" si="522">R110+Q109</f>
        <v>-872903910.37804973</v>
      </c>
      <c r="S109">
        <f t="shared" ref="S109" si="523">R109/100000</f>
        <v>-8729.0391037804966</v>
      </c>
      <c r="T109">
        <f t="shared" ref="T109" si="524">S109/1000</f>
        <v>-8.7290391037804973</v>
      </c>
    </row>
    <row r="110" spans="1:20" x14ac:dyDescent="0.25">
      <c r="A110" s="5">
        <v>44483</v>
      </c>
      <c r="B110">
        <v>0.31669999999999998</v>
      </c>
      <c r="C110">
        <v>0.34499999999999997</v>
      </c>
      <c r="D110">
        <v>0.31369999999999998</v>
      </c>
      <c r="E110">
        <v>0.33660000000000001</v>
      </c>
      <c r="F110">
        <v>33486897</v>
      </c>
      <c r="G110">
        <v>0.33660000000000001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0.46325878594249426</v>
      </c>
      <c r="Q110">
        <f t="shared" ref="Q110" si="526">F110*P110</f>
        <v>15513099.249201354</v>
      </c>
      <c r="R110">
        <f t="shared" ref="R110" si="527">R111+Q110</f>
        <v>-885605184.21804965</v>
      </c>
      <c r="S110">
        <f t="shared" ref="S110" si="528">R110/100000</f>
        <v>-8856.0518421804973</v>
      </c>
      <c r="T110">
        <f t="shared" ref="T110" si="529">S110/1000</f>
        <v>-8.8560518421804968</v>
      </c>
    </row>
    <row r="111" spans="1:20" x14ac:dyDescent="0.25">
      <c r="A111" s="5">
        <v>44482</v>
      </c>
      <c r="B111">
        <v>0.32429999999999998</v>
      </c>
      <c r="C111">
        <v>0.33400000000000002</v>
      </c>
      <c r="D111">
        <v>0.307</v>
      </c>
      <c r="E111">
        <v>0.31619999999999998</v>
      </c>
      <c r="F111">
        <v>26221460</v>
      </c>
      <c r="G111">
        <v>0.31619999999999998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-0.31851851851852014</v>
      </c>
      <c r="Q111">
        <f t="shared" ref="Q111" si="531">F111*P111</f>
        <v>-8352020.5925926352</v>
      </c>
      <c r="R111">
        <f t="shared" ref="R111" si="532">R112+Q111</f>
        <v>-901118283.46725094</v>
      </c>
      <c r="S111">
        <f t="shared" ref="S111" si="533">R111/100000</f>
        <v>-9011.1828346725088</v>
      </c>
      <c r="T111">
        <f t="shared" ref="T111" si="534">S111/1000</f>
        <v>-9.0111828346725087</v>
      </c>
    </row>
    <row r="112" spans="1:20" x14ac:dyDescent="0.25">
      <c r="A112" s="5">
        <v>44481</v>
      </c>
      <c r="B112">
        <v>0.34160000000000001</v>
      </c>
      <c r="C112">
        <v>0.35</v>
      </c>
      <c r="D112">
        <v>0.30049999999999999</v>
      </c>
      <c r="E112">
        <v>0.32450000000000001</v>
      </c>
      <c r="F112">
        <v>29781261</v>
      </c>
      <c r="G112">
        <v>0.32450000000000001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-3.0303030303029214E-2</v>
      </c>
      <c r="Q112">
        <f t="shared" ref="Q112" si="536">F112*P112</f>
        <v>-902462.45454542211</v>
      </c>
      <c r="R112">
        <f t="shared" ref="R112" si="537">R113+Q112</f>
        <v>-892766262.87465835</v>
      </c>
      <c r="S112">
        <f t="shared" ref="S112" si="538">R112/100000</f>
        <v>-8927.6626287465842</v>
      </c>
      <c r="T112">
        <f t="shared" ref="T112" si="539">S112/1000</f>
        <v>-8.9276626287465835</v>
      </c>
    </row>
    <row r="113" spans="1:20" x14ac:dyDescent="0.25">
      <c r="A113" s="5">
        <v>44480</v>
      </c>
      <c r="B113">
        <v>0.35539999999999999</v>
      </c>
      <c r="C113">
        <v>0.36609999999999998</v>
      </c>
      <c r="D113">
        <v>0.33529999999999999</v>
      </c>
      <c r="E113">
        <v>0.34200000000000003</v>
      </c>
      <c r="F113">
        <v>40908448</v>
      </c>
      <c r="G113">
        <v>0.34200000000000003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-0.56493506493506229</v>
      </c>
      <c r="Q113">
        <f t="shared" ref="Q113" si="541">F113*P113</f>
        <v>-23110616.727272619</v>
      </c>
      <c r="R113">
        <f t="shared" ref="R113" si="542">R114+Q113</f>
        <v>-891863800.42011297</v>
      </c>
      <c r="S113">
        <f t="shared" ref="S113" si="543">R113/100000</f>
        <v>-8918.6380042011297</v>
      </c>
      <c r="T113">
        <f t="shared" ref="T113" si="544">S113/1000</f>
        <v>-8.9186380042011297</v>
      </c>
    </row>
    <row r="114" spans="1:20" x14ac:dyDescent="0.25">
      <c r="A114" s="5">
        <v>44479</v>
      </c>
      <c r="B114">
        <v>0.34339999999999998</v>
      </c>
      <c r="C114">
        <v>0.39500000000000002</v>
      </c>
      <c r="D114">
        <v>0.32829999999999998</v>
      </c>
      <c r="E114">
        <v>0.3548</v>
      </c>
      <c r="F114">
        <v>135276499</v>
      </c>
      <c r="G114">
        <v>0.3548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-0.20539730134932507</v>
      </c>
      <c r="Q114">
        <f t="shared" ref="Q114" si="546">F114*P114</f>
        <v>-27785427.830584671</v>
      </c>
      <c r="R114">
        <f t="shared" ref="R114" si="547">R115+Q114</f>
        <v>-868753183.69284034</v>
      </c>
      <c r="S114">
        <f t="shared" ref="S114" si="548">R114/100000</f>
        <v>-8687.5318369284032</v>
      </c>
      <c r="T114">
        <f t="shared" ref="T114" si="549">S114/1000</f>
        <v>-8.6875318369284038</v>
      </c>
    </row>
    <row r="115" spans="1:20" x14ac:dyDescent="0.25">
      <c r="A115" s="5">
        <v>44478</v>
      </c>
      <c r="B115">
        <v>0.3332</v>
      </c>
      <c r="C115">
        <v>0.3579</v>
      </c>
      <c r="D115">
        <v>0.3301</v>
      </c>
      <c r="E115">
        <v>0.34300000000000003</v>
      </c>
      <c r="F115">
        <v>34006000</v>
      </c>
      <c r="G115">
        <v>0.34300000000000003</v>
      </c>
      <c r="L115" t="s">
        <v>7</v>
      </c>
      <c r="M115" t="s">
        <v>8</v>
      </c>
      <c r="N115" t="s">
        <v>7</v>
      </c>
      <c r="P115">
        <f t="shared" ref="P115" si="550">IF(C115=D115,0,((E115-D115)-(C115-E115))/(C115-D115))</f>
        <v>-7.1942446043163563E-2</v>
      </c>
      <c r="Q115">
        <f t="shared" ref="Q115" si="551">F115*P115</f>
        <v>-2446474.8201438203</v>
      </c>
      <c r="R115">
        <f t="shared" ref="R115" si="552">R116+Q115</f>
        <v>-840967755.86225569</v>
      </c>
      <c r="S115">
        <f t="shared" ref="S115" si="553">R115/100000</f>
        <v>-8409.6775586225576</v>
      </c>
      <c r="T115">
        <f t="shared" ref="T115" si="554">S115/1000</f>
        <v>-8.4096775586225583</v>
      </c>
    </row>
    <row r="116" spans="1:20" x14ac:dyDescent="0.25">
      <c r="A116" s="5">
        <v>44477</v>
      </c>
      <c r="B116">
        <v>0.32150000000000001</v>
      </c>
      <c r="C116">
        <v>0.37809999999999999</v>
      </c>
      <c r="D116">
        <v>0.32</v>
      </c>
      <c r="E116">
        <v>0.33300000000000002</v>
      </c>
      <c r="F116">
        <v>72408433</v>
      </c>
      <c r="G116">
        <v>0.33300000000000002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-0.55249569707400981</v>
      </c>
      <c r="Q116">
        <f t="shared" ref="Q116" si="556">F116*P116</f>
        <v>-40005347.664371736</v>
      </c>
      <c r="R116">
        <f t="shared" ref="R116" si="557">R117+Q116</f>
        <v>-838521281.04211187</v>
      </c>
      <c r="S116">
        <f t="shared" ref="S116" si="558">R116/100000</f>
        <v>-8385.2128104211188</v>
      </c>
      <c r="T116">
        <f t="shared" ref="T116" si="559">S116/1000</f>
        <v>-8.3852128104211197</v>
      </c>
    </row>
    <row r="117" spans="1:20" x14ac:dyDescent="0.25">
      <c r="A117" s="5">
        <v>44476</v>
      </c>
      <c r="B117">
        <v>0.32550000000000001</v>
      </c>
      <c r="C117">
        <v>0.34</v>
      </c>
      <c r="D117">
        <v>0.31469999999999998</v>
      </c>
      <c r="E117">
        <v>0.32129999999999997</v>
      </c>
      <c r="F117">
        <v>33737448</v>
      </c>
      <c r="G117">
        <v>0.32129999999999997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-0.47826086956521874</v>
      </c>
      <c r="Q117">
        <f t="shared" ref="Q117" si="561">F117*P117</f>
        <v>-16135301.217391349</v>
      </c>
      <c r="R117">
        <f t="shared" ref="R117" si="562">R118+Q117</f>
        <v>-798515933.37774014</v>
      </c>
      <c r="S117">
        <f t="shared" ref="S117" si="563">R117/100000</f>
        <v>-7985.1593337774011</v>
      </c>
      <c r="T117">
        <f t="shared" ref="T117" si="564">S117/1000</f>
        <v>-7.9851593337774007</v>
      </c>
    </row>
    <row r="118" spans="1:20" x14ac:dyDescent="0.25">
      <c r="A118" s="5">
        <v>44475</v>
      </c>
      <c r="B118">
        <v>0.3367</v>
      </c>
      <c r="C118">
        <v>0.34689999999999999</v>
      </c>
      <c r="D118">
        <v>0.31190000000000001</v>
      </c>
      <c r="E118">
        <v>0.32569999999999999</v>
      </c>
      <c r="F118">
        <v>32200655</v>
      </c>
      <c r="G118">
        <v>0.32569999999999999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-0.21142857142857208</v>
      </c>
      <c r="Q118">
        <f t="shared" ref="Q118" si="566">F118*P118</f>
        <v>-6808138.4857143061</v>
      </c>
      <c r="R118">
        <f t="shared" ref="R118" si="567">R119+Q118</f>
        <v>-782380632.16034877</v>
      </c>
      <c r="S118">
        <f t="shared" ref="S118" si="568">R118/100000</f>
        <v>-7823.806321603488</v>
      </c>
      <c r="T118">
        <f t="shared" ref="T118" si="569">S118/1000</f>
        <v>-7.8238063216034881</v>
      </c>
    </row>
    <row r="119" spans="1:20" x14ac:dyDescent="0.25">
      <c r="A119" s="5">
        <v>44474</v>
      </c>
      <c r="B119">
        <v>0.34660000000000002</v>
      </c>
      <c r="C119">
        <v>0.35920000000000002</v>
      </c>
      <c r="D119">
        <v>0.32790000000000002</v>
      </c>
      <c r="E119">
        <v>0.33710000000000001</v>
      </c>
      <c r="F119">
        <v>35800816</v>
      </c>
      <c r="G119">
        <v>0.33710000000000001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-0.41214057507987301</v>
      </c>
      <c r="Q119">
        <f t="shared" ref="Q119" si="571">F119*P119</f>
        <v>-14754968.894568719</v>
      </c>
      <c r="R119">
        <f t="shared" ref="R119" si="572">R120+Q119</f>
        <v>-775572493.67463446</v>
      </c>
      <c r="S119">
        <f t="shared" ref="S119" si="573">R119/100000</f>
        <v>-7755.7249367463446</v>
      </c>
      <c r="T119">
        <f t="shared" ref="T119" si="574">S119/1000</f>
        <v>-7.7557249367463443</v>
      </c>
    </row>
    <row r="120" spans="1:20" x14ac:dyDescent="0.25">
      <c r="A120" s="5">
        <v>44473</v>
      </c>
      <c r="B120">
        <v>0.34449999999999997</v>
      </c>
      <c r="C120">
        <v>0.3679</v>
      </c>
      <c r="D120">
        <v>0.32619999999999999</v>
      </c>
      <c r="E120">
        <v>0.34370000000000001</v>
      </c>
      <c r="F120">
        <v>53995923</v>
      </c>
      <c r="G120">
        <v>0.34370000000000001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-0.16067146282973577</v>
      </c>
      <c r="Q120">
        <f t="shared" ref="Q120" si="576">F120*P120</f>
        <v>-8675603.9352517743</v>
      </c>
      <c r="R120">
        <f t="shared" ref="R120" si="577">R121+Q120</f>
        <v>-760817524.78006577</v>
      </c>
      <c r="S120">
        <f t="shared" ref="S120" si="578">R120/100000</f>
        <v>-7608.1752478006574</v>
      </c>
      <c r="T120">
        <f t="shared" ref="T120" si="579">S120/1000</f>
        <v>-7.6081752478006575</v>
      </c>
    </row>
    <row r="121" spans="1:20" x14ac:dyDescent="0.25">
      <c r="A121" s="5">
        <v>44472</v>
      </c>
      <c r="B121">
        <v>0.32369999999999999</v>
      </c>
      <c r="C121">
        <v>0.37490000000000001</v>
      </c>
      <c r="D121">
        <v>0.315</v>
      </c>
      <c r="E121">
        <v>0.34089999999999998</v>
      </c>
      <c r="F121">
        <v>78289855</v>
      </c>
      <c r="G121">
        <v>0.34089999999999998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-0.13522537562604425</v>
      </c>
      <c r="Q121">
        <f t="shared" ref="Q121" si="581">F121*P121</f>
        <v>-10586775.050083539</v>
      </c>
      <c r="R121">
        <f t="shared" ref="R121" si="582">R122+Q121</f>
        <v>-752141920.84481394</v>
      </c>
      <c r="S121">
        <f t="shared" ref="S121" si="583">R121/100000</f>
        <v>-7521.4192084481392</v>
      </c>
      <c r="T121">
        <f t="shared" ref="T121" si="584">S121/1000</f>
        <v>-7.5214192084481395</v>
      </c>
    </row>
    <row r="122" spans="1:20" x14ac:dyDescent="0.25">
      <c r="A122" s="5">
        <v>44471</v>
      </c>
      <c r="B122">
        <v>0.32569999999999999</v>
      </c>
      <c r="C122">
        <v>0.34110000000000001</v>
      </c>
      <c r="D122">
        <v>0.31480000000000002</v>
      </c>
      <c r="E122">
        <v>0.32400000000000001</v>
      </c>
      <c r="F122">
        <v>35693064</v>
      </c>
      <c r="G122">
        <v>0.32400000000000001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-0.30038022813688292</v>
      </c>
      <c r="Q122">
        <f t="shared" ref="Q122" si="586">F122*P122</f>
        <v>-10721490.707224363</v>
      </c>
      <c r="R122">
        <f t="shared" ref="R122" si="587">R123+Q122</f>
        <v>-741555145.79473042</v>
      </c>
      <c r="S122">
        <f t="shared" ref="S122" si="588">R122/100000</f>
        <v>-7415.5514579473047</v>
      </c>
      <c r="T122">
        <f t="shared" ref="T122" si="589">S122/1000</f>
        <v>-7.4155514579473047</v>
      </c>
    </row>
    <row r="123" spans="1:20" x14ac:dyDescent="0.25">
      <c r="A123" s="5">
        <v>44470</v>
      </c>
      <c r="B123">
        <v>0.30590000000000001</v>
      </c>
      <c r="C123">
        <v>0.3337</v>
      </c>
      <c r="D123">
        <v>0.29780000000000001</v>
      </c>
      <c r="E123">
        <v>0.3256</v>
      </c>
      <c r="F123">
        <v>43468625</v>
      </c>
      <c r="G123">
        <v>0.3256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0.54874651810584962</v>
      </c>
      <c r="Q123">
        <f t="shared" ref="Q123" si="591">F123*P123</f>
        <v>23853256.615598887</v>
      </c>
      <c r="R123">
        <f t="shared" ref="R123" si="592">R124+Q123</f>
        <v>-730833655.08750606</v>
      </c>
      <c r="S123">
        <f t="shared" ref="S123" si="593">R123/100000</f>
        <v>-7308.3365508750603</v>
      </c>
      <c r="T123">
        <f t="shared" ref="T123" si="594">S123/1000</f>
        <v>-7.30833655087506</v>
      </c>
    </row>
    <row r="124" spans="1:20" x14ac:dyDescent="0.25">
      <c r="A124" s="5">
        <v>44469</v>
      </c>
      <c r="B124">
        <v>0.29520000000000002</v>
      </c>
      <c r="C124">
        <v>0.31390000000000001</v>
      </c>
      <c r="D124">
        <v>0.2944</v>
      </c>
      <c r="E124">
        <v>0.30570000000000003</v>
      </c>
      <c r="F124">
        <v>27453506</v>
      </c>
      <c r="G124">
        <v>0.30570000000000003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0.15897435897436124</v>
      </c>
      <c r="Q124">
        <f t="shared" ref="Q124" si="596">F124*P124</f>
        <v>4364403.5179487802</v>
      </c>
      <c r="R124">
        <f t="shared" ref="R124" si="597">R125+Q124</f>
        <v>-754686911.70310497</v>
      </c>
      <c r="S124">
        <f t="shared" ref="S124" si="598">R124/100000</f>
        <v>-7546.8691170310494</v>
      </c>
      <c r="T124">
        <f t="shared" ref="T124" si="599">S124/1000</f>
        <v>-7.5468691170310498</v>
      </c>
    </row>
    <row r="125" spans="1:20" x14ac:dyDescent="0.25">
      <c r="A125" s="5">
        <v>44468</v>
      </c>
      <c r="B125">
        <v>0.31180000000000002</v>
      </c>
      <c r="C125">
        <v>0.33</v>
      </c>
      <c r="D125">
        <v>0.28660000000000002</v>
      </c>
      <c r="E125">
        <v>0.29520000000000002</v>
      </c>
      <c r="F125">
        <v>39204850</v>
      </c>
      <c r="G125">
        <v>0.29520000000000002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-0.60368663594470051</v>
      </c>
      <c r="Q125">
        <f t="shared" ref="Q125" si="601">F125*P125</f>
        <v>-23667444.009216592</v>
      </c>
      <c r="R125">
        <f t="shared" ref="R125" si="602">R126+Q125</f>
        <v>-759051315.22105372</v>
      </c>
      <c r="S125">
        <f t="shared" ref="S125" si="603">R125/100000</f>
        <v>-7590.5131522105376</v>
      </c>
      <c r="T125">
        <f t="shared" ref="T125" si="604">S125/1000</f>
        <v>-7.5905131522105371</v>
      </c>
    </row>
    <row r="126" spans="1:20" x14ac:dyDescent="0.25">
      <c r="A126" s="5">
        <v>44467</v>
      </c>
      <c r="B126">
        <v>0.3473</v>
      </c>
      <c r="C126">
        <v>0.37730000000000002</v>
      </c>
      <c r="D126">
        <v>0.31</v>
      </c>
      <c r="E126">
        <v>0.31180000000000002</v>
      </c>
      <c r="F126">
        <v>75085368</v>
      </c>
      <c r="G126">
        <v>0.31180000000000002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-0.94650817236255502</v>
      </c>
      <c r="Q126">
        <f t="shared" ref="Q126" si="606">F126*P126</f>
        <v>-71068914.436849877</v>
      </c>
      <c r="R126">
        <f t="shared" ref="R126" si="607">R127+Q126</f>
        <v>-735383871.21183717</v>
      </c>
      <c r="S126">
        <f t="shared" ref="S126" si="608">R126/100000</f>
        <v>-7353.8387121183714</v>
      </c>
      <c r="T126">
        <f t="shared" ref="T126" si="609">S126/1000</f>
        <v>-7.353838712118371</v>
      </c>
    </row>
    <row r="127" spans="1:20" x14ac:dyDescent="0.25">
      <c r="A127" s="5">
        <v>44466</v>
      </c>
      <c r="B127">
        <v>0.31619999999999998</v>
      </c>
      <c r="C127">
        <v>0.38800000000000001</v>
      </c>
      <c r="D127">
        <v>0.30640000000000001</v>
      </c>
      <c r="E127">
        <v>0.34739999999999999</v>
      </c>
      <c r="F127">
        <v>159670120</v>
      </c>
      <c r="G127">
        <v>0.34739999999999999</v>
      </c>
      <c r="L127" t="s">
        <v>8</v>
      </c>
      <c r="M127" t="s">
        <v>8</v>
      </c>
      <c r="N127" t="s">
        <v>8</v>
      </c>
      <c r="P127">
        <f t="shared" ref="P127" si="610">IF(C127=D127,0,((E127-D127)-(C127-E127))/(C127-D127))</f>
        <v>4.9019607843131851E-3</v>
      </c>
      <c r="Q127">
        <f t="shared" ref="Q127" si="611">F127*P127</f>
        <v>782696.66666658036</v>
      </c>
      <c r="R127">
        <f t="shared" ref="R127" si="612">R128+Q127</f>
        <v>-664314956.77498734</v>
      </c>
      <c r="S127">
        <f t="shared" ref="S127" si="613">R127/100000</f>
        <v>-6643.1495677498733</v>
      </c>
      <c r="T127">
        <f t="shared" ref="T127" si="614">S127/1000</f>
        <v>-6.6431495677498731</v>
      </c>
    </row>
    <row r="128" spans="1:20" x14ac:dyDescent="0.25">
      <c r="A128" s="5">
        <v>44465</v>
      </c>
      <c r="B128">
        <v>0.34470000000000001</v>
      </c>
      <c r="C128">
        <v>0.34610000000000002</v>
      </c>
      <c r="D128">
        <v>0.28910000000000002</v>
      </c>
      <c r="E128">
        <v>0.31619999999999998</v>
      </c>
      <c r="F128">
        <v>73573389</v>
      </c>
      <c r="G128">
        <v>0.31619999999999998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-4.9122807017545268E-2</v>
      </c>
      <c r="Q128">
        <f t="shared" ref="Q128" si="616">F128*P128</f>
        <v>-3614131.389473788</v>
      </c>
      <c r="R128">
        <f t="shared" ref="R128" si="617">R129+Q128</f>
        <v>-665097653.44165397</v>
      </c>
      <c r="S128">
        <f t="shared" ref="S128" si="618">R128/100000</f>
        <v>-6650.9765344165398</v>
      </c>
      <c r="T128">
        <f t="shared" ref="T128" si="619">S128/1000</f>
        <v>-6.6509765344165395</v>
      </c>
    </row>
    <row r="129" spans="1:20" x14ac:dyDescent="0.25">
      <c r="A129" s="5">
        <v>44464</v>
      </c>
      <c r="B129">
        <v>0.35780000000000001</v>
      </c>
      <c r="C129">
        <v>0.38500000000000001</v>
      </c>
      <c r="D129">
        <v>0.32500000000000001</v>
      </c>
      <c r="E129">
        <v>0.34489999999999998</v>
      </c>
      <c r="F129">
        <v>82901845</v>
      </c>
      <c r="G129">
        <v>0.34489999999999998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-0.33666666666666756</v>
      </c>
      <c r="Q129">
        <f t="shared" ref="Q129" si="621">F129*P129</f>
        <v>-27910287.816666741</v>
      </c>
      <c r="R129">
        <f t="shared" ref="R129" si="622">R130+Q129</f>
        <v>-661483522.05218017</v>
      </c>
      <c r="S129">
        <f t="shared" ref="S129" si="623">R129/100000</f>
        <v>-6614.8352205218016</v>
      </c>
      <c r="T129">
        <f t="shared" ref="T129" si="624">S129/1000</f>
        <v>-6.614835220521802</v>
      </c>
    </row>
    <row r="130" spans="1:20" x14ac:dyDescent="0.25">
      <c r="A130" s="5">
        <v>44463</v>
      </c>
      <c r="B130">
        <v>0.38700000000000001</v>
      </c>
      <c r="C130">
        <v>0.42</v>
      </c>
      <c r="D130">
        <v>0.3216</v>
      </c>
      <c r="E130">
        <v>0.35799999999999998</v>
      </c>
      <c r="F130">
        <v>98808570</v>
      </c>
      <c r="G130">
        <v>0.35799999999999998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-0.2601626016260164</v>
      </c>
      <c r="Q130">
        <f t="shared" ref="Q130" si="626">F130*P130</f>
        <v>-25706294.634146355</v>
      </c>
      <c r="R130">
        <f t="shared" ref="R130" si="627">R131+Q130</f>
        <v>-633573234.23551345</v>
      </c>
      <c r="S130">
        <f t="shared" ref="S130" si="628">R130/100000</f>
        <v>-6335.7323423551343</v>
      </c>
      <c r="T130">
        <f t="shared" ref="T130" si="629">S130/1000</f>
        <v>-6.3357323423551346</v>
      </c>
    </row>
    <row r="131" spans="1:20" x14ac:dyDescent="0.25">
      <c r="A131" s="5">
        <v>44462</v>
      </c>
      <c r="B131">
        <v>0.39660000000000001</v>
      </c>
      <c r="C131">
        <v>0.4335</v>
      </c>
      <c r="D131">
        <v>0.36980000000000002</v>
      </c>
      <c r="E131">
        <v>0.38700000000000001</v>
      </c>
      <c r="F131">
        <v>69657012</v>
      </c>
      <c r="G131">
        <v>0.38700000000000001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-0.4599686028257457</v>
      </c>
      <c r="Q131">
        <f t="shared" ref="Q131" si="631">F131*P131</f>
        <v>-32040038.486656204</v>
      </c>
      <c r="R131">
        <f t="shared" ref="R131" si="632">R132+Q131</f>
        <v>-607866939.60136712</v>
      </c>
      <c r="S131">
        <f t="shared" ref="S131" si="633">R131/100000</f>
        <v>-6078.6693960136708</v>
      </c>
      <c r="T131">
        <f t="shared" ref="T131" si="634">S131/1000</f>
        <v>-6.0786693960136713</v>
      </c>
    </row>
    <row r="132" spans="1:20" x14ac:dyDescent="0.25">
      <c r="A132" s="5">
        <v>44461</v>
      </c>
      <c r="B132">
        <v>0.36499999999999999</v>
      </c>
      <c r="C132">
        <v>0.41980000000000001</v>
      </c>
      <c r="D132">
        <v>0.3639</v>
      </c>
      <c r="E132">
        <v>0.39679999999999999</v>
      </c>
      <c r="F132">
        <v>82321072</v>
      </c>
      <c r="G132">
        <v>0.39679999999999999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0.17710196779964157</v>
      </c>
      <c r="Q132">
        <f t="shared" ref="Q132" si="636">F132*P132</f>
        <v>14579223.842575975</v>
      </c>
      <c r="R132">
        <f t="shared" ref="R132" si="637">R133+Q132</f>
        <v>-575826901.11471093</v>
      </c>
      <c r="S132">
        <f t="shared" ref="S132" si="638">R132/100000</f>
        <v>-5758.2690111471093</v>
      </c>
      <c r="T132">
        <f t="shared" ref="T132" si="639">S132/1000</f>
        <v>-5.7582690111471093</v>
      </c>
    </row>
    <row r="133" spans="1:20" x14ac:dyDescent="0.25">
      <c r="A133" s="5">
        <v>44460</v>
      </c>
      <c r="B133">
        <v>0.3952</v>
      </c>
      <c r="C133">
        <v>0.4375</v>
      </c>
      <c r="D133">
        <v>0.34399999999999997</v>
      </c>
      <c r="E133">
        <v>0.36630000000000001</v>
      </c>
      <c r="F133">
        <v>120687870</v>
      </c>
      <c r="G133">
        <v>0.36630000000000001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-0.5229946524064164</v>
      </c>
      <c r="Q133">
        <f t="shared" ref="Q133" si="641">F133*P133</f>
        <v>-63119110.620320767</v>
      </c>
      <c r="R133">
        <f t="shared" ref="R133" si="642">R134+Q133</f>
        <v>-590406124.95728695</v>
      </c>
      <c r="S133">
        <f t="shared" ref="S133" si="643">R133/100000</f>
        <v>-5904.0612495728692</v>
      </c>
      <c r="T133">
        <f t="shared" ref="T133" si="644">S133/1000</f>
        <v>-5.9040612495728695</v>
      </c>
    </row>
    <row r="134" spans="1:20" x14ac:dyDescent="0.25">
      <c r="A134" s="5">
        <v>44459</v>
      </c>
      <c r="B134">
        <v>0.54510000000000003</v>
      </c>
      <c r="C134">
        <v>0.55549999999999999</v>
      </c>
      <c r="D134">
        <v>0.45800000000000002</v>
      </c>
      <c r="E134">
        <v>0.48520000000000002</v>
      </c>
      <c r="F134">
        <v>93394785</v>
      </c>
      <c r="G134">
        <v>0.48520000000000002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-0.44205128205128186</v>
      </c>
      <c r="Q134">
        <f t="shared" ref="Q134" si="646">F134*P134</f>
        <v>-41285284.446153827</v>
      </c>
      <c r="R134">
        <f t="shared" ref="R134" si="647">R135+Q134</f>
        <v>-527287014.33696622</v>
      </c>
      <c r="S134">
        <f t="shared" ref="S134" si="648">R134/100000</f>
        <v>-5272.8701433696624</v>
      </c>
      <c r="T134">
        <f t="shared" ref="T134" si="649">S134/1000</f>
        <v>-5.2728701433696621</v>
      </c>
    </row>
    <row r="135" spans="1:20" x14ac:dyDescent="0.25">
      <c r="A135" s="5">
        <v>44458</v>
      </c>
      <c r="B135">
        <v>0.63380000000000003</v>
      </c>
      <c r="C135">
        <v>0.77600000000000002</v>
      </c>
      <c r="D135">
        <v>0.51980000000000004</v>
      </c>
      <c r="E135">
        <v>0.54469999999999996</v>
      </c>
      <c r="F135">
        <v>512662396</v>
      </c>
      <c r="G135">
        <v>0.54469999999999996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-0.80562060889929799</v>
      </c>
      <c r="Q135">
        <f t="shared" ref="Q135" si="651">F135*P135</f>
        <v>-413011391.62529302</v>
      </c>
      <c r="R135">
        <f t="shared" ref="R135" si="652">R136+Q135</f>
        <v>-486001729.8908124</v>
      </c>
      <c r="S135">
        <f t="shared" ref="S135" si="653">R135/100000</f>
        <v>-4860.0172989081238</v>
      </c>
      <c r="T135">
        <f t="shared" ref="T135" si="654">S135/1000</f>
        <v>-4.8600172989081241</v>
      </c>
    </row>
    <row r="136" spans="1:20" x14ac:dyDescent="0.25">
      <c r="A136" s="5">
        <v>44457</v>
      </c>
      <c r="B136">
        <v>0.26219999999999999</v>
      </c>
      <c r="C136">
        <v>0.83889999999999998</v>
      </c>
      <c r="D136">
        <v>0.25359999999999999</v>
      </c>
      <c r="E136">
        <v>0.63190000000000002</v>
      </c>
      <c r="F136">
        <v>845679650.10099995</v>
      </c>
      <c r="G136">
        <v>0.63190000000000002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0.2926704254228602</v>
      </c>
      <c r="Q136">
        <f t="shared" ref="Q136" si="656">F136*P136</f>
        <v>247505422.96651521</v>
      </c>
      <c r="R136">
        <f t="shared" ref="R136" si="657">R137+Q136</f>
        <v>-72990338.265519351</v>
      </c>
      <c r="S136">
        <f t="shared" ref="S136" si="658">R136/100000</f>
        <v>-729.90338265519347</v>
      </c>
      <c r="T136">
        <f t="shared" ref="T136" si="659">S136/1000</f>
        <v>-0.7299033826551935</v>
      </c>
    </row>
    <row r="137" spans="1:20" x14ac:dyDescent="0.25">
      <c r="A137" s="5">
        <v>44456</v>
      </c>
      <c r="B137">
        <v>0.2626</v>
      </c>
      <c r="C137">
        <v>0.29680000000000001</v>
      </c>
      <c r="D137">
        <v>0.24779999999999999</v>
      </c>
      <c r="E137">
        <v>0.26219999999999999</v>
      </c>
      <c r="F137">
        <v>26581384</v>
      </c>
      <c r="G137">
        <v>0.26219999999999999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-0.41224489795918401</v>
      </c>
      <c r="Q137">
        <f t="shared" ref="Q137" si="661">F137*P137</f>
        <v>-10958039.934693886</v>
      </c>
      <c r="R137">
        <f t="shared" ref="R137" si="662">R138+Q137</f>
        <v>-320495761.23203456</v>
      </c>
      <c r="S137">
        <f t="shared" ref="S137" si="663">R137/100000</f>
        <v>-3204.9576123203456</v>
      </c>
      <c r="T137">
        <f t="shared" ref="T137" si="664">S137/1000</f>
        <v>-3.2049576123203454</v>
      </c>
    </row>
    <row r="138" spans="1:20" x14ac:dyDescent="0.25">
      <c r="A138" s="5">
        <v>44455</v>
      </c>
      <c r="B138">
        <v>0.2646</v>
      </c>
      <c r="C138">
        <v>0.28100000000000003</v>
      </c>
      <c r="D138">
        <v>0.2581</v>
      </c>
      <c r="E138">
        <v>0.26279999999999998</v>
      </c>
      <c r="F138">
        <v>16181148</v>
      </c>
      <c r="G138">
        <v>0.26279999999999998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-0.58951965065502399</v>
      </c>
      <c r="Q138">
        <f t="shared" ref="Q138" si="666">F138*P138</f>
        <v>-9539104.7161572408</v>
      </c>
      <c r="R138">
        <f t="shared" ref="R138" si="667">R139+Q138</f>
        <v>-309537721.29734069</v>
      </c>
      <c r="S138">
        <f t="shared" ref="S138" si="668">R138/100000</f>
        <v>-3095.377212973407</v>
      </c>
      <c r="T138">
        <f t="shared" ref="T138" si="669">S138/1000</f>
        <v>-3.095377212973407</v>
      </c>
    </row>
    <row r="139" spans="1:20" x14ac:dyDescent="0.25">
      <c r="A139" s="5">
        <v>44454</v>
      </c>
      <c r="B139">
        <v>0.25690000000000002</v>
      </c>
      <c r="C139">
        <v>0.26719999999999999</v>
      </c>
      <c r="D139">
        <v>0.25259999999999999</v>
      </c>
      <c r="E139">
        <v>0.26490000000000002</v>
      </c>
      <c r="F139">
        <v>10638077</v>
      </c>
      <c r="G139">
        <v>0.26490000000000002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0.68493150684931936</v>
      </c>
      <c r="Q139">
        <f t="shared" ref="Q139" si="671">F139*P139</f>
        <v>7286354.1095890868</v>
      </c>
      <c r="R139">
        <f t="shared" ref="R139" si="672">R140+Q139</f>
        <v>-299998616.58118343</v>
      </c>
      <c r="S139">
        <f t="shared" ref="S139" si="673">R139/100000</f>
        <v>-2999.9861658118343</v>
      </c>
      <c r="T139">
        <f t="shared" ref="T139" si="674">S139/1000</f>
        <v>-2.9999861658118343</v>
      </c>
    </row>
    <row r="140" spans="1:20" x14ac:dyDescent="0.25">
      <c r="A140" s="5">
        <v>44453</v>
      </c>
      <c r="B140">
        <v>0.25</v>
      </c>
      <c r="C140">
        <v>0.25850000000000001</v>
      </c>
      <c r="D140">
        <v>0.247</v>
      </c>
      <c r="E140">
        <v>0.25719999999999998</v>
      </c>
      <c r="F140">
        <v>7959230</v>
      </c>
      <c r="G140">
        <v>0.25719999999999998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0.77391304347825696</v>
      </c>
      <c r="Q140">
        <f t="shared" ref="Q140" si="676">F140*P140</f>
        <v>6159751.9130434468</v>
      </c>
      <c r="R140">
        <f t="shared" ref="R140" si="677">R141+Q140</f>
        <v>-307284970.69077253</v>
      </c>
      <c r="S140">
        <f t="shared" ref="S140" si="678">R140/100000</f>
        <v>-3072.8497069077252</v>
      </c>
      <c r="T140">
        <f t="shared" ref="T140" si="679">S140/1000</f>
        <v>-3.0728497069077254</v>
      </c>
    </row>
    <row r="141" spans="1:20" x14ac:dyDescent="0.25">
      <c r="A141" s="5">
        <v>44452</v>
      </c>
      <c r="B141">
        <v>0.26900000000000002</v>
      </c>
      <c r="C141">
        <v>0.27189999999999998</v>
      </c>
      <c r="D141">
        <v>0.23580000000000001</v>
      </c>
      <c r="E141">
        <v>0.25</v>
      </c>
      <c r="F141">
        <v>13897147</v>
      </c>
      <c r="G141">
        <v>0.25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-0.21329639889196653</v>
      </c>
      <c r="Q141">
        <f t="shared" ref="Q141" si="681">F141*P141</f>
        <v>-2964211.4099722961</v>
      </c>
      <c r="R141">
        <f t="shared" ref="R141" si="682">R142+Q141</f>
        <v>-313444722.60381597</v>
      </c>
      <c r="S141">
        <f t="shared" ref="S141" si="683">R141/100000</f>
        <v>-3134.4472260381599</v>
      </c>
      <c r="T141">
        <f t="shared" ref="T141" si="684">S141/1000</f>
        <v>-3.13444722603816</v>
      </c>
    </row>
    <row r="142" spans="1:20" x14ac:dyDescent="0.25">
      <c r="A142" s="5">
        <v>44451</v>
      </c>
      <c r="B142">
        <v>0.27329999999999999</v>
      </c>
      <c r="C142">
        <v>0.28799999999999998</v>
      </c>
      <c r="D142">
        <v>0.26</v>
      </c>
      <c r="E142">
        <v>0.26910000000000001</v>
      </c>
      <c r="F142">
        <v>11768643</v>
      </c>
      <c r="G142">
        <v>0.26910000000000001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-0.34999999999999948</v>
      </c>
      <c r="Q142">
        <f t="shared" ref="Q142" si="686">F142*P142</f>
        <v>-4119025.0499999938</v>
      </c>
      <c r="R142">
        <f t="shared" ref="R142" si="687">R143+Q142</f>
        <v>-310480511.19384366</v>
      </c>
      <c r="S142">
        <f t="shared" ref="S142" si="688">R142/100000</f>
        <v>-3104.8051119384368</v>
      </c>
      <c r="T142">
        <f t="shared" ref="T142" si="689">S142/1000</f>
        <v>-3.1048051119384366</v>
      </c>
    </row>
    <row r="143" spans="1:20" x14ac:dyDescent="0.25">
      <c r="A143" s="5">
        <v>44450</v>
      </c>
      <c r="B143">
        <v>0.26790000000000003</v>
      </c>
      <c r="C143">
        <v>0.29659999999999997</v>
      </c>
      <c r="D143">
        <v>0.26340000000000002</v>
      </c>
      <c r="E143">
        <v>0.27389999999999998</v>
      </c>
      <c r="F143">
        <v>13581485</v>
      </c>
      <c r="G143">
        <v>0.27389999999999998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-0.36746987951807414</v>
      </c>
      <c r="Q143">
        <f t="shared" ref="Q143" si="691">F143*P143</f>
        <v>-4990786.6566265309</v>
      </c>
      <c r="R143">
        <f t="shared" ref="R143" si="692">R144+Q143</f>
        <v>-306361486.14384365</v>
      </c>
      <c r="S143">
        <f t="shared" ref="S143" si="693">R143/100000</f>
        <v>-3063.6148614384365</v>
      </c>
      <c r="T143">
        <f t="shared" ref="T143" si="694">S143/1000</f>
        <v>-3.0636148614384364</v>
      </c>
    </row>
    <row r="144" spans="1:20" x14ac:dyDescent="0.25">
      <c r="A144" s="5">
        <v>44449</v>
      </c>
      <c r="B144">
        <v>0.29399999999999998</v>
      </c>
      <c r="C144">
        <v>0.31190000000000001</v>
      </c>
      <c r="D144">
        <v>0.2591</v>
      </c>
      <c r="E144">
        <v>0.26769999999999999</v>
      </c>
      <c r="F144">
        <v>19240384</v>
      </c>
      <c r="G144">
        <v>0.26769999999999999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-0.67424242424242442</v>
      </c>
      <c r="Q144">
        <f t="shared" ref="Q144" si="696">F144*P144</f>
        <v>-12972683.151515154</v>
      </c>
      <c r="R144">
        <f t="shared" ref="R144" si="697">R145+Q144</f>
        <v>-301370699.48721713</v>
      </c>
      <c r="S144">
        <f t="shared" ref="S144" si="698">R144/100000</f>
        <v>-3013.7069948721714</v>
      </c>
      <c r="T144">
        <f t="shared" ref="T144" si="699">S144/1000</f>
        <v>-3.0137069948721713</v>
      </c>
    </row>
    <row r="145" spans="1:20" x14ac:dyDescent="0.25">
      <c r="A145" s="5">
        <v>44448</v>
      </c>
      <c r="B145">
        <v>0.27450000000000002</v>
      </c>
      <c r="C145">
        <v>0.32190000000000002</v>
      </c>
      <c r="D145">
        <v>0.25</v>
      </c>
      <c r="E145">
        <v>0.29330000000000001</v>
      </c>
      <c r="F145">
        <v>34062065</v>
      </c>
      <c r="G145">
        <v>0.29330000000000001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0.20445062586926269</v>
      </c>
      <c r="Q145">
        <f t="shared" ref="Q145" si="701">F145*P145</f>
        <v>6964010.5076495074</v>
      </c>
      <c r="R145">
        <f t="shared" ref="R145" si="702">R146+Q145</f>
        <v>-288398016.335702</v>
      </c>
      <c r="S145">
        <f t="shared" ref="S145" si="703">R145/100000</f>
        <v>-2883.98016335702</v>
      </c>
      <c r="T145">
        <f t="shared" ref="T145" si="704">S145/1000</f>
        <v>-2.8839801633570201</v>
      </c>
    </row>
    <row r="146" spans="1:20" x14ac:dyDescent="0.25">
      <c r="A146" s="5">
        <v>44447</v>
      </c>
      <c r="B146">
        <v>0.27800000000000002</v>
      </c>
      <c r="C146">
        <v>0.28070000000000001</v>
      </c>
      <c r="D146">
        <v>0.24349999999999999</v>
      </c>
      <c r="E146">
        <v>0.27450000000000002</v>
      </c>
      <c r="F146">
        <v>25206851</v>
      </c>
      <c r="G146">
        <v>0.27450000000000002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0.66666666666666763</v>
      </c>
      <c r="Q146">
        <f t="shared" ref="Q146" si="706">F146*P146</f>
        <v>16804567.333333358</v>
      </c>
      <c r="R146">
        <f t="shared" ref="R146" si="707">R147+Q146</f>
        <v>-295362026.84335148</v>
      </c>
      <c r="S146">
        <f t="shared" ref="S146" si="708">R146/100000</f>
        <v>-2953.6202684335149</v>
      </c>
      <c r="T146">
        <f t="shared" ref="T146" si="709">S146/1000</f>
        <v>-2.9536202684335149</v>
      </c>
    </row>
    <row r="147" spans="1:20" x14ac:dyDescent="0.25">
      <c r="A147" s="5">
        <v>44446</v>
      </c>
      <c r="B147">
        <v>0.34870000000000001</v>
      </c>
      <c r="C147">
        <v>0.39900000000000002</v>
      </c>
      <c r="D147">
        <v>0.22689999999999999</v>
      </c>
      <c r="E147">
        <v>0.27829999999999999</v>
      </c>
      <c r="F147">
        <v>74607185.75</v>
      </c>
      <c r="G147">
        <v>0.27829999999999999</v>
      </c>
      <c r="L147" t="s">
        <v>8</v>
      </c>
      <c r="M147" t="s">
        <v>8</v>
      </c>
      <c r="N147" t="s">
        <v>7</v>
      </c>
      <c r="P147">
        <f t="shared" ref="P147" si="710">IF(C147=D147,0,((E147-D147)-(C147-E147))/(C147-D147))</f>
        <v>-0.40267286461359686</v>
      </c>
      <c r="Q147">
        <f t="shared" ref="Q147" si="711">F147*P147</f>
        <v>-30042289.206711221</v>
      </c>
      <c r="R147">
        <f t="shared" ref="R147" si="712">R148+Q147</f>
        <v>-312166594.17668486</v>
      </c>
      <c r="S147">
        <f t="shared" ref="S147" si="713">R147/100000</f>
        <v>-3121.6659417668484</v>
      </c>
      <c r="T147">
        <f t="shared" ref="T147" si="714">S147/1000</f>
        <v>-3.1216659417668482</v>
      </c>
    </row>
    <row r="148" spans="1:20" x14ac:dyDescent="0.25">
      <c r="A148" s="5">
        <v>44445</v>
      </c>
      <c r="B148">
        <v>0.33639999999999998</v>
      </c>
      <c r="C148">
        <v>0.35899999999999999</v>
      </c>
      <c r="D148">
        <v>0.32</v>
      </c>
      <c r="E148">
        <v>0.34889999999999999</v>
      </c>
      <c r="F148">
        <v>42380658</v>
      </c>
      <c r="G148">
        <v>0.34889999999999999</v>
      </c>
      <c r="L148" t="s">
        <v>8</v>
      </c>
      <c r="M148" t="s">
        <v>8</v>
      </c>
      <c r="N148" t="s">
        <v>7</v>
      </c>
      <c r="P148">
        <f t="shared" ref="P148" si="715">IF(C148=D148,0,((E148-D148)-(C148-E148))/(C148-D148))</f>
        <v>0.48205128205128189</v>
      </c>
      <c r="Q148">
        <f t="shared" ref="Q148" si="716">F148*P148</f>
        <v>20429650.523076918</v>
      </c>
      <c r="R148">
        <f t="shared" ref="R148" si="717">R149+Q148</f>
        <v>-282124304.96997362</v>
      </c>
      <c r="S148">
        <f t="shared" ref="S148" si="718">R148/100000</f>
        <v>-2821.2430496997363</v>
      </c>
      <c r="T148">
        <f t="shared" ref="T148" si="719">S148/1000</f>
        <v>-2.8212430496997363</v>
      </c>
    </row>
    <row r="149" spans="1:20" x14ac:dyDescent="0.25">
      <c r="A149" s="5">
        <v>44444</v>
      </c>
      <c r="B149">
        <v>0.32469999999999999</v>
      </c>
      <c r="C149">
        <v>0.33979999999999999</v>
      </c>
      <c r="D149">
        <v>0.317</v>
      </c>
      <c r="E149">
        <v>0.33600000000000002</v>
      </c>
      <c r="F149">
        <v>19468802</v>
      </c>
      <c r="G149">
        <v>0.33600000000000002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0.66666666666666907</v>
      </c>
      <c r="Q149">
        <f t="shared" ref="Q149" si="721">F149*P149</f>
        <v>12979201.333333381</v>
      </c>
      <c r="R149">
        <f t="shared" ref="R149" si="722">R150+Q149</f>
        <v>-302553955.49305052</v>
      </c>
      <c r="S149">
        <f t="shared" ref="S149" si="723">R149/100000</f>
        <v>-3025.5395549305053</v>
      </c>
      <c r="T149">
        <f t="shared" ref="T149" si="724">S149/1000</f>
        <v>-3.0255395549305053</v>
      </c>
    </row>
    <row r="150" spans="1:20" x14ac:dyDescent="0.25">
      <c r="A150" s="5">
        <v>44443</v>
      </c>
      <c r="B150">
        <v>0.32429999999999998</v>
      </c>
      <c r="C150">
        <v>0.34229999999999999</v>
      </c>
      <c r="D150">
        <v>0.3</v>
      </c>
      <c r="E150">
        <v>0.32469999999999999</v>
      </c>
      <c r="F150">
        <v>23658532</v>
      </c>
      <c r="G150">
        <v>0.32469999999999999</v>
      </c>
      <c r="L150" t="s">
        <v>7</v>
      </c>
      <c r="M150" t="s">
        <v>8</v>
      </c>
      <c r="N150" t="s">
        <v>7</v>
      </c>
      <c r="P150">
        <f t="shared" ref="P150" si="725">IF(C150=D150,0,((E150-D150)-(C150-E150))/(C150-D150))</f>
        <v>0.16784869976359326</v>
      </c>
      <c r="Q150">
        <f t="shared" ref="Q150" si="726">F150*P150</f>
        <v>3971053.8345153634</v>
      </c>
      <c r="R150">
        <f t="shared" ref="R150" si="727">R151+Q150</f>
        <v>-315533156.82638389</v>
      </c>
      <c r="S150">
        <f t="shared" ref="S150" si="728">R150/100000</f>
        <v>-3155.331568263839</v>
      </c>
      <c r="T150">
        <f t="shared" ref="T150" si="729">S150/1000</f>
        <v>-3.155331568263839</v>
      </c>
    </row>
    <row r="151" spans="1:20" x14ac:dyDescent="0.25">
      <c r="A151" s="5">
        <v>44442</v>
      </c>
      <c r="B151">
        <v>0.3221</v>
      </c>
      <c r="C151">
        <v>0.34</v>
      </c>
      <c r="D151">
        <v>0.30730000000000002</v>
      </c>
      <c r="E151">
        <v>0.32400000000000001</v>
      </c>
      <c r="F151">
        <v>31126443</v>
      </c>
      <c r="G151">
        <v>0.32400000000000001</v>
      </c>
      <c r="L151" t="s">
        <v>7</v>
      </c>
      <c r="M151" t="s">
        <v>8</v>
      </c>
      <c r="N151" t="s">
        <v>7</v>
      </c>
      <c r="P151">
        <f t="shared" ref="P151" si="730">IF(C151=D151,0,((E151-D151)-(C151-E151))/(C151-D151))</f>
        <v>2.1406727828745514E-2</v>
      </c>
      <c r="Q151">
        <f t="shared" ref="Q151" si="731">F151*P151</f>
        <v>666315.29357796104</v>
      </c>
      <c r="R151">
        <f t="shared" ref="R151" si="732">R152+Q151</f>
        <v>-319504210.66089928</v>
      </c>
      <c r="S151">
        <f t="shared" ref="S151" si="733">R151/100000</f>
        <v>-3195.042106608993</v>
      </c>
      <c r="T151">
        <f t="shared" ref="T151" si="734">S151/1000</f>
        <v>-3.1950421066089931</v>
      </c>
    </row>
    <row r="152" spans="1:20" x14ac:dyDescent="0.25">
      <c r="A152" s="5">
        <v>44441</v>
      </c>
      <c r="B152">
        <v>0.3054</v>
      </c>
      <c r="C152">
        <v>0.34989999999999999</v>
      </c>
      <c r="D152">
        <v>0.29770000000000002</v>
      </c>
      <c r="E152">
        <v>0.32219999999999999</v>
      </c>
      <c r="F152">
        <v>38393649</v>
      </c>
      <c r="G152">
        <v>0.32219999999999999</v>
      </c>
      <c r="L152" t="s">
        <v>8</v>
      </c>
      <c r="M152" t="s">
        <v>8</v>
      </c>
      <c r="N152" t="s">
        <v>7</v>
      </c>
      <c r="P152">
        <f t="shared" ref="P152" si="735">IF(C152=D152,0,((E152-D152)-(C152-E152))/(C152-D152))</f>
        <v>-6.1302681992337897E-2</v>
      </c>
      <c r="Q152">
        <f t="shared" ref="Q152" si="736">F152*P152</f>
        <v>-2353633.6551724421</v>
      </c>
      <c r="R152">
        <f t="shared" ref="R152" si="737">R153+Q152</f>
        <v>-320170525.95447725</v>
      </c>
      <c r="S152">
        <f t="shared" ref="S152" si="738">R152/100000</f>
        <v>-3201.7052595447726</v>
      </c>
      <c r="T152">
        <f t="shared" ref="T152" si="739">S152/1000</f>
        <v>-3.2017052595447728</v>
      </c>
    </row>
    <row r="153" spans="1:20" x14ac:dyDescent="0.25">
      <c r="A153" s="5">
        <v>44440</v>
      </c>
      <c r="B153">
        <v>0.29870000000000002</v>
      </c>
      <c r="C153">
        <v>0.30680000000000002</v>
      </c>
      <c r="D153">
        <v>0.28599999999999998</v>
      </c>
      <c r="E153">
        <v>0.30499999999999999</v>
      </c>
      <c r="F153">
        <v>12856351</v>
      </c>
      <c r="G153">
        <v>0.30499999999999999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0.82692307692307498</v>
      </c>
      <c r="Q153">
        <f t="shared" ref="Q153" si="741">F153*P153</f>
        <v>10631213.326923052</v>
      </c>
      <c r="R153">
        <f t="shared" ref="R153" si="742">R154+Q153</f>
        <v>-317816892.29930478</v>
      </c>
      <c r="S153">
        <f t="shared" ref="S153" si="743">R153/100000</f>
        <v>-3178.168922993048</v>
      </c>
      <c r="T153">
        <f t="shared" ref="T153" si="744">S153/1000</f>
        <v>-3.1781689229930481</v>
      </c>
    </row>
    <row r="154" spans="1:20" x14ac:dyDescent="0.25">
      <c r="A154" s="5">
        <v>44439</v>
      </c>
      <c r="B154">
        <v>0.29759999999999998</v>
      </c>
      <c r="C154">
        <v>0.31900000000000001</v>
      </c>
      <c r="D154">
        <v>0.2898</v>
      </c>
      <c r="E154">
        <v>0.29820000000000002</v>
      </c>
      <c r="F154">
        <v>19143205.513</v>
      </c>
      <c r="G154">
        <v>0.29820000000000002</v>
      </c>
      <c r="L154" t="s">
        <v>8</v>
      </c>
      <c r="M154" t="s">
        <v>7</v>
      </c>
      <c r="N154" t="s">
        <v>7</v>
      </c>
      <c r="P154">
        <f t="shared" ref="P154" si="745">IF(C154=D154,0,((E154-D154)-(C154-E154))/(C154-D154))</f>
        <v>-0.42465753424657415</v>
      </c>
      <c r="Q154">
        <f t="shared" ref="Q154" si="746">F154*P154</f>
        <v>-8129306.4507260043</v>
      </c>
      <c r="R154">
        <f t="shared" ref="R154" si="747">R155+Q154</f>
        <v>-328448105.62622786</v>
      </c>
      <c r="S154">
        <f t="shared" ref="S154" si="748">R154/100000</f>
        <v>-3284.4810562622783</v>
      </c>
      <c r="T154">
        <f t="shared" ref="T154" si="749">S154/1000</f>
        <v>-3.2844810562622784</v>
      </c>
    </row>
    <row r="155" spans="1:20" x14ac:dyDescent="0.25">
      <c r="A155" s="5">
        <v>44438</v>
      </c>
      <c r="B155">
        <v>0.313</v>
      </c>
      <c r="C155">
        <v>0.32390000000000002</v>
      </c>
      <c r="D155">
        <v>0.29210000000000003</v>
      </c>
      <c r="E155">
        <v>0.2979</v>
      </c>
      <c r="F155">
        <v>21194340.219000001</v>
      </c>
      <c r="G155">
        <v>0.2979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-0.63522012578616527</v>
      </c>
      <c r="Q155">
        <f t="shared" ref="Q155" si="751">F155*P155</f>
        <v>-13463071.459867962</v>
      </c>
      <c r="R155">
        <f t="shared" ref="R155" si="752">R156+Q155</f>
        <v>-320318799.17550182</v>
      </c>
      <c r="S155">
        <f t="shared" ref="S155" si="753">R155/100000</f>
        <v>-3203.1879917550182</v>
      </c>
      <c r="T155">
        <f t="shared" ref="T155" si="754">S155/1000</f>
        <v>-3.2031879917550183</v>
      </c>
    </row>
    <row r="156" spans="1:20" x14ac:dyDescent="0.25">
      <c r="A156" s="5">
        <v>44437</v>
      </c>
      <c r="B156">
        <v>0.32100000000000001</v>
      </c>
      <c r="C156">
        <v>0.32569999999999999</v>
      </c>
      <c r="D156">
        <v>0.30649999999999999</v>
      </c>
      <c r="E156">
        <v>0.31290000000000001</v>
      </c>
      <c r="F156">
        <v>15816220</v>
      </c>
      <c r="G156">
        <v>0.31290000000000001</v>
      </c>
      <c r="L156" t="s">
        <v>7</v>
      </c>
      <c r="M156" t="s">
        <v>8</v>
      </c>
      <c r="N156" t="s">
        <v>7</v>
      </c>
      <c r="P156">
        <f t="shared" ref="P156" si="755">IF(C156=D156,0,((E156-D156)-(C156-E156))/(C156-D156))</f>
        <v>-0.33333333333333143</v>
      </c>
      <c r="Q156">
        <f t="shared" ref="Q156" si="756">F156*P156</f>
        <v>-5272073.3333333032</v>
      </c>
      <c r="R156">
        <f t="shared" ref="R156" si="757">R157+Q156</f>
        <v>-306855727.71563387</v>
      </c>
      <c r="S156">
        <f t="shared" ref="S156" si="758">R156/100000</f>
        <v>-3068.5572771563388</v>
      </c>
      <c r="T156">
        <f t="shared" ref="T156" si="759">S156/1000</f>
        <v>-3.068557277156339</v>
      </c>
    </row>
    <row r="157" spans="1:20" x14ac:dyDescent="0.25">
      <c r="A157" s="5">
        <v>44436</v>
      </c>
      <c r="B157">
        <v>0.34039999999999998</v>
      </c>
      <c r="C157">
        <v>0.34570000000000001</v>
      </c>
      <c r="D157">
        <v>0.318</v>
      </c>
      <c r="E157">
        <v>0.32100000000000001</v>
      </c>
      <c r="F157">
        <v>19505879</v>
      </c>
      <c r="G157">
        <v>0.32100000000000001</v>
      </c>
      <c r="L157" t="s">
        <v>8</v>
      </c>
      <c r="M157" t="s">
        <v>8</v>
      </c>
      <c r="N157" t="s">
        <v>7</v>
      </c>
      <c r="P157">
        <f t="shared" ref="P157" si="760">IF(C157=D157,0,((E157-D157)-(C157-E157))/(C157-D157))</f>
        <v>-0.78339350180505396</v>
      </c>
      <c r="Q157">
        <f t="shared" ref="Q157" si="761">F157*P157</f>
        <v>-15280778.855595665</v>
      </c>
      <c r="R157">
        <f t="shared" ref="R157" si="762">R158+Q157</f>
        <v>-301583654.38230056</v>
      </c>
      <c r="S157">
        <f t="shared" ref="S157" si="763">R157/100000</f>
        <v>-3015.8365438230057</v>
      </c>
      <c r="T157">
        <f t="shared" ref="T157" si="764">S157/1000</f>
        <v>-3.0158365438230059</v>
      </c>
    </row>
    <row r="158" spans="1:20" x14ac:dyDescent="0.25">
      <c r="A158" s="5">
        <v>44435</v>
      </c>
      <c r="B158">
        <v>0.30109999999999998</v>
      </c>
      <c r="C158">
        <v>0.34439999999999998</v>
      </c>
      <c r="D158">
        <v>0.29310000000000003</v>
      </c>
      <c r="E158">
        <v>0.34039999999999998</v>
      </c>
      <c r="F158">
        <v>28230627.754999999</v>
      </c>
      <c r="G158">
        <v>0.34039999999999998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0.84405458089668584</v>
      </c>
      <c r="Q158">
        <f t="shared" ref="Q158" si="766">F158*P158</f>
        <v>23828190.67819687</v>
      </c>
      <c r="R158">
        <f t="shared" ref="R158" si="767">R159+Q158</f>
        <v>-286302875.52670491</v>
      </c>
      <c r="S158">
        <f t="shared" ref="S158" si="768">R158/100000</f>
        <v>-2863.0287552670493</v>
      </c>
      <c r="T158">
        <f t="shared" ref="T158" si="769">S158/1000</f>
        <v>-2.8630287552670493</v>
      </c>
    </row>
    <row r="159" spans="1:20" x14ac:dyDescent="0.25">
      <c r="A159" s="5">
        <v>44434</v>
      </c>
      <c r="B159">
        <v>0.34599999999999997</v>
      </c>
      <c r="C159">
        <v>0.376</v>
      </c>
      <c r="D159">
        <v>0.30059999999999998</v>
      </c>
      <c r="E159">
        <v>0.30099999999999999</v>
      </c>
      <c r="F159">
        <v>63251285.240999997</v>
      </c>
      <c r="G159">
        <v>0.30099999999999999</v>
      </c>
      <c r="L159" t="s">
        <v>8</v>
      </c>
      <c r="M159" t="s">
        <v>8</v>
      </c>
      <c r="N159" t="s">
        <v>7</v>
      </c>
      <c r="P159">
        <f t="shared" ref="P159" si="770">IF(C159=D159,0,((E159-D159)-(C159-E159))/(C159-D159))</f>
        <v>-0.98938992042440288</v>
      </c>
      <c r="Q159">
        <f t="shared" ref="Q159" si="771">F159*P159</f>
        <v>-62580184.071334198</v>
      </c>
      <c r="R159">
        <f t="shared" ref="R159" si="772">R160+Q159</f>
        <v>-310131066.20490175</v>
      </c>
      <c r="S159">
        <f t="shared" ref="S159" si="773">R159/100000</f>
        <v>-3101.3106620490175</v>
      </c>
      <c r="T159">
        <f t="shared" ref="T159" si="774">S159/1000</f>
        <v>-3.1013106620490176</v>
      </c>
    </row>
    <row r="160" spans="1:20" x14ac:dyDescent="0.25">
      <c r="A160" s="5">
        <v>44433</v>
      </c>
      <c r="B160">
        <v>0.29499999999999998</v>
      </c>
      <c r="C160">
        <v>0.35399999999999998</v>
      </c>
      <c r="D160">
        <v>0.27</v>
      </c>
      <c r="E160">
        <v>0.34599999999999997</v>
      </c>
      <c r="F160">
        <v>34592042.619000003</v>
      </c>
      <c r="G160">
        <v>0.34599999999999997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0.80952380952380931</v>
      </c>
      <c r="Q160">
        <f t="shared" ref="Q160" si="776">F160*P160</f>
        <v>28003082.120142851</v>
      </c>
      <c r="R160">
        <f t="shared" ref="R160" si="777">R161+Q160</f>
        <v>-247550882.13356754</v>
      </c>
      <c r="S160">
        <f t="shared" ref="S160" si="778">R160/100000</f>
        <v>-2475.5088213356753</v>
      </c>
      <c r="T160">
        <f t="shared" ref="T160" si="779">S160/1000</f>
        <v>-2.4755088213356755</v>
      </c>
    </row>
    <row r="161" spans="1:20" x14ac:dyDescent="0.25">
      <c r="A161" s="5">
        <v>44432</v>
      </c>
      <c r="B161">
        <v>0.32200000000000001</v>
      </c>
      <c r="C161">
        <v>0.32200000000000001</v>
      </c>
      <c r="D161">
        <v>0.28599999999999998</v>
      </c>
      <c r="E161">
        <v>0.29399999999999998</v>
      </c>
      <c r="F161">
        <v>15071187.021</v>
      </c>
      <c r="G161">
        <v>0.29399999999999998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-0.55555555555555558</v>
      </c>
      <c r="Q161">
        <f t="shared" ref="Q161" si="781">F161*P161</f>
        <v>-8372881.6783333337</v>
      </c>
      <c r="R161">
        <f t="shared" ref="R161" si="782">R162+Q161</f>
        <v>-275553964.25371039</v>
      </c>
      <c r="S161">
        <f t="shared" ref="S161" si="783">R161/100000</f>
        <v>-2755.5396425371041</v>
      </c>
      <c r="T161">
        <f t="shared" ref="T161" si="784">S161/1000</f>
        <v>-2.7555396425371042</v>
      </c>
    </row>
    <row r="162" spans="1:20" x14ac:dyDescent="0.25">
      <c r="A162" s="5">
        <v>44431</v>
      </c>
      <c r="B162">
        <v>0.316</v>
      </c>
      <c r="C162">
        <v>0.33200000000000002</v>
      </c>
      <c r="D162">
        <v>0.313</v>
      </c>
      <c r="E162">
        <v>0.32100000000000001</v>
      </c>
      <c r="F162">
        <v>17939832.767000001</v>
      </c>
      <c r="G162">
        <v>0.32100000000000001</v>
      </c>
      <c r="L162" t="s">
        <v>8</v>
      </c>
      <c r="M162" t="s">
        <v>7</v>
      </c>
      <c r="N162" t="s">
        <v>7</v>
      </c>
      <c r="P162">
        <f t="shared" ref="P162" si="785">IF(C162=D162,0,((E162-D162)-(C162-E162))/(C162-D162))</f>
        <v>-0.15789473684210525</v>
      </c>
      <c r="Q162">
        <f t="shared" ref="Q162" si="786">F162*P162</f>
        <v>-2832605.1737368419</v>
      </c>
      <c r="R162">
        <f t="shared" ref="R162" si="787">R163+Q162</f>
        <v>-267181082.57537705</v>
      </c>
      <c r="S162">
        <f t="shared" ref="S162" si="788">R162/100000</f>
        <v>-2671.8108257537706</v>
      </c>
      <c r="T162">
        <f t="shared" ref="T162" si="789">S162/1000</f>
        <v>-2.6718108257537705</v>
      </c>
    </row>
    <row r="163" spans="1:20" x14ac:dyDescent="0.25">
      <c r="A163" s="5">
        <v>44430</v>
      </c>
      <c r="B163">
        <v>0.308</v>
      </c>
      <c r="C163">
        <v>0.314</v>
      </c>
      <c r="D163">
        <v>0.307</v>
      </c>
      <c r="E163">
        <v>0.312</v>
      </c>
      <c r="F163">
        <v>1848166.311</v>
      </c>
      <c r="G163">
        <v>0.312</v>
      </c>
      <c r="L163" t="s">
        <v>7</v>
      </c>
      <c r="M163" t="s">
        <v>7</v>
      </c>
      <c r="N163" t="s">
        <v>7</v>
      </c>
      <c r="P163">
        <f t="shared" ref="P163" si="790">IF(C163=D163,0,((E163-D163)-(C163-E163))/(C163-D163))</f>
        <v>0.42857142857142855</v>
      </c>
      <c r="Q163">
        <f t="shared" ref="Q163" si="791">F163*P163</f>
        <v>792071.27614285704</v>
      </c>
      <c r="R163">
        <f t="shared" ref="R163" si="792">R164+Q163</f>
        <v>-264348477.40164021</v>
      </c>
      <c r="S163">
        <f t="shared" ref="S163" si="793">R163/100000</f>
        <v>-2643.4847740164018</v>
      </c>
      <c r="T163">
        <f t="shared" ref="T163" si="794">S163/1000</f>
        <v>-2.643484774016402</v>
      </c>
    </row>
    <row r="164" spans="1:20" x14ac:dyDescent="0.25">
      <c r="A164" s="5">
        <v>44429</v>
      </c>
      <c r="B164">
        <v>0.33500000000000002</v>
      </c>
      <c r="C164">
        <v>0.33600000000000002</v>
      </c>
      <c r="D164">
        <v>0.30499999999999999</v>
      </c>
      <c r="E164">
        <v>0.308</v>
      </c>
      <c r="F164">
        <v>11119356.976</v>
      </c>
      <c r="G164">
        <v>0.308</v>
      </c>
      <c r="L164" t="s">
        <v>7</v>
      </c>
      <c r="M164" t="s">
        <v>7</v>
      </c>
      <c r="N164" t="s">
        <v>7</v>
      </c>
      <c r="P164">
        <f t="shared" ref="P164" si="795">IF(C164=D164,0,((E164-D164)-(C164-E164))/(C164-D164))</f>
        <v>-0.80645161290322576</v>
      </c>
      <c r="Q164">
        <f t="shared" ref="Q164" si="796">F164*P164</f>
        <v>-8967223.367741935</v>
      </c>
      <c r="R164">
        <f t="shared" ref="R164" si="797">R165+Q164</f>
        <v>-265140548.67778307</v>
      </c>
      <c r="S164">
        <f t="shared" ref="S164" si="798">R164/100000</f>
        <v>-2651.4054867778309</v>
      </c>
      <c r="T164">
        <f t="shared" ref="T164" si="799">S164/1000</f>
        <v>-2.6514054867778309</v>
      </c>
    </row>
    <row r="165" spans="1:20" x14ac:dyDescent="0.25">
      <c r="A165" s="5">
        <v>44428</v>
      </c>
      <c r="B165">
        <v>0.32100000000000001</v>
      </c>
      <c r="C165">
        <v>0.33700000000000002</v>
      </c>
      <c r="D165">
        <v>0.31</v>
      </c>
      <c r="E165">
        <v>0.33500000000000002</v>
      </c>
      <c r="F165">
        <v>13324151.886</v>
      </c>
      <c r="G165">
        <v>0.33500000000000002</v>
      </c>
      <c r="L165" t="s">
        <v>8</v>
      </c>
      <c r="M165" t="s">
        <v>7</v>
      </c>
      <c r="N165" t="s">
        <v>7</v>
      </c>
      <c r="P165">
        <f t="shared" ref="P165" si="800">IF(C165=D165,0,((E165-D165)-(C165-E165))/(C165-D165))</f>
        <v>0.85185185185185186</v>
      </c>
      <c r="Q165">
        <f t="shared" ref="Q165" si="801">F165*P165</f>
        <v>11350203.458444444</v>
      </c>
      <c r="R165">
        <f t="shared" ref="R165" si="802">R166+Q165</f>
        <v>-256173325.31004113</v>
      </c>
      <c r="S165">
        <f t="shared" ref="S165" si="803">R165/100000</f>
        <v>-2561.7332531004113</v>
      </c>
      <c r="T165">
        <f t="shared" ref="T165" si="804">S165/1000</f>
        <v>-2.5617332531004111</v>
      </c>
    </row>
    <row r="166" spans="1:20" x14ac:dyDescent="0.25">
      <c r="A166" s="5">
        <v>44427</v>
      </c>
      <c r="B166">
        <v>0.30599999999999999</v>
      </c>
      <c r="C166">
        <v>0.32300000000000001</v>
      </c>
      <c r="D166">
        <v>0.28799999999999998</v>
      </c>
      <c r="E166">
        <v>0.32100000000000001</v>
      </c>
      <c r="F166">
        <v>15069341.444</v>
      </c>
      <c r="G166">
        <v>0.32100000000000001</v>
      </c>
      <c r="L166" t="s">
        <v>7</v>
      </c>
      <c r="M166" t="s">
        <v>7</v>
      </c>
      <c r="N166" t="s">
        <v>7</v>
      </c>
      <c r="P166">
        <f t="shared" ref="P166" si="805">IF(C166=D166,0,((E166-D166)-(C166-E166))/(C166-D166))</f>
        <v>0.88571428571428568</v>
      </c>
      <c r="Q166">
        <f t="shared" ref="Q166" si="806">F166*P166</f>
        <v>13347130.993257143</v>
      </c>
      <c r="R166">
        <f t="shared" ref="R166" si="807">R167+Q166</f>
        <v>-267523528.76848558</v>
      </c>
      <c r="S166">
        <f t="shared" ref="S166" si="808">R166/100000</f>
        <v>-2675.2352876848558</v>
      </c>
      <c r="T166">
        <f t="shared" ref="T166" si="809">S166/1000</f>
        <v>-2.6752352876848557</v>
      </c>
    </row>
    <row r="167" spans="1:20" x14ac:dyDescent="0.25">
      <c r="A167" s="5">
        <v>44426</v>
      </c>
      <c r="B167">
        <v>0.314</v>
      </c>
      <c r="C167">
        <v>0.32100000000000001</v>
      </c>
      <c r="D167">
        <v>0.29499999999999998</v>
      </c>
      <c r="E167">
        <v>0.30599999999999999</v>
      </c>
      <c r="F167">
        <v>13527746.259</v>
      </c>
      <c r="G167">
        <v>0.30599999999999999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-0.15384615384615385</v>
      </c>
      <c r="Q167">
        <f t="shared" ref="Q167" si="811">F167*P167</f>
        <v>-2081191.7321538462</v>
      </c>
      <c r="R167">
        <f t="shared" ref="R167" si="812">R168+Q167</f>
        <v>-280870659.76174271</v>
      </c>
      <c r="S167">
        <f t="shared" ref="S167" si="813">R167/100000</f>
        <v>-2808.7065976174272</v>
      </c>
      <c r="T167">
        <f t="shared" ref="T167" si="814">S167/1000</f>
        <v>-2.808706597617427</v>
      </c>
    </row>
    <row r="168" spans="1:20" x14ac:dyDescent="0.25">
      <c r="A168" s="5">
        <v>44425</v>
      </c>
      <c r="B168">
        <v>0.34499999999999997</v>
      </c>
      <c r="C168">
        <v>0.36599999999999999</v>
      </c>
      <c r="D168">
        <v>0.313</v>
      </c>
      <c r="E168">
        <v>0.314</v>
      </c>
      <c r="F168">
        <v>15065886.142000001</v>
      </c>
      <c r="G168">
        <v>0.314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-0.96226415094339623</v>
      </c>
      <c r="Q168">
        <f t="shared" ref="Q168" si="816">F168*P168</f>
        <v>-14497362.13664151</v>
      </c>
      <c r="R168">
        <f t="shared" ref="R168" si="817">R169+Q168</f>
        <v>-278789468.02958888</v>
      </c>
      <c r="S168">
        <f t="shared" ref="S168" si="818">R168/100000</f>
        <v>-2787.894680295889</v>
      </c>
      <c r="T168">
        <f t="shared" ref="T168" si="819">S168/1000</f>
        <v>-2.787894680295889</v>
      </c>
    </row>
    <row r="169" spans="1:20" x14ac:dyDescent="0.25">
      <c r="A169" s="5">
        <v>44424</v>
      </c>
      <c r="B169">
        <v>0.37</v>
      </c>
      <c r="C169">
        <v>0.39400000000000002</v>
      </c>
      <c r="D169">
        <v>0.34200000000000003</v>
      </c>
      <c r="E169">
        <v>0.34599999999999997</v>
      </c>
      <c r="F169">
        <v>23601559.879000001</v>
      </c>
      <c r="G169">
        <v>0.34599999999999997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-0.84615384615384814</v>
      </c>
      <c r="Q169">
        <f t="shared" ref="Q169" si="821">F169*P169</f>
        <v>-19970550.666846201</v>
      </c>
      <c r="R169">
        <f t="shared" ref="R169" si="822">R170+Q169</f>
        <v>-264292105.89294738</v>
      </c>
      <c r="S169">
        <f t="shared" ref="S169" si="823">R169/100000</f>
        <v>-2642.9210589294739</v>
      </c>
      <c r="T169">
        <f t="shared" ref="T169" si="824">S169/1000</f>
        <v>-2.642921058929474</v>
      </c>
    </row>
    <row r="170" spans="1:20" x14ac:dyDescent="0.25">
      <c r="A170" s="5">
        <v>44423</v>
      </c>
      <c r="B170">
        <v>0.32400000000000001</v>
      </c>
      <c r="C170">
        <v>0.40799999999999997</v>
      </c>
      <c r="D170">
        <v>0.32200000000000001</v>
      </c>
      <c r="E170">
        <v>0.37</v>
      </c>
      <c r="F170">
        <v>56752644.057999998</v>
      </c>
      <c r="G170">
        <v>0.37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0.11627906976744201</v>
      </c>
      <c r="Q170">
        <f t="shared" ref="Q170" si="826">F170*P170</f>
        <v>6599144.6579069849</v>
      </c>
      <c r="R170">
        <f t="shared" ref="R170" si="827">R171+Q170</f>
        <v>-244321555.22610116</v>
      </c>
      <c r="S170">
        <f t="shared" ref="S170" si="828">R170/100000</f>
        <v>-2443.2155522610115</v>
      </c>
      <c r="T170">
        <f t="shared" ref="T170" si="829">S170/1000</f>
        <v>-2.4432155522610115</v>
      </c>
    </row>
    <row r="171" spans="1:20" x14ac:dyDescent="0.25">
      <c r="A171" s="5">
        <v>44422</v>
      </c>
      <c r="B171">
        <v>0.32600000000000001</v>
      </c>
      <c r="C171">
        <v>0.35</v>
      </c>
      <c r="D171">
        <v>0.309</v>
      </c>
      <c r="E171">
        <v>0.32400000000000001</v>
      </c>
      <c r="F171">
        <v>19206905.291999999</v>
      </c>
      <c r="G171">
        <v>0.32400000000000001</v>
      </c>
      <c r="L171" t="s">
        <v>8</v>
      </c>
      <c r="M171" t="s">
        <v>7</v>
      </c>
      <c r="N171" t="s">
        <v>7</v>
      </c>
      <c r="P171">
        <f t="shared" ref="P171" si="830">IF(C171=D171,0,((E171-D171)-(C171-E171))/(C171-D171))</f>
        <v>-0.26829268292682829</v>
      </c>
      <c r="Q171">
        <f t="shared" ref="Q171" si="831">F171*P171</f>
        <v>-5153072.1515121758</v>
      </c>
      <c r="R171">
        <f t="shared" ref="R171" si="832">R172+Q171</f>
        <v>-250920699.88400814</v>
      </c>
      <c r="S171">
        <f t="shared" ref="S171" si="833">R171/100000</f>
        <v>-2509.2069988400813</v>
      </c>
      <c r="T171">
        <f t="shared" ref="T171" si="834">S171/1000</f>
        <v>-2.5092069988400811</v>
      </c>
    </row>
    <row r="172" spans="1:20" x14ac:dyDescent="0.25">
      <c r="A172" s="5">
        <v>44421</v>
      </c>
      <c r="B172">
        <v>0.309</v>
      </c>
      <c r="C172">
        <v>0.33</v>
      </c>
      <c r="D172">
        <v>0.308</v>
      </c>
      <c r="E172">
        <v>0.32500000000000001</v>
      </c>
      <c r="F172">
        <v>12123535.556</v>
      </c>
      <c r="G172">
        <v>0.32500000000000001</v>
      </c>
      <c r="L172" t="s">
        <v>8</v>
      </c>
      <c r="M172" t="s">
        <v>7</v>
      </c>
      <c r="N172" t="s">
        <v>7</v>
      </c>
      <c r="P172">
        <f t="shared" ref="P172" si="835">IF(C172=D172,0,((E172-D172)-(C172-E172))/(C172-D172))</f>
        <v>0.54545454545454541</v>
      </c>
      <c r="Q172">
        <f t="shared" ref="Q172" si="836">F172*P172</f>
        <v>6612837.5759999994</v>
      </c>
      <c r="R172">
        <f t="shared" ref="R172" si="837">R173+Q172</f>
        <v>-245767627.73249596</v>
      </c>
      <c r="S172">
        <f t="shared" ref="S172" si="838">R172/100000</f>
        <v>-2457.6762773249598</v>
      </c>
      <c r="T172">
        <f t="shared" ref="T172" si="839">S172/1000</f>
        <v>-2.4576762773249596</v>
      </c>
    </row>
    <row r="173" spans="1:20" x14ac:dyDescent="0.25">
      <c r="A173" s="5">
        <v>44420</v>
      </c>
      <c r="B173">
        <v>0.32800000000000001</v>
      </c>
      <c r="C173">
        <v>0.34899999999999998</v>
      </c>
      <c r="D173">
        <v>0.29799999999999999</v>
      </c>
      <c r="E173">
        <v>0.309</v>
      </c>
      <c r="F173">
        <v>17920886.794</v>
      </c>
      <c r="G173">
        <v>0.309</v>
      </c>
      <c r="L173" t="s">
        <v>7</v>
      </c>
      <c r="M173" t="s">
        <v>7</v>
      </c>
      <c r="N173" t="s">
        <v>7</v>
      </c>
      <c r="P173">
        <f t="shared" ref="P173" si="840">IF(C173=D173,0,((E173-D173)-(C173-E173))/(C173-D173))</f>
        <v>-0.56862745098039169</v>
      </c>
      <c r="Q173">
        <f t="shared" ref="Q173" si="841">F173*P173</f>
        <v>-10190308.176980384</v>
      </c>
      <c r="R173">
        <f t="shared" ref="R173" si="842">R174+Q173</f>
        <v>-252380465.30849597</v>
      </c>
      <c r="S173">
        <f t="shared" ref="S173" si="843">R173/100000</f>
        <v>-2523.8046530849597</v>
      </c>
      <c r="T173">
        <f t="shared" ref="T173" si="844">S173/1000</f>
        <v>-2.5238046530849596</v>
      </c>
    </row>
    <row r="174" spans="1:20" x14ac:dyDescent="0.25">
      <c r="A174" s="5">
        <v>44419</v>
      </c>
      <c r="B174">
        <v>0.32300000000000001</v>
      </c>
      <c r="C174">
        <v>0.36499999999999999</v>
      </c>
      <c r="D174">
        <v>0.314</v>
      </c>
      <c r="E174">
        <v>0.32900000000000001</v>
      </c>
      <c r="F174">
        <v>32753899.423</v>
      </c>
      <c r="G174">
        <v>0.32900000000000001</v>
      </c>
      <c r="L174" t="s">
        <v>8</v>
      </c>
      <c r="M174" t="s">
        <v>8</v>
      </c>
      <c r="N174" t="s">
        <v>7</v>
      </c>
      <c r="P174">
        <f t="shared" ref="P174" si="845">IF(C174=D174,0,((E174-D174)-(C174-E174))/(C174-D174))</f>
        <v>-0.41176470588235231</v>
      </c>
      <c r="Q174">
        <f t="shared" ref="Q174" si="846">F174*P174</f>
        <v>-13486899.762411743</v>
      </c>
      <c r="R174">
        <f t="shared" ref="R174" si="847">R175+Q174</f>
        <v>-242190157.13151559</v>
      </c>
      <c r="S174">
        <f t="shared" ref="S174" si="848">R174/100000</f>
        <v>-2421.9015713151557</v>
      </c>
      <c r="T174">
        <f t="shared" ref="T174" si="849">S174/1000</f>
        <v>-2.4219015713151557</v>
      </c>
    </row>
    <row r="175" spans="1:20" x14ac:dyDescent="0.25">
      <c r="A175" s="5">
        <v>44418</v>
      </c>
      <c r="B175">
        <v>0.309</v>
      </c>
      <c r="C175">
        <v>0.34300000000000003</v>
      </c>
      <c r="D175">
        <v>0.28799999999999998</v>
      </c>
      <c r="E175">
        <v>0.32300000000000001</v>
      </c>
      <c r="F175">
        <v>30507475.864</v>
      </c>
      <c r="G175">
        <v>0.32300000000000001</v>
      </c>
      <c r="L175" t="s">
        <v>8</v>
      </c>
      <c r="M175" t="s">
        <v>8</v>
      </c>
      <c r="N175" t="s">
        <v>7</v>
      </c>
      <c r="P175">
        <f t="shared" ref="P175" si="850">IF(C175=D175,0,((E175-D175)-(C175-E175))/(C175-D175))</f>
        <v>0.27272727272727271</v>
      </c>
      <c r="Q175">
        <f t="shared" ref="Q175" si="851">F175*P175</f>
        <v>8320220.6901818179</v>
      </c>
      <c r="R175">
        <f t="shared" ref="R175" si="852">R176+Q175</f>
        <v>-228703257.36910385</v>
      </c>
      <c r="S175">
        <f t="shared" ref="S175" si="853">R175/100000</f>
        <v>-2287.0325736910386</v>
      </c>
      <c r="T175">
        <f t="shared" ref="T175" si="854">S175/1000</f>
        <v>-2.2870325736910386</v>
      </c>
    </row>
    <row r="176" spans="1:20" x14ac:dyDescent="0.25">
      <c r="A176" s="5">
        <v>44417</v>
      </c>
      <c r="B176">
        <v>0.29399999999999998</v>
      </c>
      <c r="C176">
        <v>0.33400000000000002</v>
      </c>
      <c r="D176">
        <v>0.27900000000000003</v>
      </c>
      <c r="E176">
        <v>0.31</v>
      </c>
      <c r="F176">
        <v>27564883.294</v>
      </c>
      <c r="G176">
        <v>0.31</v>
      </c>
      <c r="L176" t="s">
        <v>7</v>
      </c>
      <c r="M176" t="s">
        <v>7</v>
      </c>
      <c r="N176" t="s">
        <v>7</v>
      </c>
      <c r="P176">
        <f t="shared" ref="P176" si="855">IF(C176=D176,0,((E176-D176)-(C176-E176))/(C176-D176))</f>
        <v>0.1272727272727264</v>
      </c>
      <c r="Q176">
        <f t="shared" ref="Q176" si="856">F176*P176</f>
        <v>3508257.8737817942</v>
      </c>
      <c r="R176">
        <f t="shared" ref="R176" si="857">R177+Q176</f>
        <v>-237023478.05928567</v>
      </c>
      <c r="S176">
        <f t="shared" ref="S176" si="858">R176/100000</f>
        <v>-2370.2347805928566</v>
      </c>
      <c r="T176">
        <f t="shared" ref="T176" si="859">S176/1000</f>
        <v>-2.3702347805928565</v>
      </c>
    </row>
    <row r="177" spans="1:20" x14ac:dyDescent="0.25">
      <c r="A177" s="5">
        <v>44416</v>
      </c>
      <c r="B177">
        <v>0.32700000000000001</v>
      </c>
      <c r="C177">
        <v>0.40699999999999997</v>
      </c>
      <c r="D177">
        <v>0.29299999999999998</v>
      </c>
      <c r="E177">
        <v>0.29399999999999998</v>
      </c>
      <c r="F177">
        <v>66026445.267999999</v>
      </c>
      <c r="G177">
        <v>0.29399999999999998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-0.98245614035087714</v>
      </c>
      <c r="Q177">
        <f t="shared" ref="Q177" si="861">F177*P177</f>
        <v>-64868086.579087712</v>
      </c>
      <c r="R177">
        <f t="shared" ref="R177" si="862">R178+Q177</f>
        <v>-240531735.93306747</v>
      </c>
      <c r="S177">
        <f t="shared" ref="S177" si="863">R177/100000</f>
        <v>-2405.3173593306747</v>
      </c>
      <c r="T177">
        <f t="shared" ref="T177" si="864">S177/1000</f>
        <v>-2.4053173593306747</v>
      </c>
    </row>
    <row r="178" spans="1:20" x14ac:dyDescent="0.25">
      <c r="A178" s="5">
        <v>44415</v>
      </c>
      <c r="B178">
        <v>0.26100000000000001</v>
      </c>
      <c r="C178">
        <v>0.39400000000000002</v>
      </c>
      <c r="D178">
        <v>0.25800000000000001</v>
      </c>
      <c r="E178">
        <v>0.32700000000000001</v>
      </c>
      <c r="F178">
        <v>69553021.252000004</v>
      </c>
      <c r="G178">
        <v>0.32700000000000001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1.4705882352941188E-2</v>
      </c>
      <c r="Q178">
        <f t="shared" ref="Q178" si="866">F178*P178</f>
        <v>1022838.5478235303</v>
      </c>
      <c r="R178">
        <f t="shared" ref="R178" si="867">R179+Q178</f>
        <v>-175663649.35397977</v>
      </c>
      <c r="S178">
        <f t="shared" ref="S178" si="868">R178/100000</f>
        <v>-1756.6364935397976</v>
      </c>
      <c r="T178">
        <f t="shared" ref="T178" si="869">S178/1000</f>
        <v>-1.7566364935397976</v>
      </c>
    </row>
    <row r="179" spans="1:20" x14ac:dyDescent="0.25">
      <c r="A179" s="5">
        <v>44414</v>
      </c>
      <c r="B179">
        <v>0.27600000000000002</v>
      </c>
      <c r="C179">
        <v>0.28100000000000003</v>
      </c>
      <c r="D179">
        <v>0.247</v>
      </c>
      <c r="E179">
        <v>0.26100000000000001</v>
      </c>
      <c r="F179">
        <v>24003005.559999999</v>
      </c>
      <c r="G179">
        <v>0.26100000000000001</v>
      </c>
      <c r="L179" t="s">
        <v>7</v>
      </c>
      <c r="M179" t="s">
        <v>7</v>
      </c>
      <c r="N179" t="s">
        <v>8</v>
      </c>
      <c r="P179">
        <f t="shared" ref="P179" si="870">IF(C179=D179,0,((E179-D179)-(C179-E179))/(C179-D179))</f>
        <v>-0.17647058823529413</v>
      </c>
      <c r="Q179">
        <f t="shared" ref="Q179" si="871">F179*P179</f>
        <v>-4235824.5105882352</v>
      </c>
      <c r="R179">
        <f t="shared" ref="R179" si="872">R180+Q179</f>
        <v>-176686487.90180328</v>
      </c>
      <c r="S179">
        <f t="shared" ref="S179" si="873">R179/100000</f>
        <v>-1766.8648790180328</v>
      </c>
      <c r="T179">
        <f t="shared" ref="T179" si="874">S179/1000</f>
        <v>-1.7668648790180328</v>
      </c>
    </row>
    <row r="180" spans="1:20" x14ac:dyDescent="0.25">
      <c r="A180" s="5">
        <v>44413</v>
      </c>
      <c r="B180">
        <v>0.21299999999999999</v>
      </c>
      <c r="C180">
        <v>0.29899999999999999</v>
      </c>
      <c r="D180">
        <v>0.21099999999999999</v>
      </c>
      <c r="E180">
        <v>0.27600000000000002</v>
      </c>
      <c r="F180">
        <v>53136739.403999999</v>
      </c>
      <c r="G180">
        <v>0.27600000000000002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0.47727272727272801</v>
      </c>
      <c r="Q180">
        <f t="shared" ref="Q180" si="876">F180*P180</f>
        <v>25360716.533727311</v>
      </c>
      <c r="R180">
        <f t="shared" ref="R180" si="877">R181+Q180</f>
        <v>-172450663.39121506</v>
      </c>
      <c r="S180">
        <f t="shared" ref="S180" si="878">R180/100000</f>
        <v>-1724.5066339121506</v>
      </c>
      <c r="T180">
        <f t="shared" ref="T180" si="879">S180/1000</f>
        <v>-1.7245066339121506</v>
      </c>
    </row>
    <row r="181" spans="1:20" x14ac:dyDescent="0.25">
      <c r="A181" s="5">
        <v>44412</v>
      </c>
      <c r="B181">
        <v>0.20200000000000001</v>
      </c>
      <c r="C181">
        <v>0.217</v>
      </c>
      <c r="D181">
        <v>0.19700000000000001</v>
      </c>
      <c r="E181">
        <v>0.214</v>
      </c>
      <c r="F181">
        <v>4897855.1619999995</v>
      </c>
      <c r="G181">
        <v>0.214</v>
      </c>
      <c r="L181" t="s">
        <v>7</v>
      </c>
      <c r="M181" t="s">
        <v>7</v>
      </c>
      <c r="N181" t="s">
        <v>7</v>
      </c>
      <c r="P181">
        <f t="shared" ref="P181" si="880">IF(C181=D181,0,((E181-D181)-(C181-E181))/(C181-D181))</f>
        <v>0.69999999999999962</v>
      </c>
      <c r="Q181">
        <f t="shared" ref="Q181" si="881">F181*P181</f>
        <v>3428498.6133999978</v>
      </c>
      <c r="R181">
        <f t="shared" ref="R181" si="882">R182+Q181</f>
        <v>-197811379.92494237</v>
      </c>
      <c r="S181">
        <f t="shared" ref="S181" si="883">R181/100000</f>
        <v>-1978.1137992494237</v>
      </c>
      <c r="T181">
        <f t="shared" ref="T181" si="884">S181/1000</f>
        <v>-1.9781137992494238</v>
      </c>
    </row>
    <row r="182" spans="1:20" x14ac:dyDescent="0.25">
      <c r="A182" s="5">
        <v>44411</v>
      </c>
      <c r="B182">
        <v>0.21</v>
      </c>
      <c r="C182">
        <v>0.21199999999999999</v>
      </c>
      <c r="D182">
        <v>0.19900000000000001</v>
      </c>
      <c r="E182">
        <v>0.20200000000000001</v>
      </c>
      <c r="F182">
        <v>4406295.5820000004</v>
      </c>
      <c r="G182">
        <v>0.20200000000000001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-0.53846153846153744</v>
      </c>
      <c r="Q182">
        <f t="shared" ref="Q182" si="886">F182*P182</f>
        <v>-2372620.6979999957</v>
      </c>
      <c r="R182">
        <f t="shared" ref="R182" si="887">R183+Q182</f>
        <v>-201239878.53834239</v>
      </c>
      <c r="S182">
        <f t="shared" ref="S182" si="888">R182/100000</f>
        <v>-2012.398785383424</v>
      </c>
      <c r="T182">
        <f t="shared" ref="T182" si="889">S182/1000</f>
        <v>-2.0123987853834238</v>
      </c>
    </row>
    <row r="183" spans="1:20" x14ac:dyDescent="0.25">
      <c r="A183" s="5">
        <v>44410</v>
      </c>
      <c r="B183">
        <v>0.21099999999999999</v>
      </c>
      <c r="C183">
        <v>0.21299999999999999</v>
      </c>
      <c r="D183">
        <v>0.20499999999999999</v>
      </c>
      <c r="E183">
        <v>0.21</v>
      </c>
      <c r="F183">
        <v>3774595.108</v>
      </c>
      <c r="G183">
        <v>0.21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0.25</v>
      </c>
      <c r="Q183">
        <f t="shared" ref="Q183" si="891">F183*P183</f>
        <v>943648.777</v>
      </c>
      <c r="R183">
        <f t="shared" ref="R183" si="892">R184+Q183</f>
        <v>-198867257.8403424</v>
      </c>
      <c r="S183">
        <f t="shared" ref="S183" si="893">R183/100000</f>
        <v>-1988.672578403424</v>
      </c>
      <c r="T183">
        <f t="shared" ref="T183" si="894">S183/1000</f>
        <v>-1.988672578403424</v>
      </c>
    </row>
    <row r="184" spans="1:20" x14ac:dyDescent="0.25">
      <c r="A184" s="5">
        <v>44409</v>
      </c>
      <c r="B184">
        <v>0.215</v>
      </c>
      <c r="C184">
        <v>0.222</v>
      </c>
      <c r="D184">
        <v>0.20899999999999999</v>
      </c>
      <c r="E184">
        <v>0.21099999999999999</v>
      </c>
      <c r="F184">
        <v>6255870.7249999996</v>
      </c>
      <c r="G184">
        <v>0.21099999999999999</v>
      </c>
      <c r="L184" t="s">
        <v>8</v>
      </c>
      <c r="M184" t="s">
        <v>8</v>
      </c>
      <c r="N184" t="s">
        <v>7</v>
      </c>
      <c r="P184">
        <f t="shared" ref="P184" si="895">IF(C184=D184,0,((E184-D184)-(C184-E184))/(C184-D184))</f>
        <v>-0.69230769230769229</v>
      </c>
      <c r="Q184">
        <f t="shared" ref="Q184" si="896">F184*P184</f>
        <v>-4330987.4249999998</v>
      </c>
      <c r="R184">
        <f t="shared" ref="R184" si="897">R185+Q184</f>
        <v>-199810906.61734241</v>
      </c>
      <c r="S184">
        <f t="shared" ref="S184" si="898">R184/100000</f>
        <v>-1998.109066173424</v>
      </c>
      <c r="T184">
        <f t="shared" ref="T184" si="899">S184/1000</f>
        <v>-1.998109066173424</v>
      </c>
    </row>
    <row r="185" spans="1:20" x14ac:dyDescent="0.25">
      <c r="A185" s="5">
        <v>44408</v>
      </c>
      <c r="B185">
        <v>0.21099999999999999</v>
      </c>
      <c r="C185">
        <v>0.217</v>
      </c>
      <c r="D185">
        <v>0.20599999999999999</v>
      </c>
      <c r="E185">
        <v>0.215</v>
      </c>
      <c r="F185">
        <v>4239177.1399999997</v>
      </c>
      <c r="G185">
        <v>0.215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0.63636363636363635</v>
      </c>
      <c r="Q185">
        <f t="shared" ref="Q185" si="901">F185*P185</f>
        <v>2697658.1799999997</v>
      </c>
      <c r="R185">
        <f t="shared" ref="R185" si="902">R186+Q185</f>
        <v>-195479919.1923424</v>
      </c>
      <c r="S185">
        <f t="shared" ref="S185" si="903">R185/100000</f>
        <v>-1954.7991919234239</v>
      </c>
      <c r="T185">
        <f t="shared" ref="T185" si="904">S185/1000</f>
        <v>-1.954799191923424</v>
      </c>
    </row>
    <row r="186" spans="1:20" x14ac:dyDescent="0.25">
      <c r="A186" s="5">
        <v>44407</v>
      </c>
      <c r="B186">
        <v>0.21</v>
      </c>
      <c r="C186">
        <v>0.215</v>
      </c>
      <c r="D186">
        <v>0.20100000000000001</v>
      </c>
      <c r="E186">
        <v>0.21099999999999999</v>
      </c>
      <c r="F186">
        <v>4108257.8769999999</v>
      </c>
      <c r="G186">
        <v>0.21099999999999999</v>
      </c>
      <c r="L186" t="s">
        <v>7</v>
      </c>
      <c r="M186" t="s">
        <v>8</v>
      </c>
      <c r="N186" t="s">
        <v>7</v>
      </c>
      <c r="P186">
        <f t="shared" ref="P186" si="905">IF(C186=D186,0,((E186-D186)-(C186-E186))/(C186-D186))</f>
        <v>0.42857142857142744</v>
      </c>
      <c r="Q186">
        <f t="shared" ref="Q186" si="906">F186*P186</f>
        <v>1760681.9472857097</v>
      </c>
      <c r="R186">
        <f t="shared" ref="R186" si="907">R187+Q186</f>
        <v>-198177577.37234241</v>
      </c>
      <c r="S186">
        <f t="shared" ref="S186" si="908">R186/100000</f>
        <v>-1981.775773723424</v>
      </c>
      <c r="T186">
        <f t="shared" ref="T186" si="909">S186/1000</f>
        <v>-1.9817757737234241</v>
      </c>
    </row>
    <row r="187" spans="1:20" x14ac:dyDescent="0.25">
      <c r="A187" s="5">
        <v>44406</v>
      </c>
      <c r="B187">
        <v>0.20899999999999999</v>
      </c>
      <c r="C187">
        <v>0.214</v>
      </c>
      <c r="D187">
        <v>0.20599999999999999</v>
      </c>
      <c r="E187">
        <v>0.21</v>
      </c>
      <c r="F187">
        <v>3733439.4929999998</v>
      </c>
      <c r="G187">
        <v>0.21</v>
      </c>
      <c r="L187" t="s">
        <v>7</v>
      </c>
      <c r="M187" t="s">
        <v>8</v>
      </c>
      <c r="N187" t="s">
        <v>7</v>
      </c>
      <c r="P187">
        <f t="shared" ref="P187" si="910">IF(C187=D187,0,((E187-D187)-(C187-E187))/(C187-D187))</f>
        <v>0</v>
      </c>
      <c r="Q187">
        <f t="shared" ref="Q187" si="911">F187*P187</f>
        <v>0</v>
      </c>
      <c r="R187">
        <f t="shared" ref="R187" si="912">R188+Q187</f>
        <v>-199938259.31962812</v>
      </c>
      <c r="S187">
        <f t="shared" ref="S187" si="913">R187/100000</f>
        <v>-1999.3825931962813</v>
      </c>
      <c r="T187">
        <f t="shared" ref="T187" si="914">S187/1000</f>
        <v>-1.9993825931962812</v>
      </c>
    </row>
    <row r="188" spans="1:20" x14ac:dyDescent="0.25">
      <c r="A188" s="5">
        <v>44405</v>
      </c>
      <c r="B188">
        <v>0.21099999999999999</v>
      </c>
      <c r="C188">
        <v>0.217</v>
      </c>
      <c r="D188">
        <v>0.20599999999999999</v>
      </c>
      <c r="E188">
        <v>0.20799999999999999</v>
      </c>
      <c r="F188">
        <v>5183695.1749999998</v>
      </c>
      <c r="G188">
        <v>0.20799999999999999</v>
      </c>
      <c r="L188" t="s">
        <v>7</v>
      </c>
      <c r="M188" t="s">
        <v>8</v>
      </c>
      <c r="N188" t="s">
        <v>7</v>
      </c>
      <c r="P188">
        <f t="shared" ref="P188" si="915">IF(C188=D188,0,((E188-D188)-(C188-E188))/(C188-D188))</f>
        <v>-0.63636363636363635</v>
      </c>
      <c r="Q188">
        <f t="shared" ref="Q188" si="916">F188*P188</f>
        <v>-3298715.1113636363</v>
      </c>
      <c r="R188">
        <f t="shared" ref="R188" si="917">R189+Q188</f>
        <v>-199938259.31962812</v>
      </c>
      <c r="S188">
        <f t="shared" ref="S188" si="918">R188/100000</f>
        <v>-1999.3825931962813</v>
      </c>
      <c r="T188">
        <f t="shared" ref="T188" si="919">S188/1000</f>
        <v>-1.9993825931962812</v>
      </c>
    </row>
    <row r="189" spans="1:20" x14ac:dyDescent="0.25">
      <c r="A189" s="5">
        <v>44404</v>
      </c>
      <c r="B189">
        <v>0.219</v>
      </c>
      <c r="C189">
        <v>0.22</v>
      </c>
      <c r="D189">
        <v>0.20699999999999999</v>
      </c>
      <c r="E189">
        <v>0.21</v>
      </c>
      <c r="F189">
        <v>5167247.8729999997</v>
      </c>
      <c r="G189">
        <v>0.21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-0.53846153846153844</v>
      </c>
      <c r="Q189">
        <f t="shared" ref="Q189" si="921">F189*P189</f>
        <v>-2782364.2393076918</v>
      </c>
      <c r="R189">
        <f t="shared" ref="R189" si="922">R190+Q189</f>
        <v>-196639544.20826447</v>
      </c>
      <c r="S189">
        <f t="shared" ref="S189" si="923">R189/100000</f>
        <v>-1966.3954420826446</v>
      </c>
      <c r="T189">
        <f t="shared" ref="T189" si="924">S189/1000</f>
        <v>-1.9663954420826446</v>
      </c>
    </row>
    <row r="190" spans="1:20" x14ac:dyDescent="0.25">
      <c r="A190" s="5">
        <v>44403</v>
      </c>
      <c r="B190">
        <v>0.222</v>
      </c>
      <c r="C190">
        <v>0.23300000000000001</v>
      </c>
      <c r="D190">
        <v>0.218</v>
      </c>
      <c r="E190">
        <v>0.219</v>
      </c>
      <c r="F190">
        <v>8269779.7060000002</v>
      </c>
      <c r="G190">
        <v>0.219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-0.8666666666666667</v>
      </c>
      <c r="Q190">
        <f t="shared" ref="Q190" si="926">F190*P190</f>
        <v>-7167142.4118666667</v>
      </c>
      <c r="R190">
        <f t="shared" ref="R190" si="927">R191+Q190</f>
        <v>-193857179.96895677</v>
      </c>
      <c r="S190">
        <f t="shared" ref="S190" si="928">R190/100000</f>
        <v>-1938.5717996895678</v>
      </c>
      <c r="T190">
        <f t="shared" ref="T190" si="929">S190/1000</f>
        <v>-1.9385717996895677</v>
      </c>
    </row>
    <row r="191" spans="1:20" x14ac:dyDescent="0.25">
      <c r="A191" s="5">
        <v>44402</v>
      </c>
      <c r="B191">
        <v>0.21199999999999999</v>
      </c>
      <c r="C191">
        <v>0.224</v>
      </c>
      <c r="D191">
        <v>0.20599999999999999</v>
      </c>
      <c r="E191">
        <v>0.222</v>
      </c>
      <c r="F191">
        <v>5564953.6220000004</v>
      </c>
      <c r="G191">
        <v>0.222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0.77777777777777779</v>
      </c>
      <c r="Q191">
        <f t="shared" ref="Q191" si="931">F191*P191</f>
        <v>4328297.2615555562</v>
      </c>
      <c r="R191">
        <f t="shared" ref="R191" si="932">R192+Q191</f>
        <v>-186690037.5570901</v>
      </c>
      <c r="S191">
        <f t="shared" ref="S191" si="933">R191/100000</f>
        <v>-1866.9003755709011</v>
      </c>
      <c r="T191">
        <f t="shared" ref="T191" si="934">S191/1000</f>
        <v>-1.866900375570901</v>
      </c>
    </row>
    <row r="192" spans="1:20" x14ac:dyDescent="0.25">
      <c r="A192" s="5">
        <v>44401</v>
      </c>
      <c r="B192">
        <v>0.21299999999999999</v>
      </c>
      <c r="C192">
        <v>0.23</v>
      </c>
      <c r="D192">
        <v>0.20599999999999999</v>
      </c>
      <c r="E192">
        <v>0.21199999999999999</v>
      </c>
      <c r="F192">
        <v>10430036.669</v>
      </c>
      <c r="G192">
        <v>0.21199999999999999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-0.5</v>
      </c>
      <c r="Q192">
        <f t="shared" ref="Q192" si="936">F192*P192</f>
        <v>-5215018.3344999999</v>
      </c>
      <c r="R192">
        <f t="shared" ref="R192" si="937">R193+Q192</f>
        <v>-191018334.81864566</v>
      </c>
      <c r="S192">
        <f t="shared" ref="S192" si="938">R192/100000</f>
        <v>-1910.1833481864567</v>
      </c>
      <c r="T192">
        <f t="shared" ref="T192:T197" si="939">S192/1000</f>
        <v>-1.9101833481864567</v>
      </c>
    </row>
    <row r="193" spans="1:20" x14ac:dyDescent="0.25">
      <c r="A193" s="5">
        <v>44400</v>
      </c>
      <c r="B193">
        <v>0.20200000000000001</v>
      </c>
      <c r="C193">
        <v>0.21199999999999999</v>
      </c>
      <c r="D193">
        <v>0.2</v>
      </c>
      <c r="E193">
        <v>0.21199999999999999</v>
      </c>
      <c r="F193">
        <v>3618360.7689999999</v>
      </c>
      <c r="G193">
        <v>0.21199999999999999</v>
      </c>
      <c r="L193" t="s">
        <v>8</v>
      </c>
      <c r="M193" t="s">
        <v>8</v>
      </c>
      <c r="N193" t="s">
        <v>7</v>
      </c>
      <c r="P193">
        <f t="shared" ref="P193" si="940">IF(C193=D193,0,((E193-D193)-(C193-E193))/(C193-D193))</f>
        <v>1</v>
      </c>
      <c r="Q193">
        <f t="shared" ref="Q193" si="941">F193*P193</f>
        <v>3618360.7689999999</v>
      </c>
      <c r="R193">
        <f t="shared" ref="R193" si="942">R194+Q193</f>
        <v>-185803316.48414564</v>
      </c>
      <c r="S193">
        <f t="shared" ref="S193" si="943">R193/100000</f>
        <v>-1858.0331648414565</v>
      </c>
      <c r="T193">
        <f t="shared" si="939"/>
        <v>-1.8580331648414565</v>
      </c>
    </row>
    <row r="194" spans="1:20" x14ac:dyDescent="0.25">
      <c r="A194" s="5">
        <v>44399</v>
      </c>
      <c r="B194">
        <v>0.20100000000000001</v>
      </c>
      <c r="C194">
        <v>0.20399999999999999</v>
      </c>
      <c r="D194">
        <v>0.19500000000000001</v>
      </c>
      <c r="E194">
        <v>0.20200000000000001</v>
      </c>
      <c r="F194">
        <v>2855965.83</v>
      </c>
      <c r="G194">
        <v>0.20200000000000001</v>
      </c>
      <c r="L194" t="s">
        <v>8</v>
      </c>
      <c r="M194" t="s">
        <v>7</v>
      </c>
      <c r="N194" t="s">
        <v>7</v>
      </c>
      <c r="P194">
        <f t="shared" ref="P194" si="944">IF(C194=D194,0,((E194-D194)-(C194-E194))/(C194-D194))</f>
        <v>0.55555555555556035</v>
      </c>
      <c r="Q194">
        <f t="shared" ref="Q194" si="945">F194*P194</f>
        <v>1586647.6833333471</v>
      </c>
      <c r="R194">
        <f t="shared" ref="R194" si="946">R195+Q194</f>
        <v>-189421677.25314564</v>
      </c>
      <c r="S194">
        <f t="shared" ref="S194" si="947">R194/100000</f>
        <v>-1894.2167725314564</v>
      </c>
      <c r="T194">
        <f t="shared" si="939"/>
        <v>-1.8942167725314565</v>
      </c>
    </row>
    <row r="195" spans="1:20" x14ac:dyDescent="0.25">
      <c r="A195" s="5">
        <v>44398</v>
      </c>
      <c r="B195">
        <v>0.188</v>
      </c>
      <c r="C195">
        <v>0.20699999999999999</v>
      </c>
      <c r="D195">
        <v>0.185</v>
      </c>
      <c r="E195">
        <v>0.20100000000000001</v>
      </c>
      <c r="F195">
        <v>3436139.017</v>
      </c>
      <c r="G195">
        <v>0.20100000000000001</v>
      </c>
      <c r="L195" t="s">
        <v>8</v>
      </c>
      <c r="M195" t="s">
        <v>7</v>
      </c>
      <c r="N195" t="s">
        <v>7</v>
      </c>
      <c r="P195">
        <f t="shared" ref="P195" si="948">IF(C195=D195,0,((E195-D195)-(C195-E195))/(C195-D195))</f>
        <v>0.45454545454545636</v>
      </c>
      <c r="Q195">
        <f t="shared" ref="Q195" si="949">F195*P195</f>
        <v>1561881.3713636426</v>
      </c>
      <c r="R195">
        <f t="shared" ref="R195" si="950">R196+Q195</f>
        <v>-191008324.93647897</v>
      </c>
      <c r="S195">
        <f t="shared" ref="S195" si="951">R195/100000</f>
        <v>-1910.0832493647897</v>
      </c>
      <c r="T195">
        <f t="shared" si="939"/>
        <v>-1.9100832493647897</v>
      </c>
    </row>
    <row r="196" spans="1:20" x14ac:dyDescent="0.25">
      <c r="A196" s="5">
        <v>44397</v>
      </c>
      <c r="B196">
        <v>0.187</v>
      </c>
      <c r="C196">
        <v>0.23899999999999999</v>
      </c>
      <c r="D196">
        <v>0.17899999999999999</v>
      </c>
      <c r="E196">
        <v>0.187</v>
      </c>
      <c r="F196">
        <v>7458329.6050000004</v>
      </c>
      <c r="G196">
        <v>0.187</v>
      </c>
      <c r="L196" t="s">
        <v>7</v>
      </c>
      <c r="M196" t="s">
        <v>7</v>
      </c>
      <c r="N196" t="s">
        <v>7</v>
      </c>
      <c r="P196">
        <f t="shared" ref="P196" si="952">IF(C196=D196,0,((E196-D196)-(C196-E196))/(C196-D196))</f>
        <v>-0.73333333333333306</v>
      </c>
      <c r="Q196">
        <f t="shared" ref="Q196" si="953">F196*P196</f>
        <v>-5469441.7103333315</v>
      </c>
      <c r="R196">
        <f t="shared" ref="R196" si="954">R197+Q196</f>
        <v>-192570206.30784261</v>
      </c>
      <c r="S196">
        <f t="shared" ref="S196" si="955">R196/100000</f>
        <v>-1925.7020630784261</v>
      </c>
      <c r="T196">
        <f t="shared" si="939"/>
        <v>-1.9257020630784261</v>
      </c>
    </row>
    <row r="197" spans="1:20" x14ac:dyDescent="0.25">
      <c r="A197" s="5">
        <v>44396</v>
      </c>
      <c r="B197">
        <v>0.20100000000000001</v>
      </c>
      <c r="C197">
        <v>0.20599999999999999</v>
      </c>
      <c r="D197">
        <v>0.187</v>
      </c>
      <c r="E197">
        <v>0.188</v>
      </c>
      <c r="F197">
        <v>3004195.9870000002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6">IF(C197=D197,0,((E197-D197)-(C197-E197))/(C197-D197))</f>
        <v>-0.89473684210526305</v>
      </c>
      <c r="Q197">
        <f t="shared" ref="Q197" si="957">F197*P197</f>
        <v>-2687964.8304736842</v>
      </c>
      <c r="R197">
        <f t="shared" ref="R197" si="958">R198+Q197</f>
        <v>-187100764.59750929</v>
      </c>
      <c r="S197">
        <f t="shared" ref="S197" si="959">R197/100000</f>
        <v>-1871.0076459750931</v>
      </c>
      <c r="T197">
        <f t="shared" si="939"/>
        <v>-1.8710076459750931</v>
      </c>
    </row>
    <row r="198" spans="1:20" x14ac:dyDescent="0.25">
      <c r="A198" s="5">
        <v>44395</v>
      </c>
      <c r="B198">
        <v>0.20100000000000001</v>
      </c>
      <c r="C198">
        <v>0.21</v>
      </c>
      <c r="D198">
        <v>0.2</v>
      </c>
      <c r="E198">
        <v>0.20200000000000001</v>
      </c>
      <c r="F198">
        <v>1904647.5549999999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60">IF(C198=D198,0,((E198-D198)-(C198-E198))/(C198-D198))</f>
        <v>-0.59999999999999887</v>
      </c>
      <c r="Q198">
        <f t="shared" ref="Q198:Q261" si="961">F198*P198</f>
        <v>-1142788.5329999977</v>
      </c>
      <c r="R198">
        <f t="shared" ref="R198:R261" si="962">R199+Q198</f>
        <v>-184412799.7670356</v>
      </c>
      <c r="S198">
        <f t="shared" ref="S198:S261" si="963">R198/100000</f>
        <v>-1844.1279976703561</v>
      </c>
      <c r="T198">
        <f t="shared" ref="T198:T261" si="964">S198/1000</f>
        <v>-1.8441279976703562</v>
      </c>
    </row>
    <row r="199" spans="1:20" x14ac:dyDescent="0.25">
      <c r="A199" s="5">
        <v>44394</v>
      </c>
      <c r="B199">
        <v>0.21</v>
      </c>
      <c r="C199">
        <v>0.21199999999999999</v>
      </c>
      <c r="D199">
        <v>0.20100000000000001</v>
      </c>
      <c r="E199">
        <v>0.20100000000000001</v>
      </c>
      <c r="F199">
        <v>2586936.6460000002</v>
      </c>
      <c r="G199">
        <v>0</v>
      </c>
      <c r="L199" t="s">
        <v>7</v>
      </c>
      <c r="M199" t="s">
        <v>7</v>
      </c>
      <c r="N199" t="s">
        <v>7</v>
      </c>
      <c r="P199">
        <f t="shared" si="960"/>
        <v>-1</v>
      </c>
      <c r="Q199">
        <f t="shared" si="961"/>
        <v>-2586936.6460000002</v>
      </c>
      <c r="R199">
        <f t="shared" si="962"/>
        <v>-183270011.23403561</v>
      </c>
      <c r="S199">
        <f t="shared" si="963"/>
        <v>-1832.7001123403561</v>
      </c>
      <c r="T199">
        <f t="shared" si="964"/>
        <v>-1.8327001123403561</v>
      </c>
    </row>
    <row r="200" spans="1:20" x14ac:dyDescent="0.25">
      <c r="A200" s="5">
        <v>44393</v>
      </c>
      <c r="B200">
        <v>0.214</v>
      </c>
      <c r="C200">
        <v>0.217</v>
      </c>
      <c r="D200">
        <v>0.20300000000000001</v>
      </c>
      <c r="E200">
        <v>0.21</v>
      </c>
      <c r="F200">
        <v>3357283.3339999998</v>
      </c>
      <c r="G200">
        <v>0</v>
      </c>
      <c r="L200" t="s">
        <v>7</v>
      </c>
      <c r="M200" t="s">
        <v>7</v>
      </c>
      <c r="N200" t="s">
        <v>7</v>
      </c>
      <c r="P200">
        <f t="shared" si="960"/>
        <v>-1.9825411154020673E-15</v>
      </c>
      <c r="Q200">
        <f t="shared" si="961"/>
        <v>-6.6559522457091311E-9</v>
      </c>
      <c r="R200">
        <f t="shared" si="962"/>
        <v>-180683074.58803561</v>
      </c>
      <c r="S200">
        <f t="shared" si="963"/>
        <v>-1806.8307458803561</v>
      </c>
      <c r="T200">
        <f t="shared" si="964"/>
        <v>-1.8068307458803561</v>
      </c>
    </row>
    <row r="201" spans="1:20" x14ac:dyDescent="0.25">
      <c r="A201" s="5">
        <v>44392</v>
      </c>
      <c r="B201">
        <v>0.217</v>
      </c>
      <c r="C201">
        <v>0.222</v>
      </c>
      <c r="D201">
        <v>0.21099999999999999</v>
      </c>
      <c r="E201">
        <v>0.21299999999999999</v>
      </c>
      <c r="F201">
        <v>5675308.6349999998</v>
      </c>
      <c r="G201">
        <v>0</v>
      </c>
      <c r="L201" t="s">
        <v>7</v>
      </c>
      <c r="M201" t="s">
        <v>7</v>
      </c>
      <c r="N201" t="s">
        <v>7</v>
      </c>
      <c r="P201">
        <f t="shared" si="960"/>
        <v>-0.63636363636363635</v>
      </c>
      <c r="Q201">
        <f t="shared" si="961"/>
        <v>-3611560.0404545451</v>
      </c>
      <c r="R201">
        <f t="shared" si="962"/>
        <v>-180683074.58803561</v>
      </c>
      <c r="S201">
        <f t="shared" si="963"/>
        <v>-1806.8307458803561</v>
      </c>
      <c r="T201">
        <f t="shared" si="964"/>
        <v>-1.8068307458803561</v>
      </c>
    </row>
    <row r="202" spans="1:20" x14ac:dyDescent="0.25">
      <c r="A202" s="5">
        <v>44391</v>
      </c>
      <c r="B202">
        <v>0.22700000000000001</v>
      </c>
      <c r="C202">
        <v>0.22700000000000001</v>
      </c>
      <c r="D202">
        <v>0.20699999999999999</v>
      </c>
      <c r="E202">
        <v>0.217</v>
      </c>
      <c r="F202">
        <v>5254347.3609999996</v>
      </c>
      <c r="G202">
        <v>0</v>
      </c>
      <c r="L202" t="s">
        <v>7</v>
      </c>
      <c r="M202" t="s">
        <v>7</v>
      </c>
      <c r="N202" t="s">
        <v>7</v>
      </c>
      <c r="P202">
        <f t="shared" si="960"/>
        <v>0</v>
      </c>
      <c r="Q202">
        <f t="shared" si="961"/>
        <v>0</v>
      </c>
      <c r="R202">
        <f t="shared" si="962"/>
        <v>-177071514.54758108</v>
      </c>
      <c r="S202">
        <f t="shared" si="963"/>
        <v>-1770.7151454758107</v>
      </c>
      <c r="T202">
        <f t="shared" si="964"/>
        <v>-1.7707151454758108</v>
      </c>
    </row>
    <row r="203" spans="1:20" x14ac:dyDescent="0.25">
      <c r="A203" s="5">
        <v>44390</v>
      </c>
      <c r="B203">
        <v>0.23300000000000001</v>
      </c>
      <c r="C203">
        <v>0.24399999999999999</v>
      </c>
      <c r="D203">
        <v>0.224</v>
      </c>
      <c r="E203">
        <v>0.22600000000000001</v>
      </c>
      <c r="F203">
        <v>4544576.2889999999</v>
      </c>
      <c r="G203">
        <v>0</v>
      </c>
      <c r="L203" t="s">
        <v>7</v>
      </c>
      <c r="M203" t="s">
        <v>7</v>
      </c>
      <c r="N203" t="s">
        <v>8</v>
      </c>
      <c r="P203">
        <f t="shared" si="960"/>
        <v>-0.79999999999999971</v>
      </c>
      <c r="Q203">
        <f t="shared" si="961"/>
        <v>-3635661.0311999987</v>
      </c>
      <c r="R203">
        <f t="shared" si="962"/>
        <v>-177071514.54758108</v>
      </c>
      <c r="S203">
        <f t="shared" si="963"/>
        <v>-1770.7151454758107</v>
      </c>
      <c r="T203">
        <f t="shared" si="964"/>
        <v>-1.7707151454758108</v>
      </c>
    </row>
    <row r="204" spans="1:20" x14ac:dyDescent="0.25">
      <c r="A204" s="5">
        <v>44389</v>
      </c>
      <c r="B204">
        <v>0.24199999999999999</v>
      </c>
      <c r="C204">
        <v>0.246</v>
      </c>
      <c r="D204">
        <v>0.23100000000000001</v>
      </c>
      <c r="E204">
        <v>0.23300000000000001</v>
      </c>
      <c r="F204">
        <v>2061029.0789999999</v>
      </c>
      <c r="G204">
        <v>0</v>
      </c>
      <c r="L204" t="s">
        <v>7</v>
      </c>
      <c r="M204" t="s">
        <v>7</v>
      </c>
      <c r="N204" t="s">
        <v>8</v>
      </c>
      <c r="P204">
        <f t="shared" si="960"/>
        <v>-0.73333333333333284</v>
      </c>
      <c r="Q204">
        <f t="shared" si="961"/>
        <v>-1511421.324599999</v>
      </c>
      <c r="R204">
        <f t="shared" si="962"/>
        <v>-173435853.51638108</v>
      </c>
      <c r="S204">
        <f t="shared" si="963"/>
        <v>-1734.3585351638108</v>
      </c>
      <c r="T204">
        <f t="shared" si="964"/>
        <v>-1.7343585351638107</v>
      </c>
    </row>
    <row r="205" spans="1:20" x14ac:dyDescent="0.25">
      <c r="A205" s="5">
        <v>44388</v>
      </c>
      <c r="B205">
        <v>0.24099999999999999</v>
      </c>
      <c r="C205">
        <v>0.246</v>
      </c>
      <c r="D205">
        <v>0.23599999999999999</v>
      </c>
      <c r="E205">
        <v>0.24199999999999999</v>
      </c>
      <c r="F205">
        <v>1741701.1140000001</v>
      </c>
      <c r="G205">
        <v>0</v>
      </c>
      <c r="L205" t="s">
        <v>8</v>
      </c>
      <c r="M205" t="s">
        <v>7</v>
      </c>
      <c r="N205" t="s">
        <v>8</v>
      </c>
      <c r="P205">
        <f t="shared" si="960"/>
        <v>0.2</v>
      </c>
      <c r="Q205">
        <f t="shared" si="961"/>
        <v>348340.22280000005</v>
      </c>
      <c r="R205">
        <f t="shared" si="962"/>
        <v>-171924432.19178107</v>
      </c>
      <c r="S205">
        <f t="shared" si="963"/>
        <v>-1719.2443219178108</v>
      </c>
      <c r="T205">
        <f t="shared" si="964"/>
        <v>-1.7192443219178108</v>
      </c>
    </row>
    <row r="206" spans="1:20" x14ac:dyDescent="0.25">
      <c r="A206" s="5">
        <v>44387</v>
      </c>
      <c r="B206">
        <v>0.249</v>
      </c>
      <c r="C206">
        <v>0.25</v>
      </c>
      <c r="D206">
        <v>0.23599999999999999</v>
      </c>
      <c r="E206">
        <v>0.24</v>
      </c>
      <c r="F206">
        <v>1875423.351</v>
      </c>
      <c r="G206">
        <v>0</v>
      </c>
      <c r="L206" t="s">
        <v>8</v>
      </c>
      <c r="M206" t="s">
        <v>7</v>
      </c>
      <c r="N206" t="s">
        <v>8</v>
      </c>
      <c r="P206">
        <f t="shared" si="960"/>
        <v>-0.42857142857142855</v>
      </c>
      <c r="Q206">
        <f t="shared" si="961"/>
        <v>-803752.86471428571</v>
      </c>
      <c r="R206">
        <f t="shared" si="962"/>
        <v>-172272772.41458106</v>
      </c>
      <c r="S206">
        <f t="shared" si="963"/>
        <v>-1722.7277241458105</v>
      </c>
      <c r="T206">
        <f t="shared" si="964"/>
        <v>-1.7227277241458105</v>
      </c>
    </row>
    <row r="207" spans="1:20" x14ac:dyDescent="0.25">
      <c r="A207" s="5">
        <v>44386</v>
      </c>
      <c r="B207">
        <v>0.23899999999999999</v>
      </c>
      <c r="C207">
        <v>0.251</v>
      </c>
      <c r="D207">
        <v>0.23400000000000001</v>
      </c>
      <c r="E207">
        <v>0.249</v>
      </c>
      <c r="F207">
        <v>2894823.3849999998</v>
      </c>
      <c r="G207">
        <v>0</v>
      </c>
      <c r="L207" t="s">
        <v>8</v>
      </c>
      <c r="M207" t="s">
        <v>7</v>
      </c>
      <c r="N207" t="s">
        <v>8</v>
      </c>
      <c r="P207">
        <f t="shared" si="960"/>
        <v>0.76470588235294079</v>
      </c>
      <c r="Q207">
        <f t="shared" si="961"/>
        <v>2213688.4708823515</v>
      </c>
      <c r="R207">
        <f t="shared" si="962"/>
        <v>-171469019.54986677</v>
      </c>
      <c r="S207">
        <f t="shared" si="963"/>
        <v>-1714.6901954986677</v>
      </c>
      <c r="T207">
        <f t="shared" si="964"/>
        <v>-1.7146901954986677</v>
      </c>
    </row>
    <row r="208" spans="1:20" x14ac:dyDescent="0.25">
      <c r="A208" s="5">
        <v>44385</v>
      </c>
      <c r="B208">
        <v>0.25800000000000001</v>
      </c>
      <c r="C208">
        <v>0.25900000000000001</v>
      </c>
      <c r="D208">
        <v>0.23400000000000001</v>
      </c>
      <c r="E208">
        <v>0.23899999999999999</v>
      </c>
      <c r="F208">
        <v>4126510.665</v>
      </c>
      <c r="G208">
        <v>0</v>
      </c>
      <c r="L208" t="s">
        <v>7</v>
      </c>
      <c r="M208" t="s">
        <v>7</v>
      </c>
      <c r="N208" t="s">
        <v>8</v>
      </c>
      <c r="P208">
        <f t="shared" si="960"/>
        <v>-0.60000000000000175</v>
      </c>
      <c r="Q208">
        <f t="shared" si="961"/>
        <v>-2475906.3990000072</v>
      </c>
      <c r="R208">
        <f t="shared" si="962"/>
        <v>-173682708.02074912</v>
      </c>
      <c r="S208">
        <f t="shared" si="963"/>
        <v>-1736.8270802074912</v>
      </c>
      <c r="T208">
        <f t="shared" si="964"/>
        <v>-1.7368270802074912</v>
      </c>
    </row>
    <row r="209" spans="1:20" x14ac:dyDescent="0.25">
      <c r="A209" s="5">
        <v>44384</v>
      </c>
      <c r="B209">
        <v>0.26300000000000001</v>
      </c>
      <c r="C209">
        <v>0.27</v>
      </c>
      <c r="D209">
        <v>0.25800000000000001</v>
      </c>
      <c r="E209">
        <v>0.25800000000000001</v>
      </c>
      <c r="F209">
        <v>2953502.7059999998</v>
      </c>
      <c r="G209">
        <v>0</v>
      </c>
      <c r="L209" t="s">
        <v>7</v>
      </c>
      <c r="M209" t="s">
        <v>8</v>
      </c>
      <c r="N209" t="s">
        <v>8</v>
      </c>
      <c r="P209">
        <f t="shared" si="960"/>
        <v>-1</v>
      </c>
      <c r="Q209">
        <f t="shared" si="961"/>
        <v>-2953502.7059999998</v>
      </c>
      <c r="R209">
        <f t="shared" si="962"/>
        <v>-171206801.6217491</v>
      </c>
      <c r="S209">
        <f t="shared" si="963"/>
        <v>-1712.068016217491</v>
      </c>
      <c r="T209">
        <f t="shared" si="964"/>
        <v>-1.7120680162174911</v>
      </c>
    </row>
    <row r="210" spans="1:20" x14ac:dyDescent="0.25">
      <c r="A210" s="5">
        <v>44383</v>
      </c>
      <c r="B210">
        <v>0.27800000000000002</v>
      </c>
      <c r="C210">
        <v>0.28799999999999998</v>
      </c>
      <c r="D210">
        <v>0.252</v>
      </c>
      <c r="E210">
        <v>0.26300000000000001</v>
      </c>
      <c r="F210">
        <v>7438986.7249999996</v>
      </c>
      <c r="G210">
        <v>0</v>
      </c>
      <c r="L210" t="s">
        <v>7</v>
      </c>
      <c r="M210" t="s">
        <v>8</v>
      </c>
      <c r="N210" t="s">
        <v>8</v>
      </c>
      <c r="P210">
        <f t="shared" si="960"/>
        <v>-0.38888888888888795</v>
      </c>
      <c r="Q210">
        <f t="shared" si="961"/>
        <v>-2892939.2819444374</v>
      </c>
      <c r="R210">
        <f t="shared" si="962"/>
        <v>-168253298.9157491</v>
      </c>
      <c r="S210">
        <f t="shared" si="963"/>
        <v>-1682.5329891574911</v>
      </c>
      <c r="T210">
        <f t="shared" si="964"/>
        <v>-1.6825329891574912</v>
      </c>
    </row>
    <row r="211" spans="1:20" x14ac:dyDescent="0.25">
      <c r="A211" s="5">
        <v>44382</v>
      </c>
      <c r="B211">
        <v>0.252</v>
      </c>
      <c r="C211">
        <v>0.28899999999999998</v>
      </c>
      <c r="D211">
        <v>0.245</v>
      </c>
      <c r="E211">
        <v>0.27800000000000002</v>
      </c>
      <c r="F211">
        <v>9406638.9460000005</v>
      </c>
      <c r="G211">
        <v>0</v>
      </c>
      <c r="L211" t="s">
        <v>8</v>
      </c>
      <c r="M211" t="s">
        <v>8</v>
      </c>
      <c r="N211" t="s">
        <v>8</v>
      </c>
      <c r="P211">
        <f t="shared" si="960"/>
        <v>0.50000000000000189</v>
      </c>
      <c r="Q211">
        <f t="shared" si="961"/>
        <v>4703319.4730000179</v>
      </c>
      <c r="R211">
        <f t="shared" si="962"/>
        <v>-165360359.63380468</v>
      </c>
      <c r="S211">
        <f t="shared" si="963"/>
        <v>-1653.6035963380468</v>
      </c>
      <c r="T211">
        <f t="shared" si="964"/>
        <v>-1.6536035963380469</v>
      </c>
    </row>
    <row r="212" spans="1:20" x14ac:dyDescent="0.25">
      <c r="A212" s="5">
        <v>44381</v>
      </c>
      <c r="B212">
        <v>0.23499999999999999</v>
      </c>
      <c r="C212">
        <v>0.27700000000000002</v>
      </c>
      <c r="D212">
        <v>0.23400000000000001</v>
      </c>
      <c r="E212">
        <v>0.253</v>
      </c>
      <c r="F212">
        <v>7776117.716</v>
      </c>
      <c r="G212">
        <v>0</v>
      </c>
      <c r="L212" t="s">
        <v>8</v>
      </c>
      <c r="M212" t="s">
        <v>8</v>
      </c>
      <c r="N212" t="s">
        <v>8</v>
      </c>
      <c r="P212">
        <f t="shared" si="960"/>
        <v>-0.11627906976744258</v>
      </c>
      <c r="Q212">
        <f t="shared" si="961"/>
        <v>-904199.73441861023</v>
      </c>
      <c r="R212">
        <f t="shared" si="962"/>
        <v>-170063679.1068047</v>
      </c>
      <c r="S212">
        <f t="shared" si="963"/>
        <v>-1700.6367910680469</v>
      </c>
      <c r="T212">
        <f t="shared" si="964"/>
        <v>-1.7006367910680469</v>
      </c>
    </row>
    <row r="213" spans="1:20" x14ac:dyDescent="0.25">
      <c r="A213" s="5">
        <v>44380</v>
      </c>
      <c r="B213">
        <v>0.23200000000000001</v>
      </c>
      <c r="C213">
        <v>0.24</v>
      </c>
      <c r="D213">
        <v>0.22800000000000001</v>
      </c>
      <c r="E213">
        <v>0.23599999999999999</v>
      </c>
      <c r="F213">
        <v>1903160.595</v>
      </c>
      <c r="G213">
        <v>0</v>
      </c>
      <c r="L213" t="s">
        <v>7</v>
      </c>
      <c r="M213" t="s">
        <v>7</v>
      </c>
      <c r="N213" t="s">
        <v>8</v>
      </c>
      <c r="P213">
        <f t="shared" si="960"/>
        <v>0.33333333333333182</v>
      </c>
      <c r="Q213">
        <f t="shared" si="961"/>
        <v>634386.86499999708</v>
      </c>
      <c r="R213">
        <f t="shared" si="962"/>
        <v>-169159479.3723861</v>
      </c>
      <c r="S213">
        <f t="shared" si="963"/>
        <v>-1691.5947937238609</v>
      </c>
      <c r="T213">
        <f t="shared" si="964"/>
        <v>-1.6915947937238609</v>
      </c>
    </row>
    <row r="214" spans="1:20" x14ac:dyDescent="0.25">
      <c r="A214" s="5">
        <v>44379</v>
      </c>
      <c r="B214">
        <v>0.23699999999999999</v>
      </c>
      <c r="C214">
        <v>0.23899999999999999</v>
      </c>
      <c r="D214">
        <v>0.22700000000000001</v>
      </c>
      <c r="E214">
        <v>0.23100000000000001</v>
      </c>
      <c r="F214">
        <v>2530784.7069999999</v>
      </c>
      <c r="G214">
        <v>0</v>
      </c>
      <c r="L214" t="s">
        <v>7</v>
      </c>
      <c r="M214" t="s">
        <v>7</v>
      </c>
      <c r="N214" t="s">
        <v>8</v>
      </c>
      <c r="P214">
        <f t="shared" si="960"/>
        <v>-0.33333333333333182</v>
      </c>
      <c r="Q214">
        <f t="shared" si="961"/>
        <v>-843594.90233332943</v>
      </c>
      <c r="R214">
        <f t="shared" si="962"/>
        <v>-169793866.23738611</v>
      </c>
      <c r="S214">
        <f t="shared" si="963"/>
        <v>-1697.938662373861</v>
      </c>
      <c r="T214">
        <f t="shared" si="964"/>
        <v>-1.697938662373861</v>
      </c>
    </row>
    <row r="215" spans="1:20" x14ac:dyDescent="0.25">
      <c r="A215" s="5">
        <v>44378</v>
      </c>
      <c r="B215">
        <v>0.253</v>
      </c>
      <c r="C215">
        <v>0.253</v>
      </c>
      <c r="D215">
        <v>0.23499999999999999</v>
      </c>
      <c r="E215">
        <v>0.23599999999999999</v>
      </c>
      <c r="F215">
        <v>2209464.5279999999</v>
      </c>
      <c r="G215">
        <v>0</v>
      </c>
      <c r="L215" t="s">
        <v>7</v>
      </c>
      <c r="M215" t="s">
        <v>7</v>
      </c>
      <c r="N215" t="s">
        <v>8</v>
      </c>
      <c r="P215">
        <f t="shared" si="960"/>
        <v>-0.88888888888888884</v>
      </c>
      <c r="Q215">
        <f t="shared" si="961"/>
        <v>-1963968.4693333332</v>
      </c>
      <c r="R215">
        <f t="shared" si="962"/>
        <v>-168950271.33505279</v>
      </c>
      <c r="S215">
        <f t="shared" si="963"/>
        <v>-1689.502713350528</v>
      </c>
      <c r="T215">
        <f t="shared" si="964"/>
        <v>-1.689502713350528</v>
      </c>
    </row>
    <row r="216" spans="1:20" x14ac:dyDescent="0.25">
      <c r="A216" s="5">
        <v>44377</v>
      </c>
      <c r="B216">
        <v>0.254</v>
      </c>
      <c r="C216">
        <v>0.255</v>
      </c>
      <c r="D216">
        <v>0.24</v>
      </c>
      <c r="E216">
        <v>0.252</v>
      </c>
      <c r="F216">
        <v>4406214.79</v>
      </c>
      <c r="G216">
        <v>0</v>
      </c>
      <c r="L216" t="s">
        <v>7</v>
      </c>
      <c r="M216" t="s">
        <v>7</v>
      </c>
      <c r="N216" t="s">
        <v>8</v>
      </c>
      <c r="P216">
        <f t="shared" si="960"/>
        <v>0.6</v>
      </c>
      <c r="Q216">
        <f t="shared" si="961"/>
        <v>2643728.8739999998</v>
      </c>
      <c r="R216">
        <f t="shared" si="962"/>
        <v>-166986302.86571947</v>
      </c>
      <c r="S216">
        <f t="shared" si="963"/>
        <v>-1669.8630286571947</v>
      </c>
      <c r="T216">
        <f t="shared" si="964"/>
        <v>-1.6698630286571947</v>
      </c>
    </row>
    <row r="217" spans="1:20" x14ac:dyDescent="0.25">
      <c r="A217" s="5">
        <v>44376</v>
      </c>
      <c r="B217">
        <v>0.25700000000000001</v>
      </c>
      <c r="C217">
        <v>0.27500000000000002</v>
      </c>
      <c r="D217">
        <v>0.24399999999999999</v>
      </c>
      <c r="E217">
        <v>0.255</v>
      </c>
      <c r="F217">
        <v>8025859.5039999997</v>
      </c>
      <c r="G217">
        <v>0</v>
      </c>
      <c r="L217" t="s">
        <v>7</v>
      </c>
      <c r="M217" t="s">
        <v>7</v>
      </c>
      <c r="N217" t="s">
        <v>8</v>
      </c>
      <c r="P217">
        <f t="shared" si="960"/>
        <v>-0.29032258064516131</v>
      </c>
      <c r="Q217">
        <f t="shared" si="961"/>
        <v>-2330088.2430967744</v>
      </c>
      <c r="R217">
        <f t="shared" si="962"/>
        <v>-169630031.73971948</v>
      </c>
      <c r="S217">
        <f t="shared" si="963"/>
        <v>-1696.3003173971947</v>
      </c>
      <c r="T217">
        <f t="shared" si="964"/>
        <v>-1.6963003173971947</v>
      </c>
    </row>
    <row r="218" spans="1:20" x14ac:dyDescent="0.25">
      <c r="A218" s="5">
        <v>44375</v>
      </c>
      <c r="B218">
        <v>0.26100000000000001</v>
      </c>
      <c r="C218">
        <v>0.27200000000000002</v>
      </c>
      <c r="D218">
        <v>0.254</v>
      </c>
      <c r="E218">
        <v>0.25600000000000001</v>
      </c>
      <c r="F218">
        <v>5830982.193</v>
      </c>
      <c r="G218">
        <v>0</v>
      </c>
      <c r="L218" t="s">
        <v>7</v>
      </c>
      <c r="M218" t="s">
        <v>7</v>
      </c>
      <c r="N218" t="s">
        <v>8</v>
      </c>
      <c r="P218">
        <f t="shared" si="960"/>
        <v>-0.77777777777777779</v>
      </c>
      <c r="Q218">
        <f t="shared" si="961"/>
        <v>-4535208.3723333338</v>
      </c>
      <c r="R218">
        <f t="shared" si="962"/>
        <v>-167299943.49662271</v>
      </c>
      <c r="S218">
        <f t="shared" si="963"/>
        <v>-1672.9994349662272</v>
      </c>
      <c r="T218">
        <f t="shared" si="964"/>
        <v>-1.6729994349662272</v>
      </c>
    </row>
    <row r="219" spans="1:20" x14ac:dyDescent="0.25">
      <c r="A219" s="5">
        <v>44374</v>
      </c>
      <c r="B219">
        <v>0.24399999999999999</v>
      </c>
      <c r="C219">
        <v>0.30499999999999999</v>
      </c>
      <c r="D219">
        <v>0.24299999999999999</v>
      </c>
      <c r="E219">
        <v>0.26100000000000001</v>
      </c>
      <c r="F219">
        <v>34834024.037</v>
      </c>
      <c r="G219">
        <v>0</v>
      </c>
      <c r="L219" t="s">
        <v>8</v>
      </c>
      <c r="M219" t="s">
        <v>7</v>
      </c>
      <c r="N219" t="s">
        <v>8</v>
      </c>
      <c r="P219">
        <f t="shared" si="960"/>
        <v>-0.41935483870967688</v>
      </c>
      <c r="Q219">
        <f t="shared" si="961"/>
        <v>-14607816.531645143</v>
      </c>
      <c r="R219">
        <f t="shared" si="962"/>
        <v>-162764735.12428936</v>
      </c>
      <c r="S219">
        <f t="shared" si="963"/>
        <v>-1627.6473512428936</v>
      </c>
      <c r="T219">
        <f t="shared" si="964"/>
        <v>-1.6276473512428935</v>
      </c>
    </row>
    <row r="220" spans="1:20" x14ac:dyDescent="0.25">
      <c r="A220" s="5">
        <v>44373</v>
      </c>
      <c r="B220">
        <v>0.20399999999999999</v>
      </c>
      <c r="C220">
        <v>0.316</v>
      </c>
      <c r="D220">
        <v>0.19600000000000001</v>
      </c>
      <c r="E220">
        <v>0.24399999999999999</v>
      </c>
      <c r="F220">
        <v>49827603.512000002</v>
      </c>
      <c r="G220">
        <v>0</v>
      </c>
      <c r="L220" t="s">
        <v>7</v>
      </c>
      <c r="M220" t="s">
        <v>8</v>
      </c>
      <c r="N220" t="s">
        <v>8</v>
      </c>
      <c r="P220">
        <f t="shared" si="960"/>
        <v>-0.20000000000000018</v>
      </c>
      <c r="Q220">
        <f t="shared" si="961"/>
        <v>-9965520.7024000101</v>
      </c>
      <c r="R220">
        <f t="shared" si="962"/>
        <v>-148156918.59264421</v>
      </c>
      <c r="S220">
        <f t="shared" si="963"/>
        <v>-1481.5691859264421</v>
      </c>
      <c r="T220">
        <f t="shared" si="964"/>
        <v>-1.4815691859264422</v>
      </c>
    </row>
    <row r="221" spans="1:20" x14ac:dyDescent="0.25">
      <c r="A221" s="5">
        <v>44372</v>
      </c>
      <c r="B221">
        <v>0.20899999999999999</v>
      </c>
      <c r="C221">
        <v>0.214</v>
      </c>
      <c r="D221">
        <v>0.19900000000000001</v>
      </c>
      <c r="E221">
        <v>0.20399999999999999</v>
      </c>
      <c r="F221">
        <v>3929794.4989999998</v>
      </c>
      <c r="G221">
        <v>0</v>
      </c>
      <c r="L221" t="s">
        <v>7</v>
      </c>
      <c r="M221" t="s">
        <v>8</v>
      </c>
      <c r="N221" t="s">
        <v>7</v>
      </c>
      <c r="P221">
        <f t="shared" si="960"/>
        <v>-0.33333333333333581</v>
      </c>
      <c r="Q221">
        <f t="shared" si="961"/>
        <v>-1309931.4996666764</v>
      </c>
      <c r="R221">
        <f t="shared" si="962"/>
        <v>-138191397.89024422</v>
      </c>
      <c r="S221">
        <f t="shared" si="963"/>
        <v>-1381.9139789024421</v>
      </c>
      <c r="T221">
        <f t="shared" si="964"/>
        <v>-1.3819139789024422</v>
      </c>
    </row>
    <row r="222" spans="1:20" x14ac:dyDescent="0.25">
      <c r="A222" s="5">
        <v>44371</v>
      </c>
      <c r="B222">
        <v>0.20699999999999999</v>
      </c>
      <c r="C222">
        <v>0.214</v>
      </c>
      <c r="D222">
        <v>0.2</v>
      </c>
      <c r="E222">
        <v>0.20899999999999999</v>
      </c>
      <c r="F222">
        <v>3476058.807</v>
      </c>
      <c r="G222">
        <v>0</v>
      </c>
      <c r="L222" t="s">
        <v>8</v>
      </c>
      <c r="M222" t="s">
        <v>8</v>
      </c>
      <c r="N222" t="s">
        <v>7</v>
      </c>
      <c r="P222">
        <f t="shared" si="960"/>
        <v>0.28571428571428431</v>
      </c>
      <c r="Q222">
        <f t="shared" si="961"/>
        <v>993159.6591428523</v>
      </c>
      <c r="R222">
        <f t="shared" si="962"/>
        <v>-136881466.39057752</v>
      </c>
      <c r="S222">
        <f t="shared" si="963"/>
        <v>-1368.8146639057752</v>
      </c>
      <c r="T222">
        <f t="shared" si="964"/>
        <v>-1.3688146639057752</v>
      </c>
    </row>
    <row r="223" spans="1:20" x14ac:dyDescent="0.25">
      <c r="A223" s="5">
        <v>44370</v>
      </c>
      <c r="B223">
        <v>0.183</v>
      </c>
      <c r="C223">
        <v>0.20899999999999999</v>
      </c>
      <c r="D223">
        <v>0.17799999999999999</v>
      </c>
      <c r="E223">
        <v>0.20599999999999999</v>
      </c>
      <c r="F223">
        <v>6375501.0329999998</v>
      </c>
      <c r="G223">
        <v>0</v>
      </c>
      <c r="L223" t="s">
        <v>8</v>
      </c>
      <c r="M223" t="s">
        <v>8</v>
      </c>
      <c r="N223" t="s">
        <v>7</v>
      </c>
      <c r="P223">
        <f t="shared" si="960"/>
        <v>0.80645161290322565</v>
      </c>
      <c r="Q223">
        <f t="shared" si="961"/>
        <v>5141533.091129031</v>
      </c>
      <c r="R223">
        <f t="shared" si="962"/>
        <v>-137874626.04972038</v>
      </c>
      <c r="S223">
        <f t="shared" si="963"/>
        <v>-1378.7462604972038</v>
      </c>
      <c r="T223">
        <f t="shared" si="964"/>
        <v>-1.3787462604972038</v>
      </c>
    </row>
    <row r="224" spans="1:20" x14ac:dyDescent="0.25">
      <c r="A224" s="5">
        <v>44369</v>
      </c>
      <c r="B224">
        <v>0.216</v>
      </c>
      <c r="C224">
        <v>0.216</v>
      </c>
      <c r="D224">
        <v>0.16900000000000001</v>
      </c>
      <c r="E224">
        <v>0.182</v>
      </c>
      <c r="F224">
        <v>12143586.338</v>
      </c>
      <c r="G224">
        <v>0</v>
      </c>
      <c r="L224" t="s">
        <v>7</v>
      </c>
      <c r="M224" t="s">
        <v>7</v>
      </c>
      <c r="N224" t="s">
        <v>7</v>
      </c>
      <c r="P224">
        <f t="shared" si="960"/>
        <v>-0.44680851063829841</v>
      </c>
      <c r="Q224">
        <f t="shared" si="961"/>
        <v>-5425857.7254893677</v>
      </c>
      <c r="R224">
        <f t="shared" si="962"/>
        <v>-143016159.14084941</v>
      </c>
      <c r="S224">
        <f t="shared" si="963"/>
        <v>-1430.1615914084941</v>
      </c>
      <c r="T224">
        <f t="shared" si="964"/>
        <v>-1.4301615914084942</v>
      </c>
    </row>
    <row r="225" spans="1:20" x14ac:dyDescent="0.25">
      <c r="A225" s="5">
        <v>44368</v>
      </c>
      <c r="B225">
        <v>0.26800000000000002</v>
      </c>
      <c r="C225">
        <v>0.27</v>
      </c>
      <c r="D225">
        <v>0.214</v>
      </c>
      <c r="E225">
        <v>0.215</v>
      </c>
      <c r="F225">
        <v>6756880.4589999998</v>
      </c>
      <c r="G225">
        <v>0</v>
      </c>
      <c r="L225" t="s">
        <v>7</v>
      </c>
      <c r="M225" t="s">
        <v>7</v>
      </c>
      <c r="N225" t="s">
        <v>7</v>
      </c>
      <c r="P225">
        <f t="shared" si="960"/>
        <v>-0.9642857142857143</v>
      </c>
      <c r="Q225">
        <f t="shared" si="961"/>
        <v>-6515563.2997500002</v>
      </c>
      <c r="R225">
        <f t="shared" si="962"/>
        <v>-137590301.41536003</v>
      </c>
      <c r="S225">
        <f t="shared" si="963"/>
        <v>-1375.9030141536002</v>
      </c>
      <c r="T225">
        <f t="shared" si="964"/>
        <v>-1.3759030141536002</v>
      </c>
    </row>
    <row r="226" spans="1:20" x14ac:dyDescent="0.25">
      <c r="A226" s="5">
        <v>44367</v>
      </c>
      <c r="B226">
        <v>0.28699999999999998</v>
      </c>
      <c r="C226">
        <v>0.28799999999999998</v>
      </c>
      <c r="D226">
        <v>0.253</v>
      </c>
      <c r="E226">
        <v>0.26800000000000002</v>
      </c>
      <c r="F226">
        <v>5378890.7819999997</v>
      </c>
      <c r="G226">
        <v>0</v>
      </c>
      <c r="L226" t="s">
        <v>7</v>
      </c>
      <c r="M226" t="s">
        <v>7</v>
      </c>
      <c r="N226" t="s">
        <v>7</v>
      </c>
      <c r="P226">
        <f t="shared" si="960"/>
        <v>-0.14285714285714149</v>
      </c>
      <c r="Q226">
        <f t="shared" si="961"/>
        <v>-768412.96885713551</v>
      </c>
      <c r="R226">
        <f t="shared" si="962"/>
        <v>-131074738.11561003</v>
      </c>
      <c r="S226">
        <f t="shared" si="963"/>
        <v>-1310.7473811561003</v>
      </c>
      <c r="T226">
        <f t="shared" si="964"/>
        <v>-1.3107473811561003</v>
      </c>
    </row>
    <row r="227" spans="1:20" x14ac:dyDescent="0.25">
      <c r="A227" s="5">
        <v>44366</v>
      </c>
      <c r="B227">
        <v>0.29699999999999999</v>
      </c>
      <c r="C227">
        <v>0.30199999999999999</v>
      </c>
      <c r="D227">
        <v>0.28100000000000003</v>
      </c>
      <c r="E227">
        <v>0.28699999999999998</v>
      </c>
      <c r="F227">
        <v>4954233.1469999999</v>
      </c>
      <c r="G227">
        <v>0</v>
      </c>
      <c r="L227" t="s">
        <v>7</v>
      </c>
      <c r="M227" t="s">
        <v>7</v>
      </c>
      <c r="N227" t="s">
        <v>7</v>
      </c>
      <c r="P227">
        <f t="shared" si="960"/>
        <v>-0.42857142857143232</v>
      </c>
      <c r="Q227">
        <f t="shared" si="961"/>
        <v>-2123242.7772857328</v>
      </c>
      <c r="R227">
        <f t="shared" si="962"/>
        <v>-130306325.14675289</v>
      </c>
      <c r="S227">
        <f t="shared" si="963"/>
        <v>-1303.063251467529</v>
      </c>
      <c r="T227">
        <f t="shared" si="964"/>
        <v>-1.3030632514675289</v>
      </c>
    </row>
    <row r="228" spans="1:20" x14ac:dyDescent="0.25">
      <c r="A228" s="5">
        <v>44365</v>
      </c>
      <c r="B228">
        <v>0.32500000000000001</v>
      </c>
      <c r="C228">
        <v>0.32500000000000001</v>
      </c>
      <c r="D228">
        <v>0.29399999999999998</v>
      </c>
      <c r="E228">
        <v>0.29699999999999999</v>
      </c>
      <c r="F228">
        <v>3635809.4160000002</v>
      </c>
      <c r="G228">
        <v>0</v>
      </c>
      <c r="L228" t="s">
        <v>7</v>
      </c>
      <c r="M228" t="s">
        <v>7</v>
      </c>
      <c r="N228" t="s">
        <v>7</v>
      </c>
      <c r="P228">
        <f t="shared" si="960"/>
        <v>-0.80645161290322576</v>
      </c>
      <c r="Q228">
        <f t="shared" si="961"/>
        <v>-2932104.3677419354</v>
      </c>
      <c r="R228">
        <f t="shared" si="962"/>
        <v>-128183082.36946715</v>
      </c>
      <c r="S228">
        <f t="shared" si="963"/>
        <v>-1281.8308236946716</v>
      </c>
      <c r="T228">
        <f t="shared" si="964"/>
        <v>-1.2818308236946716</v>
      </c>
    </row>
    <row r="229" spans="1:20" x14ac:dyDescent="0.25">
      <c r="A229" s="5">
        <v>44364</v>
      </c>
      <c r="B229">
        <v>0.32300000000000001</v>
      </c>
      <c r="C229">
        <v>0.33100000000000002</v>
      </c>
      <c r="D229">
        <v>0.315</v>
      </c>
      <c r="E229">
        <v>0.32500000000000001</v>
      </c>
      <c r="F229">
        <v>3670753.372</v>
      </c>
      <c r="G229">
        <v>0</v>
      </c>
      <c r="L229" t="s">
        <v>7</v>
      </c>
      <c r="M229" t="s">
        <v>8</v>
      </c>
      <c r="N229" t="s">
        <v>7</v>
      </c>
      <c r="P229">
        <f t="shared" si="960"/>
        <v>0.25</v>
      </c>
      <c r="Q229">
        <f t="shared" si="961"/>
        <v>917688.34299999999</v>
      </c>
      <c r="R229">
        <f t="shared" si="962"/>
        <v>-125250978.00172521</v>
      </c>
      <c r="S229">
        <f t="shared" si="963"/>
        <v>-1252.5097800172521</v>
      </c>
      <c r="T229">
        <f t="shared" si="964"/>
        <v>-1.252509780017252</v>
      </c>
    </row>
    <row r="230" spans="1:20" x14ac:dyDescent="0.25">
      <c r="A230" s="5">
        <v>44363</v>
      </c>
      <c r="B230">
        <v>0.34300000000000003</v>
      </c>
      <c r="C230">
        <v>0.34499999999999997</v>
      </c>
      <c r="D230">
        <v>0.316</v>
      </c>
      <c r="E230">
        <v>0.32300000000000001</v>
      </c>
      <c r="F230">
        <v>2441177.6239999998</v>
      </c>
      <c r="G230">
        <v>0</v>
      </c>
      <c r="L230" t="s">
        <v>7</v>
      </c>
      <c r="M230" t="s">
        <v>8</v>
      </c>
      <c r="N230" t="s">
        <v>7</v>
      </c>
      <c r="P230">
        <f t="shared" si="960"/>
        <v>-0.51724137931034386</v>
      </c>
      <c r="Q230">
        <f t="shared" si="961"/>
        <v>-1262678.0813793079</v>
      </c>
      <c r="R230">
        <f t="shared" si="962"/>
        <v>-126168666.34472521</v>
      </c>
      <c r="S230">
        <f t="shared" si="963"/>
        <v>-1261.6866634472522</v>
      </c>
      <c r="T230">
        <f t="shared" si="964"/>
        <v>-1.2616866634472521</v>
      </c>
    </row>
    <row r="231" spans="1:20" x14ac:dyDescent="0.25">
      <c r="A231" s="5">
        <v>44362</v>
      </c>
      <c r="B231">
        <v>0.34100000000000003</v>
      </c>
      <c r="C231">
        <v>0.35</v>
      </c>
      <c r="D231">
        <v>0.33600000000000002</v>
      </c>
      <c r="E231">
        <v>0.34200000000000003</v>
      </c>
      <c r="F231">
        <v>2655114.1340000001</v>
      </c>
      <c r="G231">
        <v>0</v>
      </c>
      <c r="L231" t="s">
        <v>8</v>
      </c>
      <c r="M231" t="s">
        <v>8</v>
      </c>
      <c r="N231" t="s">
        <v>7</v>
      </c>
      <c r="P231">
        <f t="shared" si="960"/>
        <v>-0.14285714285713946</v>
      </c>
      <c r="Q231">
        <f t="shared" si="961"/>
        <v>-379302.01914284815</v>
      </c>
      <c r="R231">
        <f t="shared" si="962"/>
        <v>-124905988.2633459</v>
      </c>
      <c r="S231">
        <f t="shared" si="963"/>
        <v>-1249.059882633459</v>
      </c>
      <c r="T231">
        <f t="shared" si="964"/>
        <v>-1.2490598826334589</v>
      </c>
    </row>
    <row r="232" spans="1:20" x14ac:dyDescent="0.25">
      <c r="A232" s="5">
        <v>44361</v>
      </c>
      <c r="B232">
        <v>0.33600000000000002</v>
      </c>
      <c r="C232">
        <v>0.34599999999999997</v>
      </c>
      <c r="D232">
        <v>0.32900000000000001</v>
      </c>
      <c r="E232">
        <v>0.34100000000000003</v>
      </c>
      <c r="F232">
        <v>2995545.676</v>
      </c>
      <c r="G232">
        <v>0</v>
      </c>
      <c r="L232" t="s">
        <v>8</v>
      </c>
      <c r="M232" t="s">
        <v>8</v>
      </c>
      <c r="N232" t="s">
        <v>7</v>
      </c>
      <c r="P232">
        <f t="shared" si="960"/>
        <v>0.41176470588235753</v>
      </c>
      <c r="Q232">
        <f t="shared" si="961"/>
        <v>1233459.9842353079</v>
      </c>
      <c r="R232">
        <f t="shared" si="962"/>
        <v>-124526686.24420305</v>
      </c>
      <c r="S232">
        <f t="shared" si="963"/>
        <v>-1245.2668624420305</v>
      </c>
      <c r="T232">
        <f t="shared" si="964"/>
        <v>-1.2452668624420304</v>
      </c>
    </row>
    <row r="233" spans="1:20" x14ac:dyDescent="0.25">
      <c r="A233" s="5">
        <v>44360</v>
      </c>
      <c r="B233">
        <v>0.32100000000000001</v>
      </c>
      <c r="C233">
        <v>0.33800000000000002</v>
      </c>
      <c r="D233">
        <v>0.315</v>
      </c>
      <c r="E233">
        <v>0.33600000000000002</v>
      </c>
      <c r="F233">
        <v>2287682.531</v>
      </c>
      <c r="G233">
        <v>0</v>
      </c>
      <c r="L233" t="s">
        <v>8</v>
      </c>
      <c r="M233" t="s">
        <v>8</v>
      </c>
      <c r="N233" t="s">
        <v>7</v>
      </c>
      <c r="P233">
        <f t="shared" si="960"/>
        <v>0.82608695652173914</v>
      </c>
      <c r="Q233">
        <f t="shared" si="961"/>
        <v>1889824.699521739</v>
      </c>
      <c r="R233">
        <f t="shared" si="962"/>
        <v>-125760146.22843835</v>
      </c>
      <c r="S233">
        <f t="shared" si="963"/>
        <v>-1257.6014622843834</v>
      </c>
      <c r="T233">
        <f t="shared" si="964"/>
        <v>-1.2576014622843834</v>
      </c>
    </row>
    <row r="234" spans="1:20" x14ac:dyDescent="0.25">
      <c r="A234" s="5">
        <v>44359</v>
      </c>
      <c r="B234">
        <v>0.32500000000000001</v>
      </c>
      <c r="C234">
        <v>0.33700000000000002</v>
      </c>
      <c r="D234">
        <v>0.313</v>
      </c>
      <c r="E234">
        <v>0.32100000000000001</v>
      </c>
      <c r="F234">
        <v>3362502.642</v>
      </c>
      <c r="G234">
        <v>0</v>
      </c>
      <c r="L234" t="s">
        <v>7</v>
      </c>
      <c r="M234" t="s">
        <v>8</v>
      </c>
      <c r="N234" t="s">
        <v>7</v>
      </c>
      <c r="P234">
        <f t="shared" si="960"/>
        <v>-0.33333333333333331</v>
      </c>
      <c r="Q234">
        <f t="shared" si="961"/>
        <v>-1120834.2139999999</v>
      </c>
      <c r="R234">
        <f t="shared" si="962"/>
        <v>-127649970.92796008</v>
      </c>
      <c r="S234">
        <f t="shared" si="963"/>
        <v>-1276.4997092796009</v>
      </c>
      <c r="T234">
        <f t="shared" si="964"/>
        <v>-1.2764997092796009</v>
      </c>
    </row>
    <row r="235" spans="1:20" x14ac:dyDescent="0.25">
      <c r="A235" s="5">
        <v>44358</v>
      </c>
      <c r="B235">
        <v>0.34100000000000003</v>
      </c>
      <c r="C235">
        <v>0.35899999999999999</v>
      </c>
      <c r="D235">
        <v>0.32400000000000001</v>
      </c>
      <c r="E235">
        <v>0.32700000000000001</v>
      </c>
      <c r="F235">
        <v>3042269.6869999999</v>
      </c>
      <c r="G235">
        <v>0</v>
      </c>
      <c r="L235" t="s">
        <v>7</v>
      </c>
      <c r="M235" t="s">
        <v>8</v>
      </c>
      <c r="N235" t="s">
        <v>7</v>
      </c>
      <c r="P235">
        <f t="shared" si="960"/>
        <v>-0.82857142857142829</v>
      </c>
      <c r="Q235">
        <f t="shared" si="961"/>
        <v>-2520737.7406571419</v>
      </c>
      <c r="R235">
        <f t="shared" si="962"/>
        <v>-126529136.71396008</v>
      </c>
      <c r="S235">
        <f t="shared" si="963"/>
        <v>-1265.2913671396009</v>
      </c>
      <c r="T235">
        <f t="shared" si="964"/>
        <v>-1.2652913671396009</v>
      </c>
    </row>
    <row r="236" spans="1:20" x14ac:dyDescent="0.25">
      <c r="A236" s="5">
        <v>44357</v>
      </c>
      <c r="B236">
        <v>0.35199999999999998</v>
      </c>
      <c r="C236">
        <v>0.36</v>
      </c>
      <c r="D236">
        <v>0.34100000000000003</v>
      </c>
      <c r="E236">
        <v>0.34200000000000003</v>
      </c>
      <c r="F236">
        <v>2735779.3640000001</v>
      </c>
      <c r="G236">
        <v>0</v>
      </c>
      <c r="L236" t="s">
        <v>7</v>
      </c>
      <c r="M236" t="s">
        <v>8</v>
      </c>
      <c r="N236" t="s">
        <v>7</v>
      </c>
      <c r="P236">
        <f t="shared" si="960"/>
        <v>-0.89473684210526283</v>
      </c>
      <c r="Q236">
        <f t="shared" si="961"/>
        <v>-2447802.5888421042</v>
      </c>
      <c r="R236">
        <f t="shared" si="962"/>
        <v>-124008398.97330295</v>
      </c>
      <c r="S236">
        <f t="shared" si="963"/>
        <v>-1240.0839897330295</v>
      </c>
      <c r="T236">
        <f t="shared" si="964"/>
        <v>-1.2400839897330296</v>
      </c>
    </row>
    <row r="237" spans="1:20" x14ac:dyDescent="0.25">
      <c r="A237" s="5">
        <v>44356</v>
      </c>
      <c r="B237">
        <v>0.34300000000000003</v>
      </c>
      <c r="C237">
        <v>0.36599999999999999</v>
      </c>
      <c r="D237">
        <v>0.33600000000000002</v>
      </c>
      <c r="E237">
        <v>0.35199999999999998</v>
      </c>
      <c r="F237">
        <v>3271051.8829999999</v>
      </c>
      <c r="G237">
        <v>0</v>
      </c>
      <c r="L237" t="s">
        <v>8</v>
      </c>
      <c r="M237" t="s">
        <v>8</v>
      </c>
      <c r="N237" t="s">
        <v>7</v>
      </c>
      <c r="P237">
        <f t="shared" si="960"/>
        <v>6.6666666666664945E-2</v>
      </c>
      <c r="Q237">
        <f t="shared" si="961"/>
        <v>218070.12553332769</v>
      </c>
      <c r="R237">
        <f t="shared" si="962"/>
        <v>-121560596.38446084</v>
      </c>
      <c r="S237">
        <f t="shared" si="963"/>
        <v>-1215.6059638446084</v>
      </c>
      <c r="T237">
        <f t="shared" si="964"/>
        <v>-1.2156059638446084</v>
      </c>
    </row>
    <row r="238" spans="1:20" x14ac:dyDescent="0.25">
      <c r="A238" s="5">
        <v>44355</v>
      </c>
      <c r="B238">
        <v>0.36199999999999999</v>
      </c>
      <c r="C238">
        <v>0.36699999999999999</v>
      </c>
      <c r="D238">
        <v>0.309</v>
      </c>
      <c r="E238">
        <v>0.34300000000000003</v>
      </c>
      <c r="F238">
        <v>5522627.5810000002</v>
      </c>
      <c r="G238">
        <v>0</v>
      </c>
      <c r="L238" t="s">
        <v>7</v>
      </c>
      <c r="M238" t="s">
        <v>7</v>
      </c>
      <c r="N238" t="s">
        <v>7</v>
      </c>
      <c r="P238">
        <f t="shared" si="960"/>
        <v>0.1724137931034494</v>
      </c>
      <c r="Q238">
        <f t="shared" si="961"/>
        <v>952177.16913793725</v>
      </c>
      <c r="R238">
        <f t="shared" si="962"/>
        <v>-121778666.50999416</v>
      </c>
      <c r="S238">
        <f t="shared" si="963"/>
        <v>-1217.7866650999417</v>
      </c>
      <c r="T238">
        <f t="shared" si="964"/>
        <v>-1.2177866650999418</v>
      </c>
    </row>
    <row r="239" spans="1:20" x14ac:dyDescent="0.25">
      <c r="A239" s="5">
        <v>44354</v>
      </c>
      <c r="B239">
        <v>0.41899999999999998</v>
      </c>
      <c r="C239">
        <v>0.42899999999999999</v>
      </c>
      <c r="D239">
        <v>0.36099999999999999</v>
      </c>
      <c r="E239">
        <v>0.36299999999999999</v>
      </c>
      <c r="F239">
        <v>7675546.5060000001</v>
      </c>
      <c r="G239">
        <v>0</v>
      </c>
      <c r="L239" t="s">
        <v>7</v>
      </c>
      <c r="M239" t="s">
        <v>7</v>
      </c>
      <c r="N239" t="s">
        <v>7</v>
      </c>
      <c r="P239">
        <f t="shared" si="960"/>
        <v>-0.94117647058823528</v>
      </c>
      <c r="Q239">
        <f t="shared" si="961"/>
        <v>-7224043.770352941</v>
      </c>
      <c r="R239">
        <f t="shared" si="962"/>
        <v>-122730843.6791321</v>
      </c>
      <c r="S239">
        <f t="shared" si="963"/>
        <v>-1227.3084367913211</v>
      </c>
      <c r="T239">
        <f t="shared" si="964"/>
        <v>-1.2273084367913212</v>
      </c>
    </row>
    <row r="240" spans="1:20" x14ac:dyDescent="0.25">
      <c r="A240" s="5">
        <v>44353</v>
      </c>
      <c r="B240">
        <v>0.42</v>
      </c>
      <c r="C240">
        <v>0.435</v>
      </c>
      <c r="D240">
        <v>0.41399999999999998</v>
      </c>
      <c r="E240">
        <v>0.41899999999999998</v>
      </c>
      <c r="F240">
        <v>3818739.7560000001</v>
      </c>
      <c r="G240">
        <v>0</v>
      </c>
      <c r="L240" t="s">
        <v>7</v>
      </c>
      <c r="M240" t="s">
        <v>7</v>
      </c>
      <c r="N240" t="s">
        <v>8</v>
      </c>
      <c r="P240">
        <f t="shared" si="960"/>
        <v>-0.52380952380952384</v>
      </c>
      <c r="Q240">
        <f t="shared" si="961"/>
        <v>-2000292.2531428572</v>
      </c>
      <c r="R240">
        <f t="shared" si="962"/>
        <v>-115506799.90877916</v>
      </c>
      <c r="S240">
        <f t="shared" si="963"/>
        <v>-1155.0679990877916</v>
      </c>
      <c r="T240">
        <f t="shared" si="964"/>
        <v>-1.1550679990877917</v>
      </c>
    </row>
    <row r="241" spans="1:20" x14ac:dyDescent="0.25">
      <c r="A241" s="5">
        <v>44352</v>
      </c>
      <c r="B241">
        <v>0.42799999999999999</v>
      </c>
      <c r="C241">
        <v>0.45500000000000002</v>
      </c>
      <c r="D241">
        <v>0.41199999999999998</v>
      </c>
      <c r="E241">
        <v>0.42099999999999999</v>
      </c>
      <c r="F241">
        <v>4852564.8329999996</v>
      </c>
      <c r="G241">
        <v>0</v>
      </c>
      <c r="L241" t="s">
        <v>8</v>
      </c>
      <c r="M241" t="s">
        <v>7</v>
      </c>
      <c r="N241" t="s">
        <v>8</v>
      </c>
      <c r="P241">
        <f t="shared" si="960"/>
        <v>-0.58139534883720934</v>
      </c>
      <c r="Q241">
        <f t="shared" si="961"/>
        <v>-2821258.6238372093</v>
      </c>
      <c r="R241">
        <f t="shared" si="962"/>
        <v>-113506507.6556363</v>
      </c>
      <c r="S241">
        <f t="shared" si="963"/>
        <v>-1135.065076556363</v>
      </c>
      <c r="T241">
        <f t="shared" si="964"/>
        <v>-1.135065076556363</v>
      </c>
    </row>
    <row r="242" spans="1:20" x14ac:dyDescent="0.25">
      <c r="A242" s="5">
        <v>44351</v>
      </c>
      <c r="B242">
        <v>0.501</v>
      </c>
      <c r="C242">
        <v>0.502</v>
      </c>
      <c r="D242">
        <v>0.41799999999999998</v>
      </c>
      <c r="E242">
        <v>0.42799999999999999</v>
      </c>
      <c r="F242">
        <v>5078526.8210000005</v>
      </c>
      <c r="G242">
        <v>0</v>
      </c>
      <c r="L242" t="s">
        <v>7</v>
      </c>
      <c r="M242" t="s">
        <v>7</v>
      </c>
      <c r="N242" t="s">
        <v>8</v>
      </c>
      <c r="P242">
        <f t="shared" si="960"/>
        <v>-0.76190476190476175</v>
      </c>
      <c r="Q242">
        <f t="shared" si="961"/>
        <v>-3869353.7683809521</v>
      </c>
      <c r="R242">
        <f t="shared" si="962"/>
        <v>-110685249.03179909</v>
      </c>
      <c r="S242">
        <f t="shared" si="963"/>
        <v>-1106.8524903179909</v>
      </c>
      <c r="T242">
        <f t="shared" si="964"/>
        <v>-1.106852490317991</v>
      </c>
    </row>
    <row r="243" spans="1:20" x14ac:dyDescent="0.25">
      <c r="A243" s="5">
        <v>44350</v>
      </c>
      <c r="B243">
        <v>0.442</v>
      </c>
      <c r="C243">
        <v>0.52200000000000002</v>
      </c>
      <c r="D243">
        <v>0.42399999999999999</v>
      </c>
      <c r="E243">
        <v>0.501</v>
      </c>
      <c r="F243">
        <v>9690113.4260000009</v>
      </c>
      <c r="G243">
        <v>0</v>
      </c>
      <c r="L243" t="s">
        <v>8</v>
      </c>
      <c r="M243" t="s">
        <v>8</v>
      </c>
      <c r="N243" t="s">
        <v>8</v>
      </c>
      <c r="P243">
        <f t="shared" si="960"/>
        <v>0.57142857142857117</v>
      </c>
      <c r="Q243">
        <f t="shared" si="961"/>
        <v>5537207.6719999984</v>
      </c>
      <c r="R243">
        <f t="shared" si="962"/>
        <v>-106815895.26341814</v>
      </c>
      <c r="S243">
        <f t="shared" si="963"/>
        <v>-1068.1589526341813</v>
      </c>
      <c r="T243">
        <f t="shared" si="964"/>
        <v>-1.0681589526341813</v>
      </c>
    </row>
    <row r="244" spans="1:20" x14ac:dyDescent="0.25">
      <c r="A244" s="5">
        <v>44349</v>
      </c>
      <c r="B244">
        <v>0.41</v>
      </c>
      <c r="C244">
        <v>0.46500000000000002</v>
      </c>
      <c r="D244">
        <v>0.41</v>
      </c>
      <c r="E244">
        <v>0.442</v>
      </c>
      <c r="F244">
        <v>9060688.1640000008</v>
      </c>
      <c r="G244">
        <v>0</v>
      </c>
      <c r="L244" t="s">
        <v>7</v>
      </c>
      <c r="M244" t="s">
        <v>8</v>
      </c>
      <c r="N244" t="s">
        <v>8</v>
      </c>
      <c r="P244">
        <f t="shared" si="960"/>
        <v>0.16363636363636364</v>
      </c>
      <c r="Q244">
        <f t="shared" si="961"/>
        <v>1482658.0632000002</v>
      </c>
      <c r="R244">
        <f t="shared" si="962"/>
        <v>-112353102.93541814</v>
      </c>
      <c r="S244">
        <f t="shared" si="963"/>
        <v>-1123.5310293541813</v>
      </c>
      <c r="T244">
        <f t="shared" si="964"/>
        <v>-1.1235310293541814</v>
      </c>
    </row>
    <row r="245" spans="1:20" x14ac:dyDescent="0.25">
      <c r="A245" s="5">
        <v>44348</v>
      </c>
      <c r="B245">
        <v>0.40899999999999997</v>
      </c>
      <c r="C245">
        <v>0.46800000000000003</v>
      </c>
      <c r="D245">
        <v>0.38</v>
      </c>
      <c r="E245">
        <v>0.41</v>
      </c>
      <c r="F245">
        <v>16181652.300000001</v>
      </c>
      <c r="G245">
        <v>0</v>
      </c>
      <c r="L245" t="s">
        <v>8</v>
      </c>
      <c r="M245" t="s">
        <v>8</v>
      </c>
      <c r="N245" t="s">
        <v>8</v>
      </c>
      <c r="P245">
        <f t="shared" si="960"/>
        <v>-0.31818181818181901</v>
      </c>
      <c r="Q245">
        <f t="shared" si="961"/>
        <v>-5148707.5500000138</v>
      </c>
      <c r="R245">
        <f t="shared" si="962"/>
        <v>-113835760.99861814</v>
      </c>
      <c r="S245">
        <f t="shared" si="963"/>
        <v>-1138.3576099861814</v>
      </c>
      <c r="T245">
        <f t="shared" si="964"/>
        <v>-1.1383576099861814</v>
      </c>
    </row>
    <row r="246" spans="1:20" x14ac:dyDescent="0.25">
      <c r="A246" s="5">
        <v>44347</v>
      </c>
      <c r="B246">
        <v>0.32600000000000001</v>
      </c>
      <c r="C246">
        <v>0.45</v>
      </c>
      <c r="D246">
        <v>0.309</v>
      </c>
      <c r="E246">
        <v>0.40899999999999997</v>
      </c>
      <c r="F246">
        <v>17496796.111000001</v>
      </c>
      <c r="G246">
        <v>0</v>
      </c>
      <c r="L246" t="s">
        <v>8</v>
      </c>
      <c r="M246" t="s">
        <v>8</v>
      </c>
      <c r="N246" t="s">
        <v>8</v>
      </c>
      <c r="P246">
        <f t="shared" si="960"/>
        <v>0.41843971631205629</v>
      </c>
      <c r="Q246">
        <f t="shared" si="961"/>
        <v>7321354.4010567302</v>
      </c>
      <c r="R246">
        <f t="shared" si="962"/>
        <v>-108687053.44861813</v>
      </c>
      <c r="S246">
        <f t="shared" si="963"/>
        <v>-1086.8705344861812</v>
      </c>
      <c r="T246">
        <f t="shared" si="964"/>
        <v>-1.0868705344861813</v>
      </c>
    </row>
    <row r="247" spans="1:20" x14ac:dyDescent="0.25">
      <c r="A247" s="5">
        <v>44346</v>
      </c>
      <c r="B247">
        <v>0.313</v>
      </c>
      <c r="C247">
        <v>0.33300000000000002</v>
      </c>
      <c r="D247">
        <v>0.29499999999999998</v>
      </c>
      <c r="E247">
        <v>0.32600000000000001</v>
      </c>
      <c r="F247">
        <v>2397305.656</v>
      </c>
      <c r="G247">
        <v>0</v>
      </c>
      <c r="L247" t="s">
        <v>8</v>
      </c>
      <c r="M247" t="s">
        <v>7</v>
      </c>
      <c r="N247" t="s">
        <v>7</v>
      </c>
      <c r="P247">
        <f t="shared" si="960"/>
        <v>0.63157894736842102</v>
      </c>
      <c r="Q247">
        <f t="shared" si="961"/>
        <v>1514087.7827368421</v>
      </c>
      <c r="R247">
        <f t="shared" si="962"/>
        <v>-116008407.84967487</v>
      </c>
      <c r="S247">
        <f t="shared" si="963"/>
        <v>-1160.0840784967486</v>
      </c>
      <c r="T247">
        <f t="shared" si="964"/>
        <v>-1.1600840784967485</v>
      </c>
    </row>
    <row r="248" spans="1:20" x14ac:dyDescent="0.25">
      <c r="A248" s="5">
        <v>44345</v>
      </c>
      <c r="B248">
        <v>0.33400000000000002</v>
      </c>
      <c r="C248">
        <v>0.35099999999999998</v>
      </c>
      <c r="D248">
        <v>0.29499999999999998</v>
      </c>
      <c r="E248">
        <v>0.313</v>
      </c>
      <c r="F248">
        <v>3886189.7310000001</v>
      </c>
      <c r="G248">
        <v>0</v>
      </c>
      <c r="L248" t="s">
        <v>7</v>
      </c>
      <c r="M248" t="s">
        <v>7</v>
      </c>
      <c r="N248" t="s">
        <v>7</v>
      </c>
      <c r="P248">
        <f t="shared" si="960"/>
        <v>-0.35714285714285648</v>
      </c>
      <c r="Q248">
        <f t="shared" si="961"/>
        <v>-1387924.9039285688</v>
      </c>
      <c r="R248">
        <f t="shared" si="962"/>
        <v>-117522495.6324117</v>
      </c>
      <c r="S248">
        <f t="shared" si="963"/>
        <v>-1175.2249563241171</v>
      </c>
      <c r="T248">
        <f t="shared" si="964"/>
        <v>-1.1752249563241171</v>
      </c>
    </row>
    <row r="249" spans="1:20" x14ac:dyDescent="0.25">
      <c r="A249" s="5">
        <v>44344</v>
      </c>
      <c r="B249">
        <v>0.38100000000000001</v>
      </c>
      <c r="C249">
        <v>0.39</v>
      </c>
      <c r="D249">
        <v>0.32600000000000001</v>
      </c>
      <c r="E249">
        <v>0.33600000000000002</v>
      </c>
      <c r="F249">
        <v>4600790.2139999997</v>
      </c>
      <c r="G249">
        <v>0</v>
      </c>
      <c r="L249" t="s">
        <v>7</v>
      </c>
      <c r="M249" t="s">
        <v>7</v>
      </c>
      <c r="N249" t="s">
        <v>8</v>
      </c>
      <c r="P249">
        <f t="shared" si="960"/>
        <v>-0.68749999999999978</v>
      </c>
      <c r="Q249">
        <f t="shared" si="961"/>
        <v>-3163043.2721249987</v>
      </c>
      <c r="R249">
        <f t="shared" si="962"/>
        <v>-116134570.72848314</v>
      </c>
      <c r="S249">
        <f t="shared" si="963"/>
        <v>-1161.3457072848314</v>
      </c>
      <c r="T249">
        <f t="shared" si="964"/>
        <v>-1.1613457072848314</v>
      </c>
    </row>
    <row r="250" spans="1:20" x14ac:dyDescent="0.25">
      <c r="A250" s="5">
        <v>44343</v>
      </c>
      <c r="B250">
        <v>0.40799999999999997</v>
      </c>
      <c r="C250">
        <v>0.40799999999999997</v>
      </c>
      <c r="D250">
        <v>0.36399999999999999</v>
      </c>
      <c r="E250">
        <v>0.38200000000000001</v>
      </c>
      <c r="F250">
        <v>3858620.0789999999</v>
      </c>
      <c r="G250">
        <v>0</v>
      </c>
      <c r="L250" t="s">
        <v>7</v>
      </c>
      <c r="M250" t="s">
        <v>8</v>
      </c>
      <c r="N250" t="s">
        <v>8</v>
      </c>
      <c r="P250">
        <f t="shared" si="960"/>
        <v>-0.1818181818181808</v>
      </c>
      <c r="Q250">
        <f t="shared" si="961"/>
        <v>-701567.28709090513</v>
      </c>
      <c r="R250">
        <f t="shared" si="962"/>
        <v>-112971527.45635813</v>
      </c>
      <c r="S250">
        <f t="shared" si="963"/>
        <v>-1129.7152745635813</v>
      </c>
      <c r="T250">
        <f t="shared" si="964"/>
        <v>-1.1297152745635812</v>
      </c>
    </row>
    <row r="251" spans="1:20" x14ac:dyDescent="0.25">
      <c r="A251" s="5">
        <v>44342</v>
      </c>
      <c r="B251">
        <v>0.374</v>
      </c>
      <c r="C251">
        <v>0.41399999999999998</v>
      </c>
      <c r="D251">
        <v>0.36899999999999999</v>
      </c>
      <c r="E251">
        <v>0.40799999999999997</v>
      </c>
      <c r="F251">
        <v>3837817.915</v>
      </c>
      <c r="G251">
        <v>0</v>
      </c>
      <c r="L251" t="s">
        <v>7</v>
      </c>
      <c r="M251" t="s">
        <v>8</v>
      </c>
      <c r="N251" t="s">
        <v>8</v>
      </c>
      <c r="P251">
        <f t="shared" si="960"/>
        <v>0.73333333333333306</v>
      </c>
      <c r="Q251">
        <f t="shared" si="961"/>
        <v>2814399.8043333325</v>
      </c>
      <c r="R251">
        <f t="shared" si="962"/>
        <v>-112269960.16926722</v>
      </c>
      <c r="S251">
        <f t="shared" si="963"/>
        <v>-1122.6996016926723</v>
      </c>
      <c r="T251">
        <f t="shared" si="964"/>
        <v>-1.1226996016926722</v>
      </c>
    </row>
    <row r="252" spans="1:20" x14ac:dyDescent="0.25">
      <c r="A252" s="5">
        <v>44341</v>
      </c>
      <c r="B252">
        <v>0.39300000000000002</v>
      </c>
      <c r="C252">
        <v>0.42899999999999999</v>
      </c>
      <c r="D252">
        <v>0.34499999999999997</v>
      </c>
      <c r="E252">
        <v>0.374</v>
      </c>
      <c r="F252">
        <v>5107220.6050000004</v>
      </c>
      <c r="G252">
        <v>0</v>
      </c>
      <c r="L252" t="s">
        <v>8</v>
      </c>
      <c r="M252" t="s">
        <v>8</v>
      </c>
      <c r="N252" t="s">
        <v>8</v>
      </c>
      <c r="P252">
        <f t="shared" si="960"/>
        <v>-0.30952380952380909</v>
      </c>
      <c r="Q252">
        <f t="shared" si="961"/>
        <v>-1580806.3777380933</v>
      </c>
      <c r="R252">
        <f t="shared" si="962"/>
        <v>-115084359.97360055</v>
      </c>
      <c r="S252">
        <f t="shared" si="963"/>
        <v>-1150.8435997360054</v>
      </c>
      <c r="T252">
        <f t="shared" si="964"/>
        <v>-1.1508435997360054</v>
      </c>
    </row>
    <row r="253" spans="1:20" x14ac:dyDescent="0.25">
      <c r="A253" s="5">
        <v>44340</v>
      </c>
      <c r="B253">
        <v>0.32500000000000001</v>
      </c>
      <c r="C253">
        <v>0.41399999999999998</v>
      </c>
      <c r="D253">
        <v>0.313</v>
      </c>
      <c r="E253">
        <v>0.39500000000000002</v>
      </c>
      <c r="F253">
        <v>6786476.642</v>
      </c>
      <c r="G253">
        <v>0</v>
      </c>
      <c r="L253" t="s">
        <v>8</v>
      </c>
      <c r="M253" t="s">
        <v>8</v>
      </c>
      <c r="N253" t="s">
        <v>8</v>
      </c>
      <c r="P253">
        <f t="shared" si="960"/>
        <v>0.62376237623762443</v>
      </c>
      <c r="Q253">
        <f t="shared" si="961"/>
        <v>4233148.7964950539</v>
      </c>
      <c r="R253">
        <f t="shared" si="962"/>
        <v>-113503553.59586246</v>
      </c>
      <c r="S253">
        <f t="shared" si="963"/>
        <v>-1135.0355359586247</v>
      </c>
      <c r="T253">
        <f t="shared" si="964"/>
        <v>-1.1350355359586246</v>
      </c>
    </row>
    <row r="254" spans="1:20" x14ac:dyDescent="0.25">
      <c r="A254" s="5">
        <v>44339</v>
      </c>
      <c r="B254">
        <v>0.374</v>
      </c>
      <c r="C254">
        <v>0.39200000000000002</v>
      </c>
      <c r="D254">
        <v>0.28100000000000003</v>
      </c>
      <c r="E254">
        <v>0.32500000000000001</v>
      </c>
      <c r="F254">
        <v>6943555.1320000002</v>
      </c>
      <c r="G254">
        <v>0</v>
      </c>
      <c r="L254" t="s">
        <v>7</v>
      </c>
      <c r="M254" t="s">
        <v>7</v>
      </c>
      <c r="N254" t="s">
        <v>7</v>
      </c>
      <c r="P254">
        <f t="shared" si="960"/>
        <v>-0.20720720720720742</v>
      </c>
      <c r="Q254">
        <f t="shared" si="961"/>
        <v>-1438754.6669909926</v>
      </c>
      <c r="R254">
        <f t="shared" si="962"/>
        <v>-117736702.39235751</v>
      </c>
      <c r="S254">
        <f t="shared" si="963"/>
        <v>-1177.3670239235751</v>
      </c>
      <c r="T254">
        <f t="shared" si="964"/>
        <v>-1.177367023923575</v>
      </c>
    </row>
    <row r="255" spans="1:20" x14ac:dyDescent="0.25">
      <c r="A255" s="5">
        <v>44338</v>
      </c>
      <c r="B255">
        <v>0.40600000000000003</v>
      </c>
      <c r="C255">
        <v>0.43</v>
      </c>
      <c r="D255">
        <v>0.35</v>
      </c>
      <c r="E255">
        <v>0.376</v>
      </c>
      <c r="F255">
        <v>4744927.7209999999</v>
      </c>
      <c r="G255">
        <v>0</v>
      </c>
      <c r="L255" t="s">
        <v>8</v>
      </c>
      <c r="M255" t="s">
        <v>8</v>
      </c>
      <c r="N255" t="s">
        <v>7</v>
      </c>
      <c r="P255">
        <f t="shared" si="960"/>
        <v>-0.34999999999999953</v>
      </c>
      <c r="Q255">
        <f t="shared" si="961"/>
        <v>-1660724.7023499978</v>
      </c>
      <c r="R255">
        <f t="shared" si="962"/>
        <v>-116297947.72536652</v>
      </c>
      <c r="S255">
        <f t="shared" si="963"/>
        <v>-1162.9794772536652</v>
      </c>
      <c r="T255">
        <f t="shared" si="964"/>
        <v>-1.1629794772536652</v>
      </c>
    </row>
    <row r="256" spans="1:20" x14ac:dyDescent="0.25">
      <c r="A256" s="5">
        <v>44337</v>
      </c>
      <c r="B256">
        <v>0.49199999999999999</v>
      </c>
      <c r="C256">
        <v>0.53</v>
      </c>
      <c r="D256">
        <v>0.35</v>
      </c>
      <c r="E256">
        <v>0.40500000000000003</v>
      </c>
      <c r="F256">
        <v>6897336.3439999996</v>
      </c>
      <c r="G256">
        <v>0</v>
      </c>
      <c r="L256" t="s">
        <v>7</v>
      </c>
      <c r="M256" t="s">
        <v>7</v>
      </c>
      <c r="N256" t="s">
        <v>7</v>
      </c>
      <c r="P256">
        <f t="shared" si="960"/>
        <v>-0.38888888888888851</v>
      </c>
      <c r="Q256">
        <f t="shared" si="961"/>
        <v>-2682297.4671111084</v>
      </c>
      <c r="R256">
        <f t="shared" si="962"/>
        <v>-114637223.02301653</v>
      </c>
      <c r="S256">
        <f t="shared" si="963"/>
        <v>-1146.3722302301653</v>
      </c>
      <c r="T256">
        <f t="shared" si="964"/>
        <v>-1.1463722302301653</v>
      </c>
    </row>
    <row r="257" spans="1:20" x14ac:dyDescent="0.25">
      <c r="A257" s="5">
        <v>44336</v>
      </c>
      <c r="B257">
        <v>0.38300000000000001</v>
      </c>
      <c r="C257">
        <v>0.57299999999999995</v>
      </c>
      <c r="D257">
        <v>0.35</v>
      </c>
      <c r="E257">
        <v>0.49299999999999999</v>
      </c>
      <c r="F257">
        <v>11159445.562999999</v>
      </c>
      <c r="G257">
        <v>0</v>
      </c>
      <c r="L257" t="s">
        <v>8</v>
      </c>
      <c r="M257" t="s">
        <v>8</v>
      </c>
      <c r="N257" t="s">
        <v>8</v>
      </c>
      <c r="P257">
        <f t="shared" si="960"/>
        <v>0.2825112107623321</v>
      </c>
      <c r="Q257">
        <f t="shared" si="961"/>
        <v>3152668.4774394645</v>
      </c>
      <c r="R257">
        <f t="shared" si="962"/>
        <v>-111954925.55590542</v>
      </c>
      <c r="S257">
        <f t="shared" si="963"/>
        <v>-1119.5492555590542</v>
      </c>
      <c r="T257">
        <f t="shared" si="964"/>
        <v>-1.1195492555590543</v>
      </c>
    </row>
    <row r="258" spans="1:20" x14ac:dyDescent="0.25">
      <c r="A258" s="5">
        <v>44335</v>
      </c>
      <c r="B258">
        <v>0.61399999999999999</v>
      </c>
      <c r="C258">
        <v>0.624</v>
      </c>
      <c r="D258">
        <v>0.185</v>
      </c>
      <c r="E258">
        <v>0.38300000000000001</v>
      </c>
      <c r="F258">
        <v>14593838.734999999</v>
      </c>
      <c r="G258">
        <v>0</v>
      </c>
      <c r="L258" t="s">
        <v>7</v>
      </c>
      <c r="M258" t="s">
        <v>7</v>
      </c>
      <c r="N258" t="s">
        <v>7</v>
      </c>
      <c r="P258">
        <f t="shared" si="960"/>
        <v>-9.7949886104783557E-2</v>
      </c>
      <c r="Q258">
        <f t="shared" si="961"/>
        <v>-1429464.8419248285</v>
      </c>
      <c r="R258">
        <f t="shared" si="962"/>
        <v>-115107594.03334488</v>
      </c>
      <c r="S258">
        <f t="shared" si="963"/>
        <v>-1151.0759403334489</v>
      </c>
      <c r="T258">
        <f t="shared" si="964"/>
        <v>-1.151075940333449</v>
      </c>
    </row>
    <row r="259" spans="1:20" x14ac:dyDescent="0.25">
      <c r="A259" s="5">
        <v>44334</v>
      </c>
      <c r="B259">
        <v>0.61799999999999999</v>
      </c>
      <c r="C259">
        <v>0.65300000000000002</v>
      </c>
      <c r="D259">
        <v>0.58699999999999997</v>
      </c>
      <c r="E259">
        <v>0.61699999999999999</v>
      </c>
      <c r="F259">
        <v>4399096.7709999997</v>
      </c>
      <c r="G259">
        <v>0</v>
      </c>
      <c r="L259" t="s">
        <v>8</v>
      </c>
      <c r="M259" t="s">
        <v>7</v>
      </c>
      <c r="N259" t="s">
        <v>7</v>
      </c>
      <c r="P259">
        <f t="shared" si="960"/>
        <v>-9.0909090909090912E-2</v>
      </c>
      <c r="Q259">
        <f t="shared" si="961"/>
        <v>-399917.88827272726</v>
      </c>
      <c r="R259">
        <f t="shared" si="962"/>
        <v>-113678129.19142005</v>
      </c>
      <c r="S259">
        <f t="shared" si="963"/>
        <v>-1136.7812919142004</v>
      </c>
      <c r="T259">
        <f t="shared" si="964"/>
        <v>-1.1367812919142004</v>
      </c>
    </row>
    <row r="260" spans="1:20" x14ac:dyDescent="0.25">
      <c r="A260" s="5">
        <v>44333</v>
      </c>
      <c r="B260">
        <v>0.71699999999999997</v>
      </c>
      <c r="C260">
        <v>0.71699999999999997</v>
      </c>
      <c r="D260">
        <v>0.59</v>
      </c>
      <c r="E260">
        <v>0.61799999999999999</v>
      </c>
      <c r="F260">
        <v>6751215.898</v>
      </c>
      <c r="G260">
        <v>0</v>
      </c>
      <c r="L260" t="s">
        <v>7</v>
      </c>
      <c r="M260" t="s">
        <v>7</v>
      </c>
      <c r="N260" t="s">
        <v>7</v>
      </c>
      <c r="P260">
        <f t="shared" si="960"/>
        <v>-0.55905511811023578</v>
      </c>
      <c r="Q260">
        <f t="shared" si="961"/>
        <v>-3774301.8012440917</v>
      </c>
      <c r="R260">
        <f t="shared" si="962"/>
        <v>-113278211.30314732</v>
      </c>
      <c r="S260">
        <f t="shared" si="963"/>
        <v>-1132.7821130314733</v>
      </c>
      <c r="T260">
        <f t="shared" si="964"/>
        <v>-1.1327821130314732</v>
      </c>
    </row>
    <row r="261" spans="1:20" x14ac:dyDescent="0.25">
      <c r="A261" s="5">
        <v>44332</v>
      </c>
      <c r="B261">
        <v>0.72299999999999998</v>
      </c>
      <c r="C261">
        <v>0.76</v>
      </c>
      <c r="D261">
        <v>0.68300000000000005</v>
      </c>
      <c r="E261">
        <v>0.71599999999999997</v>
      </c>
      <c r="F261">
        <v>5472722.8250000002</v>
      </c>
      <c r="G261">
        <v>0</v>
      </c>
      <c r="L261" t="s">
        <v>7</v>
      </c>
      <c r="M261" t="s">
        <v>7</v>
      </c>
      <c r="N261" t="s">
        <v>7</v>
      </c>
      <c r="P261">
        <f t="shared" si="960"/>
        <v>-0.14285714285714451</v>
      </c>
      <c r="Q261">
        <f t="shared" si="961"/>
        <v>-781817.54642858054</v>
      </c>
      <c r="R261">
        <f t="shared" si="962"/>
        <v>-109503909.50190322</v>
      </c>
      <c r="S261">
        <f t="shared" si="963"/>
        <v>-1095.0390950190322</v>
      </c>
      <c r="T261">
        <f t="shared" si="964"/>
        <v>-1.0950390950190321</v>
      </c>
    </row>
    <row r="262" spans="1:20" x14ac:dyDescent="0.25">
      <c r="A262" s="5">
        <v>44331</v>
      </c>
      <c r="B262">
        <v>0.81799999999999995</v>
      </c>
      <c r="C262">
        <v>0.81899999999999995</v>
      </c>
      <c r="D262">
        <v>0.71399999999999997</v>
      </c>
      <c r="E262">
        <v>0.72399999999999998</v>
      </c>
      <c r="F262">
        <v>4935931.4330000002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5">IF(C262=D262,0,((E262-D262)-(C262-E262))/(C262-D262))</f>
        <v>-0.80952380952380931</v>
      </c>
      <c r="Q262">
        <f t="shared" ref="Q262:Q325" si="966">F262*P262</f>
        <v>-3995754.0171904755</v>
      </c>
      <c r="R262">
        <f t="shared" ref="R262:R325" si="967">R263+Q262</f>
        <v>-108722091.95547464</v>
      </c>
      <c r="S262">
        <f t="shared" ref="S262:S325" si="968">R262/100000</f>
        <v>-1087.2209195547464</v>
      </c>
      <c r="T262">
        <f t="shared" ref="T262:T325" si="969">S262/1000</f>
        <v>-1.0872209195547464</v>
      </c>
    </row>
    <row r="263" spans="1:20" x14ac:dyDescent="0.25">
      <c r="A263" s="5">
        <v>44330</v>
      </c>
      <c r="B263">
        <v>0.80300000000000005</v>
      </c>
      <c r="C263">
        <v>0.84899999999999998</v>
      </c>
      <c r="D263">
        <v>0.8</v>
      </c>
      <c r="E263">
        <v>0.81599999999999995</v>
      </c>
      <c r="F263">
        <v>4646182.6220000004</v>
      </c>
      <c r="G263">
        <v>0</v>
      </c>
      <c r="L263" t="s">
        <v>8</v>
      </c>
      <c r="M263" t="s">
        <v>7</v>
      </c>
      <c r="N263" t="s">
        <v>7</v>
      </c>
      <c r="P263">
        <f t="shared" si="965"/>
        <v>-0.34693877551020713</v>
      </c>
      <c r="Q263">
        <f t="shared" si="966"/>
        <v>-1611940.9096734838</v>
      </c>
      <c r="R263">
        <f t="shared" si="967"/>
        <v>-104726337.93828417</v>
      </c>
      <c r="S263">
        <f t="shared" si="968"/>
        <v>-1047.2633793828418</v>
      </c>
      <c r="T263">
        <f t="shared" si="969"/>
        <v>-1.0472633793828419</v>
      </c>
    </row>
    <row r="264" spans="1:20" x14ac:dyDescent="0.25">
      <c r="A264" s="5">
        <v>44329</v>
      </c>
      <c r="B264">
        <v>0.8</v>
      </c>
      <c r="C264">
        <v>0.84699999999999998</v>
      </c>
      <c r="D264">
        <v>0.78</v>
      </c>
      <c r="E264">
        <v>0.80100000000000005</v>
      </c>
      <c r="F264">
        <v>7866992.2240000004</v>
      </c>
      <c r="G264">
        <v>0</v>
      </c>
      <c r="L264" t="s">
        <v>7</v>
      </c>
      <c r="M264" t="s">
        <v>7</v>
      </c>
      <c r="N264" t="s">
        <v>7</v>
      </c>
      <c r="P264">
        <f t="shared" si="965"/>
        <v>-0.37313432835820792</v>
      </c>
      <c r="Q264">
        <f t="shared" si="966"/>
        <v>-2935444.8597014844</v>
      </c>
      <c r="R264">
        <f t="shared" si="967"/>
        <v>-103114397.02861069</v>
      </c>
      <c r="S264">
        <f t="shared" si="968"/>
        <v>-1031.1439702861069</v>
      </c>
      <c r="T264">
        <f t="shared" si="969"/>
        <v>-1.0311439702861069</v>
      </c>
    </row>
    <row r="265" spans="1:20" x14ac:dyDescent="0.25">
      <c r="A265" s="5">
        <v>44328</v>
      </c>
      <c r="B265">
        <v>0.82699999999999996</v>
      </c>
      <c r="C265">
        <v>0.99099999999999999</v>
      </c>
      <c r="D265">
        <v>0.78200000000000003</v>
      </c>
      <c r="E265">
        <v>0.8</v>
      </c>
      <c r="F265">
        <v>18604501.600000001</v>
      </c>
      <c r="G265">
        <v>0</v>
      </c>
      <c r="L265" t="s">
        <v>8</v>
      </c>
      <c r="M265" t="s">
        <v>7</v>
      </c>
      <c r="N265" t="s">
        <v>7</v>
      </c>
      <c r="P265">
        <f t="shared" si="965"/>
        <v>-0.82775119617224857</v>
      </c>
      <c r="Q265">
        <f t="shared" si="966"/>
        <v>-15399898.453588514</v>
      </c>
      <c r="R265">
        <f t="shared" si="967"/>
        <v>-100178952.16890921</v>
      </c>
      <c r="S265">
        <f t="shared" si="968"/>
        <v>-1001.7895216890921</v>
      </c>
      <c r="T265">
        <f t="shared" si="969"/>
        <v>-1.0017895216890922</v>
      </c>
    </row>
    <row r="266" spans="1:20" x14ac:dyDescent="0.25">
      <c r="A266" s="5">
        <v>44327</v>
      </c>
      <c r="B266">
        <v>0.80300000000000005</v>
      </c>
      <c r="C266">
        <v>0.82599999999999996</v>
      </c>
      <c r="D266">
        <v>0.78500000000000003</v>
      </c>
      <c r="E266">
        <v>0.82399999999999995</v>
      </c>
      <c r="F266">
        <v>4607366.47</v>
      </c>
      <c r="G266">
        <v>0</v>
      </c>
      <c r="L266" t="s">
        <v>7</v>
      </c>
      <c r="M266" t="s">
        <v>7</v>
      </c>
      <c r="N266" t="s">
        <v>7</v>
      </c>
      <c r="P266">
        <f t="shared" si="965"/>
        <v>0.90243902439024359</v>
      </c>
      <c r="Q266">
        <f t="shared" si="966"/>
        <v>4157867.3021951201</v>
      </c>
      <c r="R266">
        <f t="shared" si="967"/>
        <v>-84779053.715320691</v>
      </c>
      <c r="S266">
        <f t="shared" si="968"/>
        <v>-847.79053715320697</v>
      </c>
      <c r="T266">
        <f t="shared" si="969"/>
        <v>-0.84779053715320696</v>
      </c>
    </row>
    <row r="267" spans="1:20" x14ac:dyDescent="0.25">
      <c r="A267" s="5">
        <v>44326</v>
      </c>
      <c r="B267">
        <v>0.88400000000000001</v>
      </c>
      <c r="C267">
        <v>0.89</v>
      </c>
      <c r="D267">
        <v>0.79600000000000004</v>
      </c>
      <c r="E267">
        <v>0.80300000000000005</v>
      </c>
      <c r="F267">
        <v>7133579.2549999999</v>
      </c>
      <c r="G267">
        <v>0</v>
      </c>
      <c r="L267" t="s">
        <v>7</v>
      </c>
      <c r="M267" t="s">
        <v>7</v>
      </c>
      <c r="N267" t="s">
        <v>7</v>
      </c>
      <c r="P267">
        <f t="shared" si="965"/>
        <v>-0.85106382978723383</v>
      </c>
      <c r="Q267">
        <f t="shared" si="966"/>
        <v>-6071131.2808510624</v>
      </c>
      <c r="R267">
        <f t="shared" si="967"/>
        <v>-88936921.017515808</v>
      </c>
      <c r="S267">
        <f t="shared" si="968"/>
        <v>-889.36921017515806</v>
      </c>
      <c r="T267">
        <f t="shared" si="969"/>
        <v>-0.88936921017515802</v>
      </c>
    </row>
    <row r="268" spans="1:20" x14ac:dyDescent="0.25">
      <c r="A268" s="5">
        <v>44325</v>
      </c>
      <c r="B268">
        <v>0.89</v>
      </c>
      <c r="C268">
        <v>0.91500000000000004</v>
      </c>
      <c r="D268">
        <v>0.85399999999999998</v>
      </c>
      <c r="E268">
        <v>0.88400000000000001</v>
      </c>
      <c r="F268">
        <v>5630988.3559999997</v>
      </c>
      <c r="G268">
        <v>0</v>
      </c>
      <c r="L268" t="s">
        <v>7</v>
      </c>
      <c r="M268" t="s">
        <v>7</v>
      </c>
      <c r="N268" t="s">
        <v>8</v>
      </c>
      <c r="P268">
        <f t="shared" si="965"/>
        <v>-1.6393442622950821E-2</v>
      </c>
      <c r="Q268">
        <f t="shared" si="966"/>
        <v>-92311.28452459017</v>
      </c>
      <c r="R268">
        <f t="shared" si="967"/>
        <v>-82865789.736664742</v>
      </c>
      <c r="S268">
        <f t="shared" si="968"/>
        <v>-828.65789736664738</v>
      </c>
      <c r="T268">
        <f t="shared" si="969"/>
        <v>-0.82865789736664741</v>
      </c>
    </row>
    <row r="269" spans="1:20" x14ac:dyDescent="0.25">
      <c r="A269" s="5">
        <v>44324</v>
      </c>
      <c r="B269">
        <v>0.93799999999999994</v>
      </c>
      <c r="C269">
        <v>1.0029999999999999</v>
      </c>
      <c r="D269">
        <v>0.86299999999999999</v>
      </c>
      <c r="E269">
        <v>0.88900000000000001</v>
      </c>
      <c r="F269">
        <v>8211207.7520000003</v>
      </c>
      <c r="G269">
        <v>0</v>
      </c>
      <c r="L269" t="s">
        <v>7</v>
      </c>
      <c r="M269" t="s">
        <v>7</v>
      </c>
      <c r="N269" t="s">
        <v>8</v>
      </c>
      <c r="P269">
        <f t="shared" si="965"/>
        <v>-0.628571428571428</v>
      </c>
      <c r="Q269">
        <f t="shared" si="966"/>
        <v>-5161330.5869714245</v>
      </c>
      <c r="R269">
        <f t="shared" si="967"/>
        <v>-82773478.452140152</v>
      </c>
      <c r="S269">
        <f t="shared" si="968"/>
        <v>-827.73478452140148</v>
      </c>
      <c r="T269">
        <f t="shared" si="969"/>
        <v>-0.82773478452140148</v>
      </c>
    </row>
    <row r="270" spans="1:20" x14ac:dyDescent="0.25">
      <c r="A270" s="5">
        <v>44323</v>
      </c>
      <c r="B270">
        <v>0.875</v>
      </c>
      <c r="C270">
        <v>1.07</v>
      </c>
      <c r="D270">
        <v>0.84499999999999997</v>
      </c>
      <c r="E270">
        <v>0.93799999999999994</v>
      </c>
      <c r="F270">
        <v>16954307.359000001</v>
      </c>
      <c r="G270">
        <v>0</v>
      </c>
      <c r="L270" t="s">
        <v>8</v>
      </c>
      <c r="M270" t="s">
        <v>8</v>
      </c>
      <c r="N270" t="s">
        <v>8</v>
      </c>
      <c r="P270">
        <f t="shared" si="965"/>
        <v>-0.17333333333333392</v>
      </c>
      <c r="Q270">
        <f t="shared" si="966"/>
        <v>-2938746.6088933437</v>
      </c>
      <c r="R270">
        <f t="shared" si="967"/>
        <v>-77612147.865168735</v>
      </c>
      <c r="S270">
        <f t="shared" si="968"/>
        <v>-776.12147865168731</v>
      </c>
      <c r="T270">
        <f t="shared" si="969"/>
        <v>-0.77612147865168735</v>
      </c>
    </row>
    <row r="271" spans="1:20" x14ac:dyDescent="0.25">
      <c r="A271" s="5">
        <v>44322</v>
      </c>
      <c r="B271">
        <v>0.90800000000000003</v>
      </c>
      <c r="C271">
        <v>0.91400000000000003</v>
      </c>
      <c r="D271">
        <v>0.85199999999999998</v>
      </c>
      <c r="E271">
        <v>0.876</v>
      </c>
      <c r="F271">
        <v>4656202.4230000004</v>
      </c>
      <c r="G271">
        <v>0</v>
      </c>
      <c r="L271" t="s">
        <v>7</v>
      </c>
      <c r="M271" t="s">
        <v>7</v>
      </c>
      <c r="N271" t="s">
        <v>8</v>
      </c>
      <c r="P271">
        <f t="shared" si="965"/>
        <v>-0.22580645161290322</v>
      </c>
      <c r="Q271">
        <f t="shared" si="966"/>
        <v>-1051400.5471290324</v>
      </c>
      <c r="R271">
        <f t="shared" si="967"/>
        <v>-74673401.256275386</v>
      </c>
      <c r="S271">
        <f t="shared" si="968"/>
        <v>-746.73401256275383</v>
      </c>
      <c r="T271">
        <f t="shared" si="969"/>
        <v>-0.74673401256275385</v>
      </c>
    </row>
    <row r="272" spans="1:20" x14ac:dyDescent="0.25">
      <c r="A272" s="5">
        <v>44321</v>
      </c>
      <c r="B272">
        <v>0.86499999999999999</v>
      </c>
      <c r="C272">
        <v>0.94299999999999995</v>
      </c>
      <c r="D272">
        <v>0.85699999999999998</v>
      </c>
      <c r="E272">
        <v>0.90800000000000003</v>
      </c>
      <c r="F272">
        <v>5645175.9220000003</v>
      </c>
      <c r="G272">
        <v>0</v>
      </c>
      <c r="L272" t="s">
        <v>8</v>
      </c>
      <c r="M272" t="s">
        <v>7</v>
      </c>
      <c r="N272" t="s">
        <v>8</v>
      </c>
      <c r="P272">
        <f t="shared" si="965"/>
        <v>0.1860465116279085</v>
      </c>
      <c r="Q272">
        <f t="shared" si="966"/>
        <v>1050265.2878139622</v>
      </c>
      <c r="R272">
        <f t="shared" si="967"/>
        <v>-73622000.709146351</v>
      </c>
      <c r="S272">
        <f t="shared" si="968"/>
        <v>-736.22000709146346</v>
      </c>
      <c r="T272">
        <f t="shared" si="969"/>
        <v>-0.73622000709146351</v>
      </c>
    </row>
    <row r="273" spans="1:20" x14ac:dyDescent="0.25">
      <c r="A273" s="5">
        <v>44320</v>
      </c>
      <c r="B273">
        <v>0.95599999999999996</v>
      </c>
      <c r="C273">
        <v>0.96</v>
      </c>
      <c r="D273">
        <v>0.85</v>
      </c>
      <c r="E273">
        <v>0.86399999999999999</v>
      </c>
      <c r="F273">
        <v>7455888.9160000002</v>
      </c>
      <c r="G273">
        <v>0</v>
      </c>
      <c r="L273" t="s">
        <v>7</v>
      </c>
      <c r="M273" t="s">
        <v>7</v>
      </c>
      <c r="N273" t="s">
        <v>8</v>
      </c>
      <c r="P273">
        <f t="shared" si="965"/>
        <v>-0.74545454545454515</v>
      </c>
      <c r="Q273">
        <f t="shared" si="966"/>
        <v>-5558026.2828363618</v>
      </c>
      <c r="R273">
        <f t="shared" si="967"/>
        <v>-74672265.996960312</v>
      </c>
      <c r="S273">
        <f t="shared" si="968"/>
        <v>-746.72265996960311</v>
      </c>
      <c r="T273">
        <f t="shared" si="969"/>
        <v>-0.74672265996960308</v>
      </c>
    </row>
    <row r="274" spans="1:20" x14ac:dyDescent="0.25">
      <c r="A274" s="5">
        <v>44319</v>
      </c>
      <c r="B274">
        <v>0.94099999999999995</v>
      </c>
      <c r="C274">
        <v>1.028</v>
      </c>
      <c r="D274">
        <v>0.92800000000000005</v>
      </c>
      <c r="E274">
        <v>0.95699999999999996</v>
      </c>
      <c r="F274">
        <v>10231361.588</v>
      </c>
      <c r="G274">
        <v>0</v>
      </c>
      <c r="L274" t="s">
        <v>8</v>
      </c>
      <c r="M274" t="s">
        <v>7</v>
      </c>
      <c r="N274" t="s">
        <v>8</v>
      </c>
      <c r="P274">
        <f t="shared" si="965"/>
        <v>-0.42000000000000159</v>
      </c>
      <c r="Q274">
        <f t="shared" si="966"/>
        <v>-4297171.8669600161</v>
      </c>
      <c r="R274">
        <f t="shared" si="967"/>
        <v>-69114239.714123949</v>
      </c>
      <c r="S274">
        <f t="shared" si="968"/>
        <v>-691.14239714123948</v>
      </c>
      <c r="T274">
        <f t="shared" si="969"/>
        <v>-0.69114239714123948</v>
      </c>
    </row>
    <row r="275" spans="1:20" x14ac:dyDescent="0.25">
      <c r="A275" s="5">
        <v>44318</v>
      </c>
      <c r="B275">
        <v>0.99</v>
      </c>
      <c r="C275">
        <v>0.997</v>
      </c>
      <c r="D275">
        <v>0.91200000000000003</v>
      </c>
      <c r="E275">
        <v>0.94</v>
      </c>
      <c r="F275">
        <v>7559228.8569999998</v>
      </c>
      <c r="G275">
        <v>0</v>
      </c>
      <c r="L275" t="s">
        <v>7</v>
      </c>
      <c r="M275" t="s">
        <v>7</v>
      </c>
      <c r="N275" t="s">
        <v>8</v>
      </c>
      <c r="P275">
        <f t="shared" si="965"/>
        <v>-0.34117647058823702</v>
      </c>
      <c r="Q275">
        <f t="shared" si="966"/>
        <v>-2579031.0218000128</v>
      </c>
      <c r="R275">
        <f t="shared" si="967"/>
        <v>-64817067.847163931</v>
      </c>
      <c r="S275">
        <f t="shared" si="968"/>
        <v>-648.17067847163935</v>
      </c>
      <c r="T275">
        <f t="shared" si="969"/>
        <v>-0.64817067847163934</v>
      </c>
    </row>
    <row r="276" spans="1:20" x14ac:dyDescent="0.25">
      <c r="A276" s="5">
        <v>44317</v>
      </c>
      <c r="B276">
        <v>1</v>
      </c>
      <c r="C276">
        <v>1.0109999999999999</v>
      </c>
      <c r="D276">
        <v>0.97499999999999998</v>
      </c>
      <c r="E276">
        <v>0.99</v>
      </c>
      <c r="F276">
        <v>5425591.6789999995</v>
      </c>
      <c r="G276">
        <v>0</v>
      </c>
      <c r="L276" t="s">
        <v>8</v>
      </c>
      <c r="M276" t="s">
        <v>7</v>
      </c>
      <c r="N276" t="s">
        <v>8</v>
      </c>
      <c r="P276">
        <f t="shared" si="965"/>
        <v>-0.1666666666666641</v>
      </c>
      <c r="Q276">
        <f t="shared" si="966"/>
        <v>-904265.27983331936</v>
      </c>
      <c r="R276">
        <f t="shared" si="967"/>
        <v>-62238036.825363919</v>
      </c>
      <c r="S276">
        <f t="shared" si="968"/>
        <v>-622.38036825363918</v>
      </c>
      <c r="T276">
        <f t="shared" si="969"/>
        <v>-0.62238036825363918</v>
      </c>
    </row>
    <row r="277" spans="1:20" x14ac:dyDescent="0.25">
      <c r="A277" s="5">
        <v>44316</v>
      </c>
      <c r="B277">
        <v>0.997</v>
      </c>
      <c r="C277">
        <v>1.0289999999999999</v>
      </c>
      <c r="D277">
        <v>0.96599999999999997</v>
      </c>
      <c r="E277">
        <v>1</v>
      </c>
      <c r="F277">
        <v>6924954.6950000003</v>
      </c>
      <c r="G277">
        <v>0</v>
      </c>
      <c r="L277" t="s">
        <v>8</v>
      </c>
      <c r="M277" t="s">
        <v>7</v>
      </c>
      <c r="N277" t="s">
        <v>8</v>
      </c>
      <c r="P277">
        <f t="shared" si="965"/>
        <v>7.9365079365081262E-2</v>
      </c>
      <c r="Q277">
        <f t="shared" si="966"/>
        <v>549599.57896826707</v>
      </c>
      <c r="R277">
        <f t="shared" si="967"/>
        <v>-61333771.545530602</v>
      </c>
      <c r="S277">
        <f t="shared" si="968"/>
        <v>-613.33771545530601</v>
      </c>
      <c r="T277">
        <f t="shared" si="969"/>
        <v>-0.61333771545530602</v>
      </c>
    </row>
    <row r="278" spans="1:20" x14ac:dyDescent="0.25">
      <c r="A278" s="5">
        <v>44315</v>
      </c>
      <c r="B278">
        <v>1.0429999999999999</v>
      </c>
      <c r="C278">
        <v>1.0489999999999999</v>
      </c>
      <c r="D278">
        <v>0.95</v>
      </c>
      <c r="E278">
        <v>0.997</v>
      </c>
      <c r="F278">
        <v>9986996.2660000008</v>
      </c>
      <c r="G278">
        <v>0</v>
      </c>
      <c r="L278" t="s">
        <v>7</v>
      </c>
      <c r="M278" t="s">
        <v>7</v>
      </c>
      <c r="N278" t="s">
        <v>8</v>
      </c>
      <c r="P278">
        <f t="shared" si="965"/>
        <v>-5.0505050505049442E-2</v>
      </c>
      <c r="Q278">
        <f t="shared" si="966"/>
        <v>-504393.75080807024</v>
      </c>
      <c r="R278">
        <f t="shared" si="967"/>
        <v>-61883371.124498866</v>
      </c>
      <c r="S278">
        <f t="shared" si="968"/>
        <v>-618.83371124498865</v>
      </c>
      <c r="T278">
        <f t="shared" si="969"/>
        <v>-0.61883371124498865</v>
      </c>
    </row>
    <row r="279" spans="1:20" x14ac:dyDescent="0.25">
      <c r="A279" s="5">
        <v>44314</v>
      </c>
      <c r="B279">
        <v>1.014</v>
      </c>
      <c r="C279">
        <v>1.1299999999999999</v>
      </c>
      <c r="D279">
        <v>0.98599999999999999</v>
      </c>
      <c r="E279">
        <v>1.0449999999999999</v>
      </c>
      <c r="F279">
        <v>12590277.997</v>
      </c>
      <c r="G279">
        <v>0</v>
      </c>
      <c r="L279" t="s">
        <v>8</v>
      </c>
      <c r="M279" t="s">
        <v>8</v>
      </c>
      <c r="N279" t="s">
        <v>8</v>
      </c>
      <c r="P279">
        <f t="shared" si="965"/>
        <v>-0.18055555555555583</v>
      </c>
      <c r="Q279">
        <f t="shared" si="966"/>
        <v>-2273244.6383472257</v>
      </c>
      <c r="R279">
        <f t="shared" si="967"/>
        <v>-61378977.373690799</v>
      </c>
      <c r="S279">
        <f t="shared" si="968"/>
        <v>-613.78977373690793</v>
      </c>
      <c r="T279">
        <f t="shared" si="969"/>
        <v>-0.61378977373690791</v>
      </c>
    </row>
    <row r="280" spans="1:20" x14ac:dyDescent="0.25">
      <c r="A280" s="5">
        <v>44313</v>
      </c>
      <c r="B280">
        <v>0.94099999999999995</v>
      </c>
      <c r="C280">
        <v>1.0760000000000001</v>
      </c>
      <c r="D280">
        <v>0.93500000000000005</v>
      </c>
      <c r="E280">
        <v>1.014</v>
      </c>
      <c r="F280">
        <v>6223870.5389999999</v>
      </c>
      <c r="G280">
        <v>0</v>
      </c>
      <c r="L280" t="s">
        <v>8</v>
      </c>
      <c r="M280" t="s">
        <v>8</v>
      </c>
      <c r="N280" t="s">
        <v>7</v>
      </c>
      <c r="P280">
        <f t="shared" si="965"/>
        <v>0.12056737588652414</v>
      </c>
      <c r="Q280">
        <f t="shared" si="966"/>
        <v>750395.73874467658</v>
      </c>
      <c r="R280">
        <f t="shared" si="967"/>
        <v>-59105732.735343575</v>
      </c>
      <c r="S280">
        <f t="shared" si="968"/>
        <v>-591.05732735343577</v>
      </c>
      <c r="T280">
        <f t="shared" si="969"/>
        <v>-0.59105732735343575</v>
      </c>
    </row>
    <row r="281" spans="1:20" x14ac:dyDescent="0.25">
      <c r="A281" s="5">
        <v>44312</v>
      </c>
      <c r="B281">
        <v>0.86199999999999999</v>
      </c>
      <c r="C281">
        <v>0.96</v>
      </c>
      <c r="D281">
        <v>0.86</v>
      </c>
      <c r="E281">
        <v>0.94299999999999995</v>
      </c>
      <c r="F281">
        <v>3622908.04</v>
      </c>
      <c r="G281">
        <v>0</v>
      </c>
      <c r="L281" t="s">
        <v>8</v>
      </c>
      <c r="M281" t="s">
        <v>8</v>
      </c>
      <c r="N281" t="s">
        <v>7</v>
      </c>
      <c r="P281">
        <f t="shared" si="965"/>
        <v>0.65999999999999959</v>
      </c>
      <c r="Q281">
        <f t="shared" si="966"/>
        <v>2391119.3063999987</v>
      </c>
      <c r="R281">
        <f t="shared" si="967"/>
        <v>-59856128.474088252</v>
      </c>
      <c r="S281">
        <f t="shared" si="968"/>
        <v>-598.56128474088257</v>
      </c>
      <c r="T281">
        <f t="shared" si="969"/>
        <v>-0.59856128474088255</v>
      </c>
    </row>
    <row r="282" spans="1:20" x14ac:dyDescent="0.25">
      <c r="A282" s="5">
        <v>44311</v>
      </c>
      <c r="B282">
        <v>0.84899999999999998</v>
      </c>
      <c r="C282">
        <v>0.89300000000000002</v>
      </c>
      <c r="D282">
        <v>0.81200000000000006</v>
      </c>
      <c r="E282">
        <v>0.86099999999999999</v>
      </c>
      <c r="F282">
        <v>2719363.34</v>
      </c>
      <c r="G282">
        <v>0</v>
      </c>
      <c r="L282" t="s">
        <v>7</v>
      </c>
      <c r="M282" t="s">
        <v>8</v>
      </c>
      <c r="N282" t="s">
        <v>7</v>
      </c>
      <c r="P282">
        <f t="shared" si="965"/>
        <v>0.20987654320987545</v>
      </c>
      <c r="Q282">
        <f t="shared" si="966"/>
        <v>570730.57753086113</v>
      </c>
      <c r="R282">
        <f t="shared" si="967"/>
        <v>-62247247.780488253</v>
      </c>
      <c r="S282">
        <f t="shared" si="968"/>
        <v>-622.47247780488249</v>
      </c>
      <c r="T282">
        <f t="shared" si="969"/>
        <v>-0.62247247780488246</v>
      </c>
    </row>
    <row r="283" spans="1:20" x14ac:dyDescent="0.25">
      <c r="A283" s="5">
        <v>44310</v>
      </c>
      <c r="B283">
        <v>0.86799999999999999</v>
      </c>
      <c r="C283">
        <v>0.92600000000000005</v>
      </c>
      <c r="D283">
        <v>0.82599999999999996</v>
      </c>
      <c r="E283">
        <v>0.85099999999999998</v>
      </c>
      <c r="F283">
        <v>3290531.0040000002</v>
      </c>
      <c r="G283">
        <v>0</v>
      </c>
      <c r="L283" t="s">
        <v>8</v>
      </c>
      <c r="M283" t="s">
        <v>8</v>
      </c>
      <c r="N283" t="s">
        <v>7</v>
      </c>
      <c r="P283">
        <f t="shared" si="965"/>
        <v>-0.5</v>
      </c>
      <c r="Q283">
        <f t="shared" si="966"/>
        <v>-1645265.5020000001</v>
      </c>
      <c r="R283">
        <f t="shared" si="967"/>
        <v>-62817978.358019114</v>
      </c>
      <c r="S283">
        <f t="shared" si="968"/>
        <v>-628.17978358019116</v>
      </c>
      <c r="T283">
        <f t="shared" si="969"/>
        <v>-0.62817978358019111</v>
      </c>
    </row>
    <row r="284" spans="1:20" x14ac:dyDescent="0.25">
      <c r="A284" s="5">
        <v>44309</v>
      </c>
      <c r="B284">
        <v>0.90400000000000003</v>
      </c>
      <c r="C284">
        <v>0.90500000000000003</v>
      </c>
      <c r="D284">
        <v>0.77900000000000003</v>
      </c>
      <c r="E284">
        <v>0.86899999999999999</v>
      </c>
      <c r="F284">
        <v>4860712.1370000001</v>
      </c>
      <c r="G284">
        <v>0</v>
      </c>
      <c r="L284" t="s">
        <v>7</v>
      </c>
      <c r="M284" t="s">
        <v>7</v>
      </c>
      <c r="N284" t="s">
        <v>7</v>
      </c>
      <c r="P284">
        <f t="shared" si="965"/>
        <v>0.42857142857142805</v>
      </c>
      <c r="Q284">
        <f t="shared" si="966"/>
        <v>2083162.3444285688</v>
      </c>
      <c r="R284">
        <f t="shared" si="967"/>
        <v>-61172712.856019117</v>
      </c>
      <c r="S284">
        <f t="shared" si="968"/>
        <v>-611.7271285601912</v>
      </c>
      <c r="T284">
        <f t="shared" si="969"/>
        <v>-0.61172712856019118</v>
      </c>
    </row>
    <row r="285" spans="1:20" x14ac:dyDescent="0.25">
      <c r="A285" s="5">
        <v>44308</v>
      </c>
      <c r="B285">
        <v>0.94199999999999995</v>
      </c>
      <c r="C285">
        <v>1.034</v>
      </c>
      <c r="D285">
        <v>0.9</v>
      </c>
      <c r="E285">
        <v>0.90400000000000003</v>
      </c>
      <c r="F285">
        <v>6490566.5959999999</v>
      </c>
      <c r="G285">
        <v>0</v>
      </c>
      <c r="L285" t="s">
        <v>7</v>
      </c>
      <c r="M285" t="s">
        <v>7</v>
      </c>
      <c r="N285" t="s">
        <v>8</v>
      </c>
      <c r="P285">
        <f t="shared" si="965"/>
        <v>-0.94029850746268651</v>
      </c>
      <c r="Q285">
        <f t="shared" si="966"/>
        <v>-6103070.0828059698</v>
      </c>
      <c r="R285">
        <f t="shared" si="967"/>
        <v>-63255875.200447686</v>
      </c>
      <c r="S285">
        <f t="shared" si="968"/>
        <v>-632.5587520044769</v>
      </c>
      <c r="T285">
        <f t="shared" si="969"/>
        <v>-0.63255875200447687</v>
      </c>
    </row>
    <row r="286" spans="1:20" x14ac:dyDescent="0.25">
      <c r="A286" s="5">
        <v>44307</v>
      </c>
      <c r="B286">
        <v>1.0429999999999999</v>
      </c>
      <c r="C286">
        <v>1.0429999999999999</v>
      </c>
      <c r="D286">
        <v>0.93700000000000006</v>
      </c>
      <c r="E286">
        <v>0.94199999999999995</v>
      </c>
      <c r="F286">
        <v>5340811.62</v>
      </c>
      <c r="G286">
        <v>0</v>
      </c>
      <c r="L286" t="s">
        <v>8</v>
      </c>
      <c r="M286" t="s">
        <v>7</v>
      </c>
      <c r="N286" t="s">
        <v>8</v>
      </c>
      <c r="P286">
        <f t="shared" si="965"/>
        <v>-0.90566037735849247</v>
      </c>
      <c r="Q286">
        <f t="shared" si="966"/>
        <v>-4836961.4671698213</v>
      </c>
      <c r="R286">
        <f t="shared" si="967"/>
        <v>-57152805.117641717</v>
      </c>
      <c r="S286">
        <f t="shared" si="968"/>
        <v>-571.52805117641719</v>
      </c>
      <c r="T286">
        <f t="shared" si="969"/>
        <v>-0.57152805117641714</v>
      </c>
    </row>
    <row r="287" spans="1:20" x14ac:dyDescent="0.25">
      <c r="A287" s="5">
        <v>44306</v>
      </c>
      <c r="B287">
        <v>1.0660000000000001</v>
      </c>
      <c r="C287">
        <v>1.107</v>
      </c>
      <c r="D287">
        <v>0.93700000000000006</v>
      </c>
      <c r="E287">
        <v>1.0429999999999999</v>
      </c>
      <c r="F287">
        <v>7066010.2949999999</v>
      </c>
      <c r="G287">
        <v>0</v>
      </c>
      <c r="L287" t="s">
        <v>7</v>
      </c>
      <c r="M287" t="s">
        <v>7</v>
      </c>
      <c r="N287" t="s">
        <v>8</v>
      </c>
      <c r="P287">
        <f t="shared" si="965"/>
        <v>0.24705882352941078</v>
      </c>
      <c r="Q287">
        <f t="shared" si="966"/>
        <v>1745720.1905294047</v>
      </c>
      <c r="R287">
        <f t="shared" si="967"/>
        <v>-52315843.650471896</v>
      </c>
      <c r="S287">
        <f t="shared" si="968"/>
        <v>-523.15843650471891</v>
      </c>
      <c r="T287">
        <f t="shared" si="969"/>
        <v>-0.52315843650471894</v>
      </c>
    </row>
    <row r="288" spans="1:20" x14ac:dyDescent="0.25">
      <c r="A288" s="5">
        <v>44305</v>
      </c>
      <c r="B288">
        <v>0.97</v>
      </c>
      <c r="C288">
        <v>1.2</v>
      </c>
      <c r="D288">
        <v>0.96</v>
      </c>
      <c r="E288">
        <v>1.0669999999999999</v>
      </c>
      <c r="F288">
        <v>15522079.168</v>
      </c>
      <c r="G288">
        <v>0</v>
      </c>
      <c r="L288" t="s">
        <v>8</v>
      </c>
      <c r="M288" t="s">
        <v>8</v>
      </c>
      <c r="N288" t="s">
        <v>8</v>
      </c>
      <c r="P288">
        <f t="shared" si="965"/>
        <v>-0.10833333333333343</v>
      </c>
      <c r="Q288">
        <f t="shared" si="966"/>
        <v>-1681558.5765333348</v>
      </c>
      <c r="R288">
        <f t="shared" si="967"/>
        <v>-54061563.841001302</v>
      </c>
      <c r="S288">
        <f t="shared" si="968"/>
        <v>-540.61563841001305</v>
      </c>
      <c r="T288">
        <f t="shared" si="969"/>
        <v>-0.54061563841001303</v>
      </c>
    </row>
    <row r="289" spans="1:20" x14ac:dyDescent="0.25">
      <c r="A289" s="5">
        <v>44304</v>
      </c>
      <c r="B289">
        <v>1.05</v>
      </c>
      <c r="C289">
        <v>1.0509999999999999</v>
      </c>
      <c r="D289">
        <v>0.8</v>
      </c>
      <c r="E289">
        <v>0.97199999999999998</v>
      </c>
      <c r="F289">
        <v>11601766.085999999</v>
      </c>
      <c r="G289">
        <v>0</v>
      </c>
      <c r="L289" t="s">
        <v>7</v>
      </c>
      <c r="M289" t="s">
        <v>7</v>
      </c>
      <c r="N289" t="s">
        <v>7</v>
      </c>
      <c r="P289">
        <f t="shared" si="965"/>
        <v>0.37051792828685265</v>
      </c>
      <c r="Q289">
        <f t="shared" si="966"/>
        <v>4298662.3346533868</v>
      </c>
      <c r="R289">
        <f t="shared" si="967"/>
        <v>-52380005.26446797</v>
      </c>
      <c r="S289">
        <f t="shared" si="968"/>
        <v>-523.80005264467968</v>
      </c>
      <c r="T289">
        <f t="shared" si="969"/>
        <v>-0.52380005264467966</v>
      </c>
    </row>
    <row r="290" spans="1:20" x14ac:dyDescent="0.25">
      <c r="A290" s="5">
        <v>44303</v>
      </c>
      <c r="B290">
        <v>1.073</v>
      </c>
      <c r="C290">
        <v>1.119</v>
      </c>
      <c r="D290">
        <v>1.026</v>
      </c>
      <c r="E290">
        <v>1.05</v>
      </c>
      <c r="F290">
        <v>5878298.1809999999</v>
      </c>
      <c r="G290">
        <v>0</v>
      </c>
      <c r="L290" t="s">
        <v>7</v>
      </c>
      <c r="M290" t="s">
        <v>7</v>
      </c>
      <c r="N290" t="s">
        <v>8</v>
      </c>
      <c r="P290">
        <f t="shared" si="965"/>
        <v>-0.48387096774193489</v>
      </c>
      <c r="Q290">
        <f t="shared" si="966"/>
        <v>-2844337.8295161254</v>
      </c>
      <c r="R290">
        <f t="shared" si="967"/>
        <v>-56678667.599121355</v>
      </c>
      <c r="S290">
        <f t="shared" si="968"/>
        <v>-566.78667599121354</v>
      </c>
      <c r="T290">
        <f t="shared" si="969"/>
        <v>-0.56678667599121357</v>
      </c>
    </row>
    <row r="291" spans="1:20" x14ac:dyDescent="0.25">
      <c r="A291" s="5">
        <v>44302</v>
      </c>
      <c r="B291">
        <v>1.107</v>
      </c>
      <c r="C291">
        <v>1.137</v>
      </c>
      <c r="D291">
        <v>1.0509999999999999</v>
      </c>
      <c r="E291">
        <v>1.075</v>
      </c>
      <c r="F291">
        <v>5346312.5590000004</v>
      </c>
      <c r="G291">
        <v>0</v>
      </c>
      <c r="L291" t="s">
        <v>7</v>
      </c>
      <c r="M291" t="s">
        <v>7</v>
      </c>
      <c r="N291" t="s">
        <v>8</v>
      </c>
      <c r="P291">
        <f t="shared" si="965"/>
        <v>-0.44186046511627908</v>
      </c>
      <c r="Q291">
        <f t="shared" si="966"/>
        <v>-2362324.1539767445</v>
      </c>
      <c r="R291">
        <f t="shared" si="967"/>
        <v>-53834329.769605227</v>
      </c>
      <c r="S291">
        <f t="shared" si="968"/>
        <v>-538.34329769605222</v>
      </c>
      <c r="T291">
        <f t="shared" si="969"/>
        <v>-0.53834329769605227</v>
      </c>
    </row>
    <row r="292" spans="1:20" x14ac:dyDescent="0.25">
      <c r="A292" s="5">
        <v>44301</v>
      </c>
      <c r="B292">
        <v>1.1419999999999999</v>
      </c>
      <c r="C292">
        <v>1.2</v>
      </c>
      <c r="D292">
        <v>1.0980000000000001</v>
      </c>
      <c r="E292">
        <v>1.1080000000000001</v>
      </c>
      <c r="F292">
        <v>6713811.7199999997</v>
      </c>
      <c r="G292">
        <v>0</v>
      </c>
      <c r="L292" t="s">
        <v>8</v>
      </c>
      <c r="M292" t="s">
        <v>7</v>
      </c>
      <c r="N292" t="s">
        <v>8</v>
      </c>
      <c r="P292">
        <f t="shared" si="965"/>
        <v>-0.80392156862745057</v>
      </c>
      <c r="Q292">
        <f t="shared" si="966"/>
        <v>-5397378.0494117616</v>
      </c>
      <c r="R292">
        <f t="shared" si="967"/>
        <v>-51472005.615628481</v>
      </c>
      <c r="S292">
        <f t="shared" si="968"/>
        <v>-514.72005615628484</v>
      </c>
      <c r="T292">
        <f t="shared" si="969"/>
        <v>-0.5147200561562848</v>
      </c>
    </row>
    <row r="293" spans="1:20" x14ac:dyDescent="0.25">
      <c r="A293" s="5">
        <v>44300</v>
      </c>
      <c r="B293">
        <v>1.127</v>
      </c>
      <c r="C293">
        <v>1.155</v>
      </c>
      <c r="D293">
        <v>1.069</v>
      </c>
      <c r="E293">
        <v>1.141</v>
      </c>
      <c r="F293">
        <v>5527962.0499999998</v>
      </c>
      <c r="G293">
        <v>0</v>
      </c>
      <c r="L293" t="s">
        <v>7</v>
      </c>
      <c r="M293" t="s">
        <v>7</v>
      </c>
      <c r="N293" t="s">
        <v>8</v>
      </c>
      <c r="P293">
        <f t="shared" si="965"/>
        <v>0.67441860465116277</v>
      </c>
      <c r="Q293">
        <f t="shared" si="966"/>
        <v>3728160.4523255811</v>
      </c>
      <c r="R293">
        <f t="shared" si="967"/>
        <v>-46074627.566216722</v>
      </c>
      <c r="S293">
        <f t="shared" si="968"/>
        <v>-460.74627566216725</v>
      </c>
      <c r="T293">
        <f t="shared" si="969"/>
        <v>-0.46074627566216725</v>
      </c>
    </row>
    <row r="294" spans="1:20" x14ac:dyDescent="0.25">
      <c r="A294" s="5">
        <v>44299</v>
      </c>
      <c r="B294">
        <v>1.202</v>
      </c>
      <c r="C294">
        <v>1.2090000000000001</v>
      </c>
      <c r="D294">
        <v>1.1000000000000001</v>
      </c>
      <c r="E294">
        <v>1.127</v>
      </c>
      <c r="F294">
        <v>5887276.7960000001</v>
      </c>
      <c r="G294">
        <v>0</v>
      </c>
      <c r="L294" t="s">
        <v>7</v>
      </c>
      <c r="M294" t="s">
        <v>7</v>
      </c>
      <c r="N294" t="s">
        <v>8</v>
      </c>
      <c r="P294">
        <f t="shared" si="965"/>
        <v>-0.50458715596330428</v>
      </c>
      <c r="Q294">
        <f t="shared" si="966"/>
        <v>-2970644.2548623942</v>
      </c>
      <c r="R294">
        <f t="shared" si="967"/>
        <v>-49802788.018542305</v>
      </c>
      <c r="S294">
        <f t="shared" si="968"/>
        <v>-498.02788018542304</v>
      </c>
      <c r="T294">
        <f t="shared" si="969"/>
        <v>-0.49802788018542304</v>
      </c>
    </row>
    <row r="295" spans="1:20" x14ac:dyDescent="0.25">
      <c r="A295" s="5">
        <v>44298</v>
      </c>
      <c r="B295">
        <v>1.206</v>
      </c>
      <c r="C295">
        <v>1.264</v>
      </c>
      <c r="D295">
        <v>1.1719999999999999</v>
      </c>
      <c r="E295">
        <v>1.202</v>
      </c>
      <c r="F295">
        <v>4640536.5829999996</v>
      </c>
      <c r="G295">
        <v>0</v>
      </c>
      <c r="L295" t="s">
        <v>7</v>
      </c>
      <c r="M295" t="s">
        <v>8</v>
      </c>
      <c r="N295" t="s">
        <v>8</v>
      </c>
      <c r="P295">
        <f t="shared" si="965"/>
        <v>-0.34782608695652173</v>
      </c>
      <c r="Q295">
        <f t="shared" si="966"/>
        <v>-1614099.6810434782</v>
      </c>
      <c r="R295">
        <f t="shared" si="967"/>
        <v>-46832143.763679914</v>
      </c>
      <c r="S295">
        <f t="shared" si="968"/>
        <v>-468.32143763679915</v>
      </c>
      <c r="T295">
        <f t="shared" si="969"/>
        <v>-0.46832143763679912</v>
      </c>
    </row>
    <row r="296" spans="1:20" x14ac:dyDescent="0.25">
      <c r="A296" s="5">
        <v>44297</v>
      </c>
      <c r="B296">
        <v>1.2350000000000001</v>
      </c>
      <c r="C296">
        <v>1.264</v>
      </c>
      <c r="D296">
        <v>1.18</v>
      </c>
      <c r="E296">
        <v>1.2070000000000001</v>
      </c>
      <c r="F296">
        <v>3879483.1710000001</v>
      </c>
      <c r="G296">
        <v>0</v>
      </c>
      <c r="L296" t="s">
        <v>7</v>
      </c>
      <c r="M296" t="s">
        <v>8</v>
      </c>
      <c r="N296" t="s">
        <v>8</v>
      </c>
      <c r="P296">
        <f t="shared" si="965"/>
        <v>-0.35714285714285449</v>
      </c>
      <c r="Q296">
        <f t="shared" si="966"/>
        <v>-1385529.7039285612</v>
      </c>
      <c r="R296">
        <f t="shared" si="967"/>
        <v>-45218044.082636438</v>
      </c>
      <c r="S296">
        <f t="shared" si="968"/>
        <v>-452.18044082636436</v>
      </c>
      <c r="T296">
        <f t="shared" si="969"/>
        <v>-0.45218044082636438</v>
      </c>
    </row>
    <row r="297" spans="1:20" x14ac:dyDescent="0.25">
      <c r="A297" s="5">
        <v>44296</v>
      </c>
      <c r="B297">
        <v>1.266</v>
      </c>
      <c r="C297">
        <v>1.33</v>
      </c>
      <c r="D297">
        <v>1.22</v>
      </c>
      <c r="E297">
        <v>1.236</v>
      </c>
      <c r="F297">
        <v>5635549.7170000002</v>
      </c>
      <c r="G297">
        <v>0</v>
      </c>
      <c r="L297" t="s">
        <v>7</v>
      </c>
      <c r="M297" t="s">
        <v>8</v>
      </c>
      <c r="N297" t="s">
        <v>8</v>
      </c>
      <c r="P297">
        <f t="shared" si="965"/>
        <v>-0.70909090909090911</v>
      </c>
      <c r="Q297">
        <f t="shared" si="966"/>
        <v>-3996117.0720545459</v>
      </c>
      <c r="R297">
        <f t="shared" si="967"/>
        <v>-43832514.378707878</v>
      </c>
      <c r="S297">
        <f t="shared" si="968"/>
        <v>-438.32514378707879</v>
      </c>
      <c r="T297">
        <f t="shared" si="969"/>
        <v>-0.43832514378707876</v>
      </c>
    </row>
    <row r="298" spans="1:20" x14ac:dyDescent="0.25">
      <c r="A298" s="5">
        <v>44295</v>
      </c>
      <c r="B298">
        <v>1.274</v>
      </c>
      <c r="C298">
        <v>1.371</v>
      </c>
      <c r="D298">
        <v>1.2430000000000001</v>
      </c>
      <c r="E298">
        <v>1.266</v>
      </c>
      <c r="F298">
        <v>6872834.1399999997</v>
      </c>
      <c r="G298">
        <v>0</v>
      </c>
      <c r="L298" t="s">
        <v>8</v>
      </c>
      <c r="M298" t="s">
        <v>8</v>
      </c>
      <c r="N298" t="s">
        <v>8</v>
      </c>
      <c r="P298">
        <f t="shared" si="965"/>
        <v>-0.64062500000000111</v>
      </c>
      <c r="Q298">
        <f t="shared" si="966"/>
        <v>-4402909.3709375076</v>
      </c>
      <c r="R298">
        <f t="shared" si="967"/>
        <v>-39836397.306653336</v>
      </c>
      <c r="S298">
        <f t="shared" si="968"/>
        <v>-398.36397306653333</v>
      </c>
      <c r="T298">
        <f t="shared" si="969"/>
        <v>-0.39836397306653332</v>
      </c>
    </row>
    <row r="299" spans="1:20" x14ac:dyDescent="0.25">
      <c r="A299" s="5">
        <v>44294</v>
      </c>
      <c r="B299">
        <v>1.129</v>
      </c>
      <c r="C299">
        <v>1.31</v>
      </c>
      <c r="D299">
        <v>1.1140000000000001</v>
      </c>
      <c r="E299">
        <v>1.274</v>
      </c>
      <c r="F299">
        <v>12283085.771</v>
      </c>
      <c r="G299">
        <v>0</v>
      </c>
      <c r="L299" t="s">
        <v>8</v>
      </c>
      <c r="M299" t="s">
        <v>8</v>
      </c>
      <c r="N299" t="s">
        <v>8</v>
      </c>
      <c r="P299">
        <f t="shared" si="965"/>
        <v>0.63265306122448939</v>
      </c>
      <c r="Q299">
        <f t="shared" si="966"/>
        <v>7770931.8143061176</v>
      </c>
      <c r="R299">
        <f t="shared" si="967"/>
        <v>-35433487.935715832</v>
      </c>
      <c r="S299">
        <f t="shared" si="968"/>
        <v>-354.33487935715834</v>
      </c>
      <c r="T299">
        <f t="shared" si="969"/>
        <v>-0.35433487935715835</v>
      </c>
    </row>
    <row r="300" spans="1:20" x14ac:dyDescent="0.25">
      <c r="A300" s="5">
        <v>44293</v>
      </c>
      <c r="B300">
        <v>1.1419999999999999</v>
      </c>
      <c r="C300">
        <v>1.177</v>
      </c>
      <c r="D300">
        <v>1.0740000000000001</v>
      </c>
      <c r="E300">
        <v>1.129</v>
      </c>
      <c r="F300">
        <v>6818967.9950000001</v>
      </c>
      <c r="G300">
        <v>0</v>
      </c>
      <c r="L300" t="s">
        <v>7</v>
      </c>
      <c r="M300" t="s">
        <v>7</v>
      </c>
      <c r="N300" t="s">
        <v>8</v>
      </c>
      <c r="P300">
        <f t="shared" si="965"/>
        <v>6.7961165048542688E-2</v>
      </c>
      <c r="Q300">
        <f t="shared" si="966"/>
        <v>463425.00936892524</v>
      </c>
      <c r="R300">
        <f t="shared" si="967"/>
        <v>-43204419.750021949</v>
      </c>
      <c r="S300">
        <f t="shared" si="968"/>
        <v>-432.04419750021947</v>
      </c>
      <c r="T300">
        <f t="shared" si="969"/>
        <v>-0.4320441975002195</v>
      </c>
    </row>
    <row r="301" spans="1:20" x14ac:dyDescent="0.25">
      <c r="A301" s="5">
        <v>44292</v>
      </c>
      <c r="B301">
        <v>1.2250000000000001</v>
      </c>
      <c r="C301">
        <v>1.24</v>
      </c>
      <c r="D301">
        <v>1.0900000000000001</v>
      </c>
      <c r="E301">
        <v>1.1419999999999999</v>
      </c>
      <c r="F301">
        <v>5475684.432</v>
      </c>
      <c r="G301">
        <v>0</v>
      </c>
      <c r="L301" t="s">
        <v>7</v>
      </c>
      <c r="M301" t="s">
        <v>7</v>
      </c>
      <c r="N301" t="s">
        <v>8</v>
      </c>
      <c r="P301">
        <f t="shared" si="965"/>
        <v>-0.30666666666666859</v>
      </c>
      <c r="Q301">
        <f t="shared" si="966"/>
        <v>-1679209.8924800106</v>
      </c>
      <c r="R301">
        <f t="shared" si="967"/>
        <v>-43667844.759390876</v>
      </c>
      <c r="S301">
        <f t="shared" si="968"/>
        <v>-436.67844759390874</v>
      </c>
      <c r="T301">
        <f t="shared" si="969"/>
        <v>-0.43667844759390873</v>
      </c>
    </row>
    <row r="302" spans="1:20" x14ac:dyDescent="0.25">
      <c r="A302" s="5">
        <v>44291</v>
      </c>
      <c r="B302">
        <v>1.137</v>
      </c>
      <c r="C302">
        <v>1.2769999999999999</v>
      </c>
      <c r="D302">
        <v>1.101</v>
      </c>
      <c r="E302">
        <v>1.222</v>
      </c>
      <c r="F302">
        <v>12212197.067</v>
      </c>
      <c r="G302">
        <v>0</v>
      </c>
      <c r="L302" t="s">
        <v>8</v>
      </c>
      <c r="M302" t="s">
        <v>8</v>
      </c>
      <c r="N302" t="s">
        <v>8</v>
      </c>
      <c r="P302">
        <f t="shared" si="965"/>
        <v>0.3750000000000005</v>
      </c>
      <c r="Q302">
        <f t="shared" si="966"/>
        <v>4579573.9001250062</v>
      </c>
      <c r="R302">
        <f t="shared" si="967"/>
        <v>-41988634.866910867</v>
      </c>
      <c r="S302">
        <f t="shared" si="968"/>
        <v>-419.88634866910866</v>
      </c>
      <c r="T302">
        <f t="shared" si="969"/>
        <v>-0.41988634866910868</v>
      </c>
    </row>
    <row r="303" spans="1:20" x14ac:dyDescent="0.25">
      <c r="A303" s="5">
        <v>44290</v>
      </c>
      <c r="B303">
        <v>1.024</v>
      </c>
      <c r="C303">
        <v>1.1599999999999999</v>
      </c>
      <c r="D303">
        <v>1.0209999999999999</v>
      </c>
      <c r="E303">
        <v>1.1379999999999999</v>
      </c>
      <c r="F303">
        <v>6932963.4100000001</v>
      </c>
      <c r="G303">
        <v>0</v>
      </c>
      <c r="L303" t="s">
        <v>8</v>
      </c>
      <c r="M303" t="s">
        <v>7</v>
      </c>
      <c r="N303" t="s">
        <v>8</v>
      </c>
      <c r="P303">
        <f t="shared" si="965"/>
        <v>0.68345323741007169</v>
      </c>
      <c r="Q303">
        <f t="shared" si="966"/>
        <v>4738356.2874100702</v>
      </c>
      <c r="R303">
        <f t="shared" si="967"/>
        <v>-46568208.767035872</v>
      </c>
      <c r="S303">
        <f t="shared" si="968"/>
        <v>-465.68208767035873</v>
      </c>
      <c r="T303">
        <f t="shared" si="969"/>
        <v>-0.46568208767035874</v>
      </c>
    </row>
    <row r="304" spans="1:20" x14ac:dyDescent="0.25">
      <c r="A304" s="5">
        <v>44289</v>
      </c>
      <c r="B304">
        <v>1.1279999999999999</v>
      </c>
      <c r="C304">
        <v>1.1339999999999999</v>
      </c>
      <c r="D304">
        <v>1.0209999999999999</v>
      </c>
      <c r="E304">
        <v>1.0289999999999999</v>
      </c>
      <c r="F304">
        <v>6378065.6639999999</v>
      </c>
      <c r="G304">
        <v>0</v>
      </c>
      <c r="L304" t="s">
        <v>7</v>
      </c>
      <c r="M304" t="s">
        <v>7</v>
      </c>
      <c r="N304" t="s">
        <v>8</v>
      </c>
      <c r="P304">
        <f t="shared" si="965"/>
        <v>-0.85840707964601759</v>
      </c>
      <c r="Q304">
        <f t="shared" si="966"/>
        <v>-5474976.7204247778</v>
      </c>
      <c r="R304">
        <f t="shared" si="967"/>
        <v>-51306565.054445945</v>
      </c>
      <c r="S304">
        <f t="shared" si="968"/>
        <v>-513.06565054445946</v>
      </c>
      <c r="T304">
        <f t="shared" si="969"/>
        <v>-0.51306565054445941</v>
      </c>
    </row>
    <row r="305" spans="1:20" x14ac:dyDescent="0.25">
      <c r="A305" s="5">
        <v>44288</v>
      </c>
      <c r="B305">
        <v>1.022</v>
      </c>
      <c r="C305">
        <v>1.18</v>
      </c>
      <c r="D305">
        <v>1.0009999999999999</v>
      </c>
      <c r="E305">
        <v>1.1279999999999999</v>
      </c>
      <c r="F305">
        <v>11120671.243000001</v>
      </c>
      <c r="G305">
        <v>0</v>
      </c>
      <c r="L305" t="s">
        <v>8</v>
      </c>
      <c r="M305" t="s">
        <v>7</v>
      </c>
      <c r="N305" t="s">
        <v>8</v>
      </c>
      <c r="P305">
        <f t="shared" si="965"/>
        <v>0.41899441340782084</v>
      </c>
      <c r="Q305">
        <f t="shared" si="966"/>
        <v>4659499.1241620071</v>
      </c>
      <c r="R305">
        <f t="shared" si="967"/>
        <v>-45831588.334021166</v>
      </c>
      <c r="S305">
        <f t="shared" si="968"/>
        <v>-458.31588334021166</v>
      </c>
      <c r="T305">
        <f t="shared" si="969"/>
        <v>-0.45831588334021167</v>
      </c>
    </row>
    <row r="306" spans="1:20" x14ac:dyDescent="0.25">
      <c r="A306" s="5">
        <v>44287</v>
      </c>
      <c r="B306">
        <v>1.1180000000000001</v>
      </c>
      <c r="C306">
        <v>1.1910000000000001</v>
      </c>
      <c r="D306">
        <v>1.0029999999999999</v>
      </c>
      <c r="E306">
        <v>1.0229999999999999</v>
      </c>
      <c r="F306">
        <v>14297486.097999999</v>
      </c>
      <c r="G306">
        <v>0</v>
      </c>
      <c r="L306" t="s">
        <v>7</v>
      </c>
      <c r="M306" t="s">
        <v>7</v>
      </c>
      <c r="N306" t="s">
        <v>8</v>
      </c>
      <c r="P306">
        <f t="shared" si="965"/>
        <v>-0.78723404255319152</v>
      </c>
      <c r="Q306">
        <f t="shared" si="966"/>
        <v>-11255467.779276596</v>
      </c>
      <c r="R306">
        <f t="shared" si="967"/>
        <v>-50491087.458183169</v>
      </c>
      <c r="S306">
        <f t="shared" si="968"/>
        <v>-504.91087458183171</v>
      </c>
      <c r="T306">
        <f t="shared" si="969"/>
        <v>-0.5049108745818317</v>
      </c>
    </row>
    <row r="307" spans="1:20" x14ac:dyDescent="0.25">
      <c r="A307" s="5">
        <v>44286</v>
      </c>
      <c r="B307">
        <v>1.2809999999999999</v>
      </c>
      <c r="C307">
        <v>1.3080000000000001</v>
      </c>
      <c r="D307">
        <v>1.1000000000000001</v>
      </c>
      <c r="E307">
        <v>1.117</v>
      </c>
      <c r="F307">
        <v>15637158.635</v>
      </c>
      <c r="G307">
        <v>0</v>
      </c>
      <c r="L307" t="s">
        <v>7</v>
      </c>
      <c r="M307" t="s">
        <v>7</v>
      </c>
      <c r="N307" t="s">
        <v>8</v>
      </c>
      <c r="P307">
        <f t="shared" si="965"/>
        <v>-0.83653846153846245</v>
      </c>
      <c r="Q307">
        <f t="shared" si="966"/>
        <v>-13081084.627355784</v>
      </c>
      <c r="R307">
        <f t="shared" si="967"/>
        <v>-39235619.678906575</v>
      </c>
      <c r="S307">
        <f t="shared" si="968"/>
        <v>-392.35619678906573</v>
      </c>
      <c r="T307">
        <f t="shared" si="969"/>
        <v>-0.39235619678906575</v>
      </c>
    </row>
    <row r="308" spans="1:20" x14ac:dyDescent="0.25">
      <c r="A308" s="5">
        <v>44285</v>
      </c>
      <c r="B308">
        <v>1.379</v>
      </c>
      <c r="C308">
        <v>1.3879999999999999</v>
      </c>
      <c r="D308">
        <v>1.22</v>
      </c>
      <c r="E308">
        <v>1.2809999999999999</v>
      </c>
      <c r="F308">
        <v>14617055.242000001</v>
      </c>
      <c r="G308">
        <v>0</v>
      </c>
      <c r="L308" t="s">
        <v>8</v>
      </c>
      <c r="M308" t="s">
        <v>8</v>
      </c>
      <c r="N308" t="s">
        <v>8</v>
      </c>
      <c r="P308">
        <f t="shared" si="965"/>
        <v>-0.27380952380952417</v>
      </c>
      <c r="Q308">
        <f t="shared" si="966"/>
        <v>-4002288.9353095293</v>
      </c>
      <c r="R308">
        <f t="shared" si="967"/>
        <v>-26154535.051550791</v>
      </c>
      <c r="S308">
        <f t="shared" si="968"/>
        <v>-261.54535051550789</v>
      </c>
      <c r="T308">
        <f t="shared" si="969"/>
        <v>-0.26154535051550787</v>
      </c>
    </row>
    <row r="309" spans="1:20" x14ac:dyDescent="0.25">
      <c r="A309" s="5">
        <v>44284</v>
      </c>
      <c r="B309">
        <v>1.2889999999999999</v>
      </c>
      <c r="C309">
        <v>1.85</v>
      </c>
      <c r="D309">
        <v>1.278</v>
      </c>
      <c r="E309">
        <v>1.379</v>
      </c>
      <c r="F309">
        <v>34246175.077</v>
      </c>
      <c r="G309">
        <v>0</v>
      </c>
      <c r="P309">
        <f t="shared" si="965"/>
        <v>-0.64685314685314699</v>
      </c>
      <c r="Q309">
        <f t="shared" si="966"/>
        <v>-22152246.116241261</v>
      </c>
      <c r="R309">
        <f t="shared" si="967"/>
        <v>-22152246.116241261</v>
      </c>
      <c r="S309">
        <f t="shared" si="968"/>
        <v>-221.52246116241261</v>
      </c>
      <c r="T309">
        <f t="shared" si="969"/>
        <v>-0.22152246116241261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5"/>
        <v>0</v>
      </c>
      <c r="Q310">
        <f t="shared" si="966"/>
        <v>0</v>
      </c>
      <c r="R310">
        <f t="shared" si="967"/>
        <v>0</v>
      </c>
      <c r="S310">
        <f t="shared" si="968"/>
        <v>0</v>
      </c>
      <c r="T310">
        <f t="shared" si="969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5"/>
        <v>0</v>
      </c>
      <c r="Q311">
        <f t="shared" si="966"/>
        <v>0</v>
      </c>
      <c r="R311">
        <f t="shared" si="967"/>
        <v>0</v>
      </c>
      <c r="S311">
        <f t="shared" si="968"/>
        <v>0</v>
      </c>
      <c r="T311">
        <f t="shared" si="969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5"/>
        <v>0</v>
      </c>
      <c r="Q312">
        <f t="shared" si="966"/>
        <v>0</v>
      </c>
      <c r="R312">
        <f t="shared" si="967"/>
        <v>0</v>
      </c>
      <c r="S312">
        <f t="shared" si="968"/>
        <v>0</v>
      </c>
      <c r="T312">
        <f t="shared" si="969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5"/>
        <v>0</v>
      </c>
      <c r="Q313">
        <f t="shared" si="966"/>
        <v>0</v>
      </c>
      <c r="R313">
        <f t="shared" si="967"/>
        <v>0</v>
      </c>
      <c r="S313">
        <f t="shared" si="968"/>
        <v>0</v>
      </c>
      <c r="T313">
        <f t="shared" si="969"/>
        <v>0</v>
      </c>
    </row>
    <row r="314" spans="1:20" x14ac:dyDescent="0.25">
      <c r="A314" s="5"/>
      <c r="P314">
        <f t="shared" si="965"/>
        <v>0</v>
      </c>
      <c r="Q314">
        <f t="shared" si="966"/>
        <v>0</v>
      </c>
      <c r="R314">
        <f t="shared" si="967"/>
        <v>0</v>
      </c>
      <c r="S314">
        <f t="shared" si="968"/>
        <v>0</v>
      </c>
      <c r="T314">
        <f t="shared" si="969"/>
        <v>0</v>
      </c>
    </row>
    <row r="315" spans="1:20" x14ac:dyDescent="0.25">
      <c r="A315" s="5"/>
      <c r="P315">
        <f t="shared" si="965"/>
        <v>0</v>
      </c>
      <c r="Q315">
        <f t="shared" si="966"/>
        <v>0</v>
      </c>
      <c r="R315">
        <f t="shared" si="967"/>
        <v>0</v>
      </c>
      <c r="S315">
        <f t="shared" si="968"/>
        <v>0</v>
      </c>
      <c r="T315">
        <f t="shared" si="969"/>
        <v>0</v>
      </c>
    </row>
    <row r="316" spans="1:20" x14ac:dyDescent="0.25">
      <c r="A316" s="5"/>
      <c r="P316">
        <f t="shared" si="965"/>
        <v>0</v>
      </c>
      <c r="Q316">
        <f t="shared" si="966"/>
        <v>0</v>
      </c>
      <c r="R316">
        <f t="shared" si="967"/>
        <v>0</v>
      </c>
      <c r="S316">
        <f t="shared" si="968"/>
        <v>0</v>
      </c>
      <c r="T316">
        <f t="shared" si="969"/>
        <v>0</v>
      </c>
    </row>
    <row r="317" spans="1:20" x14ac:dyDescent="0.25">
      <c r="A317" s="5"/>
      <c r="P317">
        <f t="shared" si="965"/>
        <v>0</v>
      </c>
      <c r="Q317">
        <f t="shared" si="966"/>
        <v>0</v>
      </c>
      <c r="R317">
        <f t="shared" si="967"/>
        <v>0</v>
      </c>
      <c r="S317">
        <f t="shared" si="968"/>
        <v>0</v>
      </c>
      <c r="T317">
        <f t="shared" si="969"/>
        <v>0</v>
      </c>
    </row>
    <row r="318" spans="1:20" x14ac:dyDescent="0.25">
      <c r="A318" s="5"/>
      <c r="P318">
        <f t="shared" si="965"/>
        <v>0</v>
      </c>
      <c r="Q318">
        <f t="shared" si="966"/>
        <v>0</v>
      </c>
      <c r="R318">
        <f t="shared" si="967"/>
        <v>0</v>
      </c>
      <c r="S318">
        <f t="shared" si="968"/>
        <v>0</v>
      </c>
      <c r="T318">
        <f t="shared" si="969"/>
        <v>0</v>
      </c>
    </row>
    <row r="319" spans="1:20" x14ac:dyDescent="0.25">
      <c r="A319" s="5"/>
      <c r="P319">
        <f t="shared" si="965"/>
        <v>0</v>
      </c>
      <c r="Q319">
        <f t="shared" si="966"/>
        <v>0</v>
      </c>
      <c r="R319">
        <f t="shared" si="967"/>
        <v>0</v>
      </c>
      <c r="S319">
        <f t="shared" si="968"/>
        <v>0</v>
      </c>
      <c r="T319">
        <f t="shared" si="969"/>
        <v>0</v>
      </c>
    </row>
    <row r="320" spans="1:20" x14ac:dyDescent="0.25">
      <c r="A320" s="5"/>
      <c r="P320">
        <f t="shared" si="965"/>
        <v>0</v>
      </c>
      <c r="Q320">
        <f t="shared" si="966"/>
        <v>0</v>
      </c>
      <c r="R320">
        <f t="shared" si="967"/>
        <v>0</v>
      </c>
      <c r="S320">
        <f t="shared" si="968"/>
        <v>0</v>
      </c>
      <c r="T320">
        <f t="shared" si="969"/>
        <v>0</v>
      </c>
    </row>
    <row r="321" spans="1:20" x14ac:dyDescent="0.25">
      <c r="A321" s="5"/>
      <c r="P321">
        <f t="shared" si="965"/>
        <v>0</v>
      </c>
      <c r="Q321">
        <f t="shared" si="966"/>
        <v>0</v>
      </c>
      <c r="R321">
        <f t="shared" si="967"/>
        <v>0</v>
      </c>
      <c r="S321">
        <f t="shared" si="968"/>
        <v>0</v>
      </c>
      <c r="T321">
        <f t="shared" si="969"/>
        <v>0</v>
      </c>
    </row>
    <row r="322" spans="1:20" x14ac:dyDescent="0.25">
      <c r="A322" s="5"/>
      <c r="P322">
        <f t="shared" si="965"/>
        <v>0</v>
      </c>
      <c r="Q322">
        <f t="shared" si="966"/>
        <v>0</v>
      </c>
      <c r="R322">
        <f t="shared" si="967"/>
        <v>0</v>
      </c>
      <c r="S322">
        <f t="shared" si="968"/>
        <v>0</v>
      </c>
      <c r="T322">
        <f t="shared" si="969"/>
        <v>0</v>
      </c>
    </row>
    <row r="323" spans="1:20" x14ac:dyDescent="0.25">
      <c r="A323" s="5"/>
      <c r="P323">
        <f t="shared" si="965"/>
        <v>0</v>
      </c>
      <c r="Q323">
        <f t="shared" si="966"/>
        <v>0</v>
      </c>
      <c r="R323">
        <f t="shared" si="967"/>
        <v>0</v>
      </c>
      <c r="S323">
        <f t="shared" si="968"/>
        <v>0</v>
      </c>
      <c r="T323">
        <f t="shared" si="969"/>
        <v>0</v>
      </c>
    </row>
    <row r="324" spans="1:20" x14ac:dyDescent="0.25">
      <c r="A324" s="5"/>
      <c r="P324">
        <f t="shared" si="965"/>
        <v>0</v>
      </c>
      <c r="Q324">
        <f t="shared" si="966"/>
        <v>0</v>
      </c>
      <c r="R324">
        <f t="shared" si="967"/>
        <v>0</v>
      </c>
      <c r="S324">
        <f t="shared" si="968"/>
        <v>0</v>
      </c>
      <c r="T324">
        <f t="shared" si="969"/>
        <v>0</v>
      </c>
    </row>
    <row r="325" spans="1:20" x14ac:dyDescent="0.25">
      <c r="A325" s="5"/>
      <c r="C325"/>
      <c r="D325"/>
      <c r="P325">
        <f t="shared" si="965"/>
        <v>0</v>
      </c>
      <c r="Q325">
        <f t="shared" si="966"/>
        <v>0</v>
      </c>
      <c r="R325">
        <f t="shared" si="967"/>
        <v>0</v>
      </c>
      <c r="S325">
        <f t="shared" si="968"/>
        <v>0</v>
      </c>
      <c r="T325">
        <f t="shared" si="969"/>
        <v>0</v>
      </c>
    </row>
    <row r="326" spans="1:20" x14ac:dyDescent="0.25">
      <c r="A326" s="5"/>
      <c r="C326"/>
      <c r="D326"/>
      <c r="P326">
        <f t="shared" ref="P326:P389" si="970">IF(C326=D326,0,((E326-D326)-(C326-E326))/(C326-D326))</f>
        <v>0</v>
      </c>
      <c r="Q326">
        <f t="shared" ref="Q326:Q389" si="971">F326*P326</f>
        <v>0</v>
      </c>
      <c r="R326">
        <f t="shared" ref="R326:R389" si="972">R327+Q326</f>
        <v>0</v>
      </c>
      <c r="S326">
        <f t="shared" ref="S326:S389" si="973">R326/100000</f>
        <v>0</v>
      </c>
      <c r="T326">
        <f t="shared" ref="T326:T389" si="974">S326/1000</f>
        <v>0</v>
      </c>
    </row>
    <row r="327" spans="1:20" x14ac:dyDescent="0.25">
      <c r="A327" s="5"/>
      <c r="C327"/>
      <c r="D327"/>
      <c r="P327">
        <f t="shared" si="970"/>
        <v>0</v>
      </c>
      <c r="Q327">
        <f t="shared" si="971"/>
        <v>0</v>
      </c>
      <c r="R327">
        <f t="shared" si="972"/>
        <v>0</v>
      </c>
      <c r="S327">
        <f t="shared" si="973"/>
        <v>0</v>
      </c>
      <c r="T327">
        <f t="shared" si="974"/>
        <v>0</v>
      </c>
    </row>
    <row r="328" spans="1:20" x14ac:dyDescent="0.25">
      <c r="A328" s="5"/>
      <c r="C328"/>
      <c r="D328"/>
      <c r="P328">
        <f t="shared" si="970"/>
        <v>0</v>
      </c>
      <c r="Q328">
        <f t="shared" si="971"/>
        <v>0</v>
      </c>
      <c r="R328">
        <f t="shared" si="972"/>
        <v>0</v>
      </c>
      <c r="S328">
        <f t="shared" si="973"/>
        <v>0</v>
      </c>
      <c r="T328">
        <f t="shared" si="974"/>
        <v>0</v>
      </c>
    </row>
    <row r="329" spans="1:20" x14ac:dyDescent="0.25">
      <c r="A329" s="5"/>
      <c r="C329"/>
      <c r="D329"/>
      <c r="P329">
        <f t="shared" si="970"/>
        <v>0</v>
      </c>
      <c r="Q329">
        <f t="shared" si="971"/>
        <v>0</v>
      </c>
      <c r="R329">
        <f t="shared" si="972"/>
        <v>0</v>
      </c>
      <c r="S329">
        <f t="shared" si="973"/>
        <v>0</v>
      </c>
      <c r="T329">
        <f t="shared" si="974"/>
        <v>0</v>
      </c>
    </row>
    <row r="330" spans="1:20" x14ac:dyDescent="0.25">
      <c r="A330" s="5"/>
      <c r="C330"/>
      <c r="D330"/>
      <c r="P330">
        <f t="shared" si="970"/>
        <v>0</v>
      </c>
      <c r="Q330">
        <f t="shared" si="971"/>
        <v>0</v>
      </c>
      <c r="R330">
        <f t="shared" si="972"/>
        <v>0</v>
      </c>
      <c r="S330">
        <f t="shared" si="973"/>
        <v>0</v>
      </c>
      <c r="T330">
        <f t="shared" si="974"/>
        <v>0</v>
      </c>
    </row>
    <row r="331" spans="1:20" x14ac:dyDescent="0.25">
      <c r="A331" s="5"/>
      <c r="C331"/>
      <c r="D331"/>
      <c r="P331">
        <f t="shared" si="970"/>
        <v>0</v>
      </c>
      <c r="Q331">
        <f t="shared" si="971"/>
        <v>0</v>
      </c>
      <c r="R331">
        <f t="shared" si="972"/>
        <v>0</v>
      </c>
      <c r="S331">
        <f t="shared" si="973"/>
        <v>0</v>
      </c>
      <c r="T331">
        <f t="shared" si="974"/>
        <v>0</v>
      </c>
    </row>
    <row r="332" spans="1:20" x14ac:dyDescent="0.25">
      <c r="A332" s="5"/>
      <c r="C332"/>
      <c r="D332"/>
      <c r="P332">
        <f t="shared" si="970"/>
        <v>0</v>
      </c>
      <c r="Q332">
        <f t="shared" si="971"/>
        <v>0</v>
      </c>
      <c r="R332">
        <f t="shared" si="972"/>
        <v>0</v>
      </c>
      <c r="S332">
        <f t="shared" si="973"/>
        <v>0</v>
      </c>
      <c r="T332">
        <f t="shared" si="974"/>
        <v>0</v>
      </c>
    </row>
    <row r="333" spans="1:20" x14ac:dyDescent="0.25">
      <c r="A333" s="5"/>
      <c r="C333"/>
      <c r="D333"/>
      <c r="P333">
        <f t="shared" si="970"/>
        <v>0</v>
      </c>
      <c r="Q333">
        <f t="shared" si="971"/>
        <v>0</v>
      </c>
      <c r="R333">
        <f t="shared" si="972"/>
        <v>0</v>
      </c>
      <c r="S333">
        <f t="shared" si="973"/>
        <v>0</v>
      </c>
      <c r="T333">
        <f t="shared" si="974"/>
        <v>0</v>
      </c>
    </row>
    <row r="334" spans="1:20" x14ac:dyDescent="0.25">
      <c r="A334" s="5"/>
      <c r="C334"/>
      <c r="D334"/>
      <c r="P334">
        <f t="shared" si="970"/>
        <v>0</v>
      </c>
      <c r="Q334">
        <f t="shared" si="971"/>
        <v>0</v>
      </c>
      <c r="R334">
        <f t="shared" si="972"/>
        <v>0</v>
      </c>
      <c r="S334">
        <f t="shared" si="973"/>
        <v>0</v>
      </c>
      <c r="T334">
        <f t="shared" si="974"/>
        <v>0</v>
      </c>
    </row>
    <row r="335" spans="1:20" x14ac:dyDescent="0.25">
      <c r="A335" s="5"/>
      <c r="C335"/>
      <c r="D335"/>
      <c r="P335">
        <f t="shared" si="970"/>
        <v>0</v>
      </c>
      <c r="Q335">
        <f t="shared" si="971"/>
        <v>0</v>
      </c>
      <c r="R335">
        <f t="shared" si="972"/>
        <v>0</v>
      </c>
      <c r="S335">
        <f t="shared" si="973"/>
        <v>0</v>
      </c>
      <c r="T335">
        <f t="shared" si="974"/>
        <v>0</v>
      </c>
    </row>
    <row r="336" spans="1:20" x14ac:dyDescent="0.25">
      <c r="A336" s="5"/>
      <c r="C336"/>
      <c r="D336"/>
      <c r="P336">
        <f t="shared" si="970"/>
        <v>0</v>
      </c>
      <c r="Q336">
        <f t="shared" si="971"/>
        <v>0</v>
      </c>
      <c r="R336">
        <f t="shared" si="972"/>
        <v>0</v>
      </c>
      <c r="S336">
        <f t="shared" si="973"/>
        <v>0</v>
      </c>
      <c r="T336">
        <f t="shared" si="974"/>
        <v>0</v>
      </c>
    </row>
    <row r="337" spans="1:20" x14ac:dyDescent="0.25">
      <c r="A337" s="5"/>
      <c r="C337"/>
      <c r="D337"/>
      <c r="P337">
        <f t="shared" si="970"/>
        <v>0</v>
      </c>
      <c r="Q337">
        <f t="shared" si="971"/>
        <v>0</v>
      </c>
      <c r="R337">
        <f t="shared" si="972"/>
        <v>0</v>
      </c>
      <c r="S337">
        <f t="shared" si="973"/>
        <v>0</v>
      </c>
      <c r="T337">
        <f t="shared" si="974"/>
        <v>0</v>
      </c>
    </row>
    <row r="338" spans="1:20" x14ac:dyDescent="0.25">
      <c r="A338" s="5"/>
      <c r="C338"/>
      <c r="D338"/>
      <c r="P338">
        <f t="shared" si="970"/>
        <v>0</v>
      </c>
      <c r="Q338">
        <f t="shared" si="971"/>
        <v>0</v>
      </c>
      <c r="R338">
        <f t="shared" si="972"/>
        <v>0</v>
      </c>
      <c r="S338">
        <f t="shared" si="973"/>
        <v>0</v>
      </c>
      <c r="T338">
        <f t="shared" si="974"/>
        <v>0</v>
      </c>
    </row>
    <row r="339" spans="1:20" x14ac:dyDescent="0.25">
      <c r="A339" s="5"/>
      <c r="C339"/>
      <c r="D339"/>
      <c r="P339">
        <f t="shared" si="970"/>
        <v>0</v>
      </c>
      <c r="Q339">
        <f t="shared" si="971"/>
        <v>0</v>
      </c>
      <c r="R339">
        <f t="shared" si="972"/>
        <v>0</v>
      </c>
      <c r="S339">
        <f t="shared" si="973"/>
        <v>0</v>
      </c>
      <c r="T339">
        <f t="shared" si="974"/>
        <v>0</v>
      </c>
    </row>
    <row r="340" spans="1:20" x14ac:dyDescent="0.25">
      <c r="A340" s="5"/>
      <c r="C340"/>
      <c r="D340"/>
      <c r="P340">
        <f t="shared" si="970"/>
        <v>0</v>
      </c>
      <c r="Q340">
        <f t="shared" si="971"/>
        <v>0</v>
      </c>
      <c r="R340">
        <f t="shared" si="972"/>
        <v>0</v>
      </c>
      <c r="S340">
        <f t="shared" si="973"/>
        <v>0</v>
      </c>
      <c r="T340">
        <f t="shared" si="974"/>
        <v>0</v>
      </c>
    </row>
    <row r="341" spans="1:20" x14ac:dyDescent="0.25">
      <c r="A341" s="5"/>
      <c r="C341"/>
      <c r="D341"/>
      <c r="P341">
        <f t="shared" si="970"/>
        <v>0</v>
      </c>
      <c r="Q341">
        <f t="shared" si="971"/>
        <v>0</v>
      </c>
      <c r="R341">
        <f t="shared" si="972"/>
        <v>0</v>
      </c>
      <c r="S341">
        <f t="shared" si="973"/>
        <v>0</v>
      </c>
      <c r="T341">
        <f t="shared" si="974"/>
        <v>0</v>
      </c>
    </row>
    <row r="342" spans="1:20" x14ac:dyDescent="0.25">
      <c r="A342" s="5"/>
      <c r="C342"/>
      <c r="D342"/>
      <c r="P342">
        <f t="shared" si="970"/>
        <v>0</v>
      </c>
      <c r="Q342">
        <f t="shared" si="971"/>
        <v>0</v>
      </c>
      <c r="R342">
        <f t="shared" si="972"/>
        <v>0</v>
      </c>
      <c r="S342">
        <f t="shared" si="973"/>
        <v>0</v>
      </c>
      <c r="T342">
        <f t="shared" si="974"/>
        <v>0</v>
      </c>
    </row>
    <row r="343" spans="1:20" x14ac:dyDescent="0.25">
      <c r="A343" s="5"/>
      <c r="C343"/>
      <c r="D343"/>
      <c r="P343">
        <f t="shared" si="970"/>
        <v>0</v>
      </c>
      <c r="Q343">
        <f t="shared" si="971"/>
        <v>0</v>
      </c>
      <c r="R343">
        <f t="shared" si="972"/>
        <v>0</v>
      </c>
      <c r="S343">
        <f t="shared" si="973"/>
        <v>0</v>
      </c>
      <c r="T343">
        <f t="shared" si="974"/>
        <v>0</v>
      </c>
    </row>
    <row r="344" spans="1:20" x14ac:dyDescent="0.25">
      <c r="A344" s="5"/>
      <c r="C344"/>
      <c r="D344"/>
      <c r="P344">
        <f t="shared" si="970"/>
        <v>0</v>
      </c>
      <c r="Q344">
        <f t="shared" si="971"/>
        <v>0</v>
      </c>
      <c r="R344">
        <f t="shared" si="972"/>
        <v>0</v>
      </c>
      <c r="S344">
        <f t="shared" si="973"/>
        <v>0</v>
      </c>
      <c r="T344">
        <f t="shared" si="974"/>
        <v>0</v>
      </c>
    </row>
    <row r="345" spans="1:20" x14ac:dyDescent="0.25">
      <c r="A345" s="5"/>
      <c r="C345"/>
      <c r="D345"/>
      <c r="P345">
        <f t="shared" si="970"/>
        <v>0</v>
      </c>
      <c r="Q345">
        <f t="shared" si="971"/>
        <v>0</v>
      </c>
      <c r="R345">
        <f t="shared" si="972"/>
        <v>0</v>
      </c>
      <c r="S345">
        <f t="shared" si="973"/>
        <v>0</v>
      </c>
      <c r="T345">
        <f t="shared" si="974"/>
        <v>0</v>
      </c>
    </row>
    <row r="346" spans="1:20" x14ac:dyDescent="0.25">
      <c r="A346" s="5"/>
      <c r="C346"/>
      <c r="D346"/>
      <c r="P346">
        <f t="shared" si="970"/>
        <v>0</v>
      </c>
      <c r="Q346">
        <f t="shared" si="971"/>
        <v>0</v>
      </c>
      <c r="R346">
        <f t="shared" si="972"/>
        <v>0</v>
      </c>
      <c r="S346">
        <f t="shared" si="973"/>
        <v>0</v>
      </c>
      <c r="T346">
        <f t="shared" si="974"/>
        <v>0</v>
      </c>
    </row>
    <row r="347" spans="1:20" x14ac:dyDescent="0.25">
      <c r="A347" s="5"/>
      <c r="C347"/>
      <c r="D347"/>
      <c r="P347">
        <f t="shared" si="970"/>
        <v>0</v>
      </c>
      <c r="Q347">
        <f t="shared" si="971"/>
        <v>0</v>
      </c>
      <c r="R347">
        <f t="shared" si="972"/>
        <v>0</v>
      </c>
      <c r="S347">
        <f t="shared" si="973"/>
        <v>0</v>
      </c>
      <c r="T347">
        <f t="shared" si="974"/>
        <v>0</v>
      </c>
    </row>
    <row r="348" spans="1:20" x14ac:dyDescent="0.25">
      <c r="A348" s="5"/>
      <c r="C348"/>
      <c r="D348"/>
      <c r="P348">
        <f t="shared" si="970"/>
        <v>0</v>
      </c>
      <c r="Q348">
        <f t="shared" si="971"/>
        <v>0</v>
      </c>
      <c r="R348">
        <f t="shared" si="972"/>
        <v>0</v>
      </c>
      <c r="S348">
        <f t="shared" si="973"/>
        <v>0</v>
      </c>
      <c r="T348">
        <f t="shared" si="974"/>
        <v>0</v>
      </c>
    </row>
    <row r="349" spans="1:20" x14ac:dyDescent="0.25">
      <c r="A349" s="5"/>
      <c r="C349"/>
      <c r="D349"/>
      <c r="P349">
        <f t="shared" si="970"/>
        <v>0</v>
      </c>
      <c r="Q349">
        <f t="shared" si="971"/>
        <v>0</v>
      </c>
      <c r="R349">
        <f t="shared" si="972"/>
        <v>0</v>
      </c>
      <c r="S349">
        <f t="shared" si="973"/>
        <v>0</v>
      </c>
      <c r="T349">
        <f t="shared" si="974"/>
        <v>0</v>
      </c>
    </row>
    <row r="350" spans="1:20" x14ac:dyDescent="0.25">
      <c r="A350" s="5"/>
      <c r="C350"/>
      <c r="D350"/>
      <c r="P350">
        <f t="shared" si="970"/>
        <v>0</v>
      </c>
      <c r="Q350">
        <f t="shared" si="971"/>
        <v>0</v>
      </c>
      <c r="R350">
        <f t="shared" si="972"/>
        <v>0</v>
      </c>
      <c r="S350">
        <f t="shared" si="973"/>
        <v>0</v>
      </c>
      <c r="T350">
        <f t="shared" si="974"/>
        <v>0</v>
      </c>
    </row>
    <row r="351" spans="1:20" x14ac:dyDescent="0.25">
      <c r="A351" s="5"/>
      <c r="C351"/>
      <c r="D351"/>
      <c r="P351">
        <f t="shared" si="970"/>
        <v>0</v>
      </c>
      <c r="Q351">
        <f t="shared" si="971"/>
        <v>0</v>
      </c>
      <c r="R351">
        <f t="shared" si="972"/>
        <v>0</v>
      </c>
      <c r="S351">
        <f t="shared" si="973"/>
        <v>0</v>
      </c>
      <c r="T351">
        <f t="shared" si="974"/>
        <v>0</v>
      </c>
    </row>
    <row r="352" spans="1:20" x14ac:dyDescent="0.25">
      <c r="A352" s="5"/>
      <c r="C352"/>
      <c r="D352"/>
      <c r="P352">
        <f t="shared" si="970"/>
        <v>0</v>
      </c>
      <c r="Q352">
        <f t="shared" si="971"/>
        <v>0</v>
      </c>
      <c r="R352">
        <f t="shared" si="972"/>
        <v>0</v>
      </c>
      <c r="S352">
        <f t="shared" si="973"/>
        <v>0</v>
      </c>
      <c r="T352">
        <f t="shared" si="974"/>
        <v>0</v>
      </c>
    </row>
    <row r="353" spans="1:20" x14ac:dyDescent="0.25">
      <c r="A353" s="5"/>
      <c r="C353"/>
      <c r="D353"/>
      <c r="P353">
        <f t="shared" si="970"/>
        <v>0</v>
      </c>
      <c r="Q353">
        <f t="shared" si="971"/>
        <v>0</v>
      </c>
      <c r="R353">
        <f t="shared" si="972"/>
        <v>0</v>
      </c>
      <c r="S353">
        <f t="shared" si="973"/>
        <v>0</v>
      </c>
      <c r="T353">
        <f t="shared" si="974"/>
        <v>0</v>
      </c>
    </row>
    <row r="354" spans="1:20" x14ac:dyDescent="0.25">
      <c r="A354" s="5"/>
      <c r="C354"/>
      <c r="D354"/>
      <c r="P354">
        <f t="shared" si="970"/>
        <v>0</v>
      </c>
      <c r="Q354">
        <f t="shared" si="971"/>
        <v>0</v>
      </c>
      <c r="R354">
        <f t="shared" si="972"/>
        <v>0</v>
      </c>
      <c r="S354">
        <f t="shared" si="973"/>
        <v>0</v>
      </c>
      <c r="T354">
        <f t="shared" si="974"/>
        <v>0</v>
      </c>
    </row>
    <row r="355" spans="1:20" x14ac:dyDescent="0.25">
      <c r="A355" s="5"/>
      <c r="C355"/>
      <c r="D355"/>
      <c r="P355">
        <f t="shared" si="970"/>
        <v>0</v>
      </c>
      <c r="Q355">
        <f t="shared" si="971"/>
        <v>0</v>
      </c>
      <c r="R355">
        <f t="shared" si="972"/>
        <v>0</v>
      </c>
      <c r="S355">
        <f t="shared" si="973"/>
        <v>0</v>
      </c>
      <c r="T355">
        <f t="shared" si="974"/>
        <v>0</v>
      </c>
    </row>
    <row r="356" spans="1:20" x14ac:dyDescent="0.25">
      <c r="A356" s="5"/>
      <c r="C356"/>
      <c r="D356"/>
      <c r="P356">
        <f t="shared" si="970"/>
        <v>0</v>
      </c>
      <c r="Q356">
        <f t="shared" si="971"/>
        <v>0</v>
      </c>
      <c r="R356">
        <f t="shared" si="972"/>
        <v>0</v>
      </c>
      <c r="S356">
        <f t="shared" si="973"/>
        <v>0</v>
      </c>
      <c r="T356">
        <f t="shared" si="974"/>
        <v>0</v>
      </c>
    </row>
    <row r="357" spans="1:20" x14ac:dyDescent="0.25">
      <c r="A357" s="5"/>
      <c r="C357"/>
      <c r="D357"/>
      <c r="P357">
        <f t="shared" si="970"/>
        <v>0</v>
      </c>
      <c r="Q357">
        <f t="shared" si="971"/>
        <v>0</v>
      </c>
      <c r="R357">
        <f t="shared" si="972"/>
        <v>0</v>
      </c>
      <c r="S357">
        <f t="shared" si="973"/>
        <v>0</v>
      </c>
      <c r="T357">
        <f t="shared" si="974"/>
        <v>0</v>
      </c>
    </row>
    <row r="358" spans="1:20" x14ac:dyDescent="0.25">
      <c r="A358" s="5"/>
      <c r="C358"/>
      <c r="D358"/>
      <c r="P358">
        <f t="shared" si="970"/>
        <v>0</v>
      </c>
      <c r="Q358">
        <f t="shared" si="971"/>
        <v>0</v>
      </c>
      <c r="R358">
        <f t="shared" si="972"/>
        <v>0</v>
      </c>
      <c r="S358">
        <f t="shared" si="973"/>
        <v>0</v>
      </c>
      <c r="T358">
        <f t="shared" si="974"/>
        <v>0</v>
      </c>
    </row>
    <row r="359" spans="1:20" x14ac:dyDescent="0.25">
      <c r="A359" s="5"/>
      <c r="C359"/>
      <c r="D359"/>
      <c r="P359">
        <f t="shared" si="970"/>
        <v>0</v>
      </c>
      <c r="Q359">
        <f t="shared" si="971"/>
        <v>0</v>
      </c>
      <c r="R359">
        <f t="shared" si="972"/>
        <v>0</v>
      </c>
      <c r="S359">
        <f t="shared" si="973"/>
        <v>0</v>
      </c>
      <c r="T359">
        <f t="shared" si="974"/>
        <v>0</v>
      </c>
    </row>
    <row r="360" spans="1:20" x14ac:dyDescent="0.25">
      <c r="A360" s="5"/>
      <c r="C360"/>
      <c r="D360"/>
      <c r="P360">
        <f t="shared" si="970"/>
        <v>0</v>
      </c>
      <c r="Q360">
        <f t="shared" si="971"/>
        <v>0</v>
      </c>
      <c r="R360">
        <f t="shared" si="972"/>
        <v>0</v>
      </c>
      <c r="S360">
        <f t="shared" si="973"/>
        <v>0</v>
      </c>
      <c r="T360">
        <f t="shared" si="974"/>
        <v>0</v>
      </c>
    </row>
    <row r="361" spans="1:20" x14ac:dyDescent="0.25">
      <c r="A361" s="5"/>
      <c r="C361"/>
      <c r="D361"/>
      <c r="P361">
        <f t="shared" si="970"/>
        <v>0</v>
      </c>
      <c r="Q361">
        <f t="shared" si="971"/>
        <v>0</v>
      </c>
      <c r="R361">
        <f t="shared" si="972"/>
        <v>0</v>
      </c>
      <c r="S361">
        <f t="shared" si="973"/>
        <v>0</v>
      </c>
      <c r="T361">
        <f t="shared" si="974"/>
        <v>0</v>
      </c>
    </row>
    <row r="362" spans="1:20" x14ac:dyDescent="0.25">
      <c r="A362" s="5"/>
      <c r="C362"/>
      <c r="D362"/>
      <c r="P362">
        <f t="shared" si="970"/>
        <v>0</v>
      </c>
      <c r="Q362">
        <f t="shared" si="971"/>
        <v>0</v>
      </c>
      <c r="R362">
        <f t="shared" si="972"/>
        <v>0</v>
      </c>
      <c r="S362">
        <f t="shared" si="973"/>
        <v>0</v>
      </c>
      <c r="T362">
        <f t="shared" si="974"/>
        <v>0</v>
      </c>
    </row>
    <row r="363" spans="1:20" x14ac:dyDescent="0.25">
      <c r="A363" s="5"/>
      <c r="C363"/>
      <c r="D363"/>
      <c r="P363">
        <f t="shared" si="970"/>
        <v>0</v>
      </c>
      <c r="Q363">
        <f t="shared" si="971"/>
        <v>0</v>
      </c>
      <c r="R363">
        <f t="shared" si="972"/>
        <v>0</v>
      </c>
      <c r="S363">
        <f t="shared" si="973"/>
        <v>0</v>
      </c>
      <c r="T363">
        <f t="shared" si="974"/>
        <v>0</v>
      </c>
    </row>
    <row r="364" spans="1:20" x14ac:dyDescent="0.25">
      <c r="A364" s="5"/>
      <c r="C364"/>
      <c r="D364"/>
      <c r="P364">
        <f t="shared" si="970"/>
        <v>0</v>
      </c>
      <c r="Q364">
        <f t="shared" si="971"/>
        <v>0</v>
      </c>
      <c r="R364">
        <f t="shared" si="972"/>
        <v>0</v>
      </c>
      <c r="S364">
        <f t="shared" si="973"/>
        <v>0</v>
      </c>
      <c r="T364">
        <f t="shared" si="974"/>
        <v>0</v>
      </c>
    </row>
    <row r="365" spans="1:20" x14ac:dyDescent="0.25">
      <c r="A365" s="5"/>
      <c r="C365"/>
      <c r="D365"/>
      <c r="P365">
        <f t="shared" si="970"/>
        <v>0</v>
      </c>
      <c r="Q365">
        <f t="shared" si="971"/>
        <v>0</v>
      </c>
      <c r="R365">
        <f t="shared" si="972"/>
        <v>0</v>
      </c>
      <c r="S365">
        <f t="shared" si="973"/>
        <v>0</v>
      </c>
      <c r="T365">
        <f t="shared" si="974"/>
        <v>0</v>
      </c>
    </row>
    <row r="366" spans="1:20" x14ac:dyDescent="0.25">
      <c r="A366" s="5"/>
      <c r="C366"/>
      <c r="D366"/>
      <c r="P366">
        <f t="shared" si="970"/>
        <v>0</v>
      </c>
      <c r="Q366">
        <f t="shared" si="971"/>
        <v>0</v>
      </c>
      <c r="R366">
        <f t="shared" si="972"/>
        <v>0</v>
      </c>
      <c r="S366">
        <f t="shared" si="973"/>
        <v>0</v>
      </c>
      <c r="T366">
        <f t="shared" si="974"/>
        <v>0</v>
      </c>
    </row>
    <row r="367" spans="1:20" x14ac:dyDescent="0.25">
      <c r="A367" s="5"/>
      <c r="C367"/>
      <c r="D367"/>
      <c r="P367">
        <f t="shared" si="970"/>
        <v>0</v>
      </c>
      <c r="Q367">
        <f t="shared" si="971"/>
        <v>0</v>
      </c>
      <c r="R367">
        <f t="shared" si="972"/>
        <v>0</v>
      </c>
      <c r="S367">
        <f t="shared" si="973"/>
        <v>0</v>
      </c>
      <c r="T367">
        <f t="shared" si="974"/>
        <v>0</v>
      </c>
    </row>
    <row r="368" spans="1:20" x14ac:dyDescent="0.25">
      <c r="A368" s="5"/>
      <c r="C368"/>
      <c r="D368"/>
      <c r="P368">
        <f t="shared" si="970"/>
        <v>0</v>
      </c>
      <c r="Q368">
        <f t="shared" si="971"/>
        <v>0</v>
      </c>
      <c r="R368">
        <f t="shared" si="972"/>
        <v>0</v>
      </c>
      <c r="S368">
        <f t="shared" si="973"/>
        <v>0</v>
      </c>
      <c r="T368">
        <f t="shared" si="974"/>
        <v>0</v>
      </c>
    </row>
    <row r="369" spans="1:20" x14ac:dyDescent="0.25">
      <c r="A369" s="5"/>
      <c r="C369"/>
      <c r="D369"/>
      <c r="P369">
        <f t="shared" si="970"/>
        <v>0</v>
      </c>
      <c r="Q369">
        <f t="shared" si="971"/>
        <v>0</v>
      </c>
      <c r="R369">
        <f t="shared" si="972"/>
        <v>0</v>
      </c>
      <c r="S369">
        <f t="shared" si="973"/>
        <v>0</v>
      </c>
      <c r="T369">
        <f t="shared" si="974"/>
        <v>0</v>
      </c>
    </row>
    <row r="370" spans="1:20" x14ac:dyDescent="0.25">
      <c r="A370" s="5"/>
      <c r="C370"/>
      <c r="D370"/>
      <c r="P370">
        <f t="shared" si="970"/>
        <v>0</v>
      </c>
      <c r="Q370">
        <f t="shared" si="971"/>
        <v>0</v>
      </c>
      <c r="R370">
        <f t="shared" si="972"/>
        <v>0</v>
      </c>
      <c r="S370">
        <f t="shared" si="973"/>
        <v>0</v>
      </c>
      <c r="T370">
        <f t="shared" si="974"/>
        <v>0</v>
      </c>
    </row>
    <row r="371" spans="1:20" x14ac:dyDescent="0.25">
      <c r="A371" s="5"/>
      <c r="C371"/>
      <c r="D371"/>
      <c r="P371">
        <f t="shared" si="970"/>
        <v>0</v>
      </c>
      <c r="Q371">
        <f t="shared" si="971"/>
        <v>0</v>
      </c>
      <c r="R371">
        <f t="shared" si="972"/>
        <v>0</v>
      </c>
      <c r="S371">
        <f t="shared" si="973"/>
        <v>0</v>
      </c>
      <c r="T371">
        <f t="shared" si="974"/>
        <v>0</v>
      </c>
    </row>
    <row r="372" spans="1:20" x14ac:dyDescent="0.25">
      <c r="A372" s="5"/>
      <c r="C372"/>
      <c r="D372"/>
      <c r="P372">
        <f t="shared" si="970"/>
        <v>0</v>
      </c>
      <c r="Q372">
        <f t="shared" si="971"/>
        <v>0</v>
      </c>
      <c r="R372">
        <f t="shared" si="972"/>
        <v>0</v>
      </c>
      <c r="S372">
        <f t="shared" si="973"/>
        <v>0</v>
      </c>
      <c r="T372">
        <f t="shared" si="974"/>
        <v>0</v>
      </c>
    </row>
    <row r="373" spans="1:20" x14ac:dyDescent="0.25">
      <c r="A373" s="5"/>
      <c r="C373"/>
      <c r="D373"/>
      <c r="P373">
        <f t="shared" si="970"/>
        <v>0</v>
      </c>
      <c r="Q373">
        <f t="shared" si="971"/>
        <v>0</v>
      </c>
      <c r="R373">
        <f t="shared" si="972"/>
        <v>0</v>
      </c>
      <c r="S373">
        <f t="shared" si="973"/>
        <v>0</v>
      </c>
      <c r="T373">
        <f t="shared" si="974"/>
        <v>0</v>
      </c>
    </row>
    <row r="374" spans="1:20" x14ac:dyDescent="0.25">
      <c r="A374" s="5"/>
      <c r="C374"/>
      <c r="D374"/>
      <c r="P374">
        <f t="shared" si="970"/>
        <v>0</v>
      </c>
      <c r="Q374">
        <f t="shared" si="971"/>
        <v>0</v>
      </c>
      <c r="R374">
        <f t="shared" si="972"/>
        <v>0</v>
      </c>
      <c r="S374">
        <f t="shared" si="973"/>
        <v>0</v>
      </c>
      <c r="T374">
        <f t="shared" si="974"/>
        <v>0</v>
      </c>
    </row>
    <row r="375" spans="1:20" x14ac:dyDescent="0.25">
      <c r="A375" s="5"/>
      <c r="C375"/>
      <c r="D375"/>
      <c r="P375">
        <f t="shared" si="970"/>
        <v>0</v>
      </c>
      <c r="Q375">
        <f t="shared" si="971"/>
        <v>0</v>
      </c>
      <c r="R375">
        <f t="shared" si="972"/>
        <v>0</v>
      </c>
      <c r="S375">
        <f t="shared" si="973"/>
        <v>0</v>
      </c>
      <c r="T375">
        <f t="shared" si="974"/>
        <v>0</v>
      </c>
    </row>
    <row r="376" spans="1:20" x14ac:dyDescent="0.25">
      <c r="A376" s="5"/>
      <c r="C376"/>
      <c r="D376"/>
      <c r="P376">
        <f t="shared" si="970"/>
        <v>0</v>
      </c>
      <c r="Q376">
        <f t="shared" si="971"/>
        <v>0</v>
      </c>
      <c r="R376">
        <f t="shared" si="972"/>
        <v>0</v>
      </c>
      <c r="S376">
        <f t="shared" si="973"/>
        <v>0</v>
      </c>
      <c r="T376">
        <f t="shared" si="974"/>
        <v>0</v>
      </c>
    </row>
    <row r="377" spans="1:20" x14ac:dyDescent="0.25">
      <c r="A377" s="5"/>
      <c r="C377"/>
      <c r="D377"/>
      <c r="P377">
        <f t="shared" si="970"/>
        <v>0</v>
      </c>
      <c r="Q377">
        <f t="shared" si="971"/>
        <v>0</v>
      </c>
      <c r="R377">
        <f t="shared" si="972"/>
        <v>0</v>
      </c>
      <c r="S377">
        <f t="shared" si="973"/>
        <v>0</v>
      </c>
      <c r="T377">
        <f t="shared" si="974"/>
        <v>0</v>
      </c>
    </row>
    <row r="378" spans="1:20" x14ac:dyDescent="0.25">
      <c r="A378" s="5"/>
      <c r="C378"/>
      <c r="D378"/>
      <c r="P378">
        <f t="shared" si="970"/>
        <v>0</v>
      </c>
      <c r="Q378">
        <f t="shared" si="971"/>
        <v>0</v>
      </c>
      <c r="R378">
        <f t="shared" si="972"/>
        <v>0</v>
      </c>
      <c r="S378">
        <f t="shared" si="973"/>
        <v>0</v>
      </c>
      <c r="T378">
        <f t="shared" si="974"/>
        <v>0</v>
      </c>
    </row>
    <row r="379" spans="1:20" x14ac:dyDescent="0.25">
      <c r="A379" s="5"/>
      <c r="C379"/>
      <c r="D379"/>
      <c r="P379">
        <f t="shared" si="970"/>
        <v>0</v>
      </c>
      <c r="Q379">
        <f t="shared" si="971"/>
        <v>0</v>
      </c>
      <c r="R379">
        <f t="shared" si="972"/>
        <v>0</v>
      </c>
      <c r="S379">
        <f t="shared" si="973"/>
        <v>0</v>
      </c>
      <c r="T379">
        <f t="shared" si="974"/>
        <v>0</v>
      </c>
    </row>
    <row r="380" spans="1:20" x14ac:dyDescent="0.25">
      <c r="A380" s="5"/>
      <c r="C380"/>
      <c r="D380"/>
      <c r="P380">
        <f t="shared" si="970"/>
        <v>0</v>
      </c>
      <c r="Q380">
        <f t="shared" si="971"/>
        <v>0</v>
      </c>
      <c r="R380">
        <f t="shared" si="972"/>
        <v>0</v>
      </c>
      <c r="S380">
        <f t="shared" si="973"/>
        <v>0</v>
      </c>
      <c r="T380">
        <f t="shared" si="974"/>
        <v>0</v>
      </c>
    </row>
    <row r="381" spans="1:20" x14ac:dyDescent="0.25">
      <c r="A381" s="5"/>
      <c r="C381"/>
      <c r="D381"/>
      <c r="P381">
        <f t="shared" si="970"/>
        <v>0</v>
      </c>
      <c r="Q381">
        <f t="shared" si="971"/>
        <v>0</v>
      </c>
      <c r="R381">
        <f t="shared" si="972"/>
        <v>0</v>
      </c>
      <c r="S381">
        <f t="shared" si="973"/>
        <v>0</v>
      </c>
      <c r="T381">
        <f t="shared" si="974"/>
        <v>0</v>
      </c>
    </row>
    <row r="382" spans="1:20" x14ac:dyDescent="0.25">
      <c r="A382" s="5"/>
      <c r="C382"/>
      <c r="D382"/>
      <c r="P382">
        <f t="shared" si="970"/>
        <v>0</v>
      </c>
      <c r="Q382">
        <f t="shared" si="971"/>
        <v>0</v>
      </c>
      <c r="R382">
        <f t="shared" si="972"/>
        <v>0</v>
      </c>
      <c r="S382">
        <f t="shared" si="973"/>
        <v>0</v>
      </c>
      <c r="T382">
        <f t="shared" si="974"/>
        <v>0</v>
      </c>
    </row>
    <row r="383" spans="1:20" x14ac:dyDescent="0.25">
      <c r="A383" s="5"/>
      <c r="C383"/>
      <c r="D383"/>
      <c r="P383">
        <f t="shared" si="970"/>
        <v>0</v>
      </c>
      <c r="Q383">
        <f t="shared" si="971"/>
        <v>0</v>
      </c>
      <c r="R383">
        <f t="shared" si="972"/>
        <v>0</v>
      </c>
      <c r="S383">
        <f t="shared" si="973"/>
        <v>0</v>
      </c>
      <c r="T383">
        <f t="shared" si="974"/>
        <v>0</v>
      </c>
    </row>
    <row r="384" spans="1:20" x14ac:dyDescent="0.25">
      <c r="A384" s="5"/>
      <c r="C384"/>
      <c r="D384"/>
      <c r="P384">
        <f t="shared" si="970"/>
        <v>0</v>
      </c>
      <c r="Q384">
        <f t="shared" si="971"/>
        <v>0</v>
      </c>
      <c r="R384">
        <f t="shared" si="972"/>
        <v>0</v>
      </c>
      <c r="S384">
        <f t="shared" si="973"/>
        <v>0</v>
      </c>
      <c r="T384">
        <f t="shared" si="974"/>
        <v>0</v>
      </c>
    </row>
    <row r="385" spans="1:20" x14ac:dyDescent="0.25">
      <c r="A385" s="5"/>
      <c r="C385"/>
      <c r="D385"/>
      <c r="P385">
        <f t="shared" si="970"/>
        <v>0</v>
      </c>
      <c r="Q385">
        <f t="shared" si="971"/>
        <v>0</v>
      </c>
      <c r="R385">
        <f t="shared" si="972"/>
        <v>0</v>
      </c>
      <c r="S385">
        <f t="shared" si="973"/>
        <v>0</v>
      </c>
      <c r="T385">
        <f t="shared" si="974"/>
        <v>0</v>
      </c>
    </row>
    <row r="386" spans="1:20" x14ac:dyDescent="0.25">
      <c r="A386" s="5"/>
      <c r="C386"/>
      <c r="D386"/>
      <c r="P386">
        <f t="shared" si="970"/>
        <v>0</v>
      </c>
      <c r="Q386">
        <f t="shared" si="971"/>
        <v>0</v>
      </c>
      <c r="R386">
        <f t="shared" si="972"/>
        <v>0</v>
      </c>
      <c r="S386">
        <f t="shared" si="973"/>
        <v>0</v>
      </c>
      <c r="T386">
        <f t="shared" si="974"/>
        <v>0</v>
      </c>
    </row>
    <row r="387" spans="1:20" x14ac:dyDescent="0.25">
      <c r="A387" s="5"/>
      <c r="C387"/>
      <c r="D387"/>
      <c r="P387">
        <f t="shared" si="970"/>
        <v>0</v>
      </c>
      <c r="Q387">
        <f t="shared" si="971"/>
        <v>0</v>
      </c>
      <c r="R387">
        <f t="shared" si="972"/>
        <v>0</v>
      </c>
      <c r="S387">
        <f t="shared" si="973"/>
        <v>0</v>
      </c>
      <c r="T387">
        <f t="shared" si="974"/>
        <v>0</v>
      </c>
    </row>
    <row r="388" spans="1:20" x14ac:dyDescent="0.25">
      <c r="A388" s="5"/>
      <c r="C388"/>
      <c r="D388"/>
      <c r="P388">
        <f t="shared" si="970"/>
        <v>0</v>
      </c>
      <c r="Q388">
        <f t="shared" si="971"/>
        <v>0</v>
      </c>
      <c r="R388">
        <f t="shared" si="972"/>
        <v>0</v>
      </c>
      <c r="S388">
        <f t="shared" si="973"/>
        <v>0</v>
      </c>
      <c r="T388">
        <f t="shared" si="974"/>
        <v>0</v>
      </c>
    </row>
    <row r="389" spans="1:20" x14ac:dyDescent="0.25">
      <c r="A389" s="5"/>
      <c r="C389"/>
      <c r="D389"/>
      <c r="P389">
        <f t="shared" si="970"/>
        <v>0</v>
      </c>
      <c r="Q389">
        <f t="shared" si="971"/>
        <v>0</v>
      </c>
      <c r="R389">
        <f t="shared" si="972"/>
        <v>0</v>
      </c>
      <c r="S389">
        <f t="shared" si="973"/>
        <v>0</v>
      </c>
      <c r="T389">
        <f t="shared" si="974"/>
        <v>0</v>
      </c>
    </row>
    <row r="390" spans="1:20" x14ac:dyDescent="0.25">
      <c r="A390" s="5"/>
      <c r="C390"/>
      <c r="D390"/>
      <c r="P390">
        <f t="shared" ref="P390:P453" si="975">IF(C390=D390,0,((E390-D390)-(C390-E390))/(C390-D390))</f>
        <v>0</v>
      </c>
      <c r="Q390">
        <f t="shared" ref="Q390:Q453" si="976">F390*P390</f>
        <v>0</v>
      </c>
      <c r="R390">
        <f t="shared" ref="R390:R453" si="977">R391+Q390</f>
        <v>0</v>
      </c>
      <c r="S390">
        <f t="shared" ref="S390:S453" si="978">R390/100000</f>
        <v>0</v>
      </c>
      <c r="T390">
        <f t="shared" ref="T390:T453" si="979">S390/1000</f>
        <v>0</v>
      </c>
    </row>
    <row r="391" spans="1:20" x14ac:dyDescent="0.25">
      <c r="A391" s="5"/>
      <c r="C391"/>
      <c r="D391"/>
      <c r="P391">
        <f t="shared" si="975"/>
        <v>0</v>
      </c>
      <c r="Q391">
        <f t="shared" si="976"/>
        <v>0</v>
      </c>
      <c r="R391">
        <f t="shared" si="977"/>
        <v>0</v>
      </c>
      <c r="S391">
        <f t="shared" si="978"/>
        <v>0</v>
      </c>
      <c r="T391">
        <f t="shared" si="979"/>
        <v>0</v>
      </c>
    </row>
    <row r="392" spans="1:20" x14ac:dyDescent="0.25">
      <c r="A392" s="5"/>
      <c r="C392"/>
      <c r="D392"/>
      <c r="P392">
        <f t="shared" si="975"/>
        <v>0</v>
      </c>
      <c r="Q392">
        <f t="shared" si="976"/>
        <v>0</v>
      </c>
      <c r="R392">
        <f t="shared" si="977"/>
        <v>0</v>
      </c>
      <c r="S392">
        <f t="shared" si="978"/>
        <v>0</v>
      </c>
      <c r="T392">
        <f t="shared" si="979"/>
        <v>0</v>
      </c>
    </row>
    <row r="393" spans="1:20" x14ac:dyDescent="0.25">
      <c r="A393" s="5"/>
      <c r="C393"/>
      <c r="D393"/>
      <c r="P393">
        <f t="shared" si="975"/>
        <v>0</v>
      </c>
      <c r="Q393">
        <f t="shared" si="976"/>
        <v>0</v>
      </c>
      <c r="R393">
        <f t="shared" si="977"/>
        <v>0</v>
      </c>
      <c r="S393">
        <f t="shared" si="978"/>
        <v>0</v>
      </c>
      <c r="T393">
        <f t="shared" si="979"/>
        <v>0</v>
      </c>
    </row>
    <row r="394" spans="1:20" x14ac:dyDescent="0.25">
      <c r="A394" s="5"/>
      <c r="C394"/>
      <c r="D394"/>
      <c r="P394">
        <f t="shared" si="975"/>
        <v>0</v>
      </c>
      <c r="Q394">
        <f t="shared" si="976"/>
        <v>0</v>
      </c>
      <c r="R394">
        <f t="shared" si="977"/>
        <v>0</v>
      </c>
      <c r="S394">
        <f t="shared" si="978"/>
        <v>0</v>
      </c>
      <c r="T394">
        <f t="shared" si="979"/>
        <v>0</v>
      </c>
    </row>
    <row r="395" spans="1:20" x14ac:dyDescent="0.25">
      <c r="A395" s="5"/>
      <c r="C395"/>
      <c r="D395"/>
      <c r="P395">
        <f t="shared" si="975"/>
        <v>0</v>
      </c>
      <c r="Q395">
        <f t="shared" si="976"/>
        <v>0</v>
      </c>
      <c r="R395">
        <f t="shared" si="977"/>
        <v>0</v>
      </c>
      <c r="S395">
        <f t="shared" si="978"/>
        <v>0</v>
      </c>
      <c r="T395">
        <f t="shared" si="979"/>
        <v>0</v>
      </c>
    </row>
    <row r="396" spans="1:20" x14ac:dyDescent="0.25">
      <c r="A396" s="5"/>
      <c r="C396"/>
      <c r="D396"/>
      <c r="P396">
        <f t="shared" si="975"/>
        <v>0</v>
      </c>
      <c r="Q396">
        <f t="shared" si="976"/>
        <v>0</v>
      </c>
      <c r="R396">
        <f t="shared" si="977"/>
        <v>0</v>
      </c>
      <c r="S396">
        <f t="shared" si="978"/>
        <v>0</v>
      </c>
      <c r="T396">
        <f t="shared" si="979"/>
        <v>0</v>
      </c>
    </row>
    <row r="397" spans="1:20" x14ac:dyDescent="0.25">
      <c r="A397" s="5"/>
      <c r="C397"/>
      <c r="D397"/>
      <c r="P397">
        <f t="shared" si="975"/>
        <v>0</v>
      </c>
      <c r="Q397">
        <f t="shared" si="976"/>
        <v>0</v>
      </c>
      <c r="R397">
        <f t="shared" si="977"/>
        <v>0</v>
      </c>
      <c r="S397">
        <f t="shared" si="978"/>
        <v>0</v>
      </c>
      <c r="T397">
        <f t="shared" si="979"/>
        <v>0</v>
      </c>
    </row>
    <row r="398" spans="1:20" x14ac:dyDescent="0.25">
      <c r="A398" s="5"/>
      <c r="C398"/>
      <c r="D398"/>
      <c r="P398">
        <f t="shared" si="975"/>
        <v>0</v>
      </c>
      <c r="Q398">
        <f t="shared" si="976"/>
        <v>0</v>
      </c>
      <c r="R398">
        <f t="shared" si="977"/>
        <v>0</v>
      </c>
      <c r="S398">
        <f t="shared" si="978"/>
        <v>0</v>
      </c>
      <c r="T398">
        <f t="shared" si="979"/>
        <v>0</v>
      </c>
    </row>
    <row r="399" spans="1:20" x14ac:dyDescent="0.25">
      <c r="A399" s="5"/>
      <c r="C399"/>
      <c r="D399"/>
      <c r="P399">
        <f t="shared" si="975"/>
        <v>0</v>
      </c>
      <c r="Q399">
        <f t="shared" si="976"/>
        <v>0</v>
      </c>
      <c r="R399">
        <f t="shared" si="977"/>
        <v>0</v>
      </c>
      <c r="S399">
        <f t="shared" si="978"/>
        <v>0</v>
      </c>
      <c r="T399">
        <f t="shared" si="979"/>
        <v>0</v>
      </c>
    </row>
    <row r="400" spans="1:20" x14ac:dyDescent="0.25">
      <c r="A400" s="5"/>
      <c r="C400"/>
      <c r="D400"/>
      <c r="P400">
        <f t="shared" si="975"/>
        <v>0</v>
      </c>
      <c r="Q400">
        <f t="shared" si="976"/>
        <v>0</v>
      </c>
      <c r="R400">
        <f t="shared" si="977"/>
        <v>0</v>
      </c>
      <c r="S400">
        <f t="shared" si="978"/>
        <v>0</v>
      </c>
      <c r="T400">
        <f t="shared" si="979"/>
        <v>0</v>
      </c>
    </row>
    <row r="401" spans="1:20" x14ac:dyDescent="0.25">
      <c r="A401" s="5"/>
      <c r="C401"/>
      <c r="D401"/>
      <c r="P401">
        <f t="shared" si="975"/>
        <v>0</v>
      </c>
      <c r="Q401">
        <f t="shared" si="976"/>
        <v>0</v>
      </c>
      <c r="R401">
        <f t="shared" si="977"/>
        <v>0</v>
      </c>
      <c r="S401">
        <f t="shared" si="978"/>
        <v>0</v>
      </c>
      <c r="T401">
        <f t="shared" si="979"/>
        <v>0</v>
      </c>
    </row>
    <row r="402" spans="1:20" x14ac:dyDescent="0.25">
      <c r="A402" s="5"/>
      <c r="C402"/>
      <c r="D402"/>
      <c r="P402">
        <f t="shared" si="975"/>
        <v>0</v>
      </c>
      <c r="Q402">
        <f t="shared" si="976"/>
        <v>0</v>
      </c>
      <c r="R402">
        <f t="shared" si="977"/>
        <v>0</v>
      </c>
      <c r="S402">
        <f t="shared" si="978"/>
        <v>0</v>
      </c>
      <c r="T402">
        <f t="shared" si="979"/>
        <v>0</v>
      </c>
    </row>
    <row r="403" spans="1:20" x14ac:dyDescent="0.25">
      <c r="A403" s="5"/>
      <c r="C403"/>
      <c r="D403"/>
      <c r="P403">
        <f t="shared" si="975"/>
        <v>0</v>
      </c>
      <c r="Q403">
        <f t="shared" si="976"/>
        <v>0</v>
      </c>
      <c r="R403">
        <f t="shared" si="977"/>
        <v>0</v>
      </c>
      <c r="S403">
        <f t="shared" si="978"/>
        <v>0</v>
      </c>
      <c r="T403">
        <f t="shared" si="979"/>
        <v>0</v>
      </c>
    </row>
    <row r="404" spans="1:20" x14ac:dyDescent="0.25">
      <c r="A404" s="5"/>
      <c r="C404"/>
      <c r="D404"/>
      <c r="P404">
        <f t="shared" si="975"/>
        <v>0</v>
      </c>
      <c r="Q404">
        <f t="shared" si="976"/>
        <v>0</v>
      </c>
      <c r="R404">
        <f t="shared" si="977"/>
        <v>0</v>
      </c>
      <c r="S404">
        <f t="shared" si="978"/>
        <v>0</v>
      </c>
      <c r="T404">
        <f t="shared" si="979"/>
        <v>0</v>
      </c>
    </row>
    <row r="405" spans="1:20" x14ac:dyDescent="0.25">
      <c r="A405" s="5"/>
      <c r="C405"/>
      <c r="D405"/>
      <c r="P405">
        <f t="shared" si="975"/>
        <v>0</v>
      </c>
      <c r="Q405">
        <f t="shared" si="976"/>
        <v>0</v>
      </c>
      <c r="R405">
        <f t="shared" si="977"/>
        <v>0</v>
      </c>
      <c r="S405">
        <f t="shared" si="978"/>
        <v>0</v>
      </c>
      <c r="T405">
        <f t="shared" si="979"/>
        <v>0</v>
      </c>
    </row>
    <row r="406" spans="1:20" x14ac:dyDescent="0.25">
      <c r="A406" s="5"/>
      <c r="C406"/>
      <c r="D406"/>
      <c r="P406">
        <f t="shared" si="975"/>
        <v>0</v>
      </c>
      <c r="Q406">
        <f t="shared" si="976"/>
        <v>0</v>
      </c>
      <c r="R406">
        <f t="shared" si="977"/>
        <v>0</v>
      </c>
      <c r="S406">
        <f t="shared" si="978"/>
        <v>0</v>
      </c>
      <c r="T406">
        <f t="shared" si="979"/>
        <v>0</v>
      </c>
    </row>
    <row r="407" spans="1:20" x14ac:dyDescent="0.25">
      <c r="A407" s="5"/>
      <c r="C407"/>
      <c r="D407"/>
      <c r="P407">
        <f t="shared" si="975"/>
        <v>0</v>
      </c>
      <c r="Q407">
        <f t="shared" si="976"/>
        <v>0</v>
      </c>
      <c r="R407">
        <f t="shared" si="977"/>
        <v>0</v>
      </c>
      <c r="S407">
        <f t="shared" si="978"/>
        <v>0</v>
      </c>
      <c r="T407">
        <f t="shared" si="979"/>
        <v>0</v>
      </c>
    </row>
    <row r="408" spans="1:20" x14ac:dyDescent="0.25">
      <c r="A408" s="5"/>
      <c r="C408"/>
      <c r="D408"/>
      <c r="P408">
        <f t="shared" si="975"/>
        <v>0</v>
      </c>
      <c r="Q408">
        <f t="shared" si="976"/>
        <v>0</v>
      </c>
      <c r="R408">
        <f t="shared" si="977"/>
        <v>0</v>
      </c>
      <c r="S408">
        <f t="shared" si="978"/>
        <v>0</v>
      </c>
      <c r="T408">
        <f t="shared" si="979"/>
        <v>0</v>
      </c>
    </row>
    <row r="409" spans="1:20" x14ac:dyDescent="0.25">
      <c r="A409" s="5"/>
      <c r="C409"/>
      <c r="D409"/>
      <c r="P409">
        <f t="shared" si="975"/>
        <v>0</v>
      </c>
      <c r="Q409">
        <f t="shared" si="976"/>
        <v>0</v>
      </c>
      <c r="R409">
        <f t="shared" si="977"/>
        <v>0</v>
      </c>
      <c r="S409">
        <f t="shared" si="978"/>
        <v>0</v>
      </c>
      <c r="T409">
        <f t="shared" si="979"/>
        <v>0</v>
      </c>
    </row>
    <row r="410" spans="1:20" x14ac:dyDescent="0.25">
      <c r="A410" s="5"/>
      <c r="C410"/>
      <c r="D410"/>
      <c r="P410">
        <f t="shared" si="975"/>
        <v>0</v>
      </c>
      <c r="Q410">
        <f t="shared" si="976"/>
        <v>0</v>
      </c>
      <c r="R410">
        <f t="shared" si="977"/>
        <v>0</v>
      </c>
      <c r="S410">
        <f t="shared" si="978"/>
        <v>0</v>
      </c>
      <c r="T410">
        <f t="shared" si="979"/>
        <v>0</v>
      </c>
    </row>
    <row r="411" spans="1:20" x14ac:dyDescent="0.25">
      <c r="A411" s="5"/>
      <c r="C411"/>
      <c r="D411"/>
      <c r="P411">
        <f t="shared" si="975"/>
        <v>0</v>
      </c>
      <c r="Q411">
        <f t="shared" si="976"/>
        <v>0</v>
      </c>
      <c r="R411">
        <f t="shared" si="977"/>
        <v>0</v>
      </c>
      <c r="S411">
        <f t="shared" si="978"/>
        <v>0</v>
      </c>
      <c r="T411">
        <f t="shared" si="979"/>
        <v>0</v>
      </c>
    </row>
    <row r="412" spans="1:20" x14ac:dyDescent="0.25">
      <c r="A412" s="5"/>
      <c r="C412"/>
      <c r="D412"/>
      <c r="P412">
        <f t="shared" si="975"/>
        <v>0</v>
      </c>
      <c r="Q412">
        <f t="shared" si="976"/>
        <v>0</v>
      </c>
      <c r="R412">
        <f t="shared" si="977"/>
        <v>0</v>
      </c>
      <c r="S412">
        <f t="shared" si="978"/>
        <v>0</v>
      </c>
      <c r="T412">
        <f t="shared" si="979"/>
        <v>0</v>
      </c>
    </row>
    <row r="413" spans="1:20" x14ac:dyDescent="0.25">
      <c r="A413" s="5"/>
      <c r="C413"/>
      <c r="D413"/>
      <c r="P413">
        <f t="shared" si="975"/>
        <v>0</v>
      </c>
      <c r="Q413">
        <f t="shared" si="976"/>
        <v>0</v>
      </c>
      <c r="R413">
        <f t="shared" si="977"/>
        <v>0</v>
      </c>
      <c r="S413">
        <f t="shared" si="978"/>
        <v>0</v>
      </c>
      <c r="T413">
        <f t="shared" si="979"/>
        <v>0</v>
      </c>
    </row>
    <row r="414" spans="1:20" x14ac:dyDescent="0.25">
      <c r="A414" s="5"/>
      <c r="C414"/>
      <c r="D414"/>
      <c r="P414">
        <f t="shared" si="975"/>
        <v>0</v>
      </c>
      <c r="Q414">
        <f t="shared" si="976"/>
        <v>0</v>
      </c>
      <c r="R414">
        <f t="shared" si="977"/>
        <v>0</v>
      </c>
      <c r="S414">
        <f t="shared" si="978"/>
        <v>0</v>
      </c>
      <c r="T414">
        <f t="shared" si="979"/>
        <v>0</v>
      </c>
    </row>
    <row r="415" spans="1:20" x14ac:dyDescent="0.25">
      <c r="A415" s="5"/>
      <c r="C415"/>
      <c r="D415"/>
      <c r="P415">
        <f t="shared" si="975"/>
        <v>0</v>
      </c>
      <c r="Q415">
        <f t="shared" si="976"/>
        <v>0</v>
      </c>
      <c r="R415">
        <f t="shared" si="977"/>
        <v>0</v>
      </c>
      <c r="S415">
        <f t="shared" si="978"/>
        <v>0</v>
      </c>
      <c r="T415">
        <f t="shared" si="979"/>
        <v>0</v>
      </c>
    </row>
    <row r="416" spans="1:20" x14ac:dyDescent="0.25">
      <c r="A416" s="5"/>
      <c r="C416"/>
      <c r="D416"/>
      <c r="P416">
        <f t="shared" si="975"/>
        <v>0</v>
      </c>
      <c r="Q416">
        <f t="shared" si="976"/>
        <v>0</v>
      </c>
      <c r="R416">
        <f t="shared" si="977"/>
        <v>0</v>
      </c>
      <c r="S416">
        <f t="shared" si="978"/>
        <v>0</v>
      </c>
      <c r="T416">
        <f t="shared" si="979"/>
        <v>0</v>
      </c>
    </row>
    <row r="417" spans="1:20" x14ac:dyDescent="0.25">
      <c r="A417" s="5"/>
      <c r="C417"/>
      <c r="D417"/>
      <c r="P417">
        <f t="shared" si="975"/>
        <v>0</v>
      </c>
      <c r="Q417">
        <f t="shared" si="976"/>
        <v>0</v>
      </c>
      <c r="R417">
        <f t="shared" si="977"/>
        <v>0</v>
      </c>
      <c r="S417">
        <f t="shared" si="978"/>
        <v>0</v>
      </c>
      <c r="T417">
        <f t="shared" si="979"/>
        <v>0</v>
      </c>
    </row>
    <row r="418" spans="1:20" x14ac:dyDescent="0.25">
      <c r="A418" s="5"/>
      <c r="C418"/>
      <c r="D418"/>
      <c r="P418">
        <f t="shared" si="975"/>
        <v>0</v>
      </c>
      <c r="Q418">
        <f t="shared" si="976"/>
        <v>0</v>
      </c>
      <c r="R418">
        <f t="shared" si="977"/>
        <v>0</v>
      </c>
      <c r="S418">
        <f t="shared" si="978"/>
        <v>0</v>
      </c>
      <c r="T418">
        <f t="shared" si="979"/>
        <v>0</v>
      </c>
    </row>
    <row r="419" spans="1:20" x14ac:dyDescent="0.25">
      <c r="A419" s="5"/>
      <c r="C419"/>
      <c r="D419"/>
      <c r="P419">
        <f t="shared" si="975"/>
        <v>0</v>
      </c>
      <c r="Q419">
        <f t="shared" si="976"/>
        <v>0</v>
      </c>
      <c r="R419">
        <f t="shared" si="977"/>
        <v>0</v>
      </c>
      <c r="S419">
        <f t="shared" si="978"/>
        <v>0</v>
      </c>
      <c r="T419">
        <f t="shared" si="979"/>
        <v>0</v>
      </c>
    </row>
    <row r="420" spans="1:20" x14ac:dyDescent="0.25">
      <c r="A420" s="5"/>
      <c r="C420"/>
      <c r="D420"/>
      <c r="P420">
        <f t="shared" si="975"/>
        <v>0</v>
      </c>
      <c r="Q420">
        <f t="shared" si="976"/>
        <v>0</v>
      </c>
      <c r="R420">
        <f t="shared" si="977"/>
        <v>0</v>
      </c>
      <c r="S420">
        <f t="shared" si="978"/>
        <v>0</v>
      </c>
      <c r="T420">
        <f t="shared" si="979"/>
        <v>0</v>
      </c>
    </row>
    <row r="421" spans="1:20" x14ac:dyDescent="0.25">
      <c r="A421" s="5"/>
      <c r="C421"/>
      <c r="D421"/>
      <c r="P421">
        <f t="shared" si="975"/>
        <v>0</v>
      </c>
      <c r="Q421">
        <f t="shared" si="976"/>
        <v>0</v>
      </c>
      <c r="R421">
        <f t="shared" si="977"/>
        <v>0</v>
      </c>
      <c r="S421">
        <f t="shared" si="978"/>
        <v>0</v>
      </c>
      <c r="T421">
        <f t="shared" si="979"/>
        <v>0</v>
      </c>
    </row>
    <row r="422" spans="1:20" x14ac:dyDescent="0.25">
      <c r="A422" s="5"/>
      <c r="C422"/>
      <c r="D422"/>
      <c r="P422">
        <f t="shared" si="975"/>
        <v>0</v>
      </c>
      <c r="Q422">
        <f t="shared" si="976"/>
        <v>0</v>
      </c>
      <c r="R422">
        <f t="shared" si="977"/>
        <v>0</v>
      </c>
      <c r="S422">
        <f t="shared" si="978"/>
        <v>0</v>
      </c>
      <c r="T422">
        <f t="shared" si="979"/>
        <v>0</v>
      </c>
    </row>
    <row r="423" spans="1:20" x14ac:dyDescent="0.25">
      <c r="A423" s="5"/>
      <c r="C423"/>
      <c r="D423"/>
      <c r="P423">
        <f t="shared" si="975"/>
        <v>0</v>
      </c>
      <c r="Q423">
        <f t="shared" si="976"/>
        <v>0</v>
      </c>
      <c r="R423">
        <f t="shared" si="977"/>
        <v>0</v>
      </c>
      <c r="S423">
        <f t="shared" si="978"/>
        <v>0</v>
      </c>
      <c r="T423">
        <f t="shared" si="979"/>
        <v>0</v>
      </c>
    </row>
    <row r="424" spans="1:20" x14ac:dyDescent="0.25">
      <c r="A424" s="5"/>
      <c r="C424"/>
      <c r="D424"/>
      <c r="P424">
        <f t="shared" si="975"/>
        <v>0</v>
      </c>
      <c r="Q424">
        <f t="shared" si="976"/>
        <v>0</v>
      </c>
      <c r="R424">
        <f t="shared" si="977"/>
        <v>0</v>
      </c>
      <c r="S424">
        <f t="shared" si="978"/>
        <v>0</v>
      </c>
      <c r="T424">
        <f t="shared" si="979"/>
        <v>0</v>
      </c>
    </row>
    <row r="425" spans="1:20" x14ac:dyDescent="0.25">
      <c r="A425" s="5"/>
      <c r="C425"/>
      <c r="D425"/>
      <c r="P425">
        <f t="shared" si="975"/>
        <v>0</v>
      </c>
      <c r="Q425">
        <f t="shared" si="976"/>
        <v>0</v>
      </c>
      <c r="R425">
        <f t="shared" si="977"/>
        <v>0</v>
      </c>
      <c r="S425">
        <f t="shared" si="978"/>
        <v>0</v>
      </c>
      <c r="T425">
        <f t="shared" si="979"/>
        <v>0</v>
      </c>
    </row>
    <row r="426" spans="1:20" x14ac:dyDescent="0.25">
      <c r="A426" s="5"/>
      <c r="C426"/>
      <c r="D426"/>
      <c r="P426">
        <f t="shared" si="975"/>
        <v>0</v>
      </c>
      <c r="Q426">
        <f t="shared" si="976"/>
        <v>0</v>
      </c>
      <c r="R426">
        <f t="shared" si="977"/>
        <v>0</v>
      </c>
      <c r="S426">
        <f t="shared" si="978"/>
        <v>0</v>
      </c>
      <c r="T426">
        <f t="shared" si="979"/>
        <v>0</v>
      </c>
    </row>
    <row r="427" spans="1:20" x14ac:dyDescent="0.25">
      <c r="A427" s="5"/>
      <c r="C427"/>
      <c r="D427"/>
      <c r="P427">
        <f t="shared" si="975"/>
        <v>0</v>
      </c>
      <c r="Q427">
        <f t="shared" si="976"/>
        <v>0</v>
      </c>
      <c r="R427">
        <f t="shared" si="977"/>
        <v>0</v>
      </c>
      <c r="S427">
        <f t="shared" si="978"/>
        <v>0</v>
      </c>
      <c r="T427">
        <f t="shared" si="979"/>
        <v>0</v>
      </c>
    </row>
    <row r="428" spans="1:20" x14ac:dyDescent="0.25">
      <c r="A428" s="5"/>
      <c r="C428"/>
      <c r="D428"/>
      <c r="P428">
        <f t="shared" si="975"/>
        <v>0</v>
      </c>
      <c r="Q428">
        <f t="shared" si="976"/>
        <v>0</v>
      </c>
      <c r="R428">
        <f t="shared" si="977"/>
        <v>0</v>
      </c>
      <c r="S428">
        <f t="shared" si="978"/>
        <v>0</v>
      </c>
      <c r="T428">
        <f t="shared" si="979"/>
        <v>0</v>
      </c>
    </row>
    <row r="429" spans="1:20" x14ac:dyDescent="0.25">
      <c r="A429" s="5"/>
      <c r="C429"/>
      <c r="D429"/>
      <c r="P429">
        <f t="shared" si="975"/>
        <v>0</v>
      </c>
      <c r="Q429">
        <f t="shared" si="976"/>
        <v>0</v>
      </c>
      <c r="R429">
        <f t="shared" si="977"/>
        <v>0</v>
      </c>
      <c r="S429">
        <f t="shared" si="978"/>
        <v>0</v>
      </c>
      <c r="T429">
        <f t="shared" si="979"/>
        <v>0</v>
      </c>
    </row>
    <row r="430" spans="1:20" x14ac:dyDescent="0.25">
      <c r="A430" s="5"/>
      <c r="C430"/>
      <c r="D430"/>
      <c r="P430">
        <f t="shared" si="975"/>
        <v>0</v>
      </c>
      <c r="Q430">
        <f t="shared" si="976"/>
        <v>0</v>
      </c>
      <c r="R430">
        <f t="shared" si="977"/>
        <v>0</v>
      </c>
      <c r="S430">
        <f t="shared" si="978"/>
        <v>0</v>
      </c>
      <c r="T430">
        <f t="shared" si="979"/>
        <v>0</v>
      </c>
    </row>
    <row r="431" spans="1:20" x14ac:dyDescent="0.25">
      <c r="A431" s="5"/>
      <c r="C431"/>
      <c r="D431"/>
      <c r="P431">
        <f t="shared" si="975"/>
        <v>0</v>
      </c>
      <c r="Q431">
        <f t="shared" si="976"/>
        <v>0</v>
      </c>
      <c r="R431">
        <f t="shared" si="977"/>
        <v>0</v>
      </c>
      <c r="S431">
        <f t="shared" si="978"/>
        <v>0</v>
      </c>
      <c r="T431">
        <f t="shared" si="979"/>
        <v>0</v>
      </c>
    </row>
    <row r="432" spans="1:20" x14ac:dyDescent="0.25">
      <c r="A432" s="5"/>
      <c r="C432"/>
      <c r="D432"/>
      <c r="P432">
        <f t="shared" si="975"/>
        <v>0</v>
      </c>
      <c r="Q432">
        <f t="shared" si="976"/>
        <v>0</v>
      </c>
      <c r="R432">
        <f t="shared" si="977"/>
        <v>0</v>
      </c>
      <c r="S432">
        <f t="shared" si="978"/>
        <v>0</v>
      </c>
      <c r="T432">
        <f t="shared" si="979"/>
        <v>0</v>
      </c>
    </row>
    <row r="433" spans="1:20" x14ac:dyDescent="0.25">
      <c r="A433" s="5"/>
      <c r="C433"/>
      <c r="D433"/>
      <c r="P433">
        <f t="shared" si="975"/>
        <v>0</v>
      </c>
      <c r="Q433">
        <f t="shared" si="976"/>
        <v>0</v>
      </c>
      <c r="R433">
        <f t="shared" si="977"/>
        <v>0</v>
      </c>
      <c r="S433">
        <f t="shared" si="978"/>
        <v>0</v>
      </c>
      <c r="T433">
        <f t="shared" si="979"/>
        <v>0</v>
      </c>
    </row>
    <row r="434" spans="1:20" x14ac:dyDescent="0.25">
      <c r="A434" s="5"/>
      <c r="C434"/>
      <c r="D434"/>
      <c r="P434">
        <f t="shared" si="975"/>
        <v>0</v>
      </c>
      <c r="Q434">
        <f t="shared" si="976"/>
        <v>0</v>
      </c>
      <c r="R434">
        <f t="shared" si="977"/>
        <v>0</v>
      </c>
      <c r="S434">
        <f t="shared" si="978"/>
        <v>0</v>
      </c>
      <c r="T434">
        <f t="shared" si="979"/>
        <v>0</v>
      </c>
    </row>
    <row r="435" spans="1:20" x14ac:dyDescent="0.25">
      <c r="A435" s="5"/>
      <c r="C435"/>
      <c r="D435"/>
      <c r="P435">
        <f t="shared" si="975"/>
        <v>0</v>
      </c>
      <c r="Q435">
        <f t="shared" si="976"/>
        <v>0</v>
      </c>
      <c r="R435">
        <f t="shared" si="977"/>
        <v>0</v>
      </c>
      <c r="S435">
        <f t="shared" si="978"/>
        <v>0</v>
      </c>
      <c r="T435">
        <f t="shared" si="979"/>
        <v>0</v>
      </c>
    </row>
    <row r="436" spans="1:20" x14ac:dyDescent="0.25">
      <c r="A436" s="5"/>
      <c r="C436"/>
      <c r="D436"/>
      <c r="P436">
        <f t="shared" si="975"/>
        <v>0</v>
      </c>
      <c r="Q436">
        <f t="shared" si="976"/>
        <v>0</v>
      </c>
      <c r="R436">
        <f t="shared" si="977"/>
        <v>0</v>
      </c>
      <c r="S436">
        <f t="shared" si="978"/>
        <v>0</v>
      </c>
      <c r="T436">
        <f t="shared" si="979"/>
        <v>0</v>
      </c>
    </row>
    <row r="437" spans="1:20" x14ac:dyDescent="0.25">
      <c r="A437" s="5"/>
      <c r="C437"/>
      <c r="D437"/>
      <c r="P437">
        <f t="shared" si="975"/>
        <v>0</v>
      </c>
      <c r="Q437">
        <f t="shared" si="976"/>
        <v>0</v>
      </c>
      <c r="R437">
        <f t="shared" si="977"/>
        <v>0</v>
      </c>
      <c r="S437">
        <f t="shared" si="978"/>
        <v>0</v>
      </c>
      <c r="T437">
        <f t="shared" si="979"/>
        <v>0</v>
      </c>
    </row>
    <row r="438" spans="1:20" x14ac:dyDescent="0.25">
      <c r="A438" s="5"/>
      <c r="C438"/>
      <c r="D438"/>
      <c r="P438">
        <f t="shared" si="975"/>
        <v>0</v>
      </c>
      <c r="Q438">
        <f t="shared" si="976"/>
        <v>0</v>
      </c>
      <c r="R438">
        <f t="shared" si="977"/>
        <v>0</v>
      </c>
      <c r="S438">
        <f t="shared" si="978"/>
        <v>0</v>
      </c>
      <c r="T438">
        <f t="shared" si="979"/>
        <v>0</v>
      </c>
    </row>
    <row r="439" spans="1:20" x14ac:dyDescent="0.25">
      <c r="A439" s="5"/>
      <c r="C439"/>
      <c r="D439"/>
      <c r="P439">
        <f t="shared" si="975"/>
        <v>0</v>
      </c>
      <c r="Q439">
        <f t="shared" si="976"/>
        <v>0</v>
      </c>
      <c r="R439">
        <f t="shared" si="977"/>
        <v>0</v>
      </c>
      <c r="S439">
        <f t="shared" si="978"/>
        <v>0</v>
      </c>
      <c r="T439">
        <f t="shared" si="979"/>
        <v>0</v>
      </c>
    </row>
    <row r="440" spans="1:20" x14ac:dyDescent="0.25">
      <c r="A440" s="5"/>
      <c r="C440"/>
      <c r="D440"/>
      <c r="P440">
        <f t="shared" si="975"/>
        <v>0</v>
      </c>
      <c r="Q440">
        <f t="shared" si="976"/>
        <v>0</v>
      </c>
      <c r="R440">
        <f t="shared" si="977"/>
        <v>0</v>
      </c>
      <c r="S440">
        <f t="shared" si="978"/>
        <v>0</v>
      </c>
      <c r="T440">
        <f t="shared" si="979"/>
        <v>0</v>
      </c>
    </row>
    <row r="441" spans="1:20" x14ac:dyDescent="0.25">
      <c r="A441" s="5"/>
      <c r="C441"/>
      <c r="D441"/>
      <c r="P441">
        <f t="shared" si="975"/>
        <v>0</v>
      </c>
      <c r="Q441">
        <f t="shared" si="976"/>
        <v>0</v>
      </c>
      <c r="R441">
        <f t="shared" si="977"/>
        <v>0</v>
      </c>
      <c r="S441">
        <f t="shared" si="978"/>
        <v>0</v>
      </c>
      <c r="T441">
        <f t="shared" si="979"/>
        <v>0</v>
      </c>
    </row>
    <row r="442" spans="1:20" x14ac:dyDescent="0.25">
      <c r="A442" s="5"/>
      <c r="C442"/>
      <c r="D442"/>
      <c r="P442">
        <f t="shared" si="975"/>
        <v>0</v>
      </c>
      <c r="Q442">
        <f t="shared" si="976"/>
        <v>0</v>
      </c>
      <c r="R442">
        <f t="shared" si="977"/>
        <v>0</v>
      </c>
      <c r="S442">
        <f t="shared" si="978"/>
        <v>0</v>
      </c>
      <c r="T442">
        <f t="shared" si="979"/>
        <v>0</v>
      </c>
    </row>
    <row r="443" spans="1:20" x14ac:dyDescent="0.25">
      <c r="A443" s="5"/>
      <c r="C443"/>
      <c r="D443"/>
      <c r="P443">
        <f t="shared" si="975"/>
        <v>0</v>
      </c>
      <c r="Q443">
        <f t="shared" si="976"/>
        <v>0</v>
      </c>
      <c r="R443">
        <f t="shared" si="977"/>
        <v>0</v>
      </c>
      <c r="S443">
        <f t="shared" si="978"/>
        <v>0</v>
      </c>
      <c r="T443">
        <f t="shared" si="979"/>
        <v>0</v>
      </c>
    </row>
    <row r="444" spans="1:20" x14ac:dyDescent="0.25">
      <c r="A444" s="5"/>
      <c r="C444"/>
      <c r="D444"/>
      <c r="P444">
        <f t="shared" si="975"/>
        <v>0</v>
      </c>
      <c r="Q444">
        <f t="shared" si="976"/>
        <v>0</v>
      </c>
      <c r="R444">
        <f t="shared" si="977"/>
        <v>0</v>
      </c>
      <c r="S444">
        <f t="shared" si="978"/>
        <v>0</v>
      </c>
      <c r="T444">
        <f t="shared" si="979"/>
        <v>0</v>
      </c>
    </row>
    <row r="445" spans="1:20" x14ac:dyDescent="0.25">
      <c r="A445" s="5"/>
      <c r="C445"/>
      <c r="D445"/>
      <c r="P445">
        <f t="shared" si="975"/>
        <v>0</v>
      </c>
      <c r="Q445">
        <f t="shared" si="976"/>
        <v>0</v>
      </c>
      <c r="R445">
        <f t="shared" si="977"/>
        <v>0</v>
      </c>
      <c r="S445">
        <f t="shared" si="978"/>
        <v>0</v>
      </c>
      <c r="T445">
        <f t="shared" si="979"/>
        <v>0</v>
      </c>
    </row>
    <row r="446" spans="1:20" x14ac:dyDescent="0.25">
      <c r="A446" s="5"/>
      <c r="C446"/>
      <c r="D446"/>
      <c r="P446">
        <f t="shared" si="975"/>
        <v>0</v>
      </c>
      <c r="Q446">
        <f t="shared" si="976"/>
        <v>0</v>
      </c>
      <c r="R446">
        <f t="shared" si="977"/>
        <v>0</v>
      </c>
      <c r="S446">
        <f t="shared" si="978"/>
        <v>0</v>
      </c>
      <c r="T446">
        <f t="shared" si="979"/>
        <v>0</v>
      </c>
    </row>
    <row r="447" spans="1:20" x14ac:dyDescent="0.25">
      <c r="A447" s="5"/>
      <c r="C447"/>
      <c r="D447"/>
      <c r="P447">
        <f t="shared" si="975"/>
        <v>0</v>
      </c>
      <c r="Q447">
        <f t="shared" si="976"/>
        <v>0</v>
      </c>
      <c r="R447">
        <f t="shared" si="977"/>
        <v>0</v>
      </c>
      <c r="S447">
        <f t="shared" si="978"/>
        <v>0</v>
      </c>
      <c r="T447">
        <f t="shared" si="979"/>
        <v>0</v>
      </c>
    </row>
    <row r="448" spans="1:20" x14ac:dyDescent="0.25">
      <c r="A448" s="5"/>
      <c r="C448"/>
      <c r="D448"/>
      <c r="P448">
        <f t="shared" si="975"/>
        <v>0</v>
      </c>
      <c r="Q448">
        <f t="shared" si="976"/>
        <v>0</v>
      </c>
      <c r="R448">
        <f t="shared" si="977"/>
        <v>0</v>
      </c>
      <c r="S448">
        <f t="shared" si="978"/>
        <v>0</v>
      </c>
      <c r="T448">
        <f t="shared" si="979"/>
        <v>0</v>
      </c>
    </row>
    <row r="449" spans="1:20" x14ac:dyDescent="0.25">
      <c r="A449" s="5"/>
      <c r="C449"/>
      <c r="D449"/>
      <c r="P449">
        <f t="shared" si="975"/>
        <v>0</v>
      </c>
      <c r="Q449">
        <f t="shared" si="976"/>
        <v>0</v>
      </c>
      <c r="R449">
        <f t="shared" si="977"/>
        <v>0</v>
      </c>
      <c r="S449">
        <f t="shared" si="978"/>
        <v>0</v>
      </c>
      <c r="T449">
        <f t="shared" si="979"/>
        <v>0</v>
      </c>
    </row>
    <row r="450" spans="1:20" x14ac:dyDescent="0.25">
      <c r="A450" s="5"/>
      <c r="C450"/>
      <c r="D450"/>
      <c r="P450">
        <f t="shared" si="975"/>
        <v>0</v>
      </c>
      <c r="Q450">
        <f t="shared" si="976"/>
        <v>0</v>
      </c>
      <c r="R450">
        <f t="shared" si="977"/>
        <v>0</v>
      </c>
      <c r="S450">
        <f t="shared" si="978"/>
        <v>0</v>
      </c>
      <c r="T450">
        <f t="shared" si="979"/>
        <v>0</v>
      </c>
    </row>
    <row r="451" spans="1:20" x14ac:dyDescent="0.25">
      <c r="A451" s="5"/>
      <c r="C451"/>
      <c r="D451"/>
      <c r="P451">
        <f t="shared" si="975"/>
        <v>0</v>
      </c>
      <c r="Q451">
        <f t="shared" si="976"/>
        <v>0</v>
      </c>
      <c r="R451">
        <f t="shared" si="977"/>
        <v>0</v>
      </c>
      <c r="S451">
        <f t="shared" si="978"/>
        <v>0</v>
      </c>
      <c r="T451">
        <f t="shared" si="979"/>
        <v>0</v>
      </c>
    </row>
    <row r="452" spans="1:20" x14ac:dyDescent="0.25">
      <c r="A452" s="5"/>
      <c r="C452"/>
      <c r="D452"/>
      <c r="P452">
        <f t="shared" si="975"/>
        <v>0</v>
      </c>
      <c r="Q452">
        <f t="shared" si="976"/>
        <v>0</v>
      </c>
      <c r="R452">
        <f t="shared" si="977"/>
        <v>0</v>
      </c>
      <c r="S452">
        <f t="shared" si="978"/>
        <v>0</v>
      </c>
      <c r="T452">
        <f t="shared" si="979"/>
        <v>0</v>
      </c>
    </row>
    <row r="453" spans="1:20" x14ac:dyDescent="0.25">
      <c r="A453" s="5"/>
      <c r="C453"/>
      <c r="D453"/>
      <c r="P453">
        <f t="shared" si="975"/>
        <v>0</v>
      </c>
      <c r="Q453">
        <f t="shared" si="976"/>
        <v>0</v>
      </c>
      <c r="R453">
        <f t="shared" si="977"/>
        <v>0</v>
      </c>
      <c r="S453">
        <f t="shared" si="978"/>
        <v>0</v>
      </c>
      <c r="T453">
        <f t="shared" si="979"/>
        <v>0</v>
      </c>
    </row>
    <row r="454" spans="1:20" x14ac:dyDescent="0.25">
      <c r="A454" s="5"/>
      <c r="C454"/>
      <c r="D454"/>
      <c r="P454">
        <f t="shared" ref="P454:P517" si="980">IF(C454=D454,0,((E454-D454)-(C454-E454))/(C454-D454))</f>
        <v>0</v>
      </c>
      <c r="Q454">
        <f t="shared" ref="Q454:Q517" si="981">F454*P454</f>
        <v>0</v>
      </c>
      <c r="R454">
        <f t="shared" ref="R454:R517" si="982">R455+Q454</f>
        <v>0</v>
      </c>
      <c r="S454">
        <f t="shared" ref="S454:S517" si="983">R454/100000</f>
        <v>0</v>
      </c>
      <c r="T454">
        <f t="shared" ref="T454:T517" si="984">S454/1000</f>
        <v>0</v>
      </c>
    </row>
    <row r="455" spans="1:20" x14ac:dyDescent="0.25">
      <c r="A455" s="5"/>
      <c r="C455"/>
      <c r="D455"/>
      <c r="P455">
        <f t="shared" si="980"/>
        <v>0</v>
      </c>
      <c r="Q455">
        <f t="shared" si="981"/>
        <v>0</v>
      </c>
      <c r="R455">
        <f t="shared" si="982"/>
        <v>0</v>
      </c>
      <c r="S455">
        <f t="shared" si="983"/>
        <v>0</v>
      </c>
      <c r="T455">
        <f t="shared" si="984"/>
        <v>0</v>
      </c>
    </row>
    <row r="456" spans="1:20" x14ac:dyDescent="0.25">
      <c r="A456" s="5"/>
      <c r="C456"/>
      <c r="D456"/>
      <c r="P456">
        <f t="shared" si="980"/>
        <v>0</v>
      </c>
      <c r="Q456">
        <f t="shared" si="981"/>
        <v>0</v>
      </c>
      <c r="R456">
        <f t="shared" si="982"/>
        <v>0</v>
      </c>
      <c r="S456">
        <f t="shared" si="983"/>
        <v>0</v>
      </c>
      <c r="T456">
        <f t="shared" si="984"/>
        <v>0</v>
      </c>
    </row>
    <row r="457" spans="1:20" x14ac:dyDescent="0.25">
      <c r="A457" s="5"/>
      <c r="C457"/>
      <c r="D457"/>
      <c r="P457">
        <f t="shared" si="980"/>
        <v>0</v>
      </c>
      <c r="Q457">
        <f t="shared" si="981"/>
        <v>0</v>
      </c>
      <c r="R457">
        <f t="shared" si="982"/>
        <v>0</v>
      </c>
      <c r="S457">
        <f t="shared" si="983"/>
        <v>0</v>
      </c>
      <c r="T457">
        <f t="shared" si="984"/>
        <v>0</v>
      </c>
    </row>
    <row r="458" spans="1:20" x14ac:dyDescent="0.25">
      <c r="A458" s="5"/>
      <c r="C458"/>
      <c r="D458"/>
      <c r="P458">
        <f t="shared" si="980"/>
        <v>0</v>
      </c>
      <c r="Q458">
        <f t="shared" si="981"/>
        <v>0</v>
      </c>
      <c r="R458">
        <f t="shared" si="982"/>
        <v>0</v>
      </c>
      <c r="S458">
        <f t="shared" si="983"/>
        <v>0</v>
      </c>
      <c r="T458">
        <f t="shared" si="984"/>
        <v>0</v>
      </c>
    </row>
    <row r="459" spans="1:20" x14ac:dyDescent="0.25">
      <c r="A459" s="5"/>
      <c r="C459"/>
      <c r="D459"/>
      <c r="P459">
        <f t="shared" si="980"/>
        <v>0</v>
      </c>
      <c r="Q459">
        <f t="shared" si="981"/>
        <v>0</v>
      </c>
      <c r="R459">
        <f t="shared" si="982"/>
        <v>0</v>
      </c>
      <c r="S459">
        <f t="shared" si="983"/>
        <v>0</v>
      </c>
      <c r="T459">
        <f t="shared" si="984"/>
        <v>0</v>
      </c>
    </row>
    <row r="460" spans="1:20" x14ac:dyDescent="0.25">
      <c r="A460" s="5"/>
      <c r="C460"/>
      <c r="D460"/>
      <c r="P460">
        <f t="shared" si="980"/>
        <v>0</v>
      </c>
      <c r="Q460">
        <f t="shared" si="981"/>
        <v>0</v>
      </c>
      <c r="R460">
        <f t="shared" si="982"/>
        <v>0</v>
      </c>
      <c r="S460">
        <f t="shared" si="983"/>
        <v>0</v>
      </c>
      <c r="T460">
        <f t="shared" si="984"/>
        <v>0</v>
      </c>
    </row>
    <row r="461" spans="1:20" x14ac:dyDescent="0.25">
      <c r="A461" s="5"/>
      <c r="C461"/>
      <c r="D461"/>
      <c r="P461">
        <f t="shared" si="980"/>
        <v>0</v>
      </c>
      <c r="Q461">
        <f t="shared" si="981"/>
        <v>0</v>
      </c>
      <c r="R461">
        <f t="shared" si="982"/>
        <v>0</v>
      </c>
      <c r="S461">
        <f t="shared" si="983"/>
        <v>0</v>
      </c>
      <c r="T461">
        <f t="shared" si="984"/>
        <v>0</v>
      </c>
    </row>
    <row r="462" spans="1:20" x14ac:dyDescent="0.25">
      <c r="A462" s="5"/>
      <c r="C462"/>
      <c r="D462"/>
      <c r="P462">
        <f t="shared" si="980"/>
        <v>0</v>
      </c>
      <c r="Q462">
        <f t="shared" si="981"/>
        <v>0</v>
      </c>
      <c r="R462">
        <f t="shared" si="982"/>
        <v>0</v>
      </c>
      <c r="S462">
        <f t="shared" si="983"/>
        <v>0</v>
      </c>
      <c r="T462">
        <f t="shared" si="984"/>
        <v>0</v>
      </c>
    </row>
    <row r="463" spans="1:20" x14ac:dyDescent="0.25">
      <c r="A463" s="5"/>
      <c r="C463"/>
      <c r="D463"/>
      <c r="P463">
        <f t="shared" si="980"/>
        <v>0</v>
      </c>
      <c r="Q463">
        <f t="shared" si="981"/>
        <v>0</v>
      </c>
      <c r="R463">
        <f t="shared" si="982"/>
        <v>0</v>
      </c>
      <c r="S463">
        <f t="shared" si="983"/>
        <v>0</v>
      </c>
      <c r="T463">
        <f t="shared" si="984"/>
        <v>0</v>
      </c>
    </row>
    <row r="464" spans="1:20" x14ac:dyDescent="0.25">
      <c r="A464" s="5"/>
      <c r="C464"/>
      <c r="D464"/>
      <c r="P464">
        <f t="shared" si="980"/>
        <v>0</v>
      </c>
      <c r="Q464">
        <f t="shared" si="981"/>
        <v>0</v>
      </c>
      <c r="R464">
        <f t="shared" si="982"/>
        <v>0</v>
      </c>
      <c r="S464">
        <f t="shared" si="983"/>
        <v>0</v>
      </c>
      <c r="T464">
        <f t="shared" si="984"/>
        <v>0</v>
      </c>
    </row>
    <row r="465" spans="1:20" x14ac:dyDescent="0.25">
      <c r="A465" s="5"/>
      <c r="C465"/>
      <c r="D465"/>
      <c r="P465">
        <f t="shared" si="980"/>
        <v>0</v>
      </c>
      <c r="Q465">
        <f t="shared" si="981"/>
        <v>0</v>
      </c>
      <c r="R465">
        <f t="shared" si="982"/>
        <v>0</v>
      </c>
      <c r="S465">
        <f t="shared" si="983"/>
        <v>0</v>
      </c>
      <c r="T465">
        <f t="shared" si="984"/>
        <v>0</v>
      </c>
    </row>
    <row r="466" spans="1:20" x14ac:dyDescent="0.25">
      <c r="A466" s="5"/>
      <c r="C466"/>
      <c r="D466"/>
      <c r="P466">
        <f t="shared" si="980"/>
        <v>0</v>
      </c>
      <c r="Q466">
        <f t="shared" si="981"/>
        <v>0</v>
      </c>
      <c r="R466">
        <f t="shared" si="982"/>
        <v>0</v>
      </c>
      <c r="S466">
        <f t="shared" si="983"/>
        <v>0</v>
      </c>
      <c r="T466">
        <f t="shared" si="984"/>
        <v>0</v>
      </c>
    </row>
    <row r="467" spans="1:20" x14ac:dyDescent="0.25">
      <c r="A467" s="5"/>
      <c r="C467"/>
      <c r="D467"/>
      <c r="P467">
        <f t="shared" si="980"/>
        <v>0</v>
      </c>
      <c r="Q467">
        <f t="shared" si="981"/>
        <v>0</v>
      </c>
      <c r="R467">
        <f t="shared" si="982"/>
        <v>0</v>
      </c>
      <c r="S467">
        <f t="shared" si="983"/>
        <v>0</v>
      </c>
      <c r="T467">
        <f t="shared" si="984"/>
        <v>0</v>
      </c>
    </row>
    <row r="468" spans="1:20" x14ac:dyDescent="0.25">
      <c r="A468" s="5"/>
      <c r="C468"/>
      <c r="D468"/>
      <c r="P468">
        <f t="shared" si="980"/>
        <v>0</v>
      </c>
      <c r="Q468">
        <f t="shared" si="981"/>
        <v>0</v>
      </c>
      <c r="R468">
        <f t="shared" si="982"/>
        <v>0</v>
      </c>
      <c r="S468">
        <f t="shared" si="983"/>
        <v>0</v>
      </c>
      <c r="T468">
        <f t="shared" si="984"/>
        <v>0</v>
      </c>
    </row>
    <row r="469" spans="1:20" x14ac:dyDescent="0.25">
      <c r="A469" s="5"/>
      <c r="C469"/>
      <c r="D469"/>
      <c r="P469">
        <f t="shared" si="980"/>
        <v>0</v>
      </c>
      <c r="Q469">
        <f t="shared" si="981"/>
        <v>0</v>
      </c>
      <c r="R469">
        <f t="shared" si="982"/>
        <v>0</v>
      </c>
      <c r="S469">
        <f t="shared" si="983"/>
        <v>0</v>
      </c>
      <c r="T469">
        <f t="shared" si="984"/>
        <v>0</v>
      </c>
    </row>
    <row r="470" spans="1:20" x14ac:dyDescent="0.25">
      <c r="A470" s="5"/>
      <c r="C470"/>
      <c r="D470"/>
      <c r="P470">
        <f t="shared" si="980"/>
        <v>0</v>
      </c>
      <c r="Q470">
        <f t="shared" si="981"/>
        <v>0</v>
      </c>
      <c r="R470">
        <f t="shared" si="982"/>
        <v>0</v>
      </c>
      <c r="S470">
        <f t="shared" si="983"/>
        <v>0</v>
      </c>
      <c r="T470">
        <f t="shared" si="984"/>
        <v>0</v>
      </c>
    </row>
    <row r="471" spans="1:20" x14ac:dyDescent="0.25">
      <c r="A471" s="5"/>
      <c r="C471"/>
      <c r="D471"/>
      <c r="P471">
        <f t="shared" si="980"/>
        <v>0</v>
      </c>
      <c r="Q471">
        <f t="shared" si="981"/>
        <v>0</v>
      </c>
      <c r="R471">
        <f t="shared" si="982"/>
        <v>0</v>
      </c>
      <c r="S471">
        <f t="shared" si="983"/>
        <v>0</v>
      </c>
      <c r="T471">
        <f t="shared" si="984"/>
        <v>0</v>
      </c>
    </row>
    <row r="472" spans="1:20" x14ac:dyDescent="0.25">
      <c r="A472" s="5"/>
      <c r="C472"/>
      <c r="D472"/>
      <c r="P472">
        <f t="shared" si="980"/>
        <v>0</v>
      </c>
      <c r="Q472">
        <f t="shared" si="981"/>
        <v>0</v>
      </c>
      <c r="R472">
        <f t="shared" si="982"/>
        <v>0</v>
      </c>
      <c r="S472">
        <f t="shared" si="983"/>
        <v>0</v>
      </c>
      <c r="T472">
        <f t="shared" si="984"/>
        <v>0</v>
      </c>
    </row>
    <row r="473" spans="1:20" x14ac:dyDescent="0.25">
      <c r="A473" s="5"/>
      <c r="C473"/>
      <c r="D473"/>
      <c r="P473">
        <f t="shared" si="980"/>
        <v>0</v>
      </c>
      <c r="Q473">
        <f t="shared" si="981"/>
        <v>0</v>
      </c>
      <c r="R473">
        <f t="shared" si="982"/>
        <v>0</v>
      </c>
      <c r="S473">
        <f t="shared" si="983"/>
        <v>0</v>
      </c>
      <c r="T473">
        <f t="shared" si="984"/>
        <v>0</v>
      </c>
    </row>
    <row r="474" spans="1:20" x14ac:dyDescent="0.25">
      <c r="A474" s="5"/>
      <c r="C474"/>
      <c r="D474"/>
      <c r="P474">
        <f t="shared" si="980"/>
        <v>0</v>
      </c>
      <c r="Q474">
        <f t="shared" si="981"/>
        <v>0</v>
      </c>
      <c r="R474">
        <f t="shared" si="982"/>
        <v>0</v>
      </c>
      <c r="S474">
        <f t="shared" si="983"/>
        <v>0</v>
      </c>
      <c r="T474">
        <f t="shared" si="984"/>
        <v>0</v>
      </c>
    </row>
    <row r="475" spans="1:20" x14ac:dyDescent="0.25">
      <c r="A475" s="5"/>
      <c r="C475"/>
      <c r="D475"/>
      <c r="P475">
        <f t="shared" si="980"/>
        <v>0</v>
      </c>
      <c r="Q475">
        <f t="shared" si="981"/>
        <v>0</v>
      </c>
      <c r="R475">
        <f t="shared" si="982"/>
        <v>0</v>
      </c>
      <c r="S475">
        <f t="shared" si="983"/>
        <v>0</v>
      </c>
      <c r="T475">
        <f t="shared" si="984"/>
        <v>0</v>
      </c>
    </row>
    <row r="476" spans="1:20" x14ac:dyDescent="0.25">
      <c r="A476" s="5"/>
      <c r="C476"/>
      <c r="D476"/>
      <c r="P476">
        <f t="shared" si="980"/>
        <v>0</v>
      </c>
      <c r="Q476">
        <f t="shared" si="981"/>
        <v>0</v>
      </c>
      <c r="R476">
        <f t="shared" si="982"/>
        <v>0</v>
      </c>
      <c r="S476">
        <f t="shared" si="983"/>
        <v>0</v>
      </c>
      <c r="T476">
        <f t="shared" si="984"/>
        <v>0</v>
      </c>
    </row>
    <row r="477" spans="1:20" x14ac:dyDescent="0.25">
      <c r="A477" s="5"/>
      <c r="C477"/>
      <c r="D477"/>
      <c r="P477">
        <f t="shared" si="980"/>
        <v>0</v>
      </c>
      <c r="Q477">
        <f t="shared" si="981"/>
        <v>0</v>
      </c>
      <c r="R477">
        <f t="shared" si="982"/>
        <v>0</v>
      </c>
      <c r="S477">
        <f t="shared" si="983"/>
        <v>0</v>
      </c>
      <c r="T477">
        <f t="shared" si="984"/>
        <v>0</v>
      </c>
    </row>
    <row r="478" spans="1:20" x14ac:dyDescent="0.25">
      <c r="A478" s="5"/>
      <c r="C478"/>
      <c r="D478"/>
      <c r="P478">
        <f t="shared" si="980"/>
        <v>0</v>
      </c>
      <c r="Q478">
        <f t="shared" si="981"/>
        <v>0</v>
      </c>
      <c r="R478">
        <f t="shared" si="982"/>
        <v>0</v>
      </c>
      <c r="S478">
        <f t="shared" si="983"/>
        <v>0</v>
      </c>
      <c r="T478">
        <f t="shared" si="984"/>
        <v>0</v>
      </c>
    </row>
    <row r="479" spans="1:20" x14ac:dyDescent="0.25">
      <c r="A479" s="5"/>
      <c r="C479"/>
      <c r="D479"/>
      <c r="P479">
        <f t="shared" si="980"/>
        <v>0</v>
      </c>
      <c r="Q479">
        <f t="shared" si="981"/>
        <v>0</v>
      </c>
      <c r="R479">
        <f t="shared" si="982"/>
        <v>0</v>
      </c>
      <c r="S479">
        <f t="shared" si="983"/>
        <v>0</v>
      </c>
      <c r="T479">
        <f t="shared" si="984"/>
        <v>0</v>
      </c>
    </row>
    <row r="480" spans="1:20" x14ac:dyDescent="0.25">
      <c r="A480" s="5"/>
      <c r="C480"/>
      <c r="D480"/>
      <c r="P480">
        <f t="shared" si="980"/>
        <v>0</v>
      </c>
      <c r="Q480">
        <f t="shared" si="981"/>
        <v>0</v>
      </c>
      <c r="R480">
        <f t="shared" si="982"/>
        <v>0</v>
      </c>
      <c r="S480">
        <f t="shared" si="983"/>
        <v>0</v>
      </c>
      <c r="T480">
        <f t="shared" si="984"/>
        <v>0</v>
      </c>
    </row>
    <row r="481" spans="1:20" x14ac:dyDescent="0.25">
      <c r="A481" s="5"/>
      <c r="C481"/>
      <c r="D481"/>
      <c r="P481">
        <f t="shared" si="980"/>
        <v>0</v>
      </c>
      <c r="Q481">
        <f t="shared" si="981"/>
        <v>0</v>
      </c>
      <c r="R481">
        <f t="shared" si="982"/>
        <v>0</v>
      </c>
      <c r="S481">
        <f t="shared" si="983"/>
        <v>0</v>
      </c>
      <c r="T481">
        <f t="shared" si="984"/>
        <v>0</v>
      </c>
    </row>
    <row r="482" spans="1:20" x14ac:dyDescent="0.25">
      <c r="A482" s="5"/>
      <c r="C482"/>
      <c r="D482"/>
      <c r="P482">
        <f t="shared" si="980"/>
        <v>0</v>
      </c>
      <c r="Q482">
        <f t="shared" si="981"/>
        <v>0</v>
      </c>
      <c r="R482">
        <f t="shared" si="982"/>
        <v>0</v>
      </c>
      <c r="S482">
        <f t="shared" si="983"/>
        <v>0</v>
      </c>
      <c r="T482">
        <f t="shared" si="984"/>
        <v>0</v>
      </c>
    </row>
    <row r="483" spans="1:20" x14ac:dyDescent="0.25">
      <c r="A483" s="5"/>
      <c r="C483"/>
      <c r="D483"/>
      <c r="P483">
        <f t="shared" si="980"/>
        <v>0</v>
      </c>
      <c r="Q483">
        <f t="shared" si="981"/>
        <v>0</v>
      </c>
      <c r="R483">
        <f t="shared" si="982"/>
        <v>0</v>
      </c>
      <c r="S483">
        <f t="shared" si="983"/>
        <v>0</v>
      </c>
      <c r="T483">
        <f t="shared" si="984"/>
        <v>0</v>
      </c>
    </row>
    <row r="484" spans="1:20" x14ac:dyDescent="0.25">
      <c r="A484" s="5"/>
      <c r="C484"/>
      <c r="D484"/>
      <c r="P484">
        <f t="shared" si="980"/>
        <v>0</v>
      </c>
      <c r="Q484">
        <f t="shared" si="981"/>
        <v>0</v>
      </c>
      <c r="R484">
        <f t="shared" si="982"/>
        <v>0</v>
      </c>
      <c r="S484">
        <f t="shared" si="983"/>
        <v>0</v>
      </c>
      <c r="T484">
        <f t="shared" si="984"/>
        <v>0</v>
      </c>
    </row>
    <row r="485" spans="1:20" x14ac:dyDescent="0.25">
      <c r="A485" s="5"/>
      <c r="C485"/>
      <c r="D485"/>
      <c r="P485">
        <f t="shared" si="980"/>
        <v>0</v>
      </c>
      <c r="Q485">
        <f t="shared" si="981"/>
        <v>0</v>
      </c>
      <c r="R485">
        <f t="shared" si="982"/>
        <v>0</v>
      </c>
      <c r="S485">
        <f t="shared" si="983"/>
        <v>0</v>
      </c>
      <c r="T485">
        <f t="shared" si="984"/>
        <v>0</v>
      </c>
    </row>
    <row r="486" spans="1:20" x14ac:dyDescent="0.25">
      <c r="A486" s="5"/>
      <c r="C486"/>
      <c r="D486"/>
      <c r="P486">
        <f t="shared" si="980"/>
        <v>0</v>
      </c>
      <c r="Q486">
        <f t="shared" si="981"/>
        <v>0</v>
      </c>
      <c r="R486">
        <f t="shared" si="982"/>
        <v>0</v>
      </c>
      <c r="S486">
        <f t="shared" si="983"/>
        <v>0</v>
      </c>
      <c r="T486">
        <f t="shared" si="984"/>
        <v>0</v>
      </c>
    </row>
    <row r="487" spans="1:20" x14ac:dyDescent="0.25">
      <c r="A487" s="5"/>
      <c r="C487"/>
      <c r="D487"/>
      <c r="P487">
        <f t="shared" si="980"/>
        <v>0</v>
      </c>
      <c r="Q487">
        <f t="shared" si="981"/>
        <v>0</v>
      </c>
      <c r="R487">
        <f t="shared" si="982"/>
        <v>0</v>
      </c>
      <c r="S487">
        <f t="shared" si="983"/>
        <v>0</v>
      </c>
      <c r="T487">
        <f t="shared" si="984"/>
        <v>0</v>
      </c>
    </row>
    <row r="488" spans="1:20" x14ac:dyDescent="0.25">
      <c r="A488" s="5"/>
      <c r="C488"/>
      <c r="D488"/>
      <c r="P488">
        <f t="shared" si="980"/>
        <v>0</v>
      </c>
      <c r="Q488">
        <f t="shared" si="981"/>
        <v>0</v>
      </c>
      <c r="R488">
        <f t="shared" si="982"/>
        <v>0</v>
      </c>
      <c r="S488">
        <f t="shared" si="983"/>
        <v>0</v>
      </c>
      <c r="T488">
        <f t="shared" si="984"/>
        <v>0</v>
      </c>
    </row>
    <row r="489" spans="1:20" x14ac:dyDescent="0.25">
      <c r="A489" s="5"/>
      <c r="C489"/>
      <c r="D489"/>
      <c r="P489">
        <f t="shared" si="980"/>
        <v>0</v>
      </c>
      <c r="Q489">
        <f t="shared" si="981"/>
        <v>0</v>
      </c>
      <c r="R489">
        <f t="shared" si="982"/>
        <v>0</v>
      </c>
      <c r="S489">
        <f t="shared" si="983"/>
        <v>0</v>
      </c>
      <c r="T489">
        <f t="shared" si="984"/>
        <v>0</v>
      </c>
    </row>
    <row r="490" spans="1:20" x14ac:dyDescent="0.25">
      <c r="A490" s="5"/>
      <c r="C490"/>
      <c r="D490"/>
      <c r="P490">
        <f t="shared" si="980"/>
        <v>0</v>
      </c>
      <c r="Q490">
        <f t="shared" si="981"/>
        <v>0</v>
      </c>
      <c r="R490">
        <f t="shared" si="982"/>
        <v>0</v>
      </c>
      <c r="S490">
        <f t="shared" si="983"/>
        <v>0</v>
      </c>
      <c r="T490">
        <f t="shared" si="984"/>
        <v>0</v>
      </c>
    </row>
    <row r="491" spans="1:20" x14ac:dyDescent="0.25">
      <c r="A491" s="5"/>
      <c r="C491"/>
      <c r="D491"/>
      <c r="P491">
        <f t="shared" si="980"/>
        <v>0</v>
      </c>
      <c r="Q491">
        <f t="shared" si="981"/>
        <v>0</v>
      </c>
      <c r="R491">
        <f t="shared" si="982"/>
        <v>0</v>
      </c>
      <c r="S491">
        <f t="shared" si="983"/>
        <v>0</v>
      </c>
      <c r="T491">
        <f t="shared" si="984"/>
        <v>0</v>
      </c>
    </row>
    <row r="492" spans="1:20" x14ac:dyDescent="0.25">
      <c r="A492" s="5"/>
      <c r="C492"/>
      <c r="D492"/>
      <c r="P492">
        <f t="shared" si="980"/>
        <v>0</v>
      </c>
      <c r="Q492">
        <f t="shared" si="981"/>
        <v>0</v>
      </c>
      <c r="R492">
        <f t="shared" si="982"/>
        <v>0</v>
      </c>
      <c r="S492">
        <f t="shared" si="983"/>
        <v>0</v>
      </c>
      <c r="T492">
        <f t="shared" si="984"/>
        <v>0</v>
      </c>
    </row>
    <row r="493" spans="1:20" x14ac:dyDescent="0.25">
      <c r="A493" s="5"/>
      <c r="C493"/>
      <c r="D493"/>
      <c r="P493">
        <f t="shared" si="980"/>
        <v>0</v>
      </c>
      <c r="Q493">
        <f t="shared" si="981"/>
        <v>0</v>
      </c>
      <c r="R493">
        <f t="shared" si="982"/>
        <v>0</v>
      </c>
      <c r="S493">
        <f t="shared" si="983"/>
        <v>0</v>
      </c>
      <c r="T493">
        <f t="shared" si="984"/>
        <v>0</v>
      </c>
    </row>
    <row r="494" spans="1:20" x14ac:dyDescent="0.25">
      <c r="A494" s="5"/>
      <c r="C494"/>
      <c r="D494"/>
      <c r="P494">
        <f t="shared" si="980"/>
        <v>0</v>
      </c>
      <c r="Q494">
        <f t="shared" si="981"/>
        <v>0</v>
      </c>
      <c r="R494">
        <f t="shared" si="982"/>
        <v>0</v>
      </c>
      <c r="S494">
        <f t="shared" si="983"/>
        <v>0</v>
      </c>
      <c r="T494">
        <f t="shared" si="984"/>
        <v>0</v>
      </c>
    </row>
    <row r="495" spans="1:20" x14ac:dyDescent="0.25">
      <c r="A495" s="5"/>
      <c r="C495"/>
      <c r="D495"/>
      <c r="P495">
        <f t="shared" si="980"/>
        <v>0</v>
      </c>
      <c r="Q495">
        <f t="shared" si="981"/>
        <v>0</v>
      </c>
      <c r="R495">
        <f t="shared" si="982"/>
        <v>0</v>
      </c>
      <c r="S495">
        <f t="shared" si="983"/>
        <v>0</v>
      </c>
      <c r="T495">
        <f t="shared" si="984"/>
        <v>0</v>
      </c>
    </row>
    <row r="496" spans="1:20" x14ac:dyDescent="0.25">
      <c r="A496" s="5"/>
      <c r="C496"/>
      <c r="D496"/>
      <c r="P496">
        <f t="shared" si="980"/>
        <v>0</v>
      </c>
      <c r="Q496">
        <f t="shared" si="981"/>
        <v>0</v>
      </c>
      <c r="R496">
        <f t="shared" si="982"/>
        <v>0</v>
      </c>
      <c r="S496">
        <f t="shared" si="983"/>
        <v>0</v>
      </c>
      <c r="T496">
        <f t="shared" si="984"/>
        <v>0</v>
      </c>
    </row>
    <row r="497" spans="1:20" x14ac:dyDescent="0.25">
      <c r="A497" s="5"/>
      <c r="C497"/>
      <c r="D497"/>
      <c r="P497">
        <f t="shared" si="980"/>
        <v>0</v>
      </c>
      <c r="Q497">
        <f t="shared" si="981"/>
        <v>0</v>
      </c>
      <c r="R497">
        <f t="shared" si="982"/>
        <v>0</v>
      </c>
      <c r="S497">
        <f t="shared" si="983"/>
        <v>0</v>
      </c>
      <c r="T497">
        <f t="shared" si="984"/>
        <v>0</v>
      </c>
    </row>
    <row r="498" spans="1:20" x14ac:dyDescent="0.25">
      <c r="A498" s="5"/>
      <c r="C498"/>
      <c r="D498"/>
      <c r="P498">
        <f t="shared" si="980"/>
        <v>0</v>
      </c>
      <c r="Q498">
        <f t="shared" si="981"/>
        <v>0</v>
      </c>
      <c r="R498">
        <f t="shared" si="982"/>
        <v>0</v>
      </c>
      <c r="S498">
        <f t="shared" si="983"/>
        <v>0</v>
      </c>
      <c r="T498">
        <f t="shared" si="984"/>
        <v>0</v>
      </c>
    </row>
    <row r="499" spans="1:20" x14ac:dyDescent="0.25">
      <c r="A499" s="5"/>
      <c r="C499"/>
      <c r="D499"/>
      <c r="P499">
        <f t="shared" si="980"/>
        <v>0</v>
      </c>
      <c r="Q499">
        <f t="shared" si="981"/>
        <v>0</v>
      </c>
      <c r="R499">
        <f t="shared" si="982"/>
        <v>0</v>
      </c>
      <c r="S499">
        <f t="shared" si="983"/>
        <v>0</v>
      </c>
      <c r="T499">
        <f t="shared" si="984"/>
        <v>0</v>
      </c>
    </row>
    <row r="500" spans="1:20" x14ac:dyDescent="0.25">
      <c r="A500" s="5"/>
      <c r="C500"/>
      <c r="D500"/>
      <c r="P500">
        <f t="shared" si="980"/>
        <v>0</v>
      </c>
      <c r="Q500">
        <f t="shared" si="981"/>
        <v>0</v>
      </c>
      <c r="R500">
        <f t="shared" si="982"/>
        <v>0</v>
      </c>
      <c r="S500">
        <f t="shared" si="983"/>
        <v>0</v>
      </c>
      <c r="T500">
        <f t="shared" si="984"/>
        <v>0</v>
      </c>
    </row>
    <row r="501" spans="1:20" x14ac:dyDescent="0.25">
      <c r="A501" s="5"/>
      <c r="C501"/>
      <c r="D501"/>
      <c r="P501">
        <f t="shared" si="980"/>
        <v>0</v>
      </c>
      <c r="Q501">
        <f t="shared" si="981"/>
        <v>0</v>
      </c>
      <c r="R501">
        <f t="shared" si="982"/>
        <v>0</v>
      </c>
      <c r="S501">
        <f t="shared" si="983"/>
        <v>0</v>
      </c>
      <c r="T501">
        <f t="shared" si="984"/>
        <v>0</v>
      </c>
    </row>
    <row r="502" spans="1:20" x14ac:dyDescent="0.25">
      <c r="A502" s="5"/>
      <c r="C502"/>
      <c r="D502"/>
      <c r="P502">
        <f t="shared" si="980"/>
        <v>0</v>
      </c>
      <c r="Q502">
        <f t="shared" si="981"/>
        <v>0</v>
      </c>
      <c r="R502">
        <f t="shared" si="982"/>
        <v>0</v>
      </c>
      <c r="S502">
        <f t="shared" si="983"/>
        <v>0</v>
      </c>
      <c r="T502">
        <f t="shared" si="984"/>
        <v>0</v>
      </c>
    </row>
    <row r="503" spans="1:20" x14ac:dyDescent="0.25">
      <c r="A503" s="5"/>
      <c r="C503"/>
      <c r="D503"/>
      <c r="P503">
        <f t="shared" si="980"/>
        <v>0</v>
      </c>
      <c r="Q503">
        <f t="shared" si="981"/>
        <v>0</v>
      </c>
      <c r="R503">
        <f t="shared" si="982"/>
        <v>0</v>
      </c>
      <c r="S503">
        <f t="shared" si="983"/>
        <v>0</v>
      </c>
      <c r="T503">
        <f t="shared" si="984"/>
        <v>0</v>
      </c>
    </row>
    <row r="504" spans="1:20" x14ac:dyDescent="0.25">
      <c r="A504" s="5"/>
      <c r="C504"/>
      <c r="D504"/>
      <c r="P504">
        <f t="shared" si="980"/>
        <v>0</v>
      </c>
      <c r="Q504">
        <f t="shared" si="981"/>
        <v>0</v>
      </c>
      <c r="R504">
        <f t="shared" si="982"/>
        <v>0</v>
      </c>
      <c r="S504">
        <f t="shared" si="983"/>
        <v>0</v>
      </c>
      <c r="T504">
        <f t="shared" si="984"/>
        <v>0</v>
      </c>
    </row>
    <row r="505" spans="1:20" x14ac:dyDescent="0.25">
      <c r="A505" s="5"/>
      <c r="C505"/>
      <c r="D505"/>
      <c r="P505">
        <f t="shared" si="980"/>
        <v>0</v>
      </c>
      <c r="Q505">
        <f t="shared" si="981"/>
        <v>0</v>
      </c>
      <c r="R505">
        <f t="shared" si="982"/>
        <v>0</v>
      </c>
      <c r="S505">
        <f t="shared" si="983"/>
        <v>0</v>
      </c>
      <c r="T505">
        <f t="shared" si="984"/>
        <v>0</v>
      </c>
    </row>
    <row r="506" spans="1:20" x14ac:dyDescent="0.25">
      <c r="A506" s="5"/>
      <c r="C506"/>
      <c r="D506"/>
      <c r="P506">
        <f t="shared" si="980"/>
        <v>0</v>
      </c>
      <c r="Q506">
        <f t="shared" si="981"/>
        <v>0</v>
      </c>
      <c r="R506">
        <f t="shared" si="982"/>
        <v>0</v>
      </c>
      <c r="S506">
        <f t="shared" si="983"/>
        <v>0</v>
      </c>
      <c r="T506">
        <f t="shared" si="984"/>
        <v>0</v>
      </c>
    </row>
    <row r="507" spans="1:20" x14ac:dyDescent="0.25">
      <c r="A507" s="5"/>
      <c r="C507"/>
      <c r="D507"/>
      <c r="P507">
        <f t="shared" si="980"/>
        <v>0</v>
      </c>
      <c r="Q507">
        <f t="shared" si="981"/>
        <v>0</v>
      </c>
      <c r="R507">
        <f t="shared" si="982"/>
        <v>0</v>
      </c>
      <c r="S507">
        <f t="shared" si="983"/>
        <v>0</v>
      </c>
      <c r="T507">
        <f t="shared" si="984"/>
        <v>0</v>
      </c>
    </row>
    <row r="508" spans="1:20" x14ac:dyDescent="0.25">
      <c r="A508" s="5"/>
      <c r="C508"/>
      <c r="D508"/>
      <c r="P508">
        <f t="shared" si="980"/>
        <v>0</v>
      </c>
      <c r="Q508">
        <f t="shared" si="981"/>
        <v>0</v>
      </c>
      <c r="R508">
        <f t="shared" si="982"/>
        <v>0</v>
      </c>
      <c r="S508">
        <f t="shared" si="983"/>
        <v>0</v>
      </c>
      <c r="T508">
        <f t="shared" si="984"/>
        <v>0</v>
      </c>
    </row>
    <row r="509" spans="1:20" x14ac:dyDescent="0.25">
      <c r="A509" s="5"/>
      <c r="C509"/>
      <c r="D509"/>
      <c r="P509">
        <f t="shared" si="980"/>
        <v>0</v>
      </c>
      <c r="Q509">
        <f t="shared" si="981"/>
        <v>0</v>
      </c>
      <c r="R509">
        <f t="shared" si="982"/>
        <v>0</v>
      </c>
      <c r="S509">
        <f t="shared" si="983"/>
        <v>0</v>
      </c>
      <c r="T509">
        <f t="shared" si="984"/>
        <v>0</v>
      </c>
    </row>
    <row r="510" spans="1:20" x14ac:dyDescent="0.25">
      <c r="A510" s="5"/>
      <c r="C510"/>
      <c r="D510"/>
      <c r="P510">
        <f t="shared" si="980"/>
        <v>0</v>
      </c>
      <c r="Q510">
        <f t="shared" si="981"/>
        <v>0</v>
      </c>
      <c r="R510">
        <f t="shared" si="982"/>
        <v>0</v>
      </c>
      <c r="S510">
        <f t="shared" si="983"/>
        <v>0</v>
      </c>
      <c r="T510">
        <f t="shared" si="984"/>
        <v>0</v>
      </c>
    </row>
    <row r="511" spans="1:20" x14ac:dyDescent="0.25">
      <c r="A511" s="5"/>
      <c r="C511"/>
      <c r="D511"/>
      <c r="P511">
        <f t="shared" si="980"/>
        <v>0</v>
      </c>
      <c r="Q511">
        <f t="shared" si="981"/>
        <v>0</v>
      </c>
      <c r="R511">
        <f t="shared" si="982"/>
        <v>0</v>
      </c>
      <c r="S511">
        <f t="shared" si="983"/>
        <v>0</v>
      </c>
      <c r="T511">
        <f t="shared" si="984"/>
        <v>0</v>
      </c>
    </row>
    <row r="512" spans="1:20" x14ac:dyDescent="0.25">
      <c r="A512" s="5"/>
      <c r="C512"/>
      <c r="D512"/>
      <c r="P512">
        <f t="shared" si="980"/>
        <v>0</v>
      </c>
      <c r="Q512">
        <f t="shared" si="981"/>
        <v>0</v>
      </c>
      <c r="R512">
        <f t="shared" si="982"/>
        <v>0</v>
      </c>
      <c r="S512">
        <f t="shared" si="983"/>
        <v>0</v>
      </c>
      <c r="T512">
        <f t="shared" si="984"/>
        <v>0</v>
      </c>
    </row>
    <row r="513" spans="1:20" x14ac:dyDescent="0.25">
      <c r="A513" s="5"/>
      <c r="C513"/>
      <c r="D513"/>
      <c r="P513">
        <f t="shared" si="980"/>
        <v>0</v>
      </c>
      <c r="Q513">
        <f t="shared" si="981"/>
        <v>0</v>
      </c>
      <c r="R513">
        <f t="shared" si="982"/>
        <v>0</v>
      </c>
      <c r="S513">
        <f t="shared" si="983"/>
        <v>0</v>
      </c>
      <c r="T513">
        <f t="shared" si="984"/>
        <v>0</v>
      </c>
    </row>
    <row r="514" spans="1:20" x14ac:dyDescent="0.25">
      <c r="A514" s="5"/>
      <c r="C514"/>
      <c r="D514"/>
      <c r="P514">
        <f t="shared" si="980"/>
        <v>0</v>
      </c>
      <c r="Q514">
        <f t="shared" si="981"/>
        <v>0</v>
      </c>
      <c r="R514">
        <f t="shared" si="982"/>
        <v>0</v>
      </c>
      <c r="S514">
        <f t="shared" si="983"/>
        <v>0</v>
      </c>
      <c r="T514">
        <f t="shared" si="984"/>
        <v>0</v>
      </c>
    </row>
    <row r="515" spans="1:20" x14ac:dyDescent="0.25">
      <c r="A515" s="5"/>
      <c r="C515"/>
      <c r="D515"/>
      <c r="P515">
        <f t="shared" si="980"/>
        <v>0</v>
      </c>
      <c r="Q515">
        <f t="shared" si="981"/>
        <v>0</v>
      </c>
      <c r="R515">
        <f t="shared" si="982"/>
        <v>0</v>
      </c>
      <c r="S515">
        <f t="shared" si="983"/>
        <v>0</v>
      </c>
      <c r="T515">
        <f t="shared" si="984"/>
        <v>0</v>
      </c>
    </row>
    <row r="516" spans="1:20" x14ac:dyDescent="0.25">
      <c r="A516" s="5"/>
      <c r="C516"/>
      <c r="D516"/>
      <c r="P516">
        <f t="shared" si="980"/>
        <v>0</v>
      </c>
      <c r="Q516">
        <f t="shared" si="981"/>
        <v>0</v>
      </c>
      <c r="R516">
        <f t="shared" si="982"/>
        <v>0</v>
      </c>
      <c r="S516">
        <f t="shared" si="983"/>
        <v>0</v>
      </c>
      <c r="T516">
        <f t="shared" si="984"/>
        <v>0</v>
      </c>
    </row>
    <row r="517" spans="1:20" x14ac:dyDescent="0.25">
      <c r="A517" s="5"/>
      <c r="C517"/>
      <c r="D517"/>
      <c r="P517">
        <f t="shared" si="980"/>
        <v>0</v>
      </c>
      <c r="Q517">
        <f t="shared" si="981"/>
        <v>0</v>
      </c>
      <c r="R517">
        <f t="shared" si="982"/>
        <v>0</v>
      </c>
      <c r="S517">
        <f t="shared" si="983"/>
        <v>0</v>
      </c>
      <c r="T517">
        <f t="shared" si="984"/>
        <v>0</v>
      </c>
    </row>
    <row r="518" spans="1:20" x14ac:dyDescent="0.25">
      <c r="A518" s="5"/>
      <c r="C518"/>
      <c r="D518"/>
      <c r="P518">
        <f t="shared" ref="P518:P581" si="985">IF(C518=D518,0,((E518-D518)-(C518-E518))/(C518-D518))</f>
        <v>0</v>
      </c>
      <c r="Q518">
        <f t="shared" ref="Q518:Q581" si="986">F518*P518</f>
        <v>0</v>
      </c>
      <c r="R518">
        <f t="shared" ref="R518:R581" si="987">R519+Q518</f>
        <v>0</v>
      </c>
      <c r="S518">
        <f t="shared" ref="S518:S581" si="988">R518/100000</f>
        <v>0</v>
      </c>
      <c r="T518">
        <f t="shared" ref="T518:T581" si="989">S518/1000</f>
        <v>0</v>
      </c>
    </row>
    <row r="519" spans="1:20" x14ac:dyDescent="0.25">
      <c r="A519" s="5"/>
      <c r="C519"/>
      <c r="D519"/>
      <c r="P519">
        <f t="shared" si="985"/>
        <v>0</v>
      </c>
      <c r="Q519">
        <f t="shared" si="986"/>
        <v>0</v>
      </c>
      <c r="R519">
        <f t="shared" si="987"/>
        <v>0</v>
      </c>
      <c r="S519">
        <f t="shared" si="988"/>
        <v>0</v>
      </c>
      <c r="T519">
        <f t="shared" si="989"/>
        <v>0</v>
      </c>
    </row>
    <row r="520" spans="1:20" x14ac:dyDescent="0.25">
      <c r="A520" s="5"/>
      <c r="C520"/>
      <c r="D520"/>
      <c r="P520">
        <f t="shared" si="985"/>
        <v>0</v>
      </c>
      <c r="Q520">
        <f t="shared" si="986"/>
        <v>0</v>
      </c>
      <c r="R520">
        <f t="shared" si="987"/>
        <v>0</v>
      </c>
      <c r="S520">
        <f t="shared" si="988"/>
        <v>0</v>
      </c>
      <c r="T520">
        <f t="shared" si="989"/>
        <v>0</v>
      </c>
    </row>
    <row r="521" spans="1:20" x14ac:dyDescent="0.25">
      <c r="A521" s="5"/>
      <c r="C521"/>
      <c r="D521"/>
      <c r="P521">
        <f t="shared" si="985"/>
        <v>0</v>
      </c>
      <c r="Q521">
        <f t="shared" si="986"/>
        <v>0</v>
      </c>
      <c r="R521">
        <f t="shared" si="987"/>
        <v>0</v>
      </c>
      <c r="S521">
        <f t="shared" si="988"/>
        <v>0</v>
      </c>
      <c r="T521">
        <f t="shared" si="989"/>
        <v>0</v>
      </c>
    </row>
    <row r="522" spans="1:20" x14ac:dyDescent="0.25">
      <c r="A522" s="5"/>
      <c r="C522"/>
      <c r="D522"/>
      <c r="P522">
        <f t="shared" si="985"/>
        <v>0</v>
      </c>
      <c r="Q522">
        <f t="shared" si="986"/>
        <v>0</v>
      </c>
      <c r="R522">
        <f t="shared" si="987"/>
        <v>0</v>
      </c>
      <c r="S522">
        <f t="shared" si="988"/>
        <v>0</v>
      </c>
      <c r="T522">
        <f t="shared" si="989"/>
        <v>0</v>
      </c>
    </row>
    <row r="523" spans="1:20" x14ac:dyDescent="0.25">
      <c r="A523" s="5"/>
      <c r="C523"/>
      <c r="D523"/>
      <c r="P523">
        <f t="shared" si="985"/>
        <v>0</v>
      </c>
      <c r="Q523">
        <f t="shared" si="986"/>
        <v>0</v>
      </c>
      <c r="R523">
        <f t="shared" si="987"/>
        <v>0</v>
      </c>
      <c r="S523">
        <f t="shared" si="988"/>
        <v>0</v>
      </c>
      <c r="T523">
        <f t="shared" si="989"/>
        <v>0</v>
      </c>
    </row>
    <row r="524" spans="1:20" x14ac:dyDescent="0.25">
      <c r="A524" s="5"/>
      <c r="C524"/>
      <c r="D524"/>
      <c r="P524">
        <f t="shared" si="985"/>
        <v>0</v>
      </c>
      <c r="Q524">
        <f t="shared" si="986"/>
        <v>0</v>
      </c>
      <c r="R524">
        <f t="shared" si="987"/>
        <v>0</v>
      </c>
      <c r="S524">
        <f t="shared" si="988"/>
        <v>0</v>
      </c>
      <c r="T524">
        <f t="shared" si="989"/>
        <v>0</v>
      </c>
    </row>
    <row r="525" spans="1:20" x14ac:dyDescent="0.25">
      <c r="A525" s="5"/>
      <c r="C525"/>
      <c r="D525"/>
      <c r="P525">
        <f t="shared" si="985"/>
        <v>0</v>
      </c>
      <c r="Q525">
        <f t="shared" si="986"/>
        <v>0</v>
      </c>
      <c r="R525">
        <f t="shared" si="987"/>
        <v>0</v>
      </c>
      <c r="S525">
        <f t="shared" si="988"/>
        <v>0</v>
      </c>
      <c r="T525">
        <f t="shared" si="989"/>
        <v>0</v>
      </c>
    </row>
    <row r="526" spans="1:20" x14ac:dyDescent="0.25">
      <c r="A526" s="5"/>
      <c r="C526"/>
      <c r="D526"/>
      <c r="P526">
        <f t="shared" si="985"/>
        <v>0</v>
      </c>
      <c r="Q526">
        <f t="shared" si="986"/>
        <v>0</v>
      </c>
      <c r="R526">
        <f t="shared" si="987"/>
        <v>0</v>
      </c>
      <c r="S526">
        <f t="shared" si="988"/>
        <v>0</v>
      </c>
      <c r="T526">
        <f t="shared" si="989"/>
        <v>0</v>
      </c>
    </row>
    <row r="527" spans="1:20" x14ac:dyDescent="0.25">
      <c r="A527" s="5"/>
      <c r="C527"/>
      <c r="D527"/>
      <c r="P527">
        <f t="shared" si="985"/>
        <v>0</v>
      </c>
      <c r="Q527">
        <f t="shared" si="986"/>
        <v>0</v>
      </c>
      <c r="R527">
        <f t="shared" si="987"/>
        <v>0</v>
      </c>
      <c r="S527">
        <f t="shared" si="988"/>
        <v>0</v>
      </c>
      <c r="T527">
        <f t="shared" si="989"/>
        <v>0</v>
      </c>
    </row>
    <row r="528" spans="1:20" x14ac:dyDescent="0.25">
      <c r="A528" s="5"/>
      <c r="C528"/>
      <c r="D528"/>
      <c r="P528">
        <f t="shared" si="985"/>
        <v>0</v>
      </c>
      <c r="Q528">
        <f t="shared" si="986"/>
        <v>0</v>
      </c>
      <c r="R528">
        <f t="shared" si="987"/>
        <v>0</v>
      </c>
      <c r="S528">
        <f t="shared" si="988"/>
        <v>0</v>
      </c>
      <c r="T528">
        <f t="shared" si="989"/>
        <v>0</v>
      </c>
    </row>
    <row r="529" spans="1:20" x14ac:dyDescent="0.25">
      <c r="A529" s="5"/>
      <c r="C529"/>
      <c r="D529"/>
      <c r="P529">
        <f t="shared" si="985"/>
        <v>0</v>
      </c>
      <c r="Q529">
        <f t="shared" si="986"/>
        <v>0</v>
      </c>
      <c r="R529">
        <f t="shared" si="987"/>
        <v>0</v>
      </c>
      <c r="S529">
        <f t="shared" si="988"/>
        <v>0</v>
      </c>
      <c r="T529">
        <f t="shared" si="989"/>
        <v>0</v>
      </c>
    </row>
    <row r="530" spans="1:20" x14ac:dyDescent="0.25">
      <c r="A530" s="5"/>
      <c r="C530"/>
      <c r="D530"/>
      <c r="P530">
        <f t="shared" si="985"/>
        <v>0</v>
      </c>
      <c r="Q530">
        <f t="shared" si="986"/>
        <v>0</v>
      </c>
      <c r="R530">
        <f t="shared" si="987"/>
        <v>0</v>
      </c>
      <c r="S530">
        <f t="shared" si="988"/>
        <v>0</v>
      </c>
      <c r="T530">
        <f t="shared" si="989"/>
        <v>0</v>
      </c>
    </row>
    <row r="531" spans="1:20" x14ac:dyDescent="0.25">
      <c r="A531" s="5"/>
      <c r="C531"/>
      <c r="D531"/>
      <c r="P531">
        <f t="shared" si="985"/>
        <v>0</v>
      </c>
      <c r="Q531">
        <f t="shared" si="986"/>
        <v>0</v>
      </c>
      <c r="R531">
        <f t="shared" si="987"/>
        <v>0</v>
      </c>
      <c r="S531">
        <f t="shared" si="988"/>
        <v>0</v>
      </c>
      <c r="T531">
        <f t="shared" si="989"/>
        <v>0</v>
      </c>
    </row>
    <row r="532" spans="1:20" x14ac:dyDescent="0.25">
      <c r="A532" s="5"/>
      <c r="C532"/>
      <c r="D532"/>
      <c r="P532">
        <f t="shared" si="985"/>
        <v>0</v>
      </c>
      <c r="Q532">
        <f t="shared" si="986"/>
        <v>0</v>
      </c>
      <c r="R532">
        <f t="shared" si="987"/>
        <v>0</v>
      </c>
      <c r="S532">
        <f t="shared" si="988"/>
        <v>0</v>
      </c>
      <c r="T532">
        <f t="shared" si="989"/>
        <v>0</v>
      </c>
    </row>
    <row r="533" spans="1:20" x14ac:dyDescent="0.25">
      <c r="A533" s="5"/>
      <c r="C533"/>
      <c r="D533"/>
      <c r="P533">
        <f t="shared" si="985"/>
        <v>0</v>
      </c>
      <c r="Q533">
        <f t="shared" si="986"/>
        <v>0</v>
      </c>
      <c r="R533">
        <f t="shared" si="987"/>
        <v>0</v>
      </c>
      <c r="S533">
        <f t="shared" si="988"/>
        <v>0</v>
      </c>
      <c r="T533">
        <f t="shared" si="989"/>
        <v>0</v>
      </c>
    </row>
    <row r="534" spans="1:20" x14ac:dyDescent="0.25">
      <c r="A534" s="5"/>
      <c r="C534"/>
      <c r="D534"/>
      <c r="P534">
        <f t="shared" si="985"/>
        <v>0</v>
      </c>
      <c r="Q534">
        <f t="shared" si="986"/>
        <v>0</v>
      </c>
      <c r="R534">
        <f t="shared" si="987"/>
        <v>0</v>
      </c>
      <c r="S534">
        <f t="shared" si="988"/>
        <v>0</v>
      </c>
      <c r="T534">
        <f t="shared" si="989"/>
        <v>0</v>
      </c>
    </row>
    <row r="535" spans="1:20" x14ac:dyDescent="0.25">
      <c r="A535" s="5"/>
      <c r="C535"/>
      <c r="D535"/>
      <c r="P535">
        <f t="shared" si="985"/>
        <v>0</v>
      </c>
      <c r="Q535">
        <f t="shared" si="986"/>
        <v>0</v>
      </c>
      <c r="R535">
        <f t="shared" si="987"/>
        <v>0</v>
      </c>
      <c r="S535">
        <f t="shared" si="988"/>
        <v>0</v>
      </c>
      <c r="T535">
        <f t="shared" si="989"/>
        <v>0</v>
      </c>
    </row>
    <row r="536" spans="1:20" x14ac:dyDescent="0.25">
      <c r="A536" s="5"/>
      <c r="C536"/>
      <c r="D536"/>
      <c r="P536">
        <f t="shared" si="985"/>
        <v>0</v>
      </c>
      <c r="Q536">
        <f t="shared" si="986"/>
        <v>0</v>
      </c>
      <c r="R536">
        <f t="shared" si="987"/>
        <v>0</v>
      </c>
      <c r="S536">
        <f t="shared" si="988"/>
        <v>0</v>
      </c>
      <c r="T536">
        <f t="shared" si="989"/>
        <v>0</v>
      </c>
    </row>
    <row r="537" spans="1:20" x14ac:dyDescent="0.25">
      <c r="A537" s="5"/>
      <c r="C537"/>
      <c r="D537"/>
      <c r="P537">
        <f t="shared" si="985"/>
        <v>0</v>
      </c>
      <c r="Q537">
        <f t="shared" si="986"/>
        <v>0</v>
      </c>
      <c r="R537">
        <f t="shared" si="987"/>
        <v>0</v>
      </c>
      <c r="S537">
        <f t="shared" si="988"/>
        <v>0</v>
      </c>
      <c r="T537">
        <f t="shared" si="989"/>
        <v>0</v>
      </c>
    </row>
    <row r="538" spans="1:20" x14ac:dyDescent="0.25">
      <c r="A538" s="5"/>
      <c r="C538"/>
      <c r="D538"/>
      <c r="P538">
        <f t="shared" si="985"/>
        <v>0</v>
      </c>
      <c r="Q538">
        <f t="shared" si="986"/>
        <v>0</v>
      </c>
      <c r="R538">
        <f t="shared" si="987"/>
        <v>0</v>
      </c>
      <c r="S538">
        <f t="shared" si="988"/>
        <v>0</v>
      </c>
      <c r="T538">
        <f t="shared" si="989"/>
        <v>0</v>
      </c>
    </row>
    <row r="539" spans="1:20" x14ac:dyDescent="0.25">
      <c r="A539" s="5"/>
      <c r="C539"/>
      <c r="D539"/>
      <c r="P539">
        <f t="shared" si="985"/>
        <v>0</v>
      </c>
      <c r="Q539">
        <f t="shared" si="986"/>
        <v>0</v>
      </c>
      <c r="R539">
        <f t="shared" si="987"/>
        <v>0</v>
      </c>
      <c r="S539">
        <f t="shared" si="988"/>
        <v>0</v>
      </c>
      <c r="T539">
        <f t="shared" si="989"/>
        <v>0</v>
      </c>
    </row>
    <row r="540" spans="1:20" x14ac:dyDescent="0.25">
      <c r="A540" s="5"/>
      <c r="C540"/>
      <c r="D540"/>
      <c r="P540">
        <f t="shared" si="985"/>
        <v>0</v>
      </c>
      <c r="Q540">
        <f t="shared" si="986"/>
        <v>0</v>
      </c>
      <c r="R540">
        <f t="shared" si="987"/>
        <v>0</v>
      </c>
      <c r="S540">
        <f t="shared" si="988"/>
        <v>0</v>
      </c>
      <c r="T540">
        <f t="shared" si="989"/>
        <v>0</v>
      </c>
    </row>
    <row r="541" spans="1:20" x14ac:dyDescent="0.25">
      <c r="A541" s="5"/>
      <c r="C541"/>
      <c r="D541"/>
      <c r="P541">
        <f t="shared" si="985"/>
        <v>0</v>
      </c>
      <c r="Q541">
        <f t="shared" si="986"/>
        <v>0</v>
      </c>
      <c r="R541">
        <f t="shared" si="987"/>
        <v>0</v>
      </c>
      <c r="S541">
        <f t="shared" si="988"/>
        <v>0</v>
      </c>
      <c r="T541">
        <f t="shared" si="989"/>
        <v>0</v>
      </c>
    </row>
    <row r="542" spans="1:20" x14ac:dyDescent="0.25">
      <c r="A542" s="5"/>
      <c r="C542"/>
      <c r="D542"/>
      <c r="P542">
        <f t="shared" si="985"/>
        <v>0</v>
      </c>
      <c r="Q542">
        <f t="shared" si="986"/>
        <v>0</v>
      </c>
      <c r="R542">
        <f t="shared" si="987"/>
        <v>0</v>
      </c>
      <c r="S542">
        <f t="shared" si="988"/>
        <v>0</v>
      </c>
      <c r="T542">
        <f t="shared" si="989"/>
        <v>0</v>
      </c>
    </row>
    <row r="543" spans="1:20" x14ac:dyDescent="0.25">
      <c r="A543" s="5"/>
      <c r="C543"/>
      <c r="D543"/>
      <c r="P543">
        <f t="shared" si="985"/>
        <v>0</v>
      </c>
      <c r="Q543">
        <f t="shared" si="986"/>
        <v>0</v>
      </c>
      <c r="R543">
        <f t="shared" si="987"/>
        <v>0</v>
      </c>
      <c r="S543">
        <f t="shared" si="988"/>
        <v>0</v>
      </c>
      <c r="T543">
        <f t="shared" si="989"/>
        <v>0</v>
      </c>
    </row>
    <row r="544" spans="1:20" x14ac:dyDescent="0.25">
      <c r="A544" s="5"/>
      <c r="C544"/>
      <c r="D544"/>
      <c r="P544">
        <f t="shared" si="985"/>
        <v>0</v>
      </c>
      <c r="Q544">
        <f t="shared" si="986"/>
        <v>0</v>
      </c>
      <c r="R544">
        <f t="shared" si="987"/>
        <v>0</v>
      </c>
      <c r="S544">
        <f t="shared" si="988"/>
        <v>0</v>
      </c>
      <c r="T544">
        <f t="shared" si="989"/>
        <v>0</v>
      </c>
    </row>
    <row r="545" spans="1:20" x14ac:dyDescent="0.25">
      <c r="A545" s="5"/>
      <c r="C545"/>
      <c r="D545"/>
      <c r="P545">
        <f t="shared" si="985"/>
        <v>0</v>
      </c>
      <c r="Q545">
        <f t="shared" si="986"/>
        <v>0</v>
      </c>
      <c r="R545">
        <f t="shared" si="987"/>
        <v>0</v>
      </c>
      <c r="S545">
        <f t="shared" si="988"/>
        <v>0</v>
      </c>
      <c r="T545">
        <f t="shared" si="989"/>
        <v>0</v>
      </c>
    </row>
    <row r="546" spans="1:20" x14ac:dyDescent="0.25">
      <c r="A546" s="5"/>
      <c r="C546"/>
      <c r="D546"/>
      <c r="P546">
        <f t="shared" si="985"/>
        <v>0</v>
      </c>
      <c r="Q546">
        <f t="shared" si="986"/>
        <v>0</v>
      </c>
      <c r="R546">
        <f t="shared" si="987"/>
        <v>0</v>
      </c>
      <c r="S546">
        <f t="shared" si="988"/>
        <v>0</v>
      </c>
      <c r="T546">
        <f t="shared" si="989"/>
        <v>0</v>
      </c>
    </row>
    <row r="547" spans="1:20" x14ac:dyDescent="0.25">
      <c r="A547" s="5"/>
      <c r="C547"/>
      <c r="D547"/>
      <c r="P547">
        <f t="shared" si="985"/>
        <v>0</v>
      </c>
      <c r="Q547">
        <f t="shared" si="986"/>
        <v>0</v>
      </c>
      <c r="R547">
        <f t="shared" si="987"/>
        <v>0</v>
      </c>
      <c r="S547">
        <f t="shared" si="988"/>
        <v>0</v>
      </c>
      <c r="T547">
        <f t="shared" si="989"/>
        <v>0</v>
      </c>
    </row>
    <row r="548" spans="1:20" x14ac:dyDescent="0.25">
      <c r="A548" s="5"/>
      <c r="C548"/>
      <c r="D548"/>
      <c r="P548">
        <f t="shared" si="985"/>
        <v>0</v>
      </c>
      <c r="Q548">
        <f t="shared" si="986"/>
        <v>0</v>
      </c>
      <c r="R548">
        <f t="shared" si="987"/>
        <v>0</v>
      </c>
      <c r="S548">
        <f t="shared" si="988"/>
        <v>0</v>
      </c>
      <c r="T548">
        <f t="shared" si="989"/>
        <v>0</v>
      </c>
    </row>
    <row r="549" spans="1:20" x14ac:dyDescent="0.25">
      <c r="A549" s="5"/>
      <c r="P549">
        <f t="shared" si="985"/>
        <v>0</v>
      </c>
      <c r="Q549">
        <f t="shared" si="986"/>
        <v>0</v>
      </c>
      <c r="R549">
        <f t="shared" si="987"/>
        <v>0</v>
      </c>
      <c r="S549">
        <f t="shared" si="988"/>
        <v>0</v>
      </c>
      <c r="T549">
        <f t="shared" si="989"/>
        <v>0</v>
      </c>
    </row>
    <row r="550" spans="1:20" x14ac:dyDescent="0.25">
      <c r="A550" s="5"/>
      <c r="P550">
        <f t="shared" si="985"/>
        <v>0</v>
      </c>
      <c r="Q550">
        <f t="shared" si="986"/>
        <v>0</v>
      </c>
      <c r="R550">
        <f t="shared" si="987"/>
        <v>0</v>
      </c>
      <c r="S550">
        <f t="shared" si="988"/>
        <v>0</v>
      </c>
      <c r="T550">
        <f t="shared" si="989"/>
        <v>0</v>
      </c>
    </row>
    <row r="551" spans="1:20" x14ac:dyDescent="0.25">
      <c r="A551" s="5"/>
      <c r="P551">
        <f t="shared" si="985"/>
        <v>0</v>
      </c>
      <c r="Q551">
        <f t="shared" si="986"/>
        <v>0</v>
      </c>
      <c r="R551">
        <f t="shared" si="987"/>
        <v>0</v>
      </c>
      <c r="S551">
        <f t="shared" si="988"/>
        <v>0</v>
      </c>
      <c r="T551">
        <f t="shared" si="989"/>
        <v>0</v>
      </c>
    </row>
    <row r="552" spans="1:20" x14ac:dyDescent="0.25">
      <c r="A552" s="5"/>
      <c r="P552">
        <f t="shared" si="985"/>
        <v>0</v>
      </c>
      <c r="Q552">
        <f t="shared" si="986"/>
        <v>0</v>
      </c>
      <c r="R552">
        <f t="shared" si="987"/>
        <v>0</v>
      </c>
      <c r="S552">
        <f t="shared" si="988"/>
        <v>0</v>
      </c>
      <c r="T552">
        <f t="shared" si="989"/>
        <v>0</v>
      </c>
    </row>
    <row r="553" spans="1:20" x14ac:dyDescent="0.25">
      <c r="A553" s="5"/>
      <c r="P553">
        <f t="shared" si="985"/>
        <v>0</v>
      </c>
      <c r="Q553">
        <f t="shared" si="986"/>
        <v>0</v>
      </c>
      <c r="R553">
        <f t="shared" si="987"/>
        <v>0</v>
      </c>
      <c r="S553">
        <f t="shared" si="988"/>
        <v>0</v>
      </c>
      <c r="T553">
        <f t="shared" si="989"/>
        <v>0</v>
      </c>
    </row>
    <row r="554" spans="1:20" x14ac:dyDescent="0.25">
      <c r="A554" s="5"/>
      <c r="P554">
        <f t="shared" si="985"/>
        <v>0</v>
      </c>
      <c r="Q554">
        <f t="shared" si="986"/>
        <v>0</v>
      </c>
      <c r="R554">
        <f t="shared" si="987"/>
        <v>0</v>
      </c>
      <c r="S554">
        <f t="shared" si="988"/>
        <v>0</v>
      </c>
      <c r="T554">
        <f t="shared" si="989"/>
        <v>0</v>
      </c>
    </row>
    <row r="555" spans="1:20" x14ac:dyDescent="0.25">
      <c r="A555" s="5"/>
      <c r="P555">
        <f t="shared" si="985"/>
        <v>0</v>
      </c>
      <c r="Q555">
        <f t="shared" si="986"/>
        <v>0</v>
      </c>
      <c r="R555">
        <f t="shared" si="987"/>
        <v>0</v>
      </c>
      <c r="S555">
        <f t="shared" si="988"/>
        <v>0</v>
      </c>
      <c r="T555">
        <f t="shared" si="989"/>
        <v>0</v>
      </c>
    </row>
    <row r="556" spans="1:20" x14ac:dyDescent="0.25">
      <c r="A556" s="5"/>
      <c r="P556">
        <f t="shared" si="985"/>
        <v>0</v>
      </c>
      <c r="Q556">
        <f t="shared" si="986"/>
        <v>0</v>
      </c>
      <c r="R556">
        <f t="shared" si="987"/>
        <v>0</v>
      </c>
      <c r="S556">
        <f t="shared" si="988"/>
        <v>0</v>
      </c>
      <c r="T556">
        <f t="shared" si="989"/>
        <v>0</v>
      </c>
    </row>
    <row r="557" spans="1:20" x14ac:dyDescent="0.25">
      <c r="A557" s="5"/>
      <c r="P557">
        <f t="shared" si="985"/>
        <v>0</v>
      </c>
      <c r="Q557">
        <f t="shared" si="986"/>
        <v>0</v>
      </c>
      <c r="R557">
        <f t="shared" si="987"/>
        <v>0</v>
      </c>
      <c r="S557">
        <f t="shared" si="988"/>
        <v>0</v>
      </c>
      <c r="T557">
        <f t="shared" si="989"/>
        <v>0</v>
      </c>
    </row>
    <row r="558" spans="1:20" x14ac:dyDescent="0.25">
      <c r="A558" s="5"/>
      <c r="P558">
        <f t="shared" si="985"/>
        <v>0</v>
      </c>
      <c r="Q558">
        <f t="shared" si="986"/>
        <v>0</v>
      </c>
      <c r="R558">
        <f t="shared" si="987"/>
        <v>0</v>
      </c>
      <c r="S558">
        <f t="shared" si="988"/>
        <v>0</v>
      </c>
      <c r="T558">
        <f t="shared" si="989"/>
        <v>0</v>
      </c>
    </row>
    <row r="559" spans="1:20" x14ac:dyDescent="0.25">
      <c r="A559" s="5"/>
      <c r="P559">
        <f t="shared" si="985"/>
        <v>0</v>
      </c>
      <c r="Q559">
        <f t="shared" si="986"/>
        <v>0</v>
      </c>
      <c r="R559">
        <f t="shared" si="987"/>
        <v>0</v>
      </c>
      <c r="S559">
        <f t="shared" si="988"/>
        <v>0</v>
      </c>
      <c r="T559">
        <f t="shared" si="989"/>
        <v>0</v>
      </c>
    </row>
    <row r="560" spans="1:20" x14ac:dyDescent="0.25">
      <c r="A560" s="5"/>
      <c r="P560">
        <f t="shared" si="985"/>
        <v>0</v>
      </c>
      <c r="Q560">
        <f t="shared" si="986"/>
        <v>0</v>
      </c>
      <c r="R560">
        <f t="shared" si="987"/>
        <v>0</v>
      </c>
      <c r="S560">
        <f t="shared" si="988"/>
        <v>0</v>
      </c>
      <c r="T560">
        <f t="shared" si="989"/>
        <v>0</v>
      </c>
    </row>
    <row r="561" spans="1:104" x14ac:dyDescent="0.25">
      <c r="A561" s="5"/>
      <c r="P561">
        <f t="shared" si="985"/>
        <v>0</v>
      </c>
      <c r="Q561">
        <f t="shared" si="986"/>
        <v>0</v>
      </c>
      <c r="R561">
        <f t="shared" si="987"/>
        <v>0</v>
      </c>
      <c r="S561">
        <f t="shared" si="988"/>
        <v>0</v>
      </c>
      <c r="T561">
        <f t="shared" si="989"/>
        <v>0</v>
      </c>
      <c r="CZ561" t="s">
        <v>7</v>
      </c>
    </row>
    <row r="562" spans="1:104" x14ac:dyDescent="0.25">
      <c r="A562" s="5"/>
      <c r="P562">
        <f t="shared" si="985"/>
        <v>0</v>
      </c>
      <c r="Q562">
        <f t="shared" si="986"/>
        <v>0</v>
      </c>
      <c r="R562">
        <f t="shared" si="987"/>
        <v>0</v>
      </c>
      <c r="S562">
        <f t="shared" si="988"/>
        <v>0</v>
      </c>
      <c r="T562">
        <f t="shared" si="989"/>
        <v>0</v>
      </c>
      <c r="CZ562" t="s">
        <v>7</v>
      </c>
    </row>
    <row r="563" spans="1:104" x14ac:dyDescent="0.25">
      <c r="A563" s="5"/>
      <c r="P563">
        <f t="shared" si="985"/>
        <v>0</v>
      </c>
      <c r="Q563">
        <f t="shared" si="986"/>
        <v>0</v>
      </c>
      <c r="R563">
        <f t="shared" si="987"/>
        <v>0</v>
      </c>
      <c r="S563">
        <f t="shared" si="988"/>
        <v>0</v>
      </c>
      <c r="T563">
        <f t="shared" si="989"/>
        <v>0</v>
      </c>
      <c r="CZ563" t="s">
        <v>7</v>
      </c>
    </row>
    <row r="564" spans="1:104" x14ac:dyDescent="0.25">
      <c r="A564" s="5"/>
      <c r="P564">
        <f t="shared" si="985"/>
        <v>0</v>
      </c>
      <c r="Q564">
        <f t="shared" si="986"/>
        <v>0</v>
      </c>
      <c r="R564">
        <f t="shared" si="987"/>
        <v>0</v>
      </c>
      <c r="S564">
        <f t="shared" si="988"/>
        <v>0</v>
      </c>
      <c r="T564">
        <f t="shared" si="989"/>
        <v>0</v>
      </c>
    </row>
    <row r="565" spans="1:104" x14ac:dyDescent="0.25">
      <c r="A565" s="5"/>
      <c r="C565"/>
      <c r="D565"/>
      <c r="P565">
        <f t="shared" si="985"/>
        <v>0</v>
      </c>
      <c r="Q565">
        <f t="shared" si="986"/>
        <v>0</v>
      </c>
      <c r="R565">
        <f t="shared" si="987"/>
        <v>0</v>
      </c>
      <c r="S565">
        <f t="shared" si="988"/>
        <v>0</v>
      </c>
      <c r="T565">
        <f t="shared" si="989"/>
        <v>0</v>
      </c>
    </row>
    <row r="566" spans="1:104" x14ac:dyDescent="0.25">
      <c r="A566" s="5"/>
      <c r="C566"/>
      <c r="D566"/>
      <c r="P566">
        <f t="shared" si="985"/>
        <v>0</v>
      </c>
      <c r="Q566">
        <f t="shared" si="986"/>
        <v>0</v>
      </c>
      <c r="R566">
        <f t="shared" si="987"/>
        <v>0</v>
      </c>
      <c r="S566">
        <f t="shared" si="988"/>
        <v>0</v>
      </c>
      <c r="T566">
        <f t="shared" si="989"/>
        <v>0</v>
      </c>
    </row>
    <row r="567" spans="1:104" x14ac:dyDescent="0.25">
      <c r="A567" s="5"/>
      <c r="C567"/>
      <c r="D567"/>
      <c r="P567">
        <f t="shared" si="985"/>
        <v>0</v>
      </c>
      <c r="Q567">
        <f t="shared" si="986"/>
        <v>0</v>
      </c>
      <c r="R567">
        <f t="shared" si="987"/>
        <v>0</v>
      </c>
      <c r="S567">
        <f t="shared" si="988"/>
        <v>0</v>
      </c>
      <c r="T567">
        <f t="shared" si="989"/>
        <v>0</v>
      </c>
    </row>
    <row r="568" spans="1:104" x14ac:dyDescent="0.25">
      <c r="A568" s="5"/>
      <c r="C568"/>
      <c r="D568"/>
      <c r="P568">
        <f t="shared" si="985"/>
        <v>0</v>
      </c>
      <c r="Q568">
        <f t="shared" si="986"/>
        <v>0</v>
      </c>
      <c r="R568">
        <f t="shared" si="987"/>
        <v>0</v>
      </c>
      <c r="S568">
        <f t="shared" si="988"/>
        <v>0</v>
      </c>
      <c r="T568">
        <f t="shared" si="989"/>
        <v>0</v>
      </c>
    </row>
    <row r="569" spans="1:104" x14ac:dyDescent="0.25">
      <c r="A569" s="5"/>
      <c r="C569"/>
      <c r="D569"/>
      <c r="P569">
        <f t="shared" si="985"/>
        <v>0</v>
      </c>
      <c r="Q569">
        <f t="shared" si="986"/>
        <v>0</v>
      </c>
      <c r="R569">
        <f t="shared" si="987"/>
        <v>0</v>
      </c>
      <c r="S569">
        <f t="shared" si="988"/>
        <v>0</v>
      </c>
      <c r="T569">
        <f t="shared" si="989"/>
        <v>0</v>
      </c>
    </row>
    <row r="570" spans="1:104" x14ac:dyDescent="0.25">
      <c r="A570" s="5"/>
      <c r="C570"/>
      <c r="D570"/>
      <c r="P570">
        <f t="shared" si="985"/>
        <v>0</v>
      </c>
      <c r="Q570">
        <f t="shared" si="986"/>
        <v>0</v>
      </c>
      <c r="R570">
        <f t="shared" si="987"/>
        <v>0</v>
      </c>
      <c r="S570">
        <f t="shared" si="988"/>
        <v>0</v>
      </c>
      <c r="T570">
        <f t="shared" si="989"/>
        <v>0</v>
      </c>
    </row>
    <row r="571" spans="1:104" x14ac:dyDescent="0.25">
      <c r="A571" s="5"/>
      <c r="C571"/>
      <c r="D571"/>
      <c r="P571">
        <f t="shared" si="985"/>
        <v>0</v>
      </c>
      <c r="Q571">
        <f t="shared" si="986"/>
        <v>0</v>
      </c>
      <c r="R571">
        <f t="shared" si="987"/>
        <v>0</v>
      </c>
      <c r="S571">
        <f t="shared" si="988"/>
        <v>0</v>
      </c>
      <c r="T571">
        <f t="shared" si="989"/>
        <v>0</v>
      </c>
    </row>
    <row r="572" spans="1:104" x14ac:dyDescent="0.25">
      <c r="A572" s="5"/>
      <c r="C572"/>
      <c r="D572"/>
      <c r="P572">
        <f t="shared" si="985"/>
        <v>0</v>
      </c>
      <c r="Q572">
        <f t="shared" si="986"/>
        <v>0</v>
      </c>
      <c r="R572">
        <f t="shared" si="987"/>
        <v>0</v>
      </c>
      <c r="S572">
        <f t="shared" si="988"/>
        <v>0</v>
      </c>
      <c r="T572">
        <f t="shared" si="989"/>
        <v>0</v>
      </c>
    </row>
    <row r="573" spans="1:104" x14ac:dyDescent="0.25">
      <c r="A573" s="5"/>
      <c r="C573"/>
      <c r="D573"/>
      <c r="P573">
        <f t="shared" si="985"/>
        <v>0</v>
      </c>
      <c r="Q573">
        <f t="shared" si="986"/>
        <v>0</v>
      </c>
      <c r="R573">
        <f t="shared" si="987"/>
        <v>0</v>
      </c>
      <c r="S573">
        <f t="shared" si="988"/>
        <v>0</v>
      </c>
      <c r="T573">
        <f t="shared" si="989"/>
        <v>0</v>
      </c>
    </row>
    <row r="574" spans="1:104" x14ac:dyDescent="0.25">
      <c r="A574" s="5"/>
      <c r="C574"/>
      <c r="D574"/>
      <c r="P574">
        <f t="shared" si="985"/>
        <v>0</v>
      </c>
      <c r="Q574">
        <f t="shared" si="986"/>
        <v>0</v>
      </c>
      <c r="R574">
        <f t="shared" si="987"/>
        <v>0</v>
      </c>
      <c r="S574">
        <f t="shared" si="988"/>
        <v>0</v>
      </c>
      <c r="T574">
        <f t="shared" si="989"/>
        <v>0</v>
      </c>
    </row>
    <row r="575" spans="1:104" x14ac:dyDescent="0.25">
      <c r="A575" s="5"/>
      <c r="C575"/>
      <c r="D575"/>
      <c r="P575">
        <f t="shared" si="985"/>
        <v>0</v>
      </c>
      <c r="Q575">
        <f t="shared" si="986"/>
        <v>0</v>
      </c>
      <c r="R575">
        <f t="shared" si="987"/>
        <v>0</v>
      </c>
      <c r="S575">
        <f t="shared" si="988"/>
        <v>0</v>
      </c>
      <c r="T575">
        <f t="shared" si="989"/>
        <v>0</v>
      </c>
    </row>
    <row r="576" spans="1:104" x14ac:dyDescent="0.25">
      <c r="A576" s="5"/>
      <c r="C576"/>
      <c r="D576"/>
      <c r="P576">
        <f t="shared" si="985"/>
        <v>0</v>
      </c>
      <c r="Q576">
        <f t="shared" si="986"/>
        <v>0</v>
      </c>
      <c r="R576">
        <f t="shared" si="987"/>
        <v>0</v>
      </c>
      <c r="S576">
        <f t="shared" si="988"/>
        <v>0</v>
      </c>
      <c r="T576">
        <f t="shared" si="989"/>
        <v>0</v>
      </c>
    </row>
    <row r="577" spans="1:20" x14ac:dyDescent="0.25">
      <c r="A577" s="5"/>
      <c r="C577"/>
      <c r="D577"/>
      <c r="P577">
        <f t="shared" si="985"/>
        <v>0</v>
      </c>
      <c r="Q577">
        <f t="shared" si="986"/>
        <v>0</v>
      </c>
      <c r="R577">
        <f t="shared" si="987"/>
        <v>0</v>
      </c>
      <c r="S577">
        <f t="shared" si="988"/>
        <v>0</v>
      </c>
      <c r="T577">
        <f t="shared" si="989"/>
        <v>0</v>
      </c>
    </row>
    <row r="578" spans="1:20" x14ac:dyDescent="0.25">
      <c r="A578" s="5"/>
      <c r="C578"/>
      <c r="D578"/>
      <c r="P578">
        <f t="shared" si="985"/>
        <v>0</v>
      </c>
      <c r="Q578">
        <f t="shared" si="986"/>
        <v>0</v>
      </c>
      <c r="R578">
        <f t="shared" si="987"/>
        <v>0</v>
      </c>
      <c r="S578">
        <f t="shared" si="988"/>
        <v>0</v>
      </c>
      <c r="T578">
        <f t="shared" si="989"/>
        <v>0</v>
      </c>
    </row>
    <row r="579" spans="1:20" x14ac:dyDescent="0.25">
      <c r="A579" s="5"/>
      <c r="C579"/>
      <c r="D579"/>
      <c r="P579">
        <f t="shared" si="985"/>
        <v>0</v>
      </c>
      <c r="Q579">
        <f t="shared" si="986"/>
        <v>0</v>
      </c>
      <c r="R579">
        <f t="shared" si="987"/>
        <v>0</v>
      </c>
      <c r="S579">
        <f t="shared" si="988"/>
        <v>0</v>
      </c>
      <c r="T579">
        <f t="shared" si="989"/>
        <v>0</v>
      </c>
    </row>
    <row r="580" spans="1:20" x14ac:dyDescent="0.25">
      <c r="A580" s="5"/>
      <c r="C580"/>
      <c r="D580"/>
      <c r="P580">
        <f t="shared" si="985"/>
        <v>0</v>
      </c>
      <c r="Q580">
        <f t="shared" si="986"/>
        <v>0</v>
      </c>
      <c r="R580">
        <f t="shared" si="987"/>
        <v>0</v>
      </c>
      <c r="S580">
        <f t="shared" si="988"/>
        <v>0</v>
      </c>
      <c r="T580">
        <f t="shared" si="989"/>
        <v>0</v>
      </c>
    </row>
    <row r="581" spans="1:20" x14ac:dyDescent="0.25">
      <c r="A581" s="5"/>
      <c r="C581"/>
      <c r="D581"/>
      <c r="P581">
        <f t="shared" si="985"/>
        <v>0</v>
      </c>
      <c r="Q581">
        <f t="shared" si="986"/>
        <v>0</v>
      </c>
      <c r="R581">
        <f t="shared" si="987"/>
        <v>0</v>
      </c>
      <c r="S581">
        <f t="shared" si="988"/>
        <v>0</v>
      </c>
      <c r="T581">
        <f t="shared" si="989"/>
        <v>0</v>
      </c>
    </row>
    <row r="582" spans="1:20" x14ac:dyDescent="0.25">
      <c r="A582" s="5"/>
      <c r="C582"/>
      <c r="D582"/>
      <c r="P582">
        <f t="shared" ref="P582:P645" si="990">IF(C582=D582,0,((E582-D582)-(C582-E582))/(C582-D582))</f>
        <v>0</v>
      </c>
      <c r="Q582">
        <f t="shared" ref="Q582:Q645" si="991">F582*P582</f>
        <v>0</v>
      </c>
      <c r="R582">
        <f t="shared" ref="R582:R645" si="992">R583+Q582</f>
        <v>0</v>
      </c>
      <c r="S582">
        <f t="shared" ref="S582:S645" si="993">R582/100000</f>
        <v>0</v>
      </c>
      <c r="T582">
        <f t="shared" ref="T582:T645" si="994">S582/1000</f>
        <v>0</v>
      </c>
    </row>
    <row r="583" spans="1:20" x14ac:dyDescent="0.25">
      <c r="A583" s="5"/>
      <c r="C583"/>
      <c r="D583"/>
      <c r="P583">
        <f t="shared" si="990"/>
        <v>0</v>
      </c>
      <c r="Q583">
        <f t="shared" si="991"/>
        <v>0</v>
      </c>
      <c r="R583">
        <f t="shared" si="992"/>
        <v>0</v>
      </c>
      <c r="S583">
        <f t="shared" si="993"/>
        <v>0</v>
      </c>
      <c r="T583">
        <f t="shared" si="994"/>
        <v>0</v>
      </c>
    </row>
    <row r="584" spans="1:20" x14ac:dyDescent="0.25">
      <c r="A584" s="5"/>
      <c r="C584"/>
      <c r="D584"/>
      <c r="P584">
        <f t="shared" si="990"/>
        <v>0</v>
      </c>
      <c r="Q584">
        <f t="shared" si="991"/>
        <v>0</v>
      </c>
      <c r="R584">
        <f t="shared" si="992"/>
        <v>0</v>
      </c>
      <c r="S584">
        <f t="shared" si="993"/>
        <v>0</v>
      </c>
      <c r="T584">
        <f t="shared" si="994"/>
        <v>0</v>
      </c>
    </row>
    <row r="585" spans="1:20" x14ac:dyDescent="0.25">
      <c r="A585" s="5"/>
      <c r="C585"/>
      <c r="D585"/>
      <c r="P585">
        <f t="shared" si="990"/>
        <v>0</v>
      </c>
      <c r="Q585">
        <f t="shared" si="991"/>
        <v>0</v>
      </c>
      <c r="R585">
        <f t="shared" si="992"/>
        <v>0</v>
      </c>
      <c r="S585">
        <f t="shared" si="993"/>
        <v>0</v>
      </c>
      <c r="T585">
        <f t="shared" si="994"/>
        <v>0</v>
      </c>
    </row>
    <row r="586" spans="1:20" x14ac:dyDescent="0.25">
      <c r="A586" s="5"/>
      <c r="C586"/>
      <c r="D586"/>
      <c r="P586">
        <f t="shared" si="990"/>
        <v>0</v>
      </c>
      <c r="Q586">
        <f t="shared" si="991"/>
        <v>0</v>
      </c>
      <c r="R586">
        <f t="shared" si="992"/>
        <v>0</v>
      </c>
      <c r="S586">
        <f t="shared" si="993"/>
        <v>0</v>
      </c>
      <c r="T586">
        <f t="shared" si="994"/>
        <v>0</v>
      </c>
    </row>
    <row r="587" spans="1:20" x14ac:dyDescent="0.25">
      <c r="A587" s="5"/>
      <c r="C587"/>
      <c r="D587"/>
      <c r="P587">
        <f t="shared" si="990"/>
        <v>0</v>
      </c>
      <c r="Q587">
        <f t="shared" si="991"/>
        <v>0</v>
      </c>
      <c r="R587">
        <f t="shared" si="992"/>
        <v>0</v>
      </c>
      <c r="S587">
        <f t="shared" si="993"/>
        <v>0</v>
      </c>
      <c r="T587">
        <f t="shared" si="994"/>
        <v>0</v>
      </c>
    </row>
    <row r="588" spans="1:20" x14ac:dyDescent="0.25">
      <c r="A588" s="5"/>
      <c r="C588"/>
      <c r="D588"/>
      <c r="P588">
        <f t="shared" si="990"/>
        <v>0</v>
      </c>
      <c r="Q588">
        <f t="shared" si="991"/>
        <v>0</v>
      </c>
      <c r="R588">
        <f t="shared" si="992"/>
        <v>0</v>
      </c>
      <c r="S588">
        <f t="shared" si="993"/>
        <v>0</v>
      </c>
      <c r="T588">
        <f t="shared" si="994"/>
        <v>0</v>
      </c>
    </row>
    <row r="589" spans="1:20" x14ac:dyDescent="0.25">
      <c r="A589" s="5"/>
      <c r="C589"/>
      <c r="D589"/>
      <c r="P589">
        <f t="shared" si="990"/>
        <v>0</v>
      </c>
      <c r="Q589">
        <f t="shared" si="991"/>
        <v>0</v>
      </c>
      <c r="R589">
        <f t="shared" si="992"/>
        <v>0</v>
      </c>
      <c r="S589">
        <f t="shared" si="993"/>
        <v>0</v>
      </c>
      <c r="T589">
        <f t="shared" si="994"/>
        <v>0</v>
      </c>
    </row>
    <row r="590" spans="1:20" x14ac:dyDescent="0.25">
      <c r="A590" s="5"/>
      <c r="C590"/>
      <c r="D590"/>
      <c r="P590">
        <f t="shared" si="990"/>
        <v>0</v>
      </c>
      <c r="Q590">
        <f t="shared" si="991"/>
        <v>0</v>
      </c>
      <c r="R590">
        <f t="shared" si="992"/>
        <v>0</v>
      </c>
      <c r="S590">
        <f t="shared" si="993"/>
        <v>0</v>
      </c>
      <c r="T590">
        <f t="shared" si="994"/>
        <v>0</v>
      </c>
    </row>
    <row r="591" spans="1:20" x14ac:dyDescent="0.25">
      <c r="A591" s="5"/>
      <c r="C591"/>
      <c r="D591"/>
      <c r="P591">
        <f t="shared" si="990"/>
        <v>0</v>
      </c>
      <c r="Q591">
        <f t="shared" si="991"/>
        <v>0</v>
      </c>
      <c r="R591">
        <f t="shared" si="992"/>
        <v>0</v>
      </c>
      <c r="S591">
        <f t="shared" si="993"/>
        <v>0</v>
      </c>
      <c r="T591">
        <f t="shared" si="994"/>
        <v>0</v>
      </c>
    </row>
    <row r="592" spans="1:20" x14ac:dyDescent="0.25">
      <c r="A592" s="5"/>
      <c r="C592"/>
      <c r="D592"/>
      <c r="P592">
        <f t="shared" si="990"/>
        <v>0</v>
      </c>
      <c r="Q592">
        <f t="shared" si="991"/>
        <v>0</v>
      </c>
      <c r="R592">
        <f t="shared" si="992"/>
        <v>0</v>
      </c>
      <c r="S592">
        <f t="shared" si="993"/>
        <v>0</v>
      </c>
      <c r="T592">
        <f t="shared" si="994"/>
        <v>0</v>
      </c>
    </row>
    <row r="593" spans="1:20" x14ac:dyDescent="0.25">
      <c r="A593" s="5"/>
      <c r="C593"/>
      <c r="D593"/>
      <c r="P593">
        <f t="shared" si="990"/>
        <v>0</v>
      </c>
      <c r="Q593">
        <f t="shared" si="991"/>
        <v>0</v>
      </c>
      <c r="R593">
        <f t="shared" si="992"/>
        <v>0</v>
      </c>
      <c r="S593">
        <f t="shared" si="993"/>
        <v>0</v>
      </c>
      <c r="T593">
        <f t="shared" si="994"/>
        <v>0</v>
      </c>
    </row>
    <row r="594" spans="1:20" x14ac:dyDescent="0.25">
      <c r="A594" s="5"/>
      <c r="C594"/>
      <c r="D594"/>
      <c r="P594">
        <f t="shared" si="990"/>
        <v>0</v>
      </c>
      <c r="Q594">
        <f t="shared" si="991"/>
        <v>0</v>
      </c>
      <c r="R594">
        <f t="shared" si="992"/>
        <v>0</v>
      </c>
      <c r="S594">
        <f t="shared" si="993"/>
        <v>0</v>
      </c>
      <c r="T594">
        <f t="shared" si="994"/>
        <v>0</v>
      </c>
    </row>
    <row r="595" spans="1:20" x14ac:dyDescent="0.25">
      <c r="A595" s="5"/>
      <c r="C595"/>
      <c r="D595"/>
      <c r="P595">
        <f t="shared" si="990"/>
        <v>0</v>
      </c>
      <c r="Q595">
        <f t="shared" si="991"/>
        <v>0</v>
      </c>
      <c r="R595">
        <f t="shared" si="992"/>
        <v>0</v>
      </c>
      <c r="S595">
        <f t="shared" si="993"/>
        <v>0</v>
      </c>
      <c r="T595">
        <f t="shared" si="994"/>
        <v>0</v>
      </c>
    </row>
    <row r="596" spans="1:20" x14ac:dyDescent="0.25">
      <c r="A596" s="5"/>
      <c r="C596"/>
      <c r="D596"/>
      <c r="P596">
        <f t="shared" si="990"/>
        <v>0</v>
      </c>
      <c r="Q596">
        <f t="shared" si="991"/>
        <v>0</v>
      </c>
      <c r="R596">
        <f t="shared" si="992"/>
        <v>0</v>
      </c>
      <c r="S596">
        <f t="shared" si="993"/>
        <v>0</v>
      </c>
      <c r="T596">
        <f t="shared" si="994"/>
        <v>0</v>
      </c>
    </row>
    <row r="597" spans="1:20" x14ac:dyDescent="0.25">
      <c r="A597" s="5"/>
      <c r="C597"/>
      <c r="D597"/>
      <c r="P597">
        <f t="shared" si="990"/>
        <v>0</v>
      </c>
      <c r="Q597">
        <f t="shared" si="991"/>
        <v>0</v>
      </c>
      <c r="R597">
        <f t="shared" si="992"/>
        <v>0</v>
      </c>
      <c r="S597">
        <f t="shared" si="993"/>
        <v>0</v>
      </c>
      <c r="T597">
        <f t="shared" si="994"/>
        <v>0</v>
      </c>
    </row>
    <row r="598" spans="1:20" x14ac:dyDescent="0.25">
      <c r="A598" s="5"/>
      <c r="C598"/>
      <c r="D598"/>
      <c r="P598">
        <f t="shared" si="990"/>
        <v>0</v>
      </c>
      <c r="Q598">
        <f t="shared" si="991"/>
        <v>0</v>
      </c>
      <c r="R598">
        <f t="shared" si="992"/>
        <v>0</v>
      </c>
      <c r="S598">
        <f t="shared" si="993"/>
        <v>0</v>
      </c>
      <c r="T598">
        <f t="shared" si="994"/>
        <v>0</v>
      </c>
    </row>
    <row r="599" spans="1:20" x14ac:dyDescent="0.25">
      <c r="A599" s="5"/>
      <c r="C599"/>
      <c r="D599"/>
      <c r="P599">
        <f t="shared" si="990"/>
        <v>0</v>
      </c>
      <c r="Q599">
        <f t="shared" si="991"/>
        <v>0</v>
      </c>
      <c r="R599">
        <f t="shared" si="992"/>
        <v>0</v>
      </c>
      <c r="S599">
        <f t="shared" si="993"/>
        <v>0</v>
      </c>
      <c r="T599">
        <f t="shared" si="994"/>
        <v>0</v>
      </c>
    </row>
    <row r="600" spans="1:20" x14ac:dyDescent="0.25">
      <c r="A600" s="5"/>
      <c r="C600"/>
      <c r="D600"/>
      <c r="P600">
        <f t="shared" si="990"/>
        <v>0</v>
      </c>
      <c r="Q600">
        <f t="shared" si="991"/>
        <v>0</v>
      </c>
      <c r="R600">
        <f t="shared" si="992"/>
        <v>0</v>
      </c>
      <c r="S600">
        <f t="shared" si="993"/>
        <v>0</v>
      </c>
      <c r="T600">
        <f t="shared" si="994"/>
        <v>0</v>
      </c>
    </row>
    <row r="601" spans="1:20" x14ac:dyDescent="0.25">
      <c r="A601" s="5"/>
      <c r="C601"/>
      <c r="D601"/>
      <c r="P601">
        <f t="shared" si="990"/>
        <v>0</v>
      </c>
      <c r="Q601">
        <f t="shared" si="991"/>
        <v>0</v>
      </c>
      <c r="R601">
        <f t="shared" si="992"/>
        <v>0</v>
      </c>
      <c r="S601">
        <f t="shared" si="993"/>
        <v>0</v>
      </c>
      <c r="T601">
        <f t="shared" si="994"/>
        <v>0</v>
      </c>
    </row>
    <row r="602" spans="1:20" x14ac:dyDescent="0.25">
      <c r="A602" s="5"/>
      <c r="C602"/>
      <c r="D602"/>
      <c r="P602">
        <f t="shared" si="990"/>
        <v>0</v>
      </c>
      <c r="Q602">
        <f t="shared" si="991"/>
        <v>0</v>
      </c>
      <c r="R602">
        <f t="shared" si="992"/>
        <v>0</v>
      </c>
      <c r="S602">
        <f t="shared" si="993"/>
        <v>0</v>
      </c>
      <c r="T602">
        <f t="shared" si="994"/>
        <v>0</v>
      </c>
    </row>
    <row r="603" spans="1:20" x14ac:dyDescent="0.25">
      <c r="A603" s="5"/>
      <c r="C603"/>
      <c r="D603"/>
      <c r="P603">
        <f t="shared" si="990"/>
        <v>0</v>
      </c>
      <c r="Q603">
        <f t="shared" si="991"/>
        <v>0</v>
      </c>
      <c r="R603">
        <f t="shared" si="992"/>
        <v>0</v>
      </c>
      <c r="S603">
        <f t="shared" si="993"/>
        <v>0</v>
      </c>
      <c r="T603">
        <f t="shared" si="994"/>
        <v>0</v>
      </c>
    </row>
    <row r="604" spans="1:20" x14ac:dyDescent="0.25">
      <c r="A604" s="5"/>
      <c r="C604"/>
      <c r="D604"/>
      <c r="P604">
        <f t="shared" si="990"/>
        <v>0</v>
      </c>
      <c r="Q604">
        <f t="shared" si="991"/>
        <v>0</v>
      </c>
      <c r="R604">
        <f t="shared" si="992"/>
        <v>0</v>
      </c>
      <c r="S604">
        <f t="shared" si="993"/>
        <v>0</v>
      </c>
      <c r="T604">
        <f t="shared" si="994"/>
        <v>0</v>
      </c>
    </row>
    <row r="605" spans="1:20" x14ac:dyDescent="0.25">
      <c r="A605" s="5"/>
      <c r="C605"/>
      <c r="D605"/>
      <c r="P605">
        <f t="shared" si="990"/>
        <v>0</v>
      </c>
      <c r="Q605">
        <f t="shared" si="991"/>
        <v>0</v>
      </c>
      <c r="R605">
        <f t="shared" si="992"/>
        <v>0</v>
      </c>
      <c r="S605">
        <f t="shared" si="993"/>
        <v>0</v>
      </c>
      <c r="T605">
        <f t="shared" si="994"/>
        <v>0</v>
      </c>
    </row>
    <row r="606" spans="1:20" x14ac:dyDescent="0.25">
      <c r="A606" s="5"/>
      <c r="C606"/>
      <c r="D606"/>
      <c r="P606">
        <f t="shared" si="990"/>
        <v>0</v>
      </c>
      <c r="Q606">
        <f t="shared" si="991"/>
        <v>0</v>
      </c>
      <c r="R606">
        <f t="shared" si="992"/>
        <v>0</v>
      </c>
      <c r="S606">
        <f t="shared" si="993"/>
        <v>0</v>
      </c>
      <c r="T606">
        <f t="shared" si="994"/>
        <v>0</v>
      </c>
    </row>
    <row r="607" spans="1:20" x14ac:dyDescent="0.25">
      <c r="A607" s="5"/>
      <c r="C607"/>
      <c r="D607"/>
      <c r="P607">
        <f t="shared" si="990"/>
        <v>0</v>
      </c>
      <c r="Q607">
        <f t="shared" si="991"/>
        <v>0</v>
      </c>
      <c r="R607">
        <f t="shared" si="992"/>
        <v>0</v>
      </c>
      <c r="S607">
        <f t="shared" si="993"/>
        <v>0</v>
      </c>
      <c r="T607">
        <f t="shared" si="994"/>
        <v>0</v>
      </c>
    </row>
    <row r="608" spans="1:20" x14ac:dyDescent="0.25">
      <c r="A608" s="5"/>
      <c r="C608"/>
      <c r="D608"/>
      <c r="P608">
        <f t="shared" si="990"/>
        <v>0</v>
      </c>
      <c r="Q608">
        <f t="shared" si="991"/>
        <v>0</v>
      </c>
      <c r="R608">
        <f t="shared" si="992"/>
        <v>0</v>
      </c>
      <c r="S608">
        <f t="shared" si="993"/>
        <v>0</v>
      </c>
      <c r="T608">
        <f t="shared" si="994"/>
        <v>0</v>
      </c>
    </row>
    <row r="609" spans="1:20" x14ac:dyDescent="0.25">
      <c r="A609" s="5"/>
      <c r="C609"/>
      <c r="D609"/>
      <c r="P609">
        <f t="shared" si="990"/>
        <v>0</v>
      </c>
      <c r="Q609">
        <f t="shared" si="991"/>
        <v>0</v>
      </c>
      <c r="R609">
        <f t="shared" si="992"/>
        <v>0</v>
      </c>
      <c r="S609">
        <f t="shared" si="993"/>
        <v>0</v>
      </c>
      <c r="T609">
        <f t="shared" si="994"/>
        <v>0</v>
      </c>
    </row>
    <row r="610" spans="1:20" x14ac:dyDescent="0.25">
      <c r="A610" s="5"/>
      <c r="C610"/>
      <c r="D610"/>
      <c r="P610">
        <f t="shared" si="990"/>
        <v>0</v>
      </c>
      <c r="Q610">
        <f t="shared" si="991"/>
        <v>0</v>
      </c>
      <c r="R610">
        <f t="shared" si="992"/>
        <v>0</v>
      </c>
      <c r="S610">
        <f t="shared" si="993"/>
        <v>0</v>
      </c>
      <c r="T610">
        <f t="shared" si="994"/>
        <v>0</v>
      </c>
    </row>
    <row r="611" spans="1:20" x14ac:dyDescent="0.25">
      <c r="A611" s="5"/>
      <c r="C611"/>
      <c r="D611"/>
      <c r="P611">
        <f t="shared" si="990"/>
        <v>0</v>
      </c>
      <c r="Q611">
        <f t="shared" si="991"/>
        <v>0</v>
      </c>
      <c r="R611">
        <f t="shared" si="992"/>
        <v>0</v>
      </c>
      <c r="S611">
        <f t="shared" si="993"/>
        <v>0</v>
      </c>
      <c r="T611">
        <f t="shared" si="994"/>
        <v>0</v>
      </c>
    </row>
    <row r="612" spans="1:20" x14ac:dyDescent="0.25">
      <c r="A612" s="5"/>
      <c r="C612"/>
      <c r="D612"/>
      <c r="P612">
        <f t="shared" si="990"/>
        <v>0</v>
      </c>
      <c r="Q612">
        <f t="shared" si="991"/>
        <v>0</v>
      </c>
      <c r="R612">
        <f t="shared" si="992"/>
        <v>0</v>
      </c>
      <c r="S612">
        <f t="shared" si="993"/>
        <v>0</v>
      </c>
      <c r="T612">
        <f t="shared" si="994"/>
        <v>0</v>
      </c>
    </row>
    <row r="613" spans="1:20" x14ac:dyDescent="0.25">
      <c r="A613" s="5"/>
      <c r="C613"/>
      <c r="D613"/>
      <c r="P613">
        <f t="shared" si="990"/>
        <v>0</v>
      </c>
      <c r="Q613">
        <f t="shared" si="991"/>
        <v>0</v>
      </c>
      <c r="R613">
        <f t="shared" si="992"/>
        <v>0</v>
      </c>
      <c r="S613">
        <f t="shared" si="993"/>
        <v>0</v>
      </c>
      <c r="T613">
        <f t="shared" si="994"/>
        <v>0</v>
      </c>
    </row>
    <row r="614" spans="1:20" x14ac:dyDescent="0.25">
      <c r="A614" s="5"/>
      <c r="C614"/>
      <c r="D614"/>
      <c r="P614">
        <f t="shared" si="990"/>
        <v>0</v>
      </c>
      <c r="Q614">
        <f t="shared" si="991"/>
        <v>0</v>
      </c>
      <c r="R614">
        <f t="shared" si="992"/>
        <v>0</v>
      </c>
      <c r="S614">
        <f t="shared" si="993"/>
        <v>0</v>
      </c>
      <c r="T614">
        <f t="shared" si="994"/>
        <v>0</v>
      </c>
    </row>
    <row r="615" spans="1:20" x14ac:dyDescent="0.25">
      <c r="A615" s="5"/>
      <c r="C615"/>
      <c r="D615"/>
      <c r="P615">
        <f t="shared" si="990"/>
        <v>0</v>
      </c>
      <c r="Q615">
        <f t="shared" si="991"/>
        <v>0</v>
      </c>
      <c r="R615">
        <f t="shared" si="992"/>
        <v>0</v>
      </c>
      <c r="S615">
        <f t="shared" si="993"/>
        <v>0</v>
      </c>
      <c r="T615">
        <f t="shared" si="994"/>
        <v>0</v>
      </c>
    </row>
    <row r="616" spans="1:20" x14ac:dyDescent="0.25">
      <c r="A616" s="5"/>
      <c r="C616"/>
      <c r="D616"/>
      <c r="P616">
        <f t="shared" si="990"/>
        <v>0</v>
      </c>
      <c r="Q616">
        <f t="shared" si="991"/>
        <v>0</v>
      </c>
      <c r="R616">
        <f t="shared" si="992"/>
        <v>0</v>
      </c>
      <c r="S616">
        <f t="shared" si="993"/>
        <v>0</v>
      </c>
      <c r="T616">
        <f t="shared" si="994"/>
        <v>0</v>
      </c>
    </row>
    <row r="617" spans="1:20" x14ac:dyDescent="0.25">
      <c r="A617" s="5"/>
      <c r="C617"/>
      <c r="D617"/>
      <c r="P617">
        <f t="shared" si="990"/>
        <v>0</v>
      </c>
      <c r="Q617">
        <f t="shared" si="991"/>
        <v>0</v>
      </c>
      <c r="R617">
        <f t="shared" si="992"/>
        <v>0</v>
      </c>
      <c r="S617">
        <f t="shared" si="993"/>
        <v>0</v>
      </c>
      <c r="T617">
        <f t="shared" si="994"/>
        <v>0</v>
      </c>
    </row>
    <row r="618" spans="1:20" x14ac:dyDescent="0.25">
      <c r="A618" s="5"/>
      <c r="C618"/>
      <c r="D618"/>
      <c r="P618">
        <f t="shared" si="990"/>
        <v>0</v>
      </c>
      <c r="Q618">
        <f t="shared" si="991"/>
        <v>0</v>
      </c>
      <c r="R618">
        <f t="shared" si="992"/>
        <v>0</v>
      </c>
      <c r="S618">
        <f t="shared" si="993"/>
        <v>0</v>
      </c>
      <c r="T618">
        <f t="shared" si="994"/>
        <v>0</v>
      </c>
    </row>
    <row r="619" spans="1:20" x14ac:dyDescent="0.25">
      <c r="A619" s="5"/>
      <c r="C619"/>
      <c r="D619"/>
      <c r="P619">
        <f t="shared" si="990"/>
        <v>0</v>
      </c>
      <c r="Q619">
        <f t="shared" si="991"/>
        <v>0</v>
      </c>
      <c r="R619">
        <f t="shared" si="992"/>
        <v>0</v>
      </c>
      <c r="S619">
        <f t="shared" si="993"/>
        <v>0</v>
      </c>
      <c r="T619">
        <f t="shared" si="994"/>
        <v>0</v>
      </c>
    </row>
    <row r="620" spans="1:20" x14ac:dyDescent="0.25">
      <c r="A620" s="5"/>
      <c r="C620"/>
      <c r="D620"/>
      <c r="P620">
        <f t="shared" si="990"/>
        <v>0</v>
      </c>
      <c r="Q620">
        <f t="shared" si="991"/>
        <v>0</v>
      </c>
      <c r="R620">
        <f t="shared" si="992"/>
        <v>0</v>
      </c>
      <c r="S620">
        <f t="shared" si="993"/>
        <v>0</v>
      </c>
      <c r="T620">
        <f t="shared" si="994"/>
        <v>0</v>
      </c>
    </row>
    <row r="621" spans="1:20" x14ac:dyDescent="0.25">
      <c r="A621" s="5"/>
      <c r="C621"/>
      <c r="D621"/>
      <c r="P621">
        <f t="shared" si="990"/>
        <v>0</v>
      </c>
      <c r="Q621">
        <f t="shared" si="991"/>
        <v>0</v>
      </c>
      <c r="R621">
        <f t="shared" si="992"/>
        <v>0</v>
      </c>
      <c r="S621">
        <f t="shared" si="993"/>
        <v>0</v>
      </c>
      <c r="T621">
        <f t="shared" si="994"/>
        <v>0</v>
      </c>
    </row>
    <row r="622" spans="1:20" x14ac:dyDescent="0.25">
      <c r="A622" s="5"/>
      <c r="C622"/>
      <c r="D622"/>
      <c r="P622">
        <f t="shared" si="990"/>
        <v>0</v>
      </c>
      <c r="Q622">
        <f t="shared" si="991"/>
        <v>0</v>
      </c>
      <c r="R622">
        <f t="shared" si="992"/>
        <v>0</v>
      </c>
      <c r="S622">
        <f t="shared" si="993"/>
        <v>0</v>
      </c>
      <c r="T622">
        <f t="shared" si="994"/>
        <v>0</v>
      </c>
    </row>
    <row r="623" spans="1:20" x14ac:dyDescent="0.25">
      <c r="A623" s="5"/>
      <c r="C623"/>
      <c r="D623"/>
      <c r="P623">
        <f t="shared" si="990"/>
        <v>0</v>
      </c>
      <c r="Q623">
        <f t="shared" si="991"/>
        <v>0</v>
      </c>
      <c r="R623">
        <f t="shared" si="992"/>
        <v>0</v>
      </c>
      <c r="S623">
        <f t="shared" si="993"/>
        <v>0</v>
      </c>
      <c r="T623">
        <f t="shared" si="994"/>
        <v>0</v>
      </c>
    </row>
    <row r="624" spans="1:20" x14ac:dyDescent="0.25">
      <c r="A624" s="5"/>
      <c r="C624"/>
      <c r="D624"/>
      <c r="P624">
        <f t="shared" si="990"/>
        <v>0</v>
      </c>
      <c r="Q624">
        <f t="shared" si="991"/>
        <v>0</v>
      </c>
      <c r="R624">
        <f t="shared" si="992"/>
        <v>0</v>
      </c>
      <c r="S624">
        <f t="shared" si="993"/>
        <v>0</v>
      </c>
      <c r="T624">
        <f t="shared" si="994"/>
        <v>0</v>
      </c>
    </row>
    <row r="625" spans="1:20" x14ac:dyDescent="0.25">
      <c r="A625" s="5"/>
      <c r="C625"/>
      <c r="D625"/>
      <c r="P625">
        <f t="shared" si="990"/>
        <v>0</v>
      </c>
      <c r="Q625">
        <f t="shared" si="991"/>
        <v>0</v>
      </c>
      <c r="R625">
        <f t="shared" si="992"/>
        <v>0</v>
      </c>
      <c r="S625">
        <f t="shared" si="993"/>
        <v>0</v>
      </c>
      <c r="T625">
        <f t="shared" si="994"/>
        <v>0</v>
      </c>
    </row>
    <row r="626" spans="1:20" x14ac:dyDescent="0.25">
      <c r="A626" s="5"/>
      <c r="C626"/>
      <c r="D626"/>
      <c r="P626">
        <f t="shared" si="990"/>
        <v>0</v>
      </c>
      <c r="Q626">
        <f t="shared" si="991"/>
        <v>0</v>
      </c>
      <c r="R626">
        <f t="shared" si="992"/>
        <v>0</v>
      </c>
      <c r="S626">
        <f t="shared" si="993"/>
        <v>0</v>
      </c>
      <c r="T626">
        <f t="shared" si="994"/>
        <v>0</v>
      </c>
    </row>
    <row r="627" spans="1:20" x14ac:dyDescent="0.25">
      <c r="A627" s="5"/>
      <c r="C627"/>
      <c r="D627"/>
      <c r="P627">
        <f t="shared" si="990"/>
        <v>0</v>
      </c>
      <c r="Q627">
        <f t="shared" si="991"/>
        <v>0</v>
      </c>
      <c r="R627">
        <f t="shared" si="992"/>
        <v>0</v>
      </c>
      <c r="S627">
        <f t="shared" si="993"/>
        <v>0</v>
      </c>
      <c r="T627">
        <f t="shared" si="994"/>
        <v>0</v>
      </c>
    </row>
    <row r="628" spans="1:20" x14ac:dyDescent="0.25">
      <c r="A628" s="5"/>
      <c r="C628"/>
      <c r="D628"/>
      <c r="P628">
        <f t="shared" si="990"/>
        <v>0</v>
      </c>
      <c r="Q628">
        <f t="shared" si="991"/>
        <v>0</v>
      </c>
      <c r="R628">
        <f t="shared" si="992"/>
        <v>0</v>
      </c>
      <c r="S628">
        <f t="shared" si="993"/>
        <v>0</v>
      </c>
      <c r="T628">
        <f t="shared" si="994"/>
        <v>0</v>
      </c>
    </row>
    <row r="629" spans="1:20" x14ac:dyDescent="0.25">
      <c r="A629" s="5"/>
      <c r="C629"/>
      <c r="D629"/>
      <c r="P629">
        <f t="shared" si="990"/>
        <v>0</v>
      </c>
      <c r="Q629">
        <f t="shared" si="991"/>
        <v>0</v>
      </c>
      <c r="R629">
        <f t="shared" si="992"/>
        <v>0</v>
      </c>
      <c r="S629">
        <f t="shared" si="993"/>
        <v>0</v>
      </c>
      <c r="T629">
        <f t="shared" si="994"/>
        <v>0</v>
      </c>
    </row>
    <row r="630" spans="1:20" x14ac:dyDescent="0.25">
      <c r="A630" s="5"/>
      <c r="C630"/>
      <c r="D630"/>
      <c r="P630">
        <f t="shared" si="990"/>
        <v>0</v>
      </c>
      <c r="Q630">
        <f t="shared" si="991"/>
        <v>0</v>
      </c>
      <c r="R630">
        <f t="shared" si="992"/>
        <v>0</v>
      </c>
      <c r="S630">
        <f t="shared" si="993"/>
        <v>0</v>
      </c>
      <c r="T630">
        <f t="shared" si="994"/>
        <v>0</v>
      </c>
    </row>
    <row r="631" spans="1:20" x14ac:dyDescent="0.25">
      <c r="A631" s="5"/>
      <c r="C631"/>
      <c r="D631"/>
      <c r="P631">
        <f t="shared" si="990"/>
        <v>0</v>
      </c>
      <c r="Q631">
        <f t="shared" si="991"/>
        <v>0</v>
      </c>
      <c r="R631">
        <f t="shared" si="992"/>
        <v>0</v>
      </c>
      <c r="S631">
        <f t="shared" si="993"/>
        <v>0</v>
      </c>
      <c r="T631">
        <f t="shared" si="994"/>
        <v>0</v>
      </c>
    </row>
    <row r="632" spans="1:20" x14ac:dyDescent="0.25">
      <c r="A632" s="5"/>
      <c r="C632"/>
      <c r="D632"/>
      <c r="P632">
        <f t="shared" si="990"/>
        <v>0</v>
      </c>
      <c r="Q632">
        <f t="shared" si="991"/>
        <v>0</v>
      </c>
      <c r="R632">
        <f t="shared" si="992"/>
        <v>0</v>
      </c>
      <c r="S632">
        <f t="shared" si="993"/>
        <v>0</v>
      </c>
      <c r="T632">
        <f t="shared" si="994"/>
        <v>0</v>
      </c>
    </row>
    <row r="633" spans="1:20" x14ac:dyDescent="0.25">
      <c r="A633" s="5"/>
      <c r="C633"/>
      <c r="D633"/>
      <c r="P633">
        <f t="shared" si="990"/>
        <v>0</v>
      </c>
      <c r="Q633">
        <f t="shared" si="991"/>
        <v>0</v>
      </c>
      <c r="R633">
        <f t="shared" si="992"/>
        <v>0</v>
      </c>
      <c r="S633">
        <f t="shared" si="993"/>
        <v>0</v>
      </c>
      <c r="T633">
        <f t="shared" si="994"/>
        <v>0</v>
      </c>
    </row>
    <row r="634" spans="1:20" x14ac:dyDescent="0.25">
      <c r="A634" s="5"/>
      <c r="C634"/>
      <c r="D634"/>
      <c r="P634">
        <f t="shared" si="990"/>
        <v>0</v>
      </c>
      <c r="Q634">
        <f t="shared" si="991"/>
        <v>0</v>
      </c>
      <c r="R634">
        <f t="shared" si="992"/>
        <v>0</v>
      </c>
      <c r="S634">
        <f t="shared" si="993"/>
        <v>0</v>
      </c>
      <c r="T634">
        <f t="shared" si="994"/>
        <v>0</v>
      </c>
    </row>
    <row r="635" spans="1:20" x14ac:dyDescent="0.25">
      <c r="A635" s="5"/>
      <c r="C635"/>
      <c r="D635"/>
      <c r="P635">
        <f t="shared" si="990"/>
        <v>0</v>
      </c>
      <c r="Q635">
        <f t="shared" si="991"/>
        <v>0</v>
      </c>
      <c r="R635">
        <f t="shared" si="992"/>
        <v>0</v>
      </c>
      <c r="S635">
        <f t="shared" si="993"/>
        <v>0</v>
      </c>
      <c r="T635">
        <f t="shared" si="994"/>
        <v>0</v>
      </c>
    </row>
    <row r="636" spans="1:20" x14ac:dyDescent="0.25">
      <c r="A636" s="5"/>
      <c r="C636"/>
      <c r="D636"/>
      <c r="P636">
        <f t="shared" si="990"/>
        <v>0</v>
      </c>
      <c r="Q636">
        <f t="shared" si="991"/>
        <v>0</v>
      </c>
      <c r="R636">
        <f t="shared" si="992"/>
        <v>0</v>
      </c>
      <c r="S636">
        <f t="shared" si="993"/>
        <v>0</v>
      </c>
      <c r="T636">
        <f t="shared" si="994"/>
        <v>0</v>
      </c>
    </row>
    <row r="637" spans="1:20" x14ac:dyDescent="0.25">
      <c r="A637" s="5"/>
      <c r="C637"/>
      <c r="D637"/>
      <c r="P637">
        <f t="shared" si="990"/>
        <v>0</v>
      </c>
      <c r="Q637">
        <f t="shared" si="991"/>
        <v>0</v>
      </c>
      <c r="R637">
        <f t="shared" si="992"/>
        <v>0</v>
      </c>
      <c r="S637">
        <f t="shared" si="993"/>
        <v>0</v>
      </c>
      <c r="T637">
        <f t="shared" si="994"/>
        <v>0</v>
      </c>
    </row>
    <row r="638" spans="1:20" x14ac:dyDescent="0.25">
      <c r="A638" s="5"/>
      <c r="C638"/>
      <c r="D638"/>
      <c r="P638">
        <f t="shared" si="990"/>
        <v>0</v>
      </c>
      <c r="Q638">
        <f t="shared" si="991"/>
        <v>0</v>
      </c>
      <c r="R638">
        <f t="shared" si="992"/>
        <v>0</v>
      </c>
      <c r="S638">
        <f t="shared" si="993"/>
        <v>0</v>
      </c>
      <c r="T638">
        <f t="shared" si="994"/>
        <v>0</v>
      </c>
    </row>
    <row r="639" spans="1:20" x14ac:dyDescent="0.25">
      <c r="A639" s="5"/>
      <c r="C639"/>
      <c r="D639"/>
      <c r="P639">
        <f t="shared" si="990"/>
        <v>0</v>
      </c>
      <c r="Q639">
        <f t="shared" si="991"/>
        <v>0</v>
      </c>
      <c r="R639">
        <f t="shared" si="992"/>
        <v>0</v>
      </c>
      <c r="S639">
        <f t="shared" si="993"/>
        <v>0</v>
      </c>
      <c r="T639">
        <f t="shared" si="994"/>
        <v>0</v>
      </c>
    </row>
    <row r="640" spans="1:20" x14ac:dyDescent="0.25">
      <c r="A640" s="5"/>
      <c r="C640"/>
      <c r="D640"/>
      <c r="P640">
        <f t="shared" si="990"/>
        <v>0</v>
      </c>
      <c r="Q640">
        <f t="shared" si="991"/>
        <v>0</v>
      </c>
      <c r="R640">
        <f t="shared" si="992"/>
        <v>0</v>
      </c>
      <c r="S640">
        <f t="shared" si="993"/>
        <v>0</v>
      </c>
      <c r="T640">
        <f t="shared" si="994"/>
        <v>0</v>
      </c>
    </row>
    <row r="641" spans="1:20" x14ac:dyDescent="0.25">
      <c r="A641" s="5"/>
      <c r="C641"/>
      <c r="D641"/>
      <c r="P641">
        <f t="shared" si="990"/>
        <v>0</v>
      </c>
      <c r="Q641">
        <f t="shared" si="991"/>
        <v>0</v>
      </c>
      <c r="R641">
        <f t="shared" si="992"/>
        <v>0</v>
      </c>
      <c r="S641">
        <f t="shared" si="993"/>
        <v>0</v>
      </c>
      <c r="T641">
        <f t="shared" si="994"/>
        <v>0</v>
      </c>
    </row>
    <row r="642" spans="1:20" x14ac:dyDescent="0.25">
      <c r="A642" s="5"/>
      <c r="C642"/>
      <c r="D642"/>
      <c r="P642">
        <f t="shared" si="990"/>
        <v>0</v>
      </c>
      <c r="Q642">
        <f t="shared" si="991"/>
        <v>0</v>
      </c>
      <c r="R642">
        <f t="shared" si="992"/>
        <v>0</v>
      </c>
      <c r="S642">
        <f t="shared" si="993"/>
        <v>0</v>
      </c>
      <c r="T642">
        <f t="shared" si="994"/>
        <v>0</v>
      </c>
    </row>
    <row r="643" spans="1:20" x14ac:dyDescent="0.25">
      <c r="A643" s="5"/>
      <c r="C643"/>
      <c r="D643"/>
      <c r="P643">
        <f t="shared" si="990"/>
        <v>0</v>
      </c>
      <c r="Q643">
        <f t="shared" si="991"/>
        <v>0</v>
      </c>
      <c r="R643">
        <f t="shared" si="992"/>
        <v>0</v>
      </c>
      <c r="S643">
        <f t="shared" si="993"/>
        <v>0</v>
      </c>
      <c r="T643">
        <f t="shared" si="994"/>
        <v>0</v>
      </c>
    </row>
    <row r="644" spans="1:20" x14ac:dyDescent="0.25">
      <c r="A644" s="5"/>
      <c r="C644"/>
      <c r="D644"/>
      <c r="P644">
        <f t="shared" si="990"/>
        <v>0</v>
      </c>
      <c r="Q644">
        <f t="shared" si="991"/>
        <v>0</v>
      </c>
      <c r="R644">
        <f t="shared" si="992"/>
        <v>0</v>
      </c>
      <c r="S644">
        <f t="shared" si="993"/>
        <v>0</v>
      </c>
      <c r="T644">
        <f t="shared" si="994"/>
        <v>0</v>
      </c>
    </row>
    <row r="645" spans="1:20" x14ac:dyDescent="0.25">
      <c r="A645" s="5"/>
      <c r="C645"/>
      <c r="D645"/>
      <c r="P645">
        <f t="shared" si="990"/>
        <v>0</v>
      </c>
      <c r="Q645">
        <f t="shared" si="991"/>
        <v>0</v>
      </c>
      <c r="R645">
        <f t="shared" si="992"/>
        <v>0</v>
      </c>
      <c r="S645">
        <f t="shared" si="993"/>
        <v>0</v>
      </c>
      <c r="T645">
        <f t="shared" si="994"/>
        <v>0</v>
      </c>
    </row>
    <row r="646" spans="1:20" x14ac:dyDescent="0.25">
      <c r="A646" s="5"/>
      <c r="C646"/>
      <c r="D646"/>
      <c r="P646">
        <f t="shared" ref="P646:P709" si="995">IF(C646=D646,0,((E646-D646)-(C646-E646))/(C646-D646))</f>
        <v>0</v>
      </c>
      <c r="Q646">
        <f t="shared" ref="Q646:Q709" si="996">F646*P646</f>
        <v>0</v>
      </c>
      <c r="R646">
        <f t="shared" ref="R646:R709" si="997">R647+Q646</f>
        <v>0</v>
      </c>
      <c r="S646">
        <f t="shared" ref="S646:S709" si="998">R646/100000</f>
        <v>0</v>
      </c>
      <c r="T646">
        <f t="shared" ref="T646:T709" si="999">S646/1000</f>
        <v>0</v>
      </c>
    </row>
    <row r="647" spans="1:20" x14ac:dyDescent="0.25">
      <c r="A647" s="5"/>
      <c r="C647"/>
      <c r="D647"/>
      <c r="P647">
        <f t="shared" si="995"/>
        <v>0</v>
      </c>
      <c r="Q647">
        <f t="shared" si="996"/>
        <v>0</v>
      </c>
      <c r="R647">
        <f t="shared" si="997"/>
        <v>0</v>
      </c>
      <c r="S647">
        <f t="shared" si="998"/>
        <v>0</v>
      </c>
      <c r="T647">
        <f t="shared" si="999"/>
        <v>0</v>
      </c>
    </row>
    <row r="648" spans="1:20" x14ac:dyDescent="0.25">
      <c r="A648" s="5"/>
      <c r="C648"/>
      <c r="D648"/>
      <c r="P648">
        <f t="shared" si="995"/>
        <v>0</v>
      </c>
      <c r="Q648">
        <f t="shared" si="996"/>
        <v>0</v>
      </c>
      <c r="R648">
        <f t="shared" si="997"/>
        <v>0</v>
      </c>
      <c r="S648">
        <f t="shared" si="998"/>
        <v>0</v>
      </c>
      <c r="T648">
        <f t="shared" si="999"/>
        <v>0</v>
      </c>
    </row>
    <row r="649" spans="1:20" x14ac:dyDescent="0.25">
      <c r="A649" s="5"/>
      <c r="C649"/>
      <c r="D649"/>
      <c r="P649">
        <f t="shared" si="995"/>
        <v>0</v>
      </c>
      <c r="Q649">
        <f t="shared" si="996"/>
        <v>0</v>
      </c>
      <c r="R649">
        <f t="shared" si="997"/>
        <v>0</v>
      </c>
      <c r="S649">
        <f t="shared" si="998"/>
        <v>0</v>
      </c>
      <c r="T649">
        <f t="shared" si="999"/>
        <v>0</v>
      </c>
    </row>
    <row r="650" spans="1:20" x14ac:dyDescent="0.25">
      <c r="A650" s="5"/>
      <c r="C650"/>
      <c r="D650"/>
      <c r="P650">
        <f t="shared" si="995"/>
        <v>0</v>
      </c>
      <c r="Q650">
        <f t="shared" si="996"/>
        <v>0</v>
      </c>
      <c r="R650">
        <f t="shared" si="997"/>
        <v>0</v>
      </c>
      <c r="S650">
        <f t="shared" si="998"/>
        <v>0</v>
      </c>
      <c r="T650">
        <f t="shared" si="999"/>
        <v>0</v>
      </c>
    </row>
    <row r="651" spans="1:20" x14ac:dyDescent="0.25">
      <c r="A651" s="5"/>
      <c r="C651"/>
      <c r="D651"/>
      <c r="P651">
        <f t="shared" si="995"/>
        <v>0</v>
      </c>
      <c r="Q651">
        <f t="shared" si="996"/>
        <v>0</v>
      </c>
      <c r="R651">
        <f t="shared" si="997"/>
        <v>0</v>
      </c>
      <c r="S651">
        <f t="shared" si="998"/>
        <v>0</v>
      </c>
      <c r="T651">
        <f t="shared" si="999"/>
        <v>0</v>
      </c>
    </row>
    <row r="652" spans="1:20" x14ac:dyDescent="0.25">
      <c r="A652" s="5"/>
      <c r="C652"/>
      <c r="D652"/>
      <c r="P652">
        <f t="shared" si="995"/>
        <v>0</v>
      </c>
      <c r="Q652">
        <f t="shared" si="996"/>
        <v>0</v>
      </c>
      <c r="R652">
        <f t="shared" si="997"/>
        <v>0</v>
      </c>
      <c r="S652">
        <f t="shared" si="998"/>
        <v>0</v>
      </c>
      <c r="T652">
        <f t="shared" si="999"/>
        <v>0</v>
      </c>
    </row>
    <row r="653" spans="1:20" x14ac:dyDescent="0.25">
      <c r="A653" s="5"/>
      <c r="C653"/>
      <c r="D653"/>
      <c r="P653">
        <f t="shared" si="995"/>
        <v>0</v>
      </c>
      <c r="Q653">
        <f t="shared" si="996"/>
        <v>0</v>
      </c>
      <c r="R653">
        <f t="shared" si="997"/>
        <v>0</v>
      </c>
      <c r="S653">
        <f t="shared" si="998"/>
        <v>0</v>
      </c>
      <c r="T653">
        <f t="shared" si="999"/>
        <v>0</v>
      </c>
    </row>
    <row r="654" spans="1:20" x14ac:dyDescent="0.25">
      <c r="A654" s="5"/>
      <c r="C654"/>
      <c r="D654"/>
      <c r="P654">
        <f t="shared" si="995"/>
        <v>0</v>
      </c>
      <c r="Q654">
        <f t="shared" si="996"/>
        <v>0</v>
      </c>
      <c r="R654">
        <f t="shared" si="997"/>
        <v>0</v>
      </c>
      <c r="S654">
        <f t="shared" si="998"/>
        <v>0</v>
      </c>
      <c r="T654">
        <f t="shared" si="999"/>
        <v>0</v>
      </c>
    </row>
    <row r="655" spans="1:20" x14ac:dyDescent="0.25">
      <c r="A655" s="5"/>
      <c r="C655"/>
      <c r="D655"/>
      <c r="P655">
        <f t="shared" si="995"/>
        <v>0</v>
      </c>
      <c r="Q655">
        <f t="shared" si="996"/>
        <v>0</v>
      </c>
      <c r="R655">
        <f t="shared" si="997"/>
        <v>0</v>
      </c>
      <c r="S655">
        <f t="shared" si="998"/>
        <v>0</v>
      </c>
      <c r="T655">
        <f t="shared" si="999"/>
        <v>0</v>
      </c>
    </row>
    <row r="656" spans="1:20" x14ac:dyDescent="0.25">
      <c r="A656" s="5"/>
      <c r="C656"/>
      <c r="D656"/>
      <c r="P656">
        <f t="shared" si="995"/>
        <v>0</v>
      </c>
      <c r="Q656">
        <f t="shared" si="996"/>
        <v>0</v>
      </c>
      <c r="R656">
        <f t="shared" si="997"/>
        <v>0</v>
      </c>
      <c r="S656">
        <f t="shared" si="998"/>
        <v>0</v>
      </c>
      <c r="T656">
        <f t="shared" si="999"/>
        <v>0</v>
      </c>
    </row>
    <row r="657" spans="1:20" x14ac:dyDescent="0.25">
      <c r="A657" s="5"/>
      <c r="C657"/>
      <c r="D657"/>
      <c r="P657">
        <f t="shared" si="995"/>
        <v>0</v>
      </c>
      <c r="Q657">
        <f t="shared" si="996"/>
        <v>0</v>
      </c>
      <c r="R657">
        <f t="shared" si="997"/>
        <v>0</v>
      </c>
      <c r="S657">
        <f t="shared" si="998"/>
        <v>0</v>
      </c>
      <c r="T657">
        <f t="shared" si="999"/>
        <v>0</v>
      </c>
    </row>
    <row r="658" spans="1:20" x14ac:dyDescent="0.25">
      <c r="A658" s="5"/>
      <c r="C658"/>
      <c r="D658"/>
      <c r="P658">
        <f t="shared" si="995"/>
        <v>0</v>
      </c>
      <c r="Q658">
        <f t="shared" si="996"/>
        <v>0</v>
      </c>
      <c r="R658">
        <f t="shared" si="997"/>
        <v>0</v>
      </c>
      <c r="S658">
        <f t="shared" si="998"/>
        <v>0</v>
      </c>
      <c r="T658">
        <f t="shared" si="999"/>
        <v>0</v>
      </c>
    </row>
    <row r="659" spans="1:20" x14ac:dyDescent="0.25">
      <c r="A659" s="5"/>
      <c r="C659"/>
      <c r="D659"/>
      <c r="P659">
        <f t="shared" si="995"/>
        <v>0</v>
      </c>
      <c r="Q659">
        <f t="shared" si="996"/>
        <v>0</v>
      </c>
      <c r="R659">
        <f t="shared" si="997"/>
        <v>0</v>
      </c>
      <c r="S659">
        <f t="shared" si="998"/>
        <v>0</v>
      </c>
      <c r="T659">
        <f t="shared" si="999"/>
        <v>0</v>
      </c>
    </row>
    <row r="660" spans="1:20" x14ac:dyDescent="0.25">
      <c r="A660" s="5"/>
      <c r="C660"/>
      <c r="D660"/>
      <c r="P660">
        <f t="shared" si="995"/>
        <v>0</v>
      </c>
      <c r="Q660">
        <f t="shared" si="996"/>
        <v>0</v>
      </c>
      <c r="R660">
        <f t="shared" si="997"/>
        <v>0</v>
      </c>
      <c r="S660">
        <f t="shared" si="998"/>
        <v>0</v>
      </c>
      <c r="T660">
        <f t="shared" si="999"/>
        <v>0</v>
      </c>
    </row>
    <row r="661" spans="1:20" x14ac:dyDescent="0.25">
      <c r="A661" s="5"/>
      <c r="P661">
        <f t="shared" si="995"/>
        <v>0</v>
      </c>
      <c r="Q661">
        <f t="shared" si="996"/>
        <v>0</v>
      </c>
      <c r="R661">
        <f t="shared" si="997"/>
        <v>0</v>
      </c>
      <c r="S661">
        <f t="shared" si="998"/>
        <v>0</v>
      </c>
      <c r="T661">
        <f t="shared" si="999"/>
        <v>0</v>
      </c>
    </row>
    <row r="662" spans="1:20" x14ac:dyDescent="0.25">
      <c r="A662" s="5"/>
      <c r="P662">
        <f t="shared" si="995"/>
        <v>0</v>
      </c>
      <c r="Q662">
        <f t="shared" si="996"/>
        <v>0</v>
      </c>
      <c r="R662">
        <f t="shared" si="997"/>
        <v>0</v>
      </c>
      <c r="S662">
        <f t="shared" si="998"/>
        <v>0</v>
      </c>
      <c r="T662">
        <f t="shared" si="999"/>
        <v>0</v>
      </c>
    </row>
    <row r="663" spans="1:20" x14ac:dyDescent="0.25">
      <c r="A663" s="5"/>
      <c r="P663">
        <f t="shared" si="995"/>
        <v>0</v>
      </c>
      <c r="Q663">
        <f t="shared" si="996"/>
        <v>0</v>
      </c>
      <c r="R663">
        <f t="shared" si="997"/>
        <v>0</v>
      </c>
      <c r="S663">
        <f t="shared" si="998"/>
        <v>0</v>
      </c>
      <c r="T663">
        <f t="shared" si="999"/>
        <v>0</v>
      </c>
    </row>
    <row r="664" spans="1:20" x14ac:dyDescent="0.25">
      <c r="A664" s="5"/>
      <c r="C664" s="4"/>
      <c r="D664" s="4"/>
      <c r="P664">
        <f t="shared" si="995"/>
        <v>0</v>
      </c>
      <c r="Q664">
        <f t="shared" si="996"/>
        <v>0</v>
      </c>
      <c r="R664">
        <f t="shared" si="997"/>
        <v>0</v>
      </c>
      <c r="S664">
        <f t="shared" si="998"/>
        <v>0</v>
      </c>
      <c r="T664">
        <f t="shared" si="999"/>
        <v>0</v>
      </c>
    </row>
    <row r="665" spans="1:20" x14ac:dyDescent="0.25">
      <c r="A665" s="5"/>
      <c r="C665" s="4"/>
      <c r="D665" s="4"/>
      <c r="P665">
        <f t="shared" si="995"/>
        <v>0</v>
      </c>
      <c r="Q665">
        <f t="shared" si="996"/>
        <v>0</v>
      </c>
      <c r="R665">
        <f t="shared" si="997"/>
        <v>0</v>
      </c>
      <c r="S665">
        <f t="shared" si="998"/>
        <v>0</v>
      </c>
      <c r="T665">
        <f t="shared" si="999"/>
        <v>0</v>
      </c>
    </row>
    <row r="666" spans="1:20" x14ac:dyDescent="0.25">
      <c r="A666" s="5"/>
      <c r="C666" s="4"/>
      <c r="D666" s="4"/>
      <c r="P666">
        <f t="shared" si="995"/>
        <v>0</v>
      </c>
      <c r="Q666">
        <f t="shared" si="996"/>
        <v>0</v>
      </c>
      <c r="R666">
        <f t="shared" si="997"/>
        <v>0</v>
      </c>
      <c r="S666">
        <f t="shared" si="998"/>
        <v>0</v>
      </c>
      <c r="T666">
        <f t="shared" si="999"/>
        <v>0</v>
      </c>
    </row>
    <row r="667" spans="1:20" x14ac:dyDescent="0.25">
      <c r="A667" s="5"/>
      <c r="C667" s="4"/>
      <c r="D667" s="4"/>
      <c r="P667">
        <f t="shared" si="995"/>
        <v>0</v>
      </c>
      <c r="Q667">
        <f t="shared" si="996"/>
        <v>0</v>
      </c>
      <c r="R667">
        <f t="shared" si="997"/>
        <v>0</v>
      </c>
      <c r="S667">
        <f t="shared" si="998"/>
        <v>0</v>
      </c>
      <c r="T667">
        <f t="shared" si="999"/>
        <v>0</v>
      </c>
    </row>
    <row r="668" spans="1:20" x14ac:dyDescent="0.25">
      <c r="A668" s="5"/>
      <c r="C668" s="4"/>
      <c r="D668" s="4"/>
      <c r="P668">
        <f t="shared" si="995"/>
        <v>0</v>
      </c>
      <c r="Q668">
        <f t="shared" si="996"/>
        <v>0</v>
      </c>
      <c r="R668">
        <f t="shared" si="997"/>
        <v>0</v>
      </c>
      <c r="S668">
        <f t="shared" si="998"/>
        <v>0</v>
      </c>
      <c r="T668">
        <f t="shared" si="999"/>
        <v>0</v>
      </c>
    </row>
    <row r="669" spans="1:20" x14ac:dyDescent="0.25">
      <c r="A669" s="5"/>
      <c r="C669" s="4"/>
      <c r="D669" s="4"/>
      <c r="P669">
        <f t="shared" si="995"/>
        <v>0</v>
      </c>
      <c r="Q669">
        <f t="shared" si="996"/>
        <v>0</v>
      </c>
      <c r="R669">
        <f t="shared" si="997"/>
        <v>0</v>
      </c>
      <c r="S669">
        <f t="shared" si="998"/>
        <v>0</v>
      </c>
      <c r="T669">
        <f t="shared" si="999"/>
        <v>0</v>
      </c>
    </row>
    <row r="670" spans="1:20" x14ac:dyDescent="0.25">
      <c r="A670" s="5"/>
      <c r="C670" s="4"/>
      <c r="D670" s="4"/>
      <c r="P670">
        <f t="shared" si="995"/>
        <v>0</v>
      </c>
      <c r="Q670">
        <f t="shared" si="996"/>
        <v>0</v>
      </c>
      <c r="R670">
        <f t="shared" si="997"/>
        <v>0</v>
      </c>
      <c r="S670">
        <f t="shared" si="998"/>
        <v>0</v>
      </c>
      <c r="T670">
        <f t="shared" si="999"/>
        <v>0</v>
      </c>
    </row>
    <row r="671" spans="1:20" x14ac:dyDescent="0.25">
      <c r="A671" s="5"/>
      <c r="C671" s="4"/>
      <c r="D671" s="4"/>
      <c r="P671">
        <f t="shared" si="995"/>
        <v>0</v>
      </c>
      <c r="Q671">
        <f t="shared" si="996"/>
        <v>0</v>
      </c>
      <c r="R671">
        <f t="shared" si="997"/>
        <v>0</v>
      </c>
      <c r="S671">
        <f t="shared" si="998"/>
        <v>0</v>
      </c>
      <c r="T671">
        <f t="shared" si="999"/>
        <v>0</v>
      </c>
    </row>
    <row r="672" spans="1:20" x14ac:dyDescent="0.25">
      <c r="A672" s="5"/>
      <c r="C672" s="4"/>
      <c r="D672" s="4"/>
      <c r="P672">
        <f t="shared" si="995"/>
        <v>0</v>
      </c>
      <c r="Q672">
        <f t="shared" si="996"/>
        <v>0</v>
      </c>
      <c r="R672">
        <f t="shared" si="997"/>
        <v>0</v>
      </c>
      <c r="S672">
        <f t="shared" si="998"/>
        <v>0</v>
      </c>
      <c r="T672">
        <f t="shared" si="999"/>
        <v>0</v>
      </c>
    </row>
    <row r="673" spans="1:20" x14ac:dyDescent="0.25">
      <c r="A673" s="5"/>
      <c r="C673" s="4"/>
      <c r="D673" s="4"/>
      <c r="P673">
        <f t="shared" si="995"/>
        <v>0</v>
      </c>
      <c r="Q673">
        <f t="shared" si="996"/>
        <v>0</v>
      </c>
      <c r="R673">
        <f t="shared" si="997"/>
        <v>0</v>
      </c>
      <c r="S673">
        <f t="shared" si="998"/>
        <v>0</v>
      </c>
      <c r="T673">
        <f t="shared" si="999"/>
        <v>0</v>
      </c>
    </row>
    <row r="674" spans="1:20" x14ac:dyDescent="0.25">
      <c r="A674" s="5"/>
      <c r="C674" s="4"/>
      <c r="D674" s="4"/>
      <c r="P674">
        <f t="shared" si="995"/>
        <v>0</v>
      </c>
      <c r="Q674">
        <f t="shared" si="996"/>
        <v>0</v>
      </c>
      <c r="R674">
        <f t="shared" si="997"/>
        <v>0</v>
      </c>
      <c r="S674">
        <f t="shared" si="998"/>
        <v>0</v>
      </c>
      <c r="T674">
        <f t="shared" si="999"/>
        <v>0</v>
      </c>
    </row>
    <row r="675" spans="1:20" x14ac:dyDescent="0.25">
      <c r="A675" s="5"/>
      <c r="C675" s="4"/>
      <c r="D675" s="4"/>
      <c r="P675">
        <f t="shared" si="995"/>
        <v>0</v>
      </c>
      <c r="Q675">
        <f t="shared" si="996"/>
        <v>0</v>
      </c>
      <c r="R675">
        <f t="shared" si="997"/>
        <v>0</v>
      </c>
      <c r="S675">
        <f t="shared" si="998"/>
        <v>0</v>
      </c>
      <c r="T675">
        <f t="shared" si="999"/>
        <v>0</v>
      </c>
    </row>
    <row r="676" spans="1:20" x14ac:dyDescent="0.25">
      <c r="A676" s="5"/>
      <c r="C676" s="4"/>
      <c r="D676" s="4"/>
      <c r="P676">
        <f t="shared" si="995"/>
        <v>0</v>
      </c>
      <c r="Q676">
        <f t="shared" si="996"/>
        <v>0</v>
      </c>
      <c r="R676">
        <f t="shared" si="997"/>
        <v>0</v>
      </c>
      <c r="S676">
        <f t="shared" si="998"/>
        <v>0</v>
      </c>
      <c r="T676">
        <f t="shared" si="999"/>
        <v>0</v>
      </c>
    </row>
    <row r="677" spans="1:20" x14ac:dyDescent="0.25">
      <c r="A677" s="5"/>
      <c r="C677" s="4"/>
      <c r="D677" s="4"/>
      <c r="P677">
        <f t="shared" si="995"/>
        <v>0</v>
      </c>
      <c r="Q677">
        <f t="shared" si="996"/>
        <v>0</v>
      </c>
      <c r="R677">
        <f t="shared" si="997"/>
        <v>0</v>
      </c>
      <c r="S677">
        <f t="shared" si="998"/>
        <v>0</v>
      </c>
      <c r="T677">
        <f t="shared" si="999"/>
        <v>0</v>
      </c>
    </row>
    <row r="678" spans="1:20" x14ac:dyDescent="0.25">
      <c r="A678" s="5"/>
      <c r="C678" s="4"/>
      <c r="D678" s="4"/>
      <c r="P678">
        <f t="shared" si="995"/>
        <v>0</v>
      </c>
      <c r="Q678">
        <f t="shared" si="996"/>
        <v>0</v>
      </c>
      <c r="R678">
        <f t="shared" si="997"/>
        <v>0</v>
      </c>
      <c r="S678">
        <f t="shared" si="998"/>
        <v>0</v>
      </c>
      <c r="T678">
        <f t="shared" si="999"/>
        <v>0</v>
      </c>
    </row>
    <row r="679" spans="1:20" x14ac:dyDescent="0.25">
      <c r="A679" s="5"/>
      <c r="C679" s="4"/>
      <c r="D679" s="4"/>
      <c r="P679">
        <f t="shared" si="995"/>
        <v>0</v>
      </c>
      <c r="Q679">
        <f t="shared" si="996"/>
        <v>0</v>
      </c>
      <c r="R679">
        <f t="shared" si="997"/>
        <v>0</v>
      </c>
      <c r="S679">
        <f t="shared" si="998"/>
        <v>0</v>
      </c>
      <c r="T679">
        <f t="shared" si="999"/>
        <v>0</v>
      </c>
    </row>
    <row r="680" spans="1:20" x14ac:dyDescent="0.25">
      <c r="A680" s="5"/>
      <c r="C680" s="4"/>
      <c r="D680" s="4"/>
      <c r="P680">
        <f t="shared" si="995"/>
        <v>0</v>
      </c>
      <c r="Q680">
        <f t="shared" si="996"/>
        <v>0</v>
      </c>
      <c r="R680">
        <f t="shared" si="997"/>
        <v>0</v>
      </c>
      <c r="S680">
        <f t="shared" si="998"/>
        <v>0</v>
      </c>
      <c r="T680">
        <f t="shared" si="999"/>
        <v>0</v>
      </c>
    </row>
    <row r="681" spans="1:20" x14ac:dyDescent="0.25">
      <c r="A681" s="5"/>
      <c r="C681" s="4"/>
      <c r="D681" s="4"/>
      <c r="P681">
        <f t="shared" si="995"/>
        <v>0</v>
      </c>
      <c r="Q681">
        <f t="shared" si="996"/>
        <v>0</v>
      </c>
      <c r="R681">
        <f t="shared" si="997"/>
        <v>0</v>
      </c>
      <c r="S681">
        <f t="shared" si="998"/>
        <v>0</v>
      </c>
      <c r="T681">
        <f t="shared" si="999"/>
        <v>0</v>
      </c>
    </row>
    <row r="682" spans="1:20" x14ac:dyDescent="0.25">
      <c r="A682" s="5"/>
      <c r="C682" s="4"/>
      <c r="D682" s="4"/>
      <c r="P682">
        <f t="shared" si="995"/>
        <v>0</v>
      </c>
      <c r="Q682">
        <f t="shared" si="996"/>
        <v>0</v>
      </c>
      <c r="R682">
        <f t="shared" si="997"/>
        <v>0</v>
      </c>
      <c r="S682">
        <f t="shared" si="998"/>
        <v>0</v>
      </c>
      <c r="T682">
        <f t="shared" si="999"/>
        <v>0</v>
      </c>
    </row>
    <row r="683" spans="1:20" x14ac:dyDescent="0.25">
      <c r="A683" s="5"/>
      <c r="C683" s="4"/>
      <c r="D683" s="4"/>
      <c r="P683">
        <f t="shared" si="995"/>
        <v>0</v>
      </c>
      <c r="Q683">
        <f t="shared" si="996"/>
        <v>0</v>
      </c>
      <c r="R683">
        <f t="shared" si="997"/>
        <v>0</v>
      </c>
      <c r="S683">
        <f t="shared" si="998"/>
        <v>0</v>
      </c>
      <c r="T683">
        <f t="shared" si="999"/>
        <v>0</v>
      </c>
    </row>
    <row r="684" spans="1:20" x14ac:dyDescent="0.25">
      <c r="A684" s="5"/>
      <c r="C684" s="4"/>
      <c r="D684" s="4"/>
      <c r="P684">
        <f t="shared" si="995"/>
        <v>0</v>
      </c>
      <c r="Q684">
        <f t="shared" si="996"/>
        <v>0</v>
      </c>
      <c r="R684">
        <f t="shared" si="997"/>
        <v>0</v>
      </c>
      <c r="S684">
        <f t="shared" si="998"/>
        <v>0</v>
      </c>
      <c r="T684">
        <f t="shared" si="999"/>
        <v>0</v>
      </c>
    </row>
    <row r="685" spans="1:20" x14ac:dyDescent="0.25">
      <c r="A685" s="5"/>
      <c r="C685" s="4"/>
      <c r="D685" s="4"/>
      <c r="P685">
        <f t="shared" si="995"/>
        <v>0</v>
      </c>
      <c r="Q685">
        <f t="shared" si="996"/>
        <v>0</v>
      </c>
      <c r="R685">
        <f t="shared" si="997"/>
        <v>0</v>
      </c>
      <c r="S685">
        <f t="shared" si="998"/>
        <v>0</v>
      </c>
      <c r="T685">
        <f t="shared" si="999"/>
        <v>0</v>
      </c>
    </row>
    <row r="686" spans="1:20" x14ac:dyDescent="0.25">
      <c r="A686" s="5"/>
      <c r="C686" s="4"/>
      <c r="D686" s="4"/>
      <c r="P686">
        <f t="shared" si="995"/>
        <v>0</v>
      </c>
      <c r="Q686">
        <f t="shared" si="996"/>
        <v>0</v>
      </c>
      <c r="R686">
        <f t="shared" si="997"/>
        <v>0</v>
      </c>
      <c r="S686">
        <f t="shared" si="998"/>
        <v>0</v>
      </c>
      <c r="T686">
        <f t="shared" si="999"/>
        <v>0</v>
      </c>
    </row>
    <row r="687" spans="1:20" x14ac:dyDescent="0.25">
      <c r="A687" s="5"/>
      <c r="C687" s="4"/>
      <c r="D687" s="4"/>
      <c r="P687">
        <f t="shared" si="995"/>
        <v>0</v>
      </c>
      <c r="Q687">
        <f t="shared" si="996"/>
        <v>0</v>
      </c>
      <c r="R687">
        <f t="shared" si="997"/>
        <v>0</v>
      </c>
      <c r="S687">
        <f t="shared" si="998"/>
        <v>0</v>
      </c>
      <c r="T687">
        <f t="shared" si="999"/>
        <v>0</v>
      </c>
    </row>
    <row r="688" spans="1:20" x14ac:dyDescent="0.25">
      <c r="A688" s="5"/>
      <c r="C688" s="4"/>
      <c r="D688" s="4"/>
      <c r="P688">
        <f t="shared" si="995"/>
        <v>0</v>
      </c>
      <c r="Q688">
        <f t="shared" si="996"/>
        <v>0</v>
      </c>
      <c r="R688">
        <f t="shared" si="997"/>
        <v>0</v>
      </c>
      <c r="S688">
        <f t="shared" si="998"/>
        <v>0</v>
      </c>
      <c r="T688">
        <f t="shared" si="999"/>
        <v>0</v>
      </c>
    </row>
    <row r="689" spans="1:20" x14ac:dyDescent="0.25">
      <c r="A689" s="5"/>
      <c r="C689" s="4"/>
      <c r="D689" s="4"/>
      <c r="P689">
        <f t="shared" si="995"/>
        <v>0</v>
      </c>
      <c r="Q689">
        <f t="shared" si="996"/>
        <v>0</v>
      </c>
      <c r="R689">
        <f t="shared" si="997"/>
        <v>0</v>
      </c>
      <c r="S689">
        <f t="shared" si="998"/>
        <v>0</v>
      </c>
      <c r="T689">
        <f t="shared" si="999"/>
        <v>0</v>
      </c>
    </row>
    <row r="690" spans="1:20" x14ac:dyDescent="0.25">
      <c r="A690" s="5"/>
      <c r="C690" s="4"/>
      <c r="D690" s="4"/>
      <c r="P690">
        <f t="shared" si="995"/>
        <v>0</v>
      </c>
      <c r="Q690">
        <f t="shared" si="996"/>
        <v>0</v>
      </c>
      <c r="R690">
        <f t="shared" si="997"/>
        <v>0</v>
      </c>
      <c r="S690">
        <f t="shared" si="998"/>
        <v>0</v>
      </c>
      <c r="T690">
        <f t="shared" si="999"/>
        <v>0</v>
      </c>
    </row>
    <row r="691" spans="1:20" x14ac:dyDescent="0.25">
      <c r="A691" s="5"/>
      <c r="C691" s="4"/>
      <c r="D691" s="4"/>
      <c r="P691">
        <f t="shared" si="995"/>
        <v>0</v>
      </c>
      <c r="Q691">
        <f t="shared" si="996"/>
        <v>0</v>
      </c>
      <c r="R691">
        <f t="shared" si="997"/>
        <v>0</v>
      </c>
      <c r="S691">
        <f t="shared" si="998"/>
        <v>0</v>
      </c>
      <c r="T691">
        <f t="shared" si="999"/>
        <v>0</v>
      </c>
    </row>
    <row r="692" spans="1:20" x14ac:dyDescent="0.25">
      <c r="A692" s="5"/>
      <c r="C692" s="4"/>
      <c r="D692" s="4"/>
      <c r="P692">
        <f t="shared" si="995"/>
        <v>0</v>
      </c>
      <c r="Q692">
        <f t="shared" si="996"/>
        <v>0</v>
      </c>
      <c r="R692">
        <f t="shared" si="997"/>
        <v>0</v>
      </c>
      <c r="S692">
        <f t="shared" si="998"/>
        <v>0</v>
      </c>
      <c r="T692">
        <f t="shared" si="999"/>
        <v>0</v>
      </c>
    </row>
    <row r="693" spans="1:20" x14ac:dyDescent="0.25">
      <c r="A693" s="5"/>
      <c r="C693" s="4"/>
      <c r="D693" s="4"/>
      <c r="P693">
        <f t="shared" si="995"/>
        <v>0</v>
      </c>
      <c r="Q693">
        <f t="shared" si="996"/>
        <v>0</v>
      </c>
      <c r="R693">
        <f t="shared" si="997"/>
        <v>0</v>
      </c>
      <c r="S693">
        <f t="shared" si="998"/>
        <v>0</v>
      </c>
      <c r="T693">
        <f t="shared" si="999"/>
        <v>0</v>
      </c>
    </row>
    <row r="694" spans="1:20" x14ac:dyDescent="0.25">
      <c r="A694" s="5"/>
      <c r="C694" s="4"/>
      <c r="D694" s="4"/>
      <c r="P694">
        <f t="shared" si="995"/>
        <v>0</v>
      </c>
      <c r="Q694">
        <f t="shared" si="996"/>
        <v>0</v>
      </c>
      <c r="R694">
        <f t="shared" si="997"/>
        <v>0</v>
      </c>
      <c r="S694">
        <f t="shared" si="998"/>
        <v>0</v>
      </c>
      <c r="T694">
        <f t="shared" si="999"/>
        <v>0</v>
      </c>
    </row>
    <row r="695" spans="1:20" x14ac:dyDescent="0.25">
      <c r="A695" s="5"/>
      <c r="C695" s="4"/>
      <c r="D695" s="4"/>
      <c r="P695">
        <f t="shared" si="995"/>
        <v>0</v>
      </c>
      <c r="Q695">
        <f t="shared" si="996"/>
        <v>0</v>
      </c>
      <c r="R695">
        <f t="shared" si="997"/>
        <v>0</v>
      </c>
      <c r="S695">
        <f t="shared" si="998"/>
        <v>0</v>
      </c>
      <c r="T695">
        <f t="shared" si="999"/>
        <v>0</v>
      </c>
    </row>
    <row r="696" spans="1:20" x14ac:dyDescent="0.25">
      <c r="A696" s="5"/>
      <c r="C696" s="4"/>
      <c r="D696" s="4"/>
      <c r="P696">
        <f t="shared" si="995"/>
        <v>0</v>
      </c>
      <c r="Q696">
        <f t="shared" si="996"/>
        <v>0</v>
      </c>
      <c r="R696">
        <f t="shared" si="997"/>
        <v>0</v>
      </c>
      <c r="S696">
        <f t="shared" si="998"/>
        <v>0</v>
      </c>
      <c r="T696">
        <f t="shared" si="999"/>
        <v>0</v>
      </c>
    </row>
    <row r="697" spans="1:20" x14ac:dyDescent="0.25">
      <c r="A697" s="5"/>
      <c r="C697" s="4"/>
      <c r="D697" s="4"/>
      <c r="P697">
        <f t="shared" si="995"/>
        <v>0</v>
      </c>
      <c r="Q697">
        <f t="shared" si="996"/>
        <v>0</v>
      </c>
      <c r="R697">
        <f t="shared" si="997"/>
        <v>0</v>
      </c>
      <c r="S697">
        <f t="shared" si="998"/>
        <v>0</v>
      </c>
      <c r="T697">
        <f t="shared" si="999"/>
        <v>0</v>
      </c>
    </row>
    <row r="698" spans="1:20" x14ac:dyDescent="0.25">
      <c r="A698" s="5"/>
      <c r="C698" s="4"/>
      <c r="D698" s="4"/>
      <c r="P698">
        <f t="shared" si="995"/>
        <v>0</v>
      </c>
      <c r="Q698">
        <f t="shared" si="996"/>
        <v>0</v>
      </c>
      <c r="R698">
        <f t="shared" si="997"/>
        <v>0</v>
      </c>
      <c r="S698">
        <f t="shared" si="998"/>
        <v>0</v>
      </c>
      <c r="T698">
        <f t="shared" si="999"/>
        <v>0</v>
      </c>
    </row>
    <row r="699" spans="1:20" x14ac:dyDescent="0.25">
      <c r="A699" s="5"/>
      <c r="C699" s="4"/>
      <c r="D699" s="4"/>
      <c r="P699">
        <f t="shared" si="995"/>
        <v>0</v>
      </c>
      <c r="Q699">
        <f t="shared" si="996"/>
        <v>0</v>
      </c>
      <c r="R699">
        <f t="shared" si="997"/>
        <v>0</v>
      </c>
      <c r="S699">
        <f t="shared" si="998"/>
        <v>0</v>
      </c>
      <c r="T699">
        <f t="shared" si="999"/>
        <v>0</v>
      </c>
    </row>
    <row r="700" spans="1:20" x14ac:dyDescent="0.25">
      <c r="A700" s="5"/>
      <c r="C700" s="4"/>
      <c r="D700" s="4"/>
      <c r="P700">
        <f t="shared" si="995"/>
        <v>0</v>
      </c>
      <c r="Q700">
        <f t="shared" si="996"/>
        <v>0</v>
      </c>
      <c r="R700">
        <f t="shared" si="997"/>
        <v>0</v>
      </c>
      <c r="S700">
        <f t="shared" si="998"/>
        <v>0</v>
      </c>
      <c r="T700">
        <f t="shared" si="999"/>
        <v>0</v>
      </c>
    </row>
    <row r="701" spans="1:20" x14ac:dyDescent="0.25">
      <c r="A701" s="5"/>
      <c r="C701" s="4"/>
      <c r="D701" s="4"/>
      <c r="P701">
        <f t="shared" si="995"/>
        <v>0</v>
      </c>
      <c r="Q701">
        <f t="shared" si="996"/>
        <v>0</v>
      </c>
      <c r="R701">
        <f t="shared" si="997"/>
        <v>0</v>
      </c>
      <c r="S701">
        <f t="shared" si="998"/>
        <v>0</v>
      </c>
      <c r="T701">
        <f t="shared" si="999"/>
        <v>0</v>
      </c>
    </row>
    <row r="702" spans="1:20" x14ac:dyDescent="0.25">
      <c r="A702" s="5"/>
      <c r="C702" s="4"/>
      <c r="D702" s="4"/>
      <c r="P702">
        <f t="shared" si="995"/>
        <v>0</v>
      </c>
      <c r="Q702">
        <f t="shared" si="996"/>
        <v>0</v>
      </c>
      <c r="R702">
        <f t="shared" si="997"/>
        <v>0</v>
      </c>
      <c r="S702">
        <f t="shared" si="998"/>
        <v>0</v>
      </c>
      <c r="T702">
        <f t="shared" si="999"/>
        <v>0</v>
      </c>
    </row>
    <row r="703" spans="1:20" x14ac:dyDescent="0.25">
      <c r="A703" s="5"/>
      <c r="C703" s="4"/>
      <c r="D703" s="4"/>
      <c r="P703">
        <f t="shared" si="995"/>
        <v>0</v>
      </c>
      <c r="Q703">
        <f t="shared" si="996"/>
        <v>0</v>
      </c>
      <c r="R703">
        <f t="shared" si="997"/>
        <v>0</v>
      </c>
      <c r="S703">
        <f t="shared" si="998"/>
        <v>0</v>
      </c>
      <c r="T703">
        <f t="shared" si="999"/>
        <v>0</v>
      </c>
    </row>
    <row r="704" spans="1:20" x14ac:dyDescent="0.25">
      <c r="A704" s="5"/>
      <c r="C704" s="4"/>
      <c r="D704" s="4"/>
      <c r="P704">
        <f t="shared" si="995"/>
        <v>0</v>
      </c>
      <c r="Q704">
        <f t="shared" si="996"/>
        <v>0</v>
      </c>
      <c r="R704">
        <f t="shared" si="997"/>
        <v>0</v>
      </c>
      <c r="S704">
        <f t="shared" si="998"/>
        <v>0</v>
      </c>
      <c r="T704">
        <f t="shared" si="999"/>
        <v>0</v>
      </c>
    </row>
    <row r="705" spans="1:20" x14ac:dyDescent="0.25">
      <c r="A705" s="5"/>
      <c r="C705" s="4"/>
      <c r="D705" s="4"/>
      <c r="P705">
        <f t="shared" si="995"/>
        <v>0</v>
      </c>
      <c r="Q705">
        <f t="shared" si="996"/>
        <v>0</v>
      </c>
      <c r="R705">
        <f t="shared" si="997"/>
        <v>0</v>
      </c>
      <c r="S705">
        <f t="shared" si="998"/>
        <v>0</v>
      </c>
      <c r="T705">
        <f t="shared" si="999"/>
        <v>0</v>
      </c>
    </row>
    <row r="706" spans="1:20" x14ac:dyDescent="0.25">
      <c r="A706" s="5"/>
      <c r="C706" s="4"/>
      <c r="D706" s="4"/>
      <c r="P706">
        <f t="shared" si="995"/>
        <v>0</v>
      </c>
      <c r="Q706">
        <f t="shared" si="996"/>
        <v>0</v>
      </c>
      <c r="R706">
        <f t="shared" si="997"/>
        <v>0</v>
      </c>
      <c r="S706">
        <f t="shared" si="998"/>
        <v>0</v>
      </c>
      <c r="T706">
        <f t="shared" si="999"/>
        <v>0</v>
      </c>
    </row>
    <row r="707" spans="1:20" x14ac:dyDescent="0.25">
      <c r="A707" s="5"/>
      <c r="C707" s="4"/>
      <c r="D707" s="4"/>
      <c r="P707">
        <f t="shared" si="995"/>
        <v>0</v>
      </c>
      <c r="Q707">
        <f t="shared" si="996"/>
        <v>0</v>
      </c>
      <c r="R707">
        <f t="shared" si="997"/>
        <v>0</v>
      </c>
      <c r="S707">
        <f t="shared" si="998"/>
        <v>0</v>
      </c>
      <c r="T707">
        <f t="shared" si="999"/>
        <v>0</v>
      </c>
    </row>
    <row r="708" spans="1:20" x14ac:dyDescent="0.25">
      <c r="A708" s="5"/>
      <c r="C708" s="4"/>
      <c r="D708" s="4"/>
      <c r="P708">
        <f t="shared" si="995"/>
        <v>0</v>
      </c>
      <c r="Q708">
        <f t="shared" si="996"/>
        <v>0</v>
      </c>
      <c r="R708">
        <f t="shared" si="997"/>
        <v>0</v>
      </c>
      <c r="S708">
        <f t="shared" si="998"/>
        <v>0</v>
      </c>
      <c r="T708">
        <f t="shared" si="999"/>
        <v>0</v>
      </c>
    </row>
    <row r="709" spans="1:20" x14ac:dyDescent="0.25">
      <c r="A709" s="5"/>
      <c r="C709" s="4"/>
      <c r="D709" s="4"/>
      <c r="P709">
        <f t="shared" si="995"/>
        <v>0</v>
      </c>
      <c r="Q709">
        <f t="shared" si="996"/>
        <v>0</v>
      </c>
      <c r="R709">
        <f t="shared" si="997"/>
        <v>0</v>
      </c>
      <c r="S709">
        <f t="shared" si="998"/>
        <v>0</v>
      </c>
      <c r="T709">
        <f t="shared" si="999"/>
        <v>0</v>
      </c>
    </row>
    <row r="710" spans="1:20" x14ac:dyDescent="0.25">
      <c r="A710" s="5"/>
      <c r="C710" s="4"/>
      <c r="D710" s="4"/>
      <c r="P710">
        <f t="shared" ref="P710:P766" si="1000">IF(C710=D710,0,((E710-D710)-(C710-E710))/(C710-D710))</f>
        <v>0</v>
      </c>
      <c r="Q710">
        <f t="shared" ref="Q710:Q766" si="1001">F710*P710</f>
        <v>0</v>
      </c>
      <c r="R710">
        <f t="shared" ref="R710:R766" si="1002">R711+Q710</f>
        <v>0</v>
      </c>
      <c r="S710">
        <f t="shared" ref="S710:S766" si="1003">R710/100000</f>
        <v>0</v>
      </c>
      <c r="T710">
        <f t="shared" ref="T710:T766" si="1004">S710/1000</f>
        <v>0</v>
      </c>
    </row>
    <row r="711" spans="1:20" x14ac:dyDescent="0.25">
      <c r="A711" s="5"/>
      <c r="C711" s="4"/>
      <c r="D711" s="4"/>
      <c r="P711">
        <f t="shared" si="1000"/>
        <v>0</v>
      </c>
      <c r="Q711">
        <f t="shared" si="1001"/>
        <v>0</v>
      </c>
      <c r="R711">
        <f t="shared" si="1002"/>
        <v>0</v>
      </c>
      <c r="S711">
        <f t="shared" si="1003"/>
        <v>0</v>
      </c>
      <c r="T711">
        <f t="shared" si="1004"/>
        <v>0</v>
      </c>
    </row>
    <row r="712" spans="1:20" x14ac:dyDescent="0.25">
      <c r="A712" s="5"/>
      <c r="C712" s="4"/>
      <c r="D712" s="4"/>
      <c r="P712">
        <f t="shared" si="1000"/>
        <v>0</v>
      </c>
      <c r="Q712">
        <f t="shared" si="1001"/>
        <v>0</v>
      </c>
      <c r="R712">
        <f t="shared" si="1002"/>
        <v>0</v>
      </c>
      <c r="S712">
        <f t="shared" si="1003"/>
        <v>0</v>
      </c>
      <c r="T712">
        <f t="shared" si="1004"/>
        <v>0</v>
      </c>
    </row>
    <row r="713" spans="1:20" x14ac:dyDescent="0.25">
      <c r="A713" s="5"/>
      <c r="C713" s="4"/>
      <c r="D713" s="4"/>
      <c r="P713">
        <f t="shared" si="1000"/>
        <v>0</v>
      </c>
      <c r="Q713">
        <f t="shared" si="1001"/>
        <v>0</v>
      </c>
      <c r="R713">
        <f t="shared" si="1002"/>
        <v>0</v>
      </c>
      <c r="S713">
        <f t="shared" si="1003"/>
        <v>0</v>
      </c>
      <c r="T713">
        <f t="shared" si="1004"/>
        <v>0</v>
      </c>
    </row>
    <row r="714" spans="1:20" x14ac:dyDescent="0.25">
      <c r="A714" s="5"/>
      <c r="C714" s="4"/>
      <c r="D714" s="4"/>
      <c r="P714">
        <f t="shared" si="1000"/>
        <v>0</v>
      </c>
      <c r="Q714">
        <f t="shared" si="1001"/>
        <v>0</v>
      </c>
      <c r="R714">
        <f t="shared" si="1002"/>
        <v>0</v>
      </c>
      <c r="S714">
        <f t="shared" si="1003"/>
        <v>0</v>
      </c>
      <c r="T714">
        <f t="shared" si="1004"/>
        <v>0</v>
      </c>
    </row>
    <row r="715" spans="1:20" x14ac:dyDescent="0.25">
      <c r="A715" s="5"/>
      <c r="C715" s="4"/>
      <c r="D715" s="4"/>
      <c r="P715">
        <f t="shared" si="1000"/>
        <v>0</v>
      </c>
      <c r="Q715">
        <f t="shared" si="1001"/>
        <v>0</v>
      </c>
      <c r="R715">
        <f t="shared" si="1002"/>
        <v>0</v>
      </c>
      <c r="S715">
        <f t="shared" si="1003"/>
        <v>0</v>
      </c>
      <c r="T715">
        <f t="shared" si="1004"/>
        <v>0</v>
      </c>
    </row>
    <row r="716" spans="1:20" x14ac:dyDescent="0.25">
      <c r="A716" s="5"/>
      <c r="C716" s="4"/>
      <c r="D716" s="4"/>
      <c r="P716">
        <f t="shared" si="1000"/>
        <v>0</v>
      </c>
      <c r="Q716">
        <f t="shared" si="1001"/>
        <v>0</v>
      </c>
      <c r="R716">
        <f t="shared" si="1002"/>
        <v>0</v>
      </c>
      <c r="S716">
        <f t="shared" si="1003"/>
        <v>0</v>
      </c>
      <c r="T716">
        <f t="shared" si="1004"/>
        <v>0</v>
      </c>
    </row>
    <row r="717" spans="1:20" x14ac:dyDescent="0.25">
      <c r="A717" s="5"/>
      <c r="C717" s="4"/>
      <c r="D717" s="4"/>
      <c r="P717">
        <f t="shared" si="1000"/>
        <v>0</v>
      </c>
      <c r="Q717">
        <f t="shared" si="1001"/>
        <v>0</v>
      </c>
      <c r="R717">
        <f t="shared" si="1002"/>
        <v>0</v>
      </c>
      <c r="S717">
        <f t="shared" si="1003"/>
        <v>0</v>
      </c>
      <c r="T717">
        <f t="shared" si="1004"/>
        <v>0</v>
      </c>
    </row>
    <row r="718" spans="1:20" x14ac:dyDescent="0.25">
      <c r="A718" s="5"/>
      <c r="C718" s="4"/>
      <c r="D718" s="4"/>
      <c r="P718">
        <f t="shared" si="1000"/>
        <v>0</v>
      </c>
      <c r="Q718">
        <f t="shared" si="1001"/>
        <v>0</v>
      </c>
      <c r="R718">
        <f t="shared" si="1002"/>
        <v>0</v>
      </c>
      <c r="S718">
        <f t="shared" si="1003"/>
        <v>0</v>
      </c>
      <c r="T718">
        <f t="shared" si="1004"/>
        <v>0</v>
      </c>
    </row>
    <row r="719" spans="1:20" x14ac:dyDescent="0.25">
      <c r="A719" s="5"/>
      <c r="C719" s="4"/>
      <c r="D719" s="4"/>
      <c r="P719">
        <f t="shared" si="1000"/>
        <v>0</v>
      </c>
      <c r="Q719">
        <f t="shared" si="1001"/>
        <v>0</v>
      </c>
      <c r="R719">
        <f t="shared" si="1002"/>
        <v>0</v>
      </c>
      <c r="S719">
        <f t="shared" si="1003"/>
        <v>0</v>
      </c>
      <c r="T719">
        <f t="shared" si="1004"/>
        <v>0</v>
      </c>
    </row>
    <row r="720" spans="1:20" x14ac:dyDescent="0.25">
      <c r="A720" s="5"/>
      <c r="C720" s="4"/>
      <c r="D720" s="4"/>
      <c r="P720">
        <f t="shared" si="1000"/>
        <v>0</v>
      </c>
      <c r="Q720">
        <f t="shared" si="1001"/>
        <v>0</v>
      </c>
      <c r="R720">
        <f t="shared" si="1002"/>
        <v>0</v>
      </c>
      <c r="S720">
        <f t="shared" si="1003"/>
        <v>0</v>
      </c>
      <c r="T720">
        <f t="shared" si="1004"/>
        <v>0</v>
      </c>
    </row>
    <row r="721" spans="1:20" x14ac:dyDescent="0.25">
      <c r="A721" s="5"/>
      <c r="C721" s="4"/>
      <c r="D721" s="4"/>
      <c r="P721">
        <f t="shared" si="1000"/>
        <v>0</v>
      </c>
      <c r="Q721">
        <f t="shared" si="1001"/>
        <v>0</v>
      </c>
      <c r="R721">
        <f t="shared" si="1002"/>
        <v>0</v>
      </c>
      <c r="S721">
        <f t="shared" si="1003"/>
        <v>0</v>
      </c>
      <c r="T721">
        <f t="shared" si="1004"/>
        <v>0</v>
      </c>
    </row>
    <row r="722" spans="1:20" x14ac:dyDescent="0.25">
      <c r="A722" s="5"/>
      <c r="C722" s="4"/>
      <c r="D722" s="4"/>
      <c r="P722">
        <f t="shared" si="1000"/>
        <v>0</v>
      </c>
      <c r="Q722">
        <f t="shared" si="1001"/>
        <v>0</v>
      </c>
      <c r="R722">
        <f t="shared" si="1002"/>
        <v>0</v>
      </c>
      <c r="S722">
        <f t="shared" si="1003"/>
        <v>0</v>
      </c>
      <c r="T722">
        <f t="shared" si="1004"/>
        <v>0</v>
      </c>
    </row>
    <row r="723" spans="1:20" x14ac:dyDescent="0.25">
      <c r="A723" s="5"/>
      <c r="C723" s="4"/>
      <c r="D723" s="4"/>
      <c r="P723">
        <f t="shared" si="1000"/>
        <v>0</v>
      </c>
      <c r="Q723">
        <f t="shared" si="1001"/>
        <v>0</v>
      </c>
      <c r="R723">
        <f t="shared" si="1002"/>
        <v>0</v>
      </c>
      <c r="S723">
        <f t="shared" si="1003"/>
        <v>0</v>
      </c>
      <c r="T723">
        <f t="shared" si="1004"/>
        <v>0</v>
      </c>
    </row>
    <row r="724" spans="1:20" x14ac:dyDescent="0.25">
      <c r="A724" s="5"/>
      <c r="C724" s="4"/>
      <c r="D724" s="4"/>
      <c r="P724">
        <f t="shared" si="1000"/>
        <v>0</v>
      </c>
      <c r="Q724">
        <f t="shared" si="1001"/>
        <v>0</v>
      </c>
      <c r="R724">
        <f t="shared" si="1002"/>
        <v>0</v>
      </c>
      <c r="S724">
        <f t="shared" si="1003"/>
        <v>0</v>
      </c>
      <c r="T724">
        <f t="shared" si="1004"/>
        <v>0</v>
      </c>
    </row>
    <row r="725" spans="1:20" x14ac:dyDescent="0.25">
      <c r="A725" s="5"/>
      <c r="C725" s="4"/>
      <c r="D725" s="4"/>
      <c r="P725">
        <f t="shared" si="1000"/>
        <v>0</v>
      </c>
      <c r="Q725">
        <f t="shared" si="1001"/>
        <v>0</v>
      </c>
      <c r="R725">
        <f t="shared" si="1002"/>
        <v>0</v>
      </c>
      <c r="S725">
        <f t="shared" si="1003"/>
        <v>0</v>
      </c>
      <c r="T725">
        <f t="shared" si="1004"/>
        <v>0</v>
      </c>
    </row>
    <row r="726" spans="1:20" x14ac:dyDescent="0.25">
      <c r="A726" s="5"/>
      <c r="C726" s="4"/>
      <c r="D726" s="4"/>
      <c r="P726">
        <f t="shared" si="1000"/>
        <v>0</v>
      </c>
      <c r="Q726">
        <f t="shared" si="1001"/>
        <v>0</v>
      </c>
      <c r="R726">
        <f t="shared" si="1002"/>
        <v>0</v>
      </c>
      <c r="S726">
        <f t="shared" si="1003"/>
        <v>0</v>
      </c>
      <c r="T726">
        <f t="shared" si="1004"/>
        <v>0</v>
      </c>
    </row>
    <row r="727" spans="1:20" x14ac:dyDescent="0.25">
      <c r="A727" s="5"/>
      <c r="C727" s="4"/>
      <c r="D727" s="4"/>
      <c r="P727">
        <f t="shared" si="1000"/>
        <v>0</v>
      </c>
      <c r="Q727">
        <f t="shared" si="1001"/>
        <v>0</v>
      </c>
      <c r="R727">
        <f t="shared" si="1002"/>
        <v>0</v>
      </c>
      <c r="S727">
        <f t="shared" si="1003"/>
        <v>0</v>
      </c>
      <c r="T727">
        <f t="shared" si="1004"/>
        <v>0</v>
      </c>
    </row>
    <row r="728" spans="1:20" x14ac:dyDescent="0.25">
      <c r="A728" s="5"/>
      <c r="C728" s="4"/>
      <c r="D728" s="4"/>
      <c r="P728">
        <f t="shared" si="1000"/>
        <v>0</v>
      </c>
      <c r="Q728">
        <f t="shared" si="1001"/>
        <v>0</v>
      </c>
      <c r="R728">
        <f t="shared" si="1002"/>
        <v>0</v>
      </c>
      <c r="S728">
        <f t="shared" si="1003"/>
        <v>0</v>
      </c>
      <c r="T728">
        <f t="shared" si="1004"/>
        <v>0</v>
      </c>
    </row>
    <row r="729" spans="1:20" x14ac:dyDescent="0.25">
      <c r="A729" s="5"/>
      <c r="C729" s="4"/>
      <c r="D729" s="4"/>
      <c r="P729">
        <f t="shared" si="1000"/>
        <v>0</v>
      </c>
      <c r="Q729">
        <f t="shared" si="1001"/>
        <v>0</v>
      </c>
      <c r="R729">
        <f t="shared" si="1002"/>
        <v>0</v>
      </c>
      <c r="S729">
        <f t="shared" si="1003"/>
        <v>0</v>
      </c>
      <c r="T729">
        <f t="shared" si="1004"/>
        <v>0</v>
      </c>
    </row>
    <row r="730" spans="1:20" x14ac:dyDescent="0.25">
      <c r="A730" s="5"/>
      <c r="C730" s="4"/>
      <c r="D730" s="4"/>
      <c r="P730">
        <f t="shared" si="1000"/>
        <v>0</v>
      </c>
      <c r="Q730">
        <f t="shared" si="1001"/>
        <v>0</v>
      </c>
      <c r="R730">
        <f t="shared" si="1002"/>
        <v>0</v>
      </c>
      <c r="S730">
        <f t="shared" si="1003"/>
        <v>0</v>
      </c>
      <c r="T730">
        <f t="shared" si="1004"/>
        <v>0</v>
      </c>
    </row>
    <row r="731" spans="1:20" x14ac:dyDescent="0.25">
      <c r="A731" s="5"/>
      <c r="C731" s="4"/>
      <c r="D731" s="4"/>
      <c r="P731">
        <f t="shared" si="1000"/>
        <v>0</v>
      </c>
      <c r="Q731">
        <f t="shared" si="1001"/>
        <v>0</v>
      </c>
      <c r="R731">
        <f t="shared" si="1002"/>
        <v>0</v>
      </c>
      <c r="S731">
        <f t="shared" si="1003"/>
        <v>0</v>
      </c>
      <c r="T731">
        <f t="shared" si="1004"/>
        <v>0</v>
      </c>
    </row>
    <row r="732" spans="1:20" x14ac:dyDescent="0.25">
      <c r="A732" s="5"/>
      <c r="C732" s="4"/>
      <c r="D732" s="4"/>
      <c r="P732">
        <f t="shared" si="1000"/>
        <v>0</v>
      </c>
      <c r="Q732">
        <f t="shared" si="1001"/>
        <v>0</v>
      </c>
      <c r="R732">
        <f t="shared" si="1002"/>
        <v>0</v>
      </c>
      <c r="S732">
        <f t="shared" si="1003"/>
        <v>0</v>
      </c>
      <c r="T732">
        <f t="shared" si="1004"/>
        <v>0</v>
      </c>
    </row>
    <row r="733" spans="1:20" x14ac:dyDescent="0.25">
      <c r="A733" s="5"/>
      <c r="C733" s="4"/>
      <c r="D733" s="4"/>
      <c r="P733">
        <f t="shared" si="1000"/>
        <v>0</v>
      </c>
      <c r="Q733">
        <f t="shared" si="1001"/>
        <v>0</v>
      </c>
      <c r="R733">
        <f t="shared" si="1002"/>
        <v>0</v>
      </c>
      <c r="S733">
        <f t="shared" si="1003"/>
        <v>0</v>
      </c>
      <c r="T733">
        <f t="shared" si="1004"/>
        <v>0</v>
      </c>
    </row>
    <row r="734" spans="1:20" x14ac:dyDescent="0.25">
      <c r="A734" s="5"/>
      <c r="C734" s="4"/>
      <c r="D734" s="4"/>
      <c r="P734">
        <f t="shared" si="1000"/>
        <v>0</v>
      </c>
      <c r="Q734">
        <f t="shared" si="1001"/>
        <v>0</v>
      </c>
      <c r="R734">
        <f t="shared" si="1002"/>
        <v>0</v>
      </c>
      <c r="S734">
        <f t="shared" si="1003"/>
        <v>0</v>
      </c>
      <c r="T734">
        <f t="shared" si="1004"/>
        <v>0</v>
      </c>
    </row>
    <row r="735" spans="1:20" x14ac:dyDescent="0.25">
      <c r="A735" s="5"/>
      <c r="C735" s="4"/>
      <c r="D735" s="4"/>
      <c r="P735">
        <f t="shared" si="1000"/>
        <v>0</v>
      </c>
      <c r="Q735">
        <f t="shared" si="1001"/>
        <v>0</v>
      </c>
      <c r="R735">
        <f t="shared" si="1002"/>
        <v>0</v>
      </c>
      <c r="S735">
        <f t="shared" si="1003"/>
        <v>0</v>
      </c>
      <c r="T735">
        <f t="shared" si="1004"/>
        <v>0</v>
      </c>
    </row>
    <row r="736" spans="1:20" x14ac:dyDescent="0.25">
      <c r="A736" s="5"/>
      <c r="C736" s="4"/>
      <c r="D736" s="4"/>
      <c r="P736">
        <f t="shared" si="1000"/>
        <v>0</v>
      </c>
      <c r="Q736">
        <f t="shared" si="1001"/>
        <v>0</v>
      </c>
      <c r="R736">
        <f t="shared" si="1002"/>
        <v>0</v>
      </c>
      <c r="S736">
        <f t="shared" si="1003"/>
        <v>0</v>
      </c>
      <c r="T736">
        <f t="shared" si="1004"/>
        <v>0</v>
      </c>
    </row>
    <row r="737" spans="1:20" x14ac:dyDescent="0.25">
      <c r="A737" s="5"/>
      <c r="C737" s="4"/>
      <c r="D737" s="4"/>
      <c r="P737">
        <f t="shared" si="1000"/>
        <v>0</v>
      </c>
      <c r="Q737">
        <f t="shared" si="1001"/>
        <v>0</v>
      </c>
      <c r="R737">
        <f t="shared" si="1002"/>
        <v>0</v>
      </c>
      <c r="S737">
        <f t="shared" si="1003"/>
        <v>0</v>
      </c>
      <c r="T737">
        <f t="shared" si="1004"/>
        <v>0</v>
      </c>
    </row>
    <row r="738" spans="1:20" x14ac:dyDescent="0.25">
      <c r="A738" s="5"/>
      <c r="C738" s="4"/>
      <c r="D738" s="4"/>
      <c r="P738">
        <f t="shared" si="1000"/>
        <v>0</v>
      </c>
      <c r="Q738">
        <f t="shared" si="1001"/>
        <v>0</v>
      </c>
      <c r="R738">
        <f t="shared" si="1002"/>
        <v>0</v>
      </c>
      <c r="S738">
        <f t="shared" si="1003"/>
        <v>0</v>
      </c>
      <c r="T738">
        <f t="shared" si="1004"/>
        <v>0</v>
      </c>
    </row>
    <row r="739" spans="1:20" x14ac:dyDescent="0.25">
      <c r="A739" s="5"/>
      <c r="C739" s="4"/>
      <c r="D739" s="4"/>
      <c r="P739">
        <f t="shared" si="1000"/>
        <v>0</v>
      </c>
      <c r="Q739">
        <f t="shared" si="1001"/>
        <v>0</v>
      </c>
      <c r="R739">
        <f t="shared" si="1002"/>
        <v>0</v>
      </c>
      <c r="S739">
        <f t="shared" si="1003"/>
        <v>0</v>
      </c>
      <c r="T739">
        <f t="shared" si="1004"/>
        <v>0</v>
      </c>
    </row>
    <row r="740" spans="1:20" x14ac:dyDescent="0.25">
      <c r="A740" s="5"/>
      <c r="C740" s="4"/>
      <c r="D740" s="4"/>
      <c r="P740">
        <f t="shared" si="1000"/>
        <v>0</v>
      </c>
      <c r="Q740">
        <f t="shared" si="1001"/>
        <v>0</v>
      </c>
      <c r="R740">
        <f t="shared" si="1002"/>
        <v>0</v>
      </c>
      <c r="S740">
        <f t="shared" si="1003"/>
        <v>0</v>
      </c>
      <c r="T740">
        <f t="shared" si="1004"/>
        <v>0</v>
      </c>
    </row>
    <row r="741" spans="1:20" x14ac:dyDescent="0.25">
      <c r="A741" s="5"/>
      <c r="C741" s="4"/>
      <c r="D741" s="4"/>
      <c r="P741">
        <f t="shared" si="1000"/>
        <v>0</v>
      </c>
      <c r="Q741">
        <f t="shared" si="1001"/>
        <v>0</v>
      </c>
      <c r="R741">
        <f t="shared" si="1002"/>
        <v>0</v>
      </c>
      <c r="S741">
        <f t="shared" si="1003"/>
        <v>0</v>
      </c>
      <c r="T741">
        <f t="shared" si="1004"/>
        <v>0</v>
      </c>
    </row>
    <row r="742" spans="1:20" x14ac:dyDescent="0.25">
      <c r="A742" s="5"/>
      <c r="C742" s="4"/>
      <c r="D742" s="4"/>
      <c r="P742">
        <f t="shared" si="1000"/>
        <v>0</v>
      </c>
      <c r="Q742">
        <f t="shared" si="1001"/>
        <v>0</v>
      </c>
      <c r="R742">
        <f t="shared" si="1002"/>
        <v>0</v>
      </c>
      <c r="S742">
        <f t="shared" si="1003"/>
        <v>0</v>
      </c>
      <c r="T742">
        <f t="shared" si="1004"/>
        <v>0</v>
      </c>
    </row>
    <row r="743" spans="1:20" x14ac:dyDescent="0.25">
      <c r="A743" s="5"/>
      <c r="C743" s="4"/>
      <c r="D743" s="4"/>
      <c r="P743">
        <f t="shared" si="1000"/>
        <v>0</v>
      </c>
      <c r="Q743">
        <f t="shared" si="1001"/>
        <v>0</v>
      </c>
      <c r="R743">
        <f t="shared" si="1002"/>
        <v>0</v>
      </c>
      <c r="S743">
        <f t="shared" si="1003"/>
        <v>0</v>
      </c>
      <c r="T743">
        <f t="shared" si="1004"/>
        <v>0</v>
      </c>
    </row>
    <row r="744" spans="1:20" x14ac:dyDescent="0.25">
      <c r="A744" s="5"/>
      <c r="C744" s="4"/>
      <c r="D744" s="4"/>
      <c r="P744">
        <f t="shared" si="1000"/>
        <v>0</v>
      </c>
      <c r="Q744">
        <f t="shared" si="1001"/>
        <v>0</v>
      </c>
      <c r="R744">
        <f t="shared" si="1002"/>
        <v>0</v>
      </c>
      <c r="S744">
        <f t="shared" si="1003"/>
        <v>0</v>
      </c>
      <c r="T744">
        <f t="shared" si="1004"/>
        <v>0</v>
      </c>
    </row>
    <row r="745" spans="1:20" x14ac:dyDescent="0.25">
      <c r="A745" s="5"/>
      <c r="C745" s="4"/>
      <c r="D745" s="4"/>
      <c r="P745">
        <f t="shared" si="1000"/>
        <v>0</v>
      </c>
      <c r="Q745">
        <f t="shared" si="1001"/>
        <v>0</v>
      </c>
      <c r="R745">
        <f t="shared" si="1002"/>
        <v>0</v>
      </c>
      <c r="S745">
        <f t="shared" si="1003"/>
        <v>0</v>
      </c>
      <c r="T745">
        <f t="shared" si="1004"/>
        <v>0</v>
      </c>
    </row>
    <row r="746" spans="1:20" x14ac:dyDescent="0.25">
      <c r="A746" s="5"/>
      <c r="C746" s="4"/>
      <c r="D746" s="4"/>
      <c r="P746">
        <f t="shared" si="1000"/>
        <v>0</v>
      </c>
      <c r="Q746">
        <f t="shared" si="1001"/>
        <v>0</v>
      </c>
      <c r="R746">
        <f t="shared" si="1002"/>
        <v>0</v>
      </c>
      <c r="S746">
        <f t="shared" si="1003"/>
        <v>0</v>
      </c>
      <c r="T746">
        <f t="shared" si="1004"/>
        <v>0</v>
      </c>
    </row>
    <row r="747" spans="1:20" x14ac:dyDescent="0.25">
      <c r="A747" s="5"/>
      <c r="C747" s="4"/>
      <c r="D747" s="4"/>
      <c r="P747">
        <f t="shared" si="1000"/>
        <v>0</v>
      </c>
      <c r="Q747">
        <f t="shared" si="1001"/>
        <v>0</v>
      </c>
      <c r="R747">
        <f t="shared" si="1002"/>
        <v>0</v>
      </c>
      <c r="S747">
        <f t="shared" si="1003"/>
        <v>0</v>
      </c>
      <c r="T747">
        <f t="shared" si="1004"/>
        <v>0</v>
      </c>
    </row>
    <row r="748" spans="1:20" x14ac:dyDescent="0.25">
      <c r="A748" s="5"/>
      <c r="C748" s="4"/>
      <c r="D748" s="4"/>
      <c r="P748">
        <f t="shared" si="1000"/>
        <v>0</v>
      </c>
      <c r="Q748">
        <f t="shared" si="1001"/>
        <v>0</v>
      </c>
      <c r="R748">
        <f t="shared" si="1002"/>
        <v>0</v>
      </c>
      <c r="S748">
        <f t="shared" si="1003"/>
        <v>0</v>
      </c>
      <c r="T748">
        <f t="shared" si="1004"/>
        <v>0</v>
      </c>
    </row>
    <row r="749" spans="1:20" x14ac:dyDescent="0.25">
      <c r="A749" s="5"/>
      <c r="C749" s="4"/>
      <c r="D749" s="4"/>
      <c r="P749">
        <f t="shared" si="1000"/>
        <v>0</v>
      </c>
      <c r="Q749">
        <f t="shared" si="1001"/>
        <v>0</v>
      </c>
      <c r="R749">
        <f t="shared" si="1002"/>
        <v>0</v>
      </c>
      <c r="S749">
        <f t="shared" si="1003"/>
        <v>0</v>
      </c>
      <c r="T749">
        <f t="shared" si="1004"/>
        <v>0</v>
      </c>
    </row>
    <row r="750" spans="1:20" x14ac:dyDescent="0.25">
      <c r="A750" s="5"/>
      <c r="C750" s="4"/>
      <c r="D750" s="4"/>
      <c r="P750">
        <f t="shared" si="1000"/>
        <v>0</v>
      </c>
      <c r="Q750">
        <f t="shared" si="1001"/>
        <v>0</v>
      </c>
      <c r="R750">
        <f t="shared" si="1002"/>
        <v>0</v>
      </c>
      <c r="S750">
        <f t="shared" si="1003"/>
        <v>0</v>
      </c>
      <c r="T750">
        <f t="shared" si="1004"/>
        <v>0</v>
      </c>
    </row>
    <row r="751" spans="1:20" x14ac:dyDescent="0.25">
      <c r="A751" s="5"/>
      <c r="C751" s="4"/>
      <c r="D751" s="4"/>
      <c r="P751">
        <f t="shared" si="1000"/>
        <v>0</v>
      </c>
      <c r="Q751">
        <f t="shared" si="1001"/>
        <v>0</v>
      </c>
      <c r="R751">
        <f t="shared" si="1002"/>
        <v>0</v>
      </c>
      <c r="S751">
        <f t="shared" si="1003"/>
        <v>0</v>
      </c>
      <c r="T751">
        <f t="shared" si="1004"/>
        <v>0</v>
      </c>
    </row>
    <row r="752" spans="1:20" x14ac:dyDescent="0.25">
      <c r="A752" s="5"/>
      <c r="C752" s="4"/>
      <c r="D752" s="4"/>
      <c r="P752">
        <f t="shared" si="1000"/>
        <v>0</v>
      </c>
      <c r="Q752">
        <f t="shared" si="1001"/>
        <v>0</v>
      </c>
      <c r="R752">
        <f t="shared" si="1002"/>
        <v>0</v>
      </c>
      <c r="S752">
        <f t="shared" si="1003"/>
        <v>0</v>
      </c>
      <c r="T752">
        <f t="shared" si="1004"/>
        <v>0</v>
      </c>
    </row>
    <row r="753" spans="1:20" x14ac:dyDescent="0.25">
      <c r="A753" s="5"/>
      <c r="C753" s="4"/>
      <c r="D753" s="4"/>
      <c r="P753">
        <f t="shared" si="1000"/>
        <v>0</v>
      </c>
      <c r="Q753">
        <f t="shared" si="1001"/>
        <v>0</v>
      </c>
      <c r="R753">
        <f t="shared" si="1002"/>
        <v>0</v>
      </c>
      <c r="S753">
        <f t="shared" si="1003"/>
        <v>0</v>
      </c>
      <c r="T753">
        <f t="shared" si="1004"/>
        <v>0</v>
      </c>
    </row>
    <row r="754" spans="1:20" x14ac:dyDescent="0.25">
      <c r="A754" s="5"/>
      <c r="C754" s="4"/>
      <c r="D754" s="4"/>
      <c r="P754">
        <f t="shared" si="1000"/>
        <v>0</v>
      </c>
      <c r="Q754">
        <f t="shared" si="1001"/>
        <v>0</v>
      </c>
      <c r="R754">
        <f t="shared" si="1002"/>
        <v>0</v>
      </c>
      <c r="S754">
        <f t="shared" si="1003"/>
        <v>0</v>
      </c>
      <c r="T754">
        <f t="shared" si="1004"/>
        <v>0</v>
      </c>
    </row>
    <row r="755" spans="1:20" x14ac:dyDescent="0.25">
      <c r="A755" s="5"/>
      <c r="C755" s="4"/>
      <c r="D755" s="4"/>
      <c r="P755">
        <f t="shared" si="1000"/>
        <v>0</v>
      </c>
      <c r="Q755">
        <f t="shared" si="1001"/>
        <v>0</v>
      </c>
      <c r="R755">
        <f t="shared" si="1002"/>
        <v>0</v>
      </c>
      <c r="S755">
        <f t="shared" si="1003"/>
        <v>0</v>
      </c>
      <c r="T755">
        <f t="shared" si="1004"/>
        <v>0</v>
      </c>
    </row>
    <row r="756" spans="1:20" x14ac:dyDescent="0.25">
      <c r="A756" s="5"/>
      <c r="C756" s="4"/>
      <c r="D756" s="4"/>
      <c r="P756">
        <f t="shared" si="1000"/>
        <v>0</v>
      </c>
      <c r="Q756">
        <f t="shared" si="1001"/>
        <v>0</v>
      </c>
      <c r="R756">
        <f t="shared" si="1002"/>
        <v>0</v>
      </c>
      <c r="S756">
        <f t="shared" si="1003"/>
        <v>0</v>
      </c>
      <c r="T756">
        <f t="shared" si="1004"/>
        <v>0</v>
      </c>
    </row>
    <row r="757" spans="1:20" x14ac:dyDescent="0.25">
      <c r="A757" s="5"/>
      <c r="C757" s="4"/>
      <c r="D757" s="4"/>
      <c r="P757">
        <f t="shared" si="1000"/>
        <v>0</v>
      </c>
      <c r="Q757">
        <f t="shared" si="1001"/>
        <v>0</v>
      </c>
      <c r="R757">
        <f t="shared" si="1002"/>
        <v>0</v>
      </c>
      <c r="S757">
        <f t="shared" si="1003"/>
        <v>0</v>
      </c>
      <c r="T757">
        <f t="shared" si="1004"/>
        <v>0</v>
      </c>
    </row>
    <row r="758" spans="1:20" x14ac:dyDescent="0.25">
      <c r="A758" s="5"/>
      <c r="C758" s="4"/>
      <c r="D758" s="4"/>
      <c r="P758">
        <f t="shared" si="1000"/>
        <v>0</v>
      </c>
      <c r="Q758">
        <f t="shared" si="1001"/>
        <v>0</v>
      </c>
      <c r="R758">
        <f t="shared" si="1002"/>
        <v>0</v>
      </c>
      <c r="S758">
        <f t="shared" si="1003"/>
        <v>0</v>
      </c>
      <c r="T758">
        <f t="shared" si="1004"/>
        <v>0</v>
      </c>
    </row>
    <row r="759" spans="1:20" x14ac:dyDescent="0.25">
      <c r="A759" s="5"/>
      <c r="C759" s="4"/>
      <c r="D759" s="4"/>
      <c r="P759">
        <f t="shared" si="1000"/>
        <v>0</v>
      </c>
      <c r="Q759">
        <f t="shared" si="1001"/>
        <v>0</v>
      </c>
      <c r="R759">
        <f t="shared" si="1002"/>
        <v>0</v>
      </c>
      <c r="S759">
        <f t="shared" si="1003"/>
        <v>0</v>
      </c>
      <c r="T759">
        <f t="shared" si="1004"/>
        <v>0</v>
      </c>
    </row>
    <row r="760" spans="1:20" x14ac:dyDescent="0.25">
      <c r="A760" s="5"/>
      <c r="C760" s="4"/>
      <c r="D760" s="4"/>
      <c r="P760">
        <f t="shared" si="1000"/>
        <v>0</v>
      </c>
      <c r="Q760">
        <f t="shared" si="1001"/>
        <v>0</v>
      </c>
      <c r="R760">
        <f t="shared" si="1002"/>
        <v>0</v>
      </c>
      <c r="S760">
        <f t="shared" si="1003"/>
        <v>0</v>
      </c>
      <c r="T760">
        <f t="shared" si="1004"/>
        <v>0</v>
      </c>
    </row>
    <row r="761" spans="1:20" x14ac:dyDescent="0.25">
      <c r="A761" s="5"/>
      <c r="C761" s="4"/>
      <c r="D761" s="4"/>
      <c r="P761">
        <f t="shared" si="1000"/>
        <v>0</v>
      </c>
      <c r="Q761">
        <f t="shared" si="1001"/>
        <v>0</v>
      </c>
      <c r="R761">
        <f t="shared" si="1002"/>
        <v>0</v>
      </c>
      <c r="S761">
        <f t="shared" si="1003"/>
        <v>0</v>
      </c>
      <c r="T761">
        <f t="shared" si="1004"/>
        <v>0</v>
      </c>
    </row>
    <row r="762" spans="1:20" x14ac:dyDescent="0.25">
      <c r="A762" s="5"/>
      <c r="C762" s="4"/>
      <c r="D762" s="4"/>
      <c r="P762">
        <f t="shared" si="1000"/>
        <v>0</v>
      </c>
      <c r="Q762">
        <f t="shared" si="1001"/>
        <v>0</v>
      </c>
      <c r="R762">
        <f t="shared" si="1002"/>
        <v>0</v>
      </c>
      <c r="S762">
        <f t="shared" si="1003"/>
        <v>0</v>
      </c>
      <c r="T762">
        <f t="shared" si="1004"/>
        <v>0</v>
      </c>
    </row>
    <row r="763" spans="1:20" x14ac:dyDescent="0.25">
      <c r="A763" s="5"/>
      <c r="C763" s="4"/>
      <c r="D763" s="4"/>
      <c r="P763">
        <f t="shared" si="1000"/>
        <v>0</v>
      </c>
      <c r="Q763">
        <f t="shared" si="1001"/>
        <v>0</v>
      </c>
      <c r="R763">
        <f t="shared" si="1002"/>
        <v>0</v>
      </c>
      <c r="S763">
        <f t="shared" si="1003"/>
        <v>0</v>
      </c>
      <c r="T763">
        <f t="shared" si="1004"/>
        <v>0</v>
      </c>
    </row>
    <row r="764" spans="1:20" x14ac:dyDescent="0.25">
      <c r="A764" s="5"/>
      <c r="C764" s="4"/>
      <c r="D764" s="4"/>
      <c r="P764">
        <f t="shared" si="1000"/>
        <v>0</v>
      </c>
      <c r="Q764">
        <f t="shared" si="1001"/>
        <v>0</v>
      </c>
      <c r="R764">
        <f t="shared" si="1002"/>
        <v>0</v>
      </c>
      <c r="S764">
        <f t="shared" si="1003"/>
        <v>0</v>
      </c>
      <c r="T764">
        <f t="shared" si="1004"/>
        <v>0</v>
      </c>
    </row>
    <row r="765" spans="1:20" x14ac:dyDescent="0.25">
      <c r="A765" s="5"/>
      <c r="C765" s="4"/>
      <c r="D765" s="4"/>
      <c r="P765">
        <f t="shared" si="1000"/>
        <v>0</v>
      </c>
      <c r="Q765">
        <f t="shared" si="1001"/>
        <v>0</v>
      </c>
      <c r="R765">
        <f t="shared" si="1002"/>
        <v>0</v>
      </c>
      <c r="S765">
        <f t="shared" si="1003"/>
        <v>0</v>
      </c>
      <c r="T765">
        <f t="shared" si="1004"/>
        <v>0</v>
      </c>
    </row>
    <row r="766" spans="1:20" x14ac:dyDescent="0.25">
      <c r="A766" s="5"/>
      <c r="C766" s="4"/>
      <c r="D766" s="4"/>
      <c r="P766">
        <f t="shared" si="1000"/>
        <v>0</v>
      </c>
      <c r="Q766">
        <f t="shared" si="1001"/>
        <v>0</v>
      </c>
      <c r="R766">
        <f t="shared" si="1002"/>
        <v>0</v>
      </c>
      <c r="S766">
        <f t="shared" si="1003"/>
        <v>0</v>
      </c>
      <c r="T766">
        <f t="shared" si="1004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FB701" sqref="FB70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$A$700</v>
      </c>
      <c r="D111" s="1" t="str">
        <f>ADDRESS(C121-1,D121,1,1)</f>
        <v>$FB$700</v>
      </c>
      <c r="E111"/>
    </row>
    <row r="112" spans="1:5" x14ac:dyDescent="0.25">
      <c r="A112" s="7">
        <v>12164.144957890772</v>
      </c>
      <c r="C112" s="1" t="str">
        <f>ADDRESS(C121,1,1,1)</f>
        <v>$A$701</v>
      </c>
      <c r="D112" s="1" t="str">
        <f>ADDRESS(C121,D121-1,1,1)</f>
        <v>$FA$701</v>
      </c>
      <c r="E112"/>
    </row>
    <row r="113" spans="1:5" x14ac:dyDescent="0.25">
      <c r="A113" s="7">
        <v>11925.63231165762</v>
      </c>
      <c r="C113" s="1" t="str">
        <f>ADDRESS(C121+1,1,1,1)</f>
        <v>$A$702</v>
      </c>
      <c r="D113" s="1" t="str">
        <f>ADDRESS(C121-1,D121+1,1,1)</f>
        <v>$FC$700</v>
      </c>
    </row>
    <row r="114" spans="1:5" x14ac:dyDescent="0.25">
      <c r="A114" s="7">
        <v>11691.796383978059</v>
      </c>
      <c r="C114" s="1" t="str">
        <f>ADDRESS(C121,D121,1,1)</f>
        <v>$FB$701</v>
      </c>
      <c r="D114" s="1" t="str">
        <f>ADDRESS(C121+1,D121+1,1,1)</f>
        <v>$FC$702</v>
      </c>
    </row>
    <row r="115" spans="1:5" x14ac:dyDescent="0.25">
      <c r="A115" s="7">
        <v>11462.545474488292</v>
      </c>
      <c r="C115" s="1" t="str">
        <f>ADDRESS(C121+1,D121,1,1)</f>
        <v>$FB$702</v>
      </c>
    </row>
    <row r="116" spans="1:5" x14ac:dyDescent="0.25">
      <c r="A116" s="7">
        <v>11237.789680870874</v>
      </c>
      <c r="C116" s="1">
        <f>C117-1</f>
        <v>700</v>
      </c>
    </row>
    <row r="117" spans="1:5" x14ac:dyDescent="0.25">
      <c r="A117" s="7">
        <v>11017.440863598895</v>
      </c>
      <c r="C117" s="1">
        <f>C121</f>
        <v>701</v>
      </c>
      <c r="D117" s="1">
        <f>D121</f>
        <v>158</v>
      </c>
    </row>
    <row r="118" spans="1:5" x14ac:dyDescent="0.25">
      <c r="A118" s="7">
        <v>10801.412611371465</v>
      </c>
      <c r="C118" s="1">
        <f>C117+1</f>
        <v>702</v>
      </c>
      <c r="D118" s="1">
        <f>D117+1</f>
        <v>159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701</v>
      </c>
      <c r="D121" s="19">
        <v>158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R701</v>
      </c>
      <c r="D123" s="1" t="str">
        <f>"C"&amp;D121</f>
        <v>C158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0.1046117384089861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12" x14ac:dyDescent="0.25">
      <c r="A561" s="7">
        <v>1.6734181143540252</v>
      </c>
      <c r="B561"/>
      <c r="C561"/>
      <c r="D561"/>
      <c r="E561"/>
    </row>
    <row r="562" spans="1:12" x14ac:dyDescent="0.25">
      <c r="A562" s="7">
        <v>1.6406059944647307</v>
      </c>
      <c r="B562"/>
      <c r="C562"/>
      <c r="D562"/>
      <c r="E562"/>
    </row>
    <row r="563" spans="1:12" x14ac:dyDescent="0.25">
      <c r="A563" s="7">
        <v>1.6084372494752261</v>
      </c>
      <c r="B563"/>
      <c r="C563"/>
      <c r="D563"/>
      <c r="E563"/>
    </row>
    <row r="564" spans="1:12" x14ac:dyDescent="0.25">
      <c r="A564" s="7">
        <v>1.5768992641913981</v>
      </c>
      <c r="B564"/>
      <c r="C564"/>
      <c r="D564"/>
      <c r="E564"/>
    </row>
    <row r="565" spans="1:12" x14ac:dyDescent="0.25">
      <c r="A565" s="7">
        <v>1.5459796707758806</v>
      </c>
      <c r="B565"/>
      <c r="C565"/>
      <c r="D565"/>
      <c r="E565"/>
    </row>
    <row r="566" spans="1:12" x14ac:dyDescent="0.25">
      <c r="A566" s="7">
        <v>1.5156663438979221</v>
      </c>
      <c r="B566"/>
      <c r="C566"/>
      <c r="D566"/>
      <c r="E566"/>
    </row>
    <row r="567" spans="1:12" x14ac:dyDescent="0.25">
      <c r="A567" s="7">
        <v>1.4859473959783549</v>
      </c>
      <c r="B567"/>
      <c r="C567"/>
      <c r="D567"/>
      <c r="E567"/>
    </row>
    <row r="568" spans="1:12" x14ac:dyDescent="0.25">
      <c r="A568" s="7">
        <v>1.4568111725277988</v>
      </c>
      <c r="B568"/>
      <c r="C568"/>
      <c r="D568"/>
      <c r="E568"/>
    </row>
    <row r="569" spans="1:12" x14ac:dyDescent="0.25">
      <c r="A569" s="7">
        <v>1.4282462475762734</v>
      </c>
      <c r="B569"/>
      <c r="C569"/>
      <c r="D569"/>
      <c r="E569"/>
    </row>
    <row r="570" spans="1:12" x14ac:dyDescent="0.25">
      <c r="A570" s="7">
        <v>1.4002414191924248</v>
      </c>
      <c r="B570"/>
      <c r="C570"/>
      <c r="D570"/>
      <c r="E570"/>
    </row>
    <row r="571" spans="1:12" x14ac:dyDescent="0.25">
      <c r="A571" s="7">
        <v>1.3727857050906125</v>
      </c>
      <c r="B571"/>
      <c r="C571"/>
      <c r="D571"/>
      <c r="E571" t="s">
        <v>8</v>
      </c>
    </row>
    <row r="572" spans="1:12" x14ac:dyDescent="0.25">
      <c r="A572" s="7">
        <v>1.3458683383241299</v>
      </c>
      <c r="B572"/>
      <c r="C572"/>
      <c r="D572"/>
      <c r="E572" t="s">
        <v>8</v>
      </c>
      <c r="F572" s="27" t="s">
        <v>7</v>
      </c>
      <c r="K572" s="27" t="s">
        <v>8</v>
      </c>
    </row>
    <row r="573" spans="1:12" x14ac:dyDescent="0.25">
      <c r="A573" s="7">
        <v>1.3194787630628724</v>
      </c>
      <c r="B573"/>
      <c r="C573"/>
      <c r="D573"/>
      <c r="E573" t="s">
        <v>8</v>
      </c>
      <c r="F573" s="27" t="s">
        <v>7</v>
      </c>
      <c r="K573" s="27" t="s">
        <v>8</v>
      </c>
      <c r="L573" s="27" t="s">
        <v>7</v>
      </c>
    </row>
    <row r="574" spans="1:12" x14ac:dyDescent="0.25">
      <c r="A574" s="7">
        <v>1.2936066304537963</v>
      </c>
      <c r="B574"/>
      <c r="C574"/>
      <c r="D574"/>
      <c r="E574" t="s">
        <v>8</v>
      </c>
      <c r="F574" s="27" t="s">
        <v>7</v>
      </c>
      <c r="K574" s="27" t="s">
        <v>8</v>
      </c>
      <c r="L574" s="27" t="s">
        <v>7</v>
      </c>
    </row>
    <row r="575" spans="1:12" x14ac:dyDescent="0.25">
      <c r="A575" s="7">
        <v>1.2682417945625455</v>
      </c>
      <c r="B575"/>
      <c r="C575"/>
      <c r="D575"/>
      <c r="E575" t="s">
        <v>8</v>
      </c>
      <c r="F575" s="27" t="s">
        <v>7</v>
      </c>
      <c r="I575" s="27" t="s">
        <v>8</v>
      </c>
      <c r="K575" s="27" t="s">
        <v>8</v>
      </c>
      <c r="L575" s="27" t="s">
        <v>7</v>
      </c>
    </row>
    <row r="576" spans="1:12" x14ac:dyDescent="0.25">
      <c r="A576" s="7">
        <v>1.2433743083946525</v>
      </c>
      <c r="B576"/>
      <c r="C576"/>
      <c r="D576"/>
      <c r="E576" t="s">
        <v>8</v>
      </c>
      <c r="F576" s="27" t="s">
        <v>7</v>
      </c>
      <c r="I576" s="27" t="s">
        <v>8</v>
      </c>
      <c r="J576" s="27" t="s">
        <v>7</v>
      </c>
      <c r="K576" s="27" t="s">
        <v>8</v>
      </c>
      <c r="L576" s="27" t="s">
        <v>7</v>
      </c>
    </row>
    <row r="577" spans="1:32" x14ac:dyDescent="0.25">
      <c r="A577" s="7">
        <v>1.2189944199947573</v>
      </c>
      <c r="B577"/>
      <c r="C577"/>
      <c r="D577"/>
      <c r="E577" t="s">
        <v>8</v>
      </c>
      <c r="F577" s="27" t="s">
        <v>7</v>
      </c>
      <c r="I577" s="27" t="s">
        <v>8</v>
      </c>
      <c r="J577" s="27" t="s">
        <v>7</v>
      </c>
      <c r="K577" s="27" t="s">
        <v>8</v>
      </c>
      <c r="L577" s="27" t="s">
        <v>7</v>
      </c>
    </row>
    <row r="578" spans="1:32" x14ac:dyDescent="0.25">
      <c r="A578" s="7">
        <v>1.1950925686223111</v>
      </c>
      <c r="B578"/>
      <c r="C578"/>
      <c r="D578"/>
      <c r="E578" t="s">
        <v>8</v>
      </c>
      <c r="F578" s="27" t="s">
        <v>7</v>
      </c>
      <c r="I578" s="27" t="s">
        <v>8</v>
      </c>
      <c r="J578" s="27" t="s">
        <v>7</v>
      </c>
      <c r="K578" s="27" t="s">
        <v>8</v>
      </c>
      <c r="L578" s="27" t="s">
        <v>7</v>
      </c>
      <c r="M578" s="27" t="s">
        <v>8</v>
      </c>
      <c r="O578" s="27" t="s">
        <v>8</v>
      </c>
    </row>
    <row r="579" spans="1:32" x14ac:dyDescent="0.25">
      <c r="A579" s="7">
        <v>1.1716593810022657</v>
      </c>
      <c r="B579"/>
      <c r="C579"/>
      <c r="D579"/>
      <c r="E579" t="s">
        <v>8</v>
      </c>
      <c r="F579" s="27" t="s">
        <v>7</v>
      </c>
      <c r="G579" s="27" t="s">
        <v>8</v>
      </c>
      <c r="I579" s="27" t="s">
        <v>8</v>
      </c>
      <c r="J579" s="27" t="s">
        <v>7</v>
      </c>
      <c r="K579" s="27" t="s">
        <v>8</v>
      </c>
      <c r="L579" s="27" t="s">
        <v>7</v>
      </c>
      <c r="M579" s="27" t="s">
        <v>8</v>
      </c>
      <c r="N579" s="27" t="s">
        <v>7</v>
      </c>
      <c r="O579" s="27" t="s">
        <v>8</v>
      </c>
      <c r="P579" s="27" t="s">
        <v>7</v>
      </c>
    </row>
    <row r="580" spans="1:32" x14ac:dyDescent="0.25">
      <c r="A580" s="7">
        <v>1.14868566764928</v>
      </c>
      <c r="B580"/>
      <c r="C580"/>
      <c r="D580"/>
      <c r="E580" t="s">
        <v>8</v>
      </c>
      <c r="F580" s="27" t="s">
        <v>7</v>
      </c>
      <c r="G580" s="27" t="s">
        <v>8</v>
      </c>
      <c r="H580" s="27" t="s">
        <v>7</v>
      </c>
      <c r="I580" s="27" t="s">
        <v>8</v>
      </c>
      <c r="J580" s="27" t="s">
        <v>7</v>
      </c>
      <c r="K580" s="27" t="s">
        <v>8</v>
      </c>
      <c r="L580" s="27" t="s">
        <v>7</v>
      </c>
      <c r="M580" s="27" t="s">
        <v>8</v>
      </c>
      <c r="N580" s="27" t="s">
        <v>7</v>
      </c>
      <c r="O580" s="27" t="s">
        <v>8</v>
      </c>
      <c r="P580" s="27" t="s">
        <v>7</v>
      </c>
    </row>
    <row r="581" spans="1:32" x14ac:dyDescent="0.25">
      <c r="A581" s="7">
        <v>1.1261624192640001</v>
      </c>
      <c r="B581"/>
      <c r="C581"/>
      <c r="D581"/>
      <c r="E581" t="s">
        <v>8</v>
      </c>
      <c r="F581" s="27" t="s">
        <v>7</v>
      </c>
      <c r="G581" s="27" t="s">
        <v>8</v>
      </c>
      <c r="H581" s="27" t="s">
        <v>7</v>
      </c>
      <c r="I581" s="27" t="s">
        <v>8</v>
      </c>
      <c r="J581" s="27" t="s">
        <v>7</v>
      </c>
      <c r="K581" s="27" t="s">
        <v>8</v>
      </c>
      <c r="L581" s="27" t="s">
        <v>7</v>
      </c>
      <c r="M581" s="27" t="s">
        <v>8</v>
      </c>
      <c r="N581" s="27" t="s">
        <v>7</v>
      </c>
      <c r="O581" s="27" t="s">
        <v>8</v>
      </c>
      <c r="P581" s="27" t="s">
        <v>7</v>
      </c>
      <c r="U581" s="27" t="s">
        <v>8</v>
      </c>
    </row>
    <row r="582" spans="1:32" x14ac:dyDescent="0.25">
      <c r="A582" s="7">
        <v>1.1040808032</v>
      </c>
      <c r="B582"/>
      <c r="C582"/>
      <c r="D582"/>
      <c r="E582" t="s">
        <v>8</v>
      </c>
      <c r="F582" s="27" t="s">
        <v>7</v>
      </c>
      <c r="G582" s="27" t="s">
        <v>8</v>
      </c>
      <c r="H582" s="27" t="s">
        <v>7</v>
      </c>
      <c r="I582" s="27" t="s">
        <v>8</v>
      </c>
      <c r="J582" s="27" t="s">
        <v>7</v>
      </c>
      <c r="K582" s="27" t="s">
        <v>8</v>
      </c>
      <c r="L582" s="27" t="s">
        <v>7</v>
      </c>
      <c r="M582" s="27" t="s">
        <v>8</v>
      </c>
      <c r="N582" s="27" t="s">
        <v>7</v>
      </c>
      <c r="O582" s="27" t="s">
        <v>8</v>
      </c>
      <c r="P582" s="27" t="s">
        <v>7</v>
      </c>
      <c r="U582" s="27" t="s">
        <v>8</v>
      </c>
      <c r="V582" s="27" t="s">
        <v>7</v>
      </c>
    </row>
    <row r="583" spans="1:32" x14ac:dyDescent="0.25">
      <c r="A583" s="7">
        <v>1.08243216</v>
      </c>
      <c r="B583"/>
      <c r="C583"/>
      <c r="D583"/>
      <c r="E583" t="s">
        <v>8</v>
      </c>
      <c r="F583" s="27" t="s">
        <v>7</v>
      </c>
      <c r="G583" s="27" t="s">
        <v>8</v>
      </c>
      <c r="H583" s="27" t="s">
        <v>7</v>
      </c>
      <c r="I583" s="27" t="s">
        <v>8</v>
      </c>
      <c r="J583" s="27" t="s">
        <v>7</v>
      </c>
      <c r="L583" s="27" t="s">
        <v>7</v>
      </c>
      <c r="N583" s="27" t="s">
        <v>7</v>
      </c>
      <c r="O583" s="27" t="s">
        <v>8</v>
      </c>
      <c r="P583" s="27" t="s">
        <v>7</v>
      </c>
      <c r="U583" s="27" t="s">
        <v>8</v>
      </c>
      <c r="V583" s="27" t="s">
        <v>7</v>
      </c>
    </row>
    <row r="584" spans="1:32" x14ac:dyDescent="0.25">
      <c r="A584" s="7">
        <v>1.0612079999999999</v>
      </c>
      <c r="B584"/>
      <c r="C584"/>
      <c r="D584"/>
      <c r="E584" t="s">
        <v>8</v>
      </c>
      <c r="F584" s="27" t="s">
        <v>7</v>
      </c>
      <c r="G584" s="27" t="s">
        <v>8</v>
      </c>
      <c r="H584" s="27" t="s">
        <v>7</v>
      </c>
      <c r="I584" s="27" t="s">
        <v>8</v>
      </c>
      <c r="N584" s="27" t="s">
        <v>7</v>
      </c>
      <c r="O584" s="27" t="s">
        <v>8</v>
      </c>
      <c r="P584" s="27" t="s">
        <v>7</v>
      </c>
      <c r="U584" s="27" t="s">
        <v>8</v>
      </c>
      <c r="V584" s="27" t="s">
        <v>7</v>
      </c>
      <c r="AC584" s="27" t="s">
        <v>8</v>
      </c>
    </row>
    <row r="585" spans="1:32" x14ac:dyDescent="0.25">
      <c r="A585" s="7">
        <v>1.0404</v>
      </c>
      <c r="B585"/>
      <c r="C585"/>
      <c r="D585"/>
      <c r="E585" t="s">
        <v>8</v>
      </c>
      <c r="F585" s="27" t="s">
        <v>7</v>
      </c>
      <c r="G585" s="27" t="s">
        <v>8</v>
      </c>
      <c r="H585" s="27" t="s">
        <v>7</v>
      </c>
      <c r="N585" s="27" t="s">
        <v>7</v>
      </c>
      <c r="O585" s="27" t="s">
        <v>8</v>
      </c>
      <c r="P585" s="27" t="s">
        <v>7</v>
      </c>
      <c r="Q585" s="27" t="s">
        <v>8</v>
      </c>
      <c r="U585" s="27" t="s">
        <v>8</v>
      </c>
      <c r="V585" s="27" t="s">
        <v>7</v>
      </c>
      <c r="AC585" s="27" t="s">
        <v>8</v>
      </c>
      <c r="AD585" s="27" t="s">
        <v>7</v>
      </c>
    </row>
    <row r="586" spans="1:32" x14ac:dyDescent="0.25">
      <c r="A586" s="7">
        <v>1.02</v>
      </c>
      <c r="B586"/>
      <c r="C586"/>
      <c r="D586"/>
      <c r="E586" t="s">
        <v>8</v>
      </c>
      <c r="F586" s="27" t="s">
        <v>7</v>
      </c>
      <c r="N586" s="27" t="s">
        <v>7</v>
      </c>
      <c r="O586" s="27" t="s">
        <v>8</v>
      </c>
      <c r="P586" s="27" t="s">
        <v>7</v>
      </c>
      <c r="Q586" s="27" t="s">
        <v>8</v>
      </c>
      <c r="R586" s="27" t="s">
        <v>7</v>
      </c>
      <c r="U586" s="27" t="s">
        <v>8</v>
      </c>
      <c r="V586" s="27" t="s">
        <v>7</v>
      </c>
      <c r="W586" s="27" t="s">
        <v>8</v>
      </c>
      <c r="Y586" s="27" t="s">
        <v>8</v>
      </c>
      <c r="AC586" s="27" t="s">
        <v>8</v>
      </c>
      <c r="AD586" s="27" t="s">
        <v>7</v>
      </c>
    </row>
    <row r="587" spans="1:32" x14ac:dyDescent="0.25">
      <c r="A587" s="7">
        <v>1</v>
      </c>
      <c r="B587"/>
      <c r="C587"/>
      <c r="D587"/>
      <c r="E587" s="29" t="s">
        <v>8</v>
      </c>
      <c r="N587" s="27" t="s">
        <v>7</v>
      </c>
      <c r="O587" s="27" t="s">
        <v>8</v>
      </c>
      <c r="P587" s="27" t="s">
        <v>7</v>
      </c>
      <c r="Q587" s="27" t="s">
        <v>8</v>
      </c>
      <c r="R587" s="27" t="s">
        <v>7</v>
      </c>
      <c r="U587" s="27" t="s">
        <v>8</v>
      </c>
      <c r="V587" s="27" t="s">
        <v>7</v>
      </c>
      <c r="W587" s="27" t="s">
        <v>8</v>
      </c>
      <c r="X587" s="27" t="s">
        <v>7</v>
      </c>
      <c r="Y587" s="27" t="s">
        <v>8</v>
      </c>
      <c r="Z587" s="27" t="s">
        <v>7</v>
      </c>
      <c r="AC587" s="27" t="s">
        <v>8</v>
      </c>
      <c r="AD587" s="27" t="s">
        <v>7</v>
      </c>
    </row>
    <row r="588" spans="1:32" x14ac:dyDescent="0.25">
      <c r="A588" s="7">
        <v>0.98039215686274506</v>
      </c>
      <c r="B588"/>
      <c r="C588"/>
      <c r="D588"/>
      <c r="E588"/>
      <c r="N588" s="27" t="s">
        <v>7</v>
      </c>
      <c r="O588" s="27" t="s">
        <v>8</v>
      </c>
      <c r="P588" s="27" t="s">
        <v>7</v>
      </c>
      <c r="Q588" s="27" t="s">
        <v>8</v>
      </c>
      <c r="R588" s="27" t="s">
        <v>7</v>
      </c>
      <c r="U588" s="27" t="s">
        <v>8</v>
      </c>
      <c r="V588" s="27" t="s">
        <v>7</v>
      </c>
      <c r="W588" s="27" t="s">
        <v>8</v>
      </c>
      <c r="X588" s="27" t="s">
        <v>7</v>
      </c>
      <c r="Y588" s="27" t="s">
        <v>8</v>
      </c>
      <c r="Z588" s="27" t="s">
        <v>7</v>
      </c>
      <c r="AC588" s="27" t="s">
        <v>8</v>
      </c>
      <c r="AD588" s="27" t="s">
        <v>7</v>
      </c>
      <c r="AE588" s="27" t="s">
        <v>8</v>
      </c>
    </row>
    <row r="589" spans="1:32" x14ac:dyDescent="0.25">
      <c r="A589" s="7">
        <v>0.96116878123798544</v>
      </c>
      <c r="B589"/>
      <c r="C589"/>
      <c r="D589"/>
      <c r="E589"/>
      <c r="N589" s="27" t="s">
        <v>7</v>
      </c>
      <c r="O589" s="27" t="s">
        <v>8</v>
      </c>
      <c r="P589" s="27" t="s">
        <v>7</v>
      </c>
      <c r="Q589" s="27" t="s">
        <v>8</v>
      </c>
      <c r="R589" s="27" t="s">
        <v>7</v>
      </c>
      <c r="U589" s="27" t="s">
        <v>8</v>
      </c>
      <c r="V589" s="27" t="s">
        <v>7</v>
      </c>
      <c r="X589" s="27" t="s">
        <v>7</v>
      </c>
      <c r="Y589" s="27" t="s">
        <v>8</v>
      </c>
      <c r="Z589" s="27" t="s">
        <v>7</v>
      </c>
      <c r="AC589" s="27" t="s">
        <v>8</v>
      </c>
      <c r="AD589" s="27" t="s">
        <v>7</v>
      </c>
      <c r="AE589" s="27" t="s">
        <v>8</v>
      </c>
      <c r="AF589" s="27" t="s">
        <v>7</v>
      </c>
    </row>
    <row r="590" spans="1:32" x14ac:dyDescent="0.25">
      <c r="A590" s="7">
        <v>0.94232233454704462</v>
      </c>
      <c r="B590"/>
      <c r="C590"/>
      <c r="D590"/>
      <c r="E590"/>
      <c r="N590" s="27" t="s">
        <v>7</v>
      </c>
      <c r="O590" s="27" t="s">
        <v>8</v>
      </c>
      <c r="P590" s="27" t="s">
        <v>7</v>
      </c>
      <c r="R590" s="27" t="s">
        <v>7</v>
      </c>
      <c r="U590" s="27" t="s">
        <v>8</v>
      </c>
      <c r="X590" s="27" t="s">
        <v>7</v>
      </c>
      <c r="Y590" s="27" t="s">
        <v>8</v>
      </c>
      <c r="Z590" s="27" t="s">
        <v>7</v>
      </c>
      <c r="AA590" s="27" t="s">
        <v>8</v>
      </c>
      <c r="AC590" s="27" t="s">
        <v>8</v>
      </c>
      <c r="AD590" s="27" t="s">
        <v>7</v>
      </c>
      <c r="AE590" s="27" t="s">
        <v>8</v>
      </c>
      <c r="AF590" s="27" t="s">
        <v>7</v>
      </c>
    </row>
    <row r="591" spans="1:32" x14ac:dyDescent="0.25">
      <c r="A591" s="7">
        <v>0.92384542602651432</v>
      </c>
      <c r="B591"/>
      <c r="C591"/>
      <c r="D591"/>
      <c r="E591"/>
      <c r="N591" s="27" t="s">
        <v>7</v>
      </c>
      <c r="O591" s="27" t="s">
        <v>8</v>
      </c>
      <c r="R591" s="27" t="s">
        <v>7</v>
      </c>
      <c r="S591" s="27" t="s">
        <v>8</v>
      </c>
      <c r="U591" s="27" t="s">
        <v>8</v>
      </c>
      <c r="X591" s="27" t="s">
        <v>7</v>
      </c>
      <c r="Z591" s="27" t="s">
        <v>7</v>
      </c>
      <c r="AA591" s="27" t="s">
        <v>8</v>
      </c>
      <c r="AB591" s="27" t="s">
        <v>7</v>
      </c>
      <c r="AC591" s="27" t="s">
        <v>8</v>
      </c>
      <c r="AD591" s="27" t="s">
        <v>7</v>
      </c>
      <c r="AE591" s="27" t="s">
        <v>8</v>
      </c>
      <c r="AF591" s="27" t="s">
        <v>7</v>
      </c>
    </row>
    <row r="592" spans="1:32" x14ac:dyDescent="0.25">
      <c r="A592" s="7">
        <v>0.90573080982991594</v>
      </c>
      <c r="B592"/>
      <c r="C592"/>
      <c r="D592"/>
      <c r="E592"/>
      <c r="N592" s="27" t="s">
        <v>7</v>
      </c>
      <c r="O592" s="27" t="s">
        <v>8</v>
      </c>
      <c r="R592" s="27" t="s">
        <v>7</v>
      </c>
      <c r="S592" s="27" t="s">
        <v>8</v>
      </c>
      <c r="T592" s="27" t="s">
        <v>7</v>
      </c>
      <c r="U592" s="27" t="s">
        <v>8</v>
      </c>
      <c r="Z592" s="27" t="s">
        <v>7</v>
      </c>
      <c r="AA592" s="27" t="s">
        <v>8</v>
      </c>
      <c r="AB592" s="27" t="s">
        <v>7</v>
      </c>
      <c r="AC592" s="27" t="s">
        <v>8</v>
      </c>
      <c r="AD592" s="27" t="s">
        <v>7</v>
      </c>
      <c r="AE592" s="27" t="s">
        <v>8</v>
      </c>
      <c r="AF592" s="27" t="s">
        <v>7</v>
      </c>
    </row>
    <row r="593" spans="1:94" x14ac:dyDescent="0.25">
      <c r="A593" s="7">
        <v>0.8879713821861922</v>
      </c>
      <c r="B593"/>
      <c r="C593"/>
      <c r="D593"/>
      <c r="E593"/>
      <c r="N593" s="27" t="s">
        <v>7</v>
      </c>
      <c r="O593" s="27" t="s">
        <v>8</v>
      </c>
      <c r="R593" s="27" t="s">
        <v>7</v>
      </c>
      <c r="S593" s="27" t="s">
        <v>8</v>
      </c>
      <c r="T593" s="27" t="s">
        <v>7</v>
      </c>
      <c r="U593" s="27" t="s">
        <v>8</v>
      </c>
      <c r="Z593" s="27" t="s">
        <v>7</v>
      </c>
      <c r="AA593" s="27" t="s">
        <v>8</v>
      </c>
      <c r="AB593" s="27" t="s">
        <v>7</v>
      </c>
      <c r="AC593" s="27" t="s">
        <v>8</v>
      </c>
      <c r="AD593" s="27" t="s">
        <v>7</v>
      </c>
      <c r="AE593" s="27" t="s">
        <v>8</v>
      </c>
      <c r="AF593" s="27" t="s">
        <v>7</v>
      </c>
    </row>
    <row r="594" spans="1:94" x14ac:dyDescent="0.25">
      <c r="A594" s="7">
        <v>0.87056017861391399</v>
      </c>
      <c r="B594"/>
      <c r="C594"/>
      <c r="D594"/>
      <c r="E594"/>
      <c r="N594" s="27" t="s">
        <v>7</v>
      </c>
      <c r="O594" s="27" t="s">
        <v>8</v>
      </c>
      <c r="R594" s="27" t="s">
        <v>7</v>
      </c>
      <c r="S594" s="27" t="s">
        <v>8</v>
      </c>
      <c r="T594" s="27" t="s">
        <v>7</v>
      </c>
      <c r="U594" s="27" t="s">
        <v>8</v>
      </c>
      <c r="Z594" s="27" t="s">
        <v>7</v>
      </c>
      <c r="AA594" s="27" t="s">
        <v>8</v>
      </c>
      <c r="AB594" s="27" t="s">
        <v>7</v>
      </c>
      <c r="AC594" s="27" t="s">
        <v>8</v>
      </c>
      <c r="AD594" s="27" t="s">
        <v>7</v>
      </c>
      <c r="AE594" s="27" t="s">
        <v>8</v>
      </c>
      <c r="AF594" s="27" t="s">
        <v>7</v>
      </c>
    </row>
    <row r="595" spans="1:94" x14ac:dyDescent="0.25">
      <c r="A595" s="7">
        <v>0.85349037119011173</v>
      </c>
      <c r="B595"/>
      <c r="C595"/>
      <c r="D595"/>
      <c r="E595"/>
      <c r="N595" s="27" t="s">
        <v>7</v>
      </c>
      <c r="O595" s="27" t="s">
        <v>8</v>
      </c>
      <c r="R595" s="27" t="s">
        <v>7</v>
      </c>
      <c r="S595" s="27" t="s">
        <v>8</v>
      </c>
      <c r="T595" s="27" t="s">
        <v>7</v>
      </c>
      <c r="U595" s="27" t="s">
        <v>8</v>
      </c>
      <c r="Z595" s="27" t="s">
        <v>7</v>
      </c>
      <c r="AB595" s="27" t="s">
        <v>7</v>
      </c>
      <c r="AD595" s="27" t="s">
        <v>7</v>
      </c>
      <c r="AE595" s="27" t="s">
        <v>8</v>
      </c>
      <c r="AF595" s="27" t="s">
        <v>7</v>
      </c>
    </row>
    <row r="596" spans="1:94" x14ac:dyDescent="0.25">
      <c r="A596" s="7">
        <v>0.83675526587265858</v>
      </c>
      <c r="B596"/>
      <c r="C596"/>
      <c r="D596"/>
      <c r="E596"/>
      <c r="N596" s="27" t="s">
        <v>7</v>
      </c>
      <c r="O596" s="27" t="s">
        <v>8</v>
      </c>
      <c r="R596" s="27" t="s">
        <v>7</v>
      </c>
      <c r="S596" s="27" t="s">
        <v>8</v>
      </c>
      <c r="T596" s="27" t="s">
        <v>7</v>
      </c>
      <c r="U596" s="27" t="s">
        <v>8</v>
      </c>
      <c r="AD596" s="27" t="s">
        <v>7</v>
      </c>
      <c r="AE596" s="27" t="s">
        <v>8</v>
      </c>
      <c r="AF596" s="27" t="s">
        <v>7</v>
      </c>
      <c r="AG596" s="27" t="s">
        <v>8</v>
      </c>
      <c r="CO596" s="27" t="s">
        <v>8</v>
      </c>
    </row>
    <row r="597" spans="1:94" x14ac:dyDescent="0.25">
      <c r="A597" s="7">
        <v>0.82034829987515545</v>
      </c>
      <c r="B597"/>
      <c r="C597"/>
      <c r="D597"/>
      <c r="E597"/>
      <c r="N597" s="27" t="s">
        <v>7</v>
      </c>
      <c r="O597" s="27" t="s">
        <v>8</v>
      </c>
      <c r="R597" s="27" t="s">
        <v>7</v>
      </c>
      <c r="S597" s="27" t="s">
        <v>8</v>
      </c>
      <c r="T597" s="27" t="s">
        <v>7</v>
      </c>
      <c r="AD597" s="27" t="s">
        <v>7</v>
      </c>
      <c r="AE597" s="27" t="s">
        <v>8</v>
      </c>
      <c r="AF597" s="27" t="s">
        <v>7</v>
      </c>
      <c r="AG597" s="27" t="s">
        <v>8</v>
      </c>
      <c r="AH597" s="27" t="s">
        <v>7</v>
      </c>
      <c r="CO597" s="27" t="s">
        <v>8</v>
      </c>
      <c r="CP597" s="27" t="s">
        <v>7</v>
      </c>
    </row>
    <row r="598" spans="1:94" x14ac:dyDescent="0.25">
      <c r="A598" s="7">
        <v>0.80426303909328967</v>
      </c>
      <c r="B598"/>
      <c r="C598"/>
      <c r="D598"/>
      <c r="E598"/>
      <c r="N598" s="27" t="s">
        <v>7</v>
      </c>
      <c r="R598" s="27" t="s">
        <v>7</v>
      </c>
      <c r="S598" s="27" t="s">
        <v>8</v>
      </c>
      <c r="AD598" s="27" t="s">
        <v>7</v>
      </c>
      <c r="AE598" s="27" t="s">
        <v>8</v>
      </c>
      <c r="AF598" s="27" t="s">
        <v>7</v>
      </c>
      <c r="AG598" s="27" t="s">
        <v>8</v>
      </c>
      <c r="AH598" s="27" t="s">
        <v>7</v>
      </c>
      <c r="CO598" s="27" t="s">
        <v>8</v>
      </c>
      <c r="CP598" s="27" t="s">
        <v>7</v>
      </c>
    </row>
    <row r="599" spans="1:94" x14ac:dyDescent="0.25">
      <c r="A599" s="7">
        <v>0.78849317558165644</v>
      </c>
      <c r="B599"/>
      <c r="C599"/>
      <c r="D599"/>
      <c r="E599"/>
      <c r="R599" s="27" t="s">
        <v>7</v>
      </c>
      <c r="AD599" s="27" t="s">
        <v>7</v>
      </c>
      <c r="AF599" s="27" t="s">
        <v>7</v>
      </c>
      <c r="AH599" s="27" t="s">
        <v>7</v>
      </c>
      <c r="CO599" s="27" t="s">
        <v>8</v>
      </c>
      <c r="CP599" s="27" t="s">
        <v>7</v>
      </c>
    </row>
    <row r="600" spans="1:94" x14ac:dyDescent="0.25">
      <c r="A600" s="7">
        <v>0.77303252508005538</v>
      </c>
      <c r="B600"/>
      <c r="C600"/>
      <c r="D600"/>
      <c r="E600"/>
      <c r="AH600" s="27" t="s">
        <v>7</v>
      </c>
      <c r="CO600" s="27" t="s">
        <v>8</v>
      </c>
      <c r="CP600" s="27" t="s">
        <v>7</v>
      </c>
    </row>
    <row r="601" spans="1:94" x14ac:dyDescent="0.25">
      <c r="A601" s="7">
        <v>0.75787502458828959</v>
      </c>
      <c r="B601"/>
      <c r="C601"/>
      <c r="D601"/>
      <c r="E601"/>
      <c r="AH601" s="27" t="s">
        <v>7</v>
      </c>
      <c r="CO601" s="27" t="s">
        <v>8</v>
      </c>
      <c r="CP601" s="27" t="s">
        <v>7</v>
      </c>
    </row>
    <row r="602" spans="1:94" x14ac:dyDescent="0.25">
      <c r="A602" s="7">
        <v>0.74301472998851925</v>
      </c>
      <c r="B602"/>
      <c r="C602"/>
      <c r="D602"/>
      <c r="E602"/>
      <c r="AH602" s="27" t="s">
        <v>7</v>
      </c>
      <c r="CO602" s="27" t="s">
        <v>8</v>
      </c>
      <c r="CP602" s="27" t="s">
        <v>7</v>
      </c>
    </row>
    <row r="603" spans="1:94" x14ac:dyDescent="0.25">
      <c r="A603" s="7">
        <v>0.72844581371423456</v>
      </c>
      <c r="B603"/>
      <c r="C603"/>
      <c r="D603"/>
      <c r="E603"/>
      <c r="AH603" s="27" t="s">
        <v>7</v>
      </c>
      <c r="CO603" s="27" t="s">
        <v>8</v>
      </c>
      <c r="CP603" s="27" t="s">
        <v>7</v>
      </c>
    </row>
    <row r="604" spans="1:94" x14ac:dyDescent="0.25">
      <c r="A604" s="7">
        <v>0.71416256246493581</v>
      </c>
      <c r="B604"/>
      <c r="C604"/>
      <c r="D604"/>
      <c r="E604"/>
      <c r="AH604" s="27" t="s">
        <v>7</v>
      </c>
      <c r="CO604" s="27" t="s">
        <v>8</v>
      </c>
      <c r="CP604" s="27" t="s">
        <v>7</v>
      </c>
    </row>
    <row r="605" spans="1:94" x14ac:dyDescent="0.25">
      <c r="A605" s="7">
        <v>0.7001593749656233</v>
      </c>
      <c r="B605"/>
      <c r="C605"/>
      <c r="D605"/>
      <c r="E605"/>
      <c r="AH605" s="27" t="s">
        <v>7</v>
      </c>
      <c r="CO605" s="27" t="s">
        <v>8</v>
      </c>
      <c r="CP605" s="27" t="s">
        <v>7</v>
      </c>
    </row>
    <row r="606" spans="1:94" x14ac:dyDescent="0.25">
      <c r="A606" s="7">
        <v>0.68643075977021883</v>
      </c>
      <c r="B606"/>
      <c r="C606"/>
      <c r="D606"/>
      <c r="E606"/>
      <c r="AH606" s="27" t="s">
        <v>7</v>
      </c>
      <c r="CO606" s="27" t="s">
        <v>8</v>
      </c>
      <c r="CP606" s="27" t="s">
        <v>7</v>
      </c>
    </row>
    <row r="607" spans="1:94" x14ac:dyDescent="0.25">
      <c r="A607" s="7">
        <v>0.67297133310805768</v>
      </c>
      <c r="B607"/>
      <c r="C607"/>
      <c r="D607"/>
      <c r="E607"/>
      <c r="AH607" s="27" t="s">
        <v>7</v>
      </c>
      <c r="CO607" s="27" t="s">
        <v>8</v>
      </c>
      <c r="CP607" s="27" t="s">
        <v>7</v>
      </c>
    </row>
    <row r="608" spans="1:94" x14ac:dyDescent="0.25">
      <c r="A608" s="7">
        <v>0.65977581677260566</v>
      </c>
      <c r="B608"/>
      <c r="C608"/>
      <c r="D608"/>
      <c r="E608"/>
      <c r="AH608" s="27" t="s">
        <v>7</v>
      </c>
      <c r="CO608" s="27" t="s">
        <v>8</v>
      </c>
      <c r="CP608" s="27" t="s">
        <v>7</v>
      </c>
    </row>
    <row r="609" spans="1:94" x14ac:dyDescent="0.25">
      <c r="A609" s="7">
        <v>0.64683903605157422</v>
      </c>
      <c r="B609"/>
      <c r="C609"/>
      <c r="D609"/>
      <c r="E609"/>
      <c r="AH609" s="27" t="s">
        <v>7</v>
      </c>
      <c r="AI609" s="27" t="s">
        <v>8</v>
      </c>
      <c r="CO609" s="27" t="s">
        <v>8</v>
      </c>
      <c r="CP609" s="27" t="s">
        <v>7</v>
      </c>
    </row>
    <row r="610" spans="1:94" x14ac:dyDescent="0.25">
      <c r="A610" s="7">
        <v>0.63415591769762181</v>
      </c>
      <c r="B610"/>
      <c r="C610"/>
      <c r="D610"/>
      <c r="E610"/>
      <c r="AH610" s="27" t="s">
        <v>7</v>
      </c>
      <c r="AI610" s="27" t="s">
        <v>8</v>
      </c>
      <c r="AJ610" s="27" t="s">
        <v>7</v>
      </c>
      <c r="CO610" s="27" t="s">
        <v>8</v>
      </c>
      <c r="CP610" s="27" t="s">
        <v>7</v>
      </c>
    </row>
    <row r="611" spans="1:94" x14ac:dyDescent="0.25">
      <c r="A611" s="7">
        <v>0.62172148793884496</v>
      </c>
      <c r="B611"/>
      <c r="C611"/>
      <c r="D611"/>
      <c r="E611"/>
      <c r="AH611" s="27" t="s">
        <v>7</v>
      </c>
      <c r="AI611" s="27" t="s">
        <v>8</v>
      </c>
      <c r="AJ611" s="27" t="s">
        <v>7</v>
      </c>
      <c r="CO611" s="27" t="s">
        <v>8</v>
      </c>
      <c r="CP611" s="27" t="s">
        <v>7</v>
      </c>
    </row>
    <row r="612" spans="1:94" x14ac:dyDescent="0.25">
      <c r="A612" s="7">
        <v>0.60953087052827937</v>
      </c>
      <c r="B612"/>
      <c r="C612"/>
      <c r="D612"/>
      <c r="E612"/>
      <c r="AH612" s="27" t="s">
        <v>7</v>
      </c>
      <c r="AI612" s="27" t="s">
        <v>8</v>
      </c>
      <c r="AJ612" s="27" t="s">
        <v>7</v>
      </c>
      <c r="CO612" s="27" t="s">
        <v>8</v>
      </c>
      <c r="CP612" s="27" t="s">
        <v>7</v>
      </c>
    </row>
    <row r="613" spans="1:94" x14ac:dyDescent="0.25">
      <c r="A613" s="7">
        <v>0.59757928483164646</v>
      </c>
      <c r="B613"/>
      <c r="C613"/>
      <c r="D613"/>
      <c r="E613"/>
      <c r="AH613" s="27" t="s">
        <v>7</v>
      </c>
      <c r="AJ613" s="27" t="s">
        <v>7</v>
      </c>
      <c r="CO613" s="27" t="s">
        <v>8</v>
      </c>
      <c r="CP613" s="27" t="s">
        <v>7</v>
      </c>
    </row>
    <row r="614" spans="1:94" x14ac:dyDescent="0.25">
      <c r="A614" s="7">
        <v>0.58586204395259456</v>
      </c>
      <c r="B614"/>
      <c r="C614"/>
      <c r="D614"/>
      <c r="E614"/>
      <c r="AJ614" s="27" t="s">
        <v>7</v>
      </c>
      <c r="CO614" s="27" t="s">
        <v>8</v>
      </c>
      <c r="CP614" s="27" t="s">
        <v>7</v>
      </c>
    </row>
    <row r="615" spans="1:94" x14ac:dyDescent="0.25">
      <c r="A615" s="7">
        <v>0.57437455289470052</v>
      </c>
      <c r="B615"/>
      <c r="C615"/>
      <c r="D615"/>
      <c r="E615"/>
      <c r="AJ615" s="27" t="s">
        <v>7</v>
      </c>
      <c r="CO615" s="27" t="s">
        <v>8</v>
      </c>
      <c r="CP615" s="27" t="s">
        <v>7</v>
      </c>
    </row>
    <row r="616" spans="1:94" x14ac:dyDescent="0.25">
      <c r="A616" s="7">
        <v>0.56311230675951029</v>
      </c>
      <c r="B616"/>
      <c r="C616"/>
      <c r="D616"/>
      <c r="E616"/>
      <c r="AJ616" s="27" t="s">
        <v>7</v>
      </c>
      <c r="AK616" s="27" t="s">
        <v>8</v>
      </c>
      <c r="CO616" s="27" t="s">
        <v>8</v>
      </c>
      <c r="CP616" s="27" t="s">
        <v>7</v>
      </c>
    </row>
    <row r="617" spans="1:94" x14ac:dyDescent="0.25">
      <c r="A617" s="7">
        <v>0.55207088897991208</v>
      </c>
      <c r="B617"/>
      <c r="C617"/>
      <c r="D617"/>
      <c r="E617"/>
      <c r="AJ617" s="27" t="s">
        <v>7</v>
      </c>
      <c r="AK617" s="27" t="s">
        <v>8</v>
      </c>
      <c r="AL617" s="27" t="s">
        <v>7</v>
      </c>
      <c r="CO617" s="27" t="s">
        <v>8</v>
      </c>
      <c r="CP617" s="27" t="s">
        <v>7</v>
      </c>
    </row>
    <row r="618" spans="1:94" x14ac:dyDescent="0.25">
      <c r="A618" s="7">
        <v>0.54124596958814908</v>
      </c>
      <c r="B618"/>
      <c r="C618"/>
      <c r="D618"/>
      <c r="E618"/>
      <c r="AJ618" s="27" t="s">
        <v>7</v>
      </c>
      <c r="AK618" s="27" t="s">
        <v>8</v>
      </c>
      <c r="AL618" s="27" t="s">
        <v>7</v>
      </c>
      <c r="CO618" s="27" t="s">
        <v>8</v>
      </c>
      <c r="CP618" s="27" t="s">
        <v>7</v>
      </c>
    </row>
    <row r="619" spans="1:94" x14ac:dyDescent="0.25">
      <c r="A619" s="7">
        <v>0.53063330351779314</v>
      </c>
      <c r="B619"/>
      <c r="C619"/>
      <c r="D619"/>
      <c r="E619"/>
      <c r="AJ619" s="27" t="s">
        <v>7</v>
      </c>
      <c r="AK619" s="27" t="s">
        <v>8</v>
      </c>
      <c r="AL619" s="27" t="s">
        <v>7</v>
      </c>
      <c r="CO619" s="27" t="s">
        <v>8</v>
      </c>
      <c r="CP619" s="27" t="s">
        <v>7</v>
      </c>
    </row>
    <row r="620" spans="1:94" x14ac:dyDescent="0.25">
      <c r="A620" s="7">
        <v>0.52022872893901284</v>
      </c>
      <c r="B620"/>
      <c r="C620"/>
      <c r="D620"/>
      <c r="E620"/>
      <c r="AJ620" s="27" t="s">
        <v>7</v>
      </c>
      <c r="AK620" s="27" t="s">
        <v>8</v>
      </c>
      <c r="AL620" s="27" t="s">
        <v>7</v>
      </c>
      <c r="AS620" s="27" t="s">
        <v>8</v>
      </c>
      <c r="CO620" s="27" t="s">
        <v>8</v>
      </c>
      <c r="CP620" s="27" t="s">
        <v>7</v>
      </c>
    </row>
    <row r="621" spans="1:94" x14ac:dyDescent="0.25">
      <c r="A621" s="7">
        <v>0.51002816562648323</v>
      </c>
      <c r="B621"/>
      <c r="C621"/>
      <c r="D621"/>
      <c r="E621"/>
      <c r="AJ621" s="27" t="s">
        <v>7</v>
      </c>
      <c r="AK621" s="27" t="s">
        <v>8</v>
      </c>
      <c r="AL621" s="27" t="s">
        <v>7</v>
      </c>
      <c r="AS621" s="27" t="s">
        <v>8</v>
      </c>
      <c r="AT621" s="27" t="s">
        <v>7</v>
      </c>
      <c r="CO621" s="27" t="s">
        <v>8</v>
      </c>
      <c r="CP621" s="27" t="s">
        <v>7</v>
      </c>
    </row>
    <row r="622" spans="1:94" x14ac:dyDescent="0.25">
      <c r="A622" s="7">
        <v>0.50002761335929735</v>
      </c>
      <c r="B622"/>
      <c r="C622"/>
      <c r="D622"/>
      <c r="E622"/>
      <c r="AJ622" s="27" t="s">
        <v>7</v>
      </c>
      <c r="AK622" s="27" t="s">
        <v>8</v>
      </c>
      <c r="AL622" s="27" t="s">
        <v>7</v>
      </c>
      <c r="AS622" s="27" t="s">
        <v>8</v>
      </c>
      <c r="AT622" s="27" t="s">
        <v>7</v>
      </c>
      <c r="CO622" s="27" t="s">
        <v>8</v>
      </c>
      <c r="CP622" s="27" t="s">
        <v>7</v>
      </c>
    </row>
    <row r="623" spans="1:94" x14ac:dyDescent="0.25">
      <c r="A623" s="7">
        <v>0.49022315035225228</v>
      </c>
      <c r="B623"/>
      <c r="C623"/>
      <c r="D623"/>
      <c r="E623"/>
      <c r="AJ623" s="27" t="s">
        <v>7</v>
      </c>
      <c r="AK623" s="27" t="s">
        <v>8</v>
      </c>
      <c r="AL623" s="27" t="s">
        <v>7</v>
      </c>
      <c r="AS623" s="27" t="s">
        <v>8</v>
      </c>
      <c r="AT623" s="27" t="s">
        <v>7</v>
      </c>
      <c r="CO623" s="27" t="s">
        <v>8</v>
      </c>
      <c r="CP623" s="27" t="s">
        <v>7</v>
      </c>
    </row>
    <row r="624" spans="1:94" x14ac:dyDescent="0.25">
      <c r="A624" s="7">
        <v>0.48061093171789437</v>
      </c>
      <c r="B624"/>
      <c r="C624"/>
      <c r="D624"/>
      <c r="E624"/>
      <c r="AJ624" s="27" t="s">
        <v>7</v>
      </c>
      <c r="AK624" s="27" t="s">
        <v>8</v>
      </c>
      <c r="AL624" s="27" t="s">
        <v>7</v>
      </c>
      <c r="AS624" s="27" t="s">
        <v>8</v>
      </c>
      <c r="AT624" s="27" t="s">
        <v>7</v>
      </c>
      <c r="CO624" s="27" t="s">
        <v>8</v>
      </c>
      <c r="CP624" s="27" t="s">
        <v>7</v>
      </c>
    </row>
    <row r="625" spans="1:121" x14ac:dyDescent="0.25">
      <c r="A625" s="7">
        <v>0.47118718795871994</v>
      </c>
      <c r="B625"/>
      <c r="C625"/>
      <c r="D625"/>
      <c r="E625"/>
      <c r="AJ625" s="27" t="s">
        <v>7</v>
      </c>
      <c r="AK625" s="27" t="s">
        <v>8</v>
      </c>
      <c r="AL625" s="27" t="s">
        <v>7</v>
      </c>
      <c r="AS625" s="27" t="s">
        <v>8</v>
      </c>
      <c r="AT625" s="27" t="s">
        <v>7</v>
      </c>
      <c r="CO625" s="27" t="s">
        <v>8</v>
      </c>
      <c r="CP625" s="27" t="s">
        <v>7</v>
      </c>
    </row>
    <row r="626" spans="1:121" x14ac:dyDescent="0.25">
      <c r="A626" s="7">
        <v>0.46194822348894116</v>
      </c>
      <c r="B626"/>
      <c r="C626"/>
      <c r="D626"/>
      <c r="E626"/>
      <c r="AJ626" s="27" t="s">
        <v>7</v>
      </c>
      <c r="AK626" s="27" t="s">
        <v>8</v>
      </c>
      <c r="AL626" s="27" t="s">
        <v>7</v>
      </c>
      <c r="AQ626" s="27" t="s">
        <v>8</v>
      </c>
      <c r="AS626" s="27" t="s">
        <v>8</v>
      </c>
      <c r="AT626" s="27" t="s">
        <v>7</v>
      </c>
      <c r="CO626" s="27" t="s">
        <v>8</v>
      </c>
      <c r="CP626" s="27" t="s">
        <v>7</v>
      </c>
    </row>
    <row r="627" spans="1:121" x14ac:dyDescent="0.25">
      <c r="A627" s="7">
        <v>0.45289041518523643</v>
      </c>
      <c r="B627"/>
      <c r="C627"/>
      <c r="D627"/>
      <c r="E627"/>
      <c r="AJ627" s="27" t="s">
        <v>7</v>
      </c>
      <c r="AK627" s="27" t="s">
        <v>8</v>
      </c>
      <c r="AL627" s="27" t="s">
        <v>7</v>
      </c>
      <c r="AQ627" s="27" t="s">
        <v>8</v>
      </c>
      <c r="AR627" s="27" t="s">
        <v>7</v>
      </c>
      <c r="AS627" s="27" t="s">
        <v>8</v>
      </c>
      <c r="AT627" s="27" t="s">
        <v>7</v>
      </c>
      <c r="AU627" s="27" t="s">
        <v>8</v>
      </c>
      <c r="CO627" s="27" t="s">
        <v>8</v>
      </c>
      <c r="CP627" s="27" t="s">
        <v>7</v>
      </c>
    </row>
    <row r="628" spans="1:121" x14ac:dyDescent="0.25">
      <c r="A628" s="7">
        <v>0.44401021096591808</v>
      </c>
      <c r="B628"/>
      <c r="C628"/>
      <c r="D628"/>
      <c r="E628"/>
      <c r="AJ628" s="27" t="s">
        <v>7</v>
      </c>
      <c r="AK628" s="27" t="s">
        <v>8</v>
      </c>
      <c r="AL628" s="27" t="s">
        <v>7</v>
      </c>
      <c r="AQ628" s="27" t="s">
        <v>8</v>
      </c>
      <c r="AR628" s="27" t="s">
        <v>7</v>
      </c>
      <c r="AS628" s="27" t="s">
        <v>8</v>
      </c>
      <c r="AT628" s="27" t="s">
        <v>7</v>
      </c>
      <c r="AU628" s="27" t="s">
        <v>8</v>
      </c>
      <c r="AV628" s="27" t="s">
        <v>7</v>
      </c>
      <c r="CO628" s="27" t="s">
        <v>8</v>
      </c>
      <c r="CP628" s="27" t="s">
        <v>7</v>
      </c>
    </row>
    <row r="629" spans="1:121" x14ac:dyDescent="0.25">
      <c r="A629" s="7">
        <v>0.4353041283979589</v>
      </c>
      <c r="B629"/>
      <c r="C629"/>
      <c r="D629"/>
      <c r="E629"/>
      <c r="AJ629" s="27" t="s">
        <v>7</v>
      </c>
      <c r="AK629" s="27" t="s">
        <v>8</v>
      </c>
      <c r="AL629" s="27" t="s">
        <v>7</v>
      </c>
      <c r="AQ629" s="27" t="s">
        <v>8</v>
      </c>
      <c r="AR629" s="27" t="s">
        <v>7</v>
      </c>
      <c r="AS629" s="27" t="s">
        <v>8</v>
      </c>
      <c r="AT629" s="27" t="s">
        <v>7</v>
      </c>
      <c r="AU629" s="27" t="s">
        <v>8</v>
      </c>
      <c r="AV629" s="27" t="s">
        <v>7</v>
      </c>
      <c r="CO629" s="27" t="s">
        <v>8</v>
      </c>
      <c r="CP629" s="27" t="s">
        <v>7</v>
      </c>
    </row>
    <row r="630" spans="1:121" x14ac:dyDescent="0.25">
      <c r="A630" s="7">
        <v>0.4267687533313323</v>
      </c>
      <c r="B630"/>
      <c r="C630"/>
      <c r="D630"/>
      <c r="E630"/>
      <c r="AJ630" s="27" t="s">
        <v>7</v>
      </c>
      <c r="AK630" s="27" t="s">
        <v>8</v>
      </c>
      <c r="AL630" s="27" t="s">
        <v>7</v>
      </c>
      <c r="AM630" s="27" t="s">
        <v>8</v>
      </c>
      <c r="AO630" s="27" t="s">
        <v>8</v>
      </c>
      <c r="AQ630" s="27" t="s">
        <v>8</v>
      </c>
      <c r="AR630" s="27" t="s">
        <v>7</v>
      </c>
      <c r="AS630" s="27" t="s">
        <v>8</v>
      </c>
      <c r="AT630" s="27" t="s">
        <v>7</v>
      </c>
      <c r="AU630" s="27" t="s">
        <v>8</v>
      </c>
      <c r="AV630" s="27" t="s">
        <v>7</v>
      </c>
      <c r="CO630" s="27" t="s">
        <v>8</v>
      </c>
      <c r="CP630" s="27" t="s">
        <v>7</v>
      </c>
      <c r="CQ630" s="27" t="s">
        <v>8</v>
      </c>
    </row>
    <row r="631" spans="1:121" x14ac:dyDescent="0.25">
      <c r="A631" s="7">
        <v>0.41840073856012971</v>
      </c>
      <c r="B631"/>
      <c r="C631"/>
      <c r="D631"/>
      <c r="E631"/>
      <c r="AJ631" s="27" t="s">
        <v>7</v>
      </c>
      <c r="AK631" s="27" t="s">
        <v>8</v>
      </c>
      <c r="AL631" s="27" t="s">
        <v>7</v>
      </c>
      <c r="AM631" s="27" t="s">
        <v>8</v>
      </c>
      <c r="AN631" s="27" t="s">
        <v>7</v>
      </c>
      <c r="AO631" s="27" t="s">
        <v>8</v>
      </c>
      <c r="AP631" s="27" t="s">
        <v>7</v>
      </c>
      <c r="AQ631" s="27" t="s">
        <v>8</v>
      </c>
      <c r="AR631" s="27" t="s">
        <v>7</v>
      </c>
      <c r="AS631" s="27" t="s">
        <v>8</v>
      </c>
      <c r="AT631" s="27" t="s">
        <v>7</v>
      </c>
      <c r="AV631" s="27" t="s">
        <v>7</v>
      </c>
      <c r="CO631" s="27" t="s">
        <v>8</v>
      </c>
      <c r="CP631" s="27" t="s">
        <v>7</v>
      </c>
      <c r="CQ631" s="27" t="s">
        <v>8</v>
      </c>
      <c r="CR631" s="27" t="s">
        <v>7</v>
      </c>
      <c r="DE631" s="27" t="s">
        <v>8</v>
      </c>
    </row>
    <row r="632" spans="1:121" x14ac:dyDescent="0.25">
      <c r="A632" s="7">
        <v>0.41019680250993112</v>
      </c>
      <c r="B632"/>
      <c r="C632"/>
      <c r="D632"/>
      <c r="E632"/>
      <c r="AJ632" s="27" t="s">
        <v>7</v>
      </c>
      <c r="AK632" s="27" t="s">
        <v>8</v>
      </c>
      <c r="AL632" s="27" t="s">
        <v>7</v>
      </c>
      <c r="AM632" s="27" t="s">
        <v>8</v>
      </c>
      <c r="AN632" s="27" t="s">
        <v>7</v>
      </c>
      <c r="AO632" s="27" t="s">
        <v>8</v>
      </c>
      <c r="AP632" s="27" t="s">
        <v>7</v>
      </c>
      <c r="AQ632" s="27" t="s">
        <v>8</v>
      </c>
      <c r="AR632" s="27" t="s">
        <v>7</v>
      </c>
      <c r="AV632" s="27" t="s">
        <v>7</v>
      </c>
      <c r="CO632" s="27" t="s">
        <v>8</v>
      </c>
      <c r="CP632" s="27" t="s">
        <v>7</v>
      </c>
      <c r="CQ632" s="27" t="s">
        <v>8</v>
      </c>
      <c r="CR632" s="27" t="s">
        <v>7</v>
      </c>
      <c r="DE632" s="27" t="s">
        <v>8</v>
      </c>
      <c r="DF632" s="27" t="s">
        <v>7</v>
      </c>
    </row>
    <row r="633" spans="1:121" x14ac:dyDescent="0.25">
      <c r="A633" s="7">
        <v>0.40215372795091286</v>
      </c>
      <c r="B633"/>
      <c r="C633"/>
      <c r="D633"/>
      <c r="E633"/>
      <c r="AJ633" s="27" t="s">
        <v>7</v>
      </c>
      <c r="AK633" s="27" t="s">
        <v>8</v>
      </c>
      <c r="AL633" s="27" t="s">
        <v>7</v>
      </c>
      <c r="AM633" s="27" t="s">
        <v>8</v>
      </c>
      <c r="AN633" s="27" t="s">
        <v>7</v>
      </c>
      <c r="AO633" s="27" t="s">
        <v>8</v>
      </c>
      <c r="AP633" s="27" t="s">
        <v>7</v>
      </c>
      <c r="AQ633" s="27" t="s">
        <v>8</v>
      </c>
      <c r="AV633" s="27" t="s">
        <v>7</v>
      </c>
      <c r="BQ633" s="27" t="s">
        <v>8</v>
      </c>
      <c r="BU633" s="27" t="s">
        <v>8</v>
      </c>
      <c r="CO633" s="27" t="s">
        <v>8</v>
      </c>
      <c r="CP633" s="27" t="s">
        <v>7</v>
      </c>
      <c r="CQ633" s="27" t="s">
        <v>8</v>
      </c>
      <c r="CR633" s="27" t="s">
        <v>7</v>
      </c>
      <c r="DE633" s="27" t="s">
        <v>8</v>
      </c>
      <c r="DF633" s="27" t="s">
        <v>7</v>
      </c>
    </row>
    <row r="634" spans="1:121" x14ac:dyDescent="0.25">
      <c r="A634" s="7">
        <v>0.39426836073618904</v>
      </c>
      <c r="B634"/>
      <c r="C634"/>
      <c r="D634"/>
      <c r="E634"/>
      <c r="AJ634" s="27" t="s">
        <v>7</v>
      </c>
      <c r="AK634" s="27" t="s">
        <v>8</v>
      </c>
      <c r="AL634" s="27" t="s">
        <v>7</v>
      </c>
      <c r="AM634" s="27" t="s">
        <v>8</v>
      </c>
      <c r="AN634" s="27" t="s">
        <v>7</v>
      </c>
      <c r="AO634" s="27" t="s">
        <v>8</v>
      </c>
      <c r="AP634" s="27" t="s">
        <v>7</v>
      </c>
      <c r="AQ634" s="27" t="s">
        <v>8</v>
      </c>
      <c r="AV634" s="27" t="s">
        <v>7</v>
      </c>
      <c r="BQ634" s="27" t="s">
        <v>8</v>
      </c>
      <c r="BR634" s="27" t="s">
        <v>7</v>
      </c>
      <c r="BU634" s="27" t="s">
        <v>8</v>
      </c>
      <c r="BV634" s="27" t="s">
        <v>7</v>
      </c>
      <c r="CI634" s="27" t="s">
        <v>8</v>
      </c>
      <c r="CO634" s="27" t="s">
        <v>8</v>
      </c>
      <c r="CP634" s="27" t="s">
        <v>7</v>
      </c>
      <c r="CQ634" s="27" t="s">
        <v>8</v>
      </c>
      <c r="CR634" s="27" t="s">
        <v>7</v>
      </c>
      <c r="DE634" s="27" t="s">
        <v>8</v>
      </c>
      <c r="DF634" s="27" t="s">
        <v>7</v>
      </c>
    </row>
    <row r="635" spans="1:121" x14ac:dyDescent="0.25">
      <c r="A635" s="7">
        <v>0.38653760856489122</v>
      </c>
      <c r="B635"/>
      <c r="C635"/>
      <c r="D635"/>
      <c r="E635"/>
      <c r="AJ635" s="27" t="s">
        <v>7</v>
      </c>
      <c r="AK635" s="27" t="s">
        <v>8</v>
      </c>
      <c r="AL635" s="27" t="s">
        <v>7</v>
      </c>
      <c r="AM635" s="27" t="s">
        <v>8</v>
      </c>
      <c r="AN635" s="27" t="s">
        <v>7</v>
      </c>
      <c r="AO635" s="27" t="s">
        <v>8</v>
      </c>
      <c r="AP635" s="27" t="s">
        <v>7</v>
      </c>
      <c r="AQ635" s="27" t="s">
        <v>8</v>
      </c>
      <c r="AV635" s="27" t="s">
        <v>7</v>
      </c>
      <c r="BQ635" s="27" t="s">
        <v>8</v>
      </c>
      <c r="BR635" s="27" t="s">
        <v>7</v>
      </c>
      <c r="BU635" s="27" t="s">
        <v>8</v>
      </c>
      <c r="BV635" s="27" t="s">
        <v>7</v>
      </c>
      <c r="CI635" s="27" t="s">
        <v>8</v>
      </c>
      <c r="CJ635" s="27" t="s">
        <v>7</v>
      </c>
      <c r="CO635" s="27" t="s">
        <v>8</v>
      </c>
      <c r="CP635" s="27" t="s">
        <v>7</v>
      </c>
      <c r="CQ635" s="27" t="s">
        <v>8</v>
      </c>
      <c r="CR635" s="27" t="s">
        <v>7</v>
      </c>
      <c r="CU635" s="27" t="s">
        <v>8</v>
      </c>
      <c r="DE635" s="27" t="s">
        <v>8</v>
      </c>
      <c r="DF635" s="27" t="s">
        <v>7</v>
      </c>
    </row>
    <row r="636" spans="1:121" x14ac:dyDescent="0.25">
      <c r="A636" s="7">
        <v>0.37895843976950117</v>
      </c>
      <c r="B636"/>
      <c r="C636"/>
      <c r="D636"/>
      <c r="E636"/>
      <c r="AJ636" s="27" t="s">
        <v>7</v>
      </c>
      <c r="AK636" s="27" t="s">
        <v>8</v>
      </c>
      <c r="AL636" s="27" t="s">
        <v>7</v>
      </c>
      <c r="AM636" s="27" t="s">
        <v>8</v>
      </c>
      <c r="AN636" s="27" t="s">
        <v>7</v>
      </c>
      <c r="AO636" s="27" t="s">
        <v>8</v>
      </c>
      <c r="AP636" s="27" t="s">
        <v>7</v>
      </c>
      <c r="AQ636" s="27" t="s">
        <v>8</v>
      </c>
      <c r="AV636" s="27" t="s">
        <v>7</v>
      </c>
      <c r="BQ636" s="27" t="s">
        <v>8</v>
      </c>
      <c r="BR636" s="27" t="s">
        <v>7</v>
      </c>
      <c r="BU636" s="27" t="s">
        <v>8</v>
      </c>
      <c r="BV636" s="27" t="s">
        <v>7</v>
      </c>
      <c r="CI636" s="27" t="s">
        <v>8</v>
      </c>
      <c r="CJ636" s="27" t="s">
        <v>7</v>
      </c>
      <c r="CO636" s="27" t="s">
        <v>8</v>
      </c>
      <c r="CP636" s="27" t="s">
        <v>7</v>
      </c>
      <c r="CQ636" s="27" t="s">
        <v>8</v>
      </c>
      <c r="CR636" s="27" t="s">
        <v>7</v>
      </c>
      <c r="CS636" s="27" t="s">
        <v>8</v>
      </c>
      <c r="CU636" s="27" t="s">
        <v>8</v>
      </c>
      <c r="CV636" s="27" t="s">
        <v>7</v>
      </c>
      <c r="DE636" s="27" t="s">
        <v>8</v>
      </c>
      <c r="DF636" s="27" t="s">
        <v>7</v>
      </c>
      <c r="DM636" s="27" t="s">
        <v>8</v>
      </c>
    </row>
    <row r="637" spans="1:121" x14ac:dyDescent="0.25">
      <c r="A637" s="7">
        <v>0.37152788212696197</v>
      </c>
      <c r="B637"/>
      <c r="C637"/>
      <c r="D637"/>
      <c r="E637"/>
      <c r="AJ637" s="27" t="s">
        <v>7</v>
      </c>
      <c r="AK637" s="27" t="s">
        <v>8</v>
      </c>
      <c r="AL637" s="27" t="s">
        <v>7</v>
      </c>
      <c r="AM637" s="27" t="s">
        <v>8</v>
      </c>
      <c r="AN637" s="27" t="s">
        <v>7</v>
      </c>
      <c r="AO637" s="27" t="s">
        <v>8</v>
      </c>
      <c r="AP637" s="27" t="s">
        <v>7</v>
      </c>
      <c r="AQ637" s="27" t="s">
        <v>8</v>
      </c>
      <c r="AV637" s="27" t="s">
        <v>7</v>
      </c>
      <c r="BQ637" s="27" t="s">
        <v>8</v>
      </c>
      <c r="BR637" s="27" t="s">
        <v>7</v>
      </c>
      <c r="BU637" s="27" t="s">
        <v>8</v>
      </c>
      <c r="BV637" s="27" t="s">
        <v>7</v>
      </c>
      <c r="CA637" s="27" t="s">
        <v>8</v>
      </c>
      <c r="CI637" s="27" t="s">
        <v>8</v>
      </c>
      <c r="CJ637" s="27" t="s">
        <v>7</v>
      </c>
      <c r="CO637" s="27" t="s">
        <v>8</v>
      </c>
      <c r="CP637" s="27" t="s">
        <v>7</v>
      </c>
      <c r="CQ637" s="27" t="s">
        <v>8</v>
      </c>
      <c r="CR637" s="27" t="s">
        <v>7</v>
      </c>
      <c r="CS637" s="27" t="s">
        <v>8</v>
      </c>
      <c r="CT637" s="27" t="s">
        <v>7</v>
      </c>
      <c r="CU637" s="27" t="s">
        <v>8</v>
      </c>
      <c r="CV637" s="27" t="s">
        <v>7</v>
      </c>
      <c r="CW637" s="27" t="s">
        <v>8</v>
      </c>
      <c r="DA637" s="27" t="s">
        <v>8</v>
      </c>
      <c r="DE637" s="27" t="s">
        <v>8</v>
      </c>
      <c r="DF637" s="27" t="s">
        <v>7</v>
      </c>
      <c r="DM637" s="27" t="s">
        <v>8</v>
      </c>
      <c r="DN637" s="27" t="s">
        <v>7</v>
      </c>
    </row>
    <row r="638" spans="1:121" x14ac:dyDescent="0.25">
      <c r="A638" s="7">
        <v>0.36424302169310002</v>
      </c>
      <c r="B638"/>
      <c r="C638"/>
      <c r="D638"/>
      <c r="E638"/>
      <c r="AJ638" s="27" t="s">
        <v>7</v>
      </c>
      <c r="AK638" s="27" t="s">
        <v>8</v>
      </c>
      <c r="AL638" s="27" t="s">
        <v>7</v>
      </c>
      <c r="AM638" s="27" t="s">
        <v>8</v>
      </c>
      <c r="AN638" s="27" t="s">
        <v>7</v>
      </c>
      <c r="AO638" s="27" t="s">
        <v>8</v>
      </c>
      <c r="AP638" s="27" t="s">
        <v>7</v>
      </c>
      <c r="AQ638" s="27" t="s">
        <v>8</v>
      </c>
      <c r="AV638" s="27" t="s">
        <v>7</v>
      </c>
      <c r="AW638" s="27" t="s">
        <v>8</v>
      </c>
      <c r="BQ638" s="27" t="s">
        <v>8</v>
      </c>
      <c r="BR638" s="27" t="s">
        <v>7</v>
      </c>
      <c r="BS638" s="27" t="s">
        <v>8</v>
      </c>
      <c r="BU638" s="27" t="s">
        <v>8</v>
      </c>
      <c r="BV638" s="27" t="s">
        <v>7</v>
      </c>
      <c r="CA638" s="27" t="s">
        <v>8</v>
      </c>
      <c r="CB638" s="27" t="s">
        <v>7</v>
      </c>
      <c r="CI638" s="27" t="s">
        <v>8</v>
      </c>
      <c r="CJ638" s="27" t="s">
        <v>7</v>
      </c>
      <c r="CO638" s="27" t="s">
        <v>8</v>
      </c>
      <c r="CP638" s="27" t="s">
        <v>7</v>
      </c>
      <c r="CQ638" s="27" t="s">
        <v>8</v>
      </c>
      <c r="CR638" s="27" t="s">
        <v>7</v>
      </c>
      <c r="CS638" s="27" t="s">
        <v>8</v>
      </c>
      <c r="CT638" s="27" t="s">
        <v>7</v>
      </c>
      <c r="CU638" s="27" t="s">
        <v>8</v>
      </c>
      <c r="CV638" s="27" t="s">
        <v>7</v>
      </c>
      <c r="CW638" s="27" t="s">
        <v>8</v>
      </c>
      <c r="CX638" s="27" t="s">
        <v>7</v>
      </c>
      <c r="DA638" s="27" t="s">
        <v>8</v>
      </c>
      <c r="DB638" s="27" t="s">
        <v>7</v>
      </c>
      <c r="DC638" s="27" t="s">
        <v>8</v>
      </c>
      <c r="DE638" s="27" t="s">
        <v>8</v>
      </c>
      <c r="DF638" s="27" t="s">
        <v>7</v>
      </c>
      <c r="DM638" s="27" t="s">
        <v>8</v>
      </c>
      <c r="DN638" s="27" t="s">
        <v>7</v>
      </c>
    </row>
    <row r="639" spans="1:121" x14ac:dyDescent="0.25">
      <c r="A639" s="7">
        <v>0.35710100165990194</v>
      </c>
      <c r="B639"/>
      <c r="C639"/>
      <c r="D639"/>
      <c r="E639"/>
      <c r="AJ639" s="27" t="s">
        <v>7</v>
      </c>
      <c r="AK639" s="27" t="s">
        <v>8</v>
      </c>
      <c r="AL639" s="27" t="s">
        <v>7</v>
      </c>
      <c r="AM639" s="27" t="s">
        <v>8</v>
      </c>
      <c r="AN639" s="27" t="s">
        <v>7</v>
      </c>
      <c r="AO639" s="27" t="s">
        <v>8</v>
      </c>
      <c r="AP639" s="27" t="s">
        <v>7</v>
      </c>
      <c r="AQ639" s="27" t="s">
        <v>8</v>
      </c>
      <c r="AV639" s="27" t="s">
        <v>7</v>
      </c>
      <c r="AW639" s="27" t="s">
        <v>8</v>
      </c>
      <c r="AX639" s="27" t="s">
        <v>7</v>
      </c>
      <c r="BQ639" s="27" t="s">
        <v>8</v>
      </c>
      <c r="BR639" s="27" t="s">
        <v>7</v>
      </c>
      <c r="BS639" s="27" t="s">
        <v>8</v>
      </c>
      <c r="BT639" s="27" t="s">
        <v>7</v>
      </c>
      <c r="BU639" s="27" t="s">
        <v>8</v>
      </c>
      <c r="BV639" s="27" t="s">
        <v>7</v>
      </c>
      <c r="CA639" s="27" t="s">
        <v>8</v>
      </c>
      <c r="CB639" s="27" t="s">
        <v>7</v>
      </c>
      <c r="CI639" s="27" t="s">
        <v>8</v>
      </c>
      <c r="CJ639" s="27" t="s">
        <v>7</v>
      </c>
      <c r="CO639" s="27" t="s">
        <v>8</v>
      </c>
      <c r="CP639" s="27" t="s">
        <v>7</v>
      </c>
      <c r="CQ639" s="27" t="s">
        <v>8</v>
      </c>
      <c r="CR639" s="27" t="s">
        <v>7</v>
      </c>
      <c r="CS639" s="27" t="s">
        <v>8</v>
      </c>
      <c r="CT639" s="27" t="s">
        <v>7</v>
      </c>
      <c r="CU639" s="27" t="s">
        <v>8</v>
      </c>
      <c r="CV639" s="27" t="s">
        <v>7</v>
      </c>
      <c r="CW639" s="27" t="s">
        <v>8</v>
      </c>
      <c r="CX639" s="27" t="s">
        <v>7</v>
      </c>
      <c r="CY639" s="27" t="s">
        <v>8</v>
      </c>
      <c r="DA639" s="27" t="s">
        <v>8</v>
      </c>
      <c r="DB639" s="27" t="s">
        <v>7</v>
      </c>
      <c r="DC639" s="27" t="s">
        <v>8</v>
      </c>
      <c r="DD639" s="27" t="s">
        <v>7</v>
      </c>
      <c r="DE639" s="27" t="s">
        <v>8</v>
      </c>
      <c r="DF639" s="27" t="s">
        <v>7</v>
      </c>
      <c r="DG639" s="27" t="s">
        <v>8</v>
      </c>
      <c r="DM639" s="27" t="s">
        <v>8</v>
      </c>
      <c r="DN639" s="27" t="s">
        <v>7</v>
      </c>
    </row>
    <row r="640" spans="1:121" x14ac:dyDescent="0.25">
      <c r="A640" s="7">
        <v>0.35009902123519804</v>
      </c>
      <c r="B640"/>
      <c r="C640"/>
      <c r="D640"/>
      <c r="E640"/>
      <c r="AJ640" s="27" t="s">
        <v>7</v>
      </c>
      <c r="AK640" s="27" t="s">
        <v>8</v>
      </c>
      <c r="AL640" s="27" t="s">
        <v>7</v>
      </c>
      <c r="AN640" s="27" t="s">
        <v>7</v>
      </c>
      <c r="AO640" s="27" t="s">
        <v>8</v>
      </c>
      <c r="AP640" s="27" t="s">
        <v>7</v>
      </c>
      <c r="AQ640" s="27" t="s">
        <v>8</v>
      </c>
      <c r="AV640" s="27" t="s">
        <v>7</v>
      </c>
      <c r="AW640" s="27" t="s">
        <v>8</v>
      </c>
      <c r="AX640" s="27" t="s">
        <v>7</v>
      </c>
      <c r="BQ640" s="27" t="s">
        <v>8</v>
      </c>
      <c r="BR640" s="27" t="s">
        <v>7</v>
      </c>
      <c r="BS640" s="27" t="s">
        <v>8</v>
      </c>
      <c r="BT640" s="27" t="s">
        <v>7</v>
      </c>
      <c r="BU640" s="27" t="s">
        <v>8</v>
      </c>
      <c r="BV640" s="27" t="s">
        <v>7</v>
      </c>
      <c r="CA640" s="27" t="s">
        <v>8</v>
      </c>
      <c r="CB640" s="27" t="s">
        <v>7</v>
      </c>
      <c r="CI640" s="27" t="s">
        <v>8</v>
      </c>
      <c r="CJ640" s="27" t="s">
        <v>7</v>
      </c>
      <c r="CO640" s="27" t="s">
        <v>8</v>
      </c>
      <c r="CP640" s="27" t="s">
        <v>7</v>
      </c>
      <c r="CR640" s="27" t="s">
        <v>7</v>
      </c>
      <c r="CS640" s="27" t="s">
        <v>8</v>
      </c>
      <c r="CT640" s="27" t="s">
        <v>7</v>
      </c>
      <c r="CU640" s="27" t="s">
        <v>8</v>
      </c>
      <c r="CV640" s="27" t="s">
        <v>7</v>
      </c>
      <c r="CW640" s="27" t="s">
        <v>8</v>
      </c>
      <c r="CX640" s="27" t="s">
        <v>7</v>
      </c>
      <c r="CY640" s="27" t="s">
        <v>8</v>
      </c>
      <c r="CZ640" s="27" t="s">
        <v>7</v>
      </c>
      <c r="DA640" s="27" t="s">
        <v>8</v>
      </c>
      <c r="DB640" s="27" t="s">
        <v>7</v>
      </c>
      <c r="DC640" s="27" t="s">
        <v>8</v>
      </c>
      <c r="DD640" s="27" t="s">
        <v>7</v>
      </c>
      <c r="DE640" s="27" t="s">
        <v>8</v>
      </c>
      <c r="DF640" s="27" t="s">
        <v>7</v>
      </c>
      <c r="DG640" s="27" t="s">
        <v>8</v>
      </c>
      <c r="DH640" s="27" t="s">
        <v>7</v>
      </c>
      <c r="DM640" s="27" t="s">
        <v>8</v>
      </c>
      <c r="DN640" s="27" t="s">
        <v>7</v>
      </c>
      <c r="DQ640" s="27" t="s">
        <v>8</v>
      </c>
    </row>
    <row r="641" spans="1:138" x14ac:dyDescent="0.25">
      <c r="A641" s="7">
        <v>0.34323433454431179</v>
      </c>
      <c r="B641"/>
      <c r="C641"/>
      <c r="D641"/>
      <c r="E641"/>
      <c r="AJ641" s="27" t="s">
        <v>7</v>
      </c>
      <c r="AK641" s="27" t="s">
        <v>8</v>
      </c>
      <c r="AN641" s="27" t="s">
        <v>7</v>
      </c>
      <c r="AO641" s="27" t="s">
        <v>8</v>
      </c>
      <c r="AP641" s="27" t="s">
        <v>7</v>
      </c>
      <c r="AQ641" s="27" t="s">
        <v>8</v>
      </c>
      <c r="AV641" s="27" t="s">
        <v>7</v>
      </c>
      <c r="AW641" s="27" t="s">
        <v>8</v>
      </c>
      <c r="AX641" s="27" t="s">
        <v>7</v>
      </c>
      <c r="AY641" s="27" t="s">
        <v>8</v>
      </c>
      <c r="BQ641" s="27" t="s">
        <v>8</v>
      </c>
      <c r="BR641" s="27" t="s">
        <v>7</v>
      </c>
      <c r="BS641" s="27" t="s">
        <v>8</v>
      </c>
      <c r="BT641" s="27" t="s">
        <v>7</v>
      </c>
      <c r="BU641" s="27" t="s">
        <v>8</v>
      </c>
      <c r="BV641" s="27" t="s">
        <v>7</v>
      </c>
      <c r="CA641" s="27" t="s">
        <v>8</v>
      </c>
      <c r="CB641" s="27" t="s">
        <v>7</v>
      </c>
      <c r="CC641" s="27" t="s">
        <v>8</v>
      </c>
      <c r="CG641" s="27" t="s">
        <v>8</v>
      </c>
      <c r="CI641" s="27" t="s">
        <v>8</v>
      </c>
      <c r="CJ641" s="27" t="s">
        <v>7</v>
      </c>
      <c r="CO641" s="27" t="s">
        <v>8</v>
      </c>
      <c r="CR641" s="27" t="s">
        <v>7</v>
      </c>
      <c r="CS641" s="27" t="s">
        <v>8</v>
      </c>
      <c r="CT641" s="27" t="s">
        <v>7</v>
      </c>
      <c r="CU641" s="27" t="s">
        <v>8</v>
      </c>
      <c r="CV641" s="27" t="s">
        <v>7</v>
      </c>
      <c r="CW641" s="27" t="s">
        <v>8</v>
      </c>
      <c r="CX641" s="27" t="s">
        <v>7</v>
      </c>
      <c r="CY641" s="27" t="s">
        <v>8</v>
      </c>
      <c r="CZ641" s="27" t="s">
        <v>7</v>
      </c>
      <c r="DA641" s="27" t="s">
        <v>8</v>
      </c>
      <c r="DB641" s="27" t="s">
        <v>7</v>
      </c>
      <c r="DC641" s="27" t="s">
        <v>8</v>
      </c>
      <c r="DD641" s="27" t="s">
        <v>7</v>
      </c>
      <c r="DE641" s="27" t="s">
        <v>8</v>
      </c>
      <c r="DF641" s="27" t="s">
        <v>7</v>
      </c>
      <c r="DG641" s="27" t="s">
        <v>8</v>
      </c>
      <c r="DH641" s="27" t="s">
        <v>7</v>
      </c>
      <c r="DK641" s="27" t="s">
        <v>8</v>
      </c>
      <c r="DM641" s="27" t="s">
        <v>8</v>
      </c>
      <c r="DN641" s="27" t="s">
        <v>7</v>
      </c>
      <c r="DQ641" s="27" t="s">
        <v>8</v>
      </c>
      <c r="DR641" s="27" t="s">
        <v>7</v>
      </c>
      <c r="DU641" s="27" t="s">
        <v>8</v>
      </c>
    </row>
    <row r="642" spans="1:138" x14ac:dyDescent="0.25">
      <c r="A642" s="7">
        <v>0.33650424955324681</v>
      </c>
      <c r="B642"/>
      <c r="C642"/>
      <c r="D642"/>
      <c r="E642"/>
      <c r="AJ642" s="27" t="s">
        <v>7</v>
      </c>
      <c r="AK642" s="27" t="s">
        <v>8</v>
      </c>
      <c r="AN642" s="27" t="s">
        <v>7</v>
      </c>
      <c r="AO642" s="27" t="s">
        <v>8</v>
      </c>
      <c r="AP642" s="27" t="s">
        <v>7</v>
      </c>
      <c r="AQ642" s="27" t="s">
        <v>8</v>
      </c>
      <c r="AV642" s="27" t="s">
        <v>7</v>
      </c>
      <c r="AW642" s="27" t="s">
        <v>8</v>
      </c>
      <c r="AX642" s="27" t="s">
        <v>7</v>
      </c>
      <c r="AY642" s="27" t="s">
        <v>8</v>
      </c>
      <c r="AZ642" s="27" t="s">
        <v>7</v>
      </c>
      <c r="BQ642" s="27" t="s">
        <v>8</v>
      </c>
      <c r="BR642" s="27" t="s">
        <v>7</v>
      </c>
      <c r="BS642" s="27" t="s">
        <v>8</v>
      </c>
      <c r="BT642" s="27" t="s">
        <v>7</v>
      </c>
      <c r="BU642" s="27" t="s">
        <v>8</v>
      </c>
      <c r="BV642" s="27" t="s">
        <v>7</v>
      </c>
      <c r="BW642" s="27" t="s">
        <v>8</v>
      </c>
      <c r="CA642" s="27" t="s">
        <v>8</v>
      </c>
      <c r="CB642" s="27" t="s">
        <v>7</v>
      </c>
      <c r="CC642" s="27" t="s">
        <v>8</v>
      </c>
      <c r="CD642" s="27" t="s">
        <v>7</v>
      </c>
      <c r="CG642" s="27" t="s">
        <v>8</v>
      </c>
      <c r="CH642" s="27" t="s">
        <v>7</v>
      </c>
      <c r="CI642" s="27" t="s">
        <v>8</v>
      </c>
      <c r="CJ642" s="27" t="s">
        <v>7</v>
      </c>
      <c r="CO642" s="27" t="s">
        <v>8</v>
      </c>
      <c r="CR642" s="27" t="s">
        <v>7</v>
      </c>
      <c r="CS642" s="27" t="s">
        <v>8</v>
      </c>
      <c r="CT642" s="27" t="s">
        <v>7</v>
      </c>
      <c r="CU642" s="27" t="s">
        <v>8</v>
      </c>
      <c r="CV642" s="27" t="s">
        <v>7</v>
      </c>
      <c r="CW642" s="27" t="s">
        <v>8</v>
      </c>
      <c r="CX642" s="27" t="s">
        <v>7</v>
      </c>
      <c r="CY642" s="27" t="s">
        <v>8</v>
      </c>
      <c r="CZ642" s="27" t="s">
        <v>7</v>
      </c>
      <c r="DA642" s="27" t="s">
        <v>8</v>
      </c>
      <c r="DB642" s="27" t="s">
        <v>7</v>
      </c>
      <c r="DC642" s="27" t="s">
        <v>8</v>
      </c>
      <c r="DD642" s="27" t="s">
        <v>7</v>
      </c>
      <c r="DE642" s="27" t="s">
        <v>8</v>
      </c>
      <c r="DF642" s="27" t="s">
        <v>7</v>
      </c>
      <c r="DG642" s="27" t="s">
        <v>8</v>
      </c>
      <c r="DH642" s="27" t="s">
        <v>7</v>
      </c>
      <c r="DK642" s="27" t="s">
        <v>8</v>
      </c>
      <c r="DL642" s="27" t="s">
        <v>7</v>
      </c>
      <c r="DM642" s="27" t="s">
        <v>8</v>
      </c>
      <c r="DN642" s="27" t="s">
        <v>7</v>
      </c>
      <c r="DQ642" s="27" t="s">
        <v>8</v>
      </c>
      <c r="DR642" s="27" t="s">
        <v>7</v>
      </c>
      <c r="DU642" s="27" t="s">
        <v>8</v>
      </c>
      <c r="DV642" s="27" t="s">
        <v>7</v>
      </c>
    </row>
    <row r="643" spans="1:138" x14ac:dyDescent="0.25">
      <c r="A643" s="7">
        <v>0.3299061270129871</v>
      </c>
      <c r="B643"/>
      <c r="C643"/>
      <c r="D643"/>
      <c r="E643"/>
      <c r="AJ643" s="27" t="s">
        <v>7</v>
      </c>
      <c r="AK643" s="27" t="s">
        <v>8</v>
      </c>
      <c r="AN643" s="27" t="s">
        <v>7</v>
      </c>
      <c r="AO643" s="27" t="s">
        <v>8</v>
      </c>
      <c r="AP643" s="27" t="s">
        <v>7</v>
      </c>
      <c r="AQ643" s="27" t="s">
        <v>8</v>
      </c>
      <c r="AV643" s="27" t="s">
        <v>7</v>
      </c>
      <c r="AW643" s="27" t="s">
        <v>8</v>
      </c>
      <c r="AX643" s="27" t="s">
        <v>7</v>
      </c>
      <c r="AY643" s="27" t="s">
        <v>8</v>
      </c>
      <c r="AZ643" s="27" t="s">
        <v>7</v>
      </c>
      <c r="BQ643" s="27" t="s">
        <v>8</v>
      </c>
      <c r="BR643" s="27" t="s">
        <v>7</v>
      </c>
      <c r="BS643" s="27" t="s">
        <v>8</v>
      </c>
      <c r="BT643" s="27" t="s">
        <v>7</v>
      </c>
      <c r="BU643" s="27" t="s">
        <v>8</v>
      </c>
      <c r="BV643" s="27" t="s">
        <v>7</v>
      </c>
      <c r="BW643" s="27" t="s">
        <v>8</v>
      </c>
      <c r="BX643" s="27" t="s">
        <v>7</v>
      </c>
      <c r="BY643" s="27" t="s">
        <v>8</v>
      </c>
      <c r="CA643" s="27" t="s">
        <v>8</v>
      </c>
      <c r="CB643" s="27" t="s">
        <v>7</v>
      </c>
      <c r="CC643" s="27" t="s">
        <v>8</v>
      </c>
      <c r="CD643" s="27" t="s">
        <v>7</v>
      </c>
      <c r="CG643" s="27" t="s">
        <v>8</v>
      </c>
      <c r="CH643" s="27" t="s">
        <v>7</v>
      </c>
      <c r="CI643" s="27" t="s">
        <v>8</v>
      </c>
      <c r="CJ643" s="27" t="s">
        <v>7</v>
      </c>
      <c r="CO643" s="27" t="s">
        <v>8</v>
      </c>
      <c r="CR643" s="27" t="s">
        <v>7</v>
      </c>
      <c r="CS643" s="27" t="s">
        <v>8</v>
      </c>
      <c r="CT643" s="27" t="s">
        <v>7</v>
      </c>
      <c r="CU643" s="27" t="s">
        <v>8</v>
      </c>
      <c r="CV643" s="27" t="s">
        <v>7</v>
      </c>
      <c r="CW643" s="27" t="s">
        <v>8</v>
      </c>
      <c r="CX643" s="27" t="s">
        <v>7</v>
      </c>
      <c r="CZ643" s="27" t="s">
        <v>7</v>
      </c>
      <c r="DA643" s="27" t="s">
        <v>8</v>
      </c>
      <c r="DB643" s="27" t="s">
        <v>7</v>
      </c>
      <c r="DD643" s="27" t="s">
        <v>7</v>
      </c>
      <c r="DE643" s="27" t="s">
        <v>8</v>
      </c>
      <c r="DF643" s="27" t="s">
        <v>7</v>
      </c>
      <c r="DH643" s="27" t="s">
        <v>7</v>
      </c>
      <c r="DI643" s="27" t="s">
        <v>8</v>
      </c>
      <c r="DK643" s="27" t="s">
        <v>8</v>
      </c>
      <c r="DL643" s="27" t="s">
        <v>7</v>
      </c>
      <c r="DM643" s="27" t="s">
        <v>8</v>
      </c>
      <c r="DN643" s="27" t="s">
        <v>7</v>
      </c>
      <c r="DQ643" s="27" t="s">
        <v>8</v>
      </c>
      <c r="DR643" s="27" t="s">
        <v>7</v>
      </c>
      <c r="DU643" s="27" t="s">
        <v>8</v>
      </c>
      <c r="DV643" s="27" t="s">
        <v>7</v>
      </c>
    </row>
    <row r="644" spans="1:138" x14ac:dyDescent="0.25">
      <c r="A644" s="7">
        <v>0.32343737942449713</v>
      </c>
      <c r="B644"/>
      <c r="C644"/>
      <c r="D644"/>
      <c r="E644"/>
      <c r="AJ644" s="27" t="s">
        <v>7</v>
      </c>
      <c r="AK644" s="27" t="s">
        <v>8</v>
      </c>
      <c r="AN644" s="27" t="s">
        <v>7</v>
      </c>
      <c r="AO644" s="27" t="s">
        <v>8</v>
      </c>
      <c r="AP644" s="27" t="s">
        <v>7</v>
      </c>
      <c r="AQ644" s="27" t="s">
        <v>8</v>
      </c>
      <c r="AV644" s="27" t="s">
        <v>7</v>
      </c>
      <c r="AW644" s="27" t="s">
        <v>8</v>
      </c>
      <c r="AX644" s="27" t="s">
        <v>7</v>
      </c>
      <c r="AY644" s="27" t="s">
        <v>8</v>
      </c>
      <c r="AZ644" s="27" t="s">
        <v>7</v>
      </c>
      <c r="BQ644" s="27" t="s">
        <v>8</v>
      </c>
      <c r="BR644" s="27" t="s">
        <v>7</v>
      </c>
      <c r="BS644" s="27" t="s">
        <v>8</v>
      </c>
      <c r="BT644" s="27" t="s">
        <v>7</v>
      </c>
      <c r="BU644" s="27" t="s">
        <v>8</v>
      </c>
      <c r="BV644" s="27" t="s">
        <v>7</v>
      </c>
      <c r="BW644" s="27" t="s">
        <v>8</v>
      </c>
      <c r="BX644" s="27" t="s">
        <v>7</v>
      </c>
      <c r="BY644" s="27" t="s">
        <v>8</v>
      </c>
      <c r="BZ644" s="27" t="s">
        <v>7</v>
      </c>
      <c r="CA644" s="27" t="s">
        <v>8</v>
      </c>
      <c r="CB644" s="27" t="s">
        <v>7</v>
      </c>
      <c r="CC644" s="27" t="s">
        <v>8</v>
      </c>
      <c r="CD644" s="27" t="s">
        <v>7</v>
      </c>
      <c r="CG644" s="27" t="s">
        <v>8</v>
      </c>
      <c r="CH644" s="27" t="s">
        <v>7</v>
      </c>
      <c r="CI644" s="27" t="s">
        <v>8</v>
      </c>
      <c r="CJ644" s="27" t="s">
        <v>7</v>
      </c>
      <c r="CO644" s="27" t="s">
        <v>8</v>
      </c>
      <c r="CR644" s="27" t="s">
        <v>7</v>
      </c>
      <c r="CT644" s="27" t="s">
        <v>7</v>
      </c>
      <c r="CU644" s="27" t="s">
        <v>8</v>
      </c>
      <c r="CV644" s="27" t="s">
        <v>7</v>
      </c>
      <c r="CW644" s="27" t="s">
        <v>8</v>
      </c>
      <c r="CZ644" s="27" t="s">
        <v>7</v>
      </c>
      <c r="DA644" s="27" t="s">
        <v>8</v>
      </c>
      <c r="DD644" s="27" t="s">
        <v>7</v>
      </c>
      <c r="DE644" s="27" t="s">
        <v>8</v>
      </c>
      <c r="DH644" s="27" t="s">
        <v>7</v>
      </c>
      <c r="DI644" s="27" t="s">
        <v>8</v>
      </c>
      <c r="DJ644" s="27" t="s">
        <v>7</v>
      </c>
      <c r="DK644" s="27" t="s">
        <v>8</v>
      </c>
      <c r="DL644" s="27" t="s">
        <v>7</v>
      </c>
      <c r="DN644" s="27" t="s">
        <v>7</v>
      </c>
      <c r="DQ644" s="27" t="s">
        <v>8</v>
      </c>
      <c r="DR644" s="27" t="s">
        <v>7</v>
      </c>
      <c r="DU644" s="27" t="s">
        <v>8</v>
      </c>
      <c r="DV644" s="27" t="s">
        <v>7</v>
      </c>
      <c r="DW644" s="27" t="s">
        <v>8</v>
      </c>
    </row>
    <row r="645" spans="1:138" x14ac:dyDescent="0.25">
      <c r="A645" s="7">
        <v>0.31709547002401678</v>
      </c>
      <c r="B645"/>
      <c r="C645"/>
      <c r="D645"/>
      <c r="E645"/>
      <c r="AJ645" s="27" t="s">
        <v>7</v>
      </c>
      <c r="AK645" s="27" t="s">
        <v>8</v>
      </c>
      <c r="AN645" s="27" t="s">
        <v>7</v>
      </c>
      <c r="AO645" s="27" t="s">
        <v>8</v>
      </c>
      <c r="AP645" s="27" t="s">
        <v>7</v>
      </c>
      <c r="AQ645" s="27" t="s">
        <v>8</v>
      </c>
      <c r="AV645" s="27" t="s">
        <v>7</v>
      </c>
      <c r="AW645" s="27" t="s">
        <v>8</v>
      </c>
      <c r="AX645" s="27" t="s">
        <v>7</v>
      </c>
      <c r="AZ645" s="27" t="s">
        <v>7</v>
      </c>
      <c r="BQ645" s="27" t="s">
        <v>8</v>
      </c>
      <c r="BR645" s="27" t="s">
        <v>7</v>
      </c>
      <c r="BS645" s="27" t="s">
        <v>8</v>
      </c>
      <c r="BT645" s="27" t="s">
        <v>7</v>
      </c>
      <c r="BU645" s="27" t="s">
        <v>8</v>
      </c>
      <c r="BV645" s="27" t="s">
        <v>7</v>
      </c>
      <c r="BW645" s="27" t="s">
        <v>8</v>
      </c>
      <c r="BX645" s="27" t="s">
        <v>7</v>
      </c>
      <c r="BY645" s="27" t="s">
        <v>8</v>
      </c>
      <c r="BZ645" s="27" t="s">
        <v>7</v>
      </c>
      <c r="CA645" s="27" t="s">
        <v>8</v>
      </c>
      <c r="CB645" s="27" t="s">
        <v>7</v>
      </c>
      <c r="CC645" s="27" t="s">
        <v>8</v>
      </c>
      <c r="CD645" s="27" t="s">
        <v>7</v>
      </c>
      <c r="CE645" s="27" t="s">
        <v>8</v>
      </c>
      <c r="CG645" s="27" t="s">
        <v>8</v>
      </c>
      <c r="CH645" s="27" t="s">
        <v>7</v>
      </c>
      <c r="CI645" s="27" t="s">
        <v>8</v>
      </c>
      <c r="CJ645" s="27" t="s">
        <v>7</v>
      </c>
      <c r="CK645" s="27" t="s">
        <v>8</v>
      </c>
      <c r="CO645" s="27" t="s">
        <v>8</v>
      </c>
      <c r="CT645" s="27" t="s">
        <v>7</v>
      </c>
      <c r="CU645" s="27" t="s">
        <v>8</v>
      </c>
      <c r="CV645" s="27" t="s">
        <v>7</v>
      </c>
      <c r="CW645" s="27" t="s">
        <v>8</v>
      </c>
      <c r="CZ645" s="27" t="s">
        <v>7</v>
      </c>
      <c r="DD645" s="27" t="s">
        <v>7</v>
      </c>
      <c r="DE645" s="27" t="s">
        <v>8</v>
      </c>
      <c r="DH645" s="27" t="s">
        <v>7</v>
      </c>
      <c r="DI645" s="27" t="s">
        <v>8</v>
      </c>
      <c r="DJ645" s="27" t="s">
        <v>7</v>
      </c>
      <c r="DK645" s="27" t="s">
        <v>8</v>
      </c>
      <c r="DN645" s="27" t="s">
        <v>7</v>
      </c>
      <c r="DO645" s="27" t="s">
        <v>8</v>
      </c>
      <c r="DQ645" s="27" t="s">
        <v>8</v>
      </c>
      <c r="DR645" s="27" t="s">
        <v>7</v>
      </c>
      <c r="DU645" s="27" t="s">
        <v>8</v>
      </c>
      <c r="DV645" s="27" t="s">
        <v>7</v>
      </c>
      <c r="DW645" s="27" t="s">
        <v>8</v>
      </c>
      <c r="DX645" s="27" t="s">
        <v>7</v>
      </c>
    </row>
    <row r="646" spans="1:138" x14ac:dyDescent="0.25">
      <c r="A646" s="7">
        <v>0.31087791178825175</v>
      </c>
      <c r="B646"/>
      <c r="C646"/>
      <c r="D646"/>
      <c r="E646"/>
      <c r="AJ646" s="27" t="s">
        <v>7</v>
      </c>
      <c r="AK646" s="27" t="s">
        <v>8</v>
      </c>
      <c r="AN646" s="27" t="s">
        <v>7</v>
      </c>
      <c r="AO646" s="27" t="s">
        <v>8</v>
      </c>
      <c r="AP646" s="27" t="s">
        <v>7</v>
      </c>
      <c r="AQ646" s="27" t="s">
        <v>8</v>
      </c>
      <c r="AV646" s="27" t="s">
        <v>7</v>
      </c>
      <c r="AZ646" s="27" t="s">
        <v>7</v>
      </c>
      <c r="BQ646" s="27" t="s">
        <v>8</v>
      </c>
      <c r="BR646" s="27" t="s">
        <v>7</v>
      </c>
      <c r="BS646" s="27" t="s">
        <v>8</v>
      </c>
      <c r="BT646" s="27" t="s">
        <v>7</v>
      </c>
      <c r="BU646" s="27" t="s">
        <v>8</v>
      </c>
      <c r="BV646" s="27" t="s">
        <v>7</v>
      </c>
      <c r="BW646" s="27" t="s">
        <v>8</v>
      </c>
      <c r="BX646" s="27" t="s">
        <v>7</v>
      </c>
      <c r="BZ646" s="27" t="s">
        <v>7</v>
      </c>
      <c r="CA646" s="27" t="s">
        <v>8</v>
      </c>
      <c r="CB646" s="27" t="s">
        <v>7</v>
      </c>
      <c r="CC646" s="27" t="s">
        <v>8</v>
      </c>
      <c r="CD646" s="27" t="s">
        <v>7</v>
      </c>
      <c r="CE646" s="27" t="s">
        <v>8</v>
      </c>
      <c r="CF646" s="27" t="s">
        <v>7</v>
      </c>
      <c r="CG646" s="27" t="s">
        <v>8</v>
      </c>
      <c r="CH646" s="27" t="s">
        <v>7</v>
      </c>
      <c r="CI646" s="27" t="s">
        <v>8</v>
      </c>
      <c r="CJ646" s="27" t="s">
        <v>7</v>
      </c>
      <c r="CK646" s="27" t="s">
        <v>8</v>
      </c>
      <c r="CL646" s="27" t="s">
        <v>7</v>
      </c>
      <c r="CO646" s="27" t="s">
        <v>8</v>
      </c>
      <c r="CT646" s="27" t="s">
        <v>7</v>
      </c>
      <c r="CU646" s="27" t="s">
        <v>8</v>
      </c>
      <c r="CV646" s="27" t="s">
        <v>7</v>
      </c>
      <c r="CW646" s="27" t="s">
        <v>8</v>
      </c>
      <c r="DD646" s="27" t="s">
        <v>7</v>
      </c>
      <c r="DE646" s="27" t="s">
        <v>8</v>
      </c>
      <c r="DH646" s="27" t="s">
        <v>7</v>
      </c>
      <c r="DI646" s="27" t="s">
        <v>8</v>
      </c>
      <c r="DJ646" s="27" t="s">
        <v>7</v>
      </c>
      <c r="DK646" s="27" t="s">
        <v>8</v>
      </c>
      <c r="DN646" s="27" t="s">
        <v>7</v>
      </c>
      <c r="DO646" s="27" t="s">
        <v>8</v>
      </c>
      <c r="DP646" s="27" t="s">
        <v>7</v>
      </c>
      <c r="DQ646" s="27" t="s">
        <v>8</v>
      </c>
      <c r="DR646" s="27" t="s">
        <v>7</v>
      </c>
      <c r="DU646" s="27" t="s">
        <v>8</v>
      </c>
      <c r="DV646" s="27" t="s">
        <v>7</v>
      </c>
      <c r="DW646" s="27" t="s">
        <v>8</v>
      </c>
      <c r="DX646" s="27" t="s">
        <v>7</v>
      </c>
    </row>
    <row r="647" spans="1:138" x14ac:dyDescent="0.25">
      <c r="A647" s="7">
        <v>0.30478226645907036</v>
      </c>
      <c r="B647"/>
      <c r="C647"/>
      <c r="D647"/>
      <c r="E647"/>
      <c r="AJ647" s="27" t="s">
        <v>7</v>
      </c>
      <c r="AK647" s="27" t="s">
        <v>8</v>
      </c>
      <c r="AN647" s="27" t="s">
        <v>7</v>
      </c>
      <c r="AO647" s="27" t="s">
        <v>8</v>
      </c>
      <c r="AP647" s="27" t="s">
        <v>7</v>
      </c>
      <c r="AQ647" s="27" t="s">
        <v>8</v>
      </c>
      <c r="AZ647" s="27" t="s">
        <v>7</v>
      </c>
      <c r="BC647" s="27" t="s">
        <v>8</v>
      </c>
      <c r="BQ647" s="27" t="s">
        <v>8</v>
      </c>
      <c r="BR647" s="27" t="s">
        <v>7</v>
      </c>
      <c r="BS647" s="27" t="s">
        <v>8</v>
      </c>
      <c r="BT647" s="27" t="s">
        <v>7</v>
      </c>
      <c r="BU647" s="27" t="s">
        <v>8</v>
      </c>
      <c r="BV647" s="27" t="s">
        <v>7</v>
      </c>
      <c r="BW647" s="27" t="s">
        <v>8</v>
      </c>
      <c r="BZ647" s="27" t="s">
        <v>7</v>
      </c>
      <c r="CA647" s="27" t="s">
        <v>8</v>
      </c>
      <c r="CB647" s="27" t="s">
        <v>7</v>
      </c>
      <c r="CC647" s="27" t="s">
        <v>8</v>
      </c>
      <c r="CD647" s="27" t="s">
        <v>7</v>
      </c>
      <c r="CE647" s="27" t="s">
        <v>8</v>
      </c>
      <c r="CF647" s="27" t="s">
        <v>7</v>
      </c>
      <c r="CG647" s="27" t="s">
        <v>8</v>
      </c>
      <c r="CH647" s="27" t="s">
        <v>7</v>
      </c>
      <c r="CJ647" s="27" t="s">
        <v>7</v>
      </c>
      <c r="CK647" s="27" t="s">
        <v>8</v>
      </c>
      <c r="CL647" s="27" t="s">
        <v>7</v>
      </c>
      <c r="CO647" s="27" t="s">
        <v>8</v>
      </c>
      <c r="CT647" s="27" t="s">
        <v>7</v>
      </c>
      <c r="CU647" s="27" t="s">
        <v>8</v>
      </c>
      <c r="CV647" s="27" t="s">
        <v>7</v>
      </c>
      <c r="CW647" s="27" t="s">
        <v>8</v>
      </c>
      <c r="DD647" s="27" t="s">
        <v>7</v>
      </c>
      <c r="DH647" s="27" t="s">
        <v>7</v>
      </c>
      <c r="DI647" s="27" t="s">
        <v>8</v>
      </c>
      <c r="DJ647" s="27" t="s">
        <v>7</v>
      </c>
      <c r="DK647" s="27" t="s">
        <v>8</v>
      </c>
      <c r="DN647" s="27" t="s">
        <v>7</v>
      </c>
      <c r="DO647" s="27" t="s">
        <v>8</v>
      </c>
      <c r="DP647" s="27" t="s">
        <v>7</v>
      </c>
      <c r="DQ647" s="27" t="s">
        <v>8</v>
      </c>
      <c r="DR647" s="27" t="s">
        <v>7</v>
      </c>
      <c r="DS647" s="27" t="s">
        <v>8</v>
      </c>
      <c r="DU647" s="27" t="s">
        <v>8</v>
      </c>
      <c r="DV647" s="27" t="s">
        <v>7</v>
      </c>
      <c r="DW647" s="27" t="s">
        <v>8</v>
      </c>
      <c r="DX647" s="27" t="s">
        <v>7</v>
      </c>
    </row>
    <row r="648" spans="1:138" x14ac:dyDescent="0.25">
      <c r="A648" s="7">
        <v>0.29880614358732388</v>
      </c>
      <c r="B648"/>
      <c r="C648"/>
      <c r="D648"/>
      <c r="E648"/>
      <c r="AJ648" s="27" t="s">
        <v>7</v>
      </c>
      <c r="AK648" s="27" t="s">
        <v>8</v>
      </c>
      <c r="AN648" s="27" t="s">
        <v>7</v>
      </c>
      <c r="AO648" s="27" t="s">
        <v>8</v>
      </c>
      <c r="AP648" s="27" t="s">
        <v>7</v>
      </c>
      <c r="AZ648" s="27" t="s">
        <v>7</v>
      </c>
      <c r="BC648" s="27" t="s">
        <v>8</v>
      </c>
      <c r="BD648" s="27" t="s">
        <v>7</v>
      </c>
      <c r="BO648" s="27" t="s">
        <v>8</v>
      </c>
      <c r="BQ648" s="27" t="s">
        <v>8</v>
      </c>
      <c r="BR648" s="27" t="s">
        <v>7</v>
      </c>
      <c r="BS648" s="27" t="s">
        <v>8</v>
      </c>
      <c r="BT648" s="27" t="s">
        <v>7</v>
      </c>
      <c r="BV648" s="27" t="s">
        <v>7</v>
      </c>
      <c r="BW648" s="27" t="s">
        <v>8</v>
      </c>
      <c r="BZ648" s="27" t="s">
        <v>7</v>
      </c>
      <c r="CA648" s="27" t="s">
        <v>8</v>
      </c>
      <c r="CB648" s="27" t="s">
        <v>7</v>
      </c>
      <c r="CD648" s="27" t="s">
        <v>7</v>
      </c>
      <c r="CE648" s="27" t="s">
        <v>8</v>
      </c>
      <c r="CF648" s="27" t="s">
        <v>7</v>
      </c>
      <c r="CG648" s="27" t="s">
        <v>8</v>
      </c>
      <c r="CJ648" s="27" t="s">
        <v>7</v>
      </c>
      <c r="CK648" s="27" t="s">
        <v>8</v>
      </c>
      <c r="CL648" s="27" t="s">
        <v>7</v>
      </c>
      <c r="CO648" s="27" t="s">
        <v>8</v>
      </c>
      <c r="CT648" s="27" t="s">
        <v>7</v>
      </c>
      <c r="CU648" s="27" t="s">
        <v>8</v>
      </c>
      <c r="CV648" s="27" t="s">
        <v>7</v>
      </c>
      <c r="CW648" s="27" t="s">
        <v>8</v>
      </c>
      <c r="DH648" s="27" t="s">
        <v>7</v>
      </c>
      <c r="DI648" s="27" t="s">
        <v>8</v>
      </c>
      <c r="DJ648" s="27" t="s">
        <v>7</v>
      </c>
      <c r="DN648" s="27" t="s">
        <v>7</v>
      </c>
      <c r="DP648" s="27" t="s">
        <v>7</v>
      </c>
      <c r="DQ648" s="27" t="s">
        <v>8</v>
      </c>
      <c r="DR648" s="27" t="s">
        <v>7</v>
      </c>
      <c r="DS648" s="27" t="s">
        <v>8</v>
      </c>
      <c r="DT648" s="27" t="s">
        <v>7</v>
      </c>
      <c r="DU648" s="27" t="s">
        <v>8</v>
      </c>
      <c r="DV648" s="27" t="s">
        <v>7</v>
      </c>
      <c r="DW648" s="27" t="s">
        <v>8</v>
      </c>
      <c r="DX648" s="27" t="s">
        <v>7</v>
      </c>
      <c r="EG648" s="27" t="s">
        <v>8</v>
      </c>
    </row>
    <row r="649" spans="1:138" x14ac:dyDescent="0.25">
      <c r="A649" s="7">
        <v>0.2929471995954156</v>
      </c>
      <c r="B649"/>
      <c r="C649"/>
      <c r="D649"/>
      <c r="E649"/>
      <c r="AJ649" s="27" t="s">
        <v>7</v>
      </c>
      <c r="AK649" s="27" t="s">
        <v>8</v>
      </c>
      <c r="AN649" s="27" t="s">
        <v>7</v>
      </c>
      <c r="AO649" s="27" t="s">
        <v>8</v>
      </c>
      <c r="AZ649" s="27" t="s">
        <v>7</v>
      </c>
      <c r="BC649" s="27" t="s">
        <v>8</v>
      </c>
      <c r="BD649" s="27" t="s">
        <v>7</v>
      </c>
      <c r="BO649" s="27" t="s">
        <v>8</v>
      </c>
      <c r="BP649" s="27" t="s">
        <v>7</v>
      </c>
      <c r="BQ649" s="27" t="s">
        <v>8</v>
      </c>
      <c r="BR649" s="27" t="s">
        <v>7</v>
      </c>
      <c r="BS649" s="27" t="s">
        <v>8</v>
      </c>
      <c r="BV649" s="27" t="s">
        <v>7</v>
      </c>
      <c r="BZ649" s="27" t="s">
        <v>7</v>
      </c>
      <c r="CA649" s="27" t="s">
        <v>8</v>
      </c>
      <c r="CD649" s="27" t="s">
        <v>7</v>
      </c>
      <c r="CF649" s="27" t="s">
        <v>7</v>
      </c>
      <c r="CG649" s="27" t="s">
        <v>8</v>
      </c>
      <c r="CJ649" s="27" t="s">
        <v>7</v>
      </c>
      <c r="CK649" s="27" t="s">
        <v>8</v>
      </c>
      <c r="CL649" s="27" t="s">
        <v>7</v>
      </c>
      <c r="CM649" s="27" t="s">
        <v>8</v>
      </c>
      <c r="CO649" s="27" t="s">
        <v>8</v>
      </c>
      <c r="CT649" s="27" t="s">
        <v>7</v>
      </c>
      <c r="CV649" s="27" t="s">
        <v>7</v>
      </c>
      <c r="CW649" s="27" t="s">
        <v>8</v>
      </c>
      <c r="DH649" s="27" t="s">
        <v>7</v>
      </c>
      <c r="DP649" s="27" t="s">
        <v>7</v>
      </c>
      <c r="DQ649" s="27" t="s">
        <v>8</v>
      </c>
      <c r="DR649" s="27" t="s">
        <v>7</v>
      </c>
      <c r="DS649" s="27" t="s">
        <v>8</v>
      </c>
      <c r="DT649" s="27" t="s">
        <v>7</v>
      </c>
      <c r="DU649" s="27" t="s">
        <v>8</v>
      </c>
      <c r="DV649" s="27" t="s">
        <v>7</v>
      </c>
      <c r="DW649" s="27" t="s">
        <v>8</v>
      </c>
      <c r="DX649" s="27" t="s">
        <v>7</v>
      </c>
      <c r="EG649" s="27" t="s">
        <v>8</v>
      </c>
      <c r="EH649" s="27" t="s">
        <v>7</v>
      </c>
    </row>
    <row r="650" spans="1:138" x14ac:dyDescent="0.25">
      <c r="A650" s="7">
        <v>0.28720313685825055</v>
      </c>
      <c r="B650"/>
      <c r="C650"/>
      <c r="D650"/>
      <c r="E650"/>
      <c r="AJ650" s="27" t="s">
        <v>7</v>
      </c>
      <c r="AK650" s="27" t="s">
        <v>8</v>
      </c>
      <c r="AN650" s="27" t="s">
        <v>7</v>
      </c>
      <c r="AO650" s="27" t="s">
        <v>8</v>
      </c>
      <c r="AZ650" s="27" t="s">
        <v>7</v>
      </c>
      <c r="BC650" s="27" t="s">
        <v>8</v>
      </c>
      <c r="BD650" s="27" t="s">
        <v>7</v>
      </c>
      <c r="BE650" s="27" t="s">
        <v>8</v>
      </c>
      <c r="BO650" s="27" t="s">
        <v>8</v>
      </c>
      <c r="BP650" s="27" t="s">
        <v>7</v>
      </c>
      <c r="BQ650" s="27" t="s">
        <v>8</v>
      </c>
      <c r="BR650" s="27" t="s">
        <v>7</v>
      </c>
      <c r="BS650" s="27" t="s">
        <v>8</v>
      </c>
      <c r="BZ650" s="27" t="s">
        <v>7</v>
      </c>
      <c r="CA650" s="27" t="s">
        <v>8</v>
      </c>
      <c r="CF650" s="27" t="s">
        <v>7</v>
      </c>
      <c r="CJ650" s="27" t="s">
        <v>7</v>
      </c>
      <c r="CK650" s="27" t="s">
        <v>8</v>
      </c>
      <c r="CL650" s="27" t="s">
        <v>7</v>
      </c>
      <c r="CM650" s="27" t="s">
        <v>8</v>
      </c>
      <c r="CN650" s="27" t="s">
        <v>7</v>
      </c>
      <c r="CO650" s="27" t="s">
        <v>8</v>
      </c>
      <c r="CV650" s="27" t="s">
        <v>7</v>
      </c>
      <c r="DP650" s="27" t="s">
        <v>7</v>
      </c>
      <c r="DQ650" s="27" t="s">
        <v>8</v>
      </c>
      <c r="DR650" s="27" t="s">
        <v>7</v>
      </c>
      <c r="DS650" s="27" t="s">
        <v>8</v>
      </c>
      <c r="DT650" s="27" t="s">
        <v>7</v>
      </c>
      <c r="DU650" s="27" t="s">
        <v>8</v>
      </c>
      <c r="DV650" s="27" t="s">
        <v>7</v>
      </c>
      <c r="DW650" s="27" t="s">
        <v>8</v>
      </c>
      <c r="DX650" s="27" t="s">
        <v>7</v>
      </c>
      <c r="EG650" s="27" t="s">
        <v>8</v>
      </c>
      <c r="EH650" s="27" t="s">
        <v>7</v>
      </c>
    </row>
    <row r="651" spans="1:138" x14ac:dyDescent="0.25">
      <c r="A651" s="7">
        <v>0.28157170280220645</v>
      </c>
      <c r="B651"/>
      <c r="C651"/>
      <c r="D651"/>
      <c r="E651"/>
      <c r="AJ651" s="27" t="s">
        <v>7</v>
      </c>
      <c r="AK651" s="27" t="s">
        <v>8</v>
      </c>
      <c r="AN651" s="27" t="s">
        <v>7</v>
      </c>
      <c r="AZ651" s="27" t="s">
        <v>7</v>
      </c>
      <c r="BC651" s="27" t="s">
        <v>8</v>
      </c>
      <c r="BD651" s="27" t="s">
        <v>7</v>
      </c>
      <c r="BE651" s="27" t="s">
        <v>8</v>
      </c>
      <c r="BF651" s="27" t="s">
        <v>7</v>
      </c>
      <c r="BO651" s="27" t="s">
        <v>8</v>
      </c>
      <c r="BP651" s="27" t="s">
        <v>7</v>
      </c>
      <c r="BQ651" s="27" t="s">
        <v>8</v>
      </c>
      <c r="BR651" s="27" t="s">
        <v>7</v>
      </c>
      <c r="BZ651" s="27" t="s">
        <v>7</v>
      </c>
      <c r="CA651" s="27" t="s">
        <v>8</v>
      </c>
      <c r="CJ651" s="27" t="s">
        <v>7</v>
      </c>
      <c r="CK651" s="27" t="s">
        <v>8</v>
      </c>
      <c r="CL651" s="27" t="s">
        <v>7</v>
      </c>
      <c r="CM651" s="27" t="s">
        <v>8</v>
      </c>
      <c r="CN651" s="27" t="s">
        <v>7</v>
      </c>
      <c r="CO651" s="27" t="s">
        <v>8</v>
      </c>
      <c r="DP651" s="27" t="s">
        <v>7</v>
      </c>
      <c r="DQ651" s="27" t="s">
        <v>8</v>
      </c>
      <c r="DR651" s="27" t="s">
        <v>7</v>
      </c>
      <c r="DT651" s="27" t="s">
        <v>7</v>
      </c>
      <c r="DU651" s="27" t="s">
        <v>8</v>
      </c>
      <c r="DV651" s="27" t="s">
        <v>7</v>
      </c>
      <c r="DW651" s="27" t="s">
        <v>8</v>
      </c>
      <c r="DX651" s="27" t="s">
        <v>7</v>
      </c>
      <c r="EG651" s="27" t="s">
        <v>8</v>
      </c>
      <c r="EH651" s="27" t="s">
        <v>7</v>
      </c>
    </row>
    <row r="652" spans="1:138" x14ac:dyDescent="0.25">
      <c r="A652" s="7">
        <v>0.27605068902177105</v>
      </c>
      <c r="B652"/>
      <c r="C652"/>
      <c r="D652"/>
      <c r="E652"/>
      <c r="AJ652" s="27" t="s">
        <v>7</v>
      </c>
      <c r="AK652" s="27" t="s">
        <v>8</v>
      </c>
      <c r="AZ652" s="27" t="s">
        <v>7</v>
      </c>
      <c r="BC652" s="27" t="s">
        <v>8</v>
      </c>
      <c r="BD652" s="27" t="s">
        <v>7</v>
      </c>
      <c r="BE652" s="27" t="s">
        <v>8</v>
      </c>
      <c r="BF652" s="27" t="s">
        <v>7</v>
      </c>
      <c r="BO652" s="27" t="s">
        <v>8</v>
      </c>
      <c r="BP652" s="27" t="s">
        <v>7</v>
      </c>
      <c r="BQ652" s="27" t="s">
        <v>8</v>
      </c>
      <c r="BZ652" s="27" t="s">
        <v>7</v>
      </c>
      <c r="CA652" s="27" t="s">
        <v>8</v>
      </c>
      <c r="CJ652" s="27" t="s">
        <v>7</v>
      </c>
      <c r="CK652" s="27" t="s">
        <v>8</v>
      </c>
      <c r="CL652" s="27" t="s">
        <v>7</v>
      </c>
      <c r="CM652" s="27" t="s">
        <v>8</v>
      </c>
      <c r="CN652" s="27" t="s">
        <v>7</v>
      </c>
      <c r="CO652" s="27" t="s">
        <v>8</v>
      </c>
      <c r="DP652" s="27" t="s">
        <v>7</v>
      </c>
      <c r="DQ652" s="27" t="s">
        <v>8</v>
      </c>
      <c r="DT652" s="27" t="s">
        <v>7</v>
      </c>
      <c r="DU652" s="27" t="s">
        <v>8</v>
      </c>
      <c r="DV652" s="27" t="s">
        <v>7</v>
      </c>
      <c r="DW652" s="27" t="s">
        <v>8</v>
      </c>
      <c r="DX652" s="27" t="s">
        <v>7</v>
      </c>
      <c r="EG652" s="27" t="s">
        <v>8</v>
      </c>
      <c r="EH652" s="27" t="s">
        <v>7</v>
      </c>
    </row>
    <row r="653" spans="1:138" x14ac:dyDescent="0.25">
      <c r="A653" s="7">
        <v>0.27063793041350104</v>
      </c>
      <c r="B653"/>
      <c r="C653"/>
      <c r="D653"/>
      <c r="E653"/>
      <c r="AJ653" s="27" t="s">
        <v>7</v>
      </c>
      <c r="AK653" s="27" t="s">
        <v>8</v>
      </c>
      <c r="AZ653" s="27" t="s">
        <v>7</v>
      </c>
      <c r="BC653" s="27" t="s">
        <v>8</v>
      </c>
      <c r="BD653" s="27" t="s">
        <v>7</v>
      </c>
      <c r="BE653" s="27" t="s">
        <v>8</v>
      </c>
      <c r="BF653" s="27" t="s">
        <v>7</v>
      </c>
      <c r="BO653" s="27" t="s">
        <v>8</v>
      </c>
      <c r="BP653" s="27" t="s">
        <v>7</v>
      </c>
      <c r="BQ653" s="27" t="s">
        <v>8</v>
      </c>
      <c r="BZ653" s="27" t="s">
        <v>7</v>
      </c>
      <c r="CJ653" s="27" t="s">
        <v>7</v>
      </c>
      <c r="CK653" s="27" t="s">
        <v>8</v>
      </c>
      <c r="CL653" s="27" t="s">
        <v>7</v>
      </c>
      <c r="CM653" s="27" t="s">
        <v>8</v>
      </c>
      <c r="CN653" s="27" t="s">
        <v>7</v>
      </c>
      <c r="CO653" s="27" t="s">
        <v>8</v>
      </c>
      <c r="DP653" s="27" t="s">
        <v>7</v>
      </c>
      <c r="DQ653" s="27" t="s">
        <v>8</v>
      </c>
      <c r="DT653" s="27" t="s">
        <v>7</v>
      </c>
      <c r="DU653" s="27" t="s">
        <v>8</v>
      </c>
      <c r="DV653" s="27" t="s">
        <v>7</v>
      </c>
      <c r="DX653" s="27" t="s">
        <v>7</v>
      </c>
      <c r="EG653" s="27" t="s">
        <v>8</v>
      </c>
      <c r="EH653" s="27" t="s">
        <v>7</v>
      </c>
    </row>
    <row r="654" spans="1:138" x14ac:dyDescent="0.25">
      <c r="A654" s="7">
        <v>0.26533130432696184</v>
      </c>
      <c r="B654"/>
      <c r="C654"/>
      <c r="D654"/>
      <c r="E654"/>
      <c r="AJ654" s="27" t="s">
        <v>7</v>
      </c>
      <c r="AK654" s="27" t="s">
        <v>8</v>
      </c>
      <c r="AZ654" s="27" t="s">
        <v>7</v>
      </c>
      <c r="BC654" s="27" t="s">
        <v>8</v>
      </c>
      <c r="BD654" s="27" t="s">
        <v>7</v>
      </c>
      <c r="BE654" s="27" t="s">
        <v>8</v>
      </c>
      <c r="BF654" s="27" t="s">
        <v>7</v>
      </c>
      <c r="BO654" s="27" t="s">
        <v>8</v>
      </c>
      <c r="BP654" s="27" t="s">
        <v>7</v>
      </c>
      <c r="BQ654" s="27" t="s">
        <v>8</v>
      </c>
      <c r="CJ654" s="27" t="s">
        <v>7</v>
      </c>
      <c r="CK654" s="27" t="s">
        <v>8</v>
      </c>
      <c r="CL654" s="27" t="s">
        <v>7</v>
      </c>
      <c r="CM654" s="27" t="s">
        <v>8</v>
      </c>
      <c r="CN654" s="27" t="s">
        <v>7</v>
      </c>
      <c r="CO654" s="27" t="s">
        <v>8</v>
      </c>
      <c r="DP654" s="27" t="s">
        <v>7</v>
      </c>
      <c r="DQ654" s="27" t="s">
        <v>8</v>
      </c>
      <c r="DT654" s="27" t="s">
        <v>7</v>
      </c>
      <c r="DX654" s="27" t="s">
        <v>7</v>
      </c>
      <c r="EG654" s="27" t="s">
        <v>8</v>
      </c>
      <c r="EH654" s="27" t="s">
        <v>7</v>
      </c>
    </row>
    <row r="655" spans="1:138" x14ac:dyDescent="0.25">
      <c r="A655" s="7">
        <v>0.26012872973231554</v>
      </c>
      <c r="B655"/>
      <c r="C655"/>
      <c r="D655"/>
      <c r="E655"/>
      <c r="AJ655" s="27" t="s">
        <v>7</v>
      </c>
      <c r="AK655" s="27" t="s">
        <v>8</v>
      </c>
      <c r="AZ655" s="27" t="s">
        <v>7</v>
      </c>
      <c r="BC655" s="27" t="s">
        <v>8</v>
      </c>
      <c r="BD655" s="27" t="s">
        <v>7</v>
      </c>
      <c r="BE655" s="27" t="s">
        <v>8</v>
      </c>
      <c r="BF655" s="27" t="s">
        <v>7</v>
      </c>
      <c r="BO655" s="27" t="s">
        <v>8</v>
      </c>
      <c r="BP655" s="27" t="s">
        <v>7</v>
      </c>
      <c r="BQ655" s="27" t="s">
        <v>8</v>
      </c>
      <c r="CJ655" s="27" t="s">
        <v>7</v>
      </c>
      <c r="CK655" s="27" t="s">
        <v>8</v>
      </c>
      <c r="CL655" s="27" t="s">
        <v>7</v>
      </c>
      <c r="CN655" s="27" t="s">
        <v>7</v>
      </c>
      <c r="CO655" s="27" t="s">
        <v>8</v>
      </c>
      <c r="DP655" s="27" t="s">
        <v>7</v>
      </c>
      <c r="DX655" s="27" t="s">
        <v>7</v>
      </c>
      <c r="EA655" s="27" t="s">
        <v>8</v>
      </c>
      <c r="EG655" s="27" t="s">
        <v>8</v>
      </c>
      <c r="EH655" s="27" t="s">
        <v>7</v>
      </c>
    </row>
    <row r="656" spans="1:138" x14ac:dyDescent="0.25">
      <c r="A656" s="7">
        <v>0.25502816640423093</v>
      </c>
      <c r="B656"/>
      <c r="C656"/>
      <c r="D656"/>
      <c r="E656"/>
      <c r="AJ656" s="27" t="s">
        <v>7</v>
      </c>
      <c r="AK656" s="27" t="s">
        <v>8</v>
      </c>
      <c r="AZ656" s="27" t="s">
        <v>7</v>
      </c>
      <c r="BC656" s="27" t="s">
        <v>8</v>
      </c>
      <c r="BD656" s="27" t="s">
        <v>7</v>
      </c>
      <c r="BE656" s="27" t="s">
        <v>8</v>
      </c>
      <c r="BF656" s="27" t="s">
        <v>7</v>
      </c>
      <c r="BO656" s="27" t="s">
        <v>8</v>
      </c>
      <c r="BP656" s="27" t="s">
        <v>7</v>
      </c>
      <c r="BQ656" s="27" t="s">
        <v>8</v>
      </c>
      <c r="CJ656" s="27" t="s">
        <v>7</v>
      </c>
      <c r="CK656" s="27" t="s">
        <v>8</v>
      </c>
      <c r="CN656" s="27" t="s">
        <v>7</v>
      </c>
      <c r="CO656" s="27" t="s">
        <v>8</v>
      </c>
      <c r="DX656" s="27" t="s">
        <v>7</v>
      </c>
      <c r="EA656" s="27" t="s">
        <v>8</v>
      </c>
      <c r="EB656" s="27" t="s">
        <v>7</v>
      </c>
      <c r="EG656" s="27" t="s">
        <v>8</v>
      </c>
      <c r="EH656" s="27" t="s">
        <v>7</v>
      </c>
    </row>
    <row r="657" spans="1:152" x14ac:dyDescent="0.25">
      <c r="A657" s="7">
        <v>0.25002761412179503</v>
      </c>
      <c r="B657"/>
      <c r="C657"/>
      <c r="D657"/>
      <c r="E657"/>
      <c r="AJ657" s="27" t="s">
        <v>7</v>
      </c>
      <c r="AK657" s="27" t="s">
        <v>8</v>
      </c>
      <c r="AZ657" s="27" t="s">
        <v>7</v>
      </c>
      <c r="BC657" s="27" t="s">
        <v>8</v>
      </c>
      <c r="BD657" s="27" t="s">
        <v>7</v>
      </c>
      <c r="BE657" s="27" t="s">
        <v>8</v>
      </c>
      <c r="BF657" s="27" t="s">
        <v>7</v>
      </c>
      <c r="BG657" s="27" t="s">
        <v>8</v>
      </c>
      <c r="BO657" s="27" t="s">
        <v>8</v>
      </c>
      <c r="BP657" s="27" t="s">
        <v>7</v>
      </c>
      <c r="CJ657" s="27" t="s">
        <v>7</v>
      </c>
      <c r="CK657" s="27" t="s">
        <v>8</v>
      </c>
      <c r="CN657" s="27" t="s">
        <v>7</v>
      </c>
      <c r="CO657" s="27" t="s">
        <v>8</v>
      </c>
      <c r="DX657" s="27" t="s">
        <v>7</v>
      </c>
      <c r="EA657" s="27" t="s">
        <v>8</v>
      </c>
      <c r="EB657" s="27" t="s">
        <v>7</v>
      </c>
      <c r="EG657" s="27" t="s">
        <v>8</v>
      </c>
      <c r="EH657" s="27" t="s">
        <v>7</v>
      </c>
    </row>
    <row r="658" spans="1:152" x14ac:dyDescent="0.25">
      <c r="A658" s="7">
        <v>0.24512511188411276</v>
      </c>
      <c r="B658"/>
      <c r="C658"/>
      <c r="D658"/>
      <c r="E658"/>
      <c r="AJ658" s="27" t="s">
        <v>7</v>
      </c>
      <c r="AK658" s="27" t="s">
        <v>8</v>
      </c>
      <c r="AZ658" s="27" t="s">
        <v>7</v>
      </c>
      <c r="BC658" s="27" t="s">
        <v>8</v>
      </c>
      <c r="BD658" s="27" t="s">
        <v>7</v>
      </c>
      <c r="BE658" s="27" t="s">
        <v>8</v>
      </c>
      <c r="BF658" s="27" t="s">
        <v>7</v>
      </c>
      <c r="BG658" s="27" t="s">
        <v>8</v>
      </c>
      <c r="BH658" s="27" t="s">
        <v>7</v>
      </c>
      <c r="BO658" s="27" t="s">
        <v>8</v>
      </c>
      <c r="CJ658" s="27" t="s">
        <v>7</v>
      </c>
      <c r="CN658" s="27" t="s">
        <v>7</v>
      </c>
      <c r="CO658" s="27" t="s">
        <v>8</v>
      </c>
      <c r="DX658" s="27" t="s">
        <v>7</v>
      </c>
      <c r="EA658" s="27" t="s">
        <v>8</v>
      </c>
      <c r="EB658" s="27" t="s">
        <v>7</v>
      </c>
      <c r="EG658" s="27" t="s">
        <v>8</v>
      </c>
      <c r="EH658" s="27" t="s">
        <v>7</v>
      </c>
    </row>
    <row r="659" spans="1:152" x14ac:dyDescent="0.25">
      <c r="A659" s="7">
        <v>0.24031873714128701</v>
      </c>
      <c r="B659"/>
      <c r="C659"/>
      <c r="D659"/>
      <c r="E659"/>
      <c r="AJ659" s="27" t="s">
        <v>7</v>
      </c>
      <c r="AK659" s="27" t="s">
        <v>8</v>
      </c>
      <c r="AZ659" s="27" t="s">
        <v>7</v>
      </c>
      <c r="BC659" s="27" t="s">
        <v>8</v>
      </c>
      <c r="BD659" s="27" t="s">
        <v>7</v>
      </c>
      <c r="BE659" s="27" t="s">
        <v>8</v>
      </c>
      <c r="BF659" s="27" t="s">
        <v>7</v>
      </c>
      <c r="BG659" s="27" t="s">
        <v>8</v>
      </c>
      <c r="BH659" s="27" t="s">
        <v>7</v>
      </c>
      <c r="BO659" s="27" t="s">
        <v>8</v>
      </c>
      <c r="CN659" s="27" t="s">
        <v>7</v>
      </c>
      <c r="DX659" s="27" t="s">
        <v>7</v>
      </c>
      <c r="EA659" s="27" t="s">
        <v>8</v>
      </c>
      <c r="EB659" s="27" t="s">
        <v>7</v>
      </c>
      <c r="EG659" s="27" t="s">
        <v>8</v>
      </c>
      <c r="EH659" s="27" t="s">
        <v>7</v>
      </c>
      <c r="EK659" s="27" t="s">
        <v>8</v>
      </c>
      <c r="EO659" s="27" t="s">
        <v>8</v>
      </c>
    </row>
    <row r="660" spans="1:152" x14ac:dyDescent="0.25">
      <c r="A660" s="7">
        <v>0.23560660504047748</v>
      </c>
      <c r="B660"/>
      <c r="C660"/>
      <c r="D660"/>
      <c r="E660"/>
      <c r="AJ660" s="27" t="s">
        <v>7</v>
      </c>
      <c r="AK660" s="27" t="s">
        <v>8</v>
      </c>
      <c r="AZ660" s="27" t="s">
        <v>7</v>
      </c>
      <c r="BC660" s="27" t="s">
        <v>8</v>
      </c>
      <c r="BD660" s="27" t="s">
        <v>7</v>
      </c>
      <c r="BE660" s="27" t="s">
        <v>8</v>
      </c>
      <c r="BF660" s="27" t="s">
        <v>7</v>
      </c>
      <c r="BH660" s="27" t="s">
        <v>7</v>
      </c>
      <c r="BO660" s="27" t="s">
        <v>8</v>
      </c>
      <c r="DX660" s="27" t="s">
        <v>7</v>
      </c>
      <c r="DY660" s="27" t="s">
        <v>8</v>
      </c>
      <c r="EA660" s="27" t="s">
        <v>8</v>
      </c>
      <c r="EB660" s="27" t="s">
        <v>7</v>
      </c>
      <c r="EG660" s="27" t="s">
        <v>8</v>
      </c>
      <c r="EH660" s="27" t="s">
        <v>7</v>
      </c>
      <c r="EI660" s="27" t="s">
        <v>8</v>
      </c>
      <c r="EK660" s="27" t="s">
        <v>8</v>
      </c>
      <c r="EL660" s="27" t="s">
        <v>7</v>
      </c>
      <c r="EM660" s="27" t="s">
        <v>8</v>
      </c>
      <c r="EO660" s="27" t="s">
        <v>8</v>
      </c>
      <c r="EP660" s="27" t="s">
        <v>7</v>
      </c>
    </row>
    <row r="661" spans="1:152" x14ac:dyDescent="0.25">
      <c r="A661" s="7">
        <v>0.23098686768674265</v>
      </c>
      <c r="B661"/>
      <c r="C661"/>
      <c r="D661"/>
      <c r="E661"/>
      <c r="AJ661" s="27" t="s">
        <v>7</v>
      </c>
      <c r="AK661" s="27" t="s">
        <v>8</v>
      </c>
      <c r="AZ661" s="27" t="s">
        <v>7</v>
      </c>
      <c r="BC661" s="27" t="s">
        <v>8</v>
      </c>
      <c r="BD661" s="27" t="s">
        <v>7</v>
      </c>
      <c r="BH661" s="27" t="s">
        <v>7</v>
      </c>
      <c r="BK661" s="27" t="s">
        <v>8</v>
      </c>
      <c r="BO661" s="27" t="s">
        <v>8</v>
      </c>
      <c r="DX661" s="27" t="s">
        <v>7</v>
      </c>
      <c r="DY661" s="27" t="s">
        <v>8</v>
      </c>
      <c r="DZ661" s="27" t="s">
        <v>7</v>
      </c>
      <c r="EA661" s="27" t="s">
        <v>8</v>
      </c>
      <c r="EB661" s="27" t="s">
        <v>7</v>
      </c>
      <c r="EC661" s="27" t="s">
        <v>8</v>
      </c>
      <c r="EG661" s="27" t="s">
        <v>8</v>
      </c>
      <c r="EH661" s="27" t="s">
        <v>7</v>
      </c>
      <c r="EI661" s="27" t="s">
        <v>8</v>
      </c>
      <c r="EJ661" s="27" t="s">
        <v>7</v>
      </c>
      <c r="EK661" s="27" t="s">
        <v>8</v>
      </c>
      <c r="EL661" s="27" t="s">
        <v>7</v>
      </c>
      <c r="EM661" s="27" t="s">
        <v>8</v>
      </c>
      <c r="EN661" s="27" t="s">
        <v>7</v>
      </c>
      <c r="EO661" s="27" t="s">
        <v>8</v>
      </c>
      <c r="EP661" s="27" t="s">
        <v>7</v>
      </c>
    </row>
    <row r="662" spans="1:152" x14ac:dyDescent="0.25">
      <c r="A662" s="7">
        <v>0.22645771341837515</v>
      </c>
      <c r="B662"/>
      <c r="C662"/>
      <c r="D662"/>
      <c r="E662"/>
      <c r="AJ662" s="27" t="s">
        <v>7</v>
      </c>
      <c r="AK662" s="27" t="s">
        <v>8</v>
      </c>
      <c r="AZ662" s="27" t="s">
        <v>7</v>
      </c>
      <c r="BC662" s="27" t="s">
        <v>8</v>
      </c>
      <c r="BH662" s="27" t="s">
        <v>7</v>
      </c>
      <c r="BI662" s="27" t="s">
        <v>8</v>
      </c>
      <c r="BK662" s="27" t="s">
        <v>8</v>
      </c>
      <c r="BL662" s="27" t="s">
        <v>7</v>
      </c>
      <c r="BO662" s="27" t="s">
        <v>8</v>
      </c>
      <c r="DX662" s="27" t="s">
        <v>7</v>
      </c>
      <c r="DY662" s="27" t="s">
        <v>8</v>
      </c>
      <c r="DZ662" s="27" t="s">
        <v>7</v>
      </c>
      <c r="EA662" s="27" t="s">
        <v>8</v>
      </c>
      <c r="EB662" s="27" t="s">
        <v>7</v>
      </c>
      <c r="EC662" s="27" t="s">
        <v>8</v>
      </c>
      <c r="ED662" s="27" t="s">
        <v>7</v>
      </c>
      <c r="EE662" s="27" t="s">
        <v>8</v>
      </c>
      <c r="EG662" s="27" t="s">
        <v>8</v>
      </c>
      <c r="EH662" s="27" t="s">
        <v>7</v>
      </c>
      <c r="EI662" s="27" t="s">
        <v>8</v>
      </c>
      <c r="EJ662" s="27" t="s">
        <v>7</v>
      </c>
      <c r="EK662" s="27" t="s">
        <v>8</v>
      </c>
      <c r="EL662" s="27" t="s">
        <v>7</v>
      </c>
      <c r="EM662" s="27" t="s">
        <v>8</v>
      </c>
      <c r="EN662" s="27" t="s">
        <v>7</v>
      </c>
      <c r="EO662" s="27" t="s">
        <v>8</v>
      </c>
      <c r="EP662" s="27" t="s">
        <v>7</v>
      </c>
    </row>
    <row r="663" spans="1:152" x14ac:dyDescent="0.25">
      <c r="A663" s="7">
        <v>0.22201736609644623</v>
      </c>
      <c r="B663"/>
      <c r="C663"/>
      <c r="D663"/>
      <c r="E663"/>
      <c r="AJ663" s="27" t="s">
        <v>7</v>
      </c>
      <c r="AK663" s="27" t="s">
        <v>8</v>
      </c>
      <c r="AZ663" s="27" t="s">
        <v>7</v>
      </c>
      <c r="BC663" s="27" t="s">
        <v>8</v>
      </c>
      <c r="BH663" s="27" t="s">
        <v>7</v>
      </c>
      <c r="BI663" s="27" t="s">
        <v>8</v>
      </c>
      <c r="BJ663" s="27" t="s">
        <v>7</v>
      </c>
      <c r="BK663" s="27" t="s">
        <v>8</v>
      </c>
      <c r="BL663" s="27" t="s">
        <v>7</v>
      </c>
      <c r="BO663" s="27" t="s">
        <v>8</v>
      </c>
      <c r="DX663" s="27" t="s">
        <v>7</v>
      </c>
      <c r="DY663" s="27" t="s">
        <v>8</v>
      </c>
      <c r="DZ663" s="27" t="s">
        <v>7</v>
      </c>
      <c r="EA663" s="27" t="s">
        <v>8</v>
      </c>
      <c r="EB663" s="27" t="s">
        <v>7</v>
      </c>
      <c r="EC663" s="27" t="s">
        <v>8</v>
      </c>
      <c r="ED663" s="27" t="s">
        <v>7</v>
      </c>
      <c r="EE663" s="27" t="s">
        <v>8</v>
      </c>
      <c r="EF663" s="27" t="s">
        <v>7</v>
      </c>
      <c r="EG663" s="27" t="s">
        <v>8</v>
      </c>
      <c r="EH663" s="27" t="s">
        <v>7</v>
      </c>
      <c r="EI663" s="27" t="s">
        <v>8</v>
      </c>
      <c r="EJ663" s="27" t="s">
        <v>7</v>
      </c>
      <c r="EK663" s="27" t="s">
        <v>8</v>
      </c>
      <c r="EL663" s="27" t="s">
        <v>7</v>
      </c>
      <c r="EN663" s="27" t="s">
        <v>7</v>
      </c>
      <c r="EO663" s="27" t="s">
        <v>8</v>
      </c>
      <c r="EP663" s="27" t="s">
        <v>7</v>
      </c>
    </row>
    <row r="664" spans="1:152" x14ac:dyDescent="0.25">
      <c r="A664" s="7">
        <v>0.21766408440828061</v>
      </c>
      <c r="B664"/>
      <c r="C664"/>
      <c r="D664"/>
      <c r="E664"/>
      <c r="AJ664" s="27" t="s">
        <v>7</v>
      </c>
      <c r="AK664" s="27" t="s">
        <v>8</v>
      </c>
      <c r="AZ664" s="27" t="s">
        <v>7</v>
      </c>
      <c r="BC664" s="27" t="s">
        <v>8</v>
      </c>
      <c r="BH664" s="27" t="s">
        <v>7</v>
      </c>
      <c r="BI664" s="27" t="s">
        <v>8</v>
      </c>
      <c r="BJ664" s="27" t="s">
        <v>7</v>
      </c>
      <c r="BK664" s="27" t="s">
        <v>8</v>
      </c>
      <c r="BL664" s="27" t="s">
        <v>7</v>
      </c>
      <c r="BM664" s="27" t="s">
        <v>8</v>
      </c>
      <c r="BO664" s="27" t="s">
        <v>8</v>
      </c>
      <c r="DX664" s="27" t="s">
        <v>7</v>
      </c>
      <c r="DY664" s="27" t="s">
        <v>8</v>
      </c>
      <c r="DZ664" s="27" t="s">
        <v>7</v>
      </c>
      <c r="EA664" s="27" t="s">
        <v>8</v>
      </c>
      <c r="EB664" s="27" t="s">
        <v>7</v>
      </c>
      <c r="EC664" s="27" t="s">
        <v>8</v>
      </c>
      <c r="ED664" s="27" t="s">
        <v>7</v>
      </c>
      <c r="EE664" s="27" t="s">
        <v>8</v>
      </c>
      <c r="EF664" s="27" t="s">
        <v>7</v>
      </c>
      <c r="EG664" s="27" t="s">
        <v>8</v>
      </c>
      <c r="EH664" s="27" t="s">
        <v>7</v>
      </c>
      <c r="EI664" s="27" t="s">
        <v>8</v>
      </c>
      <c r="EJ664" s="27" t="s">
        <v>7</v>
      </c>
      <c r="EN664" s="27" t="s">
        <v>7</v>
      </c>
      <c r="EO664" s="27" t="s">
        <v>8</v>
      </c>
      <c r="EP664" s="27" t="s">
        <v>7</v>
      </c>
    </row>
    <row r="665" spans="1:152" x14ac:dyDescent="0.25">
      <c r="A665" s="7">
        <v>0.21339616118458882</v>
      </c>
      <c r="B665"/>
      <c r="C665"/>
      <c r="D665"/>
      <c r="E665"/>
      <c r="AJ665" s="27" t="s">
        <v>7</v>
      </c>
      <c r="AK665" s="27" t="s">
        <v>8</v>
      </c>
      <c r="AZ665" s="27" t="s">
        <v>7</v>
      </c>
      <c r="BA665" s="27" t="s">
        <v>8</v>
      </c>
      <c r="BC665" s="27" t="s">
        <v>8</v>
      </c>
      <c r="BH665" s="27" t="s">
        <v>7</v>
      </c>
      <c r="BI665" s="27" t="s">
        <v>8</v>
      </c>
      <c r="BJ665" s="27" t="s">
        <v>7</v>
      </c>
      <c r="BK665" s="27" t="s">
        <v>8</v>
      </c>
      <c r="BL665" s="27" t="s">
        <v>7</v>
      </c>
      <c r="BM665" s="27" t="s">
        <v>8</v>
      </c>
      <c r="BN665" s="27" t="s">
        <v>7</v>
      </c>
      <c r="BO665" s="27" t="s">
        <v>8</v>
      </c>
      <c r="DX665" s="27" t="s">
        <v>7</v>
      </c>
      <c r="DY665" s="27" t="s">
        <v>8</v>
      </c>
      <c r="DZ665" s="27" t="s">
        <v>7</v>
      </c>
      <c r="EA665" s="27" t="s">
        <v>8</v>
      </c>
      <c r="EB665" s="27" t="s">
        <v>7</v>
      </c>
      <c r="EC665" s="27" t="s">
        <v>8</v>
      </c>
      <c r="ED665" s="27" t="s">
        <v>7</v>
      </c>
      <c r="EE665" s="27" t="s">
        <v>8</v>
      </c>
      <c r="EF665" s="27" t="s">
        <v>7</v>
      </c>
      <c r="EG665" s="27" t="s">
        <v>8</v>
      </c>
      <c r="EH665" s="27" t="s">
        <v>7</v>
      </c>
      <c r="EI665" s="27" t="s">
        <v>8</v>
      </c>
      <c r="EN665" s="27" t="s">
        <v>7</v>
      </c>
      <c r="EO665" s="27" t="s">
        <v>8</v>
      </c>
      <c r="EP665" s="27" t="s">
        <v>7</v>
      </c>
    </row>
    <row r="666" spans="1:152" x14ac:dyDescent="0.25">
      <c r="A666" s="7">
        <v>0.20921192272998904</v>
      </c>
      <c r="B666"/>
      <c r="C666"/>
      <c r="D666"/>
      <c r="E666"/>
      <c r="AJ666" s="27" t="s">
        <v>7</v>
      </c>
      <c r="AK666" s="27" t="s">
        <v>8</v>
      </c>
      <c r="AZ666" s="27" t="s">
        <v>7</v>
      </c>
      <c r="BA666" s="27" t="s">
        <v>8</v>
      </c>
      <c r="BB666" s="27" t="s">
        <v>7</v>
      </c>
      <c r="BC666" s="27" t="s">
        <v>8</v>
      </c>
      <c r="BH666" s="27" t="s">
        <v>7</v>
      </c>
      <c r="BI666" s="27" t="s">
        <v>8</v>
      </c>
      <c r="BJ666" s="27" t="s">
        <v>7</v>
      </c>
      <c r="BL666" s="27" t="s">
        <v>7</v>
      </c>
      <c r="BM666" s="27" t="s">
        <v>8</v>
      </c>
      <c r="BN666" s="27" t="s">
        <v>7</v>
      </c>
      <c r="BO666" s="27" t="s">
        <v>8</v>
      </c>
      <c r="DX666" s="27" t="s">
        <v>7</v>
      </c>
      <c r="DY666" s="27" t="s">
        <v>8</v>
      </c>
      <c r="DZ666" s="27" t="s">
        <v>7</v>
      </c>
      <c r="EA666" s="27" t="s">
        <v>8</v>
      </c>
      <c r="EB666" s="27" t="s">
        <v>7</v>
      </c>
      <c r="EC666" s="27" t="s">
        <v>8</v>
      </c>
      <c r="ED666" s="27" t="s">
        <v>7</v>
      </c>
      <c r="EE666" s="27" t="s">
        <v>8</v>
      </c>
      <c r="EF666" s="27" t="s">
        <v>7</v>
      </c>
      <c r="EG666" s="27" t="s">
        <v>8</v>
      </c>
      <c r="EH666" s="27" t="s">
        <v>7</v>
      </c>
      <c r="EN666" s="27" t="s">
        <v>7</v>
      </c>
      <c r="EO666" s="27" t="s">
        <v>8</v>
      </c>
      <c r="EP666" s="27" t="s">
        <v>7</v>
      </c>
    </row>
    <row r="667" spans="1:152" x14ac:dyDescent="0.25">
      <c r="A667" s="7">
        <v>0.20510972816665593</v>
      </c>
      <c r="B667"/>
      <c r="C667"/>
      <c r="D667"/>
      <c r="E667"/>
      <c r="AJ667" s="27" t="s">
        <v>7</v>
      </c>
      <c r="AK667" s="27" t="s">
        <v>8</v>
      </c>
      <c r="AZ667" s="27" t="s">
        <v>7</v>
      </c>
      <c r="BA667" s="27" t="s">
        <v>8</v>
      </c>
      <c r="BB667" s="27" t="s">
        <v>7</v>
      </c>
      <c r="BC667" s="27" t="s">
        <v>8</v>
      </c>
      <c r="BH667" s="27" t="s">
        <v>7</v>
      </c>
      <c r="BI667" s="27" t="s">
        <v>8</v>
      </c>
      <c r="BL667" s="27" t="s">
        <v>7</v>
      </c>
      <c r="BM667" s="27" t="s">
        <v>8</v>
      </c>
      <c r="BN667" s="27" t="s">
        <v>7</v>
      </c>
      <c r="BO667" s="27" t="s">
        <v>8</v>
      </c>
      <c r="DX667" s="27" t="s">
        <v>7</v>
      </c>
      <c r="DY667" s="27" t="s">
        <v>8</v>
      </c>
      <c r="DZ667" s="27" t="s">
        <v>7</v>
      </c>
      <c r="EA667" s="27" t="s">
        <v>8</v>
      </c>
      <c r="EB667" s="27" t="s">
        <v>7</v>
      </c>
      <c r="EC667" s="27" t="s">
        <v>8</v>
      </c>
      <c r="ED667" s="27" t="s">
        <v>7</v>
      </c>
      <c r="EE667" s="27" t="s">
        <v>8</v>
      </c>
      <c r="EF667" s="27" t="s">
        <v>7</v>
      </c>
      <c r="EG667" s="27" t="s">
        <v>8</v>
      </c>
      <c r="EN667" s="27" t="s">
        <v>7</v>
      </c>
      <c r="EO667" s="27" t="s">
        <v>8</v>
      </c>
      <c r="EP667" s="27" t="s">
        <v>7</v>
      </c>
    </row>
    <row r="668" spans="1:152" x14ac:dyDescent="0.25">
      <c r="A668" s="7">
        <v>0.20108796879083912</v>
      </c>
      <c r="B668"/>
      <c r="C668"/>
      <c r="D668"/>
      <c r="E668"/>
      <c r="AJ668" s="27" t="s">
        <v>7</v>
      </c>
      <c r="AK668" s="27" t="s">
        <v>8</v>
      </c>
      <c r="AZ668" s="27" t="s">
        <v>7</v>
      </c>
      <c r="BA668" s="27" t="s">
        <v>8</v>
      </c>
      <c r="BB668" s="27" t="s">
        <v>7</v>
      </c>
      <c r="BC668" s="27" t="s">
        <v>8</v>
      </c>
      <c r="BH668" s="27" t="s">
        <v>7</v>
      </c>
      <c r="BI668" s="27" t="s">
        <v>8</v>
      </c>
      <c r="BL668" s="27" t="s">
        <v>7</v>
      </c>
      <c r="BN668" s="27" t="s">
        <v>7</v>
      </c>
      <c r="BO668" s="27" t="s">
        <v>8</v>
      </c>
      <c r="DX668" s="27" t="s">
        <v>7</v>
      </c>
      <c r="DY668" s="27" t="s">
        <v>8</v>
      </c>
      <c r="DZ668" s="27" t="s">
        <v>7</v>
      </c>
      <c r="EA668" s="27" t="s">
        <v>8</v>
      </c>
      <c r="EB668" s="27" t="s">
        <v>7</v>
      </c>
      <c r="ED668" s="27" t="s">
        <v>7</v>
      </c>
      <c r="EE668" s="27" t="s">
        <v>8</v>
      </c>
      <c r="EF668" s="27" t="s">
        <v>7</v>
      </c>
      <c r="EG668" s="27" t="s">
        <v>8</v>
      </c>
      <c r="EN668" s="27" t="s">
        <v>7</v>
      </c>
      <c r="EO668" s="27" t="s">
        <v>8</v>
      </c>
      <c r="EP668" s="27" t="s">
        <v>7</v>
      </c>
    </row>
    <row r="669" spans="1:152" x14ac:dyDescent="0.25">
      <c r="A669" s="7">
        <v>0.19714506744199917</v>
      </c>
      <c r="B669"/>
      <c r="C669"/>
      <c r="D669"/>
      <c r="E669"/>
      <c r="AJ669" s="27" t="s">
        <v>7</v>
      </c>
      <c r="AK669" s="27" t="s">
        <v>8</v>
      </c>
      <c r="AZ669" s="27" t="s">
        <v>7</v>
      </c>
      <c r="BA669" s="27" t="s">
        <v>8</v>
      </c>
      <c r="BB669" s="27" t="s">
        <v>7</v>
      </c>
      <c r="BH669" s="27" t="s">
        <v>7</v>
      </c>
      <c r="BI669" s="27" t="s">
        <v>8</v>
      </c>
      <c r="BN669" s="27" t="s">
        <v>7</v>
      </c>
      <c r="DX669" s="27" t="s">
        <v>7</v>
      </c>
      <c r="DY669" s="27" t="s">
        <v>8</v>
      </c>
      <c r="DZ669" s="27" t="s">
        <v>7</v>
      </c>
      <c r="ED669" s="27" t="s">
        <v>7</v>
      </c>
      <c r="EE669" s="27" t="s">
        <v>8</v>
      </c>
      <c r="EF669" s="27" t="s">
        <v>7</v>
      </c>
      <c r="EN669" s="27" t="s">
        <v>7</v>
      </c>
      <c r="EO669" s="27" t="s">
        <v>8</v>
      </c>
      <c r="EP669" s="27" t="s">
        <v>7</v>
      </c>
      <c r="EQ669" s="27" t="s">
        <v>8</v>
      </c>
    </row>
    <row r="670" spans="1:152" x14ac:dyDescent="0.25">
      <c r="A670" s="7">
        <v>0.19327947788431293</v>
      </c>
      <c r="B670"/>
      <c r="C670"/>
      <c r="D670"/>
      <c r="E670"/>
      <c r="AJ670" s="27" t="s">
        <v>7</v>
      </c>
      <c r="AK670" s="27" t="s">
        <v>8</v>
      </c>
      <c r="AZ670" s="27" t="s">
        <v>7</v>
      </c>
      <c r="BA670" s="27" t="s">
        <v>8</v>
      </c>
      <c r="BH670" s="27" t="s">
        <v>7</v>
      </c>
      <c r="BI670" s="27" t="s">
        <v>8</v>
      </c>
      <c r="DX670" s="27" t="s">
        <v>7</v>
      </c>
      <c r="DY670" s="27" t="s">
        <v>8</v>
      </c>
      <c r="ED670" s="27" t="s">
        <v>7</v>
      </c>
      <c r="EE670" s="27" t="s">
        <v>8</v>
      </c>
      <c r="EN670" s="27" t="s">
        <v>7</v>
      </c>
      <c r="EP670" s="27" t="s">
        <v>7</v>
      </c>
      <c r="EQ670" s="27" t="s">
        <v>8</v>
      </c>
      <c r="ER670" s="27" t="s">
        <v>7</v>
      </c>
    </row>
    <row r="671" spans="1:152" x14ac:dyDescent="0.25">
      <c r="A671" s="7">
        <v>0.18948968420030682</v>
      </c>
      <c r="B671"/>
      <c r="C671"/>
      <c r="D671"/>
      <c r="E671"/>
      <c r="AJ671" s="27" t="s">
        <v>7</v>
      </c>
      <c r="AK671" s="27" t="s">
        <v>8</v>
      </c>
      <c r="AZ671" s="27" t="s">
        <v>7</v>
      </c>
      <c r="BA671" s="27" t="s">
        <v>8</v>
      </c>
      <c r="BH671" s="18" t="s">
        <v>7</v>
      </c>
      <c r="BI671" s="27" t="s">
        <v>8</v>
      </c>
      <c r="DX671" s="27" t="s">
        <v>7</v>
      </c>
      <c r="DY671" s="27" t="s">
        <v>8</v>
      </c>
      <c r="ED671" s="27" t="s">
        <v>7</v>
      </c>
      <c r="EE671" s="27" t="s">
        <v>8</v>
      </c>
      <c r="EP671" s="27" t="s">
        <v>7</v>
      </c>
      <c r="EQ671" s="27" t="s">
        <v>8</v>
      </c>
      <c r="ER671" s="27" t="s">
        <v>7</v>
      </c>
      <c r="EU671" s="27" t="s">
        <v>8</v>
      </c>
    </row>
    <row r="672" spans="1:152" x14ac:dyDescent="0.25">
      <c r="A672" s="7">
        <v>0.18577420019637925</v>
      </c>
      <c r="B672"/>
      <c r="C672"/>
      <c r="D672"/>
      <c r="E672"/>
      <c r="AJ672" s="27" t="s">
        <v>7</v>
      </c>
      <c r="AZ672" s="27" t="s">
        <v>7</v>
      </c>
      <c r="BA672" s="27" t="s">
        <v>8</v>
      </c>
      <c r="BH672" s="27" t="s">
        <v>7</v>
      </c>
      <c r="BI672" s="27" t="s">
        <v>8</v>
      </c>
      <c r="DX672" s="27" t="s">
        <v>7</v>
      </c>
      <c r="DY672" s="27" t="s">
        <v>8</v>
      </c>
      <c r="ED672" s="27" t="s">
        <v>7</v>
      </c>
      <c r="EP672" s="27" t="s">
        <v>7</v>
      </c>
      <c r="EQ672" s="27" t="s">
        <v>8</v>
      </c>
      <c r="ER672" s="27" t="s">
        <v>7</v>
      </c>
      <c r="ES672" s="27" t="s">
        <v>8</v>
      </c>
      <c r="EU672" s="27" t="s">
        <v>8</v>
      </c>
      <c r="EV672" s="27" t="s">
        <v>7</v>
      </c>
    </row>
    <row r="673" spans="1:154" x14ac:dyDescent="0.25">
      <c r="A673" s="7">
        <v>0.18213156881997963</v>
      </c>
      <c r="B673"/>
      <c r="C673"/>
      <c r="D673"/>
      <c r="E673"/>
      <c r="AZ673" s="27" t="s">
        <v>7</v>
      </c>
      <c r="BA673" s="27" t="s">
        <v>8</v>
      </c>
      <c r="BH673" s="27" t="s">
        <v>7</v>
      </c>
      <c r="DX673" s="27" t="s">
        <v>7</v>
      </c>
      <c r="DY673" s="27" t="s">
        <v>8</v>
      </c>
      <c r="EP673" s="27" t="s">
        <v>7</v>
      </c>
      <c r="EQ673" s="27" t="s">
        <v>8</v>
      </c>
      <c r="ER673" s="27" t="s">
        <v>7</v>
      </c>
      <c r="ES673" s="27" t="s">
        <v>8</v>
      </c>
      <c r="ET673" s="27" t="s">
        <v>7</v>
      </c>
      <c r="EU673" s="27" t="s">
        <v>8</v>
      </c>
      <c r="EV673" s="27" t="s">
        <v>7</v>
      </c>
    </row>
    <row r="674" spans="1:154" x14ac:dyDescent="0.25">
      <c r="A674" s="7">
        <v>0.17856036158821534</v>
      </c>
      <c r="B674"/>
      <c r="C674"/>
      <c r="D674"/>
      <c r="E674"/>
      <c r="AZ674" s="27" t="s">
        <v>7</v>
      </c>
      <c r="BA674" s="27" t="s">
        <v>8</v>
      </c>
      <c r="DX674" s="27" t="s">
        <v>7</v>
      </c>
      <c r="EP674" s="27" t="s">
        <v>7</v>
      </c>
      <c r="EQ674" s="27" t="s">
        <v>8</v>
      </c>
      <c r="ER674" s="27" t="s">
        <v>7</v>
      </c>
      <c r="ES674" s="27" t="s">
        <v>8</v>
      </c>
      <c r="ET674" s="27" t="s">
        <v>7</v>
      </c>
      <c r="EU674" s="27" t="s">
        <v>8</v>
      </c>
      <c r="EV674" s="27" t="s">
        <v>7</v>
      </c>
      <c r="EW674" s="27" t="s">
        <v>8</v>
      </c>
    </row>
    <row r="675" spans="1:154" x14ac:dyDescent="0.25">
      <c r="A675" s="7">
        <v>0.17505917802766208</v>
      </c>
      <c r="B675"/>
      <c r="C675"/>
      <c r="D675"/>
      <c r="E675"/>
      <c r="AZ675" s="27" t="s">
        <v>7</v>
      </c>
      <c r="BA675" s="27" t="s">
        <v>8</v>
      </c>
      <c r="EP675" s="27" t="s">
        <v>7</v>
      </c>
      <c r="ER675" s="27" t="s">
        <v>7</v>
      </c>
      <c r="ES675" s="27" t="s">
        <v>8</v>
      </c>
      <c r="ET675" s="27" t="s">
        <v>7</v>
      </c>
      <c r="EU675" s="27" t="s">
        <v>8</v>
      </c>
      <c r="EV675" s="27" t="s">
        <v>7</v>
      </c>
      <c r="EW675" s="27" t="s">
        <v>8</v>
      </c>
      <c r="EX675" s="27" t="s">
        <v>7</v>
      </c>
    </row>
    <row r="676" spans="1:154" x14ac:dyDescent="0.25">
      <c r="A676" s="7">
        <v>0.17162664512515888</v>
      </c>
      <c r="B676"/>
      <c r="C676"/>
      <c r="D676"/>
      <c r="E676"/>
      <c r="AZ676" s="27" t="s">
        <v>7</v>
      </c>
      <c r="ER676" s="27" t="s">
        <v>7</v>
      </c>
      <c r="ET676" s="27" t="s">
        <v>7</v>
      </c>
      <c r="EV676" s="27" t="s">
        <v>7</v>
      </c>
      <c r="EW676" s="27" t="s">
        <v>8</v>
      </c>
      <c r="EX676" s="27" t="s">
        <v>7</v>
      </c>
    </row>
    <row r="677" spans="1:154" x14ac:dyDescent="0.25">
      <c r="A677" s="7">
        <v>0.16826141678937145</v>
      </c>
      <c r="B677"/>
      <c r="C677"/>
      <c r="D677"/>
      <c r="E677"/>
      <c r="EV677" s="27" t="s">
        <v>7</v>
      </c>
      <c r="EX677" s="27" t="s">
        <v>7</v>
      </c>
    </row>
    <row r="678" spans="1:154" x14ac:dyDescent="0.25">
      <c r="A678" s="7">
        <v>0.16496217332291319</v>
      </c>
      <c r="B678"/>
      <c r="C678"/>
      <c r="D678"/>
      <c r="E678"/>
      <c r="EX678" s="27" t="s">
        <v>7</v>
      </c>
    </row>
    <row r="679" spans="1:154" x14ac:dyDescent="0.25">
      <c r="A679" s="7">
        <v>0.16172762090481685</v>
      </c>
      <c r="B679"/>
      <c r="C679"/>
      <c r="D679"/>
      <c r="E679"/>
      <c r="EX679" s="27" t="s">
        <v>7</v>
      </c>
    </row>
    <row r="680" spans="1:154" x14ac:dyDescent="0.25">
      <c r="A680" s="7">
        <v>0.15855649108315376</v>
      </c>
      <c r="B680"/>
      <c r="C680"/>
      <c r="D680"/>
      <c r="E680"/>
      <c r="EX680" s="27" t="s">
        <v>7</v>
      </c>
    </row>
    <row r="681" spans="1:154" x14ac:dyDescent="0.25">
      <c r="A681" s="7">
        <v>0.15544754027760171</v>
      </c>
      <c r="B681"/>
      <c r="C681"/>
      <c r="D681"/>
      <c r="E681"/>
      <c r="EX681" s="27" t="s">
        <v>7</v>
      </c>
    </row>
    <row r="682" spans="1:154" x14ac:dyDescent="0.25">
      <c r="A682" s="7">
        <v>0.15239954929176638</v>
      </c>
      <c r="B682"/>
      <c r="C682"/>
      <c r="D682"/>
      <c r="E682"/>
      <c r="EX682" s="27" t="s">
        <v>7</v>
      </c>
    </row>
    <row r="683" spans="1:154" x14ac:dyDescent="0.25">
      <c r="A683" s="7">
        <v>0.14941132283506509</v>
      </c>
      <c r="B683"/>
      <c r="C683"/>
      <c r="D683"/>
      <c r="E683"/>
      <c r="EX683" s="27" t="s">
        <v>7</v>
      </c>
    </row>
    <row r="684" spans="1:154" x14ac:dyDescent="0.25">
      <c r="A684" s="7">
        <v>0.14648168905398537</v>
      </c>
      <c r="B684"/>
      <c r="C684"/>
      <c r="D684"/>
      <c r="E684"/>
      <c r="EX684" s="27" t="s">
        <v>7</v>
      </c>
    </row>
    <row r="685" spans="1:154" x14ac:dyDescent="0.25">
      <c r="A685" s="7">
        <v>0.14360949907253467</v>
      </c>
      <c r="B685"/>
      <c r="C685"/>
      <c r="D685"/>
      <c r="E685"/>
      <c r="EX685" s="27" t="s">
        <v>7</v>
      </c>
    </row>
    <row r="686" spans="1:154" x14ac:dyDescent="0.25">
      <c r="A686" s="7">
        <v>0.14079362654170066</v>
      </c>
      <c r="B686"/>
      <c r="C686"/>
      <c r="D686"/>
      <c r="E686"/>
      <c r="EX686" s="27" t="s">
        <v>7</v>
      </c>
    </row>
    <row r="687" spans="1:154" x14ac:dyDescent="0.25">
      <c r="A687" s="7">
        <v>0.13803296719774574</v>
      </c>
      <c r="B687"/>
      <c r="C687"/>
      <c r="D687"/>
      <c r="E687"/>
      <c r="EX687" s="27" t="s">
        <v>7</v>
      </c>
    </row>
    <row r="688" spans="1:154" x14ac:dyDescent="0.25">
      <c r="A688" s="7">
        <v>0.1353264384291625</v>
      </c>
      <c r="B688"/>
      <c r="C688"/>
      <c r="D688"/>
      <c r="E688"/>
      <c r="EX688" s="27" t="s">
        <v>7</v>
      </c>
    </row>
    <row r="689" spans="1:158" x14ac:dyDescent="0.25">
      <c r="A689" s="7">
        <v>0.13267297885212009</v>
      </c>
      <c r="B689"/>
      <c r="C689"/>
      <c r="D689"/>
      <c r="E689"/>
      <c r="EX689" s="27" t="s">
        <v>7</v>
      </c>
    </row>
    <row r="690" spans="1:158" x14ac:dyDescent="0.25">
      <c r="A690" s="7">
        <v>0.13007154789423539</v>
      </c>
      <c r="B690"/>
      <c r="C690"/>
      <c r="D690"/>
      <c r="E690"/>
      <c r="EX690" s="27" t="s">
        <v>7</v>
      </c>
    </row>
    <row r="691" spans="1:158" x14ac:dyDescent="0.25">
      <c r="A691" s="7">
        <v>0.12752112538650529</v>
      </c>
      <c r="B691"/>
      <c r="C691"/>
      <c r="D691"/>
      <c r="E691"/>
      <c r="EX691" s="27" t="s">
        <v>7</v>
      </c>
    </row>
    <row r="692" spans="1:158" x14ac:dyDescent="0.25">
      <c r="A692" s="7">
        <v>0.12502071116324048</v>
      </c>
      <c r="B692"/>
      <c r="C692"/>
      <c r="D692"/>
      <c r="E692"/>
      <c r="EX692" s="27" t="s">
        <v>7</v>
      </c>
    </row>
    <row r="693" spans="1:158" x14ac:dyDescent="0.25">
      <c r="A693" s="7">
        <v>0.1225693246698436</v>
      </c>
      <c r="B693"/>
      <c r="C693"/>
      <c r="D693"/>
      <c r="E693"/>
      <c r="EX693" s="27" t="s">
        <v>7</v>
      </c>
    </row>
    <row r="694" spans="1:158" x14ac:dyDescent="0.25">
      <c r="A694" s="7">
        <v>0.12016600457827803</v>
      </c>
      <c r="B694"/>
      <c r="C694"/>
      <c r="D694"/>
      <c r="E694"/>
      <c r="EX694" s="27" t="s">
        <v>7</v>
      </c>
    </row>
    <row r="695" spans="1:158" x14ac:dyDescent="0.25">
      <c r="A695" s="7">
        <v>0.1178098084100765</v>
      </c>
      <c r="B695"/>
      <c r="C695"/>
      <c r="D695"/>
      <c r="E695"/>
      <c r="EX695" s="27" t="s">
        <v>7</v>
      </c>
    </row>
    <row r="696" spans="1:158" x14ac:dyDescent="0.25">
      <c r="A696" s="7">
        <v>0.11549981216674166</v>
      </c>
      <c r="B696"/>
      <c r="C696"/>
      <c r="D696"/>
      <c r="E696"/>
      <c r="EX696" s="27" t="s">
        <v>7</v>
      </c>
      <c r="EY696" s="27" t="s">
        <v>8</v>
      </c>
    </row>
    <row r="697" spans="1:158" x14ac:dyDescent="0.25">
      <c r="A697" s="7">
        <v>0.11323510996739378</v>
      </c>
      <c r="B697"/>
      <c r="C697"/>
      <c r="D697"/>
      <c r="E697"/>
      <c r="EX697" s="27" t="s">
        <v>7</v>
      </c>
      <c r="EY697" s="27" t="s">
        <v>8</v>
      </c>
      <c r="EZ697" s="27" t="s">
        <v>7</v>
      </c>
      <c r="FA697" s="27" t="s">
        <v>8</v>
      </c>
    </row>
    <row r="698" spans="1:158" x14ac:dyDescent="0.25">
      <c r="A698" s="7">
        <v>0.11101481369352331</v>
      </c>
      <c r="B698"/>
      <c r="C698"/>
      <c r="D698"/>
      <c r="E698"/>
      <c r="EX698" s="27" t="s">
        <v>7</v>
      </c>
      <c r="EY698" s="27" t="s">
        <v>8</v>
      </c>
      <c r="EZ698" s="27" t="s">
        <v>7</v>
      </c>
      <c r="FA698" s="27" t="s">
        <v>8</v>
      </c>
      <c r="FB698" s="27" t="s">
        <v>7</v>
      </c>
    </row>
    <row r="699" spans="1:158" x14ac:dyDescent="0.25">
      <c r="A699" s="7">
        <v>0.10883805264070913</v>
      </c>
      <c r="B699"/>
      <c r="C699"/>
      <c r="D699"/>
      <c r="E699"/>
      <c r="EX699" s="27" t="s">
        <v>7</v>
      </c>
      <c r="EY699" s="27" t="s">
        <v>8</v>
      </c>
      <c r="EZ699" s="27" t="s">
        <v>7</v>
      </c>
      <c r="FA699" s="27" t="s">
        <v>8</v>
      </c>
      <c r="FB699" s="27" t="s">
        <v>7</v>
      </c>
    </row>
    <row r="700" spans="1:158" x14ac:dyDescent="0.25">
      <c r="A700" s="7">
        <v>0.10670397317716582</v>
      </c>
      <c r="B700"/>
      <c r="C700"/>
      <c r="D700"/>
      <c r="E700"/>
      <c r="EX700" s="27" t="s">
        <v>7</v>
      </c>
      <c r="EY700" s="27" t="s">
        <v>8</v>
      </c>
      <c r="EZ700" s="27" t="s">
        <v>7</v>
      </c>
      <c r="FA700" s="27" t="s">
        <v>8</v>
      </c>
      <c r="FB700" s="27" t="s">
        <v>7</v>
      </c>
    </row>
    <row r="701" spans="1:158" x14ac:dyDescent="0.25">
      <c r="A701" s="7">
        <v>0.1046117384089861</v>
      </c>
      <c r="B701"/>
      <c r="C701"/>
      <c r="D701"/>
      <c r="E701"/>
      <c r="EX701" s="27" t="s">
        <v>7</v>
      </c>
      <c r="EY701" s="27" t="s">
        <v>8</v>
      </c>
      <c r="EZ701" s="27" t="s">
        <v>7</v>
      </c>
      <c r="FA701" s="27" t="s">
        <v>8</v>
      </c>
      <c r="FB701" s="27" t="s">
        <v>7</v>
      </c>
    </row>
    <row r="702" spans="1:158" x14ac:dyDescent="0.25">
      <c r="A702" s="7">
        <v>0.10256052785194716</v>
      </c>
      <c r="B702"/>
      <c r="C702"/>
      <c r="D702"/>
      <c r="E702"/>
      <c r="EX702" s="27" t="s">
        <v>7</v>
      </c>
      <c r="EY702" s="27" t="s">
        <v>8</v>
      </c>
      <c r="EZ702" s="27" t="s">
        <v>7</v>
      </c>
      <c r="FA702" s="27" t="s">
        <v>8</v>
      </c>
    </row>
    <row r="703" spans="1:158" x14ac:dyDescent="0.25">
      <c r="A703" s="7">
        <v>0.10054953710975212</v>
      </c>
      <c r="B703"/>
      <c r="C703"/>
      <c r="D703"/>
      <c r="E703"/>
      <c r="EX703" s="27" t="s">
        <v>7</v>
      </c>
      <c r="EY703" s="27" t="s">
        <v>8</v>
      </c>
      <c r="EZ703" s="27" t="s">
        <v>7</v>
      </c>
      <c r="FA703" s="27" t="s">
        <v>8</v>
      </c>
    </row>
    <row r="704" spans="1:158" x14ac:dyDescent="0.25">
      <c r="A704" s="7">
        <v>9.8577977558580512E-2</v>
      </c>
      <c r="B704"/>
      <c r="C704"/>
      <c r="D704"/>
      <c r="E704"/>
      <c r="EX704" s="27" t="s">
        <v>7</v>
      </c>
      <c r="EY704" s="27" t="s">
        <v>8</v>
      </c>
      <c r="EZ704" s="27" t="s">
        <v>7</v>
      </c>
      <c r="FA704" s="27" t="s">
        <v>8</v>
      </c>
    </row>
    <row r="705" spans="1:157" x14ac:dyDescent="0.25">
      <c r="A705" s="7">
        <v>9.6645076037824032E-2</v>
      </c>
      <c r="B705"/>
      <c r="C705"/>
      <c r="D705"/>
      <c r="E705"/>
      <c r="EX705" s="27" t="s">
        <v>7</v>
      </c>
      <c r="EY705" s="27" t="s">
        <v>8</v>
      </c>
      <c r="EZ705" s="27" t="s">
        <v>7</v>
      </c>
      <c r="FA705" s="27" t="s">
        <v>8</v>
      </c>
    </row>
    <row r="706" spans="1:157" x14ac:dyDescent="0.25">
      <c r="A706" s="7">
        <v>9.4750074546886304E-2</v>
      </c>
      <c r="B706"/>
      <c r="C706"/>
      <c r="D706"/>
      <c r="E706"/>
      <c r="EX706" s="27" t="s">
        <v>7</v>
      </c>
      <c r="EZ706" s="27" t="s">
        <v>7</v>
      </c>
      <c r="FA706" s="27" t="s">
        <v>8</v>
      </c>
    </row>
    <row r="707" spans="1:157" x14ac:dyDescent="0.25">
      <c r="A707" s="7">
        <v>9.2892229947927743E-2</v>
      </c>
      <c r="B707"/>
      <c r="C707"/>
      <c r="D707"/>
      <c r="E707"/>
      <c r="EZ707" s="27" t="s">
        <v>7</v>
      </c>
    </row>
    <row r="708" spans="1:157" x14ac:dyDescent="0.25">
      <c r="A708" s="7">
        <v>9.1070813674438963E-2</v>
      </c>
      <c r="B708"/>
      <c r="C708"/>
      <c r="D708"/>
      <c r="E708"/>
    </row>
    <row r="709" spans="1:157" x14ac:dyDescent="0.25">
      <c r="A709" s="7">
        <v>8.9285111445528392E-2</v>
      </c>
      <c r="B709"/>
      <c r="C709"/>
      <c r="D709"/>
      <c r="E709"/>
    </row>
    <row r="710" spans="1:157" x14ac:dyDescent="0.25">
      <c r="A710" s="7">
        <v>8.7534422985812155E-2</v>
      </c>
      <c r="B710"/>
      <c r="C710"/>
      <c r="D710"/>
      <c r="E710"/>
    </row>
    <row r="711" spans="1:157" x14ac:dyDescent="0.25">
      <c r="A711" s="7">
        <v>8.5818061750796232E-2</v>
      </c>
      <c r="B711"/>
      <c r="C711"/>
      <c r="D711"/>
      <c r="E711"/>
    </row>
    <row r="712" spans="1:157" x14ac:dyDescent="0.25">
      <c r="A712" s="7">
        <v>8.4135354657643366E-2</v>
      </c>
      <c r="B712"/>
      <c r="C712"/>
      <c r="D712"/>
      <c r="E712"/>
    </row>
    <row r="713" spans="1:157" x14ac:dyDescent="0.25">
      <c r="A713" s="7">
        <v>8.248564182121898E-2</v>
      </c>
      <c r="B713"/>
      <c r="C713"/>
      <c r="D713"/>
      <c r="E713"/>
    </row>
    <row r="714" spans="1:157" x14ac:dyDescent="0.25">
      <c r="A714" s="7">
        <v>8.0868276295312735E-2</v>
      </c>
      <c r="B714"/>
      <c r="C714"/>
      <c r="D714"/>
      <c r="E714"/>
    </row>
    <row r="715" spans="1:157" x14ac:dyDescent="0.25">
      <c r="A715" s="7">
        <v>7.9282623818934056E-2</v>
      </c>
      <c r="B715"/>
      <c r="C715"/>
      <c r="D715"/>
      <c r="E715"/>
    </row>
    <row r="716" spans="1:157" x14ac:dyDescent="0.25">
      <c r="A716" s="7">
        <v>7.7728062567582412E-2</v>
      </c>
      <c r="B716"/>
      <c r="C716"/>
      <c r="D716"/>
      <c r="E716"/>
    </row>
    <row r="717" spans="1:157" x14ac:dyDescent="0.25">
      <c r="A717" s="7">
        <v>7.6203982909394521E-2</v>
      </c>
      <c r="B717"/>
      <c r="C717"/>
      <c r="D717"/>
      <c r="E717"/>
    </row>
    <row r="718" spans="1:157" x14ac:dyDescent="0.25">
      <c r="A718" s="7">
        <v>7.4709787166073058E-2</v>
      </c>
      <c r="B718"/>
      <c r="C718"/>
      <c r="D718"/>
      <c r="E718"/>
    </row>
    <row r="719" spans="1:157" x14ac:dyDescent="0.25">
      <c r="A719" s="7">
        <v>7.3244889378503E-2</v>
      </c>
      <c r="B719"/>
      <c r="C719"/>
      <c r="D719"/>
      <c r="E719"/>
    </row>
    <row r="720" spans="1:157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10" operator="equal">
      <formula>$U$1</formula>
    </cfRule>
    <cfRule type="cellIs" dxfId="89" priority="711" operator="equal">
      <formula>$S$1</formula>
    </cfRule>
  </conditionalFormatting>
  <conditionalFormatting sqref="D27">
    <cfRule type="cellIs" dxfId="88" priority="708" operator="equal">
      <formula>$S$1</formula>
    </cfRule>
    <cfRule type="cellIs" dxfId="87" priority="709" operator="equal">
      <formula>$U$1</formula>
    </cfRule>
  </conditionalFormatting>
  <conditionalFormatting sqref="C164">
    <cfRule type="cellIs" dxfId="86" priority="706" operator="equal">
      <formula>$U$1</formula>
    </cfRule>
    <cfRule type="cellIs" dxfId="85" priority="707" operator="equal">
      <formula>$S$1</formula>
    </cfRule>
  </conditionalFormatting>
  <conditionalFormatting sqref="D164">
    <cfRule type="cellIs" dxfId="84" priority="704" operator="equal">
      <formula>$S$1</formula>
    </cfRule>
    <cfRule type="cellIs" dxfId="83" priority="705" operator="equal">
      <formula>$U$1</formula>
    </cfRule>
  </conditionalFormatting>
  <conditionalFormatting sqref="C55">
    <cfRule type="cellIs" dxfId="82" priority="702" operator="equal">
      <formula>$U$1</formula>
    </cfRule>
    <cfRule type="cellIs" dxfId="81" priority="703" operator="equal">
      <formula>$S$1</formula>
    </cfRule>
  </conditionalFormatting>
  <conditionalFormatting sqref="D55">
    <cfRule type="cellIs" dxfId="80" priority="700" operator="equal">
      <formula>$S$1</formula>
    </cfRule>
    <cfRule type="cellIs" dxfId="79" priority="701" operator="equal">
      <formula>$U$1</formula>
    </cfRule>
  </conditionalFormatting>
  <conditionalFormatting sqref="C89">
    <cfRule type="cellIs" dxfId="78" priority="698" operator="equal">
      <formula>$U$1</formula>
    </cfRule>
    <cfRule type="cellIs" dxfId="77" priority="699" operator="equal">
      <formula>$S$1</formula>
    </cfRule>
  </conditionalFormatting>
  <conditionalFormatting sqref="D89">
    <cfRule type="cellIs" dxfId="76" priority="696" operator="equal">
      <formula>$S$1</formula>
    </cfRule>
    <cfRule type="cellIs" dxfId="75" priority="697" operator="equal">
      <formula>$U$1</formula>
    </cfRule>
  </conditionalFormatting>
  <conditionalFormatting sqref="C136">
    <cfRule type="cellIs" dxfId="74" priority="694" operator="equal">
      <formula>$U$1</formula>
    </cfRule>
    <cfRule type="cellIs" dxfId="73" priority="695" operator="equal">
      <formula>$S$1</formula>
    </cfRule>
  </conditionalFormatting>
  <conditionalFormatting sqref="D136">
    <cfRule type="cellIs" dxfId="72" priority="692" operator="equal">
      <formula>$S$1</formula>
    </cfRule>
    <cfRule type="cellIs" dxfId="71" priority="693" operator="equal">
      <formula>$U$1</formula>
    </cfRule>
  </conditionalFormatting>
  <conditionalFormatting sqref="C1">
    <cfRule type="cellIs" dxfId="70" priority="69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24" zoomScale="90" zoomScaleNormal="90" workbookViewId="0">
      <pane xSplit="4" topLeftCell="G1" activePane="topRight" state="frozen"/>
      <selection activeCell="A109" sqref="A109"/>
      <selection pane="topRight" activeCell="CE285" sqref="CE28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$A$284</v>
      </c>
      <c r="D111" s="1" t="str">
        <f>ADDRESS(C121-1,D121,1,1)</f>
        <v>$CE$284</v>
      </c>
      <c r="E111"/>
    </row>
    <row r="112" spans="1:5" x14ac:dyDescent="0.25">
      <c r="A112" s="30">
        <v>515.50191262726139</v>
      </c>
      <c r="C112" s="1" t="str">
        <f>ADDRESS(C121,1,1,1)</f>
        <v>$A$285</v>
      </c>
      <c r="D112" s="1" t="str">
        <f>ADDRESS(C121,D121-1,1,1)</f>
        <v>$CD$285</v>
      </c>
      <c r="E112"/>
    </row>
    <row r="113" spans="1:5" x14ac:dyDescent="0.25">
      <c r="A113" s="30">
        <v>490.95420250215363</v>
      </c>
      <c r="C113" s="1" t="str">
        <f>ADDRESS(C121+1,1,1,1)</f>
        <v>$A$286</v>
      </c>
      <c r="D113" s="1" t="str">
        <f>ADDRESS(C121-1,D121+1,1,1)</f>
        <v>$CF$284</v>
      </c>
    </row>
    <row r="114" spans="1:5" x14ac:dyDescent="0.25">
      <c r="A114" s="30">
        <v>467.57543095443202</v>
      </c>
      <c r="C114" s="1" t="str">
        <f>ADDRESS(C121,D121,1,1)</f>
        <v>$CE$285</v>
      </c>
      <c r="D114" s="1" t="str">
        <f>ADDRESS(C121+1,D121+1,1,1)</f>
        <v>$CF$286</v>
      </c>
    </row>
    <row r="115" spans="1:5" x14ac:dyDescent="0.25">
      <c r="A115" s="30">
        <v>445.30993424231622</v>
      </c>
      <c r="C115" s="1" t="str">
        <f>ADDRESS(C121+1,D121,1,1)</f>
        <v>$CE$286</v>
      </c>
    </row>
    <row r="116" spans="1:5" x14ac:dyDescent="0.25">
      <c r="A116" s="30">
        <v>424.10469927839637</v>
      </c>
      <c r="C116" s="1">
        <f>C117-1</f>
        <v>284</v>
      </c>
    </row>
    <row r="117" spans="1:5" x14ac:dyDescent="0.25">
      <c r="A117" s="30">
        <v>403.9092374079965</v>
      </c>
      <c r="C117" s="1">
        <f>C121</f>
        <v>285</v>
      </c>
      <c r="D117" s="1">
        <f>D121</f>
        <v>83</v>
      </c>
    </row>
    <row r="118" spans="1:5" x14ac:dyDescent="0.25">
      <c r="A118" s="30">
        <v>384.6754641980919</v>
      </c>
      <c r="C118" s="1">
        <f>C117+1</f>
        <v>286</v>
      </c>
      <c r="D118" s="1">
        <f>D117+1</f>
        <v>84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285</v>
      </c>
      <c r="D121" s="19">
        <v>83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R285</v>
      </c>
      <c r="D123" s="1" t="str">
        <f>"C"&amp;D121</f>
        <v>C83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0.11129650891613138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16" x14ac:dyDescent="0.25">
      <c r="A225" s="30">
        <v>2.0789281794113688</v>
      </c>
      <c r="E225"/>
    </row>
    <row r="226" spans="1:16" x14ac:dyDescent="0.25">
      <c r="A226" s="30">
        <v>1.9799315994393987</v>
      </c>
      <c r="E226"/>
    </row>
    <row r="227" spans="1:16" x14ac:dyDescent="0.25">
      <c r="A227" s="30">
        <v>1.8856491423232367</v>
      </c>
      <c r="E227"/>
    </row>
    <row r="228" spans="1:16" x14ac:dyDescent="0.25">
      <c r="A228" s="30">
        <v>1.7958563260221301</v>
      </c>
      <c r="C228" s="7"/>
      <c r="D228"/>
      <c r="E228"/>
    </row>
    <row r="229" spans="1:16" x14ac:dyDescent="0.25">
      <c r="A229" s="30">
        <v>1.7103393581163142</v>
      </c>
      <c r="E229"/>
    </row>
    <row r="230" spans="1:16" x14ac:dyDescent="0.25">
      <c r="A230" s="30">
        <v>1.628894626777442</v>
      </c>
      <c r="E230"/>
    </row>
    <row r="231" spans="1:16" x14ac:dyDescent="0.25">
      <c r="A231" s="30">
        <v>1.5513282159785162</v>
      </c>
      <c r="C231"/>
      <c r="D231"/>
      <c r="E231"/>
    </row>
    <row r="232" spans="1:16" x14ac:dyDescent="0.25">
      <c r="A232" s="30">
        <v>1.477455443789063</v>
      </c>
      <c r="E232"/>
    </row>
    <row r="233" spans="1:16" x14ac:dyDescent="0.25">
      <c r="A233" s="30">
        <v>1.4071004226562505</v>
      </c>
      <c r="E233"/>
    </row>
    <row r="234" spans="1:16" x14ac:dyDescent="0.25">
      <c r="A234" s="30">
        <v>1.3400956406250004</v>
      </c>
      <c r="E234" t="s">
        <v>8</v>
      </c>
      <c r="I234" s="27" t="s">
        <v>8</v>
      </c>
    </row>
    <row r="235" spans="1:16" x14ac:dyDescent="0.25">
      <c r="A235" s="30">
        <v>1.2762815625000004</v>
      </c>
      <c r="C235"/>
      <c r="E235" t="s">
        <v>8</v>
      </c>
      <c r="F235" s="27" t="s">
        <v>7</v>
      </c>
      <c r="G235" s="27" t="s">
        <v>8</v>
      </c>
      <c r="I235" s="27" t="s">
        <v>8</v>
      </c>
      <c r="J235" s="27" t="s">
        <v>7</v>
      </c>
    </row>
    <row r="236" spans="1:16" x14ac:dyDescent="0.25">
      <c r="A236" s="30">
        <v>1.2155062500000002</v>
      </c>
      <c r="E236" t="s">
        <v>8</v>
      </c>
      <c r="F236" s="27" t="s">
        <v>7</v>
      </c>
      <c r="G236" s="27" t="s">
        <v>8</v>
      </c>
      <c r="H236" s="27" t="s">
        <v>7</v>
      </c>
      <c r="I236" s="27" t="s">
        <v>8</v>
      </c>
      <c r="J236" s="27" t="s">
        <v>7</v>
      </c>
    </row>
    <row r="237" spans="1:16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F237" s="27" t="s">
        <v>7</v>
      </c>
      <c r="G237" s="27" t="s">
        <v>8</v>
      </c>
      <c r="H237" s="27" t="s">
        <v>7</v>
      </c>
      <c r="I237" s="27" t="s">
        <v>8</v>
      </c>
      <c r="J237" s="27" t="s">
        <v>7</v>
      </c>
      <c r="K237" s="27" t="s">
        <v>8</v>
      </c>
    </row>
    <row r="238" spans="1:16" x14ac:dyDescent="0.25">
      <c r="A238" s="30">
        <v>1.1025</v>
      </c>
      <c r="E238" t="s">
        <v>8</v>
      </c>
      <c r="F238" s="27" t="s">
        <v>7</v>
      </c>
      <c r="G238" s="27" t="s">
        <v>8</v>
      </c>
      <c r="H238" s="27" t="s">
        <v>7</v>
      </c>
      <c r="J238" s="27" t="s">
        <v>7</v>
      </c>
      <c r="K238" s="27" t="s">
        <v>8</v>
      </c>
      <c r="L238" s="27" t="s">
        <v>7</v>
      </c>
      <c r="M238" s="27" t="s">
        <v>8</v>
      </c>
    </row>
    <row r="239" spans="1:16" x14ac:dyDescent="0.25">
      <c r="A239" s="30">
        <v>1.05</v>
      </c>
      <c r="E239" t="s">
        <v>8</v>
      </c>
      <c r="F239" s="27" t="s">
        <v>7</v>
      </c>
      <c r="J239" s="27" t="s">
        <v>7</v>
      </c>
      <c r="K239" s="27" t="s">
        <v>8</v>
      </c>
      <c r="L239" s="27" t="s">
        <v>7</v>
      </c>
      <c r="M239" s="27" t="s">
        <v>8</v>
      </c>
      <c r="N239" s="27" t="s">
        <v>7</v>
      </c>
      <c r="O239" s="31" t="s">
        <v>8</v>
      </c>
    </row>
    <row r="240" spans="1:16" x14ac:dyDescent="0.25">
      <c r="A240" s="30">
        <v>1</v>
      </c>
      <c r="E240" s="29" t="s">
        <v>8</v>
      </c>
      <c r="J240" s="27" t="s">
        <v>7</v>
      </c>
      <c r="K240" s="27" t="s">
        <v>8</v>
      </c>
      <c r="L240" s="27" t="s">
        <v>7</v>
      </c>
      <c r="M240" s="27" t="s">
        <v>8</v>
      </c>
      <c r="N240" s="27" t="s">
        <v>7</v>
      </c>
      <c r="O240" s="27" t="s">
        <v>8</v>
      </c>
      <c r="P240" s="31" t="s">
        <v>7</v>
      </c>
    </row>
    <row r="241" spans="1:50" x14ac:dyDescent="0.25">
      <c r="A241" s="30">
        <v>0.952380952380952</v>
      </c>
      <c r="B241"/>
      <c r="C241"/>
      <c r="D241"/>
      <c r="E241"/>
      <c r="J241" s="27" t="s">
        <v>7</v>
      </c>
      <c r="K241" s="27" t="s">
        <v>8</v>
      </c>
      <c r="L241" s="27" t="s">
        <v>7</v>
      </c>
      <c r="M241" s="27" t="s">
        <v>8</v>
      </c>
      <c r="N241" s="27" t="s">
        <v>7</v>
      </c>
      <c r="O241" s="27" t="s">
        <v>8</v>
      </c>
      <c r="P241" s="27" t="s">
        <v>7</v>
      </c>
      <c r="Q241" s="31"/>
    </row>
    <row r="242" spans="1:50" x14ac:dyDescent="0.25">
      <c r="A242" s="30">
        <v>0.90702947845804915</v>
      </c>
      <c r="B242"/>
      <c r="C242"/>
      <c r="D242"/>
      <c r="E242"/>
      <c r="J242" s="27" t="s">
        <v>7</v>
      </c>
      <c r="K242" s="27" t="s">
        <v>8</v>
      </c>
      <c r="L242" s="27" t="s">
        <v>7</v>
      </c>
      <c r="M242" s="27" t="s">
        <v>8</v>
      </c>
      <c r="N242" s="27" t="s">
        <v>7</v>
      </c>
      <c r="O242" s="27" t="s">
        <v>8</v>
      </c>
      <c r="P242" s="27" t="s">
        <v>7</v>
      </c>
      <c r="R242" s="31"/>
    </row>
    <row r="243" spans="1:50" x14ac:dyDescent="0.25">
      <c r="A243" s="30">
        <v>0.86383759853147501</v>
      </c>
      <c r="B243"/>
      <c r="C243"/>
      <c r="D243"/>
      <c r="E243"/>
      <c r="J243" s="27" t="s">
        <v>7</v>
      </c>
      <c r="K243" s="27" t="s">
        <v>8</v>
      </c>
      <c r="L243" s="27" t="s">
        <v>7</v>
      </c>
      <c r="M243" s="27" t="s">
        <v>8</v>
      </c>
      <c r="N243" s="27" t="s">
        <v>7</v>
      </c>
      <c r="P243" s="27" t="s">
        <v>7</v>
      </c>
      <c r="S243" s="31"/>
    </row>
    <row r="244" spans="1:50" x14ac:dyDescent="0.25">
      <c r="A244" s="30">
        <v>0.82270247479188063</v>
      </c>
      <c r="B244"/>
      <c r="C244"/>
      <c r="D244"/>
      <c r="E244"/>
      <c r="J244" s="27" t="s">
        <v>7</v>
      </c>
      <c r="L244" s="27" t="s">
        <v>7</v>
      </c>
      <c r="M244" s="27" t="s">
        <v>8</v>
      </c>
      <c r="P244" s="27" t="s">
        <v>7</v>
      </c>
      <c r="T244" s="31"/>
      <c r="AW244" s="27" t="s">
        <v>8</v>
      </c>
    </row>
    <row r="245" spans="1:50" x14ac:dyDescent="0.25">
      <c r="A245" s="30">
        <v>0.78352616646845741</v>
      </c>
      <c r="B245"/>
      <c r="C245"/>
      <c r="D245"/>
      <c r="E245"/>
      <c r="L245" s="27" t="s">
        <v>7</v>
      </c>
      <c r="P245" s="27" t="s">
        <v>7</v>
      </c>
      <c r="U245" s="31"/>
      <c r="AW245" s="27" t="s">
        <v>8</v>
      </c>
      <c r="AX245" s="27" t="s">
        <v>7</v>
      </c>
    </row>
    <row r="246" spans="1:50" x14ac:dyDescent="0.25">
      <c r="A246" s="30">
        <v>0.74621539663662584</v>
      </c>
      <c r="B246"/>
      <c r="C246"/>
      <c r="D246"/>
      <c r="E246"/>
      <c r="P246" s="27" t="s">
        <v>7</v>
      </c>
      <c r="V246" s="31"/>
      <c r="AW246" s="27" t="s">
        <v>8</v>
      </c>
      <c r="AX246" s="27" t="s">
        <v>7</v>
      </c>
    </row>
    <row r="247" spans="1:50" x14ac:dyDescent="0.25">
      <c r="A247" s="30">
        <v>0.71068133013011958</v>
      </c>
      <c r="B247"/>
      <c r="C247"/>
      <c r="D247"/>
      <c r="E247"/>
      <c r="P247" s="27" t="s">
        <v>7</v>
      </c>
      <c r="W247" s="31"/>
      <c r="AW247" s="27" t="s">
        <v>8</v>
      </c>
      <c r="AX247" s="27" t="s">
        <v>7</v>
      </c>
    </row>
    <row r="248" spans="1:50" x14ac:dyDescent="0.25">
      <c r="A248" s="30">
        <v>0.676839362028685</v>
      </c>
      <c r="B248"/>
      <c r="C248"/>
      <c r="D248"/>
      <c r="E248"/>
      <c r="P248" s="27" t="s">
        <v>7</v>
      </c>
      <c r="X248" s="31"/>
      <c r="AW248" s="27" t="s">
        <v>8</v>
      </c>
      <c r="AX248" s="27" t="s">
        <v>7</v>
      </c>
    </row>
    <row r="249" spans="1:50" x14ac:dyDescent="0.25">
      <c r="A249" s="30">
        <v>0.64460891621779492</v>
      </c>
      <c r="B249"/>
      <c r="C249"/>
      <c r="D249"/>
      <c r="E249"/>
      <c r="P249" s="27" t="s">
        <v>7</v>
      </c>
      <c r="Y249" s="31"/>
      <c r="AW249" s="27" t="s">
        <v>8</v>
      </c>
      <c r="AX249" s="27" t="s">
        <v>7</v>
      </c>
    </row>
    <row r="250" spans="1:50" x14ac:dyDescent="0.25">
      <c r="A250" s="30">
        <v>0.61391325354075688</v>
      </c>
      <c r="B250"/>
      <c r="C250"/>
      <c r="D250"/>
      <c r="E250"/>
      <c r="P250" s="27" t="s">
        <v>7</v>
      </c>
      <c r="Z250" s="31"/>
      <c r="AW250" s="27" t="s">
        <v>8</v>
      </c>
      <c r="AX250" s="27" t="s">
        <v>7</v>
      </c>
    </row>
    <row r="251" spans="1:50" x14ac:dyDescent="0.25">
      <c r="A251" s="30">
        <v>0.58467928908643485</v>
      </c>
      <c r="B251"/>
      <c r="C251"/>
      <c r="D251"/>
      <c r="E251"/>
      <c r="P251" s="27" t="s">
        <v>7</v>
      </c>
      <c r="AA251" s="31"/>
      <c r="AW251" s="27" t="s">
        <v>8</v>
      </c>
      <c r="AX251" s="27" t="s">
        <v>7</v>
      </c>
    </row>
    <row r="252" spans="1:50" x14ac:dyDescent="0.25">
      <c r="A252" s="30">
        <v>0.55683741817755672</v>
      </c>
      <c r="B252"/>
      <c r="C252"/>
      <c r="D252"/>
      <c r="E252"/>
      <c r="P252" s="27" t="s">
        <v>7</v>
      </c>
      <c r="Q252" s="27" t="s">
        <v>8</v>
      </c>
      <c r="AB252" s="31"/>
      <c r="AW252" s="27" t="s">
        <v>8</v>
      </c>
      <c r="AX252" s="27" t="s">
        <v>7</v>
      </c>
    </row>
    <row r="253" spans="1:50" x14ac:dyDescent="0.25">
      <c r="A253" s="30">
        <v>0.53032135064529184</v>
      </c>
      <c r="B253"/>
      <c r="C253"/>
      <c r="D253"/>
      <c r="E253"/>
      <c r="P253" s="27" t="s">
        <v>7</v>
      </c>
      <c r="Q253" s="27" t="s">
        <v>8</v>
      </c>
      <c r="R253" s="27" t="s">
        <v>7</v>
      </c>
      <c r="AC253" s="31"/>
      <c r="AW253" s="27" t="s">
        <v>8</v>
      </c>
      <c r="AX253" s="27" t="s">
        <v>7</v>
      </c>
    </row>
    <row r="254" spans="1:50" x14ac:dyDescent="0.25">
      <c r="A254" s="30">
        <v>0.50506795299551588</v>
      </c>
      <c r="B254"/>
      <c r="C254"/>
      <c r="D254"/>
      <c r="E254"/>
      <c r="P254" s="27" t="s">
        <v>7</v>
      </c>
      <c r="Q254" s="27" t="s">
        <v>8</v>
      </c>
      <c r="R254" s="27" t="s">
        <v>7</v>
      </c>
      <c r="W254" s="27" t="s">
        <v>8</v>
      </c>
      <c r="AD254" s="31"/>
      <c r="AW254" s="27" t="s">
        <v>8</v>
      </c>
      <c r="AX254" s="27" t="s">
        <v>7</v>
      </c>
    </row>
    <row r="255" spans="1:50" x14ac:dyDescent="0.25">
      <c r="A255" s="30">
        <v>0.48101709809096732</v>
      </c>
      <c r="E255"/>
      <c r="P255" s="27" t="s">
        <v>7</v>
      </c>
      <c r="Q255" s="27" t="s">
        <v>8</v>
      </c>
      <c r="R255" s="27" t="s">
        <v>7</v>
      </c>
      <c r="W255" s="27" t="s">
        <v>8</v>
      </c>
      <c r="X255" s="27" t="s">
        <v>7</v>
      </c>
      <c r="AE255" s="31"/>
      <c r="AW255" s="27" t="s">
        <v>8</v>
      </c>
      <c r="AX255" s="27" t="s">
        <v>7</v>
      </c>
    </row>
    <row r="256" spans="1:50" x14ac:dyDescent="0.25">
      <c r="A256" s="30">
        <v>0.45811152199139726</v>
      </c>
      <c r="E256"/>
      <c r="P256" s="27" t="s">
        <v>7</v>
      </c>
      <c r="Q256" s="27" t="s">
        <v>8</v>
      </c>
      <c r="R256" s="27" t="s">
        <v>7</v>
      </c>
      <c r="W256" s="27" t="s">
        <v>8</v>
      </c>
      <c r="X256" s="27" t="s">
        <v>7</v>
      </c>
      <c r="AF256" s="31"/>
      <c r="AW256" s="27" t="s">
        <v>8</v>
      </c>
      <c r="AX256" s="27" t="s">
        <v>7</v>
      </c>
    </row>
    <row r="257" spans="1:80" x14ac:dyDescent="0.25">
      <c r="A257" s="30">
        <v>0.43629668761085438</v>
      </c>
      <c r="B257"/>
      <c r="C257"/>
      <c r="D257"/>
      <c r="E257"/>
      <c r="P257" s="27" t="s">
        <v>7</v>
      </c>
      <c r="Q257" s="27" t="s">
        <v>8</v>
      </c>
      <c r="R257" s="27" t="s">
        <v>7</v>
      </c>
      <c r="W257" s="27" t="s">
        <v>8</v>
      </c>
      <c r="X257" s="27" t="s">
        <v>7</v>
      </c>
      <c r="AG257" s="31"/>
      <c r="AW257" s="27" t="s">
        <v>8</v>
      </c>
      <c r="AX257" s="27" t="s">
        <v>7</v>
      </c>
    </row>
    <row r="258" spans="1:80" x14ac:dyDescent="0.25">
      <c r="A258" s="30">
        <v>0.41552065486748019</v>
      </c>
      <c r="B258"/>
      <c r="C258"/>
      <c r="D258"/>
      <c r="E258"/>
      <c r="P258" s="27" t="s">
        <v>7</v>
      </c>
      <c r="Q258" s="27" t="s">
        <v>8</v>
      </c>
      <c r="R258" s="27" t="s">
        <v>7</v>
      </c>
      <c r="S258" s="27" t="s">
        <v>8</v>
      </c>
      <c r="U258" s="27" t="s">
        <v>8</v>
      </c>
      <c r="W258" s="27" t="s">
        <v>8</v>
      </c>
      <c r="X258" s="27" t="s">
        <v>7</v>
      </c>
      <c r="AW258" s="27" t="s">
        <v>8</v>
      </c>
      <c r="AX258" s="27" t="s">
        <v>7</v>
      </c>
      <c r="AY258" s="27" t="s">
        <v>8</v>
      </c>
      <c r="BG258" s="27" t="s">
        <v>8</v>
      </c>
    </row>
    <row r="259" spans="1:80" x14ac:dyDescent="0.25">
      <c r="A259" s="30">
        <v>0.39573395701664765</v>
      </c>
      <c r="B259"/>
      <c r="C259"/>
      <c r="D259"/>
      <c r="E259"/>
      <c r="P259" s="27" t="s">
        <v>7</v>
      </c>
      <c r="Q259" s="27" t="s">
        <v>8</v>
      </c>
      <c r="R259" s="27" t="s">
        <v>7</v>
      </c>
      <c r="S259" s="27" t="s">
        <v>8</v>
      </c>
      <c r="T259" s="27" t="s">
        <v>7</v>
      </c>
      <c r="U259" s="27" t="s">
        <v>8</v>
      </c>
      <c r="V259" s="27" t="s">
        <v>7</v>
      </c>
      <c r="W259" s="27" t="s">
        <v>8</v>
      </c>
      <c r="X259" s="27" t="s">
        <v>7</v>
      </c>
      <c r="AI259" s="27" t="s">
        <v>8</v>
      </c>
      <c r="AM259" s="27" t="s">
        <v>8</v>
      </c>
      <c r="AS259" s="27" t="s">
        <v>8</v>
      </c>
      <c r="AW259" s="27" t="s">
        <v>8</v>
      </c>
      <c r="AX259" s="27" t="s">
        <v>7</v>
      </c>
      <c r="AY259" s="27" t="s">
        <v>8</v>
      </c>
      <c r="AZ259" s="27" t="s">
        <v>7</v>
      </c>
      <c r="BG259" s="27" t="s">
        <v>8</v>
      </c>
      <c r="BH259" s="27" t="s">
        <v>7</v>
      </c>
    </row>
    <row r="260" spans="1:80" x14ac:dyDescent="0.25">
      <c r="A260" s="30">
        <v>0.37688948287299762</v>
      </c>
      <c r="B260"/>
      <c r="C260"/>
      <c r="D260"/>
      <c r="E260"/>
      <c r="P260" s="27" t="s">
        <v>7</v>
      </c>
      <c r="Q260" s="27" t="s">
        <v>8</v>
      </c>
      <c r="R260" s="27" t="s">
        <v>7</v>
      </c>
      <c r="S260" s="27" t="s">
        <v>8</v>
      </c>
      <c r="T260" s="27" t="s">
        <v>7</v>
      </c>
      <c r="U260" s="27" t="s">
        <v>8</v>
      </c>
      <c r="V260" s="27" t="s">
        <v>7</v>
      </c>
      <c r="W260" s="27" t="s">
        <v>8</v>
      </c>
      <c r="X260" s="27" t="s">
        <v>7</v>
      </c>
      <c r="AI260" s="27" t="s">
        <v>8</v>
      </c>
      <c r="AJ260" s="27" t="s">
        <v>7</v>
      </c>
      <c r="AM260" s="27" t="s">
        <v>8</v>
      </c>
      <c r="AN260" s="27" t="s">
        <v>7</v>
      </c>
      <c r="AS260" s="27" t="s">
        <v>8</v>
      </c>
      <c r="AT260" s="27" t="s">
        <v>7</v>
      </c>
      <c r="AW260" s="27" t="s">
        <v>8</v>
      </c>
      <c r="AX260" s="27" t="s">
        <v>7</v>
      </c>
      <c r="AY260" s="27" t="s">
        <v>8</v>
      </c>
      <c r="AZ260" s="27" t="s">
        <v>7</v>
      </c>
      <c r="BA260" s="27" t="s">
        <v>8</v>
      </c>
      <c r="BC260" s="27" t="s">
        <v>8</v>
      </c>
      <c r="BE260" s="27" t="s">
        <v>8</v>
      </c>
      <c r="BG260" s="27" t="s">
        <v>8</v>
      </c>
      <c r="BH260" s="27" t="s">
        <v>7</v>
      </c>
      <c r="BI260" s="27" t="s">
        <v>8</v>
      </c>
    </row>
    <row r="261" spans="1:80" x14ac:dyDescent="0.25">
      <c r="A261" s="30">
        <v>0.35894236464094997</v>
      </c>
      <c r="B261"/>
      <c r="C261"/>
      <c r="D261"/>
      <c r="E261"/>
      <c r="P261" s="27" t="s">
        <v>7</v>
      </c>
      <c r="Q261" s="27" t="s">
        <v>8</v>
      </c>
      <c r="R261" s="27" t="s">
        <v>7</v>
      </c>
      <c r="T261" s="27" t="s">
        <v>7</v>
      </c>
      <c r="U261" s="27" t="s">
        <v>8</v>
      </c>
      <c r="V261" s="27" t="s">
        <v>7</v>
      </c>
      <c r="W261" s="27" t="s">
        <v>8</v>
      </c>
      <c r="X261" s="27" t="s">
        <v>7</v>
      </c>
      <c r="Y261" s="27" t="s">
        <v>8</v>
      </c>
      <c r="AI261" s="27" t="s">
        <v>8</v>
      </c>
      <c r="AJ261" s="27" t="s">
        <v>7</v>
      </c>
      <c r="AK261" s="27" t="s">
        <v>8</v>
      </c>
      <c r="AM261" s="27" t="s">
        <v>8</v>
      </c>
      <c r="AN261" s="27" t="s">
        <v>7</v>
      </c>
      <c r="AO261" s="27" t="s">
        <v>8</v>
      </c>
      <c r="AS261" s="27" t="s">
        <v>8</v>
      </c>
      <c r="AT261" s="27" t="s">
        <v>7</v>
      </c>
      <c r="AW261" s="27" t="s">
        <v>8</v>
      </c>
      <c r="AX261" s="27" t="s">
        <v>7</v>
      </c>
      <c r="AZ261" s="27" t="s">
        <v>7</v>
      </c>
      <c r="BA261" s="27" t="s">
        <v>8</v>
      </c>
      <c r="BB261" s="27" t="s">
        <v>7</v>
      </c>
      <c r="BC261" s="27" t="s">
        <v>8</v>
      </c>
      <c r="BD261" s="27" t="s">
        <v>7</v>
      </c>
      <c r="BE261" s="27" t="s">
        <v>8</v>
      </c>
      <c r="BF261" s="27" t="s">
        <v>7</v>
      </c>
      <c r="BG261" s="27" t="s">
        <v>8</v>
      </c>
      <c r="BH261" s="27" t="s">
        <v>7</v>
      </c>
      <c r="BI261" s="27" t="s">
        <v>8</v>
      </c>
      <c r="BJ261" s="27" t="s">
        <v>7</v>
      </c>
    </row>
    <row r="262" spans="1:80" x14ac:dyDescent="0.25">
      <c r="A262" s="30">
        <v>0.34184987108661891</v>
      </c>
      <c r="B262"/>
      <c r="C262"/>
      <c r="D262"/>
      <c r="E262"/>
      <c r="P262" s="27" t="s">
        <v>7</v>
      </c>
      <c r="Q262" s="27" t="s">
        <v>8</v>
      </c>
      <c r="T262" s="27" t="s">
        <v>7</v>
      </c>
      <c r="U262" s="27" t="s">
        <v>8</v>
      </c>
      <c r="V262" s="27" t="s">
        <v>7</v>
      </c>
      <c r="W262" s="27" t="s">
        <v>8</v>
      </c>
      <c r="X262" s="27" t="s">
        <v>7</v>
      </c>
      <c r="Y262" s="27" t="s">
        <v>8</v>
      </c>
      <c r="Z262" s="27" t="s">
        <v>7</v>
      </c>
      <c r="AI262" s="27" t="s">
        <v>8</v>
      </c>
      <c r="AJ262" s="27" t="s">
        <v>7</v>
      </c>
      <c r="AK262" s="27" t="s">
        <v>8</v>
      </c>
      <c r="AL262" s="27" t="s">
        <v>7</v>
      </c>
      <c r="AM262" s="27" t="s">
        <v>8</v>
      </c>
      <c r="AN262" s="27" t="s">
        <v>7</v>
      </c>
      <c r="AO262" s="27" t="s">
        <v>8</v>
      </c>
      <c r="AP262" s="27" t="s">
        <v>7</v>
      </c>
      <c r="AQ262" s="27" t="s">
        <v>8</v>
      </c>
      <c r="AS262" s="27" t="s">
        <v>8</v>
      </c>
      <c r="AT262" s="27" t="s">
        <v>7</v>
      </c>
      <c r="AW262" s="27" t="s">
        <v>8</v>
      </c>
      <c r="AZ262" s="27" t="s">
        <v>7</v>
      </c>
      <c r="BA262" s="27" t="s">
        <v>8</v>
      </c>
      <c r="BB262" s="27" t="s">
        <v>7</v>
      </c>
      <c r="BC262" s="27" t="s">
        <v>8</v>
      </c>
      <c r="BD262" s="27" t="s">
        <v>7</v>
      </c>
      <c r="BE262" s="27" t="s">
        <v>8</v>
      </c>
      <c r="BF262" s="27" t="s">
        <v>7</v>
      </c>
      <c r="BG262" s="27" t="s">
        <v>8</v>
      </c>
      <c r="BH262" s="27" t="s">
        <v>7</v>
      </c>
      <c r="BI262" s="27" t="s">
        <v>8</v>
      </c>
      <c r="BJ262" s="27" t="s">
        <v>7</v>
      </c>
      <c r="BK262" s="27" t="s">
        <v>8</v>
      </c>
      <c r="BM262" s="27" t="s">
        <v>8</v>
      </c>
    </row>
    <row r="263" spans="1:80" x14ac:dyDescent="0.25">
      <c r="A263" s="30">
        <v>0.32557130579677979</v>
      </c>
      <c r="B263"/>
      <c r="C263"/>
      <c r="D263"/>
      <c r="E263"/>
      <c r="P263" s="27" t="s">
        <v>7</v>
      </c>
      <c r="Q263" s="27" t="s">
        <v>8</v>
      </c>
      <c r="T263" s="27" t="s">
        <v>7</v>
      </c>
      <c r="U263" s="27" t="s">
        <v>8</v>
      </c>
      <c r="V263" s="27" t="s">
        <v>7</v>
      </c>
      <c r="W263" s="27" t="s">
        <v>8</v>
      </c>
      <c r="X263" s="27" t="s">
        <v>7</v>
      </c>
      <c r="Y263" s="27" t="s">
        <v>8</v>
      </c>
      <c r="Z263" s="27" t="s">
        <v>7</v>
      </c>
      <c r="AI263" s="27" t="s">
        <v>8</v>
      </c>
      <c r="AJ263" s="27" t="s">
        <v>7</v>
      </c>
      <c r="AK263" s="27" t="s">
        <v>8</v>
      </c>
      <c r="AL263" s="27" t="s">
        <v>7</v>
      </c>
      <c r="AM263" s="27" t="s">
        <v>8</v>
      </c>
      <c r="AN263" s="27" t="s">
        <v>7</v>
      </c>
      <c r="AO263" s="27" t="s">
        <v>8</v>
      </c>
      <c r="AP263" s="27" t="s">
        <v>7</v>
      </c>
      <c r="AQ263" s="27" t="s">
        <v>8</v>
      </c>
      <c r="AR263" s="27" t="s">
        <v>7</v>
      </c>
      <c r="AS263" s="27" t="s">
        <v>8</v>
      </c>
      <c r="AT263" s="27" t="s">
        <v>7</v>
      </c>
      <c r="AW263" s="27" t="s">
        <v>8</v>
      </c>
      <c r="AZ263" s="27" t="s">
        <v>7</v>
      </c>
      <c r="BB263" s="27" t="s">
        <v>7</v>
      </c>
      <c r="BC263" s="27" t="s">
        <v>8</v>
      </c>
      <c r="BD263" s="27" t="s">
        <v>7</v>
      </c>
      <c r="BE263" s="27" t="s">
        <v>8</v>
      </c>
      <c r="BF263" s="27" t="s">
        <v>7</v>
      </c>
      <c r="BG263" s="27" t="s">
        <v>8</v>
      </c>
      <c r="BH263" s="27" t="s">
        <v>7</v>
      </c>
      <c r="BI263" s="27" t="s">
        <v>8</v>
      </c>
      <c r="BJ263" s="27" t="s">
        <v>7</v>
      </c>
      <c r="BK263" s="27" t="s">
        <v>8</v>
      </c>
      <c r="BL263" s="27" t="s">
        <v>7</v>
      </c>
      <c r="BM263" s="27" t="s">
        <v>8</v>
      </c>
      <c r="BN263" s="27" t="s">
        <v>7</v>
      </c>
      <c r="BO263" s="27" t="s">
        <v>8</v>
      </c>
    </row>
    <row r="264" spans="1:80" x14ac:dyDescent="0.25">
      <c r="A264" s="30">
        <v>0.3100679102826473</v>
      </c>
      <c r="B264"/>
      <c r="C264"/>
      <c r="D264"/>
      <c r="E264"/>
      <c r="P264" s="27" t="s">
        <v>7</v>
      </c>
      <c r="Q264" s="27" t="s">
        <v>8</v>
      </c>
      <c r="T264" s="27" t="s">
        <v>7</v>
      </c>
      <c r="U264" s="27" t="s">
        <v>8</v>
      </c>
      <c r="V264" s="27" t="s">
        <v>7</v>
      </c>
      <c r="W264" s="27" t="s">
        <v>8</v>
      </c>
      <c r="X264" s="27" t="s">
        <v>7</v>
      </c>
      <c r="Z264" s="27" t="s">
        <v>7</v>
      </c>
      <c r="AA264" s="27" t="s">
        <v>8</v>
      </c>
      <c r="AI264" s="27" t="s">
        <v>8</v>
      </c>
      <c r="AJ264" s="27" t="s">
        <v>7</v>
      </c>
      <c r="AK264" s="27" t="s">
        <v>8</v>
      </c>
      <c r="AL264" s="27" t="s">
        <v>7</v>
      </c>
      <c r="AN264" s="27" t="s">
        <v>7</v>
      </c>
      <c r="AO264" s="27" t="s">
        <v>8</v>
      </c>
      <c r="AP264" s="27" t="s">
        <v>7</v>
      </c>
      <c r="AQ264" s="27" t="s">
        <v>8</v>
      </c>
      <c r="AR264" s="27" t="s">
        <v>7</v>
      </c>
      <c r="AS264" s="27" t="s">
        <v>8</v>
      </c>
      <c r="AT264" s="27" t="s">
        <v>7</v>
      </c>
      <c r="AU264" s="27" t="s">
        <v>8</v>
      </c>
      <c r="AW264" s="27" t="s">
        <v>8</v>
      </c>
      <c r="BB264" s="27" t="s">
        <v>7</v>
      </c>
      <c r="BC264" s="27" t="s">
        <v>8</v>
      </c>
      <c r="BD264" s="27" t="s">
        <v>7</v>
      </c>
      <c r="BE264" s="27" t="s">
        <v>8</v>
      </c>
      <c r="BF264" s="27" t="s">
        <v>7</v>
      </c>
      <c r="BH264" s="27" t="s">
        <v>7</v>
      </c>
      <c r="BI264" s="27" t="s">
        <v>8</v>
      </c>
      <c r="BJ264" s="27" t="s">
        <v>7</v>
      </c>
      <c r="BK264" s="27" t="s">
        <v>8</v>
      </c>
      <c r="BL264" s="27" t="s">
        <v>7</v>
      </c>
      <c r="BM264" s="27" t="s">
        <v>8</v>
      </c>
      <c r="BN264" s="27" t="s">
        <v>7</v>
      </c>
      <c r="BO264" s="27" t="s">
        <v>8</v>
      </c>
      <c r="BP264" s="27" t="s">
        <v>7</v>
      </c>
    </row>
    <row r="265" spans="1:80" x14ac:dyDescent="0.25">
      <c r="A265" s="30">
        <v>0.2953027716977592</v>
      </c>
      <c r="B265"/>
      <c r="C265"/>
      <c r="D265"/>
      <c r="E265"/>
      <c r="P265" s="27" t="s">
        <v>7</v>
      </c>
      <c r="Q265" s="27" t="s">
        <v>8</v>
      </c>
      <c r="T265" s="27" t="s">
        <v>7</v>
      </c>
      <c r="U265" s="27" t="s">
        <v>8</v>
      </c>
      <c r="V265" s="27" t="s">
        <v>7</v>
      </c>
      <c r="Z265" s="27" t="s">
        <v>7</v>
      </c>
      <c r="AA265" s="27" t="s">
        <v>8</v>
      </c>
      <c r="AB265" s="27" t="s">
        <v>7</v>
      </c>
      <c r="AG265" s="27" t="s">
        <v>8</v>
      </c>
      <c r="AI265" s="27" t="s">
        <v>8</v>
      </c>
      <c r="AJ265" s="27" t="s">
        <v>7</v>
      </c>
      <c r="AK265" s="27" t="s">
        <v>8</v>
      </c>
      <c r="AN265" s="27" t="s">
        <v>7</v>
      </c>
      <c r="AO265" s="27" t="s">
        <v>8</v>
      </c>
      <c r="AP265" s="27" t="s">
        <v>7</v>
      </c>
      <c r="AR265" s="27" t="s">
        <v>7</v>
      </c>
      <c r="AT265" s="27" t="s">
        <v>7</v>
      </c>
      <c r="AU265" s="27" t="s">
        <v>8</v>
      </c>
      <c r="AV265" s="27" t="s">
        <v>7</v>
      </c>
      <c r="AW265" s="27" t="s">
        <v>8</v>
      </c>
      <c r="BB265" s="27" t="s">
        <v>7</v>
      </c>
      <c r="BD265" s="27" t="s">
        <v>7</v>
      </c>
      <c r="BH265" s="27" t="s">
        <v>7</v>
      </c>
      <c r="BJ265" s="27" t="s">
        <v>7</v>
      </c>
      <c r="BK265" s="27" t="s">
        <v>8</v>
      </c>
      <c r="BL265" s="27" t="s">
        <v>7</v>
      </c>
      <c r="BM265" s="27" t="s">
        <v>8</v>
      </c>
      <c r="BN265" s="27" t="s">
        <v>7</v>
      </c>
      <c r="BO265" s="27" t="s">
        <v>8</v>
      </c>
      <c r="BP265" s="27" t="s">
        <v>7</v>
      </c>
      <c r="BW265" s="27" t="s">
        <v>8</v>
      </c>
    </row>
    <row r="266" spans="1:80" x14ac:dyDescent="0.25">
      <c r="A266" s="30">
        <v>0.28124073495024676</v>
      </c>
      <c r="B266"/>
      <c r="C266"/>
      <c r="D266"/>
      <c r="E266"/>
      <c r="P266" s="27" t="s">
        <v>7</v>
      </c>
      <c r="Q266" s="27" t="s">
        <v>8</v>
      </c>
      <c r="T266" s="27" t="s">
        <v>7</v>
      </c>
      <c r="Z266" s="27" t="s">
        <v>7</v>
      </c>
      <c r="AA266" s="27" t="s">
        <v>8</v>
      </c>
      <c r="AB266" s="27" t="s">
        <v>7</v>
      </c>
      <c r="AC266" s="27" t="s">
        <v>8</v>
      </c>
      <c r="AG266" s="27" t="s">
        <v>8</v>
      </c>
      <c r="AH266" s="27" t="s">
        <v>7</v>
      </c>
      <c r="AI266" s="27" t="s">
        <v>8</v>
      </c>
      <c r="AJ266" s="27" t="s">
        <v>7</v>
      </c>
      <c r="AN266" s="27" t="s">
        <v>7</v>
      </c>
      <c r="AT266" s="27" t="s">
        <v>7</v>
      </c>
      <c r="AU266" s="27" t="s">
        <v>8</v>
      </c>
      <c r="AV266" s="27" t="s">
        <v>7</v>
      </c>
      <c r="AW266" s="27" t="s">
        <v>8</v>
      </c>
      <c r="BJ266" s="27" t="s">
        <v>7</v>
      </c>
      <c r="BK266" s="27" t="s">
        <v>8</v>
      </c>
      <c r="BL266" s="27" t="s">
        <v>7</v>
      </c>
      <c r="BM266" s="27" t="s">
        <v>8</v>
      </c>
      <c r="BN266" s="27" t="s">
        <v>7</v>
      </c>
      <c r="BP266" s="27" t="s">
        <v>7</v>
      </c>
      <c r="BW266" s="27" t="s">
        <v>8</v>
      </c>
      <c r="BX266" s="27" t="s">
        <v>7</v>
      </c>
    </row>
    <row r="267" spans="1:80" x14ac:dyDescent="0.25">
      <c r="A267" s="30">
        <v>0.26784831900023492</v>
      </c>
      <c r="B267"/>
      <c r="C267"/>
      <c r="D267"/>
      <c r="E267"/>
      <c r="P267" s="27" t="s">
        <v>7</v>
      </c>
      <c r="Q267" s="27" t="s">
        <v>8</v>
      </c>
      <c r="Z267" s="27" t="s">
        <v>7</v>
      </c>
      <c r="AA267" s="27" t="s">
        <v>8</v>
      </c>
      <c r="AB267" s="27" t="s">
        <v>7</v>
      </c>
      <c r="AC267" s="27" t="s">
        <v>8</v>
      </c>
      <c r="AD267" s="27" t="s">
        <v>7</v>
      </c>
      <c r="AG267" s="27" t="s">
        <v>8</v>
      </c>
      <c r="AH267" s="27" t="s">
        <v>7</v>
      </c>
      <c r="AI267" s="27" t="s">
        <v>8</v>
      </c>
      <c r="AT267" s="27" t="s">
        <v>7</v>
      </c>
      <c r="AU267" s="27" t="s">
        <v>8</v>
      </c>
      <c r="AV267" s="27" t="s">
        <v>7</v>
      </c>
      <c r="AW267" s="27" t="s">
        <v>8</v>
      </c>
      <c r="BJ267" s="27" t="s">
        <v>7</v>
      </c>
      <c r="BL267" s="27" t="s">
        <v>7</v>
      </c>
      <c r="BP267" s="27" t="s">
        <v>7</v>
      </c>
      <c r="BW267" s="27" t="s">
        <v>8</v>
      </c>
      <c r="BX267" s="27" t="s">
        <v>7</v>
      </c>
    </row>
    <row r="268" spans="1:80" x14ac:dyDescent="0.25">
      <c r="A268" s="30">
        <v>0.25509363714308075</v>
      </c>
      <c r="B268"/>
      <c r="C268"/>
      <c r="D268"/>
      <c r="E268"/>
      <c r="P268" s="27" t="s">
        <v>7</v>
      </c>
      <c r="Q268" s="27" t="s">
        <v>8</v>
      </c>
      <c r="Z268" s="27" t="s">
        <v>7</v>
      </c>
      <c r="AA268" s="27" t="s">
        <v>8</v>
      </c>
      <c r="AB268" s="27" t="s">
        <v>7</v>
      </c>
      <c r="AC268" s="27" t="s">
        <v>8</v>
      </c>
      <c r="AD268" s="27" t="s">
        <v>7</v>
      </c>
      <c r="AG268" s="27" t="s">
        <v>8</v>
      </c>
      <c r="AH268" s="27" t="s">
        <v>7</v>
      </c>
      <c r="AT268" s="27" t="s">
        <v>7</v>
      </c>
      <c r="AV268" s="27" t="s">
        <v>7</v>
      </c>
      <c r="AW268" s="27" t="s">
        <v>8</v>
      </c>
      <c r="BP268" s="27" t="s">
        <v>7</v>
      </c>
      <c r="BS268" s="27" t="s">
        <v>8</v>
      </c>
      <c r="BW268" s="27" t="s">
        <v>8</v>
      </c>
      <c r="BX268" s="27" t="s">
        <v>7</v>
      </c>
    </row>
    <row r="269" spans="1:80" x14ac:dyDescent="0.25">
      <c r="A269" s="30">
        <v>0.24294632108864825</v>
      </c>
      <c r="B269"/>
      <c r="C269"/>
      <c r="D269"/>
      <c r="E269"/>
      <c r="P269" s="27" t="s">
        <v>7</v>
      </c>
      <c r="Q269" s="27" t="s">
        <v>8</v>
      </c>
      <c r="Z269" s="27" t="s">
        <v>7</v>
      </c>
      <c r="AA269" s="27" t="s">
        <v>8</v>
      </c>
      <c r="AB269" s="27" t="s">
        <v>7</v>
      </c>
      <c r="AC269" s="27" t="s">
        <v>8</v>
      </c>
      <c r="AD269" s="27" t="s">
        <v>7</v>
      </c>
      <c r="AG269" s="27" t="s">
        <v>8</v>
      </c>
      <c r="AV269" s="27" t="s">
        <v>7</v>
      </c>
      <c r="BP269" s="27" t="s">
        <v>7</v>
      </c>
      <c r="BS269" s="27" t="s">
        <v>8</v>
      </c>
      <c r="BT269" s="27" t="s">
        <v>7</v>
      </c>
      <c r="BW269" s="27" t="s">
        <v>8</v>
      </c>
      <c r="BX269" s="27" t="s">
        <v>7</v>
      </c>
      <c r="BY269" s="27" t="s">
        <v>8</v>
      </c>
      <c r="CA269" s="27" t="s">
        <v>8</v>
      </c>
    </row>
    <row r="270" spans="1:80" x14ac:dyDescent="0.25">
      <c r="A270" s="30">
        <v>0.23137744865585538</v>
      </c>
      <c r="B270"/>
      <c r="C270"/>
      <c r="D270"/>
      <c r="E270"/>
      <c r="P270" s="27" t="s">
        <v>7</v>
      </c>
      <c r="Q270" s="27" t="s">
        <v>8</v>
      </c>
      <c r="Z270" s="27" t="s">
        <v>7</v>
      </c>
      <c r="AA270" s="27" t="s">
        <v>8</v>
      </c>
      <c r="AB270" s="27" t="s">
        <v>7</v>
      </c>
      <c r="AD270" s="27" t="s">
        <v>7</v>
      </c>
      <c r="AE270" s="27" t="s">
        <v>8</v>
      </c>
      <c r="AG270" s="27" t="s">
        <v>8</v>
      </c>
      <c r="BP270" s="27" t="s">
        <v>7</v>
      </c>
      <c r="BQ270" s="27" t="s">
        <v>8</v>
      </c>
      <c r="BS270" s="27" t="s">
        <v>8</v>
      </c>
      <c r="BT270" s="27" t="s">
        <v>7</v>
      </c>
      <c r="BU270" s="27" t="s">
        <v>8</v>
      </c>
      <c r="BW270" s="27" t="s">
        <v>8</v>
      </c>
      <c r="BX270" s="27" t="s">
        <v>7</v>
      </c>
      <c r="BY270" s="27" t="s">
        <v>8</v>
      </c>
      <c r="BZ270" s="27" t="s">
        <v>7</v>
      </c>
      <c r="CA270" s="27" t="s">
        <v>8</v>
      </c>
      <c r="CB270" s="27" t="s">
        <v>7</v>
      </c>
    </row>
    <row r="271" spans="1:80" x14ac:dyDescent="0.25">
      <c r="A271" s="30">
        <v>0.22035947491033836</v>
      </c>
      <c r="B271"/>
      <c r="C271"/>
      <c r="D271"/>
      <c r="E271"/>
      <c r="P271" s="27" t="s">
        <v>7</v>
      </c>
      <c r="Q271" s="27" t="s">
        <v>8</v>
      </c>
      <c r="Z271" s="27" t="s">
        <v>7</v>
      </c>
      <c r="AA271" s="27" t="s">
        <v>8</v>
      </c>
      <c r="AD271" s="27" t="s">
        <v>7</v>
      </c>
      <c r="AE271" s="27" t="s">
        <v>8</v>
      </c>
      <c r="AF271" s="27" t="s">
        <v>7</v>
      </c>
      <c r="AG271" s="27" t="s">
        <v>8</v>
      </c>
      <c r="BP271" s="27" t="s">
        <v>7</v>
      </c>
      <c r="BQ271" s="27" t="s">
        <v>8</v>
      </c>
      <c r="BR271" s="27" t="s">
        <v>7</v>
      </c>
      <c r="BS271" s="27" t="s">
        <v>8</v>
      </c>
      <c r="BT271" s="27" t="s">
        <v>7</v>
      </c>
      <c r="BU271" s="27" t="s">
        <v>8</v>
      </c>
      <c r="BV271" s="27" t="s">
        <v>7</v>
      </c>
      <c r="BW271" s="27" t="s">
        <v>8</v>
      </c>
      <c r="BX271" s="27" t="s">
        <v>7</v>
      </c>
      <c r="BY271" s="27" t="s">
        <v>8</v>
      </c>
      <c r="BZ271" s="27" t="s">
        <v>7</v>
      </c>
      <c r="CA271" s="27" t="s">
        <v>8</v>
      </c>
      <c r="CB271" s="27" t="s">
        <v>7</v>
      </c>
    </row>
    <row r="272" spans="1:80" x14ac:dyDescent="0.25">
      <c r="A272" s="30">
        <v>0.20986616658127455</v>
      </c>
      <c r="B272"/>
      <c r="C272"/>
      <c r="D272"/>
      <c r="E272"/>
      <c r="P272" s="27" t="s">
        <v>7</v>
      </c>
      <c r="Q272" s="27" t="s">
        <v>8</v>
      </c>
      <c r="Z272" s="27" t="s">
        <v>7</v>
      </c>
      <c r="AA272" s="27" t="s">
        <v>8</v>
      </c>
      <c r="AD272" s="27" t="s">
        <v>7</v>
      </c>
      <c r="AE272" s="27" t="s">
        <v>8</v>
      </c>
      <c r="AF272" s="27" t="s">
        <v>7</v>
      </c>
      <c r="AG272" s="27" t="s">
        <v>8</v>
      </c>
      <c r="BP272" s="27" t="s">
        <v>7</v>
      </c>
      <c r="BQ272" s="27" t="s">
        <v>8</v>
      </c>
      <c r="BR272" s="27" t="s">
        <v>7</v>
      </c>
      <c r="BS272" s="27" t="s">
        <v>8</v>
      </c>
      <c r="BT272" s="27" t="s">
        <v>7</v>
      </c>
      <c r="BU272" s="27" t="s">
        <v>8</v>
      </c>
      <c r="BV272" s="27" t="s">
        <v>7</v>
      </c>
      <c r="BW272" s="27" t="s">
        <v>8</v>
      </c>
      <c r="BX272" s="27" t="s">
        <v>7</v>
      </c>
      <c r="BZ272" s="27" t="s">
        <v>7</v>
      </c>
      <c r="CA272" s="27" t="s">
        <v>8</v>
      </c>
      <c r="CB272" s="27" t="s">
        <v>7</v>
      </c>
    </row>
    <row r="273" spans="1:83" x14ac:dyDescent="0.25">
      <c r="A273" s="30">
        <v>0.19987253960121379</v>
      </c>
      <c r="B273"/>
      <c r="C273"/>
      <c r="D273"/>
      <c r="E273"/>
      <c r="P273" s="27" t="s">
        <v>7</v>
      </c>
      <c r="Q273" s="27" t="s">
        <v>8</v>
      </c>
      <c r="Z273" s="27" t="s">
        <v>7</v>
      </c>
      <c r="AA273" s="27" t="s">
        <v>8</v>
      </c>
      <c r="AD273" s="27" t="s">
        <v>7</v>
      </c>
      <c r="AE273" s="27" t="s">
        <v>8</v>
      </c>
      <c r="AF273" s="27" t="s">
        <v>7</v>
      </c>
      <c r="BP273" s="27" t="s">
        <v>7</v>
      </c>
      <c r="BQ273" s="27" t="s">
        <v>8</v>
      </c>
      <c r="BR273" s="27" t="s">
        <v>7</v>
      </c>
      <c r="BT273" s="27" t="s">
        <v>7</v>
      </c>
      <c r="BV273" s="27" t="s">
        <v>7</v>
      </c>
      <c r="BW273" s="27" t="s">
        <v>8</v>
      </c>
      <c r="BZ273" s="27" t="s">
        <v>7</v>
      </c>
      <c r="CB273" s="27" t="s">
        <v>7</v>
      </c>
    </row>
    <row r="274" spans="1:83" x14ac:dyDescent="0.25">
      <c r="A274" s="30">
        <v>0.19035479962020352</v>
      </c>
      <c r="B274"/>
      <c r="C274"/>
      <c r="D274"/>
      <c r="E274"/>
      <c r="P274" s="27" t="s">
        <v>7</v>
      </c>
      <c r="Z274" s="27" t="s">
        <v>7</v>
      </c>
      <c r="AA274" s="27" t="s">
        <v>8</v>
      </c>
      <c r="AD274" s="18" t="s">
        <v>7</v>
      </c>
      <c r="AE274" s="27" t="s">
        <v>8</v>
      </c>
      <c r="BP274" s="27" t="s">
        <v>7</v>
      </c>
      <c r="BQ274" s="27" t="s">
        <v>8</v>
      </c>
      <c r="BV274" s="27" t="s">
        <v>7</v>
      </c>
      <c r="CB274" s="27" t="s">
        <v>7</v>
      </c>
    </row>
    <row r="275" spans="1:83" x14ac:dyDescent="0.25">
      <c r="A275" s="30">
        <v>0.18129028535257471</v>
      </c>
      <c r="B275"/>
      <c r="C275"/>
      <c r="D275"/>
      <c r="E275"/>
      <c r="Z275" s="27" t="s">
        <v>7</v>
      </c>
      <c r="AA275" s="27" t="s">
        <v>8</v>
      </c>
      <c r="AD275" s="27" t="s">
        <v>7</v>
      </c>
      <c r="BP275" s="27" t="s">
        <v>7</v>
      </c>
      <c r="CB275" s="27" t="s">
        <v>7</v>
      </c>
    </row>
    <row r="276" spans="1:83" x14ac:dyDescent="0.25">
      <c r="A276" s="30">
        <v>0.17265741462149967</v>
      </c>
      <c r="B276"/>
      <c r="C276"/>
      <c r="D276"/>
      <c r="E276"/>
      <c r="Z276" s="27" t="s">
        <v>7</v>
      </c>
      <c r="CB276" s="27" t="s">
        <v>7</v>
      </c>
    </row>
    <row r="277" spans="1:83" x14ac:dyDescent="0.25">
      <c r="A277" s="30">
        <v>0.16443563297285677</v>
      </c>
      <c r="B277"/>
      <c r="C277"/>
      <c r="D277"/>
      <c r="E277"/>
      <c r="CB277" s="27" t="s">
        <v>7</v>
      </c>
    </row>
    <row r="278" spans="1:83" x14ac:dyDescent="0.25">
      <c r="A278" s="30">
        <v>0.15660536473605399</v>
      </c>
      <c r="B278"/>
      <c r="C278"/>
      <c r="D278"/>
      <c r="E278"/>
      <c r="CB278" s="27" t="s">
        <v>7</v>
      </c>
    </row>
    <row r="279" spans="1:83" x14ac:dyDescent="0.25">
      <c r="A279" s="30">
        <v>0.14914796641528946</v>
      </c>
      <c r="B279"/>
      <c r="C279"/>
      <c r="D279"/>
      <c r="E279"/>
      <c r="CB279" s="27" t="s">
        <v>7</v>
      </c>
    </row>
    <row r="280" spans="1:83" x14ac:dyDescent="0.25">
      <c r="A280" s="30">
        <v>0.14204568230027562</v>
      </c>
      <c r="B280"/>
      <c r="C280"/>
      <c r="D280"/>
      <c r="E280"/>
      <c r="CB280" s="27" t="s">
        <v>7</v>
      </c>
    </row>
    <row r="281" spans="1:83" x14ac:dyDescent="0.25">
      <c r="A281" s="30">
        <v>0.13528160219073862</v>
      </c>
      <c r="B281"/>
      <c r="C281"/>
      <c r="D281"/>
      <c r="E281"/>
      <c r="CB281" s="27" t="s">
        <v>7</v>
      </c>
    </row>
    <row r="282" spans="1:83" x14ac:dyDescent="0.25">
      <c r="A282" s="30">
        <v>0.12883962113403674</v>
      </c>
      <c r="B282"/>
      <c r="C282"/>
      <c r="D282"/>
      <c r="E282"/>
      <c r="CB282" s="27" t="s">
        <v>7</v>
      </c>
    </row>
    <row r="283" spans="1:83" x14ac:dyDescent="0.25">
      <c r="A283" s="30">
        <v>0.12270440108003494</v>
      </c>
      <c r="B283"/>
      <c r="C283"/>
      <c r="D283"/>
      <c r="E283"/>
      <c r="CB283" s="27" t="s">
        <v>7</v>
      </c>
    </row>
    <row r="284" spans="1:83" x14ac:dyDescent="0.25">
      <c r="A284" s="30">
        <v>0.11686133436193799</v>
      </c>
      <c r="B284"/>
      <c r="C284"/>
      <c r="D284"/>
      <c r="E284"/>
      <c r="CB284" s="27" t="s">
        <v>7</v>
      </c>
      <c r="CC284" s="27" t="s">
        <v>8</v>
      </c>
    </row>
    <row r="285" spans="1:83" x14ac:dyDescent="0.25">
      <c r="A285" s="30">
        <v>0.11129650891613138</v>
      </c>
      <c r="B285"/>
      <c r="C285"/>
      <c r="D285"/>
      <c r="E285"/>
      <c r="CB285" s="27" t="s">
        <v>7</v>
      </c>
      <c r="CC285" s="27" t="s">
        <v>8</v>
      </c>
      <c r="CD285" s="27" t="s">
        <v>7</v>
      </c>
      <c r="CE285" s="27" t="s">
        <v>8</v>
      </c>
    </row>
    <row r="286" spans="1:83" x14ac:dyDescent="0.25">
      <c r="A286" s="30">
        <v>0.10599667515822032</v>
      </c>
      <c r="B286"/>
      <c r="C286"/>
      <c r="D286"/>
      <c r="E286"/>
      <c r="CB286" s="27" t="s">
        <v>7</v>
      </c>
      <c r="CC286" s="27" t="s">
        <v>8</v>
      </c>
      <c r="CD286" s="27" t="s">
        <v>7</v>
      </c>
      <c r="CE286" s="27" t="s">
        <v>8</v>
      </c>
    </row>
    <row r="287" spans="1:83" x14ac:dyDescent="0.25">
      <c r="A287" s="30">
        <v>0.10094921443640027</v>
      </c>
      <c r="B287"/>
      <c r="C287"/>
      <c r="D287"/>
      <c r="E287"/>
      <c r="CB287" s="27" t="s">
        <v>7</v>
      </c>
      <c r="CC287" s="27" t="s">
        <v>8</v>
      </c>
      <c r="CD287" s="27" t="s">
        <v>7</v>
      </c>
      <c r="CE287" s="27" t="s">
        <v>8</v>
      </c>
    </row>
    <row r="288" spans="1:83" x14ac:dyDescent="0.25">
      <c r="A288" s="30">
        <v>9.6142108987047836E-2</v>
      </c>
      <c r="B288"/>
      <c r="C288"/>
      <c r="D288"/>
      <c r="E288"/>
      <c r="CB288" s="27" t="s">
        <v>7</v>
      </c>
      <c r="CD288" s="27" t="s">
        <v>7</v>
      </c>
      <c r="CE288" s="27" t="s">
        <v>8</v>
      </c>
    </row>
    <row r="289" spans="1:82" x14ac:dyDescent="0.25">
      <c r="A289" s="30">
        <v>9.1563913320997906E-2</v>
      </c>
      <c r="B289"/>
      <c r="C289"/>
      <c r="D289"/>
      <c r="E289"/>
      <c r="CD289" s="27" t="s">
        <v>7</v>
      </c>
    </row>
    <row r="290" spans="1:82" x14ac:dyDescent="0.25">
      <c r="A290" s="30">
        <v>8.7203726972378923E-2</v>
      </c>
      <c r="B290"/>
      <c r="C290"/>
      <c r="D290"/>
      <c r="E290"/>
    </row>
    <row r="291" spans="1:82" x14ac:dyDescent="0.25">
      <c r="A291" s="30">
        <v>8.3051168545122747E-2</v>
      </c>
      <c r="B291"/>
      <c r="C291"/>
      <c r="D291"/>
      <c r="E291"/>
    </row>
    <row r="292" spans="1:82" x14ac:dyDescent="0.25">
      <c r="A292" s="30">
        <v>7.9096350995354961E-2</v>
      </c>
      <c r="B292"/>
      <c r="C292"/>
      <c r="D292"/>
      <c r="E292"/>
    </row>
    <row r="293" spans="1:82" x14ac:dyDescent="0.25">
      <c r="A293" s="30">
        <v>7.5329858090814217E-2</v>
      </c>
      <c r="B293"/>
      <c r="C293"/>
      <c r="D293"/>
      <c r="E293"/>
    </row>
    <row r="294" spans="1:82" x14ac:dyDescent="0.25">
      <c r="A294" s="30">
        <v>7.1742721991251604E-2</v>
      </c>
      <c r="B294"/>
      <c r="C294"/>
      <c r="D294"/>
      <c r="E294"/>
    </row>
    <row r="295" spans="1:82" x14ac:dyDescent="0.25">
      <c r="A295" s="30">
        <v>6.8326401896430078E-2</v>
      </c>
      <c r="B295"/>
      <c r="C295"/>
      <c r="D295"/>
      <c r="E295"/>
    </row>
    <row r="296" spans="1:82" x14ac:dyDescent="0.25">
      <c r="A296" s="30">
        <v>6.5072763710885759E-2</v>
      </c>
      <c r="B296"/>
      <c r="C296"/>
      <c r="D296"/>
      <c r="E296"/>
    </row>
    <row r="297" spans="1:82" x14ac:dyDescent="0.25">
      <c r="A297" s="30">
        <v>6.197406067703403E-2</v>
      </c>
      <c r="B297"/>
      <c r="C297"/>
      <c r="D297"/>
      <c r="E297"/>
    </row>
    <row r="298" spans="1:82" x14ac:dyDescent="0.25">
      <c r="A298" s="30">
        <v>5.9022914930508576E-2</v>
      </c>
      <c r="B298"/>
      <c r="C298"/>
      <c r="D298"/>
      <c r="E298"/>
    </row>
    <row r="299" spans="1:82" x14ac:dyDescent="0.25">
      <c r="A299" s="30">
        <v>5.6212299933817669E-2</v>
      </c>
      <c r="B299"/>
      <c r="C299"/>
      <c r="D299"/>
      <c r="E299"/>
    </row>
    <row r="300" spans="1:82" x14ac:dyDescent="0.25">
      <c r="A300" s="30">
        <v>5.3535523746492994E-2</v>
      </c>
      <c r="B300"/>
      <c r="C300"/>
      <c r="D300"/>
      <c r="E300"/>
    </row>
    <row r="301" spans="1:82" x14ac:dyDescent="0.25">
      <c r="A301" s="30">
        <v>5.0986213091898068E-2</v>
      </c>
      <c r="B301"/>
      <c r="C301"/>
      <c r="D301"/>
      <c r="E301"/>
    </row>
    <row r="302" spans="1:82" x14ac:dyDescent="0.25">
      <c r="A302" s="30">
        <v>4.8558298182760043E-2</v>
      </c>
      <c r="B302"/>
      <c r="C302"/>
      <c r="D302"/>
      <c r="E302"/>
    </row>
    <row r="303" spans="1:82" x14ac:dyDescent="0.25">
      <c r="A303" s="30">
        <v>4.6245998269295263E-2</v>
      </c>
      <c r="B303"/>
      <c r="C303"/>
      <c r="D303"/>
      <c r="E303"/>
    </row>
    <row r="304" spans="1:82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25" operator="equal">
      <formula>$U$1</formula>
    </cfRule>
    <cfRule type="cellIs" dxfId="67" priority="726" operator="equal">
      <formula>$S$1</formula>
    </cfRule>
  </conditionalFormatting>
  <conditionalFormatting sqref="D136">
    <cfRule type="cellIs" dxfId="66" priority="723" operator="equal">
      <formula>$S$1</formula>
    </cfRule>
    <cfRule type="cellIs" dxfId="65" priority="724" operator="equal">
      <formula>$U$1</formula>
    </cfRule>
  </conditionalFormatting>
  <conditionalFormatting sqref="C162">
    <cfRule type="cellIs" dxfId="64" priority="721" operator="equal">
      <formula>$U$1</formula>
    </cfRule>
    <cfRule type="cellIs" dxfId="63" priority="722" operator="equal">
      <formula>$S$1</formula>
    </cfRule>
  </conditionalFormatting>
  <conditionalFormatting sqref="D162">
    <cfRule type="cellIs" dxfId="62" priority="719" operator="equal">
      <formula>$S$1</formula>
    </cfRule>
    <cfRule type="cellIs" dxfId="61" priority="720" operator="equal">
      <formula>$U$1</formula>
    </cfRule>
  </conditionalFormatting>
  <conditionalFormatting sqref="C187">
    <cfRule type="cellIs" dxfId="60" priority="717" operator="equal">
      <formula>$U$1</formula>
    </cfRule>
    <cfRule type="cellIs" dxfId="59" priority="718" operator="equal">
      <formula>$S$1</formula>
    </cfRule>
  </conditionalFormatting>
  <conditionalFormatting sqref="D187">
    <cfRule type="cellIs" dxfId="58" priority="715" operator="equal">
      <formula>$S$1</formula>
    </cfRule>
    <cfRule type="cellIs" dxfId="57" priority="716" operator="equal">
      <formula>$U$1</formula>
    </cfRule>
  </conditionalFormatting>
  <conditionalFormatting sqref="C212">
    <cfRule type="cellIs" dxfId="56" priority="713" operator="equal">
      <formula>$U$1</formula>
    </cfRule>
    <cfRule type="cellIs" dxfId="55" priority="714" operator="equal">
      <formula>$S$1</formula>
    </cfRule>
  </conditionalFormatting>
  <conditionalFormatting sqref="D212">
    <cfRule type="cellIs" dxfId="54" priority="711" operator="equal">
      <formula>$S$1</formula>
    </cfRule>
    <cfRule type="cellIs" dxfId="53" priority="712" operator="equal">
      <formula>$U$1</formula>
    </cfRule>
  </conditionalFormatting>
  <conditionalFormatting sqref="C237">
    <cfRule type="cellIs" dxfId="52" priority="709" operator="equal">
      <formula>$U$1</formula>
    </cfRule>
    <cfRule type="cellIs" dxfId="51" priority="710" operator="equal">
      <formula>$S$1</formula>
    </cfRule>
  </conditionalFormatting>
  <conditionalFormatting sqref="D237">
    <cfRule type="cellIs" dxfId="50" priority="707" operator="equal">
      <formula>$S$1</formula>
    </cfRule>
    <cfRule type="cellIs" dxfId="49" priority="708" operator="equal">
      <formula>$U$1</formula>
    </cfRule>
  </conditionalFormatting>
  <conditionalFormatting sqref="C106">
    <cfRule type="cellIs" dxfId="48" priority="705" operator="equal">
      <formula>$U$1</formula>
    </cfRule>
    <cfRule type="cellIs" dxfId="47" priority="706" operator="equal">
      <formula>$S$1</formula>
    </cfRule>
  </conditionalFormatting>
  <conditionalFormatting sqref="D106">
    <cfRule type="cellIs" dxfId="46" priority="703" operator="equal">
      <formula>$S$1</formula>
    </cfRule>
    <cfRule type="cellIs" dxfId="45" priority="704" operator="equal">
      <formula>$U$1</formula>
    </cfRule>
  </conditionalFormatting>
  <conditionalFormatting sqref="C81">
    <cfRule type="cellIs" dxfId="44" priority="701" operator="equal">
      <formula>$U$1</formula>
    </cfRule>
    <cfRule type="cellIs" dxfId="43" priority="702" operator="equal">
      <formula>$S$1</formula>
    </cfRule>
  </conditionalFormatting>
  <conditionalFormatting sqref="D81">
    <cfRule type="cellIs" dxfId="42" priority="699" operator="equal">
      <formula>$S$1</formula>
    </cfRule>
    <cfRule type="cellIs" dxfId="41" priority="700" operator="equal">
      <formula>$U$1</formula>
    </cfRule>
  </conditionalFormatting>
  <conditionalFormatting sqref="C56">
    <cfRule type="cellIs" dxfId="40" priority="697" operator="equal">
      <formula>$U$1</formula>
    </cfRule>
    <cfRule type="cellIs" dxfId="39" priority="698" operator="equal">
      <formula>$S$1</formula>
    </cfRule>
  </conditionalFormatting>
  <conditionalFormatting sqref="D56">
    <cfRule type="cellIs" dxfId="38" priority="695" operator="equal">
      <formula>$S$1</formula>
    </cfRule>
    <cfRule type="cellIs" dxfId="37" priority="696" operator="equal">
      <formula>$U$1</formula>
    </cfRule>
  </conditionalFormatting>
  <conditionalFormatting sqref="C31">
    <cfRule type="cellIs" dxfId="36" priority="693" operator="equal">
      <formula>$U$1</formula>
    </cfRule>
    <cfRule type="cellIs" dxfId="35" priority="694" operator="equal">
      <formula>$S$1</formula>
    </cfRule>
  </conditionalFormatting>
  <conditionalFormatting sqref="D31">
    <cfRule type="cellIs" dxfId="34" priority="691" operator="equal">
      <formula>$S$1</formula>
    </cfRule>
    <cfRule type="cellIs" dxfId="33" priority="69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048515" zoomScale="90" zoomScaleNormal="90" workbookViewId="0">
      <pane xSplit="4" topLeftCell="XDP1" activePane="topRight" state="frozen"/>
      <selection activeCell="A109" sqref="A109"/>
      <selection pane="topRight" activeCell="AJ146" sqref="AJ14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$A$145</v>
      </c>
      <c r="D111" s="1" t="str">
        <f>ADDRESS(C121-1,D121,1,1)</f>
        <v>$AJ$145</v>
      </c>
      <c r="E111"/>
    </row>
    <row r="112" spans="1:5" x14ac:dyDescent="0.25">
      <c r="A112" s="30">
        <v>2.3579476910000019</v>
      </c>
      <c r="C112" s="1" t="str">
        <f>ADDRESS(C121,1,1,1)</f>
        <v>$A$146</v>
      </c>
      <c r="D112" s="1" t="str">
        <f>ADDRESS(C121,D121-1,1,1)</f>
        <v>$AI$146</v>
      </c>
      <c r="E112"/>
    </row>
    <row r="113" spans="1:26" x14ac:dyDescent="0.25">
      <c r="A113" s="30">
        <v>2.1435888100000016</v>
      </c>
      <c r="C113" s="1" t="str">
        <f>ADDRESS(C121+1,1,1,1)</f>
        <v>$A$147</v>
      </c>
      <c r="D113" s="1" t="str">
        <f>ADDRESS(C121-1,D121+1,1,1)</f>
        <v>$AK$145</v>
      </c>
    </row>
    <row r="114" spans="1:26" x14ac:dyDescent="0.25">
      <c r="A114" s="30">
        <v>1.9487171000000014</v>
      </c>
      <c r="C114" s="1" t="str">
        <f>ADDRESS(C121,D121,1,1)</f>
        <v>$AJ$146</v>
      </c>
      <c r="D114" s="1" t="str">
        <f>ADDRESS(C121+1,D121+1,1,1)</f>
        <v>$AK$147</v>
      </c>
    </row>
    <row r="115" spans="1:26" x14ac:dyDescent="0.25">
      <c r="A115" s="30">
        <v>1.7715610000000011</v>
      </c>
      <c r="C115" s="1" t="str">
        <f>ADDRESS(C121+1,D121,1,1)</f>
        <v>$AJ$147</v>
      </c>
    </row>
    <row r="116" spans="1:26" x14ac:dyDescent="0.25">
      <c r="A116" s="30">
        <v>1.6105100000000008</v>
      </c>
      <c r="C116" s="1">
        <f>C117-1</f>
        <v>145</v>
      </c>
    </row>
    <row r="117" spans="1:26" x14ac:dyDescent="0.25">
      <c r="A117" s="30">
        <v>1.4641000000000006</v>
      </c>
      <c r="C117" s="1">
        <f>C121</f>
        <v>146</v>
      </c>
      <c r="D117" s="1">
        <f>D121</f>
        <v>36</v>
      </c>
    </row>
    <row r="118" spans="1:26" x14ac:dyDescent="0.25">
      <c r="A118" s="30">
        <v>1.3310000000000004</v>
      </c>
      <c r="C118" s="1">
        <f>C117+1</f>
        <v>147</v>
      </c>
      <c r="D118" s="1">
        <f>D117+1</f>
        <v>37</v>
      </c>
      <c r="E118" s="1" t="s">
        <v>8</v>
      </c>
    </row>
    <row r="119" spans="1:26" x14ac:dyDescent="0.25">
      <c r="A119" s="30">
        <v>1.2100000000000002</v>
      </c>
      <c r="E119" s="1" t="s">
        <v>8</v>
      </c>
      <c r="F119" s="27" t="s">
        <v>7</v>
      </c>
    </row>
    <row r="120" spans="1:26" x14ac:dyDescent="0.25">
      <c r="A120" s="30">
        <v>1.1000000000000001</v>
      </c>
      <c r="C120" s="1" t="s">
        <v>9</v>
      </c>
      <c r="E120" s="1" t="s">
        <v>8</v>
      </c>
      <c r="F120" s="27" t="s">
        <v>7</v>
      </c>
      <c r="G120" s="27" t="s">
        <v>8</v>
      </c>
      <c r="I120" s="27" t="s">
        <v>8</v>
      </c>
    </row>
    <row r="121" spans="1:26" x14ac:dyDescent="0.25">
      <c r="A121" s="30">
        <v>1</v>
      </c>
      <c r="C121" s="18">
        <v>146</v>
      </c>
      <c r="D121" s="19">
        <v>36</v>
      </c>
      <c r="E121" s="18" t="s">
        <v>8</v>
      </c>
      <c r="F121" s="27" t="s">
        <v>7</v>
      </c>
      <c r="G121" s="27" t="s">
        <v>8</v>
      </c>
      <c r="H121" s="27" t="s">
        <v>7</v>
      </c>
      <c r="I121" s="27" t="s">
        <v>8</v>
      </c>
      <c r="J121" s="27" t="s">
        <v>7</v>
      </c>
    </row>
    <row r="122" spans="1:26" x14ac:dyDescent="0.25">
      <c r="A122" s="30">
        <v>0.90909090909090895</v>
      </c>
      <c r="C122" s="1" t="str">
        <f>INDEX(1:1048576,C117,D117)</f>
        <v>O</v>
      </c>
      <c r="F122" s="27" t="s">
        <v>7</v>
      </c>
      <c r="G122" s="27" t="s">
        <v>8</v>
      </c>
      <c r="H122" s="27" t="s">
        <v>7</v>
      </c>
      <c r="I122" s="27" t="s">
        <v>8</v>
      </c>
      <c r="J122" s="27" t="s">
        <v>7</v>
      </c>
    </row>
    <row r="123" spans="1:26" x14ac:dyDescent="0.25">
      <c r="A123" s="30">
        <v>0.82644628099173523</v>
      </c>
      <c r="C123" s="1" t="str">
        <f>"R"&amp;C121</f>
        <v>R146</v>
      </c>
      <c r="D123" s="1" t="str">
        <f>"C"&amp;D121</f>
        <v>C36</v>
      </c>
      <c r="F123" s="27" t="s">
        <v>7</v>
      </c>
      <c r="H123" s="27" t="s">
        <v>7</v>
      </c>
      <c r="J123" s="27" t="s">
        <v>7</v>
      </c>
      <c r="Y123" s="27" t="s">
        <v>8</v>
      </c>
    </row>
    <row r="124" spans="1:26" x14ac:dyDescent="0.25">
      <c r="A124" s="30">
        <v>0.75131480090157732</v>
      </c>
      <c r="C124" s="1">
        <f>SUM(C130:D130)</f>
        <v>0</v>
      </c>
      <c r="D124" s="1">
        <f>IF(C124=0,0,1)</f>
        <v>0</v>
      </c>
      <c r="J124" s="27" t="s">
        <v>7</v>
      </c>
      <c r="Y124" s="27" t="s">
        <v>8</v>
      </c>
      <c r="Z124" s="27" t="s">
        <v>7</v>
      </c>
    </row>
    <row r="125" spans="1:26" x14ac:dyDescent="0.25">
      <c r="A125" s="30">
        <v>0.68301345536507019</v>
      </c>
      <c r="J125" s="27" t="s">
        <v>7</v>
      </c>
      <c r="Y125" s="27" t="s">
        <v>8</v>
      </c>
      <c r="Z125" s="27" t="s">
        <v>7</v>
      </c>
    </row>
    <row r="126" spans="1:26" x14ac:dyDescent="0.25">
      <c r="A126" s="30">
        <v>0.6209213230591546</v>
      </c>
      <c r="C126" s="1" t="s">
        <v>10</v>
      </c>
      <c r="J126" s="27" t="s">
        <v>7</v>
      </c>
      <c r="Y126" s="27" t="s">
        <v>8</v>
      </c>
      <c r="Z126" s="27" t="s">
        <v>7</v>
      </c>
    </row>
    <row r="127" spans="1:26" x14ac:dyDescent="0.25">
      <c r="A127" s="30">
        <v>0.56447393005377677</v>
      </c>
      <c r="C127" s="30">
        <v>9.2295998177063854E-2</v>
      </c>
      <c r="D127"/>
      <c r="J127" s="27" t="s">
        <v>7</v>
      </c>
      <c r="K127" s="27" t="s">
        <v>8</v>
      </c>
      <c r="Y127" s="27" t="s">
        <v>8</v>
      </c>
      <c r="Z127" s="27" t="s">
        <v>7</v>
      </c>
    </row>
    <row r="128" spans="1:26" x14ac:dyDescent="0.25">
      <c r="A128" s="30">
        <v>0.51315811823070612</v>
      </c>
      <c r="J128" s="27" t="s">
        <v>7</v>
      </c>
      <c r="K128" s="27" t="s">
        <v>8</v>
      </c>
      <c r="L128" s="27" t="s">
        <v>7</v>
      </c>
      <c r="O128" s="27" t="s">
        <v>8</v>
      </c>
      <c r="Y128" s="27" t="s">
        <v>8</v>
      </c>
      <c r="Z128" s="27" t="s">
        <v>7</v>
      </c>
    </row>
    <row r="129" spans="1:36" x14ac:dyDescent="0.25">
      <c r="A129" s="30">
        <v>0.46650738020973276</v>
      </c>
      <c r="C129" s="1" t="s">
        <v>11</v>
      </c>
      <c r="D129" s="1" t="s">
        <v>12</v>
      </c>
      <c r="E129"/>
      <c r="J129" s="27" t="s">
        <v>7</v>
      </c>
      <c r="K129" s="27" t="s">
        <v>8</v>
      </c>
      <c r="L129" s="27" t="s">
        <v>7</v>
      </c>
      <c r="O129" s="27" t="s">
        <v>8</v>
      </c>
      <c r="P129" s="27" t="s">
        <v>7</v>
      </c>
      <c r="Y129" s="27" t="s">
        <v>8</v>
      </c>
      <c r="Z129" s="27" t="s">
        <v>7</v>
      </c>
    </row>
    <row r="130" spans="1:36" x14ac:dyDescent="0.25">
      <c r="A130" s="30">
        <v>0.42409761837248428</v>
      </c>
      <c r="C130" s="6"/>
      <c r="D130" s="6"/>
      <c r="E130"/>
      <c r="J130" s="27" t="s">
        <v>7</v>
      </c>
      <c r="K130" s="27" t="s">
        <v>8</v>
      </c>
      <c r="L130" s="27" t="s">
        <v>7</v>
      </c>
      <c r="M130" s="27" t="s">
        <v>8</v>
      </c>
      <c r="O130" s="27" t="s">
        <v>8</v>
      </c>
      <c r="P130" s="27" t="s">
        <v>7</v>
      </c>
      <c r="Y130" s="27" t="s">
        <v>8</v>
      </c>
      <c r="Z130" s="27" t="s">
        <v>7</v>
      </c>
    </row>
    <row r="131" spans="1:36" x14ac:dyDescent="0.25">
      <c r="A131" s="30">
        <v>0.38554328942953109</v>
      </c>
      <c r="E131"/>
      <c r="J131" s="27" t="s">
        <v>7</v>
      </c>
      <c r="K131" s="27" t="s">
        <v>8</v>
      </c>
      <c r="L131" s="27" t="s">
        <v>7</v>
      </c>
      <c r="M131" s="27" t="s">
        <v>8</v>
      </c>
      <c r="N131" s="27" t="s">
        <v>7</v>
      </c>
      <c r="O131" s="27" t="s">
        <v>8</v>
      </c>
      <c r="P131" s="27" t="s">
        <v>7</v>
      </c>
      <c r="S131" s="27" t="s">
        <v>8</v>
      </c>
      <c r="U131" s="27" t="s">
        <v>8</v>
      </c>
      <c r="Y131" s="27" t="s">
        <v>8</v>
      </c>
      <c r="Z131" s="27" t="s">
        <v>7</v>
      </c>
      <c r="AA131" s="27" t="s">
        <v>8</v>
      </c>
      <c r="AC131" s="27" t="s">
        <v>8</v>
      </c>
    </row>
    <row r="132" spans="1:36" x14ac:dyDescent="0.25">
      <c r="A132" s="30">
        <v>0.35049389948139187</v>
      </c>
      <c r="C132" s="1" t="s">
        <v>13</v>
      </c>
      <c r="E132"/>
      <c r="J132" s="27" t="s">
        <v>7</v>
      </c>
      <c r="K132" s="27" t="s">
        <v>8</v>
      </c>
      <c r="L132" s="27" t="s">
        <v>7</v>
      </c>
      <c r="M132" s="27" t="s">
        <v>8</v>
      </c>
      <c r="N132" s="27" t="s">
        <v>7</v>
      </c>
      <c r="O132" s="27" t="s">
        <v>8</v>
      </c>
      <c r="P132" s="27" t="s">
        <v>7</v>
      </c>
      <c r="S132" s="27" t="s">
        <v>8</v>
      </c>
      <c r="T132" s="27" t="s">
        <v>7</v>
      </c>
      <c r="U132" s="27" t="s">
        <v>8</v>
      </c>
      <c r="V132" s="27" t="s">
        <v>7</v>
      </c>
      <c r="Y132" s="27" t="s">
        <v>8</v>
      </c>
      <c r="Z132" s="27" t="s">
        <v>7</v>
      </c>
      <c r="AA132" s="27" t="s">
        <v>8</v>
      </c>
      <c r="AB132" s="27" t="s">
        <v>7</v>
      </c>
      <c r="AC132" s="27" t="s">
        <v>8</v>
      </c>
      <c r="AD132" s="27" t="s">
        <v>7</v>
      </c>
      <c r="AE132" s="27" t="s">
        <v>8</v>
      </c>
    </row>
    <row r="133" spans="1:36" x14ac:dyDescent="0.25">
      <c r="A133" s="30">
        <v>0.31863081771035617</v>
      </c>
      <c r="C133" s="1" t="str">
        <f>C122</f>
        <v>O</v>
      </c>
      <c r="E133"/>
      <c r="J133" s="27" t="s">
        <v>7</v>
      </c>
      <c r="K133" s="27" t="s">
        <v>8</v>
      </c>
      <c r="L133" s="27" t="s">
        <v>7</v>
      </c>
      <c r="M133" s="27" t="s">
        <v>8</v>
      </c>
      <c r="N133" s="27" t="s">
        <v>7</v>
      </c>
      <c r="P133" s="27" t="s">
        <v>7</v>
      </c>
      <c r="S133" s="27" t="s">
        <v>8</v>
      </c>
      <c r="T133" s="27" t="s">
        <v>7</v>
      </c>
      <c r="U133" s="27" t="s">
        <v>8</v>
      </c>
      <c r="V133" s="27" t="s">
        <v>7</v>
      </c>
      <c r="W133" s="27" t="s">
        <v>8</v>
      </c>
      <c r="Y133" s="27" t="s">
        <v>8</v>
      </c>
      <c r="Z133" s="27" t="s">
        <v>7</v>
      </c>
      <c r="AA133" s="27" t="s">
        <v>8</v>
      </c>
      <c r="AB133" s="27" t="s">
        <v>7</v>
      </c>
      <c r="AC133" s="27" t="s">
        <v>8</v>
      </c>
      <c r="AD133" s="27" t="s">
        <v>7</v>
      </c>
      <c r="AE133" s="27" t="s">
        <v>8</v>
      </c>
      <c r="AF133" s="27" t="s">
        <v>7</v>
      </c>
    </row>
    <row r="134" spans="1:36" x14ac:dyDescent="0.25">
      <c r="A134" s="30">
        <v>0.28966437973668741</v>
      </c>
      <c r="C134"/>
      <c r="D134"/>
      <c r="E134"/>
      <c r="J134" s="27" t="s">
        <v>7</v>
      </c>
      <c r="K134" s="27" t="s">
        <v>8</v>
      </c>
      <c r="L134" s="27" t="s">
        <v>7</v>
      </c>
      <c r="P134" s="27" t="s">
        <v>7</v>
      </c>
      <c r="Q134" s="27" t="s">
        <v>8</v>
      </c>
      <c r="S134" s="27" t="s">
        <v>8</v>
      </c>
      <c r="T134" s="27" t="s">
        <v>7</v>
      </c>
      <c r="V134" s="27" t="s">
        <v>7</v>
      </c>
      <c r="W134" s="27" t="s">
        <v>8</v>
      </c>
      <c r="X134" s="27" t="s">
        <v>7</v>
      </c>
      <c r="Y134" s="27" t="s">
        <v>8</v>
      </c>
      <c r="Z134" s="27" t="s">
        <v>7</v>
      </c>
      <c r="AB134" s="27" t="s">
        <v>7</v>
      </c>
      <c r="AD134" s="27" t="s">
        <v>7</v>
      </c>
      <c r="AE134" s="27" t="s">
        <v>8</v>
      </c>
      <c r="AF134" s="27" t="s">
        <v>7</v>
      </c>
      <c r="AI134" s="27" t="s">
        <v>8</v>
      </c>
    </row>
    <row r="135" spans="1:36" x14ac:dyDescent="0.25">
      <c r="A135" s="30">
        <v>0.2633312543060794</v>
      </c>
      <c r="C135" s="1" t="s">
        <v>14</v>
      </c>
      <c r="E135"/>
      <c r="J135" s="27" t="s">
        <v>7</v>
      </c>
      <c r="K135" s="27" t="s">
        <v>8</v>
      </c>
      <c r="P135" s="27" t="s">
        <v>7</v>
      </c>
      <c r="Q135" s="27" t="s">
        <v>8</v>
      </c>
      <c r="R135" s="27" t="s">
        <v>7</v>
      </c>
      <c r="S135" s="27" t="s">
        <v>8</v>
      </c>
      <c r="V135" s="27" t="s">
        <v>7</v>
      </c>
      <c r="W135" s="27" t="s">
        <v>8</v>
      </c>
      <c r="X135" s="27" t="s">
        <v>7</v>
      </c>
      <c r="Y135" s="27" t="s">
        <v>8</v>
      </c>
      <c r="AD135" s="27" t="s">
        <v>7</v>
      </c>
      <c r="AF135" s="27" t="s">
        <v>7</v>
      </c>
      <c r="AG135" s="27" t="s">
        <v>8</v>
      </c>
      <c r="AI135" s="27" t="s">
        <v>8</v>
      </c>
      <c r="AJ135" s="27" t="s">
        <v>7</v>
      </c>
    </row>
    <row r="136" spans="1:3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J136" s="27" t="s">
        <v>7</v>
      </c>
      <c r="K136" s="27" t="s">
        <v>8</v>
      </c>
      <c r="P136" s="27" t="s">
        <v>7</v>
      </c>
      <c r="Q136" s="27" t="s">
        <v>8</v>
      </c>
      <c r="R136" s="27" t="s">
        <v>7</v>
      </c>
      <c r="S136" s="27" t="s">
        <v>8</v>
      </c>
      <c r="V136" s="27" t="s">
        <v>7</v>
      </c>
      <c r="X136" s="27" t="s">
        <v>7</v>
      </c>
      <c r="AF136" s="27" t="s">
        <v>7</v>
      </c>
      <c r="AG136" s="27" t="s">
        <v>8</v>
      </c>
      <c r="AH136" s="27" t="s">
        <v>7</v>
      </c>
      <c r="AI136" s="27" t="s">
        <v>8</v>
      </c>
      <c r="AJ136" s="27" t="s">
        <v>7</v>
      </c>
    </row>
    <row r="137" spans="1:36" x14ac:dyDescent="0.25">
      <c r="A137" s="30">
        <v>0.2176291357901482</v>
      </c>
      <c r="E137"/>
      <c r="J137" s="27" t="s">
        <v>7</v>
      </c>
      <c r="K137" s="27" t="s">
        <v>8</v>
      </c>
      <c r="P137" s="27" t="s">
        <v>7</v>
      </c>
      <c r="Q137" s="27" t="s">
        <v>8</v>
      </c>
      <c r="R137" s="27" t="s">
        <v>7</v>
      </c>
      <c r="S137" s="27" t="s">
        <v>8</v>
      </c>
      <c r="AF137" s="27" t="s">
        <v>7</v>
      </c>
      <c r="AG137" s="27" t="s">
        <v>8</v>
      </c>
      <c r="AH137" s="27" t="s">
        <v>7</v>
      </c>
      <c r="AI137" s="27" t="s">
        <v>8</v>
      </c>
      <c r="AJ137" s="27" t="s">
        <v>7</v>
      </c>
    </row>
    <row r="138" spans="1:3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J138" s="27" t="s">
        <v>7</v>
      </c>
      <c r="P138" s="27" t="s">
        <v>7</v>
      </c>
      <c r="Q138" s="27" t="s">
        <v>8</v>
      </c>
      <c r="R138" s="18" t="s">
        <v>7</v>
      </c>
      <c r="S138" s="27" t="s">
        <v>8</v>
      </c>
      <c r="AF138" s="27" t="s">
        <v>7</v>
      </c>
      <c r="AG138" s="27" t="s">
        <v>8</v>
      </c>
      <c r="AH138" s="27" t="s">
        <v>7</v>
      </c>
      <c r="AJ138" s="27" t="s">
        <v>7</v>
      </c>
    </row>
    <row r="139" spans="1:36" x14ac:dyDescent="0.25">
      <c r="A139" s="30">
        <v>0.17985878990921333</v>
      </c>
      <c r="E139"/>
      <c r="P139" s="27" t="s">
        <v>7</v>
      </c>
      <c r="R139" s="27" t="s">
        <v>7</v>
      </c>
      <c r="AF139" s="27" t="s">
        <v>7</v>
      </c>
      <c r="AJ139" s="27" t="s">
        <v>7</v>
      </c>
    </row>
    <row r="140" spans="1:36" x14ac:dyDescent="0.25">
      <c r="A140" s="30">
        <v>0.16350799082655756</v>
      </c>
      <c r="C140" s="1">
        <v>0</v>
      </c>
      <c r="E140"/>
      <c r="AJ140" s="27" t="s">
        <v>7</v>
      </c>
    </row>
    <row r="141" spans="1:36" x14ac:dyDescent="0.25">
      <c r="A141" s="30">
        <v>0.14864362802414322</v>
      </c>
      <c r="C141" s="1">
        <v>1</v>
      </c>
      <c r="E141"/>
      <c r="AJ141" s="27" t="s">
        <v>7</v>
      </c>
    </row>
    <row r="142" spans="1:36" x14ac:dyDescent="0.25">
      <c r="A142" s="30">
        <v>0.13513057093103928</v>
      </c>
      <c r="C142" s="1">
        <v>2</v>
      </c>
      <c r="E142"/>
      <c r="AJ142" s="27" t="s">
        <v>7</v>
      </c>
    </row>
    <row r="143" spans="1:36" x14ac:dyDescent="0.25">
      <c r="A143" s="30">
        <v>0.12284597357367205</v>
      </c>
      <c r="C143" s="1">
        <v>3</v>
      </c>
      <c r="E143"/>
      <c r="AJ143" s="27" t="s">
        <v>7</v>
      </c>
    </row>
    <row r="144" spans="1:36" x14ac:dyDescent="0.25">
      <c r="A144" s="30">
        <v>0.11167815779424731</v>
      </c>
      <c r="C144" s="1">
        <v>4</v>
      </c>
      <c r="E144"/>
      <c r="AJ144" s="27" t="s">
        <v>7</v>
      </c>
    </row>
    <row r="145" spans="1:36" x14ac:dyDescent="0.25">
      <c r="A145" s="30">
        <v>0.10152559799477026</v>
      </c>
      <c r="B145"/>
      <c r="C145"/>
      <c r="D145"/>
      <c r="E145"/>
      <c r="AJ145" s="27" t="s">
        <v>7</v>
      </c>
    </row>
    <row r="146" spans="1:36" x14ac:dyDescent="0.25">
      <c r="A146" s="30">
        <v>9.2295998177063854E-2</v>
      </c>
      <c r="B146"/>
      <c r="C146"/>
      <c r="D146"/>
      <c r="E146"/>
      <c r="AJ146" s="27" t="s">
        <v>7</v>
      </c>
    </row>
    <row r="147" spans="1:36" x14ac:dyDescent="0.25">
      <c r="A147" s="30">
        <v>8.3905452888239848E-2</v>
      </c>
      <c r="B147"/>
      <c r="C147"/>
      <c r="D147"/>
      <c r="E147"/>
    </row>
    <row r="148" spans="1:36" x14ac:dyDescent="0.25">
      <c r="A148" s="30">
        <v>7.6277684443854396E-2</v>
      </c>
      <c r="B148"/>
      <c r="C148"/>
      <c r="D148"/>
      <c r="E148"/>
    </row>
    <row r="149" spans="1:36" x14ac:dyDescent="0.25">
      <c r="A149" s="30">
        <v>6.9343349494413078E-2</v>
      </c>
      <c r="B149"/>
      <c r="C149"/>
      <c r="D149"/>
      <c r="E149"/>
    </row>
    <row r="150" spans="1:36" x14ac:dyDescent="0.25">
      <c r="A150" s="30">
        <v>6.3039408631284613E-2</v>
      </c>
      <c r="B150"/>
      <c r="C150"/>
      <c r="D150"/>
      <c r="E150"/>
    </row>
    <row r="151" spans="1:36" x14ac:dyDescent="0.25">
      <c r="A151" s="30">
        <v>5.7308553301167818E-2</v>
      </c>
      <c r="B151"/>
      <c r="C151"/>
      <c r="D151"/>
      <c r="E151"/>
    </row>
    <row r="152" spans="1:36" x14ac:dyDescent="0.25">
      <c r="A152" s="30">
        <v>5.2098684819243464E-2</v>
      </c>
      <c r="B152"/>
      <c r="C152"/>
      <c r="D152"/>
      <c r="E152"/>
    </row>
    <row r="153" spans="1:36" x14ac:dyDescent="0.25">
      <c r="A153" s="30">
        <v>4.7362440744766775E-2</v>
      </c>
      <c r="B153"/>
      <c r="C153"/>
      <c r="D153"/>
      <c r="E153"/>
    </row>
    <row r="154" spans="1:36" x14ac:dyDescent="0.25">
      <c r="A154" s="30">
        <v>4.3056764313424332E-2</v>
      </c>
      <c r="B154"/>
      <c r="C154"/>
      <c r="D154"/>
      <c r="E154"/>
    </row>
    <row r="155" spans="1:36" x14ac:dyDescent="0.25">
      <c r="A155" s="30">
        <v>3.9142513012203929E-2</v>
      </c>
      <c r="B155"/>
      <c r="C155"/>
      <c r="D155"/>
      <c r="E155"/>
    </row>
    <row r="156" spans="1:36" x14ac:dyDescent="0.25">
      <c r="A156" s="30">
        <v>3.55841027383672E-2</v>
      </c>
      <c r="B156"/>
      <c r="C156"/>
      <c r="D156"/>
      <c r="E156"/>
    </row>
    <row r="157" spans="1:36" x14ac:dyDescent="0.25">
      <c r="A157" s="30">
        <v>3.2349184307606541E-2</v>
      </c>
      <c r="B157"/>
      <c r="C157"/>
      <c r="D157"/>
      <c r="E157"/>
    </row>
    <row r="158" spans="1:36" x14ac:dyDescent="0.25">
      <c r="A158" s="30">
        <v>2.9408349370551395E-2</v>
      </c>
      <c r="B158"/>
      <c r="C158"/>
      <c r="D158"/>
      <c r="E158"/>
    </row>
    <row r="159" spans="1:36" x14ac:dyDescent="0.25">
      <c r="A159" s="30">
        <v>2.6734863064137627E-2</v>
      </c>
      <c r="B159"/>
      <c r="C159"/>
      <c r="D159"/>
      <c r="E159"/>
    </row>
    <row r="160" spans="1:36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09" operator="equal">
      <formula>$U$1</formula>
    </cfRule>
    <cfRule type="cellIs" dxfId="30" priority="710" operator="equal">
      <formula>$S$1</formula>
    </cfRule>
  </conditionalFormatting>
  <conditionalFormatting sqref="D136">
    <cfRule type="cellIs" dxfId="29" priority="707" operator="equal">
      <formula>$S$1</formula>
    </cfRule>
    <cfRule type="cellIs" dxfId="28" priority="708" operator="equal">
      <formula>$U$1</formula>
    </cfRule>
  </conditionalFormatting>
  <conditionalFormatting sqref="C102">
    <cfRule type="cellIs" dxfId="27" priority="705" operator="equal">
      <formula>$U$1</formula>
    </cfRule>
    <cfRule type="cellIs" dxfId="26" priority="706" operator="equal">
      <formula>$S$1</formula>
    </cfRule>
  </conditionalFormatting>
  <conditionalFormatting sqref="D102">
    <cfRule type="cellIs" dxfId="25" priority="703" operator="equal">
      <formula>$S$1</formula>
    </cfRule>
    <cfRule type="cellIs" dxfId="24" priority="704" operator="equal">
      <formula>$U$1</formula>
    </cfRule>
  </conditionalFormatting>
  <conditionalFormatting sqref="C77">
    <cfRule type="cellIs" dxfId="23" priority="701" operator="equal">
      <formula>$U$1</formula>
    </cfRule>
    <cfRule type="cellIs" dxfId="22" priority="702" operator="equal">
      <formula>$S$1</formula>
    </cfRule>
  </conditionalFormatting>
  <conditionalFormatting sqref="D77">
    <cfRule type="cellIs" dxfId="21" priority="699" operator="equal">
      <formula>$S$1</formula>
    </cfRule>
    <cfRule type="cellIs" dxfId="20" priority="700" operator="equal">
      <formula>$U$1</formula>
    </cfRule>
  </conditionalFormatting>
  <conditionalFormatting sqref="C52">
    <cfRule type="cellIs" dxfId="19" priority="697" operator="equal">
      <formula>$U$1</formula>
    </cfRule>
    <cfRule type="cellIs" dxfId="18" priority="698" operator="equal">
      <formula>$S$1</formula>
    </cfRule>
  </conditionalFormatting>
  <conditionalFormatting sqref="D52">
    <cfRule type="cellIs" dxfId="17" priority="695" operator="equal">
      <formula>$S$1</formula>
    </cfRule>
    <cfRule type="cellIs" dxfId="16" priority="696" operator="equal">
      <formula>$U$1</formula>
    </cfRule>
  </conditionalFormatting>
  <conditionalFormatting sqref="C26">
    <cfRule type="cellIs" dxfId="15" priority="693" operator="equal">
      <formula>$U$1</formula>
    </cfRule>
    <cfRule type="cellIs" dxfId="14" priority="694" operator="equal">
      <formula>$S$1</formula>
    </cfRule>
  </conditionalFormatting>
  <conditionalFormatting sqref="D26">
    <cfRule type="cellIs" dxfId="13" priority="691" operator="equal">
      <formula>$S$1</formula>
    </cfRule>
    <cfRule type="cellIs" dxfId="12" priority="69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2022-01-28T01:14:51Z</dcterms:modified>
</cp:coreProperties>
</file>