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6CEB22E-0BF3-4A22-BE50-226DAF3CF62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Sheet1" sheetId="8" r:id="rId6"/>
    <sheet name="INVEST" sheetId="6" r:id="rId7"/>
    <sheet name="TEMP" sheetId="7" r:id="rId8"/>
    <sheet name="Chart1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44" i="1"/>
  <c r="Q744" i="1" s="1"/>
  <c r="R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18" i="5"/>
  <c r="C106" i="4"/>
  <c r="D77" i="5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22" i="4"/>
  <c r="C133" i="4" s="1"/>
  <c r="D136" i="4" s="1"/>
  <c r="C118" i="4"/>
  <c r="R743" i="1"/>
  <c r="S743" i="1" s="1"/>
  <c r="T743" i="1" s="1"/>
  <c r="S744" i="1"/>
  <c r="T744" i="1" s="1"/>
  <c r="R742" i="1"/>
  <c r="C136" i="5"/>
  <c r="D136" i="5"/>
  <c r="C116" i="3"/>
  <c r="C122" i="3"/>
  <c r="C133" i="3" s="1"/>
  <c r="C136" i="3" s="1"/>
  <c r="C136" i="4" l="1"/>
  <c r="C138" i="4" s="1"/>
  <c r="C138" i="5"/>
  <c r="S742" i="1"/>
  <c r="T742" i="1" s="1"/>
  <c r="R741" i="1"/>
  <c r="D136" i="3"/>
  <c r="C138" i="3" s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S737" i="1" l="1"/>
  <c r="T737" i="1" s="1"/>
  <c r="R736" i="1"/>
  <c r="S736" i="1" l="1"/>
  <c r="T736" i="1" s="1"/>
  <c r="R735" i="1"/>
  <c r="R734" i="1" l="1"/>
  <c r="S735" i="1"/>
  <c r="T735" i="1" s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R728" i="1" l="1"/>
  <c r="S729" i="1"/>
  <c r="T729" i="1" s="1"/>
  <c r="R727" i="1" l="1"/>
  <c r="S728" i="1"/>
  <c r="T728" i="1" s="1"/>
  <c r="S727" i="1" l="1"/>
  <c r="T727" i="1" s="1"/>
  <c r="R726" i="1"/>
  <c r="R725" i="1" l="1"/>
  <c r="S726" i="1"/>
  <c r="T726" i="1" s="1"/>
  <c r="R724" i="1" l="1"/>
  <c r="S725" i="1"/>
  <c r="T725" i="1" s="1"/>
  <c r="S724" i="1" l="1"/>
  <c r="T724" i="1" s="1"/>
  <c r="R723" i="1"/>
  <c r="S723" i="1" l="1"/>
  <c r="T723" i="1" s="1"/>
  <c r="R722" i="1"/>
  <c r="R721" i="1" l="1"/>
  <c r="S722" i="1"/>
  <c r="T722" i="1" s="1"/>
  <c r="S721" i="1" l="1"/>
  <c r="T721" i="1" s="1"/>
  <c r="R720" i="1"/>
  <c r="S720" i="1" l="1"/>
  <c r="T720" i="1" s="1"/>
  <c r="R719" i="1"/>
  <c r="R718" i="1" l="1"/>
  <c r="S719" i="1"/>
  <c r="T719" i="1" s="1"/>
  <c r="R717" i="1" l="1"/>
  <c r="S718" i="1"/>
  <c r="T718" i="1" s="1"/>
  <c r="R716" i="1" l="1"/>
  <c r="S717" i="1"/>
  <c r="T717" i="1" s="1"/>
  <c r="S716" i="1" l="1"/>
  <c r="T716" i="1" s="1"/>
  <c r="R715" i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R710" i="1" l="1"/>
  <c r="S711" i="1"/>
  <c r="T711" i="1" s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S701" i="1" l="1"/>
  <c r="T701" i="1" s="1"/>
  <c r="R700" i="1"/>
  <c r="R699" i="1" l="1"/>
  <c r="S700" i="1"/>
  <c r="T700" i="1" s="1"/>
  <c r="R698" i="1" l="1"/>
  <c r="S699" i="1"/>
  <c r="T699" i="1" s="1"/>
  <c r="R697" i="1" l="1"/>
  <c r="S698" i="1"/>
  <c r="T698" i="1" s="1"/>
  <c r="S697" i="1" l="1"/>
  <c r="T697" i="1" s="1"/>
  <c r="R696" i="1"/>
  <c r="S696" i="1" l="1"/>
  <c r="T696" i="1" s="1"/>
  <c r="R695" i="1"/>
  <c r="R694" i="1" l="1"/>
  <c r="S695" i="1"/>
  <c r="T695" i="1" s="1"/>
  <c r="R693" i="1" l="1"/>
  <c r="S694" i="1"/>
  <c r="T694" i="1" s="1"/>
  <c r="S693" i="1" l="1"/>
  <c r="T693" i="1" s="1"/>
  <c r="R692" i="1"/>
  <c r="S692" i="1" l="1"/>
  <c r="T692" i="1" s="1"/>
  <c r="R691" i="1"/>
  <c r="R690" i="1" l="1"/>
  <c r="S691" i="1"/>
  <c r="T691" i="1" s="1"/>
  <c r="S690" i="1" l="1"/>
  <c r="T690" i="1" s="1"/>
  <c r="R689" i="1"/>
  <c r="S689" i="1" l="1"/>
  <c r="T689" i="1" s="1"/>
  <c r="R688" i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S684" i="1" l="1"/>
  <c r="T684" i="1" s="1"/>
  <c r="R683" i="1"/>
  <c r="S683" i="1" l="1"/>
  <c r="T683" i="1" s="1"/>
  <c r="R682" i="1"/>
  <c r="R681" i="1" l="1"/>
  <c r="S682" i="1"/>
  <c r="T682" i="1" s="1"/>
  <c r="R680" i="1" l="1"/>
  <c r="S681" i="1"/>
  <c r="T681" i="1" s="1"/>
  <c r="S680" i="1" l="1"/>
  <c r="T680" i="1" s="1"/>
  <c r="R679" i="1"/>
  <c r="S679" i="1" l="1"/>
  <c r="T679" i="1" s="1"/>
  <c r="R678" i="1"/>
  <c r="S678" i="1" l="1"/>
  <c r="T678" i="1" s="1"/>
  <c r="R677" i="1"/>
  <c r="R676" i="1" l="1"/>
  <c r="S677" i="1"/>
  <c r="T677" i="1" s="1"/>
  <c r="S676" i="1" l="1"/>
  <c r="T676" i="1" s="1"/>
  <c r="R675" i="1"/>
  <c r="S675" i="1" l="1"/>
  <c r="T675" i="1" s="1"/>
  <c r="R674" i="1"/>
  <c r="R673" i="1" l="1"/>
  <c r="S674" i="1"/>
  <c r="T674" i="1" s="1"/>
  <c r="R672" i="1" l="1"/>
  <c r="S673" i="1"/>
  <c r="T673" i="1" s="1"/>
  <c r="S672" i="1" l="1"/>
  <c r="T672" i="1" s="1"/>
  <c r="R671" i="1"/>
  <c r="S671" i="1" l="1"/>
  <c r="T671" i="1" s="1"/>
  <c r="R670" i="1"/>
  <c r="R669" i="1" l="1"/>
  <c r="S670" i="1"/>
  <c r="T670" i="1" s="1"/>
  <c r="S669" i="1" l="1"/>
  <c r="T669" i="1" s="1"/>
  <c r="R668" i="1"/>
  <c r="S668" i="1" l="1"/>
  <c r="T668" i="1" s="1"/>
  <c r="R667" i="1"/>
  <c r="R666" i="1" l="1"/>
  <c r="S667" i="1"/>
  <c r="T667" i="1" s="1"/>
  <c r="R665" i="1" l="1"/>
  <c r="S666" i="1"/>
  <c r="T666" i="1" s="1"/>
  <c r="S665" i="1" l="1"/>
  <c r="T665" i="1" s="1"/>
  <c r="R664" i="1"/>
  <c r="S664" i="1" l="1"/>
  <c r="T664" i="1" s="1"/>
  <c r="R663" i="1"/>
  <c r="R662" i="1" l="1"/>
  <c r="S663" i="1"/>
  <c r="T663" i="1" s="1"/>
  <c r="S662" i="1" l="1"/>
  <c r="T662" i="1" s="1"/>
  <c r="R661" i="1"/>
  <c r="S661" i="1" l="1"/>
  <c r="T661" i="1" s="1"/>
  <c r="R660" i="1"/>
  <c r="R659" i="1" l="1"/>
  <c r="S660" i="1"/>
  <c r="T660" i="1" s="1"/>
  <c r="R658" i="1" l="1"/>
  <c r="S659" i="1"/>
  <c r="T659" i="1" s="1"/>
  <c r="R657" i="1" l="1"/>
  <c r="S658" i="1"/>
  <c r="T658" i="1" s="1"/>
  <c r="S657" i="1" l="1"/>
  <c r="T657" i="1" s="1"/>
  <c r="R656" i="1"/>
  <c r="S656" i="1" l="1"/>
  <c r="T656" i="1" s="1"/>
  <c r="R655" i="1"/>
  <c r="S655" i="1" l="1"/>
  <c r="T655" i="1" s="1"/>
  <c r="R654" i="1"/>
  <c r="S654" i="1" l="1"/>
  <c r="T654" i="1" s="1"/>
  <c r="R653" i="1"/>
  <c r="R652" i="1" l="1"/>
  <c r="S653" i="1"/>
  <c r="T653" i="1" s="1"/>
  <c r="R651" i="1" l="1"/>
  <c r="S652" i="1"/>
  <c r="T652" i="1" s="1"/>
  <c r="S651" i="1" l="1"/>
  <c r="T651" i="1" s="1"/>
  <c r="R650" i="1"/>
  <c r="R649" i="1" l="1"/>
  <c r="S650" i="1"/>
  <c r="T650" i="1" s="1"/>
  <c r="S649" i="1" l="1"/>
  <c r="T649" i="1" s="1"/>
  <c r="R648" i="1"/>
  <c r="R647" i="1" l="1"/>
  <c r="S648" i="1"/>
  <c r="T648" i="1" s="1"/>
  <c r="S647" i="1" l="1"/>
  <c r="T647" i="1" s="1"/>
  <c r="R646" i="1"/>
  <c r="S646" i="1" l="1"/>
  <c r="T646" i="1" s="1"/>
  <c r="R645" i="1"/>
  <c r="S645" i="1" l="1"/>
  <c r="T645" i="1" s="1"/>
  <c r="R644" i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S635" i="1" l="1"/>
  <c r="T635" i="1" s="1"/>
  <c r="R634" i="1"/>
  <c r="S634" i="1" l="1"/>
  <c r="T634" i="1" s="1"/>
  <c r="R633" i="1"/>
  <c r="R632" i="1" l="1"/>
  <c r="S633" i="1"/>
  <c r="T633" i="1" s="1"/>
  <c r="R631" i="1" l="1"/>
  <c r="S632" i="1"/>
  <c r="T632" i="1" s="1"/>
  <c r="S631" i="1" l="1"/>
  <c r="T631" i="1" s="1"/>
  <c r="R630" i="1"/>
  <c r="S630" i="1" l="1"/>
  <c r="T630" i="1" s="1"/>
  <c r="R629" i="1"/>
  <c r="R628" i="1" l="1"/>
  <c r="S629" i="1"/>
  <c r="T629" i="1" s="1"/>
  <c r="S628" i="1" l="1"/>
  <c r="T628" i="1" s="1"/>
  <c r="R627" i="1"/>
  <c r="S627" i="1" l="1"/>
  <c r="T627" i="1" s="1"/>
  <c r="R626" i="1"/>
  <c r="R625" i="1" l="1"/>
  <c r="S626" i="1"/>
  <c r="T626" i="1" s="1"/>
  <c r="R624" i="1" l="1"/>
  <c r="S625" i="1"/>
  <c r="T625" i="1" s="1"/>
  <c r="S624" i="1" l="1"/>
  <c r="T624" i="1" s="1"/>
  <c r="R623" i="1"/>
  <c r="R622" i="1" l="1"/>
  <c r="S623" i="1"/>
  <c r="T623" i="1" s="1"/>
  <c r="S622" i="1" l="1"/>
  <c r="T622" i="1" s="1"/>
  <c r="R621" i="1"/>
  <c r="S621" i="1" l="1"/>
  <c r="T621" i="1" s="1"/>
  <c r="R620" i="1"/>
  <c r="R619" i="1" l="1"/>
  <c r="S620" i="1"/>
  <c r="T620" i="1" s="1"/>
  <c r="R618" i="1" l="1"/>
  <c r="S619" i="1"/>
  <c r="T619" i="1" s="1"/>
  <c r="R617" i="1" l="1"/>
  <c r="S618" i="1"/>
  <c r="T618" i="1" s="1"/>
  <c r="S617" i="1" l="1"/>
  <c r="T617" i="1" s="1"/>
  <c r="R616" i="1"/>
  <c r="S616" i="1" l="1"/>
  <c r="T616" i="1" s="1"/>
  <c r="R615" i="1"/>
  <c r="R614" i="1" l="1"/>
  <c r="S615" i="1"/>
  <c r="T615" i="1" s="1"/>
  <c r="S614" i="1" l="1"/>
  <c r="T614" i="1" s="1"/>
  <c r="R613" i="1"/>
  <c r="S613" i="1" l="1"/>
  <c r="T613" i="1" s="1"/>
  <c r="R612" i="1"/>
  <c r="S612" i="1" l="1"/>
  <c r="T612" i="1" s="1"/>
  <c r="R611" i="1"/>
  <c r="S611" i="1" l="1"/>
  <c r="T611" i="1" s="1"/>
  <c r="R610" i="1"/>
  <c r="S610" i="1" l="1"/>
  <c r="T610" i="1" s="1"/>
  <c r="R609" i="1"/>
  <c r="R608" i="1" l="1"/>
  <c r="S609" i="1"/>
  <c r="T609" i="1" s="1"/>
  <c r="S608" i="1" l="1"/>
  <c r="T608" i="1" s="1"/>
  <c r="R607" i="1"/>
  <c r="S607" i="1" l="1"/>
  <c r="T607" i="1" s="1"/>
  <c r="R606" i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S602" i="1" l="1"/>
  <c r="T602" i="1" s="1"/>
  <c r="R601" i="1"/>
  <c r="R600" i="1" l="1"/>
  <c r="S601" i="1"/>
  <c r="T601" i="1" s="1"/>
  <c r="S600" i="1" l="1"/>
  <c r="T600" i="1" s="1"/>
  <c r="R599" i="1"/>
  <c r="S599" i="1" l="1"/>
  <c r="T599" i="1" s="1"/>
  <c r="R598" i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S594" i="1" l="1"/>
  <c r="T594" i="1" s="1"/>
  <c r="R593" i="1"/>
  <c r="S593" i="1" l="1"/>
  <c r="T593" i="1" s="1"/>
  <c r="R592" i="1"/>
  <c r="R591" i="1" l="1"/>
  <c r="S592" i="1"/>
  <c r="T592" i="1" s="1"/>
  <c r="R590" i="1" l="1"/>
  <c r="S591" i="1"/>
  <c r="T591" i="1" s="1"/>
  <c r="S590" i="1" l="1"/>
  <c r="T590" i="1" s="1"/>
  <c r="R589" i="1"/>
  <c r="R588" i="1" l="1"/>
  <c r="S589" i="1"/>
  <c r="T589" i="1" s="1"/>
  <c r="R587" i="1" l="1"/>
  <c r="S588" i="1"/>
  <c r="T588" i="1" s="1"/>
  <c r="S587" i="1" l="1"/>
  <c r="T587" i="1" s="1"/>
  <c r="R586" i="1"/>
  <c r="S586" i="1" l="1"/>
  <c r="T586" i="1" s="1"/>
  <c r="R585" i="1"/>
  <c r="R584" i="1" l="1"/>
  <c r="S585" i="1"/>
  <c r="T585" i="1" s="1"/>
  <c r="R583" i="1" l="1"/>
  <c r="S584" i="1"/>
  <c r="T584" i="1" s="1"/>
  <c r="S583" i="1" l="1"/>
  <c r="T583" i="1" s="1"/>
  <c r="R582" i="1"/>
  <c r="R581" i="1" l="1"/>
  <c r="S582" i="1"/>
  <c r="T582" i="1" s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R576" i="1" l="1"/>
  <c r="S577" i="1"/>
  <c r="T577" i="1" s="1"/>
  <c r="R575" i="1" l="1"/>
  <c r="S576" i="1"/>
  <c r="T576" i="1" s="1"/>
  <c r="S575" i="1" l="1"/>
  <c r="T575" i="1" s="1"/>
  <c r="R574" i="1"/>
  <c r="S574" i="1" l="1"/>
  <c r="T574" i="1" s="1"/>
  <c r="R573" i="1"/>
  <c r="R572" i="1" l="1"/>
  <c r="S573" i="1"/>
  <c r="T573" i="1" s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R560" i="1" l="1"/>
  <c r="S561" i="1"/>
  <c r="T561" i="1" s="1"/>
  <c r="S560" i="1" l="1"/>
  <c r="T560" i="1" s="1"/>
  <c r="R559" i="1"/>
  <c r="S559" i="1" l="1"/>
  <c r="T559" i="1" s="1"/>
  <c r="R558" i="1"/>
  <c r="R557" i="1" l="1"/>
  <c r="S558" i="1"/>
  <c r="T558" i="1" s="1"/>
  <c r="R556" i="1" l="1"/>
  <c r="S557" i="1"/>
  <c r="T557" i="1" s="1"/>
  <c r="S556" i="1" l="1"/>
  <c r="T556" i="1" s="1"/>
  <c r="R555" i="1"/>
  <c r="R554" i="1" l="1"/>
  <c r="S555" i="1"/>
  <c r="T555" i="1" s="1"/>
  <c r="R553" i="1" l="1"/>
  <c r="S554" i="1"/>
  <c r="T554" i="1" s="1"/>
  <c r="S553" i="1" l="1"/>
  <c r="T553" i="1" s="1"/>
  <c r="R552" i="1"/>
  <c r="S552" i="1" l="1"/>
  <c r="T552" i="1" s="1"/>
  <c r="R551" i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S541" i="1" l="1"/>
  <c r="T541" i="1" s="1"/>
  <c r="R540" i="1"/>
  <c r="R539" i="1" l="1"/>
  <c r="S540" i="1"/>
  <c r="T540" i="1" s="1"/>
  <c r="R538" i="1" l="1"/>
  <c r="S539" i="1"/>
  <c r="T539" i="1" s="1"/>
  <c r="R537" i="1" l="1"/>
  <c r="S538" i="1"/>
  <c r="T538" i="1" s="1"/>
  <c r="S537" i="1" l="1"/>
  <c r="T537" i="1" s="1"/>
  <c r="R536" i="1"/>
  <c r="S536" i="1" l="1"/>
  <c r="T536" i="1" s="1"/>
  <c r="R535" i="1"/>
  <c r="R534" i="1" l="1"/>
  <c r="S535" i="1"/>
  <c r="T535" i="1" s="1"/>
  <c r="S534" i="1" l="1"/>
  <c r="T534" i="1" s="1"/>
  <c r="R533" i="1"/>
  <c r="S533" i="1" l="1"/>
  <c r="T533" i="1" s="1"/>
  <c r="R532" i="1"/>
  <c r="R531" i="1" l="1"/>
  <c r="S532" i="1"/>
  <c r="T532" i="1" s="1"/>
  <c r="S531" i="1" l="1"/>
  <c r="T531" i="1" s="1"/>
  <c r="R530" i="1"/>
  <c r="R529" i="1" l="1"/>
  <c r="S530" i="1"/>
  <c r="T530" i="1" s="1"/>
  <c r="R528" i="1" l="1"/>
  <c r="S529" i="1"/>
  <c r="T529" i="1" s="1"/>
  <c r="R527" i="1" l="1"/>
  <c r="S528" i="1"/>
  <c r="T528" i="1" s="1"/>
  <c r="S527" i="1" l="1"/>
  <c r="T527" i="1" s="1"/>
  <c r="R526" i="1"/>
  <c r="S526" i="1" l="1"/>
  <c r="T526" i="1" s="1"/>
  <c r="R525" i="1"/>
  <c r="S525" i="1" l="1"/>
  <c r="T525" i="1" s="1"/>
  <c r="R524" i="1"/>
  <c r="S524" i="1" l="1"/>
  <c r="T524" i="1" s="1"/>
  <c r="R523" i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R509" i="1" l="1"/>
  <c r="S510" i="1"/>
  <c r="T510" i="1" s="1"/>
  <c r="R508" i="1" l="1"/>
  <c r="S509" i="1"/>
  <c r="T509" i="1" s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S502" i="1" l="1"/>
  <c r="T502" i="1" s="1"/>
  <c r="R501" i="1"/>
  <c r="S501" i="1" l="1"/>
  <c r="T501" i="1" s="1"/>
  <c r="R500" i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R494" i="1" l="1"/>
  <c r="S495" i="1"/>
  <c r="T495" i="1" s="1"/>
  <c r="R493" i="1" l="1"/>
  <c r="S494" i="1"/>
  <c r="T494" i="1" s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S482" i="1" l="1"/>
  <c r="T482" i="1" s="1"/>
  <c r="R481" i="1"/>
  <c r="S481" i="1" l="1"/>
  <c r="T481" i="1" s="1"/>
  <c r="R480" i="1"/>
  <c r="R479" i="1" l="1"/>
  <c r="S480" i="1"/>
  <c r="T480" i="1" s="1"/>
  <c r="S479" i="1" l="1"/>
  <c r="T479" i="1" s="1"/>
  <c r="R478" i="1"/>
  <c r="S478" i="1" l="1"/>
  <c r="T478" i="1" s="1"/>
  <c r="R477" i="1"/>
  <c r="R476" i="1" l="1"/>
  <c r="S477" i="1"/>
  <c r="T477" i="1" s="1"/>
  <c r="R475" i="1" l="1"/>
  <c r="S476" i="1"/>
  <c r="T476" i="1" s="1"/>
  <c r="S475" i="1" l="1"/>
  <c r="T475" i="1" s="1"/>
  <c r="R474" i="1"/>
  <c r="S474" i="1" l="1"/>
  <c r="T474" i="1" s="1"/>
  <c r="R473" i="1"/>
  <c r="S473" i="1" l="1"/>
  <c r="T473" i="1" s="1"/>
  <c r="R472" i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R467" i="1" l="1"/>
  <c r="S468" i="1"/>
  <c r="T468" i="1" s="1"/>
  <c r="R466" i="1" l="1"/>
  <c r="S467" i="1"/>
  <c r="T467" i="1" s="1"/>
  <c r="S466" i="1" l="1"/>
  <c r="T466" i="1" s="1"/>
  <c r="R465" i="1"/>
  <c r="S465" i="1" l="1"/>
  <c r="T465" i="1" s="1"/>
  <c r="R464" i="1"/>
  <c r="S464" i="1" l="1"/>
  <c r="T464" i="1" s="1"/>
  <c r="R463" i="1"/>
  <c r="R462" i="1" l="1"/>
  <c r="S463" i="1"/>
  <c r="T463" i="1" s="1"/>
  <c r="S462" i="1" l="1"/>
  <c r="T462" i="1" s="1"/>
  <c r="R461" i="1"/>
  <c r="R460" i="1" l="1"/>
  <c r="S461" i="1"/>
  <c r="T461" i="1" s="1"/>
  <c r="R459" i="1" l="1"/>
  <c r="S460" i="1"/>
  <c r="T460" i="1" s="1"/>
  <c r="S459" i="1" l="1"/>
  <c r="T459" i="1" s="1"/>
  <c r="R458" i="1"/>
  <c r="S458" i="1" l="1"/>
  <c r="T458" i="1" s="1"/>
  <c r="R457" i="1"/>
  <c r="S457" i="1" l="1"/>
  <c r="T457" i="1" s="1"/>
  <c r="R456" i="1"/>
  <c r="R455" i="1" l="1"/>
  <c r="S456" i="1"/>
  <c r="T456" i="1" s="1"/>
  <c r="R454" i="1" l="1"/>
  <c r="S455" i="1"/>
  <c r="T455" i="1" s="1"/>
  <c r="S454" i="1" l="1"/>
  <c r="T454" i="1" s="1"/>
  <c r="R453" i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S449" i="1" l="1"/>
  <c r="T449" i="1" s="1"/>
  <c r="R448" i="1"/>
  <c r="R447" i="1" l="1"/>
  <c r="S448" i="1"/>
  <c r="T448" i="1" s="1"/>
  <c r="R446" i="1" l="1"/>
  <c r="S447" i="1"/>
  <c r="T447" i="1" s="1"/>
  <c r="R445" i="1" l="1"/>
  <c r="S446" i="1"/>
  <c r="T446" i="1" s="1"/>
  <c r="S445" i="1" l="1"/>
  <c r="T445" i="1" s="1"/>
  <c r="R444" i="1"/>
  <c r="S444" i="1" l="1"/>
  <c r="T444" i="1" s="1"/>
  <c r="R443" i="1"/>
  <c r="R442" i="1" l="1"/>
  <c r="S443" i="1"/>
  <c r="T443" i="1" s="1"/>
  <c r="R441" i="1" l="1"/>
  <c r="S442" i="1"/>
  <c r="T442" i="1" s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S437" i="1" l="1"/>
  <c r="T437" i="1" s="1"/>
  <c r="R436" i="1"/>
  <c r="R435" i="1" l="1"/>
  <c r="S436" i="1"/>
  <c r="T436" i="1" s="1"/>
  <c r="S435" i="1" l="1"/>
  <c r="T435" i="1" s="1"/>
  <c r="R434" i="1"/>
  <c r="S434" i="1" l="1"/>
  <c r="T434" i="1" s="1"/>
  <c r="R433" i="1"/>
  <c r="S433" i="1" l="1"/>
  <c r="T433" i="1" s="1"/>
  <c r="R432" i="1"/>
  <c r="R431" i="1" l="1"/>
  <c r="S432" i="1"/>
  <c r="T432" i="1" s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S427" i="1" l="1"/>
  <c r="T427" i="1" s="1"/>
  <c r="R426" i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R420" i="1" l="1"/>
  <c r="S421" i="1"/>
  <c r="T421" i="1" s="1"/>
  <c r="S420" i="1" l="1"/>
  <c r="T420" i="1" s="1"/>
  <c r="R419" i="1"/>
  <c r="R418" i="1" l="1"/>
  <c r="S419" i="1"/>
  <c r="T419" i="1" s="1"/>
  <c r="S418" i="1" l="1"/>
  <c r="T418" i="1" s="1"/>
  <c r="R417" i="1"/>
  <c r="R416" i="1" l="1"/>
  <c r="S417" i="1"/>
  <c r="T417" i="1" s="1"/>
  <c r="S416" i="1" l="1"/>
  <c r="T416" i="1" s="1"/>
  <c r="R415" i="1"/>
  <c r="S415" i="1" l="1"/>
  <c r="T415" i="1" s="1"/>
  <c r="R414" i="1"/>
  <c r="S414" i="1" l="1"/>
  <c r="T414" i="1" s="1"/>
  <c r="R413" i="1"/>
  <c r="S413" i="1" l="1"/>
  <c r="T413" i="1" s="1"/>
  <c r="R412" i="1"/>
  <c r="R411" i="1" l="1"/>
  <c r="S412" i="1"/>
  <c r="T412" i="1" s="1"/>
  <c r="R410" i="1" l="1"/>
  <c r="S411" i="1"/>
  <c r="T411" i="1" s="1"/>
  <c r="R409" i="1" l="1"/>
  <c r="S410" i="1"/>
  <c r="T410" i="1" s="1"/>
  <c r="S409" i="1" l="1"/>
  <c r="T409" i="1" s="1"/>
  <c r="R408" i="1"/>
  <c r="R407" i="1" l="1"/>
  <c r="S408" i="1"/>
  <c r="T408" i="1" s="1"/>
  <c r="R406" i="1" l="1"/>
  <c r="S407" i="1"/>
  <c r="T407" i="1" s="1"/>
  <c r="S406" i="1" l="1"/>
  <c r="T406" i="1" s="1"/>
  <c r="R405" i="1"/>
  <c r="R404" i="1" l="1"/>
  <c r="S405" i="1"/>
  <c r="T405" i="1" s="1"/>
  <c r="R403" i="1" l="1"/>
  <c r="S404" i="1"/>
  <c r="T404" i="1" s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R392" i="1" l="1"/>
  <c r="S393" i="1"/>
  <c r="T393" i="1" s="1"/>
  <c r="R391" i="1" l="1"/>
  <c r="S392" i="1"/>
  <c r="T392" i="1" s="1"/>
  <c r="S391" i="1" l="1"/>
  <c r="T391" i="1" s="1"/>
  <c r="R390" i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S382" i="1" l="1"/>
  <c r="T382" i="1" s="1"/>
  <c r="R381" i="1"/>
  <c r="R380" i="1" l="1"/>
  <c r="S381" i="1"/>
  <c r="T381" i="1" s="1"/>
  <c r="R379" i="1" l="1"/>
  <c r="S380" i="1"/>
  <c r="T380" i="1" s="1"/>
  <c r="S379" i="1" l="1"/>
  <c r="T379" i="1" s="1"/>
  <c r="R378" i="1"/>
  <c r="S378" i="1" l="1"/>
  <c r="T378" i="1" s="1"/>
  <c r="R377" i="1"/>
  <c r="R376" i="1" l="1"/>
  <c r="S377" i="1"/>
  <c r="T377" i="1" s="1"/>
  <c r="R375" i="1" l="1"/>
  <c r="S376" i="1"/>
  <c r="T376" i="1" s="1"/>
  <c r="S375" i="1" l="1"/>
  <c r="T375" i="1" s="1"/>
  <c r="R374" i="1"/>
  <c r="S374" i="1" l="1"/>
  <c r="T374" i="1" s="1"/>
  <c r="R373" i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S369" i="1" l="1"/>
  <c r="T369" i="1" s="1"/>
  <c r="R368" i="1"/>
  <c r="S368" i="1" l="1"/>
  <c r="T368" i="1" s="1"/>
  <c r="R367" i="1"/>
  <c r="S367" i="1" l="1"/>
  <c r="T367" i="1" s="1"/>
  <c r="R366" i="1"/>
  <c r="S366" i="1" l="1"/>
  <c r="T366" i="1" s="1"/>
  <c r="R365" i="1"/>
  <c r="S365" i="1" l="1"/>
  <c r="T365" i="1" s="1"/>
  <c r="R364" i="1"/>
  <c r="R363" i="1" l="1"/>
  <c r="S364" i="1"/>
  <c r="T364" i="1" s="1"/>
  <c r="S363" i="1" l="1"/>
  <c r="T363" i="1" s="1"/>
  <c r="R362" i="1"/>
  <c r="S362" i="1" l="1"/>
  <c r="T362" i="1" s="1"/>
  <c r="R361" i="1"/>
  <c r="R360" i="1" l="1"/>
  <c r="S361" i="1"/>
  <c r="T361" i="1" s="1"/>
  <c r="S360" i="1" l="1"/>
  <c r="T360" i="1" s="1"/>
  <c r="R359" i="1"/>
  <c r="S359" i="1" l="1"/>
  <c r="T359" i="1" s="1"/>
  <c r="R358" i="1"/>
  <c r="S358" i="1" l="1"/>
  <c r="T358" i="1" s="1"/>
  <c r="R357" i="1"/>
  <c r="S357" i="1" l="1"/>
  <c r="T357" i="1" s="1"/>
  <c r="R356" i="1"/>
  <c r="R355" i="1" l="1"/>
  <c r="S356" i="1"/>
  <c r="T356" i="1" s="1"/>
  <c r="R354" i="1" l="1"/>
  <c r="S355" i="1"/>
  <c r="T355" i="1" s="1"/>
  <c r="S354" i="1" l="1"/>
  <c r="T354" i="1" s="1"/>
  <c r="R353" i="1"/>
  <c r="S353" i="1" l="1"/>
  <c r="T353" i="1" s="1"/>
  <c r="R352" i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S348" i="1" l="1"/>
  <c r="T348" i="1" s="1"/>
  <c r="R347" i="1"/>
  <c r="S347" i="1" l="1"/>
  <c r="T347" i="1" s="1"/>
  <c r="R346" i="1"/>
  <c r="S346" i="1" l="1"/>
  <c r="T346" i="1" s="1"/>
  <c r="R345" i="1"/>
  <c r="R344" i="1" l="1"/>
  <c r="S345" i="1"/>
  <c r="T345" i="1" s="1"/>
  <c r="R343" i="1" l="1"/>
  <c r="S344" i="1"/>
  <c r="T344" i="1" s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S339" i="1" l="1"/>
  <c r="T339" i="1" s="1"/>
  <c r="R338" i="1"/>
  <c r="R337" i="1" l="1"/>
  <c r="S338" i="1"/>
  <c r="T338" i="1" s="1"/>
  <c r="S337" i="1" l="1"/>
  <c r="T337" i="1" s="1"/>
  <c r="R336" i="1"/>
  <c r="S336" i="1" l="1"/>
  <c r="T336" i="1" s="1"/>
  <c r="R335" i="1"/>
  <c r="R334" i="1" l="1"/>
  <c r="S335" i="1"/>
  <c r="T335" i="1" s="1"/>
  <c r="R333" i="1" l="1"/>
  <c r="S334" i="1"/>
  <c r="T334" i="1" s="1"/>
  <c r="R332" i="1" l="1"/>
  <c r="S333" i="1"/>
  <c r="T333" i="1" s="1"/>
  <c r="S332" i="1" l="1"/>
  <c r="T332" i="1" s="1"/>
  <c r="R331" i="1"/>
  <c r="S331" i="1" l="1"/>
  <c r="T331" i="1" s="1"/>
  <c r="R330" i="1"/>
  <c r="S330" i="1" l="1"/>
  <c r="T330" i="1" s="1"/>
  <c r="R329" i="1"/>
  <c r="R328" i="1" l="1"/>
  <c r="S329" i="1"/>
  <c r="T329" i="1" s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S319" i="1" l="1"/>
  <c r="T319" i="1" s="1"/>
  <c r="R318" i="1"/>
  <c r="R317" i="1" l="1"/>
  <c r="S318" i="1"/>
  <c r="T318" i="1" s="1"/>
  <c r="S317" i="1" l="1"/>
  <c r="T317" i="1" s="1"/>
  <c r="R316" i="1"/>
  <c r="S316" i="1" l="1"/>
  <c r="T316" i="1" s="1"/>
  <c r="R315" i="1"/>
  <c r="R314" i="1" l="1"/>
  <c r="S315" i="1"/>
  <c r="T315" i="1" s="1"/>
  <c r="S314" i="1" l="1"/>
  <c r="T314" i="1" s="1"/>
  <c r="R313" i="1"/>
  <c r="S313" i="1" l="1"/>
  <c r="T313" i="1" s="1"/>
  <c r="R312" i="1"/>
  <c r="S312" i="1" l="1"/>
  <c r="T312" i="1" s="1"/>
  <c r="R311" i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S301" i="1" l="1"/>
  <c r="T301" i="1" s="1"/>
  <c r="R300" i="1"/>
  <c r="S300" i="1" l="1"/>
  <c r="T300" i="1" s="1"/>
  <c r="R299" i="1"/>
  <c r="R298" i="1" l="1"/>
  <c r="S299" i="1"/>
  <c r="T299" i="1" s="1"/>
  <c r="R297" i="1" l="1"/>
  <c r="S298" i="1"/>
  <c r="T298" i="1" s="1"/>
  <c r="R296" i="1" l="1"/>
  <c r="S297" i="1"/>
  <c r="T297" i="1" s="1"/>
  <c r="S296" i="1" l="1"/>
  <c r="T296" i="1" s="1"/>
  <c r="R295" i="1"/>
  <c r="S295" i="1" l="1"/>
  <c r="T295" i="1" s="1"/>
  <c r="R294" i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R284" i="1" l="1"/>
  <c r="S285" i="1"/>
  <c r="T285" i="1" s="1"/>
  <c r="R283" i="1" l="1"/>
  <c r="S284" i="1"/>
  <c r="T284" i="1" s="1"/>
  <c r="S283" i="1" l="1"/>
  <c r="T283" i="1" s="1"/>
  <c r="R282" i="1"/>
  <c r="S282" i="1" l="1"/>
  <c r="T282" i="1" s="1"/>
  <c r="R281" i="1"/>
  <c r="R280" i="1" l="1"/>
  <c r="S281" i="1"/>
  <c r="T281" i="1" s="1"/>
  <c r="R279" i="1" l="1"/>
  <c r="S280" i="1"/>
  <c r="T280" i="1" s="1"/>
  <c r="S279" i="1" l="1"/>
  <c r="T279" i="1" s="1"/>
  <c r="R278" i="1"/>
  <c r="S278" i="1" l="1"/>
  <c r="T278" i="1" s="1"/>
  <c r="R277" i="1"/>
  <c r="S277" i="1" l="1"/>
  <c r="T277" i="1" s="1"/>
  <c r="R276" i="1"/>
  <c r="R275" i="1" l="1"/>
  <c r="S276" i="1"/>
  <c r="T276" i="1" s="1"/>
  <c r="R274" i="1" l="1"/>
  <c r="S275" i="1"/>
  <c r="T275" i="1" s="1"/>
  <c r="S274" i="1" l="1"/>
  <c r="T274" i="1" s="1"/>
  <c r="R273" i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S269" i="1" l="1"/>
  <c r="T269" i="1" s="1"/>
  <c r="R268" i="1"/>
  <c r="S268" i="1" l="1"/>
  <c r="T268" i="1" s="1"/>
  <c r="R267" i="1"/>
  <c r="S267" i="1" l="1"/>
  <c r="T267" i="1" s="1"/>
  <c r="R266" i="1"/>
  <c r="S266" i="1" l="1"/>
  <c r="T266" i="1" s="1"/>
  <c r="R265" i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S257" i="1" l="1"/>
  <c r="T257" i="1" s="1"/>
  <c r="R256" i="1"/>
  <c r="S256" i="1" l="1"/>
  <c r="T256" i="1" s="1"/>
  <c r="R255" i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S248" i="1" l="1"/>
  <c r="T248" i="1" s="1"/>
  <c r="R247" i="1"/>
  <c r="S247" i="1" l="1"/>
  <c r="T247" i="1" s="1"/>
  <c r="R246" i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S241" i="1" l="1"/>
  <c r="T241" i="1" s="1"/>
  <c r="R240" i="1"/>
  <c r="S240" i="1" l="1"/>
  <c r="T240" i="1" s="1"/>
  <c r="R239" i="1"/>
  <c r="R238" i="1" l="1"/>
  <c r="S239" i="1"/>
  <c r="T239" i="1" s="1"/>
  <c r="S238" i="1" l="1"/>
  <c r="T238" i="1" s="1"/>
  <c r="R237" i="1"/>
  <c r="S237" i="1" l="1"/>
  <c r="T237" i="1" s="1"/>
  <c r="R236" i="1"/>
  <c r="S236" i="1" l="1"/>
  <c r="T236" i="1" s="1"/>
  <c r="R235" i="1"/>
  <c r="R234" i="1" l="1"/>
  <c r="S235" i="1"/>
  <c r="T235" i="1" s="1"/>
  <c r="R233" i="1" l="1"/>
  <c r="S234" i="1"/>
  <c r="T234" i="1" s="1"/>
  <c r="S233" i="1" l="1"/>
  <c r="T233" i="1" s="1"/>
  <c r="R232" i="1"/>
  <c r="S232" i="1" l="1"/>
  <c r="T232" i="1" s="1"/>
  <c r="R231" i="1"/>
  <c r="R230" i="1" l="1"/>
  <c r="S231" i="1"/>
  <c r="T231" i="1" s="1"/>
  <c r="S230" i="1" l="1"/>
  <c r="T230" i="1" s="1"/>
  <c r="R229" i="1"/>
  <c r="S229" i="1" l="1"/>
  <c r="T229" i="1" s="1"/>
  <c r="R228" i="1"/>
  <c r="R227" i="1" l="1"/>
  <c r="S228" i="1"/>
  <c r="T228" i="1" s="1"/>
  <c r="S227" i="1" l="1"/>
  <c r="T227" i="1" s="1"/>
  <c r="R226" i="1"/>
  <c r="S226" i="1" l="1"/>
  <c r="T226" i="1" s="1"/>
  <c r="R225" i="1"/>
  <c r="S225" i="1" l="1"/>
  <c r="T225" i="1" s="1"/>
  <c r="R224" i="1"/>
  <c r="S224" i="1" l="1"/>
  <c r="T224" i="1" s="1"/>
  <c r="R223" i="1"/>
  <c r="R222" i="1" l="1"/>
  <c r="S223" i="1"/>
  <c r="T223" i="1" s="1"/>
  <c r="R221" i="1" l="1"/>
  <c r="S222" i="1"/>
  <c r="T222" i="1" s="1"/>
  <c r="S221" i="1" l="1"/>
  <c r="T221" i="1" s="1"/>
  <c r="R220" i="1"/>
  <c r="S220" i="1" l="1"/>
  <c r="T220" i="1" s="1"/>
  <c r="R219" i="1"/>
  <c r="S219" i="1" l="1"/>
  <c r="T219" i="1" s="1"/>
  <c r="R218" i="1"/>
  <c r="S218" i="1" l="1"/>
  <c r="T218" i="1" s="1"/>
  <c r="R217" i="1"/>
  <c r="S217" i="1" l="1"/>
  <c r="T217" i="1" s="1"/>
  <c r="R216" i="1"/>
  <c r="S216" i="1" l="1"/>
  <c r="T216" i="1" s="1"/>
  <c r="R215" i="1"/>
  <c r="S215" i="1" l="1"/>
  <c r="T215" i="1" s="1"/>
  <c r="R214" i="1"/>
  <c r="S214" i="1" l="1"/>
  <c r="T214" i="1" s="1"/>
  <c r="R213" i="1"/>
  <c r="S213" i="1" l="1"/>
  <c r="T213" i="1" s="1"/>
  <c r="R212" i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S206" i="1" l="1"/>
  <c r="T206" i="1" s="1"/>
  <c r="R205" i="1"/>
  <c r="S205" i="1" l="1"/>
  <c r="T205" i="1" s="1"/>
  <c r="R204" i="1"/>
  <c r="R203" i="1" l="1"/>
  <c r="S204" i="1"/>
  <c r="T204" i="1" s="1"/>
  <c r="R202" i="1" l="1"/>
  <c r="S203" i="1"/>
  <c r="T203" i="1" s="1"/>
  <c r="S202" i="1" l="1"/>
  <c r="T202" i="1" s="1"/>
  <c r="R201" i="1"/>
  <c r="R200" i="1" l="1"/>
  <c r="S201" i="1"/>
  <c r="T201" i="1" s="1"/>
  <c r="S200" i="1" l="1"/>
  <c r="T200" i="1" s="1"/>
  <c r="R199" i="1"/>
  <c r="S199" i="1" l="1"/>
  <c r="T199" i="1" s="1"/>
  <c r="R198" i="1"/>
  <c r="S198" i="1" l="1"/>
  <c r="T198" i="1" s="1"/>
  <c r="R197" i="1"/>
  <c r="R196" i="1" l="1"/>
  <c r="S197" i="1"/>
  <c r="T197" i="1" s="1"/>
  <c r="S196" i="1" l="1"/>
  <c r="T196" i="1" s="1"/>
  <c r="R195" i="1"/>
  <c r="S195" i="1" l="1"/>
  <c r="T195" i="1" s="1"/>
  <c r="R194" i="1"/>
  <c r="S194" i="1" l="1"/>
  <c r="T194" i="1" s="1"/>
  <c r="R193" i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S186" i="1" l="1"/>
  <c r="T186" i="1" s="1"/>
  <c r="R185" i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S178" i="1" l="1"/>
  <c r="T178" i="1" s="1"/>
  <c r="R177" i="1"/>
  <c r="S177" i="1" l="1"/>
  <c r="T177" i="1" s="1"/>
  <c r="R176" i="1"/>
  <c r="R175" i="1" l="1"/>
  <c r="S176" i="1"/>
  <c r="T176" i="1" s="1"/>
  <c r="S175" i="1" l="1"/>
  <c r="T175" i="1" s="1"/>
  <c r="R174" i="1"/>
  <c r="R173" i="1" l="1"/>
  <c r="S174" i="1"/>
  <c r="T174" i="1" s="1"/>
  <c r="S173" i="1" l="1"/>
  <c r="T173" i="1" s="1"/>
  <c r="R172" i="1"/>
  <c r="R171" i="1" l="1"/>
  <c r="S172" i="1"/>
  <c r="T172" i="1" s="1"/>
  <c r="S171" i="1" l="1"/>
  <c r="T171" i="1" s="1"/>
  <c r="R170" i="1"/>
  <c r="R169" i="1" l="1"/>
  <c r="S170" i="1"/>
  <c r="T170" i="1" s="1"/>
  <c r="S169" i="1" l="1"/>
  <c r="T169" i="1" s="1"/>
  <c r="R168" i="1"/>
  <c r="S168" i="1" l="1"/>
  <c r="T168" i="1" s="1"/>
  <c r="R167" i="1"/>
  <c r="S167" i="1" l="1"/>
  <c r="T167" i="1" s="1"/>
  <c r="R166" i="1"/>
  <c r="R165" i="1" l="1"/>
  <c r="S166" i="1"/>
  <c r="T166" i="1" s="1"/>
  <c r="S165" i="1" l="1"/>
  <c r="T165" i="1" s="1"/>
  <c r="R164" i="1"/>
  <c r="S164" i="1" l="1"/>
  <c r="T164" i="1" s="1"/>
  <c r="R163" i="1"/>
  <c r="S163" i="1" l="1"/>
  <c r="T163" i="1" s="1"/>
  <c r="R162" i="1"/>
  <c r="S162" i="1" l="1"/>
  <c r="T162" i="1" s="1"/>
  <c r="R161" i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S157" i="1" l="1"/>
  <c r="T157" i="1" s="1"/>
  <c r="R156" i="1"/>
  <c r="S156" i="1" l="1"/>
  <c r="T156" i="1" s="1"/>
  <c r="R155" i="1"/>
  <c r="S155" i="1" l="1"/>
  <c r="T155" i="1" s="1"/>
  <c r="R154" i="1"/>
  <c r="S154" i="1" l="1"/>
  <c r="T154" i="1" s="1"/>
  <c r="R153" i="1"/>
  <c r="S153" i="1" l="1"/>
  <c r="T153" i="1" s="1"/>
  <c r="R152" i="1"/>
  <c r="S152" i="1" l="1"/>
  <c r="T152" i="1" s="1"/>
  <c r="R151" i="1"/>
  <c r="S151" i="1" l="1"/>
  <c r="T151" i="1" s="1"/>
  <c r="R150" i="1"/>
  <c r="R149" i="1" l="1"/>
  <c r="S150" i="1"/>
  <c r="T150" i="1" s="1"/>
  <c r="S149" i="1" l="1"/>
  <c r="T149" i="1" s="1"/>
  <c r="R148" i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S130" i="1" l="1"/>
  <c r="T130" i="1" s="1"/>
  <c r="R129" i="1"/>
  <c r="R128" i="1" l="1"/>
  <c r="S129" i="1"/>
  <c r="T129" i="1" s="1"/>
  <c r="S128" i="1" l="1"/>
  <c r="T128" i="1" s="1"/>
  <c r="R127" i="1"/>
  <c r="S127" i="1" l="1"/>
  <c r="T127" i="1" s="1"/>
  <c r="R126" i="1"/>
  <c r="R125" i="1" l="1"/>
  <c r="S126" i="1"/>
  <c r="T126" i="1" s="1"/>
  <c r="S125" i="1" l="1"/>
  <c r="T125" i="1" s="1"/>
  <c r="R124" i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S118" i="1" l="1"/>
  <c r="T118" i="1" s="1"/>
  <c r="R117" i="1"/>
  <c r="S117" i="1" l="1"/>
  <c r="T117" i="1" s="1"/>
  <c r="R116" i="1"/>
  <c r="S116" i="1" l="1"/>
  <c r="T116" i="1" s="1"/>
  <c r="R115" i="1"/>
  <c r="S115" i="1" l="1"/>
  <c r="T115" i="1" s="1"/>
  <c r="R114" i="1"/>
  <c r="S114" i="1" l="1"/>
  <c r="T114" i="1" s="1"/>
  <c r="R113" i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S109" i="1" l="1"/>
  <c r="T109" i="1" s="1"/>
  <c r="R108" i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S79" i="1" l="1"/>
  <c r="T79" i="1" s="1"/>
  <c r="R78" i="1"/>
  <c r="R77" i="1" l="1"/>
  <c r="S78" i="1"/>
  <c r="T78" i="1" s="1"/>
  <c r="S77" i="1" l="1"/>
  <c r="T77" i="1" s="1"/>
  <c r="R76" i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R71" i="1" l="1"/>
  <c r="S72" i="1"/>
  <c r="T72" i="1" s="1"/>
  <c r="R70" i="1" l="1"/>
  <c r="S71" i="1"/>
  <c r="T71" i="1" s="1"/>
  <c r="S70" i="1" l="1"/>
  <c r="T70" i="1" s="1"/>
  <c r="R69" i="1"/>
  <c r="R68" i="1" l="1"/>
  <c r="S69" i="1"/>
  <c r="T69" i="1" s="1"/>
  <c r="S68" i="1" l="1"/>
  <c r="T68" i="1" s="1"/>
  <c r="R67" i="1"/>
  <c r="R66" i="1" l="1"/>
  <c r="S67" i="1"/>
  <c r="T67" i="1" s="1"/>
  <c r="S66" i="1" l="1"/>
  <c r="T66" i="1" s="1"/>
  <c r="R65" i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S53" i="1" l="1"/>
  <c r="T53" i="1" s="1"/>
  <c r="R52" i="1"/>
  <c r="S52" i="1" l="1"/>
  <c r="T52" i="1" s="1"/>
  <c r="R51" i="1"/>
  <c r="S51" i="1" l="1"/>
  <c r="T51" i="1" s="1"/>
  <c r="R50" i="1"/>
  <c r="S50" i="1" l="1"/>
  <c r="T50" i="1" s="1"/>
  <c r="R49" i="1"/>
  <c r="S49" i="1" l="1"/>
  <c r="T49" i="1" s="1"/>
  <c r="R48" i="1"/>
  <c r="R47" i="1" l="1"/>
  <c r="S48" i="1"/>
  <c r="T48" i="1" s="1"/>
  <c r="R46" i="1" l="1"/>
  <c r="S47" i="1"/>
  <c r="T47" i="1" s="1"/>
  <c r="S46" i="1" l="1"/>
  <c r="T46" i="1" s="1"/>
  <c r="R45" i="1"/>
  <c r="R44" i="1" l="1"/>
  <c r="S45" i="1"/>
  <c r="T45" i="1" s="1"/>
  <c r="S44" i="1" l="1"/>
  <c r="T44" i="1" s="1"/>
  <c r="R43" i="1"/>
  <c r="S43" i="1" l="1"/>
  <c r="T43" i="1" s="1"/>
  <c r="R42" i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S35" i="1" l="1"/>
  <c r="T35" i="1" s="1"/>
  <c r="R34" i="1"/>
  <c r="S34" i="1" l="1"/>
  <c r="T34" i="1" s="1"/>
  <c r="R33" i="1"/>
  <c r="S33" i="1" l="1"/>
  <c r="T33" i="1" s="1"/>
  <c r="R32" i="1"/>
  <c r="R31" i="1" l="1"/>
  <c r="S32" i="1"/>
  <c r="T32" i="1" s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R24" i="1" l="1"/>
  <c r="S25" i="1"/>
  <c r="T25" i="1" s="1"/>
  <c r="S24" i="1" l="1"/>
  <c r="T24" i="1" s="1"/>
  <c r="R23" i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<sst xmlns="http://schemas.openxmlformats.org/spreadsheetml/2006/main" count="1804" uniqueCount="34">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</sst>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3.4929999999999999</c:v>
                </c:pt>
                <c:pt idx="1">
                  <c:v>3.5489999999999999</c:v>
                </c:pt>
                <c:pt idx="2">
                  <c:v>3.5760000000000001</c:v>
                </c:pt>
                <c:pt idx="3">
                  <c:v>3.3959999999999999</c:v>
                </c:pt>
                <c:pt idx="4">
                  <c:v>3.7530000000000001</c:v>
                </c:pt>
                <c:pt idx="5">
                  <c:v>3.6909999999999998</c:v>
                </c:pt>
                <c:pt idx="6">
                  <c:v>4.258</c:v>
                </c:pt>
                <c:pt idx="7">
                  <c:v>4.7789999999999999</c:v>
                </c:pt>
                <c:pt idx="8">
                  <c:v>4.9619999999999997</c:v>
                </c:pt>
                <c:pt idx="9">
                  <c:v>5.1639999999999997</c:v>
                </c:pt>
                <c:pt idx="10">
                  <c:v>5.1660000000000004</c:v>
                </c:pt>
                <c:pt idx="11">
                  <c:v>5.407</c:v>
                </c:pt>
                <c:pt idx="12">
                  <c:v>5.4690000000000003</c:v>
                </c:pt>
                <c:pt idx="13">
                  <c:v>5.3810000000000002</c:v>
                </c:pt>
                <c:pt idx="14">
                  <c:v>5.3090000000000002</c:v>
                </c:pt>
                <c:pt idx="15">
                  <c:v>5.5419999999999998</c:v>
                </c:pt>
                <c:pt idx="16">
                  <c:v>5.3330000000000002</c:v>
                </c:pt>
                <c:pt idx="17">
                  <c:v>5.07</c:v>
                </c:pt>
                <c:pt idx="18">
                  <c:v>5.3570000000000002</c:v>
                </c:pt>
                <c:pt idx="19">
                  <c:v>5.2480000000000002</c:v>
                </c:pt>
                <c:pt idx="20">
                  <c:v>5.3449999999999998</c:v>
                </c:pt>
                <c:pt idx="21">
                  <c:v>5.859</c:v>
                </c:pt>
                <c:pt idx="22">
                  <c:v>6.0389999999999997</c:v>
                </c:pt>
                <c:pt idx="23">
                  <c:v>6.4969999999999999</c:v>
                </c:pt>
                <c:pt idx="24">
                  <c:v>6.5720000000000001</c:v>
                </c:pt>
                <c:pt idx="25">
                  <c:v>6.8810000000000002</c:v>
                </c:pt>
                <c:pt idx="26">
                  <c:v>6.56</c:v>
                </c:pt>
                <c:pt idx="27">
                  <c:v>6.3449999999999998</c:v>
                </c:pt>
                <c:pt idx="28">
                  <c:v>6.5380000000000003</c:v>
                </c:pt>
                <c:pt idx="29">
                  <c:v>6.5460000000000003</c:v>
                </c:pt>
                <c:pt idx="30">
                  <c:v>6.95</c:v>
                </c:pt>
                <c:pt idx="31">
                  <c:v>7.5430000000000001</c:v>
                </c:pt>
                <c:pt idx="32">
                  <c:v>7.6040000000000001</c:v>
                </c:pt>
                <c:pt idx="33">
                  <c:v>7.7169999999999996</c:v>
                </c:pt>
                <c:pt idx="34">
                  <c:v>7.524</c:v>
                </c:pt>
                <c:pt idx="35">
                  <c:v>7.782</c:v>
                </c:pt>
                <c:pt idx="36">
                  <c:v>7.335</c:v>
                </c:pt>
                <c:pt idx="37">
                  <c:v>7.2240000000000002</c:v>
                </c:pt>
                <c:pt idx="38">
                  <c:v>7.0410000000000004</c:v>
                </c:pt>
                <c:pt idx="39">
                  <c:v>7.1970000000000001</c:v>
                </c:pt>
                <c:pt idx="40">
                  <c:v>7.35</c:v>
                </c:pt>
                <c:pt idx="41">
                  <c:v>7.2119999999999997</c:v>
                </c:pt>
                <c:pt idx="42">
                  <c:v>7.617</c:v>
                </c:pt>
                <c:pt idx="43">
                  <c:v>7.8140000000000001</c:v>
                </c:pt>
                <c:pt idx="44">
                  <c:v>7.4269999999999996</c:v>
                </c:pt>
                <c:pt idx="45">
                  <c:v>7.18</c:v>
                </c:pt>
                <c:pt idx="46">
                  <c:v>8.0039999999999996</c:v>
                </c:pt>
                <c:pt idx="47">
                  <c:v>7.76</c:v>
                </c:pt>
                <c:pt idx="48">
                  <c:v>7.6870000000000003</c:v>
                </c:pt>
                <c:pt idx="49">
                  <c:v>8.2050000000000001</c:v>
                </c:pt>
                <c:pt idx="50">
                  <c:v>8.8740000000000006</c:v>
                </c:pt>
                <c:pt idx="51">
                  <c:v>8.7439999999999998</c:v>
                </c:pt>
                <c:pt idx="52">
                  <c:v>8.8490000000000002</c:v>
                </c:pt>
                <c:pt idx="53">
                  <c:v>8.9969999999999999</c:v>
                </c:pt>
                <c:pt idx="54">
                  <c:v>9.3680000000000003</c:v>
                </c:pt>
                <c:pt idx="55">
                  <c:v>10.455</c:v>
                </c:pt>
                <c:pt idx="56">
                  <c:v>11.201000000000001</c:v>
                </c:pt>
                <c:pt idx="57">
                  <c:v>11.154999999999999</c:v>
                </c:pt>
                <c:pt idx="58">
                  <c:v>10.879</c:v>
                </c:pt>
                <c:pt idx="59">
                  <c:v>10.632999999999999</c:v>
                </c:pt>
                <c:pt idx="60">
                  <c:v>9.9770000000000003</c:v>
                </c:pt>
                <c:pt idx="61">
                  <c:v>9.7110000000000003</c:v>
                </c:pt>
                <c:pt idx="62">
                  <c:v>9.4920000000000009</c:v>
                </c:pt>
                <c:pt idx="63">
                  <c:v>10.307</c:v>
                </c:pt>
                <c:pt idx="64">
                  <c:v>10.054</c:v>
                </c:pt>
                <c:pt idx="65">
                  <c:v>10.116</c:v>
                </c:pt>
                <c:pt idx="66">
                  <c:v>9.8469999999999995</c:v>
                </c:pt>
                <c:pt idx="67">
                  <c:v>10.282999999999999</c:v>
                </c:pt>
                <c:pt idx="68">
                  <c:v>10.28</c:v>
                </c:pt>
                <c:pt idx="69">
                  <c:v>10.105</c:v>
                </c:pt>
                <c:pt idx="70">
                  <c:v>9.4049999999999994</c:v>
                </c:pt>
                <c:pt idx="71">
                  <c:v>10.385999999999999</c:v>
                </c:pt>
                <c:pt idx="72">
                  <c:v>10.257</c:v>
                </c:pt>
                <c:pt idx="73">
                  <c:v>11.108000000000001</c:v>
                </c:pt>
                <c:pt idx="74">
                  <c:v>11.208</c:v>
                </c:pt>
                <c:pt idx="75">
                  <c:v>11.412000000000001</c:v>
                </c:pt>
                <c:pt idx="76">
                  <c:v>11.065</c:v>
                </c:pt>
                <c:pt idx="77">
                  <c:v>11.269</c:v>
                </c:pt>
                <c:pt idx="78">
                  <c:v>11.249000000000001</c:v>
                </c:pt>
                <c:pt idx="79">
                  <c:v>12.039</c:v>
                </c:pt>
                <c:pt idx="80">
                  <c:v>12.423</c:v>
                </c:pt>
                <c:pt idx="81">
                  <c:v>12.662000000000001</c:v>
                </c:pt>
                <c:pt idx="82">
                  <c:v>12.525</c:v>
                </c:pt>
                <c:pt idx="83">
                  <c:v>11.669</c:v>
                </c:pt>
                <c:pt idx="84">
                  <c:v>12.206</c:v>
                </c:pt>
                <c:pt idx="85">
                  <c:v>12.698</c:v>
                </c:pt>
                <c:pt idx="86">
                  <c:v>11.377000000000001</c:v>
                </c:pt>
                <c:pt idx="87">
                  <c:v>10.817</c:v>
                </c:pt>
                <c:pt idx="88">
                  <c:v>10.605</c:v>
                </c:pt>
                <c:pt idx="89">
                  <c:v>10.878</c:v>
                </c:pt>
                <c:pt idx="90">
                  <c:v>10.404999999999999</c:v>
                </c:pt>
                <c:pt idx="91">
                  <c:v>9.9649999999999999</c:v>
                </c:pt>
                <c:pt idx="92">
                  <c:v>9.3000000000000007</c:v>
                </c:pt>
                <c:pt idx="93">
                  <c:v>10.307</c:v>
                </c:pt>
                <c:pt idx="94">
                  <c:v>10.638</c:v>
                </c:pt>
                <c:pt idx="95">
                  <c:v>10.228</c:v>
                </c:pt>
                <c:pt idx="96">
                  <c:v>10.442</c:v>
                </c:pt>
                <c:pt idx="97">
                  <c:v>10.599</c:v>
                </c:pt>
                <c:pt idx="98">
                  <c:v>10.211</c:v>
                </c:pt>
                <c:pt idx="99">
                  <c:v>10.314</c:v>
                </c:pt>
                <c:pt idx="100">
                  <c:v>9.4489999999999998</c:v>
                </c:pt>
                <c:pt idx="101">
                  <c:v>9.3330000000000002</c:v>
                </c:pt>
                <c:pt idx="102">
                  <c:v>9.5459999999999994</c:v>
                </c:pt>
                <c:pt idx="103">
                  <c:v>9.8260000000000005</c:v>
                </c:pt>
                <c:pt idx="104">
                  <c:v>10.212</c:v>
                </c:pt>
                <c:pt idx="105">
                  <c:v>9.8829999999999991</c:v>
                </c:pt>
                <c:pt idx="106">
                  <c:v>10.039999999999999</c:v>
                </c:pt>
                <c:pt idx="107">
                  <c:v>9.5909999999999993</c:v>
                </c:pt>
                <c:pt idx="108">
                  <c:v>9.4450000000000003</c:v>
                </c:pt>
                <c:pt idx="109">
                  <c:v>9.5679999999999996</c:v>
                </c:pt>
                <c:pt idx="110">
                  <c:v>10.286</c:v>
                </c:pt>
                <c:pt idx="111">
                  <c:v>10.288</c:v>
                </c:pt>
                <c:pt idx="112">
                  <c:v>10.266</c:v>
                </c:pt>
                <c:pt idx="113">
                  <c:v>10.756</c:v>
                </c:pt>
                <c:pt idx="114">
                  <c:v>11.039</c:v>
                </c:pt>
                <c:pt idx="115">
                  <c:v>11.106</c:v>
                </c:pt>
                <c:pt idx="116">
                  <c:v>11.513</c:v>
                </c:pt>
                <c:pt idx="117">
                  <c:v>11.131</c:v>
                </c:pt>
                <c:pt idx="118">
                  <c:v>10.994999999999999</c:v>
                </c:pt>
                <c:pt idx="119">
                  <c:v>9.6300000000000008</c:v>
                </c:pt>
                <c:pt idx="120">
                  <c:v>9.1560000000000006</c:v>
                </c:pt>
                <c:pt idx="121">
                  <c:v>9.1470000000000002</c:v>
                </c:pt>
                <c:pt idx="122">
                  <c:v>9.6509999999999998</c:v>
                </c:pt>
                <c:pt idx="123">
                  <c:v>9.6869999999999994</c:v>
                </c:pt>
                <c:pt idx="124">
                  <c:v>9.8699999999999992</c:v>
                </c:pt>
                <c:pt idx="125">
                  <c:v>10.071999999999999</c:v>
                </c:pt>
                <c:pt idx="126">
                  <c:v>11.631</c:v>
                </c:pt>
                <c:pt idx="127">
                  <c:v>10.616</c:v>
                </c:pt>
                <c:pt idx="128">
                  <c:v>9.1769999999999996</c:v>
                </c:pt>
                <c:pt idx="129">
                  <c:v>10.79</c:v>
                </c:pt>
                <c:pt idx="130">
                  <c:v>12</c:v>
                </c:pt>
                <c:pt idx="131">
                  <c:v>13.236000000000001</c:v>
                </c:pt>
                <c:pt idx="132">
                  <c:v>12.164</c:v>
                </c:pt>
                <c:pt idx="133">
                  <c:v>12.917999999999999</c:v>
                </c:pt>
                <c:pt idx="134">
                  <c:v>13.606</c:v>
                </c:pt>
                <c:pt idx="135">
                  <c:v>13.304</c:v>
                </c:pt>
                <c:pt idx="136">
                  <c:v>14.465</c:v>
                </c:pt>
                <c:pt idx="137">
                  <c:v>16.484000000000002</c:v>
                </c:pt>
                <c:pt idx="138">
                  <c:v>14.962</c:v>
                </c:pt>
                <c:pt idx="139">
                  <c:v>14.42</c:v>
                </c:pt>
                <c:pt idx="140">
                  <c:v>14.782999999999999</c:v>
                </c:pt>
                <c:pt idx="141">
                  <c:v>12.57</c:v>
                </c:pt>
                <c:pt idx="142">
                  <c:v>11.779</c:v>
                </c:pt>
                <c:pt idx="143">
                  <c:v>12.831</c:v>
                </c:pt>
                <c:pt idx="144">
                  <c:v>12.46</c:v>
                </c:pt>
                <c:pt idx="145">
                  <c:v>12.363</c:v>
                </c:pt>
                <c:pt idx="146">
                  <c:v>12.69</c:v>
                </c:pt>
                <c:pt idx="147">
                  <c:v>11.754</c:v>
                </c:pt>
                <c:pt idx="148">
                  <c:v>11.583</c:v>
                </c:pt>
                <c:pt idx="149">
                  <c:v>12.041</c:v>
                </c:pt>
                <c:pt idx="150">
                  <c:v>11.683</c:v>
                </c:pt>
                <c:pt idx="151">
                  <c:v>11.499000000000001</c:v>
                </c:pt>
                <c:pt idx="152">
                  <c:v>11.286</c:v>
                </c:pt>
                <c:pt idx="153">
                  <c:v>10.132999999999999</c:v>
                </c:pt>
                <c:pt idx="154">
                  <c:v>6.851</c:v>
                </c:pt>
                <c:pt idx="155">
                  <c:v>7.22</c:v>
                </c:pt>
                <c:pt idx="156">
                  <c:v>6.9779999999999998</c:v>
                </c:pt>
                <c:pt idx="157">
                  <c:v>7.2290000000000001</c:v>
                </c:pt>
                <c:pt idx="158">
                  <c:v>7.5439999999999996</c:v>
                </c:pt>
                <c:pt idx="159">
                  <c:v>7.3819999999999997</c:v>
                </c:pt>
                <c:pt idx="160">
                  <c:v>8.2370000000000001</c:v>
                </c:pt>
                <c:pt idx="161">
                  <c:v>7.47</c:v>
                </c:pt>
                <c:pt idx="162">
                  <c:v>7.6269999999999998</c:v>
                </c:pt>
                <c:pt idx="163">
                  <c:v>6.883</c:v>
                </c:pt>
                <c:pt idx="164">
                  <c:v>6.25</c:v>
                </c:pt>
                <c:pt idx="165">
                  <c:v>5.8159999999999998</c:v>
                </c:pt>
                <c:pt idx="166">
                  <c:v>4.9740000000000002</c:v>
                </c:pt>
                <c:pt idx="167">
                  <c:v>5.0910000000000002</c:v>
                </c:pt>
                <c:pt idx="168">
                  <c:v>4.5049999999999999</c:v>
                </c:pt>
                <c:pt idx="169">
                  <c:v>4.1989999999999998</c:v>
                </c:pt>
                <c:pt idx="170">
                  <c:v>4.2009999999999996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E3-4F63-B8BB-9BD508E8DA6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-0.40273719203882313</c:v>
                </c:pt>
                <c:pt idx="1">
                  <c:v>-0.40194866567147619</c:v>
                </c:pt>
                <c:pt idx="2">
                  <c:v>-0.3947710200595359</c:v>
                </c:pt>
                <c:pt idx="3">
                  <c:v>-0.39864811634033814</c:v>
                </c:pt>
                <c:pt idx="4">
                  <c:v>-0.39579326312617014</c:v>
                </c:pt>
                <c:pt idx="5">
                  <c:v>-0.3902074415545348</c:v>
                </c:pt>
                <c:pt idx="6">
                  <c:v>-0.38167364563278561</c:v>
                </c:pt>
                <c:pt idx="7">
                  <c:v>-0.37519417647185027</c:v>
                </c:pt>
                <c:pt idx="8">
                  <c:v>-0.37114675372486233</c:v>
                </c:pt>
                <c:pt idx="9">
                  <c:v>-0.36930679390806848</c:v>
                </c:pt>
                <c:pt idx="10">
                  <c:v>-0.37115770222207817</c:v>
                </c:pt>
                <c:pt idx="11">
                  <c:v>-0.36883621752419293</c:v>
                </c:pt>
                <c:pt idx="12">
                  <c:v>-0.36723414052419295</c:v>
                </c:pt>
                <c:pt idx="13">
                  <c:v>-0.36839344352419301</c:v>
                </c:pt>
                <c:pt idx="14">
                  <c:v>-0.37079149396228828</c:v>
                </c:pt>
                <c:pt idx="15">
                  <c:v>-0.36526978566588941</c:v>
                </c:pt>
                <c:pt idx="16">
                  <c:v>-0.36913069627303219</c:v>
                </c:pt>
                <c:pt idx="17">
                  <c:v>-0.37256159426256097</c:v>
                </c:pt>
                <c:pt idx="18">
                  <c:v>-0.36981396264433969</c:v>
                </c:pt>
                <c:pt idx="19">
                  <c:v>-0.37040104984354294</c:v>
                </c:pt>
                <c:pt idx="20">
                  <c:v>-0.36753820370690926</c:v>
                </c:pt>
                <c:pt idx="21">
                  <c:v>-0.36109662994275826</c:v>
                </c:pt>
                <c:pt idx="22">
                  <c:v>-0.36010883707319313</c:v>
                </c:pt>
                <c:pt idx="23">
                  <c:v>-0.35686755307592288</c:v>
                </c:pt>
                <c:pt idx="24">
                  <c:v>-0.35473450677899449</c:v>
                </c:pt>
                <c:pt idx="25">
                  <c:v>-0.35233455304391986</c:v>
                </c:pt>
                <c:pt idx="26">
                  <c:v>-0.35630614747140077</c:v>
                </c:pt>
                <c:pt idx="27">
                  <c:v>-0.35919227294148626</c:v>
                </c:pt>
                <c:pt idx="28">
                  <c:v>-0.35639873915910281</c:v>
                </c:pt>
                <c:pt idx="29">
                  <c:v>-0.35538076734530971</c:v>
                </c:pt>
                <c:pt idx="30">
                  <c:v>-0.35051649338317542</c:v>
                </c:pt>
                <c:pt idx="31">
                  <c:v>-0.34375292970173049</c:v>
                </c:pt>
                <c:pt idx="32">
                  <c:v>-0.33375189919335052</c:v>
                </c:pt>
                <c:pt idx="33">
                  <c:v>-0.33320936388066624</c:v>
                </c:pt>
                <c:pt idx="34">
                  <c:v>-0.33143984659614739</c:v>
                </c:pt>
                <c:pt idx="35">
                  <c:v>-0.32708440842127467</c:v>
                </c:pt>
                <c:pt idx="36">
                  <c:v>-0.33301381576136835</c:v>
                </c:pt>
                <c:pt idx="37">
                  <c:v>-0.33176665349271162</c:v>
                </c:pt>
                <c:pt idx="38">
                  <c:v>-0.33373296232327643</c:v>
                </c:pt>
                <c:pt idx="39">
                  <c:v>-0.33386188191206145</c:v>
                </c:pt>
                <c:pt idx="40">
                  <c:v>-0.33198135030336579</c:v>
                </c:pt>
                <c:pt idx="41">
                  <c:v>-0.3322151853033658</c:v>
                </c:pt>
                <c:pt idx="42">
                  <c:v>-0.32840639762539975</c:v>
                </c:pt>
                <c:pt idx="43">
                  <c:v>-0.32404536667803124</c:v>
                </c:pt>
                <c:pt idx="44">
                  <c:v>-0.32904702386651297</c:v>
                </c:pt>
                <c:pt idx="45">
                  <c:v>-0.33236672337213091</c:v>
                </c:pt>
                <c:pt idx="46">
                  <c:v>-0.32806834700617782</c:v>
                </c:pt>
                <c:pt idx="47">
                  <c:v>-0.33066933636438672</c:v>
                </c:pt>
                <c:pt idx="48">
                  <c:v>-0.33101360257867241</c:v>
                </c:pt>
                <c:pt idx="49">
                  <c:v>-0.32342096895567779</c:v>
                </c:pt>
                <c:pt idx="50">
                  <c:v>-0.31816068863652885</c:v>
                </c:pt>
                <c:pt idx="51">
                  <c:v>-0.3235837026365288</c:v>
                </c:pt>
                <c:pt idx="52">
                  <c:v>-0.32049132331680097</c:v>
                </c:pt>
                <c:pt idx="53">
                  <c:v>-0.32849796801018072</c:v>
                </c:pt>
                <c:pt idx="54">
                  <c:v>-0.32545326161314003</c:v>
                </c:pt>
                <c:pt idx="55">
                  <c:v>-0.32867606653427572</c:v>
                </c:pt>
                <c:pt idx="56">
                  <c:v>-0.32316933861108182</c:v>
                </c:pt>
                <c:pt idx="57">
                  <c:v>-0.31618553238193714</c:v>
                </c:pt>
                <c:pt idx="58">
                  <c:v>-0.31196237435681151</c:v>
                </c:pt>
                <c:pt idx="59">
                  <c:v>-0.31481495266575454</c:v>
                </c:pt>
                <c:pt idx="60">
                  <c:v>-0.32091693682749023</c:v>
                </c:pt>
                <c:pt idx="61">
                  <c:v>-0.32758375707073351</c:v>
                </c:pt>
                <c:pt idx="62">
                  <c:v>-0.32860387162487359</c:v>
                </c:pt>
                <c:pt idx="63">
                  <c:v>-0.32419350061529367</c:v>
                </c:pt>
                <c:pt idx="64">
                  <c:v>-0.32608147560116496</c:v>
                </c:pt>
                <c:pt idx="65">
                  <c:v>-0.32635954143302337</c:v>
                </c:pt>
                <c:pt idx="66">
                  <c:v>-0.33018493550709743</c:v>
                </c:pt>
                <c:pt idx="67">
                  <c:v>-0.32502464089323602</c:v>
                </c:pt>
                <c:pt idx="68">
                  <c:v>-0.32397672228564106</c:v>
                </c:pt>
                <c:pt idx="69">
                  <c:v>-0.32630990098437068</c:v>
                </c:pt>
                <c:pt idx="70">
                  <c:v>-0.33345153829943919</c:v>
                </c:pt>
                <c:pt idx="71">
                  <c:v>-0.32730409116276493</c:v>
                </c:pt>
                <c:pt idx="72">
                  <c:v>-0.32922256368500125</c:v>
                </c:pt>
                <c:pt idx="73">
                  <c:v>-0.3274249939169635</c:v>
                </c:pt>
                <c:pt idx="74">
                  <c:v>-0.32355779798871237</c:v>
                </c:pt>
                <c:pt idx="75">
                  <c:v>-0.32376967185589989</c:v>
                </c:pt>
                <c:pt idx="76">
                  <c:v>-0.32642444920551822</c:v>
                </c:pt>
                <c:pt idx="77">
                  <c:v>-0.32658145229200469</c:v>
                </c:pt>
                <c:pt idx="78">
                  <c:v>-0.32452039319926279</c:v>
                </c:pt>
                <c:pt idx="79">
                  <c:v>-0.32402373931247036</c:v>
                </c:pt>
                <c:pt idx="80">
                  <c:v>-0.32196180372082306</c:v>
                </c:pt>
                <c:pt idx="81">
                  <c:v>-0.32271082424932046</c:v>
                </c:pt>
                <c:pt idx="82">
                  <c:v>-0.32614313063511702</c:v>
                </c:pt>
                <c:pt idx="83">
                  <c:v>-0.34158527746523965</c:v>
                </c:pt>
                <c:pt idx="84">
                  <c:v>-0.33426297269641531</c:v>
                </c:pt>
                <c:pt idx="85">
                  <c:v>-0.32848408347389518</c:v>
                </c:pt>
                <c:pt idx="86">
                  <c:v>-0.35014413039357756</c:v>
                </c:pt>
                <c:pt idx="87">
                  <c:v>-0.36154295898932226</c:v>
                </c:pt>
                <c:pt idx="88">
                  <c:v>-0.36463557979320582</c:v>
                </c:pt>
                <c:pt idx="89">
                  <c:v>-0.36679908815049972</c:v>
                </c:pt>
                <c:pt idx="90">
                  <c:v>-0.36852709248486026</c:v>
                </c:pt>
                <c:pt idx="91">
                  <c:v>-0.375239907811176</c:v>
                </c:pt>
                <c:pt idx="92">
                  <c:v>-0.38535300169191</c:v>
                </c:pt>
                <c:pt idx="93">
                  <c:v>-0.38004212220965522</c:v>
                </c:pt>
                <c:pt idx="94">
                  <c:v>-0.37085563768759094</c:v>
                </c:pt>
                <c:pt idx="95">
                  <c:v>-0.37066003803282899</c:v>
                </c:pt>
                <c:pt idx="96">
                  <c:v>-0.37224294002631431</c:v>
                </c:pt>
                <c:pt idx="97">
                  <c:v>-0.36740699142938543</c:v>
                </c:pt>
                <c:pt idx="98">
                  <c:v>-0.36415851502013269</c:v>
                </c:pt>
                <c:pt idx="99">
                  <c:v>-0.35258834565229358</c:v>
                </c:pt>
                <c:pt idx="100">
                  <c:v>-0.3644010524516666</c:v>
                </c:pt>
                <c:pt idx="101">
                  <c:v>-0.36473999323154083</c:v>
                </c:pt>
                <c:pt idx="102">
                  <c:v>-0.35985274563332653</c:v>
                </c:pt>
                <c:pt idx="103">
                  <c:v>-0.35766306685720711</c:v>
                </c:pt>
                <c:pt idx="104">
                  <c:v>-0.35218883445720711</c:v>
                </c:pt>
                <c:pt idx="105">
                  <c:v>-0.35522258209729329</c:v>
                </c:pt>
                <c:pt idx="106">
                  <c:v>-0.3486295241368802</c:v>
                </c:pt>
                <c:pt idx="107">
                  <c:v>-0.35948652124753594</c:v>
                </c:pt>
                <c:pt idx="108">
                  <c:v>-0.36863586713757029</c:v>
                </c:pt>
                <c:pt idx="109">
                  <c:v>-0.36562784771032575</c:v>
                </c:pt>
                <c:pt idx="110">
                  <c:v>-0.3592556116125814</c:v>
                </c:pt>
                <c:pt idx="111">
                  <c:v>-0.35761473045217179</c:v>
                </c:pt>
                <c:pt idx="112">
                  <c:v>-0.35226636799589806</c:v>
                </c:pt>
                <c:pt idx="113">
                  <c:v>-0.34406052864426856</c:v>
                </c:pt>
                <c:pt idx="114">
                  <c:v>-0.34576574674771687</c:v>
                </c:pt>
                <c:pt idx="115">
                  <c:v>-0.34247568360575448</c:v>
                </c:pt>
                <c:pt idx="116">
                  <c:v>-0.34160199382774831</c:v>
                </c:pt>
                <c:pt idx="117">
                  <c:v>-0.34307288951663717</c:v>
                </c:pt>
                <c:pt idx="118">
                  <c:v>-0.3417729651563518</c:v>
                </c:pt>
                <c:pt idx="119">
                  <c:v>-0.36250318887841143</c:v>
                </c:pt>
                <c:pt idx="120">
                  <c:v>-0.37182421675945238</c:v>
                </c:pt>
                <c:pt idx="121">
                  <c:v>-0.36856519983874753</c:v>
                </c:pt>
                <c:pt idx="122">
                  <c:v>-0.3581679346428292</c:v>
                </c:pt>
                <c:pt idx="123">
                  <c:v>-0.33880261749282919</c:v>
                </c:pt>
                <c:pt idx="124">
                  <c:v>-0.34307706964029461</c:v>
                </c:pt>
                <c:pt idx="125">
                  <c:v>-0.34051160317029461</c:v>
                </c:pt>
                <c:pt idx="126">
                  <c:v>-0.33002429977175052</c:v>
                </c:pt>
                <c:pt idx="127">
                  <c:v>-0.34752526102794884</c:v>
                </c:pt>
                <c:pt idx="128">
                  <c:v>-0.3617213529501011</c:v>
                </c:pt>
                <c:pt idx="129">
                  <c:v>-0.34570503068938679</c:v>
                </c:pt>
                <c:pt idx="130">
                  <c:v>-0.33368815634374216</c:v>
                </c:pt>
                <c:pt idx="131">
                  <c:v>-0.31978164179828761</c:v>
                </c:pt>
                <c:pt idx="132">
                  <c:v>-0.34369266724060893</c:v>
                </c:pt>
                <c:pt idx="133">
                  <c:v>-0.33499787637578132</c:v>
                </c:pt>
                <c:pt idx="134">
                  <c:v>-0.32820071113786664</c:v>
                </c:pt>
                <c:pt idx="135">
                  <c:v>-0.33788959864348467</c:v>
                </c:pt>
                <c:pt idx="136">
                  <c:v>-0.33102860767958875</c:v>
                </c:pt>
                <c:pt idx="137">
                  <c:v>-0.32050856718241361</c:v>
                </c:pt>
                <c:pt idx="138">
                  <c:v>-0.35072411981818602</c:v>
                </c:pt>
                <c:pt idx="139">
                  <c:v>-0.33121661230808014</c:v>
                </c:pt>
                <c:pt idx="140">
                  <c:v>-0.34979764190808016</c:v>
                </c:pt>
                <c:pt idx="141">
                  <c:v>-0.38165004736903585</c:v>
                </c:pt>
                <c:pt idx="142">
                  <c:v>-0.4290687829757025</c:v>
                </c:pt>
                <c:pt idx="143">
                  <c:v>-0.37710615201622738</c:v>
                </c:pt>
                <c:pt idx="144">
                  <c:v>-0.4254132698291328</c:v>
                </c:pt>
                <c:pt idx="145">
                  <c:v>-0.4319945137384813</c:v>
                </c:pt>
                <c:pt idx="146">
                  <c:v>-0.4080696028713075</c:v>
                </c:pt>
                <c:pt idx="147">
                  <c:v>-0.40337205213888561</c:v>
                </c:pt>
                <c:pt idx="148">
                  <c:v>-0.38152473715723417</c:v>
                </c:pt>
                <c:pt idx="149">
                  <c:v>-0.34814744705025324</c:v>
                </c:pt>
                <c:pt idx="150">
                  <c:v>-0.27240228046518605</c:v>
                </c:pt>
                <c:pt idx="151">
                  <c:v>-0.23892953884423063</c:v>
                </c:pt>
                <c:pt idx="152">
                  <c:v>-0.20817388399860459</c:v>
                </c:pt>
                <c:pt idx="153">
                  <c:v>-3.5993328727473878E-2</c:v>
                </c:pt>
                <c:pt idx="154">
                  <c:v>-6.3030028638247096E-2</c:v>
                </c:pt>
                <c:pt idx="155">
                  <c:v>-5.328851679097437E-2</c:v>
                </c:pt>
                <c:pt idx="156">
                  <c:v>-6.3284098842222691E-2</c:v>
                </c:pt>
                <c:pt idx="157">
                  <c:v>-3.3697360728812735E-2</c:v>
                </c:pt>
                <c:pt idx="158">
                  <c:v>-2.1569361246295268E-2</c:v>
                </c:pt>
                <c:pt idx="159">
                  <c:v>-2.4739662295475577E-2</c:v>
                </c:pt>
                <c:pt idx="160">
                  <c:v>-9.9343727169314919E-3</c:v>
                </c:pt>
                <c:pt idx="161">
                  <c:v>-4.0740482474976795E-2</c:v>
                </c:pt>
                <c:pt idx="162">
                  <c:v>-3.3788974080816221E-2</c:v>
                </c:pt>
                <c:pt idx="163">
                  <c:v>-5.8650041007350724E-2</c:v>
                </c:pt>
                <c:pt idx="164">
                  <c:v>-2.2371070633963087E-2</c:v>
                </c:pt>
                <c:pt idx="165">
                  <c:v>-7.1463526680927729E-3</c:v>
                </c:pt>
                <c:pt idx="166">
                  <c:v>-2.8847224581703204E-2</c:v>
                </c:pt>
                <c:pt idx="167">
                  <c:v>-2.3889957896620323E-2</c:v>
                </c:pt>
                <c:pt idx="168">
                  <c:v>-3.9124784481319778E-2</c:v>
                </c:pt>
                <c:pt idx="169">
                  <c:v>-4.5835274679222798E-2</c:v>
                </c:pt>
                <c:pt idx="170">
                  <c:v>-3.0846823736263764E-2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3-4F63-B8BB-9BD508E8D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16271"/>
        <c:axId val="79313359"/>
      </c:lineChart>
      <c:dateAx>
        <c:axId val="793162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13359"/>
        <c:crosses val="autoZero"/>
        <c:auto val="1"/>
        <c:lblOffset val="100"/>
        <c:baseTimeUnit val="days"/>
      </c:dateAx>
      <c:valAx>
        <c:axId val="7931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16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38357E-A9EB-41A0-9A15-F9546FAF0725}">
  <sheetPr/>
  <sheetViews>
    <sheetView zoomScale="10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8134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2DBC8B-C998-41E3-8089-025D44B8948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66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MAX(C3:C1890)</f>
        <v>17.8</v>
      </c>
      <c r="D2" s="4">
        <f>MIN(D3:D1890)</f>
        <v>3.1419999999999999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3.5489999999999999</v>
      </c>
      <c r="C5">
        <v>3.59</v>
      </c>
      <c r="D5">
        <v>3.492</v>
      </c>
      <c r="E5">
        <v>3.4929999999999999</v>
      </c>
      <c r="F5">
        <v>80495.399999999994</v>
      </c>
      <c r="G5">
        <v>3.4929999999999999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-0.97959183673469608</v>
      </c>
      <c r="Q5">
        <f t="shared" ref="Q5" si="1">F5*P5</f>
        <v>-78852.636734694053</v>
      </c>
      <c r="R5">
        <f t="shared" ref="R5" si="2">R6+Q5</f>
        <v>-40273719.203882314</v>
      </c>
      <c r="S5">
        <f t="shared" ref="S5" si="3">R5/100000</f>
        <v>-402.73719203882314</v>
      </c>
      <c r="T5">
        <f t="shared" ref="T5" si="4">S5/1000</f>
        <v>-0.40273719203882313</v>
      </c>
    </row>
    <row r="6" spans="1:20" x14ac:dyDescent="0.25">
      <c r="A6" s="5">
        <v>44587</v>
      </c>
      <c r="B6">
        <v>3.5790000000000002</v>
      </c>
      <c r="C6">
        <v>3.8860000000000001</v>
      </c>
      <c r="D6">
        <v>3.484</v>
      </c>
      <c r="E6">
        <v>3.5489999999999999</v>
      </c>
      <c r="F6">
        <v>1060813.8</v>
      </c>
      <c r="G6">
        <v>3.5489999999999999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-0.67661691542288593</v>
      </c>
      <c r="Q6">
        <f t="shared" ref="Q6" si="6">F6*P6</f>
        <v>-717764.56119403022</v>
      </c>
      <c r="R6">
        <f t="shared" ref="R6" si="7">R7+Q6</f>
        <v>-40194866.56714762</v>
      </c>
      <c r="S6">
        <f t="shared" ref="S6" si="8">R6/100000</f>
        <v>-401.94866567147619</v>
      </c>
      <c r="T6">
        <f t="shared" ref="T6" si="9">S6/1000</f>
        <v>-0.40194866567147619</v>
      </c>
    </row>
    <row r="7" spans="1:20" x14ac:dyDescent="0.25">
      <c r="A7" s="5">
        <v>44586</v>
      </c>
      <c r="B7">
        <v>3.3980000000000001</v>
      </c>
      <c r="C7">
        <v>3.6739999999999999</v>
      </c>
      <c r="D7">
        <v>3.3250000000000002</v>
      </c>
      <c r="E7">
        <v>3.5760000000000001</v>
      </c>
      <c r="F7">
        <v>884383.4</v>
      </c>
      <c r="G7">
        <v>3.5760000000000001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0.43839541547277977</v>
      </c>
      <c r="Q7">
        <f t="shared" ref="Q7" si="11">F7*P7</f>
        <v>387709.62808022957</v>
      </c>
      <c r="R7">
        <f t="shared" ref="R7" si="12">R8+Q7</f>
        <v>-39477102.005953588</v>
      </c>
      <c r="S7">
        <f t="shared" ref="S7" si="13">R7/100000</f>
        <v>-394.77102005953589</v>
      </c>
      <c r="T7">
        <f t="shared" ref="T7" si="14">S7/1000</f>
        <v>-0.3947710200595359</v>
      </c>
    </row>
    <row r="8" spans="1:20" x14ac:dyDescent="0.25">
      <c r="A8" s="5">
        <v>44585</v>
      </c>
      <c r="B8">
        <v>3.7490000000000001</v>
      </c>
      <c r="C8">
        <v>3.7490000000000001</v>
      </c>
      <c r="D8">
        <v>3.1419999999999999</v>
      </c>
      <c r="E8">
        <v>3.3959999999999999</v>
      </c>
      <c r="F8">
        <v>1750399.9</v>
      </c>
      <c r="G8">
        <v>3.3959999999999999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-0.16309719934102168</v>
      </c>
      <c r="Q8">
        <f t="shared" ref="Q8" si="16">F8*P8</f>
        <v>-285485.32141680439</v>
      </c>
      <c r="R8">
        <f t="shared" ref="R8" si="17">R9+Q8</f>
        <v>-39864811.634033814</v>
      </c>
      <c r="S8">
        <f t="shared" ref="S8" si="18">R8/100000</f>
        <v>-398.64811634033816</v>
      </c>
      <c r="T8">
        <f t="shared" ref="T8" si="19">S8/1000</f>
        <v>-0.39864811634033814</v>
      </c>
    </row>
    <row r="9" spans="1:20" x14ac:dyDescent="0.25">
      <c r="A9" s="5">
        <v>44584</v>
      </c>
      <c r="B9">
        <v>3.69</v>
      </c>
      <c r="C9">
        <v>4.2619999999999996</v>
      </c>
      <c r="D9">
        <v>3.5710000000000002</v>
      </c>
      <c r="E9">
        <v>3.7530000000000001</v>
      </c>
      <c r="F9">
        <v>1180367.8</v>
      </c>
      <c r="G9">
        <v>3.7530000000000001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-0.47322720694645415</v>
      </c>
      <c r="Q9">
        <f t="shared" ref="Q9" si="21">F9*P9</f>
        <v>-558582.15716353082</v>
      </c>
      <c r="R9">
        <f t="shared" ref="R9" si="22">R10+Q9</f>
        <v>-39579326.312617011</v>
      </c>
      <c r="S9">
        <f t="shared" ref="S9" si="23">R9/100000</f>
        <v>-395.79326312617013</v>
      </c>
      <c r="T9">
        <f t="shared" ref="T9" si="24">S9/1000</f>
        <v>-0.39579326312617014</v>
      </c>
    </row>
    <row r="10" spans="1:20" x14ac:dyDescent="0.25">
      <c r="A10" s="5">
        <v>44583</v>
      </c>
      <c r="B10">
        <v>4.2489999999999997</v>
      </c>
      <c r="C10">
        <v>4.3209999999999997</v>
      </c>
      <c r="D10">
        <v>3.452</v>
      </c>
      <c r="E10">
        <v>3.6909999999999998</v>
      </c>
      <c r="F10">
        <v>1896641.6</v>
      </c>
      <c r="G10">
        <v>3.6909999999999998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-0.4499424626006906</v>
      </c>
      <c r="Q10">
        <f t="shared" ref="Q10" si="26">F10*P10</f>
        <v>-853379.59217491397</v>
      </c>
      <c r="R10">
        <f t="shared" ref="R10" si="27">R11+Q10</f>
        <v>-39020744.155453481</v>
      </c>
      <c r="S10">
        <f t="shared" ref="S10" si="28">R10/100000</f>
        <v>-390.2074415545348</v>
      </c>
      <c r="T10">
        <f t="shared" ref="T10" si="29">S10/1000</f>
        <v>-0.3902074415545348</v>
      </c>
    </row>
    <row r="11" spans="1:20" x14ac:dyDescent="0.25">
      <c r="A11" s="5">
        <v>44582</v>
      </c>
      <c r="B11">
        <v>4.7750000000000004</v>
      </c>
      <c r="C11">
        <v>4.819</v>
      </c>
      <c r="D11">
        <v>4.0919999999999996</v>
      </c>
      <c r="E11">
        <v>4.258</v>
      </c>
      <c r="F11">
        <v>1192550.3999999999</v>
      </c>
      <c r="G11">
        <v>4.258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-0.5433287482806044</v>
      </c>
      <c r="Q11">
        <f t="shared" ref="Q11" si="31">F11*P11</f>
        <v>-647946.91609353409</v>
      </c>
      <c r="R11">
        <f t="shared" ref="R11" si="32">R12+Q11</f>
        <v>-38167364.563278563</v>
      </c>
      <c r="S11">
        <f t="shared" ref="S11" si="33">R11/100000</f>
        <v>-381.67364563278562</v>
      </c>
      <c r="T11">
        <f t="shared" ref="T11" si="34">S11/1000</f>
        <v>-0.38167364563278561</v>
      </c>
    </row>
    <row r="12" spans="1:20" x14ac:dyDescent="0.25">
      <c r="A12" s="5">
        <v>44581</v>
      </c>
      <c r="B12">
        <v>4.9669999999999996</v>
      </c>
      <c r="C12">
        <v>5.2439999999999998</v>
      </c>
      <c r="D12">
        <v>4.7460000000000004</v>
      </c>
      <c r="E12">
        <v>4.7789999999999999</v>
      </c>
      <c r="F12">
        <v>466577.9</v>
      </c>
      <c r="G12">
        <v>4.7789999999999999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-0.86746987951807419</v>
      </c>
      <c r="Q12">
        <f t="shared" ref="Q12" si="36">F12*P12</f>
        <v>-404742.2746987961</v>
      </c>
      <c r="R12">
        <f t="shared" ref="R12" si="37">R13+Q12</f>
        <v>-37519417.647185028</v>
      </c>
      <c r="S12">
        <f t="shared" ref="S12" si="38">R12/100000</f>
        <v>-375.19417647185026</v>
      </c>
      <c r="T12">
        <f t="shared" ref="T12" si="39">S12/1000</f>
        <v>-0.37519417647185027</v>
      </c>
    </row>
    <row r="13" spans="1:20" x14ac:dyDescent="0.25">
      <c r="A13" s="5">
        <v>44580</v>
      </c>
      <c r="B13">
        <v>5.1619999999999999</v>
      </c>
      <c r="C13">
        <v>5.1749999999999998</v>
      </c>
      <c r="D13">
        <v>4.9130000000000003</v>
      </c>
      <c r="E13">
        <v>4.9619999999999997</v>
      </c>
      <c r="F13">
        <v>293944.8</v>
      </c>
      <c r="G13">
        <v>4.9619999999999997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-0.62595419847328571</v>
      </c>
      <c r="Q13">
        <f t="shared" ref="Q13" si="41">F13*P13</f>
        <v>-183995.98167939027</v>
      </c>
      <c r="R13">
        <f t="shared" ref="R13" si="42">R14+Q13</f>
        <v>-37114675.372486234</v>
      </c>
      <c r="S13">
        <f t="shared" ref="S13" si="43">R13/100000</f>
        <v>-371.14675372486232</v>
      </c>
      <c r="T13">
        <f t="shared" ref="T13" si="44">S13/1000</f>
        <v>-0.37114675372486233</v>
      </c>
    </row>
    <row r="14" spans="1:20" x14ac:dyDescent="0.25">
      <c r="A14" s="5">
        <v>44579</v>
      </c>
      <c r="B14">
        <v>5.1680000000000001</v>
      </c>
      <c r="C14">
        <v>5.2009999999999996</v>
      </c>
      <c r="D14">
        <v>4.9939999999999998</v>
      </c>
      <c r="E14">
        <v>5.1639999999999997</v>
      </c>
      <c r="F14">
        <v>288073.7</v>
      </c>
      <c r="G14">
        <v>5.1639999999999997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0.64251207729468651</v>
      </c>
      <c r="Q14">
        <f t="shared" ref="Q14" si="46">F14*P14</f>
        <v>185090.83140096633</v>
      </c>
      <c r="R14">
        <f t="shared" ref="R14" si="47">R15+Q14</f>
        <v>-36930679.390806846</v>
      </c>
      <c r="S14">
        <f t="shared" ref="S14" si="48">R14/100000</f>
        <v>-369.30679390806847</v>
      </c>
      <c r="T14">
        <f t="shared" ref="T14" si="49">S14/1000</f>
        <v>-0.36930679390806848</v>
      </c>
    </row>
    <row r="15" spans="1:20" x14ac:dyDescent="0.25">
      <c r="A15" s="5">
        <v>44578</v>
      </c>
      <c r="B15">
        <v>5.4080000000000004</v>
      </c>
      <c r="C15">
        <v>5.4139999999999997</v>
      </c>
      <c r="D15">
        <v>5.0830000000000002</v>
      </c>
      <c r="E15">
        <v>5.1660000000000004</v>
      </c>
      <c r="F15">
        <v>465703.9</v>
      </c>
      <c r="G15">
        <v>5.1660000000000004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-0.49848942598187124</v>
      </c>
      <c r="Q15">
        <f t="shared" ref="Q15" si="51">F15*P15</f>
        <v>-232148.46978851876</v>
      </c>
      <c r="R15">
        <f t="shared" ref="R15" si="52">R16+Q15</f>
        <v>-37115770.222207814</v>
      </c>
      <c r="S15">
        <f t="shared" ref="S15" si="53">R15/100000</f>
        <v>-371.15770222207817</v>
      </c>
      <c r="T15">
        <f t="shared" ref="T15" si="54">S15/1000</f>
        <v>-0.37115770222207817</v>
      </c>
    </row>
    <row r="16" spans="1:20" x14ac:dyDescent="0.25">
      <c r="A16" s="5">
        <v>44577</v>
      </c>
      <c r="B16">
        <v>5.4690000000000003</v>
      </c>
      <c r="C16">
        <v>5.5119999999999996</v>
      </c>
      <c r="D16">
        <v>5.3719999999999999</v>
      </c>
      <c r="E16">
        <v>5.407</v>
      </c>
      <c r="F16">
        <v>320415.40000000002</v>
      </c>
      <c r="G16">
        <v>5.407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-0.49999999999999684</v>
      </c>
      <c r="Q16">
        <f t="shared" ref="Q16" si="56">F16*P16</f>
        <v>-160207.69999999899</v>
      </c>
      <c r="R16">
        <f t="shared" ref="R16" si="57">R17+Q16</f>
        <v>-36883621.752419293</v>
      </c>
      <c r="S16">
        <f t="shared" ref="S16" si="58">R16/100000</f>
        <v>-368.83621752419293</v>
      </c>
      <c r="T16">
        <f t="shared" ref="T16" si="59">S16/1000</f>
        <v>-0.36883621752419293</v>
      </c>
    </row>
    <row r="17" spans="1:20" x14ac:dyDescent="0.25">
      <c r="A17" s="5">
        <v>44576</v>
      </c>
      <c r="B17">
        <v>5.383</v>
      </c>
      <c r="C17">
        <v>5.5469999999999997</v>
      </c>
      <c r="D17">
        <v>5.3129999999999997</v>
      </c>
      <c r="E17">
        <v>5.4690000000000003</v>
      </c>
      <c r="F17">
        <v>347790.9</v>
      </c>
      <c r="G17">
        <v>5.4690000000000003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0.33333333333333842</v>
      </c>
      <c r="Q17">
        <f t="shared" ref="Q17" si="61">F17*P17</f>
        <v>115930.30000000178</v>
      </c>
      <c r="R17">
        <f t="shared" ref="R17" si="62">R18+Q17</f>
        <v>-36723414.052419297</v>
      </c>
      <c r="S17">
        <f t="shared" ref="S17" si="63">R17/100000</f>
        <v>-367.23414052419298</v>
      </c>
      <c r="T17">
        <f t="shared" ref="T17" si="64">S17/1000</f>
        <v>-0.36723414052419295</v>
      </c>
    </row>
    <row r="18" spans="1:20" x14ac:dyDescent="0.25">
      <c r="A18" s="5">
        <v>44575</v>
      </c>
      <c r="B18">
        <v>5.31</v>
      </c>
      <c r="C18">
        <v>5.4180000000000001</v>
      </c>
      <c r="D18">
        <v>5.2080000000000002</v>
      </c>
      <c r="E18">
        <v>5.3810000000000002</v>
      </c>
      <c r="F18">
        <v>370287.2</v>
      </c>
      <c r="G18">
        <v>5.3810000000000002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0.64761904761904832</v>
      </c>
      <c r="Q18">
        <f t="shared" ref="Q18" si="66">F18*P18</f>
        <v>239805.04380952407</v>
      </c>
      <c r="R18">
        <f t="shared" ref="R18" si="67">R19+Q18</f>
        <v>-36839344.352419302</v>
      </c>
      <c r="S18">
        <f t="shared" ref="S18" si="68">R18/100000</f>
        <v>-368.393443524193</v>
      </c>
      <c r="T18">
        <f t="shared" ref="T18" si="69">S18/1000</f>
        <v>-0.36839344352419301</v>
      </c>
    </row>
    <row r="19" spans="1:20" x14ac:dyDescent="0.25">
      <c r="A19" s="5">
        <v>44574</v>
      </c>
      <c r="B19">
        <v>5.5380000000000003</v>
      </c>
      <c r="C19">
        <v>5.6470000000000002</v>
      </c>
      <c r="D19">
        <v>5.2859999999999996</v>
      </c>
      <c r="E19">
        <v>5.3090000000000002</v>
      </c>
      <c r="F19">
        <v>632805.30000000005</v>
      </c>
      <c r="G19">
        <v>5.3090000000000002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-0.87257617728531556</v>
      </c>
      <c r="Q19">
        <f t="shared" ref="Q19" si="71">F19*P19</f>
        <v>-552170.82963988732</v>
      </c>
      <c r="R19">
        <f t="shared" ref="R19" si="72">R20+Q19</f>
        <v>-37079149.396228828</v>
      </c>
      <c r="S19">
        <f t="shared" ref="S19" si="73">R19/100000</f>
        <v>-370.79149396228826</v>
      </c>
      <c r="T19">
        <f t="shared" ref="T19" si="74">S19/1000</f>
        <v>-0.37079149396228828</v>
      </c>
    </row>
    <row r="20" spans="1:20" x14ac:dyDescent="0.25">
      <c r="A20" s="5">
        <v>44573</v>
      </c>
      <c r="B20">
        <v>5.3390000000000004</v>
      </c>
      <c r="C20">
        <v>5.5869999999999997</v>
      </c>
      <c r="D20">
        <v>5.3070000000000004</v>
      </c>
      <c r="E20">
        <v>5.5419999999999998</v>
      </c>
      <c r="F20">
        <v>568976.30000000005</v>
      </c>
      <c r="G20">
        <v>5.5419999999999998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0.67857142857142838</v>
      </c>
      <c r="Q20">
        <f t="shared" ref="Q20" si="76">F20*P20</f>
        <v>386091.06071428565</v>
      </c>
      <c r="R20">
        <f t="shared" ref="R20" si="77">R21+Q20</f>
        <v>-36526978.566588938</v>
      </c>
      <c r="S20">
        <f t="shared" ref="S20" si="78">R20/100000</f>
        <v>-365.2697856658894</v>
      </c>
      <c r="T20">
        <f t="shared" ref="T20" si="79">S20/1000</f>
        <v>-0.36526978566588941</v>
      </c>
    </row>
    <row r="21" spans="1:20" x14ac:dyDescent="0.25">
      <c r="A21" s="5">
        <v>44572</v>
      </c>
      <c r="B21">
        <v>5.0739999999999998</v>
      </c>
      <c r="C21">
        <v>5.4080000000000004</v>
      </c>
      <c r="D21">
        <v>5.0259999999999998</v>
      </c>
      <c r="E21">
        <v>5.3330000000000002</v>
      </c>
      <c r="F21">
        <v>564915.1</v>
      </c>
      <c r="G21">
        <v>5.3330000000000002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0.60732984293193681</v>
      </c>
      <c r="Q21">
        <f t="shared" ref="Q21" si="81">F21*P21</f>
        <v>343089.79895287938</v>
      </c>
      <c r="R21">
        <f t="shared" ref="R21" si="82">R22+Q21</f>
        <v>-36913069.62730322</v>
      </c>
      <c r="S21">
        <f t="shared" ref="S21" si="83">R21/100000</f>
        <v>-369.13069627303219</v>
      </c>
      <c r="T21">
        <f t="shared" ref="T21" si="84">S21/1000</f>
        <v>-0.36913069627303219</v>
      </c>
    </row>
    <row r="22" spans="1:20" x14ac:dyDescent="0.25">
      <c r="A22" s="5">
        <v>44571</v>
      </c>
      <c r="B22">
        <v>5.3550000000000004</v>
      </c>
      <c r="C22">
        <v>5.407</v>
      </c>
      <c r="D22">
        <v>4.9459999999999997</v>
      </c>
      <c r="E22">
        <v>5.07</v>
      </c>
      <c r="F22">
        <v>594675.19999999995</v>
      </c>
      <c r="G22">
        <v>5.07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-0.46203904555314329</v>
      </c>
      <c r="Q22">
        <f t="shared" ref="Q22" si="86">F22*P22</f>
        <v>-274763.16182212456</v>
      </c>
      <c r="R22">
        <f t="shared" ref="R22" si="87">R23+Q22</f>
        <v>-37256159.426256098</v>
      </c>
      <c r="S22">
        <f t="shared" ref="S22" si="88">R22/100000</f>
        <v>-372.56159426256096</v>
      </c>
      <c r="T22">
        <f t="shared" ref="T22" si="89">S22/1000</f>
        <v>-0.37256159426256097</v>
      </c>
    </row>
    <row r="23" spans="1:20" x14ac:dyDescent="0.25">
      <c r="A23" s="5">
        <v>44570</v>
      </c>
      <c r="B23">
        <v>5.2480000000000002</v>
      </c>
      <c r="C23">
        <v>5.4630000000000001</v>
      </c>
      <c r="D23">
        <v>5.2119999999999997</v>
      </c>
      <c r="E23">
        <v>5.3570000000000002</v>
      </c>
      <c r="F23">
        <v>377843.3</v>
      </c>
      <c r="G23">
        <v>5.3570000000000002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0.15537848605577903</v>
      </c>
      <c r="Q23">
        <f t="shared" ref="Q23" si="91">F23*P23</f>
        <v>58708.719920319534</v>
      </c>
      <c r="R23">
        <f t="shared" ref="R23" si="92">R24+Q23</f>
        <v>-36981396.264433973</v>
      </c>
      <c r="S23">
        <f t="shared" ref="S23" si="93">R23/100000</f>
        <v>-369.81396264433971</v>
      </c>
      <c r="T23">
        <f t="shared" ref="T23" si="94">S23/1000</f>
        <v>-0.36981396264433969</v>
      </c>
    </row>
    <row r="24" spans="1:20" x14ac:dyDescent="0.25">
      <c r="A24" s="5">
        <v>44569</v>
      </c>
      <c r="B24">
        <v>5.3449999999999998</v>
      </c>
      <c r="C24">
        <v>5.5869999999999997</v>
      </c>
      <c r="D24">
        <v>5.0819999999999999</v>
      </c>
      <c r="E24">
        <v>5.2480000000000002</v>
      </c>
      <c r="F24">
        <v>835686.3</v>
      </c>
      <c r="G24">
        <v>5.2480000000000002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-0.34257425742574099</v>
      </c>
      <c r="Q24">
        <f t="shared" ref="Q24" si="96">F24*P24</f>
        <v>-286284.61366336502</v>
      </c>
      <c r="R24">
        <f t="shared" ref="R24" si="97">R25+Q24</f>
        <v>-37040104.984354295</v>
      </c>
      <c r="S24">
        <f t="shared" ref="S24" si="98">R24/100000</f>
        <v>-370.40104984354292</v>
      </c>
      <c r="T24">
        <f t="shared" ref="T24" si="99">S24/1000</f>
        <v>-0.37040104984354294</v>
      </c>
    </row>
    <row r="25" spans="1:20" x14ac:dyDescent="0.25">
      <c r="A25" s="5">
        <v>44568</v>
      </c>
      <c r="B25">
        <v>5.8529999999999998</v>
      </c>
      <c r="C25">
        <v>5.87</v>
      </c>
      <c r="D25">
        <v>5.234</v>
      </c>
      <c r="E25">
        <v>5.3449999999999998</v>
      </c>
      <c r="F25">
        <v>989575.1</v>
      </c>
      <c r="G25">
        <v>5.3449999999999998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-0.65094339622641595</v>
      </c>
      <c r="Q25">
        <f t="shared" ref="Q25" si="101">F25*P25</f>
        <v>-644157.37641509518</v>
      </c>
      <c r="R25">
        <f t="shared" ref="R25" si="102">R26+Q25</f>
        <v>-36753820.370690927</v>
      </c>
      <c r="S25">
        <f t="shared" ref="S25" si="103">R25/100000</f>
        <v>-367.53820370690926</v>
      </c>
      <c r="T25">
        <f t="shared" ref="T25" si="104">S25/1000</f>
        <v>-0.36753820370690926</v>
      </c>
    </row>
    <row r="26" spans="1:20" x14ac:dyDescent="0.25">
      <c r="A26" s="5">
        <v>44567</v>
      </c>
      <c r="B26">
        <v>6.04</v>
      </c>
      <c r="C26">
        <v>6.0750000000000002</v>
      </c>
      <c r="D26">
        <v>5.7069999999999999</v>
      </c>
      <c r="E26">
        <v>5.859</v>
      </c>
      <c r="F26">
        <v>567980.9</v>
      </c>
      <c r="G26">
        <v>5.859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-0.17391304347826086</v>
      </c>
      <c r="Q26">
        <f t="shared" ref="Q26" si="106">F26*P26</f>
        <v>-98779.286956521741</v>
      </c>
      <c r="R26">
        <f t="shared" ref="R26" si="107">R27+Q26</f>
        <v>-36109662.994275831</v>
      </c>
      <c r="S26">
        <f t="shared" ref="S26" si="108">R26/100000</f>
        <v>-361.09662994275828</v>
      </c>
      <c r="T26">
        <f t="shared" ref="T26" si="109">S26/1000</f>
        <v>-0.36109662994275826</v>
      </c>
    </row>
    <row r="27" spans="1:20" x14ac:dyDescent="0.25">
      <c r="A27" s="5">
        <v>44566</v>
      </c>
      <c r="B27">
        <v>6.5</v>
      </c>
      <c r="C27">
        <v>6.7939999999999996</v>
      </c>
      <c r="D27">
        <v>5.6950000000000003</v>
      </c>
      <c r="E27">
        <v>6.0389999999999997</v>
      </c>
      <c r="F27">
        <v>866708.3</v>
      </c>
      <c r="G27">
        <v>6.0389999999999997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-0.37397634212920905</v>
      </c>
      <c r="Q27">
        <f t="shared" ref="Q27" si="111">F27*P27</f>
        <v>-324128.39972702519</v>
      </c>
      <c r="R27">
        <f t="shared" ref="R27" si="112">R28+Q27</f>
        <v>-36010883.707319312</v>
      </c>
      <c r="S27">
        <f t="shared" ref="S27" si="113">R27/100000</f>
        <v>-360.10883707319311</v>
      </c>
      <c r="T27">
        <f t="shared" ref="T27" si="114">S27/1000</f>
        <v>-0.36010883707319313</v>
      </c>
    </row>
    <row r="28" spans="1:20" x14ac:dyDescent="0.25">
      <c r="A28" s="5">
        <v>44565</v>
      </c>
      <c r="B28">
        <v>6.5789999999999997</v>
      </c>
      <c r="C28">
        <v>6.6980000000000004</v>
      </c>
      <c r="D28">
        <v>6.4050000000000002</v>
      </c>
      <c r="E28">
        <v>6.4969999999999999</v>
      </c>
      <c r="F28">
        <v>573378.5</v>
      </c>
      <c r="G28">
        <v>6.4969999999999999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-0.37201365187713592</v>
      </c>
      <c r="Q28">
        <f t="shared" ref="Q28" si="116">F28*P28</f>
        <v>-213304.62969283437</v>
      </c>
      <c r="R28">
        <f t="shared" ref="R28" si="117">R29+Q28</f>
        <v>-35686755.307592288</v>
      </c>
      <c r="S28">
        <f t="shared" ref="S28" si="118">R28/100000</f>
        <v>-356.8675530759229</v>
      </c>
      <c r="T28">
        <f t="shared" ref="T28" si="119">S28/1000</f>
        <v>-0.35686755307592288</v>
      </c>
    </row>
    <row r="29" spans="1:20" x14ac:dyDescent="0.25">
      <c r="A29" s="5">
        <v>44564</v>
      </c>
      <c r="B29">
        <v>6.8739999999999997</v>
      </c>
      <c r="C29">
        <v>6.9729999999999999</v>
      </c>
      <c r="D29">
        <v>6.4370000000000003</v>
      </c>
      <c r="E29">
        <v>6.5720000000000001</v>
      </c>
      <c r="F29">
        <v>483599.7</v>
      </c>
      <c r="G29">
        <v>6.5720000000000001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-0.49626865671641834</v>
      </c>
      <c r="Q29">
        <f t="shared" ref="Q29" si="121">F29*P29</f>
        <v>-239995.37350746291</v>
      </c>
      <c r="R29">
        <f t="shared" ref="R29" si="122">R30+Q29</f>
        <v>-35473450.67789945</v>
      </c>
      <c r="S29">
        <f t="shared" ref="S29" si="123">R29/100000</f>
        <v>-354.7345067789945</v>
      </c>
      <c r="T29">
        <f t="shared" ref="T29" si="124">S29/1000</f>
        <v>-0.35473450677899449</v>
      </c>
    </row>
    <row r="30" spans="1:20" x14ac:dyDescent="0.25">
      <c r="A30" s="5">
        <v>44563</v>
      </c>
      <c r="B30">
        <v>6.5620000000000003</v>
      </c>
      <c r="C30">
        <v>6.9649999999999999</v>
      </c>
      <c r="D30">
        <v>6.4409999999999998</v>
      </c>
      <c r="E30">
        <v>6.8810000000000002</v>
      </c>
      <c r="F30">
        <v>584583</v>
      </c>
      <c r="G30">
        <v>6.8810000000000002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0.6793893129771007</v>
      </c>
      <c r="Q30">
        <f t="shared" ref="Q30" si="126">F30*P30</f>
        <v>397159.44274809246</v>
      </c>
      <c r="R30">
        <f t="shared" ref="R30" si="127">R31+Q30</f>
        <v>-35233455.304391988</v>
      </c>
      <c r="S30">
        <f t="shared" ref="S30" si="128">R30/100000</f>
        <v>-352.33455304391987</v>
      </c>
      <c r="T30">
        <f t="shared" ref="T30" si="129">S30/1000</f>
        <v>-0.35233455304391986</v>
      </c>
    </row>
    <row r="31" spans="1:20" x14ac:dyDescent="0.25">
      <c r="A31" s="5">
        <v>44562</v>
      </c>
      <c r="B31">
        <v>6.3460000000000001</v>
      </c>
      <c r="C31">
        <v>6.5670000000000002</v>
      </c>
      <c r="D31">
        <v>6.3330000000000002</v>
      </c>
      <c r="E31">
        <v>6.56</v>
      </c>
      <c r="F31">
        <v>306978.8</v>
      </c>
      <c r="G31">
        <v>6.56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0.94017094017093539</v>
      </c>
      <c r="Q31">
        <f t="shared" ref="Q31" si="131">F31*P31</f>
        <v>288612.54700854555</v>
      </c>
      <c r="R31">
        <f t="shared" ref="R31" si="132">R32+Q31</f>
        <v>-35630614.74714008</v>
      </c>
      <c r="S31">
        <f t="shared" ref="S31" si="133">R31/100000</f>
        <v>-356.30614747140078</v>
      </c>
      <c r="T31">
        <f t="shared" ref="T31" si="134">S31/1000</f>
        <v>-0.35630614747140077</v>
      </c>
    </row>
    <row r="32" spans="1:20" x14ac:dyDescent="0.25">
      <c r="A32" s="5">
        <v>44561</v>
      </c>
      <c r="B32">
        <v>6.524</v>
      </c>
      <c r="C32">
        <v>6.67</v>
      </c>
      <c r="D32">
        <v>6.2839999999999998</v>
      </c>
      <c r="E32">
        <v>6.3449999999999998</v>
      </c>
      <c r="F32">
        <v>408448.5</v>
      </c>
      <c r="G32">
        <v>6.3449999999999998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-0.68393782383419732</v>
      </c>
      <c r="Q32">
        <f t="shared" ref="Q32" si="136">F32*P32</f>
        <v>-279353.37823834212</v>
      </c>
      <c r="R32">
        <f t="shared" ref="R32" si="137">R33+Q32</f>
        <v>-35919227.294148624</v>
      </c>
      <c r="S32">
        <f t="shared" ref="S32" si="138">R32/100000</f>
        <v>-359.19227294148624</v>
      </c>
      <c r="T32">
        <f t="shared" ref="T32" si="139">S32/1000</f>
        <v>-0.35919227294148626</v>
      </c>
    </row>
    <row r="33" spans="1:20" x14ac:dyDescent="0.25">
      <c r="A33" s="5">
        <v>44560</v>
      </c>
      <c r="B33">
        <v>6.5519999999999996</v>
      </c>
      <c r="C33">
        <v>6.72</v>
      </c>
      <c r="D33">
        <v>6.43</v>
      </c>
      <c r="E33">
        <v>6.5380000000000003</v>
      </c>
      <c r="F33">
        <v>398934.9</v>
      </c>
      <c r="G33">
        <v>6.5380000000000003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-0.25517241379309979</v>
      </c>
      <c r="Q33">
        <f t="shared" ref="Q33" si="141">F33*P33</f>
        <v>-101797.18137930889</v>
      </c>
      <c r="R33">
        <f t="shared" ref="R33" si="142">R34+Q33</f>
        <v>-35639873.915910281</v>
      </c>
      <c r="S33">
        <f t="shared" ref="S33" si="143">R33/100000</f>
        <v>-356.39873915910283</v>
      </c>
      <c r="T33">
        <f t="shared" ref="T33" si="144">S33/1000</f>
        <v>-0.35639873915910281</v>
      </c>
    </row>
    <row r="34" spans="1:20" x14ac:dyDescent="0.25">
      <c r="A34" s="5">
        <v>44559</v>
      </c>
      <c r="B34">
        <v>6.95</v>
      </c>
      <c r="C34">
        <v>7.0330000000000004</v>
      </c>
      <c r="D34">
        <v>6.452</v>
      </c>
      <c r="E34">
        <v>6.5460000000000003</v>
      </c>
      <c r="F34">
        <v>719120.4</v>
      </c>
      <c r="G34">
        <v>6.5460000000000003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-0.67641996557659123</v>
      </c>
      <c r="Q34">
        <f t="shared" ref="Q34" si="146">F34*P34</f>
        <v>-486427.39621342451</v>
      </c>
      <c r="R34">
        <f t="shared" ref="R34" si="147">R35+Q34</f>
        <v>-35538076.73453097</v>
      </c>
      <c r="S34">
        <f t="shared" ref="S34" si="148">R34/100000</f>
        <v>-355.38076734530972</v>
      </c>
      <c r="T34">
        <f t="shared" ref="T34" si="149">S34/1000</f>
        <v>-0.35538076734530971</v>
      </c>
    </row>
    <row r="35" spans="1:20" x14ac:dyDescent="0.25">
      <c r="A35" s="5">
        <v>44558</v>
      </c>
      <c r="B35">
        <v>7.5389999999999997</v>
      </c>
      <c r="C35">
        <v>7.5430000000000001</v>
      </c>
      <c r="D35">
        <v>6.9340000000000002</v>
      </c>
      <c r="E35">
        <v>6.95</v>
      </c>
      <c r="F35">
        <v>713866.6</v>
      </c>
      <c r="G35">
        <v>6.95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-0.9474548440065681</v>
      </c>
      <c r="Q35">
        <f t="shared" ref="Q35" si="151">F35*P35</f>
        <v>-676356.36814449914</v>
      </c>
      <c r="R35">
        <f t="shared" ref="R35" si="152">R36+Q35</f>
        <v>-35051649.338317543</v>
      </c>
      <c r="S35">
        <f t="shared" ref="S35" si="153">R35/100000</f>
        <v>-350.51649338317543</v>
      </c>
      <c r="T35">
        <f t="shared" ref="T35" si="154">S35/1000</f>
        <v>-0.35051649338317542</v>
      </c>
    </row>
    <row r="36" spans="1:20" x14ac:dyDescent="0.25">
      <c r="A36" s="5">
        <v>44557</v>
      </c>
      <c r="B36">
        <v>7.6050000000000004</v>
      </c>
      <c r="C36">
        <v>8.1999999999999993</v>
      </c>
      <c r="D36">
        <v>7.484</v>
      </c>
      <c r="E36">
        <v>7.5430000000000001</v>
      </c>
      <c r="F36">
        <v>1197447.8</v>
      </c>
      <c r="G36">
        <v>7.5430000000000001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-0.83519553072625641</v>
      </c>
      <c r="Q36">
        <f t="shared" ref="Q36" si="156">F36*P36</f>
        <v>-1000103.0508379882</v>
      </c>
      <c r="R36">
        <f t="shared" ref="R36" si="157">R37+Q36</f>
        <v>-34375292.970173046</v>
      </c>
      <c r="S36">
        <f t="shared" ref="S36" si="158">R36/100000</f>
        <v>-343.75292970173047</v>
      </c>
      <c r="T36">
        <f t="shared" ref="T36" si="159">S36/1000</f>
        <v>-0.34375292970173049</v>
      </c>
    </row>
    <row r="37" spans="1:20" x14ac:dyDescent="0.25">
      <c r="A37" s="5">
        <v>44556</v>
      </c>
      <c r="B37">
        <v>7.7169999999999996</v>
      </c>
      <c r="C37">
        <v>7.7949999999999999</v>
      </c>
      <c r="D37">
        <v>7.4560000000000004</v>
      </c>
      <c r="E37">
        <v>7.6040000000000001</v>
      </c>
      <c r="F37">
        <v>427719.7</v>
      </c>
      <c r="G37">
        <v>7.6040000000000001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-0.12684365781710977</v>
      </c>
      <c r="Q37">
        <f t="shared" ref="Q37" si="161">F37*P37</f>
        <v>-54253.531268436847</v>
      </c>
      <c r="R37">
        <f t="shared" ref="R37" si="162">R38+Q37</f>
        <v>-33375189.919335056</v>
      </c>
      <c r="S37">
        <f t="shared" ref="S37" si="163">R37/100000</f>
        <v>-333.75189919335054</v>
      </c>
      <c r="T37">
        <f t="shared" ref="T37" si="164">S37/1000</f>
        <v>-0.33375189919335052</v>
      </c>
    </row>
    <row r="38" spans="1:20" x14ac:dyDescent="0.25">
      <c r="A38" s="5">
        <v>44555</v>
      </c>
      <c r="B38">
        <v>7.5309999999999997</v>
      </c>
      <c r="C38">
        <v>8.1999999999999993</v>
      </c>
      <c r="D38">
        <v>7.4829999999999997</v>
      </c>
      <c r="E38">
        <v>7.7169999999999996</v>
      </c>
      <c r="F38">
        <v>509535.7</v>
      </c>
      <c r="G38">
        <v>7.7169999999999996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-0.34728033472803316</v>
      </c>
      <c r="Q38">
        <f t="shared" ref="Q38" si="166">F38*P38</f>
        <v>-176951.72845188269</v>
      </c>
      <c r="R38">
        <f t="shared" ref="R38" si="167">R39+Q38</f>
        <v>-33320936.38806662</v>
      </c>
      <c r="S38">
        <f t="shared" ref="S38" si="168">R38/100000</f>
        <v>-333.20936388066622</v>
      </c>
      <c r="T38">
        <f t="shared" ref="T38" si="169">S38/1000</f>
        <v>-0.33320936388066624</v>
      </c>
    </row>
    <row r="39" spans="1:20" x14ac:dyDescent="0.25">
      <c r="A39" s="5">
        <v>44554</v>
      </c>
      <c r="B39">
        <v>7.7850000000000001</v>
      </c>
      <c r="C39">
        <v>8.0239999999999991</v>
      </c>
      <c r="D39">
        <v>7.4349999999999996</v>
      </c>
      <c r="E39">
        <v>7.524</v>
      </c>
      <c r="F39">
        <v>624173.5</v>
      </c>
      <c r="G39">
        <v>7.524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-0.69779286926994744</v>
      </c>
      <c r="Q39">
        <f t="shared" ref="Q39" si="171">F39*P39</f>
        <v>-435543.81748726551</v>
      </c>
      <c r="R39">
        <f t="shared" ref="R39" si="172">R40+Q39</f>
        <v>-33143984.659614738</v>
      </c>
      <c r="S39">
        <f t="shared" ref="S39" si="173">R39/100000</f>
        <v>-331.43984659614739</v>
      </c>
      <c r="T39">
        <f t="shared" ref="T39" si="174">S39/1000</f>
        <v>-0.33143984659614739</v>
      </c>
    </row>
    <row r="40" spans="1:20" x14ac:dyDescent="0.25">
      <c r="A40" s="5">
        <v>44553</v>
      </c>
      <c r="B40">
        <v>7.3369999999999997</v>
      </c>
      <c r="C40">
        <v>7.859</v>
      </c>
      <c r="D40">
        <v>7.218</v>
      </c>
      <c r="E40">
        <v>7.782</v>
      </c>
      <c r="F40">
        <v>780441.5</v>
      </c>
      <c r="G40">
        <v>7.782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0.75975039001560074</v>
      </c>
      <c r="Q40">
        <f t="shared" ref="Q40" si="176">F40*P40</f>
        <v>592940.73400936043</v>
      </c>
      <c r="R40">
        <f t="shared" ref="R40" si="177">R41+Q40</f>
        <v>-32708440.842127472</v>
      </c>
      <c r="S40">
        <f t="shared" ref="S40" si="178">R40/100000</f>
        <v>-327.0844084212747</v>
      </c>
      <c r="T40">
        <f t="shared" ref="T40" si="179">S40/1000</f>
        <v>-0.32708440842127467</v>
      </c>
    </row>
    <row r="41" spans="1:20" x14ac:dyDescent="0.25">
      <c r="A41" s="5">
        <v>44552</v>
      </c>
      <c r="B41">
        <v>7.2190000000000003</v>
      </c>
      <c r="C41">
        <v>7.569</v>
      </c>
      <c r="D41">
        <v>7.1669999999999998</v>
      </c>
      <c r="E41">
        <v>7.335</v>
      </c>
      <c r="F41">
        <v>759635.2</v>
      </c>
      <c r="G41">
        <v>7.335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-0.16417910447761147</v>
      </c>
      <c r="Q41">
        <f t="shared" ref="Q41" si="181">F41*P41</f>
        <v>-124716.22686567128</v>
      </c>
      <c r="R41">
        <f t="shared" ref="R41" si="182">R42+Q41</f>
        <v>-33301381.576136831</v>
      </c>
      <c r="S41">
        <f t="shared" ref="S41" si="183">R41/100000</f>
        <v>-333.01381576136833</v>
      </c>
      <c r="T41">
        <f t="shared" ref="T41" si="184">S41/1000</f>
        <v>-0.33301381576136835</v>
      </c>
    </row>
    <row r="42" spans="1:20" x14ac:dyDescent="0.25">
      <c r="A42" s="5">
        <v>44551</v>
      </c>
      <c r="B42">
        <v>7.048</v>
      </c>
      <c r="C42">
        <v>7.2789999999999999</v>
      </c>
      <c r="D42">
        <v>6.9779999999999998</v>
      </c>
      <c r="E42">
        <v>7.2240000000000002</v>
      </c>
      <c r="F42">
        <v>309873.8</v>
      </c>
      <c r="G42">
        <v>7.2240000000000002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0.63455149501661334</v>
      </c>
      <c r="Q42">
        <f t="shared" ref="Q42" si="186">F42*P42</f>
        <v>196630.88305647904</v>
      </c>
      <c r="R42">
        <f t="shared" ref="R42" si="187">R43+Q42</f>
        <v>-33176665.34927116</v>
      </c>
      <c r="S42">
        <f t="shared" ref="S42" si="188">R42/100000</f>
        <v>-331.76665349271161</v>
      </c>
      <c r="T42">
        <f t="shared" ref="T42" si="189">S42/1000</f>
        <v>-0.33176665349271162</v>
      </c>
    </row>
    <row r="43" spans="1:20" x14ac:dyDescent="0.25">
      <c r="A43" s="5">
        <v>44550</v>
      </c>
      <c r="B43">
        <v>7.1950000000000003</v>
      </c>
      <c r="C43">
        <v>7.2469999999999999</v>
      </c>
      <c r="D43">
        <v>6.819</v>
      </c>
      <c r="E43">
        <v>7.0410000000000004</v>
      </c>
      <c r="F43">
        <v>344859.9</v>
      </c>
      <c r="G43">
        <v>7.0410000000000004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3.7383177570095572E-2</v>
      </c>
      <c r="Q43">
        <f t="shared" ref="Q43" si="191">F43*P43</f>
        <v>12891.958878505402</v>
      </c>
      <c r="R43">
        <f t="shared" ref="R43" si="192">R44+Q43</f>
        <v>-33373296.23232764</v>
      </c>
      <c r="S43">
        <f t="shared" ref="S43" si="193">R43/100000</f>
        <v>-333.73296232327641</v>
      </c>
      <c r="T43">
        <f t="shared" ref="T43" si="194">S43/1000</f>
        <v>-0.33373296232327643</v>
      </c>
    </row>
    <row r="44" spans="1:20" x14ac:dyDescent="0.25">
      <c r="A44" s="5">
        <v>44549</v>
      </c>
      <c r="B44">
        <v>7.343</v>
      </c>
      <c r="C44">
        <v>7.4489999999999998</v>
      </c>
      <c r="D44">
        <v>7.173</v>
      </c>
      <c r="E44">
        <v>7.1970000000000001</v>
      </c>
      <c r="F44">
        <v>227643.3</v>
      </c>
      <c r="G44">
        <v>7.1970000000000001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-0.8260869565217388</v>
      </c>
      <c r="Q44">
        <f t="shared" ref="Q44" si="196">F44*P44</f>
        <v>-188053.16086956512</v>
      </c>
      <c r="R44">
        <f t="shared" ref="R44" si="197">R45+Q44</f>
        <v>-33386188.191206146</v>
      </c>
      <c r="S44">
        <f t="shared" ref="S44" si="198">R44/100000</f>
        <v>-333.86188191206145</v>
      </c>
      <c r="T44">
        <f t="shared" ref="T44" si="199">S44/1000</f>
        <v>-0.33386188191206145</v>
      </c>
    </row>
    <row r="45" spans="1:20" x14ac:dyDescent="0.25">
      <c r="A45" s="5">
        <v>44548</v>
      </c>
      <c r="B45">
        <v>7.218</v>
      </c>
      <c r="C45">
        <v>7.593</v>
      </c>
      <c r="D45">
        <v>7.08</v>
      </c>
      <c r="E45">
        <v>7.35</v>
      </c>
      <c r="F45">
        <v>444286.5</v>
      </c>
      <c r="G45">
        <v>7.35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5.2631578947366961E-2</v>
      </c>
      <c r="Q45">
        <f t="shared" ref="Q45" si="201">F45*P45</f>
        <v>23383.499999999352</v>
      </c>
      <c r="R45">
        <f t="shared" ref="R45" si="202">R46+Q45</f>
        <v>-33198135.030336581</v>
      </c>
      <c r="S45">
        <f t="shared" ref="S45" si="203">R45/100000</f>
        <v>-331.98135030336579</v>
      </c>
      <c r="T45">
        <f t="shared" ref="T45" si="204">S45/1000</f>
        <v>-0.33198135030336579</v>
      </c>
    </row>
    <row r="46" spans="1:20" x14ac:dyDescent="0.25">
      <c r="A46" s="5">
        <v>44547</v>
      </c>
      <c r="B46">
        <v>7.6139999999999999</v>
      </c>
      <c r="C46">
        <v>7.7069999999999999</v>
      </c>
      <c r="D46">
        <v>7.0579999999999998</v>
      </c>
      <c r="E46">
        <v>7.2119999999999997</v>
      </c>
      <c r="F46">
        <v>724898.3</v>
      </c>
      <c r="G46">
        <v>7.2119999999999997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-0.52542372881355959</v>
      </c>
      <c r="Q46">
        <f t="shared" ref="Q46" si="206">F46*P46</f>
        <v>-380878.76779661037</v>
      </c>
      <c r="R46">
        <f t="shared" ref="R46" si="207">R47+Q46</f>
        <v>-33221518.530336581</v>
      </c>
      <c r="S46">
        <f t="shared" ref="S46" si="208">R46/100000</f>
        <v>-332.21518530336579</v>
      </c>
      <c r="T46">
        <f t="shared" ref="T46" si="209">S46/1000</f>
        <v>-0.3322151853033658</v>
      </c>
    </row>
    <row r="47" spans="1:20" x14ac:dyDescent="0.25">
      <c r="A47" s="5">
        <v>44546</v>
      </c>
      <c r="B47">
        <v>7.8120000000000003</v>
      </c>
      <c r="C47">
        <v>7.9880000000000004</v>
      </c>
      <c r="D47">
        <v>7.5890000000000004</v>
      </c>
      <c r="E47">
        <v>7.617</v>
      </c>
      <c r="F47">
        <v>507303.6</v>
      </c>
      <c r="G47">
        <v>7.617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-0.85964912280701966</v>
      </c>
      <c r="Q47">
        <f t="shared" ref="Q47" si="211">F47*P47</f>
        <v>-436103.09473684314</v>
      </c>
      <c r="R47">
        <f t="shared" ref="R47" si="212">R48+Q47</f>
        <v>-32840639.762539972</v>
      </c>
      <c r="S47">
        <f t="shared" ref="S47" si="213">R47/100000</f>
        <v>-328.40639762539973</v>
      </c>
      <c r="T47">
        <f t="shared" ref="T47" si="214">S47/1000</f>
        <v>-0.32840639762539975</v>
      </c>
    </row>
    <row r="48" spans="1:20" x14ac:dyDescent="0.25">
      <c r="A48" s="5">
        <v>44545</v>
      </c>
      <c r="B48">
        <v>7.4320000000000004</v>
      </c>
      <c r="C48">
        <v>7.8739999999999997</v>
      </c>
      <c r="D48">
        <v>7.11</v>
      </c>
      <c r="E48">
        <v>7.8140000000000001</v>
      </c>
      <c r="F48">
        <v>593364.30000000005</v>
      </c>
      <c r="G48">
        <v>7.8140000000000001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0.8429319371727757</v>
      </c>
      <c r="Q48">
        <f t="shared" ref="Q48" si="216">F48*P48</f>
        <v>500165.71884816809</v>
      </c>
      <c r="R48">
        <f t="shared" ref="R48" si="217">R49+Q48</f>
        <v>-32404536.667803127</v>
      </c>
      <c r="S48">
        <f t="shared" ref="S48" si="218">R48/100000</f>
        <v>-324.04536667803126</v>
      </c>
      <c r="T48">
        <f t="shared" ref="T48" si="219">S48/1000</f>
        <v>-0.32404536667803124</v>
      </c>
    </row>
    <row r="49" spans="1:20" x14ac:dyDescent="0.25">
      <c r="A49" s="5">
        <v>44544</v>
      </c>
      <c r="B49">
        <v>7.1740000000000004</v>
      </c>
      <c r="C49">
        <v>7.4969999999999999</v>
      </c>
      <c r="D49">
        <v>7.0519999999999996</v>
      </c>
      <c r="E49">
        <v>7.4269999999999996</v>
      </c>
      <c r="F49">
        <v>484349.6</v>
      </c>
      <c r="G49">
        <v>7.4269999999999996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0.68539325842696519</v>
      </c>
      <c r="Q49">
        <f t="shared" ref="Q49" si="221">F49*P49</f>
        <v>331969.95056179719</v>
      </c>
      <c r="R49">
        <f t="shared" ref="R49" si="222">R50+Q49</f>
        <v>-32904702.386651296</v>
      </c>
      <c r="S49">
        <f t="shared" ref="S49" si="223">R49/100000</f>
        <v>-329.04702386651297</v>
      </c>
      <c r="T49">
        <f t="shared" ref="T49" si="224">S49/1000</f>
        <v>-0.32904702386651297</v>
      </c>
    </row>
    <row r="50" spans="1:20" x14ac:dyDescent="0.25">
      <c r="A50" s="5">
        <v>44543</v>
      </c>
      <c r="B50">
        <v>8.0030000000000001</v>
      </c>
      <c r="C50">
        <v>8.0310000000000006</v>
      </c>
      <c r="D50">
        <v>7.05</v>
      </c>
      <c r="E50">
        <v>7.18</v>
      </c>
      <c r="F50">
        <v>584841.5</v>
      </c>
      <c r="G50">
        <v>7.18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-0.73496432212028584</v>
      </c>
      <c r="Q50">
        <f t="shared" ref="Q50" si="226">F50*P50</f>
        <v>-429837.63659531117</v>
      </c>
      <c r="R50">
        <f t="shared" ref="R50" si="227">R51+Q50</f>
        <v>-33236672.337213092</v>
      </c>
      <c r="S50">
        <f t="shared" ref="S50" si="228">R50/100000</f>
        <v>-332.36672337213093</v>
      </c>
      <c r="T50">
        <f t="shared" ref="T50" si="229">S50/1000</f>
        <v>-0.33236672337213091</v>
      </c>
    </row>
    <row r="51" spans="1:20" x14ac:dyDescent="0.25">
      <c r="A51" s="5">
        <v>44542</v>
      </c>
      <c r="B51">
        <v>7.9429999999999996</v>
      </c>
      <c r="C51">
        <v>8.1059999999999999</v>
      </c>
      <c r="D51">
        <v>7.7709999999999999</v>
      </c>
      <c r="E51">
        <v>8.0039999999999996</v>
      </c>
      <c r="F51">
        <v>665138.5</v>
      </c>
      <c r="G51">
        <v>8.0039999999999996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0.39104477611940103</v>
      </c>
      <c r="Q51">
        <f t="shared" ref="Q51" si="231">F51*P51</f>
        <v>260098.93582089423</v>
      </c>
      <c r="R51">
        <f t="shared" ref="R51" si="232">R52+Q51</f>
        <v>-32806834.700617779</v>
      </c>
      <c r="S51">
        <f t="shared" ref="S51" si="233">R51/100000</f>
        <v>-328.06834700617782</v>
      </c>
      <c r="T51">
        <f t="shared" ref="T51" si="234">S51/1000</f>
        <v>-0.32806834700617782</v>
      </c>
    </row>
    <row r="52" spans="1:20" x14ac:dyDescent="0.25">
      <c r="A52" s="5">
        <v>44541</v>
      </c>
      <c r="B52">
        <v>7.6870000000000003</v>
      </c>
      <c r="C52">
        <v>7.7750000000000004</v>
      </c>
      <c r="D52">
        <v>7.5789999999999997</v>
      </c>
      <c r="E52">
        <v>7.76</v>
      </c>
      <c r="F52">
        <v>40648.300000000003</v>
      </c>
      <c r="G52">
        <v>7.76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0.8469387755101988</v>
      </c>
      <c r="Q52">
        <f t="shared" ref="Q52" si="236">F52*P52</f>
        <v>34426.621428571219</v>
      </c>
      <c r="R52">
        <f t="shared" ref="R52" si="237">R53+Q52</f>
        <v>-33066933.636438671</v>
      </c>
      <c r="S52">
        <f t="shared" ref="S52" si="238">R52/100000</f>
        <v>-330.66933636438671</v>
      </c>
      <c r="T52">
        <f t="shared" ref="T52" si="239">S52/1000</f>
        <v>-0.33066933636438672</v>
      </c>
    </row>
    <row r="53" spans="1:20" x14ac:dyDescent="0.25">
      <c r="A53" s="5">
        <v>44540</v>
      </c>
      <c r="B53">
        <v>8.2050000000000001</v>
      </c>
      <c r="C53">
        <v>8.4060000000000006</v>
      </c>
      <c r="D53">
        <v>7.6580000000000004</v>
      </c>
      <c r="E53">
        <v>7.6870000000000003</v>
      </c>
      <c r="F53">
        <v>823085.5</v>
      </c>
      <c r="G53">
        <v>7.6870000000000003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-0.92245989304812859</v>
      </c>
      <c r="Q53">
        <f t="shared" ref="Q53" si="241">F53*P53</f>
        <v>-759263.36229946546</v>
      </c>
      <c r="R53">
        <f t="shared" ref="R53" si="242">R54+Q53</f>
        <v>-33101360.257867243</v>
      </c>
      <c r="S53">
        <f t="shared" ref="S53" si="243">R53/100000</f>
        <v>-331.01360257867242</v>
      </c>
      <c r="T53">
        <f t="shared" ref="T53" si="244">S53/1000</f>
        <v>-0.33101360257867241</v>
      </c>
    </row>
    <row r="54" spans="1:20" x14ac:dyDescent="0.25">
      <c r="A54" s="5">
        <v>44539</v>
      </c>
      <c r="B54">
        <v>8.8759999999999994</v>
      </c>
      <c r="C54">
        <v>8.9309999999999992</v>
      </c>
      <c r="D54">
        <v>8.1790000000000003</v>
      </c>
      <c r="E54">
        <v>8.2050000000000001</v>
      </c>
      <c r="F54">
        <v>565104.4</v>
      </c>
      <c r="G54">
        <v>8.2050000000000001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-0.93085106382978766</v>
      </c>
      <c r="Q54">
        <f t="shared" ref="Q54" si="246">F54*P54</f>
        <v>-526028.03191489389</v>
      </c>
      <c r="R54">
        <f t="shared" ref="R54" si="247">R55+Q54</f>
        <v>-32342096.895567778</v>
      </c>
      <c r="S54">
        <f t="shared" ref="S54" si="248">R54/100000</f>
        <v>-323.42096895567778</v>
      </c>
      <c r="T54">
        <f t="shared" ref="T54" si="249">S54/1000</f>
        <v>-0.32342096895567779</v>
      </c>
    </row>
    <row r="55" spans="1:20" x14ac:dyDescent="0.25">
      <c r="A55" s="5">
        <v>44538</v>
      </c>
      <c r="B55">
        <v>8.7349999999999994</v>
      </c>
      <c r="C55">
        <v>8.8740000000000006</v>
      </c>
      <c r="D55">
        <v>8.4239999999999995</v>
      </c>
      <c r="E55">
        <v>8.8740000000000006</v>
      </c>
      <c r="F55">
        <v>542301.4</v>
      </c>
      <c r="G55">
        <v>8.8740000000000006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1</v>
      </c>
      <c r="Q55">
        <f t="shared" ref="Q55" si="251">F55*P55</f>
        <v>542301.4</v>
      </c>
      <c r="R55">
        <f t="shared" ref="R55" si="252">R56+Q55</f>
        <v>-31816068.863652885</v>
      </c>
      <c r="S55">
        <f t="shared" ref="S55" si="253">R55/100000</f>
        <v>-318.16068863652885</v>
      </c>
      <c r="T55">
        <f t="shared" ref="T55" si="254">S55/1000</f>
        <v>-0.31816068863652885</v>
      </c>
    </row>
    <row r="56" spans="1:20" x14ac:dyDescent="0.25">
      <c r="A56" s="5">
        <v>44537</v>
      </c>
      <c r="B56">
        <v>8.8420000000000005</v>
      </c>
      <c r="C56">
        <v>9.0739999999999998</v>
      </c>
      <c r="D56">
        <v>8.6329999999999991</v>
      </c>
      <c r="E56">
        <v>8.7439999999999998</v>
      </c>
      <c r="F56">
        <v>622712</v>
      </c>
      <c r="G56">
        <v>8.7439999999999998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-0.4965986394557802</v>
      </c>
      <c r="Q56">
        <f t="shared" ref="Q56" si="256">F56*P56</f>
        <v>-309237.93197278777</v>
      </c>
      <c r="R56">
        <f t="shared" ref="R56" si="257">R57+Q56</f>
        <v>-32358370.263652883</v>
      </c>
      <c r="S56">
        <f t="shared" ref="S56" si="258">R56/100000</f>
        <v>-323.58370263652881</v>
      </c>
      <c r="T56">
        <f t="shared" ref="T56" si="259">S56/1000</f>
        <v>-0.3235837026365288</v>
      </c>
    </row>
    <row r="57" spans="1:20" x14ac:dyDescent="0.25">
      <c r="A57" s="5">
        <v>44536</v>
      </c>
      <c r="B57">
        <v>8.9969999999999999</v>
      </c>
      <c r="C57">
        <v>9.0050000000000008</v>
      </c>
      <c r="D57">
        <v>8.1440000000000001</v>
      </c>
      <c r="E57">
        <v>8.8490000000000002</v>
      </c>
      <c r="F57">
        <v>1255686.8999999999</v>
      </c>
      <c r="G57">
        <v>8.8490000000000002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0.63763066202090479</v>
      </c>
      <c r="Q57">
        <f t="shared" ref="Q57" si="261">F57*P57</f>
        <v>800664.46933797759</v>
      </c>
      <c r="R57">
        <f t="shared" ref="R57" si="262">R58+Q57</f>
        <v>-32049132.331680097</v>
      </c>
      <c r="S57">
        <f t="shared" ref="S57" si="263">R57/100000</f>
        <v>-320.49132331680096</v>
      </c>
      <c r="T57">
        <f t="shared" ref="T57" si="264">S57/1000</f>
        <v>-0.32049132331680097</v>
      </c>
    </row>
    <row r="58" spans="1:20" x14ac:dyDescent="0.25">
      <c r="A58" s="5">
        <v>44535</v>
      </c>
      <c r="B58">
        <v>9.3569999999999993</v>
      </c>
      <c r="C58">
        <v>9.5109999999999992</v>
      </c>
      <c r="D58">
        <v>8.6999999999999993</v>
      </c>
      <c r="E58">
        <v>8.9969999999999999</v>
      </c>
      <c r="F58">
        <v>1137906.3999999999</v>
      </c>
      <c r="G58">
        <v>8.9969999999999999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-0.26757090012330303</v>
      </c>
      <c r="Q58">
        <f t="shared" ref="Q58" si="266">F58*P58</f>
        <v>-304470.63970406726</v>
      </c>
      <c r="R58">
        <f t="shared" ref="R58" si="267">R59+Q58</f>
        <v>-32849796.801018074</v>
      </c>
      <c r="S58">
        <f t="shared" ref="S58" si="268">R58/100000</f>
        <v>-328.49796801018073</v>
      </c>
      <c r="T58">
        <f t="shared" ref="T58" si="269">S58/1000</f>
        <v>-0.32849796801018072</v>
      </c>
    </row>
    <row r="59" spans="1:20" x14ac:dyDescent="0.25">
      <c r="A59" s="5">
        <v>44534</v>
      </c>
      <c r="B59">
        <v>10.444000000000001</v>
      </c>
      <c r="C59">
        <v>10.455</v>
      </c>
      <c r="D59">
        <v>7.9189999999999996</v>
      </c>
      <c r="E59">
        <v>9.3680000000000003</v>
      </c>
      <c r="F59">
        <v>2257744</v>
      </c>
      <c r="G59">
        <v>9.3680000000000003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0.1427444794952685</v>
      </c>
      <c r="Q59">
        <f t="shared" ref="Q59" si="271">F59*P59</f>
        <v>322280.4921135655</v>
      </c>
      <c r="R59">
        <f t="shared" ref="R59" si="272">R60+Q59</f>
        <v>-32545326.161314007</v>
      </c>
      <c r="S59">
        <f t="shared" ref="S59" si="273">R59/100000</f>
        <v>-325.45326161314006</v>
      </c>
      <c r="T59">
        <f t="shared" ref="T59" si="274">S59/1000</f>
        <v>-0.32545326161314003</v>
      </c>
    </row>
    <row r="60" spans="1:20" x14ac:dyDescent="0.25">
      <c r="A60" s="5">
        <v>44533</v>
      </c>
      <c r="B60">
        <v>11.217000000000001</v>
      </c>
      <c r="C60">
        <v>11.372999999999999</v>
      </c>
      <c r="D60">
        <v>10.058</v>
      </c>
      <c r="E60">
        <v>10.455</v>
      </c>
      <c r="F60">
        <v>1389893.9</v>
      </c>
      <c r="G60">
        <v>10.455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-0.39619771863117809</v>
      </c>
      <c r="Q60">
        <f t="shared" ref="Q60" si="276">F60*P60</f>
        <v>-550672.79231939069</v>
      </c>
      <c r="R60">
        <f t="shared" ref="R60" si="277">R61+Q60</f>
        <v>-32867606.653427571</v>
      </c>
      <c r="S60">
        <f t="shared" ref="S60" si="278">R60/100000</f>
        <v>-328.67606653427572</v>
      </c>
      <c r="T60">
        <f t="shared" ref="T60" si="279">S60/1000</f>
        <v>-0.32867606653427572</v>
      </c>
    </row>
    <row r="61" spans="1:20" x14ac:dyDescent="0.25">
      <c r="A61" s="5">
        <v>44532</v>
      </c>
      <c r="B61">
        <v>11.154</v>
      </c>
      <c r="C61">
        <v>11.85</v>
      </c>
      <c r="D61">
        <v>10.903</v>
      </c>
      <c r="E61">
        <v>11.201000000000001</v>
      </c>
      <c r="F61">
        <v>1884234.9</v>
      </c>
      <c r="G61">
        <v>11.201000000000001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-0.37064413938753898</v>
      </c>
      <c r="Q61">
        <f t="shared" ref="Q61" si="281">F61*P61</f>
        <v>-698380.62291446549</v>
      </c>
      <c r="R61">
        <f t="shared" ref="R61" si="282">R62+Q61</f>
        <v>-32316933.86110818</v>
      </c>
      <c r="S61">
        <f t="shared" ref="S61" si="283">R61/100000</f>
        <v>-323.1693386110818</v>
      </c>
      <c r="T61">
        <f t="shared" ref="T61" si="284">S61/1000</f>
        <v>-0.32316933861108182</v>
      </c>
    </row>
    <row r="62" spans="1:20" x14ac:dyDescent="0.25">
      <c r="A62" s="5">
        <v>44531</v>
      </c>
      <c r="B62">
        <v>10.893000000000001</v>
      </c>
      <c r="C62">
        <v>11.78</v>
      </c>
      <c r="D62">
        <v>10.785</v>
      </c>
      <c r="E62">
        <v>11.154999999999999</v>
      </c>
      <c r="F62">
        <v>1647859.7</v>
      </c>
      <c r="G62">
        <v>11.154999999999999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-0.25628140703517688</v>
      </c>
      <c r="Q62">
        <f t="shared" ref="Q62" si="286">F62*P62</f>
        <v>-422315.80251256446</v>
      </c>
      <c r="R62">
        <f t="shared" ref="R62" si="287">R63+Q62</f>
        <v>-31618553.238193713</v>
      </c>
      <c r="S62">
        <f t="shared" ref="S62" si="288">R62/100000</f>
        <v>-316.18553238193715</v>
      </c>
      <c r="T62">
        <f t="shared" ref="T62" si="289">S62/1000</f>
        <v>-0.31618553238193714</v>
      </c>
    </row>
    <row r="63" spans="1:20" x14ac:dyDescent="0.25">
      <c r="A63" s="5">
        <v>44530</v>
      </c>
      <c r="B63">
        <v>10.632999999999999</v>
      </c>
      <c r="C63">
        <v>11.182</v>
      </c>
      <c r="D63">
        <v>10.444000000000001</v>
      </c>
      <c r="E63">
        <v>10.879</v>
      </c>
      <c r="F63">
        <v>1594850.6</v>
      </c>
      <c r="G63">
        <v>10.879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0.17886178861788343</v>
      </c>
      <c r="Q63">
        <f t="shared" ref="Q63" si="291">F63*P63</f>
        <v>285257.83089430456</v>
      </c>
      <c r="R63">
        <f t="shared" ref="R63" si="292">R64+Q63</f>
        <v>-31196237.435681149</v>
      </c>
      <c r="S63">
        <f t="shared" ref="S63" si="293">R63/100000</f>
        <v>-311.96237435681149</v>
      </c>
      <c r="T63">
        <f t="shared" ref="T63" si="294">S63/1000</f>
        <v>-0.31196237435681151</v>
      </c>
    </row>
    <row r="64" spans="1:20" x14ac:dyDescent="0.25">
      <c r="A64" s="5">
        <v>44529</v>
      </c>
      <c r="B64">
        <v>9.9770000000000003</v>
      </c>
      <c r="C64">
        <v>10.95</v>
      </c>
      <c r="D64">
        <v>9.9359999999999999</v>
      </c>
      <c r="E64">
        <v>10.632999999999999</v>
      </c>
      <c r="F64">
        <v>1628266.3</v>
      </c>
      <c r="G64">
        <v>10.632999999999999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0.37475345167652785</v>
      </c>
      <c r="Q64">
        <f t="shared" ref="Q64" si="296">F64*P64</f>
        <v>610198.41617356881</v>
      </c>
      <c r="R64">
        <f t="shared" ref="R64" si="297">R65+Q64</f>
        <v>-31481495.266575456</v>
      </c>
      <c r="S64">
        <f t="shared" ref="S64" si="298">R64/100000</f>
        <v>-314.81495266575456</v>
      </c>
      <c r="T64">
        <f t="shared" ref="T64" si="299">S64/1000</f>
        <v>-0.31481495266575454</v>
      </c>
    </row>
    <row r="65" spans="1:20" x14ac:dyDescent="0.25">
      <c r="A65" s="5">
        <v>44528</v>
      </c>
      <c r="B65">
        <v>9.7100000000000009</v>
      </c>
      <c r="C65">
        <v>9.9930000000000003</v>
      </c>
      <c r="D65">
        <v>9.2899999999999991</v>
      </c>
      <c r="E65">
        <v>9.9770000000000003</v>
      </c>
      <c r="F65">
        <v>698476.1</v>
      </c>
      <c r="G65">
        <v>9.9770000000000003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0.95448079658605978</v>
      </c>
      <c r="Q65">
        <f t="shared" ref="Q65" si="301">F65*P65</f>
        <v>666682.02432432433</v>
      </c>
      <c r="R65">
        <f t="shared" ref="R65" si="302">R66+Q65</f>
        <v>-32091693.682749026</v>
      </c>
      <c r="S65">
        <f t="shared" ref="S65" si="303">R65/100000</f>
        <v>-320.91693682749025</v>
      </c>
      <c r="T65">
        <f t="shared" ref="T65" si="304">S65/1000</f>
        <v>-0.32091693682749023</v>
      </c>
    </row>
    <row r="66" spans="1:20" x14ac:dyDescent="0.25">
      <c r="A66" s="5">
        <v>44527</v>
      </c>
      <c r="B66">
        <v>9.49</v>
      </c>
      <c r="C66">
        <v>9.91</v>
      </c>
      <c r="D66">
        <v>9.4390000000000001</v>
      </c>
      <c r="E66">
        <v>9.7110000000000003</v>
      </c>
      <c r="F66">
        <v>658183.5</v>
      </c>
      <c r="G66">
        <v>9.7110000000000003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0.15498938428874817</v>
      </c>
      <c r="Q66">
        <f t="shared" ref="Q66" si="306">F66*P66</f>
        <v>102011.45541401328</v>
      </c>
      <c r="R66">
        <f t="shared" ref="R66" si="307">R67+Q66</f>
        <v>-32758375.70707335</v>
      </c>
      <c r="S66">
        <f t="shared" ref="S66" si="308">R66/100000</f>
        <v>-327.5837570707335</v>
      </c>
      <c r="T66">
        <f t="shared" ref="T66" si="309">S66/1000</f>
        <v>-0.32758375707073351</v>
      </c>
    </row>
    <row r="67" spans="1:20" x14ac:dyDescent="0.25">
      <c r="A67" s="5">
        <v>44526</v>
      </c>
      <c r="B67">
        <v>10.305999999999999</v>
      </c>
      <c r="C67">
        <v>10.4</v>
      </c>
      <c r="D67">
        <v>9.0429999999999993</v>
      </c>
      <c r="E67">
        <v>9.4920000000000009</v>
      </c>
      <c r="F67">
        <v>1303894</v>
      </c>
      <c r="G67">
        <v>9.4920000000000009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-0.33824613117170044</v>
      </c>
      <c r="Q67">
        <f t="shared" ref="Q67" si="311">F67*P67</f>
        <v>-441037.10095799319</v>
      </c>
      <c r="R67">
        <f t="shared" ref="R67" si="312">R68+Q67</f>
        <v>-32860387.162487362</v>
      </c>
      <c r="S67">
        <f t="shared" ref="S67" si="313">R67/100000</f>
        <v>-328.60387162487359</v>
      </c>
      <c r="T67">
        <f t="shared" ref="T67" si="314">S67/1000</f>
        <v>-0.32860387162487359</v>
      </c>
    </row>
    <row r="68" spans="1:20" x14ac:dyDescent="0.25">
      <c r="A68" s="5">
        <v>44525</v>
      </c>
      <c r="B68">
        <v>9.9740000000000002</v>
      </c>
      <c r="C68">
        <v>10.545999999999999</v>
      </c>
      <c r="D68">
        <v>9.9090000000000007</v>
      </c>
      <c r="E68">
        <v>10.307</v>
      </c>
      <c r="F68">
        <v>756377.4</v>
      </c>
      <c r="G68">
        <v>10.307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0.24960753532182264</v>
      </c>
      <c r="Q68">
        <f t="shared" ref="Q68" si="316">F68*P68</f>
        <v>188797.49858712839</v>
      </c>
      <c r="R68">
        <f t="shared" ref="R68" si="317">R69+Q68</f>
        <v>-32419350.061529368</v>
      </c>
      <c r="S68">
        <f t="shared" ref="S68" si="318">R68/100000</f>
        <v>-324.19350061529366</v>
      </c>
      <c r="T68">
        <f t="shared" ref="T68" si="319">S68/1000</f>
        <v>-0.32419350061529367</v>
      </c>
    </row>
    <row r="69" spans="1:20" x14ac:dyDescent="0.25">
      <c r="A69" s="5">
        <v>44524</v>
      </c>
      <c r="B69">
        <v>10.115</v>
      </c>
      <c r="C69">
        <v>10.146000000000001</v>
      </c>
      <c r="D69">
        <v>9.92</v>
      </c>
      <c r="E69">
        <v>10.054</v>
      </c>
      <c r="F69">
        <v>149625.9</v>
      </c>
      <c r="G69">
        <v>10.054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0.18584070796460023</v>
      </c>
      <c r="Q69">
        <f t="shared" ref="Q69" si="321">F69*P69</f>
        <v>27806.583185840474</v>
      </c>
      <c r="R69">
        <f t="shared" ref="R69" si="322">R70+Q69</f>
        <v>-32608147.560116496</v>
      </c>
      <c r="S69">
        <f t="shared" ref="S69" si="323">R69/100000</f>
        <v>-326.08147560116498</v>
      </c>
      <c r="T69">
        <f t="shared" ref="T69" si="324">S69/1000</f>
        <v>-0.32608147560116496</v>
      </c>
    </row>
    <row r="70" spans="1:20" x14ac:dyDescent="0.25">
      <c r="A70" s="5">
        <v>44523</v>
      </c>
      <c r="B70">
        <v>9.8409999999999993</v>
      </c>
      <c r="C70">
        <v>10.186</v>
      </c>
      <c r="D70">
        <v>9.6460000000000008</v>
      </c>
      <c r="E70">
        <v>10.116</v>
      </c>
      <c r="F70">
        <v>516428.2</v>
      </c>
      <c r="G70">
        <v>10.116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0.74074074074073926</v>
      </c>
      <c r="Q70">
        <f t="shared" ref="Q70" si="326">F70*P70</f>
        <v>382539.40740740666</v>
      </c>
      <c r="R70">
        <f t="shared" ref="R70" si="327">R71+Q70</f>
        <v>-32635954.143302336</v>
      </c>
      <c r="S70">
        <f t="shared" ref="S70" si="328">R70/100000</f>
        <v>-326.35954143302337</v>
      </c>
      <c r="T70">
        <f t="shared" ref="T70" si="329">S70/1000</f>
        <v>-0.32635954143302337</v>
      </c>
    </row>
    <row r="71" spans="1:20" x14ac:dyDescent="0.25">
      <c r="A71" s="5">
        <v>44522</v>
      </c>
      <c r="B71">
        <v>10.285</v>
      </c>
      <c r="C71">
        <v>10.349</v>
      </c>
      <c r="D71">
        <v>9.7430000000000003</v>
      </c>
      <c r="E71">
        <v>9.8469999999999995</v>
      </c>
      <c r="F71">
        <v>785713.2</v>
      </c>
      <c r="G71">
        <v>9.8469999999999995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-0.65676567656765927</v>
      </c>
      <c r="Q71">
        <f t="shared" ref="Q71" si="331">F71*P71</f>
        <v>-516029.46138614055</v>
      </c>
      <c r="R71">
        <f t="shared" ref="R71" si="332">R72+Q71</f>
        <v>-33018493.550709743</v>
      </c>
      <c r="S71">
        <f t="shared" ref="S71" si="333">R71/100000</f>
        <v>-330.18493550709741</v>
      </c>
      <c r="T71">
        <f t="shared" ref="T71" si="334">S71/1000</f>
        <v>-0.33018493550709743</v>
      </c>
    </row>
    <row r="72" spans="1:20" x14ac:dyDescent="0.25">
      <c r="A72" s="5">
        <v>44521</v>
      </c>
      <c r="B72">
        <v>10.287000000000001</v>
      </c>
      <c r="C72">
        <v>10.565</v>
      </c>
      <c r="D72">
        <v>10.090999999999999</v>
      </c>
      <c r="E72">
        <v>10.282999999999999</v>
      </c>
      <c r="F72">
        <v>551903.80000000005</v>
      </c>
      <c r="G72">
        <v>10.282999999999999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-0.18987341772151861</v>
      </c>
      <c r="Q72">
        <f t="shared" ref="Q72" si="336">F72*P72</f>
        <v>-104791.86075949347</v>
      </c>
      <c r="R72">
        <f t="shared" ref="R72" si="337">R73+Q72</f>
        <v>-32502464.089323603</v>
      </c>
      <c r="S72">
        <f t="shared" ref="S72" si="338">R72/100000</f>
        <v>-325.02464089323604</v>
      </c>
      <c r="T72">
        <f t="shared" ref="T72" si="339">S72/1000</f>
        <v>-0.32502464089323602</v>
      </c>
    </row>
    <row r="73" spans="1:20" x14ac:dyDescent="0.25">
      <c r="A73" s="5">
        <v>44520</v>
      </c>
      <c r="B73">
        <v>10.108000000000001</v>
      </c>
      <c r="C73">
        <v>10.414999999999999</v>
      </c>
      <c r="D73">
        <v>9.8640000000000008</v>
      </c>
      <c r="E73">
        <v>10.28</v>
      </c>
      <c r="F73">
        <v>457502.3</v>
      </c>
      <c r="G73">
        <v>10.28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0.50998185117967265</v>
      </c>
      <c r="Q73">
        <f t="shared" ref="Q73" si="341">F73*P73</f>
        <v>233317.86987295793</v>
      </c>
      <c r="R73">
        <f t="shared" ref="R73" si="342">R74+Q73</f>
        <v>-32397672.22856411</v>
      </c>
      <c r="S73">
        <f t="shared" ref="S73" si="343">R73/100000</f>
        <v>-323.97672228564107</v>
      </c>
      <c r="T73">
        <f t="shared" ref="T73" si="344">S73/1000</f>
        <v>-0.32397672228564106</v>
      </c>
    </row>
    <row r="74" spans="1:20" x14ac:dyDescent="0.25">
      <c r="A74" s="5">
        <v>44519</v>
      </c>
      <c r="B74">
        <v>9.4160000000000004</v>
      </c>
      <c r="C74">
        <v>10.115</v>
      </c>
      <c r="D74">
        <v>9.2390000000000008</v>
      </c>
      <c r="E74">
        <v>10.105</v>
      </c>
      <c r="F74">
        <v>730849.8</v>
      </c>
      <c r="G74">
        <v>10.105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0.97716894977169</v>
      </c>
      <c r="Q74">
        <f t="shared" ref="Q74" si="346">F74*P74</f>
        <v>714163.73150684976</v>
      </c>
      <c r="R74">
        <f t="shared" ref="R74" si="347">R75+Q74</f>
        <v>-32630990.098437067</v>
      </c>
      <c r="S74">
        <f t="shared" ref="S74" si="348">R74/100000</f>
        <v>-326.3099009843707</v>
      </c>
      <c r="T74">
        <f t="shared" ref="T74" si="349">S74/1000</f>
        <v>-0.32630990098437068</v>
      </c>
    </row>
    <row r="75" spans="1:20" x14ac:dyDescent="0.25">
      <c r="A75" s="5">
        <v>44518</v>
      </c>
      <c r="B75">
        <v>10.385</v>
      </c>
      <c r="C75">
        <v>10.45</v>
      </c>
      <c r="D75">
        <v>9.1329999999999991</v>
      </c>
      <c r="E75">
        <v>9.4049999999999994</v>
      </c>
      <c r="F75">
        <v>1047372.3</v>
      </c>
      <c r="G75">
        <v>9.4049999999999994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-0.58694001518602856</v>
      </c>
      <c r="Q75">
        <f t="shared" ref="Q75" si="351">F75*P75</f>
        <v>-614744.71366742568</v>
      </c>
      <c r="R75">
        <f t="shared" ref="R75" si="352">R76+Q75</f>
        <v>-33345153.829943918</v>
      </c>
      <c r="S75">
        <f t="shared" ref="S75" si="353">R75/100000</f>
        <v>-333.45153829943916</v>
      </c>
      <c r="T75">
        <f t="shared" ref="T75" si="354">S75/1000</f>
        <v>-0.33345153829943919</v>
      </c>
    </row>
    <row r="76" spans="1:20" x14ac:dyDescent="0.25">
      <c r="A76" s="5">
        <v>44517</v>
      </c>
      <c r="B76">
        <v>10.263999999999999</v>
      </c>
      <c r="C76">
        <v>10.68</v>
      </c>
      <c r="D76">
        <v>9.8930000000000007</v>
      </c>
      <c r="E76">
        <v>10.385999999999999</v>
      </c>
      <c r="F76">
        <v>758712.5</v>
      </c>
      <c r="G76">
        <v>10.385999999999999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0.25285895806861286</v>
      </c>
      <c r="Q76">
        <f t="shared" ref="Q76" si="356">F76*P76</f>
        <v>191847.25222363244</v>
      </c>
      <c r="R76">
        <f t="shared" ref="R76" si="357">R77+Q76</f>
        <v>-32730409.116276491</v>
      </c>
      <c r="S76">
        <f t="shared" ref="S76" si="358">R76/100000</f>
        <v>-327.30409116276491</v>
      </c>
      <c r="T76">
        <f t="shared" ref="T76" si="359">S76/1000</f>
        <v>-0.32730409116276493</v>
      </c>
    </row>
    <row r="77" spans="1:20" x14ac:dyDescent="0.25">
      <c r="A77" s="5">
        <v>44516</v>
      </c>
      <c r="B77">
        <v>11.106</v>
      </c>
      <c r="C77">
        <v>11.11</v>
      </c>
      <c r="D77">
        <v>9.6270000000000007</v>
      </c>
      <c r="E77">
        <v>10.257</v>
      </c>
      <c r="F77">
        <v>1195424.2</v>
      </c>
      <c r="G77">
        <v>10.257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-0.15037086985839579</v>
      </c>
      <c r="Q77">
        <f t="shared" ref="Q77" si="361">F77*P77</f>
        <v>-179756.9768037769</v>
      </c>
      <c r="R77">
        <f t="shared" ref="R77" si="362">R78+Q77</f>
        <v>-32922256.368500125</v>
      </c>
      <c r="S77">
        <f t="shared" ref="S77" si="363">R77/100000</f>
        <v>-329.22256368500126</v>
      </c>
      <c r="T77">
        <f t="shared" ref="T77" si="364">S77/1000</f>
        <v>-0.32922256368500125</v>
      </c>
    </row>
    <row r="78" spans="1:20" x14ac:dyDescent="0.25">
      <c r="A78" s="5">
        <v>44515</v>
      </c>
      <c r="B78">
        <v>11.206</v>
      </c>
      <c r="C78">
        <v>11.5</v>
      </c>
      <c r="D78">
        <v>11.054</v>
      </c>
      <c r="E78">
        <v>11.108000000000001</v>
      </c>
      <c r="F78">
        <v>510286.8</v>
      </c>
      <c r="G78">
        <v>11.108000000000001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-0.75784753363228563</v>
      </c>
      <c r="Q78">
        <f t="shared" ref="Q78" si="366">F78*P78</f>
        <v>-386719.59282511141</v>
      </c>
      <c r="R78">
        <f t="shared" ref="R78" si="367">R79+Q78</f>
        <v>-32742499.391696349</v>
      </c>
      <c r="S78">
        <f t="shared" ref="S78" si="368">R78/100000</f>
        <v>-327.4249939169635</v>
      </c>
      <c r="T78">
        <f t="shared" ref="T78" si="369">S78/1000</f>
        <v>-0.3274249939169635</v>
      </c>
    </row>
    <row r="79" spans="1:20" x14ac:dyDescent="0.25">
      <c r="A79" s="5">
        <v>44514</v>
      </c>
      <c r="B79">
        <v>11.414</v>
      </c>
      <c r="C79">
        <v>11.45</v>
      </c>
      <c r="D79">
        <v>10.938000000000001</v>
      </c>
      <c r="E79">
        <v>11.208</v>
      </c>
      <c r="F79">
        <v>387426.5</v>
      </c>
      <c r="G79">
        <v>11.208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5.4687500000001055E-2</v>
      </c>
      <c r="Q79">
        <f t="shared" ref="Q79" si="371">F79*P79</f>
        <v>21187.386718750407</v>
      </c>
      <c r="R79">
        <f t="shared" ref="R79" si="372">R80+Q79</f>
        <v>-32355779.798871238</v>
      </c>
      <c r="S79">
        <f t="shared" ref="S79" si="373">R79/100000</f>
        <v>-323.55779798871237</v>
      </c>
      <c r="T79">
        <f t="shared" ref="T79" si="374">S79/1000</f>
        <v>-0.32355779798871237</v>
      </c>
    </row>
    <row r="80" spans="1:20" x14ac:dyDescent="0.25">
      <c r="A80" s="5">
        <v>44513</v>
      </c>
      <c r="B80">
        <v>11.06</v>
      </c>
      <c r="C80">
        <v>11.590999999999999</v>
      </c>
      <c r="D80">
        <v>10.936</v>
      </c>
      <c r="E80">
        <v>11.412000000000001</v>
      </c>
      <c r="F80">
        <v>585481.19999999995</v>
      </c>
      <c r="G80">
        <v>11.412000000000001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0.45343511450382085</v>
      </c>
      <c r="Q80">
        <f t="shared" ref="Q80" si="376">F80*P80</f>
        <v>265477.73496183439</v>
      </c>
      <c r="R80">
        <f t="shared" ref="R80" si="377">R81+Q80</f>
        <v>-32376967.185589988</v>
      </c>
      <c r="S80">
        <f t="shared" ref="S80" si="378">R80/100000</f>
        <v>-323.7696718558999</v>
      </c>
      <c r="T80">
        <f t="shared" ref="T80" si="379">S80/1000</f>
        <v>-0.32376967185589989</v>
      </c>
    </row>
    <row r="81" spans="1:20" x14ac:dyDescent="0.25">
      <c r="A81" s="5">
        <v>44512</v>
      </c>
      <c r="B81">
        <v>11.269</v>
      </c>
      <c r="C81">
        <v>11.337999999999999</v>
      </c>
      <c r="D81">
        <v>10.782999999999999</v>
      </c>
      <c r="E81">
        <v>11.065</v>
      </c>
      <c r="F81">
        <v>968185.7</v>
      </c>
      <c r="G81">
        <v>11.065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1.6216216216216838E-2</v>
      </c>
      <c r="Q81">
        <f t="shared" ref="Q81" si="381">F81*P81</f>
        <v>15700.30864864925</v>
      </c>
      <c r="R81">
        <f t="shared" ref="R81" si="382">R82+Q81</f>
        <v>-32642444.920551822</v>
      </c>
      <c r="S81">
        <f t="shared" ref="S81" si="383">R81/100000</f>
        <v>-326.42444920551821</v>
      </c>
      <c r="T81">
        <f t="shared" ref="T81" si="384">S81/1000</f>
        <v>-0.32642444920551822</v>
      </c>
    </row>
    <row r="82" spans="1:20" x14ac:dyDescent="0.25">
      <c r="A82" s="5">
        <v>44511</v>
      </c>
      <c r="B82">
        <v>11.244999999999999</v>
      </c>
      <c r="C82">
        <v>11.574</v>
      </c>
      <c r="D82">
        <v>11.077999999999999</v>
      </c>
      <c r="E82">
        <v>11.269</v>
      </c>
      <c r="F82">
        <v>896741.5</v>
      </c>
      <c r="G82">
        <v>11.269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-0.22983870967741712</v>
      </c>
      <c r="Q82">
        <f t="shared" ref="Q82" si="386">F82*P82</f>
        <v>-206105.90927419154</v>
      </c>
      <c r="R82">
        <f t="shared" ref="R82" si="387">R83+Q82</f>
        <v>-32658145.229200471</v>
      </c>
      <c r="S82">
        <f t="shared" ref="S82" si="388">R82/100000</f>
        <v>-326.58145229200471</v>
      </c>
      <c r="T82">
        <f t="shared" ref="T82" si="389">S82/1000</f>
        <v>-0.32658145229200469</v>
      </c>
    </row>
    <row r="83" spans="1:20" x14ac:dyDescent="0.25">
      <c r="A83" s="5">
        <v>44510</v>
      </c>
      <c r="B83">
        <v>12.042</v>
      </c>
      <c r="C83">
        <v>12.5</v>
      </c>
      <c r="D83">
        <v>10.061999999999999</v>
      </c>
      <c r="E83">
        <v>11.249000000000001</v>
      </c>
      <c r="F83">
        <v>1891940.9</v>
      </c>
      <c r="G83">
        <v>11.249000000000001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-2.6251025430680173E-2</v>
      </c>
      <c r="Q83">
        <f t="shared" ref="Q83" si="391">F83*P83</f>
        <v>-49665.38867924393</v>
      </c>
      <c r="R83">
        <f t="shared" ref="R83" si="392">R84+Q83</f>
        <v>-32452039.319926281</v>
      </c>
      <c r="S83">
        <f t="shared" ref="S83" si="393">R83/100000</f>
        <v>-324.5203931992628</v>
      </c>
      <c r="T83">
        <f t="shared" ref="T83" si="394">S83/1000</f>
        <v>-0.32452039319926279</v>
      </c>
    </row>
    <row r="84" spans="1:20" x14ac:dyDescent="0.25">
      <c r="A84" s="5">
        <v>44509</v>
      </c>
      <c r="B84">
        <v>12.423</v>
      </c>
      <c r="C84">
        <v>12.54</v>
      </c>
      <c r="D84">
        <v>11.678000000000001</v>
      </c>
      <c r="E84">
        <v>12.039</v>
      </c>
      <c r="F84">
        <v>1269563.2</v>
      </c>
      <c r="G84">
        <v>12.039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-0.16241299303944412</v>
      </c>
      <c r="Q84">
        <f t="shared" ref="Q84" si="396">F84*P84</f>
        <v>-206193.55916473438</v>
      </c>
      <c r="R84">
        <f t="shared" ref="R84" si="397">R85+Q84</f>
        <v>-32402373.931247037</v>
      </c>
      <c r="S84">
        <f t="shared" ref="S84" si="398">R84/100000</f>
        <v>-324.02373931247035</v>
      </c>
      <c r="T84">
        <f t="shared" ref="T84" si="399">S84/1000</f>
        <v>-0.32402373931247036</v>
      </c>
    </row>
    <row r="85" spans="1:20" x14ac:dyDescent="0.25">
      <c r="A85" s="5">
        <v>44508</v>
      </c>
      <c r="B85">
        <v>12.657</v>
      </c>
      <c r="C85">
        <v>12.693</v>
      </c>
      <c r="D85">
        <v>12.114000000000001</v>
      </c>
      <c r="E85">
        <v>12.423</v>
      </c>
      <c r="F85">
        <v>1112007.3999999999</v>
      </c>
      <c r="G85">
        <v>12.423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6.735751295336749E-2</v>
      </c>
      <c r="Q85">
        <f t="shared" ref="Q85" si="401">F85*P85</f>
        <v>74902.052849740503</v>
      </c>
      <c r="R85">
        <f t="shared" ref="R85" si="402">R86+Q85</f>
        <v>-32196180.372082304</v>
      </c>
      <c r="S85">
        <f t="shared" ref="S85" si="403">R85/100000</f>
        <v>-321.96180372082307</v>
      </c>
      <c r="T85">
        <f t="shared" ref="T85" si="404">S85/1000</f>
        <v>-0.32196180372082306</v>
      </c>
    </row>
    <row r="86" spans="1:20" x14ac:dyDescent="0.25">
      <c r="A86" s="5">
        <v>44507</v>
      </c>
      <c r="B86">
        <v>12.526</v>
      </c>
      <c r="C86">
        <v>12.836</v>
      </c>
      <c r="D86">
        <v>12.315</v>
      </c>
      <c r="E86">
        <v>12.662000000000001</v>
      </c>
      <c r="F86">
        <v>1033659.9</v>
      </c>
      <c r="G86">
        <v>12.662000000000001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0.33205374280230626</v>
      </c>
      <c r="Q86">
        <f t="shared" ref="Q86" si="406">F86*P86</f>
        <v>343230.63857965759</v>
      </c>
      <c r="R86">
        <f t="shared" ref="R86" si="407">R87+Q86</f>
        <v>-32271082.424932044</v>
      </c>
      <c r="S86">
        <f t="shared" ref="S86" si="408">R86/100000</f>
        <v>-322.71082424932047</v>
      </c>
      <c r="T86">
        <f t="shared" ref="T86" si="409">S86/1000</f>
        <v>-0.32271082424932046</v>
      </c>
    </row>
    <row r="87" spans="1:20" x14ac:dyDescent="0.25">
      <c r="A87" s="5">
        <v>44506</v>
      </c>
      <c r="B87">
        <v>11.675000000000001</v>
      </c>
      <c r="C87">
        <v>12.544</v>
      </c>
      <c r="D87">
        <v>11.401999999999999</v>
      </c>
      <c r="E87">
        <v>12.525</v>
      </c>
      <c r="F87">
        <v>1597367</v>
      </c>
      <c r="G87">
        <v>12.525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0.96672504378283697</v>
      </c>
      <c r="Q87">
        <f t="shared" ref="Q87" si="411">F87*P87</f>
        <v>1544214.683012259</v>
      </c>
      <c r="R87">
        <f t="shared" ref="R87" si="412">R88+Q87</f>
        <v>-32614313.063511703</v>
      </c>
      <c r="S87">
        <f t="shared" ref="S87" si="413">R87/100000</f>
        <v>-326.14313063511702</v>
      </c>
      <c r="T87">
        <f t="shared" ref="T87" si="414">S87/1000</f>
        <v>-0.32614313063511702</v>
      </c>
    </row>
    <row r="88" spans="1:20" x14ac:dyDescent="0.25">
      <c r="A88" s="5">
        <v>44505</v>
      </c>
      <c r="B88">
        <v>12.212999999999999</v>
      </c>
      <c r="C88">
        <v>12.25</v>
      </c>
      <c r="D88">
        <v>11.493</v>
      </c>
      <c r="E88">
        <v>11.669</v>
      </c>
      <c r="F88">
        <v>1368638.2</v>
      </c>
      <c r="G88">
        <v>11.669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-0.53500660501981445</v>
      </c>
      <c r="Q88">
        <f t="shared" ref="Q88" si="416">F88*P88</f>
        <v>-732230.47688242979</v>
      </c>
      <c r="R88">
        <f t="shared" ref="R88" si="417">R89+Q88</f>
        <v>-34158527.746523961</v>
      </c>
      <c r="S88">
        <f t="shared" ref="S88" si="418">R88/100000</f>
        <v>-341.58527746523964</v>
      </c>
      <c r="T88">
        <f t="shared" ref="T88" si="419">S88/1000</f>
        <v>-0.34158527746523965</v>
      </c>
    </row>
    <row r="89" spans="1:20" x14ac:dyDescent="0.25">
      <c r="A89" s="5">
        <v>44504</v>
      </c>
      <c r="B89">
        <v>12.701000000000001</v>
      </c>
      <c r="C89">
        <v>13.162000000000001</v>
      </c>
      <c r="D89">
        <v>11.67</v>
      </c>
      <c r="E89">
        <v>12.206</v>
      </c>
      <c r="F89">
        <v>2052881.6</v>
      </c>
      <c r="G89">
        <v>12.206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-0.28150134048257469</v>
      </c>
      <c r="Q89">
        <f t="shared" ref="Q89" si="421">F89*P89</f>
        <v>-577888.92225201277</v>
      </c>
      <c r="R89">
        <f t="shared" ref="R89" si="422">R90+Q89</f>
        <v>-33426297.269641533</v>
      </c>
      <c r="S89">
        <f t="shared" ref="S89" si="423">R89/100000</f>
        <v>-334.26297269641532</v>
      </c>
      <c r="T89">
        <f t="shared" ref="T89" si="424">S89/1000</f>
        <v>-0.33426297269641531</v>
      </c>
    </row>
    <row r="90" spans="1:20" x14ac:dyDescent="0.25">
      <c r="A90" s="5">
        <v>44503</v>
      </c>
      <c r="B90">
        <v>11.381</v>
      </c>
      <c r="C90">
        <v>13.443</v>
      </c>
      <c r="D90">
        <v>11.177</v>
      </c>
      <c r="E90">
        <v>12.698</v>
      </c>
      <c r="F90">
        <v>6324957</v>
      </c>
      <c r="G90">
        <v>12.698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0.34245366284201306</v>
      </c>
      <c r="Q90">
        <f t="shared" ref="Q90" si="426">F90*P90</f>
        <v>2166004.6919682305</v>
      </c>
      <c r="R90">
        <f t="shared" ref="R90" si="427">R91+Q90</f>
        <v>-32848408.347389519</v>
      </c>
      <c r="S90">
        <f t="shared" ref="S90" si="428">R90/100000</f>
        <v>-328.48408347389517</v>
      </c>
      <c r="T90">
        <f t="shared" ref="T90" si="429">S90/1000</f>
        <v>-0.32848408347389518</v>
      </c>
    </row>
    <row r="91" spans="1:20" x14ac:dyDescent="0.25">
      <c r="A91" s="5">
        <v>44502</v>
      </c>
      <c r="B91">
        <v>10.81</v>
      </c>
      <c r="C91">
        <v>11.433999999999999</v>
      </c>
      <c r="D91">
        <v>10.587999999999999</v>
      </c>
      <c r="E91">
        <v>11.377000000000001</v>
      </c>
      <c r="F91">
        <v>1317405.6000000001</v>
      </c>
      <c r="G91">
        <v>11.377000000000001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0.86524822695035797</v>
      </c>
      <c r="Q91">
        <f t="shared" ref="Q91" si="431">F91*P91</f>
        <v>1139882.8595744725</v>
      </c>
      <c r="R91">
        <f t="shared" ref="R91" si="432">R92+Q91</f>
        <v>-35014413.039357752</v>
      </c>
      <c r="S91">
        <f t="shared" ref="S91" si="433">R91/100000</f>
        <v>-350.14413039357754</v>
      </c>
      <c r="T91">
        <f t="shared" ref="T91" si="434">S91/1000</f>
        <v>-0.35014413039357756</v>
      </c>
    </row>
    <row r="92" spans="1:20" x14ac:dyDescent="0.25">
      <c r="A92" s="5">
        <v>44501</v>
      </c>
      <c r="B92">
        <v>10.608000000000001</v>
      </c>
      <c r="C92">
        <v>11.226000000000001</v>
      </c>
      <c r="D92">
        <v>10.196</v>
      </c>
      <c r="E92">
        <v>10.817</v>
      </c>
      <c r="F92">
        <v>1502546.9</v>
      </c>
      <c r="G92">
        <v>10.817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0.20582524271844613</v>
      </c>
      <c r="Q92">
        <f t="shared" ref="Q92" si="436">F92*P92</f>
        <v>309262.08038834878</v>
      </c>
      <c r="R92">
        <f t="shared" ref="R92" si="437">R93+Q92</f>
        <v>-36154295.898932226</v>
      </c>
      <c r="S92">
        <f t="shared" ref="S92" si="438">R92/100000</f>
        <v>-361.54295898932224</v>
      </c>
      <c r="T92">
        <f t="shared" ref="T92" si="439">S92/1000</f>
        <v>-0.36154295898932226</v>
      </c>
    </row>
    <row r="93" spans="1:20" x14ac:dyDescent="0.25">
      <c r="A93" s="5">
        <v>44500</v>
      </c>
      <c r="B93">
        <v>10.871</v>
      </c>
      <c r="C93">
        <v>10.994999999999999</v>
      </c>
      <c r="D93">
        <v>10.048999999999999</v>
      </c>
      <c r="E93">
        <v>10.605</v>
      </c>
      <c r="F93">
        <v>1232939.1000000001</v>
      </c>
      <c r="G93">
        <v>10.605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0.1754756871035964</v>
      </c>
      <c r="Q93">
        <f t="shared" ref="Q93" si="441">F93*P93</f>
        <v>216350.83572938977</v>
      </c>
      <c r="R93">
        <f t="shared" ref="R93" si="442">R94+Q93</f>
        <v>-36463557.979320578</v>
      </c>
      <c r="S93">
        <f t="shared" ref="S93" si="443">R93/100000</f>
        <v>-364.63557979320581</v>
      </c>
      <c r="T93">
        <f t="shared" ref="T93" si="444">S93/1000</f>
        <v>-0.36463557979320582</v>
      </c>
    </row>
    <row r="94" spans="1:20" x14ac:dyDescent="0.25">
      <c r="A94" s="5">
        <v>44499</v>
      </c>
      <c r="B94">
        <v>10.404999999999999</v>
      </c>
      <c r="C94">
        <v>11.465999999999999</v>
      </c>
      <c r="D94">
        <v>10.167999999999999</v>
      </c>
      <c r="E94">
        <v>10.878</v>
      </c>
      <c r="F94">
        <v>1838483.3</v>
      </c>
      <c r="G94">
        <v>10.878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9.3990755007705443E-2</v>
      </c>
      <c r="Q94">
        <f t="shared" ref="Q94" si="446">F94*P94</f>
        <v>172800.43343605782</v>
      </c>
      <c r="R94">
        <f t="shared" ref="R94" si="447">R95+Q94</f>
        <v>-36679908.815049969</v>
      </c>
      <c r="S94">
        <f t="shared" ref="S94" si="448">R94/100000</f>
        <v>-366.7990881504997</v>
      </c>
      <c r="T94">
        <f t="shared" ref="T94" si="449">S94/1000</f>
        <v>-0.36679908815049972</v>
      </c>
    </row>
    <row r="95" spans="1:20" x14ac:dyDescent="0.25">
      <c r="A95" s="5">
        <v>44498</v>
      </c>
      <c r="B95">
        <v>9.9670000000000005</v>
      </c>
      <c r="C95">
        <v>10.477</v>
      </c>
      <c r="D95">
        <v>9.907</v>
      </c>
      <c r="E95">
        <v>10.404999999999999</v>
      </c>
      <c r="F95">
        <v>898193.6</v>
      </c>
      <c r="G95">
        <v>10.404999999999999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0.74736842105262835</v>
      </c>
      <c r="Q95">
        <f t="shared" ref="Q95" si="451">F95*P95</f>
        <v>671281.53263157606</v>
      </c>
      <c r="R95">
        <f t="shared" ref="R95" si="452">R96+Q95</f>
        <v>-36852709.248486027</v>
      </c>
      <c r="S95">
        <f t="shared" ref="S95" si="453">R95/100000</f>
        <v>-368.52709248486025</v>
      </c>
      <c r="T95">
        <f t="shared" ref="T95" si="454">S95/1000</f>
        <v>-0.36852709248486026</v>
      </c>
    </row>
    <row r="96" spans="1:20" x14ac:dyDescent="0.25">
      <c r="A96" s="5">
        <v>44497</v>
      </c>
      <c r="B96">
        <v>9.2940000000000005</v>
      </c>
      <c r="C96">
        <v>9.99</v>
      </c>
      <c r="D96">
        <v>9.2270000000000003</v>
      </c>
      <c r="E96">
        <v>9.9649999999999999</v>
      </c>
      <c r="F96">
        <v>1082228.7</v>
      </c>
      <c r="G96">
        <v>9.9649999999999999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0.93446920052424542</v>
      </c>
      <c r="Q96">
        <f t="shared" ref="Q96" si="456">F96*P96</f>
        <v>1011309.3880733934</v>
      </c>
      <c r="R96">
        <f t="shared" ref="R96" si="457">R97+Q96</f>
        <v>-37523990.781117603</v>
      </c>
      <c r="S96">
        <f t="shared" ref="S96" si="458">R96/100000</f>
        <v>-375.23990781117601</v>
      </c>
      <c r="T96">
        <f t="shared" ref="T96" si="459">S96/1000</f>
        <v>-0.375239907811176</v>
      </c>
    </row>
    <row r="97" spans="1:20" x14ac:dyDescent="0.25">
      <c r="A97" s="5">
        <v>44496</v>
      </c>
      <c r="B97">
        <v>10.308999999999999</v>
      </c>
      <c r="C97">
        <v>10.474</v>
      </c>
      <c r="D97">
        <v>8.5579999999999998</v>
      </c>
      <c r="E97">
        <v>9.3000000000000007</v>
      </c>
      <c r="F97">
        <v>2355473.4</v>
      </c>
      <c r="G97">
        <v>9.3000000000000007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-0.22546972860125183</v>
      </c>
      <c r="Q97">
        <f t="shared" ref="Q97" si="461">F97*P97</f>
        <v>-531087.94822546793</v>
      </c>
      <c r="R97">
        <f t="shared" ref="R97" si="462">R98+Q97</f>
        <v>-38535300.169190995</v>
      </c>
      <c r="S97">
        <f t="shared" ref="S97" si="463">R97/100000</f>
        <v>-385.35300169190998</v>
      </c>
      <c r="T97">
        <f t="shared" ref="T97" si="464">S97/1000</f>
        <v>-0.38535300169191</v>
      </c>
    </row>
    <row r="98" spans="1:20" x14ac:dyDescent="0.25">
      <c r="A98" s="5">
        <v>44495</v>
      </c>
      <c r="B98">
        <v>10.644</v>
      </c>
      <c r="C98">
        <v>11.491</v>
      </c>
      <c r="D98">
        <v>10.154</v>
      </c>
      <c r="E98">
        <v>10.307</v>
      </c>
      <c r="F98">
        <v>1191302.6000000001</v>
      </c>
      <c r="G98">
        <v>10.307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-0.77112939416604265</v>
      </c>
      <c r="Q98">
        <f t="shared" ref="Q98" si="466">F98*P98</f>
        <v>-918648.45220643154</v>
      </c>
      <c r="R98">
        <f t="shared" ref="R98" si="467">R99+Q98</f>
        <v>-38004212.220965527</v>
      </c>
      <c r="S98">
        <f t="shared" ref="S98" si="468">R98/100000</f>
        <v>-380.04212220965525</v>
      </c>
      <c r="T98">
        <f t="shared" ref="T98" si="469">S98/1000</f>
        <v>-0.38004212220965522</v>
      </c>
    </row>
    <row r="99" spans="1:20" x14ac:dyDescent="0.25">
      <c r="A99" s="5">
        <v>44494</v>
      </c>
      <c r="B99">
        <v>10.23</v>
      </c>
      <c r="C99">
        <v>11.148</v>
      </c>
      <c r="D99">
        <v>10.14</v>
      </c>
      <c r="E99">
        <v>10.638</v>
      </c>
      <c r="F99">
        <v>1643037.1</v>
      </c>
      <c r="G99">
        <v>10.638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-1.1904761904762366E-2</v>
      </c>
      <c r="Q99">
        <f t="shared" ref="Q99" si="471">F99*P99</f>
        <v>-19559.965476191235</v>
      </c>
      <c r="R99">
        <f t="shared" ref="R99" si="472">R100+Q99</f>
        <v>-37085563.768759094</v>
      </c>
      <c r="S99">
        <f t="shared" ref="S99" si="473">R99/100000</f>
        <v>-370.85563768759096</v>
      </c>
      <c r="T99">
        <f t="shared" ref="T99" si="474">S99/1000</f>
        <v>-0.37085563768759094</v>
      </c>
    </row>
    <row r="100" spans="1:20" x14ac:dyDescent="0.25">
      <c r="A100" s="5">
        <v>44493</v>
      </c>
      <c r="B100">
        <v>10.446</v>
      </c>
      <c r="C100">
        <v>10.477</v>
      </c>
      <c r="D100">
        <v>9.8629999999999995</v>
      </c>
      <c r="E100">
        <v>10.228</v>
      </c>
      <c r="F100">
        <v>837846.4</v>
      </c>
      <c r="G100">
        <v>10.228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0.18892508143322395</v>
      </c>
      <c r="Q100">
        <f t="shared" ref="Q100" si="476">F100*P100</f>
        <v>158290.19934853353</v>
      </c>
      <c r="R100">
        <f t="shared" ref="R100" si="477">R101+Q100</f>
        <v>-37066003.803282902</v>
      </c>
      <c r="S100">
        <f t="shared" ref="S100" si="478">R100/100000</f>
        <v>-370.66003803282899</v>
      </c>
      <c r="T100">
        <f t="shared" ref="T100" si="479">S100/1000</f>
        <v>-0.37066003803282899</v>
      </c>
    </row>
    <row r="101" spans="1:20" x14ac:dyDescent="0.25">
      <c r="A101" s="5">
        <v>44492</v>
      </c>
      <c r="B101">
        <v>10.602</v>
      </c>
      <c r="C101">
        <v>10.817</v>
      </c>
      <c r="D101">
        <v>10.295999999999999</v>
      </c>
      <c r="E101">
        <v>10.442</v>
      </c>
      <c r="F101">
        <v>1100231.1000000001</v>
      </c>
      <c r="G101">
        <v>10.442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-0.439539347408827</v>
      </c>
      <c r="Q101">
        <f t="shared" ref="Q101" si="481">F101*P101</f>
        <v>-483594.8596928959</v>
      </c>
      <c r="R101">
        <f t="shared" ref="R101" si="482">R102+Q101</f>
        <v>-37224294.002631433</v>
      </c>
      <c r="S101">
        <f t="shared" ref="S101" si="483">R101/100000</f>
        <v>-372.24294002631433</v>
      </c>
      <c r="T101">
        <f t="shared" ref="T101" si="484">S101/1000</f>
        <v>-0.37224294002631431</v>
      </c>
    </row>
    <row r="102" spans="1:20" x14ac:dyDescent="0.25">
      <c r="A102" s="5">
        <v>44491</v>
      </c>
      <c r="B102">
        <v>10.202999999999999</v>
      </c>
      <c r="C102">
        <v>11.239000000000001</v>
      </c>
      <c r="D102">
        <v>10.115</v>
      </c>
      <c r="E102">
        <v>10.599</v>
      </c>
      <c r="F102">
        <v>2340568.9</v>
      </c>
      <c r="G102">
        <v>10.599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-0.13879003558718905</v>
      </c>
      <c r="Q102">
        <f t="shared" ref="Q102" si="486">F102*P102</f>
        <v>-324847.64092526794</v>
      </c>
      <c r="R102">
        <f t="shared" ref="R102" si="487">R103+Q102</f>
        <v>-36740699.142938539</v>
      </c>
      <c r="S102">
        <f t="shared" ref="S102" si="488">R102/100000</f>
        <v>-367.40699142938541</v>
      </c>
      <c r="T102">
        <f t="shared" ref="T102" si="489">S102/1000</f>
        <v>-0.36740699142938543</v>
      </c>
    </row>
    <row r="103" spans="1:20" x14ac:dyDescent="0.25">
      <c r="A103" s="5">
        <v>44490</v>
      </c>
      <c r="B103">
        <v>10.311</v>
      </c>
      <c r="C103">
        <v>11</v>
      </c>
      <c r="D103">
        <v>10.005000000000001</v>
      </c>
      <c r="E103">
        <v>10.211</v>
      </c>
      <c r="F103">
        <v>1974668.7</v>
      </c>
      <c r="G103">
        <v>10.211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-0.58592964824120664</v>
      </c>
      <c r="Q103">
        <f t="shared" ref="Q103" si="491">F103*P103</f>
        <v>-1157016.9367839207</v>
      </c>
      <c r="R103">
        <f t="shared" ref="R103" si="492">R104+Q103</f>
        <v>-36415851.502013274</v>
      </c>
      <c r="S103">
        <f t="shared" ref="S103" si="493">R103/100000</f>
        <v>-364.15851502013271</v>
      </c>
      <c r="T103">
        <f t="shared" ref="T103" si="494">S103/1000</f>
        <v>-0.36415851502013269</v>
      </c>
    </row>
    <row r="104" spans="1:20" x14ac:dyDescent="0.25">
      <c r="A104" s="5">
        <v>44489</v>
      </c>
      <c r="B104">
        <v>9.4420000000000002</v>
      </c>
      <c r="C104">
        <v>10.363</v>
      </c>
      <c r="D104">
        <v>9.4060000000000006</v>
      </c>
      <c r="E104">
        <v>10.314</v>
      </c>
      <c r="F104">
        <v>1316037.3</v>
      </c>
      <c r="G104">
        <v>10.314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0.89759665621734686</v>
      </c>
      <c r="Q104">
        <f t="shared" ref="Q104" si="496">F104*P104</f>
        <v>1181270.6799373054</v>
      </c>
      <c r="R104">
        <f t="shared" ref="R104" si="497">R105+Q104</f>
        <v>-35258834.565229356</v>
      </c>
      <c r="S104">
        <f t="shared" ref="S104" si="498">R104/100000</f>
        <v>-352.58834565229358</v>
      </c>
      <c r="T104">
        <f t="shared" ref="T104" si="499">S104/1000</f>
        <v>-0.35258834565229358</v>
      </c>
    </row>
    <row r="105" spans="1:20" x14ac:dyDescent="0.25">
      <c r="A105" s="5">
        <v>44488</v>
      </c>
      <c r="B105">
        <v>9.3279999999999994</v>
      </c>
      <c r="C105">
        <v>9.6</v>
      </c>
      <c r="D105">
        <v>9.282</v>
      </c>
      <c r="E105">
        <v>9.4489999999999998</v>
      </c>
      <c r="F105">
        <v>673644.8</v>
      </c>
      <c r="G105">
        <v>9.4489999999999998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5.0314465408805138E-2</v>
      </c>
      <c r="Q105">
        <f t="shared" ref="Q105" si="501">F105*P105</f>
        <v>33894.077987421457</v>
      </c>
      <c r="R105">
        <f t="shared" ref="R105" si="502">R106+Q105</f>
        <v>-36440105.245166659</v>
      </c>
      <c r="S105">
        <f t="shared" ref="S105" si="503">R105/100000</f>
        <v>-364.4010524516666</v>
      </c>
      <c r="T105">
        <f t="shared" ref="T105" si="504">S105/1000</f>
        <v>-0.3644010524516666</v>
      </c>
    </row>
    <row r="106" spans="1:20" x14ac:dyDescent="0.25">
      <c r="A106" s="5">
        <v>44487</v>
      </c>
      <c r="B106">
        <v>9.5510000000000002</v>
      </c>
      <c r="C106">
        <v>9.6989999999999998</v>
      </c>
      <c r="D106">
        <v>9.2509999999999994</v>
      </c>
      <c r="E106">
        <v>9.3330000000000002</v>
      </c>
      <c r="F106">
        <v>770946.1</v>
      </c>
      <c r="G106">
        <v>9.3330000000000002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-0.63392857142856851</v>
      </c>
      <c r="Q106">
        <f t="shared" ref="Q106" si="506">F106*P106</f>
        <v>-488724.7598214263</v>
      </c>
      <c r="R106">
        <f t="shared" ref="R106" si="507">R107+Q106</f>
        <v>-36473999.323154084</v>
      </c>
      <c r="S106">
        <f t="shared" ref="S106" si="508">R106/100000</f>
        <v>-364.73999323154084</v>
      </c>
      <c r="T106">
        <f t="shared" ref="T106" si="509">S106/1000</f>
        <v>-0.36473999323154083</v>
      </c>
    </row>
    <row r="107" spans="1:20" x14ac:dyDescent="0.25">
      <c r="A107" s="5">
        <v>44486</v>
      </c>
      <c r="B107">
        <v>9.8390000000000004</v>
      </c>
      <c r="C107">
        <v>10.044</v>
      </c>
      <c r="D107">
        <v>9.3070000000000004</v>
      </c>
      <c r="E107">
        <v>9.5459999999999994</v>
      </c>
      <c r="F107">
        <v>623086.19999999995</v>
      </c>
      <c r="G107">
        <v>9.5459999999999994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-0.35142469470827964</v>
      </c>
      <c r="Q107">
        <f t="shared" ref="Q107" si="511">F107*P107</f>
        <v>-218967.87761194207</v>
      </c>
      <c r="R107">
        <f t="shared" ref="R107" si="512">R108+Q107</f>
        <v>-35985274.563332655</v>
      </c>
      <c r="S107">
        <f t="shared" ref="S107" si="513">R107/100000</f>
        <v>-359.85274563332655</v>
      </c>
      <c r="T107">
        <f t="shared" ref="T107" si="514">S107/1000</f>
        <v>-0.35985274563332653</v>
      </c>
    </row>
    <row r="108" spans="1:20" x14ac:dyDescent="0.25">
      <c r="A108" s="5">
        <v>44485</v>
      </c>
      <c r="B108">
        <v>10.212</v>
      </c>
      <c r="C108">
        <v>10.273999999999999</v>
      </c>
      <c r="D108">
        <v>9.7940000000000005</v>
      </c>
      <c r="E108">
        <v>9.8260000000000005</v>
      </c>
      <c r="F108">
        <v>631642.19999999995</v>
      </c>
      <c r="G108">
        <v>9.8260000000000005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-0.86666666666666614</v>
      </c>
      <c r="Q108">
        <f t="shared" ref="Q108" si="516">F108*P108</f>
        <v>-547423.23999999964</v>
      </c>
      <c r="R108">
        <f t="shared" ref="R108" si="517">R109+Q108</f>
        <v>-35766306.685720712</v>
      </c>
      <c r="S108">
        <f t="shared" ref="S108" si="518">R108/100000</f>
        <v>-357.66306685720713</v>
      </c>
      <c r="T108">
        <f t="shared" ref="T108" si="519">S108/1000</f>
        <v>-0.35766306685720711</v>
      </c>
    </row>
    <row r="109" spans="1:20" x14ac:dyDescent="0.25">
      <c r="A109" s="5">
        <v>44484</v>
      </c>
      <c r="B109">
        <v>9.8859999999999992</v>
      </c>
      <c r="C109">
        <v>10.595000000000001</v>
      </c>
      <c r="D109">
        <v>9.6669999999999998</v>
      </c>
      <c r="E109">
        <v>10.212</v>
      </c>
      <c r="F109">
        <v>1737850.5</v>
      </c>
      <c r="G109">
        <v>10.212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0.17456896551724019</v>
      </c>
      <c r="Q109">
        <f t="shared" ref="Q109" si="521">F109*P109</f>
        <v>303374.7640086186</v>
      </c>
      <c r="R109">
        <f t="shared" ref="R109" si="522">R110+Q109</f>
        <v>-35218883.44572071</v>
      </c>
      <c r="S109">
        <f t="shared" ref="S109" si="523">R109/100000</f>
        <v>-352.18883445720712</v>
      </c>
      <c r="T109">
        <f t="shared" ref="T109" si="524">S109/1000</f>
        <v>-0.35218883445720711</v>
      </c>
    </row>
    <row r="110" spans="1:20" x14ac:dyDescent="0.25">
      <c r="A110" s="5">
        <v>44483</v>
      </c>
      <c r="B110">
        <v>10.037000000000001</v>
      </c>
      <c r="C110">
        <v>10.326000000000001</v>
      </c>
      <c r="D110">
        <v>9.7449999999999992</v>
      </c>
      <c r="E110">
        <v>9.8829999999999991</v>
      </c>
      <c r="F110">
        <v>1255923.5</v>
      </c>
      <c r="G110">
        <v>9.8829999999999991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-0.52495697074010472</v>
      </c>
      <c r="Q110">
        <f t="shared" ref="Q110" si="526">F110*P110</f>
        <v>-659305.79604130995</v>
      </c>
      <c r="R110">
        <f t="shared" ref="R110" si="527">R111+Q110</f>
        <v>-35522258.209729329</v>
      </c>
      <c r="S110">
        <f t="shared" ref="S110" si="528">R110/100000</f>
        <v>-355.2225820972933</v>
      </c>
      <c r="T110">
        <f t="shared" ref="T110" si="529">S110/1000</f>
        <v>-0.35522258209729329</v>
      </c>
    </row>
    <row r="111" spans="1:20" x14ac:dyDescent="0.25">
      <c r="A111" s="5">
        <v>44482</v>
      </c>
      <c r="B111">
        <v>9.5980000000000008</v>
      </c>
      <c r="C111">
        <v>10.292999999999999</v>
      </c>
      <c r="D111">
        <v>9.3170000000000002</v>
      </c>
      <c r="E111">
        <v>10.039999999999999</v>
      </c>
      <c r="F111">
        <v>2254559.4</v>
      </c>
      <c r="G111">
        <v>10.039999999999999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0.48155737704917961</v>
      </c>
      <c r="Q111">
        <f t="shared" ref="Q111" si="531">F111*P111</f>
        <v>1085699.7110655722</v>
      </c>
      <c r="R111">
        <f t="shared" ref="R111" si="532">R112+Q111</f>
        <v>-34862952.413688019</v>
      </c>
      <c r="S111">
        <f t="shared" ref="S111" si="533">R111/100000</f>
        <v>-348.62952413688021</v>
      </c>
      <c r="T111">
        <f t="shared" ref="T111" si="534">S111/1000</f>
        <v>-0.3486295241368802</v>
      </c>
    </row>
    <row r="112" spans="1:20" x14ac:dyDescent="0.25">
      <c r="A112" s="5">
        <v>44481</v>
      </c>
      <c r="B112">
        <v>9.4459999999999997</v>
      </c>
      <c r="C112">
        <v>9.6039999999999992</v>
      </c>
      <c r="D112">
        <v>9.0220000000000002</v>
      </c>
      <c r="E112">
        <v>9.5909999999999993</v>
      </c>
      <c r="F112">
        <v>957719.3</v>
      </c>
      <c r="G112">
        <v>9.5909999999999993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0.95532646048109993</v>
      </c>
      <c r="Q112">
        <f t="shared" ref="Q112" si="536">F112*P112</f>
        <v>914934.58900343673</v>
      </c>
      <c r="R112">
        <f t="shared" ref="R112" si="537">R113+Q112</f>
        <v>-35948652.124753594</v>
      </c>
      <c r="S112">
        <f t="shared" ref="S112" si="538">R112/100000</f>
        <v>-359.48652124753596</v>
      </c>
      <c r="T112">
        <f t="shared" ref="T112" si="539">S112/1000</f>
        <v>-0.35948652124753594</v>
      </c>
    </row>
    <row r="113" spans="1:20" x14ac:dyDescent="0.25">
      <c r="A113" s="5">
        <v>44480</v>
      </c>
      <c r="B113">
        <v>9.5679999999999996</v>
      </c>
      <c r="C113">
        <v>9.9030000000000005</v>
      </c>
      <c r="D113">
        <v>9.2569999999999997</v>
      </c>
      <c r="E113">
        <v>9.4450000000000003</v>
      </c>
      <c r="F113">
        <v>719696.5</v>
      </c>
      <c r="G113">
        <v>9.4450000000000003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-0.41795665634674806</v>
      </c>
      <c r="Q113">
        <f t="shared" ref="Q113" si="541">F113*P113</f>
        <v>-300801.94272445736</v>
      </c>
      <c r="R113">
        <f t="shared" ref="R113" si="542">R114+Q113</f>
        <v>-36863586.713757031</v>
      </c>
      <c r="S113">
        <f t="shared" ref="S113" si="543">R113/100000</f>
        <v>-368.6358671375703</v>
      </c>
      <c r="T113">
        <f t="shared" ref="T113" si="544">S113/1000</f>
        <v>-0.36863586713757029</v>
      </c>
    </row>
    <row r="114" spans="1:20" x14ac:dyDescent="0.25">
      <c r="A114" s="5">
        <v>44479</v>
      </c>
      <c r="B114">
        <v>10.285</v>
      </c>
      <c r="C114">
        <v>10.318</v>
      </c>
      <c r="D114">
        <v>9.52</v>
      </c>
      <c r="E114">
        <v>9.5679999999999996</v>
      </c>
      <c r="F114">
        <v>724365.3</v>
      </c>
      <c r="G114">
        <v>9.5679999999999996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-0.87969924812030065</v>
      </c>
      <c r="Q114">
        <f t="shared" ref="Q114" si="546">F114*P114</f>
        <v>-637223.6097744361</v>
      </c>
      <c r="R114">
        <f t="shared" ref="R114" si="547">R115+Q114</f>
        <v>-36562784.771032572</v>
      </c>
      <c r="S114">
        <f t="shared" ref="S114" si="548">R114/100000</f>
        <v>-365.62784771032574</v>
      </c>
      <c r="T114">
        <f t="shared" ref="T114" si="549">S114/1000</f>
        <v>-0.36562784771032575</v>
      </c>
    </row>
    <row r="115" spans="1:20" x14ac:dyDescent="0.25">
      <c r="A115" s="5">
        <v>44478</v>
      </c>
      <c r="B115">
        <v>10.302</v>
      </c>
      <c r="C115">
        <v>10.483000000000001</v>
      </c>
      <c r="D115">
        <v>10.19</v>
      </c>
      <c r="E115">
        <v>10.286</v>
      </c>
      <c r="F115">
        <v>476018</v>
      </c>
      <c r="G115">
        <v>10.286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-0.34470989761092324</v>
      </c>
      <c r="Q115">
        <f t="shared" ref="Q115" si="551">F115*P115</f>
        <v>-164088.11604095646</v>
      </c>
      <c r="R115">
        <f t="shared" ref="R115" si="552">R116+Q115</f>
        <v>-35925561.161258139</v>
      </c>
      <c r="S115">
        <f t="shared" ref="S115" si="553">R115/100000</f>
        <v>-359.25561161258139</v>
      </c>
      <c r="T115">
        <f t="shared" ref="T115" si="554">S115/1000</f>
        <v>-0.3592556116125814</v>
      </c>
    </row>
    <row r="116" spans="1:20" x14ac:dyDescent="0.25">
      <c r="A116" s="5">
        <v>44477</v>
      </c>
      <c r="B116">
        <v>10.271000000000001</v>
      </c>
      <c r="C116">
        <v>10.712</v>
      </c>
      <c r="D116">
        <v>10.186</v>
      </c>
      <c r="E116">
        <v>10.288</v>
      </c>
      <c r="F116">
        <v>873676.6</v>
      </c>
      <c r="G116">
        <v>10.288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-0.61216730038022682</v>
      </c>
      <c r="Q116">
        <f t="shared" ref="Q116" si="556">F116*P116</f>
        <v>-534836.2456273752</v>
      </c>
      <c r="R116">
        <f t="shared" ref="R116" si="557">R117+Q116</f>
        <v>-35761473.045217179</v>
      </c>
      <c r="S116">
        <f t="shared" ref="S116" si="558">R116/100000</f>
        <v>-357.61473045217178</v>
      </c>
      <c r="T116">
        <f t="shared" ref="T116" si="559">S116/1000</f>
        <v>-0.35761473045217179</v>
      </c>
    </row>
    <row r="117" spans="1:20" x14ac:dyDescent="0.25">
      <c r="A117" s="5">
        <v>44476</v>
      </c>
      <c r="B117">
        <v>10.757</v>
      </c>
      <c r="C117">
        <v>10.811</v>
      </c>
      <c r="D117">
        <v>10.228</v>
      </c>
      <c r="E117">
        <v>10.266</v>
      </c>
      <c r="F117">
        <v>943590.6</v>
      </c>
      <c r="G117">
        <v>10.266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-0.86963979416809523</v>
      </c>
      <c r="Q117">
        <f t="shared" ref="Q117" si="561">F117*P117</f>
        <v>-820583.93516294949</v>
      </c>
      <c r="R117">
        <f t="shared" ref="R117" si="562">R118+Q117</f>
        <v>-35226636.799589805</v>
      </c>
      <c r="S117">
        <f t="shared" ref="S117" si="563">R117/100000</f>
        <v>-352.26636799589807</v>
      </c>
      <c r="T117">
        <f t="shared" ref="T117" si="564">S117/1000</f>
        <v>-0.35226636799589806</v>
      </c>
    </row>
    <row r="118" spans="1:20" x14ac:dyDescent="0.25">
      <c r="A118" s="5">
        <v>44475</v>
      </c>
      <c r="B118">
        <v>11.032</v>
      </c>
      <c r="C118">
        <v>11.23</v>
      </c>
      <c r="D118">
        <v>10.128</v>
      </c>
      <c r="E118">
        <v>10.756</v>
      </c>
      <c r="F118">
        <v>1220227.5</v>
      </c>
      <c r="G118">
        <v>10.756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0.13974591651542639</v>
      </c>
      <c r="Q118">
        <f t="shared" ref="Q118" si="566">F118*P118</f>
        <v>170521.81034482745</v>
      </c>
      <c r="R118">
        <f t="shared" ref="R118" si="567">R119+Q118</f>
        <v>-34406052.864426859</v>
      </c>
      <c r="S118">
        <f t="shared" ref="S118" si="568">R118/100000</f>
        <v>-344.06052864426857</v>
      </c>
      <c r="T118">
        <f t="shared" ref="T118" si="569">S118/1000</f>
        <v>-0.34406052864426856</v>
      </c>
    </row>
    <row r="119" spans="1:20" x14ac:dyDescent="0.25">
      <c r="A119" s="5">
        <v>44474</v>
      </c>
      <c r="B119">
        <v>11.143000000000001</v>
      </c>
      <c r="C119">
        <v>11.361000000000001</v>
      </c>
      <c r="D119">
        <v>10.882</v>
      </c>
      <c r="E119">
        <v>11.039</v>
      </c>
      <c r="F119">
        <v>955115.3</v>
      </c>
      <c r="G119">
        <v>11.039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-0.34446764091858162</v>
      </c>
      <c r="Q119">
        <f t="shared" ref="Q119" si="571">F119*P119</f>
        <v>-329006.31419624336</v>
      </c>
      <c r="R119">
        <f t="shared" ref="R119" si="572">R120+Q119</f>
        <v>-34576574.674771689</v>
      </c>
      <c r="S119">
        <f t="shared" ref="S119" si="573">R119/100000</f>
        <v>-345.76574674771689</v>
      </c>
      <c r="T119">
        <f t="shared" ref="T119" si="574">S119/1000</f>
        <v>-0.34576574674771687</v>
      </c>
    </row>
    <row r="120" spans="1:20" x14ac:dyDescent="0.25">
      <c r="A120" s="5">
        <v>44473</v>
      </c>
      <c r="B120">
        <v>11.544</v>
      </c>
      <c r="C120">
        <v>11.625999999999999</v>
      </c>
      <c r="D120">
        <v>10.653</v>
      </c>
      <c r="E120">
        <v>11.106</v>
      </c>
      <c r="F120">
        <v>1268806.2</v>
      </c>
      <c r="G120">
        <v>11.106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-6.8859198355601475E-2</v>
      </c>
      <c r="Q120">
        <f t="shared" ref="Q120" si="576">F120*P120</f>
        <v>-87368.977800616951</v>
      </c>
      <c r="R120">
        <f t="shared" ref="R120" si="577">R121+Q120</f>
        <v>-34247568.360575445</v>
      </c>
      <c r="S120">
        <f t="shared" ref="S120" si="578">R120/100000</f>
        <v>-342.47568360575445</v>
      </c>
      <c r="T120">
        <f t="shared" ref="T120" si="579">S120/1000</f>
        <v>-0.34247568360575448</v>
      </c>
    </row>
    <row r="121" spans="1:20" x14ac:dyDescent="0.25">
      <c r="A121" s="5">
        <v>44472</v>
      </c>
      <c r="B121">
        <v>11.125</v>
      </c>
      <c r="C121">
        <v>11.984999999999999</v>
      </c>
      <c r="D121">
        <v>10.95</v>
      </c>
      <c r="E121">
        <v>11.513</v>
      </c>
      <c r="F121">
        <v>1672941.8</v>
      </c>
      <c r="G121">
        <v>11.513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8.7922705314010696E-2</v>
      </c>
      <c r="Q121">
        <f t="shared" ref="Q121" si="581">F121*P121</f>
        <v>147089.56888889062</v>
      </c>
      <c r="R121">
        <f t="shared" ref="R121" si="582">R122+Q121</f>
        <v>-34160199.38277483</v>
      </c>
      <c r="S121">
        <f t="shared" ref="S121" si="583">R121/100000</f>
        <v>-341.60199382774829</v>
      </c>
      <c r="T121">
        <f t="shared" ref="T121" si="584">S121/1000</f>
        <v>-0.34160199382774831</v>
      </c>
    </row>
    <row r="122" spans="1:20" x14ac:dyDescent="0.25">
      <c r="A122" s="5">
        <v>44471</v>
      </c>
      <c r="B122">
        <v>10.994999999999999</v>
      </c>
      <c r="C122">
        <v>11.585000000000001</v>
      </c>
      <c r="D122">
        <v>10.744</v>
      </c>
      <c r="E122">
        <v>11.131</v>
      </c>
      <c r="F122">
        <v>1631696.1</v>
      </c>
      <c r="G122">
        <v>11.131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-7.9667063020214132E-2</v>
      </c>
      <c r="Q122">
        <f t="shared" ref="Q122" si="586">F122*P122</f>
        <v>-129992.43602853763</v>
      </c>
      <c r="R122">
        <f t="shared" ref="R122" si="587">R123+Q122</f>
        <v>-34307288.951663718</v>
      </c>
      <c r="S122">
        <f t="shared" ref="S122" si="588">R122/100000</f>
        <v>-343.07288951663719</v>
      </c>
      <c r="T122">
        <f t="shared" ref="T122" si="589">S122/1000</f>
        <v>-0.34307288951663717</v>
      </c>
    </row>
    <row r="123" spans="1:20" x14ac:dyDescent="0.25">
      <c r="A123" s="5">
        <v>44470</v>
      </c>
      <c r="B123">
        <v>9.6300000000000008</v>
      </c>
      <c r="C123">
        <v>11.135</v>
      </c>
      <c r="D123">
        <v>9.4260000000000002</v>
      </c>
      <c r="E123">
        <v>10.994999999999999</v>
      </c>
      <c r="F123">
        <v>2479212.9</v>
      </c>
      <c r="G123">
        <v>10.994999999999999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0.836161497952018</v>
      </c>
      <c r="Q123">
        <f t="shared" ref="Q123" si="591">F123*P123</f>
        <v>2073022.3722059666</v>
      </c>
      <c r="R123">
        <f t="shared" ref="R123" si="592">R124+Q123</f>
        <v>-34177296.515635177</v>
      </c>
      <c r="S123">
        <f t="shared" ref="S123" si="593">R123/100000</f>
        <v>-341.7729651563518</v>
      </c>
      <c r="T123">
        <f t="shared" ref="T123" si="594">S123/1000</f>
        <v>-0.3417729651563518</v>
      </c>
    </row>
    <row r="124" spans="1:20" x14ac:dyDescent="0.25">
      <c r="A124" s="5">
        <v>44469</v>
      </c>
      <c r="B124">
        <v>9.1519999999999992</v>
      </c>
      <c r="C124">
        <v>9.6489999999999991</v>
      </c>
      <c r="D124">
        <v>9.1110000000000007</v>
      </c>
      <c r="E124">
        <v>9.6300000000000008</v>
      </c>
      <c r="F124">
        <v>1002942.6</v>
      </c>
      <c r="G124">
        <v>9.6300000000000008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0.92936802973978283</v>
      </c>
      <c r="Q124">
        <f t="shared" ref="Q124" si="596">F124*P124</f>
        <v>932102.78810409515</v>
      </c>
      <c r="R124">
        <f t="shared" ref="R124" si="597">R125+Q124</f>
        <v>-36250318.887841143</v>
      </c>
      <c r="S124">
        <f t="shared" ref="S124" si="598">R124/100000</f>
        <v>-362.50318887841144</v>
      </c>
      <c r="T124">
        <f t="shared" ref="T124" si="599">S124/1000</f>
        <v>-0.36250318887841143</v>
      </c>
    </row>
    <row r="125" spans="1:20" x14ac:dyDescent="0.25">
      <c r="A125" s="5">
        <v>44468</v>
      </c>
      <c r="B125">
        <v>9.1349999999999998</v>
      </c>
      <c r="C125">
        <v>9.5909999999999993</v>
      </c>
      <c r="D125">
        <v>8.91</v>
      </c>
      <c r="E125">
        <v>9.1560000000000006</v>
      </c>
      <c r="F125">
        <v>1174280.7</v>
      </c>
      <c r="G125">
        <v>9.1560000000000006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-0.27753303964757492</v>
      </c>
      <c r="Q125">
        <f t="shared" ref="Q125" si="601">F125*P125</f>
        <v>-325901.69207048201</v>
      </c>
      <c r="R125">
        <f t="shared" ref="R125" si="602">R126+Q125</f>
        <v>-37182421.675945237</v>
      </c>
      <c r="S125">
        <f t="shared" ref="S125" si="603">R125/100000</f>
        <v>-371.82421675945238</v>
      </c>
      <c r="T125">
        <f t="shared" ref="T125" si="604">S125/1000</f>
        <v>-0.37182421675945238</v>
      </c>
    </row>
    <row r="126" spans="1:20" x14ac:dyDescent="0.25">
      <c r="A126" s="5">
        <v>44467</v>
      </c>
      <c r="B126">
        <v>9.6460000000000008</v>
      </c>
      <c r="C126">
        <v>9.81</v>
      </c>
      <c r="D126">
        <v>9.0749999999999993</v>
      </c>
      <c r="E126">
        <v>9.1470000000000002</v>
      </c>
      <c r="F126">
        <v>1293060.8999999999</v>
      </c>
      <c r="G126">
        <v>9.1470000000000002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-0.80408163265305899</v>
      </c>
      <c r="Q126">
        <f t="shared" ref="Q126" si="606">F126*P126</f>
        <v>-1039726.5195918338</v>
      </c>
      <c r="R126">
        <f t="shared" ref="R126" si="607">R127+Q126</f>
        <v>-36856519.983874753</v>
      </c>
      <c r="S126">
        <f t="shared" ref="S126" si="608">R126/100000</f>
        <v>-368.5651998387475</v>
      </c>
      <c r="T126">
        <f t="shared" ref="T126" si="609">S126/1000</f>
        <v>-0.36856519983874753</v>
      </c>
    </row>
    <row r="127" spans="1:20" x14ac:dyDescent="0.25">
      <c r="A127" s="5">
        <v>44466</v>
      </c>
      <c r="B127">
        <v>9.6790000000000003</v>
      </c>
      <c r="C127">
        <v>11</v>
      </c>
      <c r="D127">
        <v>9.48</v>
      </c>
      <c r="E127">
        <v>9.6509999999999998</v>
      </c>
      <c r="F127">
        <v>2498750.6</v>
      </c>
      <c r="G127">
        <v>9.6509999999999998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-0.7750000000000008</v>
      </c>
      <c r="Q127">
        <f t="shared" ref="Q127" si="611">F127*P127</f>
        <v>-1936531.7150000022</v>
      </c>
      <c r="R127">
        <f t="shared" ref="R127" si="612">R128+Q127</f>
        <v>-35816793.464282922</v>
      </c>
      <c r="S127">
        <f t="shared" ref="S127" si="613">R127/100000</f>
        <v>-358.16793464282921</v>
      </c>
      <c r="T127">
        <f t="shared" ref="T127" si="614">S127/1000</f>
        <v>-0.3581679346428292</v>
      </c>
    </row>
    <row r="128" spans="1:20" x14ac:dyDescent="0.25">
      <c r="A128" s="5">
        <v>44465</v>
      </c>
      <c r="B128">
        <v>9.859</v>
      </c>
      <c r="C128">
        <v>10.095000000000001</v>
      </c>
      <c r="D128">
        <v>9.01</v>
      </c>
      <c r="E128">
        <v>9.6869999999999994</v>
      </c>
      <c r="F128">
        <v>1724082</v>
      </c>
      <c r="G128">
        <v>9.6869999999999994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0.24792626728110428</v>
      </c>
      <c r="Q128">
        <f t="shared" ref="Q128" si="616">F128*P128</f>
        <v>427445.21474654082</v>
      </c>
      <c r="R128">
        <f t="shared" ref="R128" si="617">R129+Q128</f>
        <v>-33880261.749282919</v>
      </c>
      <c r="S128">
        <f t="shared" ref="S128" si="618">R128/100000</f>
        <v>-338.8026174928292</v>
      </c>
      <c r="T128">
        <f t="shared" ref="T128" si="619">S128/1000</f>
        <v>-0.33880261749282919</v>
      </c>
    </row>
    <row r="129" spans="1:20" x14ac:dyDescent="0.25">
      <c r="A129" s="5">
        <v>44464</v>
      </c>
      <c r="B129">
        <v>10.064</v>
      </c>
      <c r="C129">
        <v>10.233000000000001</v>
      </c>
      <c r="D129">
        <v>9.6329999999999991</v>
      </c>
      <c r="E129">
        <v>9.8699999999999992</v>
      </c>
      <c r="F129">
        <v>1221650.7</v>
      </c>
      <c r="G129">
        <v>9.8699999999999992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-0.21000000000000155</v>
      </c>
      <c r="Q129">
        <f t="shared" ref="Q129" si="621">F129*P129</f>
        <v>-256546.64700000189</v>
      </c>
      <c r="R129">
        <f t="shared" ref="R129" si="622">R130+Q129</f>
        <v>-34307706.964029461</v>
      </c>
      <c r="S129">
        <f t="shared" ref="S129" si="623">R129/100000</f>
        <v>-343.07706964029461</v>
      </c>
      <c r="T129">
        <f t="shared" ref="T129" si="624">S129/1000</f>
        <v>-0.34307706964029461</v>
      </c>
    </row>
    <row r="130" spans="1:20" x14ac:dyDescent="0.25">
      <c r="A130" s="5">
        <v>44463</v>
      </c>
      <c r="B130">
        <v>11.631</v>
      </c>
      <c r="C130">
        <v>11.651999999999999</v>
      </c>
      <c r="D130">
        <v>9.4540000000000006</v>
      </c>
      <c r="E130">
        <v>10.071999999999999</v>
      </c>
      <c r="F130">
        <v>2396163.5</v>
      </c>
      <c r="G130">
        <v>10.071999999999999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-0.43767060964513288</v>
      </c>
      <c r="Q130">
        <f t="shared" ref="Q130" si="626">F130*P130</f>
        <v>-1048730.3398544153</v>
      </c>
      <c r="R130">
        <f t="shared" ref="R130" si="627">R131+Q130</f>
        <v>-34051160.317029461</v>
      </c>
      <c r="S130">
        <f t="shared" ref="S130" si="628">R130/100000</f>
        <v>-340.51160317029462</v>
      </c>
      <c r="T130">
        <f t="shared" ref="T130" si="629">S130/1000</f>
        <v>-0.34051160317029461</v>
      </c>
    </row>
    <row r="131" spans="1:20" x14ac:dyDescent="0.25">
      <c r="A131" s="5">
        <v>44462</v>
      </c>
      <c r="B131">
        <v>10.611000000000001</v>
      </c>
      <c r="C131">
        <v>11.775</v>
      </c>
      <c r="D131">
        <v>10.323</v>
      </c>
      <c r="E131">
        <v>11.631</v>
      </c>
      <c r="F131">
        <v>2183109.6</v>
      </c>
      <c r="G131">
        <v>11.631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0.80165289256198324</v>
      </c>
      <c r="Q131">
        <f t="shared" ref="Q131" si="631">F131*P131</f>
        <v>1750096.1256198343</v>
      </c>
      <c r="R131">
        <f t="shared" ref="R131" si="632">R132+Q131</f>
        <v>-33002429.977175049</v>
      </c>
      <c r="S131">
        <f t="shared" ref="S131" si="633">R131/100000</f>
        <v>-330.02429977175052</v>
      </c>
      <c r="T131">
        <f t="shared" ref="T131" si="634">S131/1000</f>
        <v>-0.33002429977175052</v>
      </c>
    </row>
    <row r="132" spans="1:20" x14ac:dyDescent="0.25">
      <c r="A132" s="5">
        <v>44461</v>
      </c>
      <c r="B132">
        <v>9.202</v>
      </c>
      <c r="C132">
        <v>10.769</v>
      </c>
      <c r="D132">
        <v>9.0220000000000002</v>
      </c>
      <c r="E132">
        <v>10.616</v>
      </c>
      <c r="F132">
        <v>1721066.8</v>
      </c>
      <c r="G132">
        <v>10.616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0.82484258729250093</v>
      </c>
      <c r="Q132">
        <f t="shared" ref="Q132" si="636">F132*P132</f>
        <v>1419609.1922152252</v>
      </c>
      <c r="R132">
        <f t="shared" ref="R132" si="637">R133+Q132</f>
        <v>-34752526.102794886</v>
      </c>
      <c r="S132">
        <f t="shared" ref="S132" si="638">R132/100000</f>
        <v>-347.52526102794883</v>
      </c>
      <c r="T132">
        <f t="shared" ref="T132" si="639">S132/1000</f>
        <v>-0.34752526102794884</v>
      </c>
    </row>
    <row r="133" spans="1:20" x14ac:dyDescent="0.25">
      <c r="A133" s="5">
        <v>44460</v>
      </c>
      <c r="B133">
        <v>10.073</v>
      </c>
      <c r="C133">
        <v>10.68</v>
      </c>
      <c r="D133">
        <v>9</v>
      </c>
      <c r="E133">
        <v>9.1769999999999996</v>
      </c>
      <c r="F133">
        <v>2029217.3</v>
      </c>
      <c r="G133">
        <v>9.1769999999999996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-0.7892857142857147</v>
      </c>
      <c r="Q133">
        <f t="shared" ref="Q133" si="641">F133*P133</f>
        <v>-1601632.2260714294</v>
      </c>
      <c r="R133">
        <f t="shared" ref="R133" si="642">R134+Q133</f>
        <v>-36172135.295010112</v>
      </c>
      <c r="S133">
        <f t="shared" ref="S133" si="643">R133/100000</f>
        <v>-361.72135295010111</v>
      </c>
      <c r="T133">
        <f t="shared" ref="T133" si="644">S133/1000</f>
        <v>-0.3617213529501011</v>
      </c>
    </row>
    <row r="134" spans="1:20" x14ac:dyDescent="0.25">
      <c r="A134" s="5">
        <v>44459</v>
      </c>
      <c r="B134">
        <v>12</v>
      </c>
      <c r="C134">
        <v>12.079000000000001</v>
      </c>
      <c r="D134">
        <v>10.644</v>
      </c>
      <c r="E134">
        <v>10.79</v>
      </c>
      <c r="F134">
        <v>1508680.2</v>
      </c>
      <c r="G134">
        <v>10.79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-0.79651567944251012</v>
      </c>
      <c r="Q134">
        <f t="shared" ref="Q134" si="646">F134*P134</f>
        <v>-1201687.4345644619</v>
      </c>
      <c r="R134">
        <f t="shared" ref="R134" si="647">R135+Q134</f>
        <v>-34570503.06893868</v>
      </c>
      <c r="S134">
        <f t="shared" ref="S134" si="648">R134/100000</f>
        <v>-345.70503068938677</v>
      </c>
      <c r="T134">
        <f t="shared" ref="T134" si="649">S134/1000</f>
        <v>-0.34570503068938679</v>
      </c>
    </row>
    <row r="135" spans="1:20" x14ac:dyDescent="0.25">
      <c r="A135" s="5">
        <v>44458</v>
      </c>
      <c r="B135">
        <v>13.236000000000001</v>
      </c>
      <c r="C135">
        <v>13.5</v>
      </c>
      <c r="D135">
        <v>11.916</v>
      </c>
      <c r="E135">
        <v>12</v>
      </c>
      <c r="F135">
        <v>1555644</v>
      </c>
      <c r="G135">
        <v>12</v>
      </c>
      <c r="L135" t="s">
        <v>8</v>
      </c>
      <c r="M135" t="s">
        <v>7</v>
      </c>
      <c r="N135" t="s">
        <v>7</v>
      </c>
      <c r="P135">
        <f t="shared" ref="P135" si="650">IF(C135=D135,0,((E135-D135)-(C135-E135))/(C135-D135))</f>
        <v>-0.89393939393939437</v>
      </c>
      <c r="Q135">
        <f t="shared" ref="Q135" si="651">F135*P135</f>
        <v>-1390651.4545454553</v>
      </c>
      <c r="R135">
        <f t="shared" ref="R135" si="652">R136+Q135</f>
        <v>-33368815.634374216</v>
      </c>
      <c r="S135">
        <f t="shared" ref="S135" si="653">R135/100000</f>
        <v>-333.68815634374215</v>
      </c>
      <c r="T135">
        <f t="shared" ref="T135" si="654">S135/1000</f>
        <v>-0.33368815634374216</v>
      </c>
    </row>
    <row r="136" spans="1:20" x14ac:dyDescent="0.25">
      <c r="A136" s="5">
        <v>44457</v>
      </c>
      <c r="B136">
        <v>12.183999999999999</v>
      </c>
      <c r="C136">
        <v>13.27</v>
      </c>
      <c r="D136">
        <v>11.856999999999999</v>
      </c>
      <c r="E136">
        <v>13.236000000000001</v>
      </c>
      <c r="F136">
        <v>2511991</v>
      </c>
      <c r="G136">
        <v>13.236000000000001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0.95187544232130372</v>
      </c>
      <c r="Q136">
        <f t="shared" ref="Q136" si="656">F136*P136</f>
        <v>2391102.5442321342</v>
      </c>
      <c r="R136">
        <f t="shared" ref="R136" si="657">R137+Q136</f>
        <v>-31978164.179828759</v>
      </c>
      <c r="S136">
        <f t="shared" ref="S136" si="658">R136/100000</f>
        <v>-319.78164179828758</v>
      </c>
      <c r="T136">
        <f t="shared" ref="T136" si="659">S136/1000</f>
        <v>-0.31978164179828761</v>
      </c>
    </row>
    <row r="137" spans="1:20" x14ac:dyDescent="0.25">
      <c r="A137" s="5">
        <v>44456</v>
      </c>
      <c r="B137">
        <v>12.92</v>
      </c>
      <c r="C137">
        <v>13.2</v>
      </c>
      <c r="D137">
        <v>11.75</v>
      </c>
      <c r="E137">
        <v>12.164</v>
      </c>
      <c r="F137">
        <v>2026920.7</v>
      </c>
      <c r="G137">
        <v>12.164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-0.42896551724137943</v>
      </c>
      <c r="Q137">
        <f t="shared" ref="Q137" si="661">F137*P137</f>
        <v>-869479.08648275887</v>
      </c>
      <c r="R137">
        <f t="shared" ref="R137" si="662">R138+Q137</f>
        <v>-34369266.724060893</v>
      </c>
      <c r="S137">
        <f t="shared" ref="S137" si="663">R137/100000</f>
        <v>-343.69266724060896</v>
      </c>
      <c r="T137">
        <f t="shared" ref="T137" si="664">S137/1000</f>
        <v>-0.34369266724060893</v>
      </c>
    </row>
    <row r="138" spans="1:20" x14ac:dyDescent="0.25">
      <c r="A138" s="5">
        <v>44455</v>
      </c>
      <c r="B138">
        <v>13.606</v>
      </c>
      <c r="C138">
        <v>13.675000000000001</v>
      </c>
      <c r="D138">
        <v>12.62</v>
      </c>
      <c r="E138">
        <v>12.917999999999999</v>
      </c>
      <c r="F138">
        <v>1562311.4</v>
      </c>
      <c r="G138">
        <v>12.917999999999999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-0.43507109004739408</v>
      </c>
      <c r="Q138">
        <f t="shared" ref="Q138" si="666">F138*P138</f>
        <v>-679716.52379147033</v>
      </c>
      <c r="R138">
        <f t="shared" ref="R138" si="667">R139+Q138</f>
        <v>-33499787.637578133</v>
      </c>
      <c r="S138">
        <f t="shared" ref="S138" si="668">R138/100000</f>
        <v>-334.99787637578135</v>
      </c>
      <c r="T138">
        <f t="shared" ref="T138" si="669">S138/1000</f>
        <v>-0.33499787637578132</v>
      </c>
    </row>
    <row r="139" spans="1:20" x14ac:dyDescent="0.25">
      <c r="A139" s="5">
        <v>44454</v>
      </c>
      <c r="B139">
        <v>13.31</v>
      </c>
      <c r="C139">
        <v>13.997999999999999</v>
      </c>
      <c r="D139">
        <v>12.752000000000001</v>
      </c>
      <c r="E139">
        <v>13.606</v>
      </c>
      <c r="F139">
        <v>2613063.6</v>
      </c>
      <c r="G139">
        <v>13.606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0.37078651685393277</v>
      </c>
      <c r="Q139">
        <f t="shared" ref="Q139" si="671">F139*P139</f>
        <v>968888.75056179822</v>
      </c>
      <c r="R139">
        <f t="shared" ref="R139" si="672">R140+Q139</f>
        <v>-32820071.113786664</v>
      </c>
      <c r="S139">
        <f t="shared" ref="S139" si="673">R139/100000</f>
        <v>-328.20071113786662</v>
      </c>
      <c r="T139">
        <f t="shared" ref="T139" si="674">S139/1000</f>
        <v>-0.32820071113786664</v>
      </c>
    </row>
    <row r="140" spans="1:20" x14ac:dyDescent="0.25">
      <c r="A140" s="5">
        <v>44453</v>
      </c>
      <c r="B140">
        <v>14.465</v>
      </c>
      <c r="C140">
        <v>14.742000000000001</v>
      </c>
      <c r="D140">
        <v>12.36</v>
      </c>
      <c r="E140">
        <v>13.304</v>
      </c>
      <c r="F140">
        <v>3308275.4</v>
      </c>
      <c r="G140">
        <v>13.304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-0.20738874895046158</v>
      </c>
      <c r="Q140">
        <f t="shared" ref="Q140" si="676">F140*P140</f>
        <v>-686099.09638958785</v>
      </c>
      <c r="R140">
        <f t="shared" ref="R140" si="677">R141+Q140</f>
        <v>-33788959.864348464</v>
      </c>
      <c r="S140">
        <f t="shared" ref="S140" si="678">R140/100000</f>
        <v>-337.88959864348465</v>
      </c>
      <c r="T140">
        <f t="shared" ref="T140" si="679">S140/1000</f>
        <v>-0.33788959864348467</v>
      </c>
    </row>
    <row r="141" spans="1:20" x14ac:dyDescent="0.25">
      <c r="A141" s="5">
        <v>44452</v>
      </c>
      <c r="B141">
        <v>16.486000000000001</v>
      </c>
      <c r="C141">
        <v>16.766999999999999</v>
      </c>
      <c r="D141">
        <v>13.05</v>
      </c>
      <c r="E141">
        <v>14.465</v>
      </c>
      <c r="F141">
        <v>4408454.4000000004</v>
      </c>
      <c r="G141">
        <v>14.465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-0.23863330642991681</v>
      </c>
      <c r="Q141">
        <f t="shared" ref="Q141" si="681">F141*P141</f>
        <v>-1052004.0497175152</v>
      </c>
      <c r="R141">
        <f t="shared" ref="R141" si="682">R142+Q141</f>
        <v>-33102860.767958876</v>
      </c>
      <c r="S141">
        <f t="shared" ref="S141" si="683">R141/100000</f>
        <v>-331.02860767958873</v>
      </c>
      <c r="T141">
        <f t="shared" ref="T141" si="684">S141/1000</f>
        <v>-0.33102860767958875</v>
      </c>
    </row>
    <row r="142" spans="1:20" x14ac:dyDescent="0.25">
      <c r="A142" s="5">
        <v>44451</v>
      </c>
      <c r="B142">
        <v>14.965</v>
      </c>
      <c r="C142">
        <v>16.96</v>
      </c>
      <c r="D142">
        <v>14.5</v>
      </c>
      <c r="E142">
        <v>16.484000000000002</v>
      </c>
      <c r="F142">
        <v>4929062.3</v>
      </c>
      <c r="G142">
        <v>16.484000000000002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0.61300813008130173</v>
      </c>
      <c r="Q142">
        <f t="shared" ref="Q142" si="686">F142*P142</f>
        <v>3021555.2635772401</v>
      </c>
      <c r="R142">
        <f t="shared" ref="R142" si="687">R143+Q142</f>
        <v>-32050856.71824136</v>
      </c>
      <c r="S142">
        <f t="shared" ref="S142" si="688">R142/100000</f>
        <v>-320.50856718241363</v>
      </c>
      <c r="T142">
        <f t="shared" ref="T142" si="689">S142/1000</f>
        <v>-0.32050856718241361</v>
      </c>
    </row>
    <row r="143" spans="1:20" x14ac:dyDescent="0.25">
      <c r="A143" s="5">
        <v>44450</v>
      </c>
      <c r="B143">
        <v>14.420999999999999</v>
      </c>
      <c r="C143">
        <v>16.29</v>
      </c>
      <c r="D143">
        <v>14.212</v>
      </c>
      <c r="E143">
        <v>14.962</v>
      </c>
      <c r="F143">
        <v>7013252.7000000002</v>
      </c>
      <c r="G143">
        <v>14.962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-0.27815206929740116</v>
      </c>
      <c r="Q143">
        <f t="shared" ref="Q143" si="691">F143*P143</f>
        <v>-1950750.7510105858</v>
      </c>
      <c r="R143">
        <f t="shared" ref="R143" si="692">R144+Q143</f>
        <v>-35072411.981818601</v>
      </c>
      <c r="S143">
        <f t="shared" ref="S143" si="693">R143/100000</f>
        <v>-350.72411981818601</v>
      </c>
      <c r="T143">
        <f t="shared" ref="T143" si="694">S143/1000</f>
        <v>-0.35072411981818602</v>
      </c>
    </row>
    <row r="144" spans="1:20" x14ac:dyDescent="0.25">
      <c r="A144" s="5">
        <v>44449</v>
      </c>
      <c r="B144">
        <v>14.782999999999999</v>
      </c>
      <c r="C144">
        <v>15.2</v>
      </c>
      <c r="D144">
        <v>12.8</v>
      </c>
      <c r="E144">
        <v>14.42</v>
      </c>
      <c r="F144">
        <v>5308865.5999999996</v>
      </c>
      <c r="G144">
        <v>14.42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0.35000000000000014</v>
      </c>
      <c r="Q144">
        <f t="shared" ref="Q144" si="696">F144*P144</f>
        <v>1858102.9600000007</v>
      </c>
      <c r="R144">
        <f t="shared" ref="R144" si="697">R145+Q144</f>
        <v>-33121661.230808012</v>
      </c>
      <c r="S144">
        <f t="shared" ref="S144" si="698">R144/100000</f>
        <v>-331.21661230808013</v>
      </c>
      <c r="T144">
        <f t="shared" ref="T144" si="699">S144/1000</f>
        <v>-0.33121661230808014</v>
      </c>
    </row>
    <row r="145" spans="1:20" x14ac:dyDescent="0.25">
      <c r="A145" s="5">
        <v>44448</v>
      </c>
      <c r="B145">
        <v>12.553000000000001</v>
      </c>
      <c r="C145">
        <v>16.28</v>
      </c>
      <c r="D145">
        <v>12.451000000000001</v>
      </c>
      <c r="E145">
        <v>14.782999999999999</v>
      </c>
      <c r="F145">
        <v>14606330.6</v>
      </c>
      <c r="G145">
        <v>14.782999999999999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0.21807260381300528</v>
      </c>
      <c r="Q145">
        <f t="shared" ref="Q145" si="701">F145*P145</f>
        <v>3185240.5460955757</v>
      </c>
      <c r="R145">
        <f t="shared" ref="R145" si="702">R146+Q145</f>
        <v>-34979764.190808013</v>
      </c>
      <c r="S145">
        <f t="shared" ref="S145" si="703">R145/100000</f>
        <v>-349.79764190808015</v>
      </c>
      <c r="T145">
        <f t="shared" ref="T145" si="704">S145/1000</f>
        <v>-0.34979764190808016</v>
      </c>
    </row>
    <row r="146" spans="1:20" x14ac:dyDescent="0.25">
      <c r="A146" s="5">
        <v>44447</v>
      </c>
      <c r="B146">
        <v>11.779</v>
      </c>
      <c r="C146">
        <v>13</v>
      </c>
      <c r="D146">
        <v>10</v>
      </c>
      <c r="E146">
        <v>12.57</v>
      </c>
      <c r="F146">
        <v>6647486.2999999998</v>
      </c>
      <c r="G146">
        <v>12.57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0.71333333333333349</v>
      </c>
      <c r="Q146">
        <f t="shared" ref="Q146" si="706">F146*P146</f>
        <v>4741873.5606666673</v>
      </c>
      <c r="R146">
        <f t="shared" ref="R146" si="707">R147+Q146</f>
        <v>-38165004.736903585</v>
      </c>
      <c r="S146">
        <f t="shared" ref="S146" si="708">R146/100000</f>
        <v>-381.65004736903586</v>
      </c>
      <c r="T146">
        <f t="shared" ref="T146" si="709">S146/1000</f>
        <v>-0.38165004736903585</v>
      </c>
    </row>
    <row r="147" spans="1:20" x14ac:dyDescent="0.25">
      <c r="A147" s="5">
        <v>44446</v>
      </c>
      <c r="B147">
        <v>12.835000000000001</v>
      </c>
      <c r="C147">
        <v>15.182</v>
      </c>
      <c r="D147">
        <v>10</v>
      </c>
      <c r="E147">
        <v>11.779</v>
      </c>
      <c r="F147">
        <v>16580686.800000001</v>
      </c>
      <c r="G147">
        <v>11.779</v>
      </c>
      <c r="L147" t="s">
        <v>7</v>
      </c>
      <c r="M147" t="s">
        <v>8</v>
      </c>
      <c r="N147" t="s">
        <v>8</v>
      </c>
      <c r="P147">
        <f t="shared" ref="P147" si="710">IF(C147=D147,0,((E147-D147)-(C147-E147))/(C147-D147))</f>
        <v>-0.3133925125434196</v>
      </c>
      <c r="Q147">
        <f t="shared" ref="Q147" si="711">F147*P147</f>
        <v>-5196263.0959475124</v>
      </c>
      <c r="R147">
        <f t="shared" ref="R147" si="712">R148+Q147</f>
        <v>-42906878.297570251</v>
      </c>
      <c r="S147">
        <f t="shared" ref="S147" si="713">R147/100000</f>
        <v>-429.0687829757025</v>
      </c>
      <c r="T147">
        <f t="shared" ref="T147" si="714">S147/1000</f>
        <v>-0.4290687829757025</v>
      </c>
    </row>
    <row r="148" spans="1:20" x14ac:dyDescent="0.25">
      <c r="A148" s="5">
        <v>44445</v>
      </c>
      <c r="B148">
        <v>12.473000000000001</v>
      </c>
      <c r="C148">
        <v>13.079000000000001</v>
      </c>
      <c r="D148">
        <v>10.15</v>
      </c>
      <c r="E148">
        <v>12.831</v>
      </c>
      <c r="F148">
        <v>5815517.7999999998</v>
      </c>
      <c r="G148">
        <v>12.831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0.830658927961761</v>
      </c>
      <c r="Q148">
        <f t="shared" ref="Q148" si="716">F148*P148</f>
        <v>4830711.7812905386</v>
      </c>
      <c r="R148">
        <f t="shared" ref="R148" si="717">R149+Q148</f>
        <v>-37710615.201622739</v>
      </c>
      <c r="S148">
        <f t="shared" ref="S148" si="718">R148/100000</f>
        <v>-377.10615201622738</v>
      </c>
      <c r="T148">
        <f t="shared" ref="T148" si="719">S148/1000</f>
        <v>-0.37710615201622738</v>
      </c>
    </row>
    <row r="149" spans="1:20" x14ac:dyDescent="0.25">
      <c r="A149" s="5">
        <v>44444</v>
      </c>
      <c r="B149">
        <v>12.365</v>
      </c>
      <c r="C149">
        <v>12.715999999999999</v>
      </c>
      <c r="D149">
        <v>12.01</v>
      </c>
      <c r="E149">
        <v>12.46</v>
      </c>
      <c r="F149">
        <v>2395030</v>
      </c>
      <c r="G149">
        <v>12.46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0.27478753541076878</v>
      </c>
      <c r="Q149">
        <f t="shared" ref="Q149" si="721">F149*P149</f>
        <v>658124.39093485358</v>
      </c>
      <c r="R149">
        <f t="shared" ref="R149" si="722">R150+Q149</f>
        <v>-42541326.982913278</v>
      </c>
      <c r="S149">
        <f t="shared" ref="S149" si="723">R149/100000</f>
        <v>-425.41326982913279</v>
      </c>
      <c r="T149">
        <f t="shared" ref="T149" si="724">S149/1000</f>
        <v>-0.4254132698291328</v>
      </c>
    </row>
    <row r="150" spans="1:20" x14ac:dyDescent="0.25">
      <c r="A150" s="5">
        <v>44443</v>
      </c>
      <c r="B150">
        <v>12.693</v>
      </c>
      <c r="C150">
        <v>13.709</v>
      </c>
      <c r="D150">
        <v>12</v>
      </c>
      <c r="E150">
        <v>12.363</v>
      </c>
      <c r="F150">
        <v>4159478.4</v>
      </c>
      <c r="G150">
        <v>12.363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-0.57519016968987757</v>
      </c>
      <c r="Q150">
        <f t="shared" ref="Q150" si="726">F150*P150</f>
        <v>-2392491.0867173802</v>
      </c>
      <c r="R150">
        <f t="shared" ref="R150" si="727">R151+Q150</f>
        <v>-43199451.373848133</v>
      </c>
      <c r="S150">
        <f t="shared" ref="S150" si="728">R150/100000</f>
        <v>-431.99451373848132</v>
      </c>
      <c r="T150">
        <f t="shared" ref="T150" si="729">S150/1000</f>
        <v>-0.4319945137384813</v>
      </c>
    </row>
    <row r="151" spans="1:20" x14ac:dyDescent="0.25">
      <c r="A151" s="5">
        <v>44442</v>
      </c>
      <c r="B151">
        <v>11.775</v>
      </c>
      <c r="C151">
        <v>13.765000000000001</v>
      </c>
      <c r="D151">
        <v>11.717000000000001</v>
      </c>
      <c r="E151">
        <v>12.69</v>
      </c>
      <c r="F151">
        <v>9431945</v>
      </c>
      <c r="G151">
        <v>12.69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-4.980468750000102E-2</v>
      </c>
      <c r="Q151">
        <f t="shared" ref="Q151" si="731">F151*P151</f>
        <v>-469755.0732421971</v>
      </c>
      <c r="R151">
        <f t="shared" ref="R151" si="732">R152+Q151</f>
        <v>-40806960.287130751</v>
      </c>
      <c r="S151">
        <f t="shared" ref="S151" si="733">R151/100000</f>
        <v>-408.0696028713075</v>
      </c>
      <c r="T151">
        <f t="shared" ref="T151" si="734">S151/1000</f>
        <v>-0.4080696028713075</v>
      </c>
    </row>
    <row r="152" spans="1:20" x14ac:dyDescent="0.25">
      <c r="A152" s="5">
        <v>44441</v>
      </c>
      <c r="B152">
        <v>11.583</v>
      </c>
      <c r="C152">
        <v>12.776</v>
      </c>
      <c r="D152">
        <v>11.25</v>
      </c>
      <c r="E152">
        <v>11.754</v>
      </c>
      <c r="F152">
        <v>6436100.9000000004</v>
      </c>
      <c r="G152">
        <v>11.754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-0.33944954128440419</v>
      </c>
      <c r="Q152">
        <f t="shared" ref="Q152" si="736">F152*P152</f>
        <v>-2184731.4981651409</v>
      </c>
      <c r="R152">
        <f t="shared" ref="R152" si="737">R153+Q152</f>
        <v>-40337205.213888556</v>
      </c>
      <c r="S152">
        <f t="shared" ref="S152" si="738">R152/100000</f>
        <v>-403.37205213888558</v>
      </c>
      <c r="T152">
        <f t="shared" ref="T152" si="739">S152/1000</f>
        <v>-0.40337205213888561</v>
      </c>
    </row>
    <row r="153" spans="1:20" x14ac:dyDescent="0.25">
      <c r="A153" s="5">
        <v>44440</v>
      </c>
      <c r="B153">
        <v>12.028</v>
      </c>
      <c r="C153">
        <v>12.481</v>
      </c>
      <c r="D153">
        <v>11.378</v>
      </c>
      <c r="E153">
        <v>11.583</v>
      </c>
      <c r="F153">
        <v>5312431.5999999996</v>
      </c>
      <c r="G153">
        <v>11.583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-0.62828649138712578</v>
      </c>
      <c r="Q153">
        <f t="shared" ref="Q153" si="741">F153*P153</f>
        <v>-3337729.0106980945</v>
      </c>
      <c r="R153">
        <f t="shared" ref="R153" si="742">R154+Q153</f>
        <v>-38152473.715723418</v>
      </c>
      <c r="S153">
        <f t="shared" ref="S153" si="743">R153/100000</f>
        <v>-381.5247371572342</v>
      </c>
      <c r="T153">
        <f t="shared" ref="T153" si="744">S153/1000</f>
        <v>-0.38152473715723417</v>
      </c>
    </row>
    <row r="154" spans="1:20" x14ac:dyDescent="0.25">
      <c r="A154" s="5">
        <v>44439</v>
      </c>
      <c r="B154">
        <v>11.667</v>
      </c>
      <c r="C154">
        <v>14.5</v>
      </c>
      <c r="D154">
        <v>11.231999999999999</v>
      </c>
      <c r="E154">
        <v>12.041</v>
      </c>
      <c r="F154">
        <v>15002133.6</v>
      </c>
      <c r="G154">
        <v>12.041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-0.50489596083231281</v>
      </c>
      <c r="Q154">
        <f t="shared" ref="Q154" si="746">F154*P154</f>
        <v>-7574516.6585067241</v>
      </c>
      <c r="R154">
        <f t="shared" ref="R154" si="747">R155+Q154</f>
        <v>-34814744.705025323</v>
      </c>
      <c r="S154">
        <f t="shared" ref="S154" si="748">R154/100000</f>
        <v>-348.14744705025322</v>
      </c>
      <c r="T154">
        <f t="shared" ref="T154" si="749">S154/1000</f>
        <v>-0.34814744705025324</v>
      </c>
    </row>
    <row r="155" spans="1:20" x14ac:dyDescent="0.25">
      <c r="A155" s="5">
        <v>44438</v>
      </c>
      <c r="B155">
        <v>11.516999999999999</v>
      </c>
      <c r="C155">
        <v>13.297000000000001</v>
      </c>
      <c r="D155">
        <v>10.701000000000001</v>
      </c>
      <c r="E155">
        <v>11.683</v>
      </c>
      <c r="F155">
        <v>13749246.4</v>
      </c>
      <c r="G155">
        <v>11.683</v>
      </c>
      <c r="L155" t="s">
        <v>8</v>
      </c>
      <c r="M155" t="s">
        <v>8</v>
      </c>
      <c r="N155" t="s">
        <v>7</v>
      </c>
      <c r="P155">
        <f t="shared" ref="P155" si="750">IF(C155=D155,0,((E155-D155)-(C155-E155))/(C155-D155))</f>
        <v>-0.24345146379044738</v>
      </c>
      <c r="Q155">
        <f t="shared" ref="Q155" si="751">F155*P155</f>
        <v>-3347274.1620955393</v>
      </c>
      <c r="R155">
        <f t="shared" ref="R155" si="752">R156+Q155</f>
        <v>-27240228.046518601</v>
      </c>
      <c r="S155">
        <f t="shared" ref="S155" si="753">R155/100000</f>
        <v>-272.40228046518604</v>
      </c>
      <c r="T155">
        <f t="shared" ref="T155" si="754">S155/1000</f>
        <v>-0.27240228046518605</v>
      </c>
    </row>
    <row r="156" spans="1:20" x14ac:dyDescent="0.25">
      <c r="A156" s="5">
        <v>44437</v>
      </c>
      <c r="B156">
        <v>11.286</v>
      </c>
      <c r="C156">
        <v>12.89</v>
      </c>
      <c r="D156">
        <v>10.558</v>
      </c>
      <c r="E156">
        <v>11.499000000000001</v>
      </c>
      <c r="F156">
        <v>15938263.800000001</v>
      </c>
      <c r="G156">
        <v>11.499000000000001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-0.19296740994854167</v>
      </c>
      <c r="Q156">
        <f t="shared" ref="Q156" si="756">F156*P156</f>
        <v>-3075565.4845626019</v>
      </c>
      <c r="R156">
        <f t="shared" ref="R156" si="757">R157+Q156</f>
        <v>-23892953.884423062</v>
      </c>
      <c r="S156">
        <f t="shared" ref="S156" si="758">R156/100000</f>
        <v>-238.92953884423062</v>
      </c>
      <c r="T156">
        <f t="shared" ref="T156" si="759">S156/1000</f>
        <v>-0.23892953884423063</v>
      </c>
    </row>
    <row r="157" spans="1:20" x14ac:dyDescent="0.25">
      <c r="A157" s="5">
        <v>44436</v>
      </c>
      <c r="B157">
        <v>10.124000000000001</v>
      </c>
      <c r="C157">
        <v>17.8</v>
      </c>
      <c r="D157">
        <v>9.6010000000000009</v>
      </c>
      <c r="E157">
        <v>11.286</v>
      </c>
      <c r="F157">
        <v>29233969.199999999</v>
      </c>
      <c r="G157">
        <v>11.286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-0.58897426515428741</v>
      </c>
      <c r="Q157">
        <f t="shared" ref="Q157" si="761">F157*P157</f>
        <v>-17218055.527113073</v>
      </c>
      <c r="R157">
        <f t="shared" ref="R157" si="762">R158+Q157</f>
        <v>-20817388.39986046</v>
      </c>
      <c r="S157">
        <f t="shared" ref="S157" si="763">R157/100000</f>
        <v>-208.17388399860459</v>
      </c>
      <c r="T157">
        <f t="shared" ref="T157" si="764">S157/1000</f>
        <v>-0.20817388399860459</v>
      </c>
    </row>
    <row r="158" spans="1:20" x14ac:dyDescent="0.25">
      <c r="A158" s="5">
        <v>44435</v>
      </c>
      <c r="B158">
        <v>6.8579999999999997</v>
      </c>
      <c r="C158">
        <v>12.765000000000001</v>
      </c>
      <c r="D158">
        <v>6.7130000000000001</v>
      </c>
      <c r="E158">
        <v>10.132999999999999</v>
      </c>
      <c r="F158">
        <v>20764734.5</v>
      </c>
      <c r="G158">
        <v>10.132999999999999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0.1302048909451417</v>
      </c>
      <c r="Q158">
        <f t="shared" ref="Q158" si="766">F158*P158</f>
        <v>2703669.9910773216</v>
      </c>
      <c r="R158">
        <f t="shared" ref="R158" si="767">R159+Q158</f>
        <v>-3599332.8727473877</v>
      </c>
      <c r="S158">
        <f t="shared" ref="S158" si="768">R158/100000</f>
        <v>-35.99332872747388</v>
      </c>
      <c r="T158">
        <f t="shared" ref="T158" si="769">S158/1000</f>
        <v>-3.5993328727473878E-2</v>
      </c>
    </row>
    <row r="159" spans="1:20" x14ac:dyDescent="0.25">
      <c r="A159" s="5">
        <v>44434</v>
      </c>
      <c r="B159">
        <v>7.22</v>
      </c>
      <c r="C159">
        <v>7.508</v>
      </c>
      <c r="D159">
        <v>6.6829999999999998</v>
      </c>
      <c r="E159">
        <v>6.851</v>
      </c>
      <c r="F159">
        <v>1643506.6</v>
      </c>
      <c r="G159">
        <v>6.851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-0.59272727272727244</v>
      </c>
      <c r="Q159">
        <f t="shared" ref="Q159" si="771">F159*P159</f>
        <v>-974151.18472727225</v>
      </c>
      <c r="R159">
        <f t="shared" ref="R159" si="772">R160+Q159</f>
        <v>-6303002.8638247093</v>
      </c>
      <c r="S159">
        <f t="shared" ref="S159" si="773">R159/100000</f>
        <v>-63.030028638247096</v>
      </c>
      <c r="T159">
        <f t="shared" ref="T159" si="774">S159/1000</f>
        <v>-6.3030028638247096E-2</v>
      </c>
    </row>
    <row r="160" spans="1:20" x14ac:dyDescent="0.25">
      <c r="A160" s="5">
        <v>44433</v>
      </c>
      <c r="B160">
        <v>6.9649999999999999</v>
      </c>
      <c r="C160">
        <v>7.4290000000000003</v>
      </c>
      <c r="D160">
        <v>6.6680000000000001</v>
      </c>
      <c r="E160">
        <v>7.22</v>
      </c>
      <c r="F160">
        <v>2217678.7000000002</v>
      </c>
      <c r="G160">
        <v>7.22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0.45072273324572804</v>
      </c>
      <c r="Q160">
        <f t="shared" ref="Q160" si="776">F160*P160</f>
        <v>999558.20512483304</v>
      </c>
      <c r="R160">
        <f t="shared" ref="R160" si="777">R161+Q160</f>
        <v>-5328851.6790974373</v>
      </c>
      <c r="S160">
        <f t="shared" ref="S160" si="778">R160/100000</f>
        <v>-53.28851679097437</v>
      </c>
      <c r="T160">
        <f t="shared" ref="T160" si="779">S160/1000</f>
        <v>-5.328851679097437E-2</v>
      </c>
    </row>
    <row r="161" spans="1:20" x14ac:dyDescent="0.25">
      <c r="A161" s="5">
        <v>44432</v>
      </c>
      <c r="B161">
        <v>7.234</v>
      </c>
      <c r="C161">
        <v>8.1050000000000004</v>
      </c>
      <c r="D161">
        <v>6.8</v>
      </c>
      <c r="E161">
        <v>6.9779999999999998</v>
      </c>
      <c r="F161">
        <v>4068566.2</v>
      </c>
      <c r="G161">
        <v>6.9779999999999998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-0.72720306513409982</v>
      </c>
      <c r="Q161">
        <f t="shared" ref="Q161" si="781">F161*P161</f>
        <v>-2958673.811340997</v>
      </c>
      <c r="R161">
        <f t="shared" ref="R161" si="782">R162+Q161</f>
        <v>-6328409.88422227</v>
      </c>
      <c r="S161">
        <f t="shared" ref="S161" si="783">R161/100000</f>
        <v>-63.284098842222697</v>
      </c>
      <c r="T161">
        <f t="shared" ref="T161" si="784">S161/1000</f>
        <v>-6.3284098842222691E-2</v>
      </c>
    </row>
    <row r="162" spans="1:20" x14ac:dyDescent="0.25">
      <c r="A162" s="5">
        <v>44431</v>
      </c>
      <c r="B162">
        <v>7.1619999999999999</v>
      </c>
      <c r="C162">
        <v>7.7670000000000003</v>
      </c>
      <c r="D162">
        <v>7.0519999999999996</v>
      </c>
      <c r="E162">
        <v>7.2290000000000001</v>
      </c>
      <c r="F162">
        <v>2402083</v>
      </c>
      <c r="G162">
        <v>7.2290000000000001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-0.50489510489510403</v>
      </c>
      <c r="Q162">
        <f t="shared" ref="Q162" si="786">F162*P162</f>
        <v>-1212799.9482517461</v>
      </c>
      <c r="R162">
        <f t="shared" ref="R162" si="787">R163+Q162</f>
        <v>-3369736.072881273</v>
      </c>
      <c r="S162">
        <f t="shared" ref="S162" si="788">R162/100000</f>
        <v>-33.697360728812733</v>
      </c>
      <c r="T162">
        <f t="shared" ref="T162" si="789">S162/1000</f>
        <v>-3.3697360728812735E-2</v>
      </c>
    </row>
    <row r="163" spans="1:20" x14ac:dyDescent="0.25">
      <c r="A163" s="5">
        <v>44430</v>
      </c>
      <c r="B163">
        <v>7.391</v>
      </c>
      <c r="C163">
        <v>7.5490000000000004</v>
      </c>
      <c r="D163">
        <v>7.3049999999999997</v>
      </c>
      <c r="E163">
        <v>7.5439999999999996</v>
      </c>
      <c r="F163">
        <v>330578.40000000002</v>
      </c>
      <c r="G163">
        <v>7.5439999999999996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0.95901639344261669</v>
      </c>
      <c r="Q163">
        <f t="shared" ref="Q163" si="791">F163*P163</f>
        <v>317030.10491803073</v>
      </c>
      <c r="R163">
        <f t="shared" ref="R163" si="792">R164+Q163</f>
        <v>-2156936.1246295269</v>
      </c>
      <c r="S163">
        <f t="shared" ref="S163" si="793">R163/100000</f>
        <v>-21.569361246295269</v>
      </c>
      <c r="T163">
        <f t="shared" ref="T163" si="794">S163/1000</f>
        <v>-2.1569361246295268E-2</v>
      </c>
    </row>
    <row r="164" spans="1:20" x14ac:dyDescent="0.25">
      <c r="A164" s="5">
        <v>44429</v>
      </c>
      <c r="B164">
        <v>8.2370000000000001</v>
      </c>
      <c r="C164">
        <v>8.2439999999999998</v>
      </c>
      <c r="D164">
        <v>7.2</v>
      </c>
      <c r="E164">
        <v>7.3819999999999997</v>
      </c>
      <c r="F164">
        <v>2273047.4</v>
      </c>
      <c r="G164">
        <v>7.3819999999999997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-0.65134099616858321</v>
      </c>
      <c r="Q164">
        <f t="shared" ref="Q164" si="796">F164*P164</f>
        <v>-1480528.9578544081</v>
      </c>
      <c r="R164">
        <f t="shared" ref="R164" si="797">R165+Q164</f>
        <v>-2473966.2295475574</v>
      </c>
      <c r="S164">
        <f t="shared" ref="S164" si="798">R164/100000</f>
        <v>-24.739662295475576</v>
      </c>
      <c r="T164">
        <f t="shared" ref="T164" si="799">S164/1000</f>
        <v>-2.4739662295475577E-2</v>
      </c>
    </row>
    <row r="165" spans="1:20" x14ac:dyDescent="0.25">
      <c r="A165" s="5">
        <v>44428</v>
      </c>
      <c r="B165">
        <v>7.47</v>
      </c>
      <c r="C165">
        <v>8.25</v>
      </c>
      <c r="D165">
        <v>7.4109999999999996</v>
      </c>
      <c r="E165">
        <v>8.2370000000000001</v>
      </c>
      <c r="F165">
        <v>3179129.9</v>
      </c>
      <c r="G165">
        <v>8.2370000000000001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0.96901072705601932</v>
      </c>
      <c r="Q165">
        <f t="shared" ref="Q165" si="801">F165*P165</f>
        <v>3080610.9758045301</v>
      </c>
      <c r="R165">
        <f t="shared" ref="R165" si="802">R166+Q165</f>
        <v>-993437.27169314912</v>
      </c>
      <c r="S165">
        <f t="shared" ref="S165" si="803">R165/100000</f>
        <v>-9.9343727169314917</v>
      </c>
      <c r="T165">
        <f t="shared" ref="T165" si="804">S165/1000</f>
        <v>-9.9343727169314919E-3</v>
      </c>
    </row>
    <row r="166" spans="1:20" x14ac:dyDescent="0.25">
      <c r="A166" s="5">
        <v>44427</v>
      </c>
      <c r="B166">
        <v>7.6269999999999998</v>
      </c>
      <c r="C166">
        <v>7.9509999999999996</v>
      </c>
      <c r="D166">
        <v>7.1289999999999996</v>
      </c>
      <c r="E166">
        <v>7.47</v>
      </c>
      <c r="F166">
        <v>4081528.5</v>
      </c>
      <c r="G166">
        <v>7.47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-0.17031630170316261</v>
      </c>
      <c r="Q166">
        <f t="shared" ref="Q166" si="806">F166*P166</f>
        <v>-695150.83941605675</v>
      </c>
      <c r="R166">
        <f t="shared" ref="R166" si="807">R167+Q166</f>
        <v>-4074048.2474976792</v>
      </c>
      <c r="S166">
        <f t="shared" ref="S166" si="808">R166/100000</f>
        <v>-40.740482474976794</v>
      </c>
      <c r="T166">
        <f t="shared" ref="T166" si="809">S166/1000</f>
        <v>-4.0740482474976795E-2</v>
      </c>
    </row>
    <row r="167" spans="1:20" x14ac:dyDescent="0.25">
      <c r="A167" s="5">
        <v>44426</v>
      </c>
      <c r="B167">
        <v>6.8849999999999998</v>
      </c>
      <c r="C167">
        <v>8.3800000000000008</v>
      </c>
      <c r="D167">
        <v>6.3109999999999999</v>
      </c>
      <c r="E167">
        <v>7.6269999999999998</v>
      </c>
      <c r="F167">
        <v>9136331.6999999993</v>
      </c>
      <c r="G167">
        <v>7.6269999999999998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0.27211213146447494</v>
      </c>
      <c r="Q167">
        <f t="shared" ref="Q167" si="811">F167*P167</f>
        <v>2486106.6926534497</v>
      </c>
      <c r="R167">
        <f t="shared" ref="R167" si="812">R168+Q167</f>
        <v>-3378897.4080816223</v>
      </c>
      <c r="S167">
        <f t="shared" ref="S167" si="813">R167/100000</f>
        <v>-33.788974080816224</v>
      </c>
      <c r="T167">
        <f t="shared" ref="T167" si="814">S167/1000</f>
        <v>-3.3788974080816221E-2</v>
      </c>
    </row>
    <row r="168" spans="1:20" x14ac:dyDescent="0.25">
      <c r="A168" s="5">
        <v>44425</v>
      </c>
      <c r="B168">
        <v>6.2629999999999999</v>
      </c>
      <c r="C168">
        <v>8.9</v>
      </c>
      <c r="D168">
        <v>5.9539999999999997</v>
      </c>
      <c r="E168">
        <v>6.883</v>
      </c>
      <c r="F168">
        <v>9823331.5</v>
      </c>
      <c r="G168">
        <v>6.883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-0.36931432450780716</v>
      </c>
      <c r="Q168">
        <f t="shared" ref="Q168" si="816">F168*P168</f>
        <v>-3627897.0373387639</v>
      </c>
      <c r="R168">
        <f t="shared" ref="R168" si="817">R169+Q168</f>
        <v>-5865004.100735072</v>
      </c>
      <c r="S168">
        <f t="shared" ref="S168" si="818">R168/100000</f>
        <v>-58.650041007350723</v>
      </c>
      <c r="T168">
        <f t="shared" ref="T168" si="819">S168/1000</f>
        <v>-5.8650041007350724E-2</v>
      </c>
    </row>
    <row r="169" spans="1:20" x14ac:dyDescent="0.25">
      <c r="A169" s="5">
        <v>44424</v>
      </c>
      <c r="B169">
        <v>5.8170000000000002</v>
      </c>
      <c r="C169">
        <v>6.9720000000000004</v>
      </c>
      <c r="D169">
        <v>5.8</v>
      </c>
      <c r="E169">
        <v>6.25</v>
      </c>
      <c r="F169">
        <v>6560062.2999999998</v>
      </c>
      <c r="G169">
        <v>6.25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-0.23208191126279873</v>
      </c>
      <c r="Q169">
        <f t="shared" ref="Q169" si="821">F169*P169</f>
        <v>-1522471.7965870313</v>
      </c>
      <c r="R169">
        <f t="shared" ref="R169" si="822">R170+Q169</f>
        <v>-2237107.0633963086</v>
      </c>
      <c r="S169">
        <f t="shared" ref="S169" si="823">R169/100000</f>
        <v>-22.371070633963086</v>
      </c>
      <c r="T169">
        <f t="shared" ref="T169:T175" si="824">S169/1000</f>
        <v>-2.2371070633963087E-2</v>
      </c>
    </row>
    <row r="170" spans="1:20" x14ac:dyDescent="0.25">
      <c r="A170" s="5">
        <v>44423</v>
      </c>
      <c r="B170">
        <v>4.9859999999999998</v>
      </c>
      <c r="C170">
        <v>5.88</v>
      </c>
      <c r="D170">
        <v>4.6529999999999996</v>
      </c>
      <c r="E170">
        <v>5.8159999999999998</v>
      </c>
      <c r="F170">
        <v>2422836.2000000002</v>
      </c>
      <c r="G170">
        <v>5.8159999999999998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0.89568052159739198</v>
      </c>
      <c r="Q170">
        <f t="shared" ref="Q170" si="826">F170*P170</f>
        <v>2170087.1913610431</v>
      </c>
      <c r="R170">
        <f t="shared" ref="R170" si="827">R171+Q170</f>
        <v>-714635.26680927724</v>
      </c>
      <c r="S170">
        <f t="shared" ref="S170" si="828">R170/100000</f>
        <v>-7.1463526680927725</v>
      </c>
      <c r="T170">
        <f t="shared" si="824"/>
        <v>-7.1463526680927729E-3</v>
      </c>
    </row>
    <row r="171" spans="1:20" x14ac:dyDescent="0.25">
      <c r="A171" s="5">
        <v>44422</v>
      </c>
      <c r="B171">
        <v>5.0910000000000002</v>
      </c>
      <c r="C171">
        <v>5.3390000000000004</v>
      </c>
      <c r="D171">
        <v>4.7960000000000003</v>
      </c>
      <c r="E171">
        <v>4.9740000000000002</v>
      </c>
      <c r="F171">
        <v>1439463</v>
      </c>
      <c r="G171">
        <v>4.9740000000000002</v>
      </c>
      <c r="L171" t="s">
        <v>8</v>
      </c>
      <c r="M171" t="s">
        <v>8</v>
      </c>
      <c r="N171" t="s">
        <v>8</v>
      </c>
      <c r="P171">
        <f t="shared" ref="P171" si="829">IF(C171=D171,0,((E171-D171)-(C171-E171))/(C171-D171))</f>
        <v>-0.34438305709023981</v>
      </c>
      <c r="Q171">
        <f t="shared" ref="Q171" si="830">F171*P171</f>
        <v>-495726.66850828787</v>
      </c>
      <c r="R171">
        <f t="shared" ref="R171" si="831">R172+Q171</f>
        <v>-2884722.4581703204</v>
      </c>
      <c r="S171">
        <f t="shared" ref="S171" si="832">R171/100000</f>
        <v>-28.847224581703205</v>
      </c>
      <c r="T171">
        <f t="shared" si="824"/>
        <v>-2.8847224581703204E-2</v>
      </c>
    </row>
    <row r="172" spans="1:20" x14ac:dyDescent="0.25">
      <c r="A172" s="5">
        <v>44421</v>
      </c>
      <c r="B172">
        <v>4.5090000000000003</v>
      </c>
      <c r="C172">
        <v>5.2</v>
      </c>
      <c r="D172">
        <v>4.468</v>
      </c>
      <c r="E172">
        <v>5.0910000000000002</v>
      </c>
      <c r="F172">
        <v>2169629</v>
      </c>
      <c r="G172">
        <v>5.0910000000000002</v>
      </c>
      <c r="L172" t="s">
        <v>8</v>
      </c>
      <c r="M172" t="s">
        <v>8</v>
      </c>
      <c r="N172" t="s">
        <v>8</v>
      </c>
      <c r="P172">
        <f t="shared" ref="P172" si="833">IF(C172=D172,0,((E172-D172)-(C172-E172))/(C172-D172))</f>
        <v>0.70218579234972689</v>
      </c>
      <c r="Q172">
        <f t="shared" ref="Q172" si="834">F172*P172</f>
        <v>1523482.6584699457</v>
      </c>
      <c r="R172">
        <f t="shared" ref="R172" si="835">R173+Q172</f>
        <v>-2388995.7896620324</v>
      </c>
      <c r="S172">
        <f t="shared" ref="S172" si="836">R172/100000</f>
        <v>-23.889957896620324</v>
      </c>
      <c r="T172">
        <f t="shared" si="824"/>
        <v>-2.3889957896620323E-2</v>
      </c>
    </row>
    <row r="173" spans="1:20" x14ac:dyDescent="0.25">
      <c r="A173" s="5">
        <v>44420</v>
      </c>
      <c r="B173">
        <v>4.1929999999999996</v>
      </c>
      <c r="C173">
        <v>4.8</v>
      </c>
      <c r="D173">
        <v>4.0369999999999999</v>
      </c>
      <c r="E173">
        <v>4.5049999999999999</v>
      </c>
      <c r="F173">
        <v>2959597.7</v>
      </c>
      <c r="G173">
        <v>4.5049999999999999</v>
      </c>
      <c r="L173" t="s">
        <v>8</v>
      </c>
      <c r="M173" t="s">
        <v>8</v>
      </c>
      <c r="N173" t="s">
        <v>8</v>
      </c>
      <c r="P173">
        <f t="shared" ref="P173" si="837">IF(C173=D173,0,((E173-D173)-(C173-E173))/(C173-D173))</f>
        <v>0.22673656618610755</v>
      </c>
      <c r="Q173">
        <f t="shared" ref="Q173" si="838">F173*P173</f>
        <v>671049.01979030168</v>
      </c>
      <c r="R173">
        <f t="shared" ref="R173" si="839">R174+Q173</f>
        <v>-3912478.448131978</v>
      </c>
      <c r="S173">
        <f t="shared" ref="S173" si="840">R173/100000</f>
        <v>-39.124784481319779</v>
      </c>
      <c r="T173">
        <f t="shared" si="824"/>
        <v>-3.9124784481319778E-2</v>
      </c>
    </row>
    <row r="174" spans="1:20" x14ac:dyDescent="0.25">
      <c r="A174" s="5">
        <v>44419</v>
      </c>
      <c r="B174">
        <v>4.2</v>
      </c>
      <c r="C174">
        <v>4.6840000000000002</v>
      </c>
      <c r="D174">
        <v>4.1230000000000002</v>
      </c>
      <c r="E174">
        <v>4.1989999999999998</v>
      </c>
      <c r="F174">
        <v>2055873.1</v>
      </c>
      <c r="G174">
        <v>4.1989999999999998</v>
      </c>
      <c r="L174" t="s">
        <v>8</v>
      </c>
      <c r="M174" t="s">
        <v>8</v>
      </c>
      <c r="N174" t="s">
        <v>8</v>
      </c>
      <c r="P174">
        <f t="shared" ref="P174" si="841">IF(C174=D174,0,((E174-D174)-(C174-E174))/(C174-D174))</f>
        <v>-0.72905525846702446</v>
      </c>
      <c r="Q174">
        <f t="shared" ref="Q174" si="842">F174*P174</f>
        <v>-1498845.0942959029</v>
      </c>
      <c r="R174">
        <f t="shared" ref="R174" si="843">R175+Q174</f>
        <v>-4583527.4679222796</v>
      </c>
      <c r="S174">
        <f t="shared" ref="S174" si="844">R174/100000</f>
        <v>-45.835274679222799</v>
      </c>
      <c r="T174">
        <f t="shared" si="824"/>
        <v>-4.5835274679222798E-2</v>
      </c>
    </row>
    <row r="175" spans="1:20" x14ac:dyDescent="0.25">
      <c r="A175" s="5">
        <v>44418</v>
      </c>
      <c r="B175">
        <v>3.8620000000000001</v>
      </c>
      <c r="C175">
        <v>5.5</v>
      </c>
      <c r="D175">
        <v>3.8620000000000001</v>
      </c>
      <c r="E175">
        <v>4.2009999999999996</v>
      </c>
      <c r="F175">
        <v>5263239.3</v>
      </c>
      <c r="G175">
        <v>0</v>
      </c>
      <c r="P175">
        <f t="shared" ref="P175" si="845">IF(C175=D175,0,((E175-D175)-(C175-E175))/(C175-D175))</f>
        <v>-0.58608058608058666</v>
      </c>
      <c r="Q175">
        <f t="shared" ref="Q175" si="846">F175*P175</f>
        <v>-3084682.3736263765</v>
      </c>
      <c r="R175">
        <f t="shared" ref="R175" si="847">R176+Q175</f>
        <v>-3084682.3736263765</v>
      </c>
      <c r="S175">
        <f t="shared" ref="S175" si="848">R175/100000</f>
        <v>-30.846823736263765</v>
      </c>
      <c r="T175">
        <f t="shared" si="824"/>
        <v>-3.0846823736263764E-2</v>
      </c>
    </row>
    <row r="176" spans="1:20" x14ac:dyDescent="0.25">
      <c r="A176" s="5"/>
      <c r="P176">
        <f t="shared" ref="P176:P239" si="849">IF(C176=D176,0,((E176-D176)-(C176-E176))/(C176-D176))</f>
        <v>0</v>
      </c>
      <c r="Q176">
        <f t="shared" ref="Q176:Q239" si="850">F176*P176</f>
        <v>0</v>
      </c>
      <c r="R176">
        <f t="shared" ref="R176:R239" si="851">R177+Q176</f>
        <v>0</v>
      </c>
      <c r="S176">
        <f t="shared" ref="S176:S239" si="852">R176/100000</f>
        <v>0</v>
      </c>
      <c r="T176">
        <f t="shared" ref="T176:T239" si="853">S176/1000</f>
        <v>0</v>
      </c>
    </row>
    <row r="177" spans="1:20" x14ac:dyDescent="0.25">
      <c r="A177" s="5"/>
      <c r="P177">
        <f t="shared" si="849"/>
        <v>0</v>
      </c>
      <c r="Q177">
        <f t="shared" si="850"/>
        <v>0</v>
      </c>
      <c r="R177">
        <f t="shared" si="851"/>
        <v>0</v>
      </c>
      <c r="S177">
        <f t="shared" si="852"/>
        <v>0</v>
      </c>
      <c r="T177">
        <f t="shared" si="853"/>
        <v>0</v>
      </c>
    </row>
    <row r="178" spans="1:20" x14ac:dyDescent="0.25">
      <c r="A178" s="5"/>
      <c r="P178">
        <f t="shared" si="849"/>
        <v>0</v>
      </c>
      <c r="Q178">
        <f t="shared" si="850"/>
        <v>0</v>
      </c>
      <c r="R178">
        <f t="shared" si="851"/>
        <v>0</v>
      </c>
      <c r="S178">
        <f t="shared" si="852"/>
        <v>0</v>
      </c>
      <c r="T178">
        <f t="shared" si="853"/>
        <v>0</v>
      </c>
    </row>
    <row r="179" spans="1:20" x14ac:dyDescent="0.25">
      <c r="A179" s="5"/>
      <c r="P179">
        <f t="shared" si="849"/>
        <v>0</v>
      </c>
      <c r="Q179">
        <f t="shared" si="850"/>
        <v>0</v>
      </c>
      <c r="R179">
        <f t="shared" si="851"/>
        <v>0</v>
      </c>
      <c r="S179">
        <f t="shared" si="852"/>
        <v>0</v>
      </c>
      <c r="T179">
        <f t="shared" si="853"/>
        <v>0</v>
      </c>
    </row>
    <row r="180" spans="1:20" x14ac:dyDescent="0.25">
      <c r="A180" s="5"/>
      <c r="P180">
        <f t="shared" si="849"/>
        <v>0</v>
      </c>
      <c r="Q180">
        <f t="shared" si="850"/>
        <v>0</v>
      </c>
      <c r="R180">
        <f t="shared" si="851"/>
        <v>0</v>
      </c>
      <c r="S180">
        <f t="shared" si="852"/>
        <v>0</v>
      </c>
      <c r="T180">
        <f t="shared" si="853"/>
        <v>0</v>
      </c>
    </row>
    <row r="181" spans="1:20" x14ac:dyDescent="0.25">
      <c r="A181" s="5"/>
      <c r="P181">
        <f t="shared" si="849"/>
        <v>0</v>
      </c>
      <c r="Q181">
        <f t="shared" si="850"/>
        <v>0</v>
      </c>
      <c r="R181">
        <f t="shared" si="851"/>
        <v>0</v>
      </c>
      <c r="S181">
        <f t="shared" si="852"/>
        <v>0</v>
      </c>
      <c r="T181">
        <f t="shared" si="853"/>
        <v>0</v>
      </c>
    </row>
    <row r="182" spans="1:20" x14ac:dyDescent="0.25">
      <c r="A182" s="5"/>
      <c r="P182">
        <f t="shared" si="849"/>
        <v>0</v>
      </c>
      <c r="Q182">
        <f t="shared" si="850"/>
        <v>0</v>
      </c>
      <c r="R182">
        <f t="shared" si="851"/>
        <v>0</v>
      </c>
      <c r="S182">
        <f t="shared" si="852"/>
        <v>0</v>
      </c>
      <c r="T182">
        <f t="shared" si="853"/>
        <v>0</v>
      </c>
    </row>
    <row r="183" spans="1:20" x14ac:dyDescent="0.25">
      <c r="A183" s="5"/>
      <c r="P183">
        <f t="shared" si="849"/>
        <v>0</v>
      </c>
      <c r="Q183">
        <f t="shared" si="850"/>
        <v>0</v>
      </c>
      <c r="R183">
        <f t="shared" si="851"/>
        <v>0</v>
      </c>
      <c r="S183">
        <f t="shared" si="852"/>
        <v>0</v>
      </c>
      <c r="T183">
        <f t="shared" si="853"/>
        <v>0</v>
      </c>
    </row>
    <row r="184" spans="1:20" x14ac:dyDescent="0.25">
      <c r="A184" s="5"/>
      <c r="P184">
        <f t="shared" si="849"/>
        <v>0</v>
      </c>
      <c r="Q184">
        <f t="shared" si="850"/>
        <v>0</v>
      </c>
      <c r="R184">
        <f t="shared" si="851"/>
        <v>0</v>
      </c>
      <c r="S184">
        <f t="shared" si="852"/>
        <v>0</v>
      </c>
      <c r="T184">
        <f t="shared" si="853"/>
        <v>0</v>
      </c>
    </row>
    <row r="185" spans="1:20" x14ac:dyDescent="0.25">
      <c r="A185" s="5"/>
      <c r="P185">
        <f t="shared" si="849"/>
        <v>0</v>
      </c>
      <c r="Q185">
        <f t="shared" si="850"/>
        <v>0</v>
      </c>
      <c r="R185">
        <f t="shared" si="851"/>
        <v>0</v>
      </c>
      <c r="S185">
        <f t="shared" si="852"/>
        <v>0</v>
      </c>
      <c r="T185">
        <f t="shared" si="853"/>
        <v>0</v>
      </c>
    </row>
    <row r="186" spans="1:20" x14ac:dyDescent="0.25">
      <c r="A186" s="5"/>
      <c r="P186">
        <f t="shared" si="849"/>
        <v>0</v>
      </c>
      <c r="Q186">
        <f t="shared" si="850"/>
        <v>0</v>
      </c>
      <c r="R186">
        <f t="shared" si="851"/>
        <v>0</v>
      </c>
      <c r="S186">
        <f t="shared" si="852"/>
        <v>0</v>
      </c>
      <c r="T186">
        <f t="shared" si="853"/>
        <v>0</v>
      </c>
    </row>
    <row r="187" spans="1:20" x14ac:dyDescent="0.25">
      <c r="A187" s="5"/>
      <c r="P187">
        <f t="shared" si="849"/>
        <v>0</v>
      </c>
      <c r="Q187">
        <f t="shared" si="850"/>
        <v>0</v>
      </c>
      <c r="R187">
        <f t="shared" si="851"/>
        <v>0</v>
      </c>
      <c r="S187">
        <f t="shared" si="852"/>
        <v>0</v>
      </c>
      <c r="T187">
        <f t="shared" si="853"/>
        <v>0</v>
      </c>
    </row>
    <row r="188" spans="1:20" x14ac:dyDescent="0.25">
      <c r="A188" s="5"/>
      <c r="P188">
        <f t="shared" si="849"/>
        <v>0</v>
      </c>
      <c r="Q188">
        <f t="shared" si="850"/>
        <v>0</v>
      </c>
      <c r="R188">
        <f t="shared" si="851"/>
        <v>0</v>
      </c>
      <c r="S188">
        <f t="shared" si="852"/>
        <v>0</v>
      </c>
      <c r="T188">
        <f t="shared" si="853"/>
        <v>0</v>
      </c>
    </row>
    <row r="189" spans="1:20" x14ac:dyDescent="0.25">
      <c r="A189" s="5"/>
      <c r="P189">
        <f t="shared" si="849"/>
        <v>0</v>
      </c>
      <c r="Q189">
        <f t="shared" si="850"/>
        <v>0</v>
      </c>
      <c r="R189">
        <f t="shared" si="851"/>
        <v>0</v>
      </c>
      <c r="S189">
        <f t="shared" si="852"/>
        <v>0</v>
      </c>
      <c r="T189">
        <f t="shared" si="853"/>
        <v>0</v>
      </c>
    </row>
    <row r="190" spans="1:20" x14ac:dyDescent="0.25">
      <c r="A190" s="5"/>
      <c r="P190">
        <f t="shared" si="849"/>
        <v>0</v>
      </c>
      <c r="Q190">
        <f t="shared" si="850"/>
        <v>0</v>
      </c>
      <c r="R190">
        <f t="shared" si="851"/>
        <v>0</v>
      </c>
      <c r="S190">
        <f t="shared" si="852"/>
        <v>0</v>
      </c>
      <c r="T190">
        <f t="shared" si="853"/>
        <v>0</v>
      </c>
    </row>
    <row r="191" spans="1:20" x14ac:dyDescent="0.25">
      <c r="A191" s="5"/>
      <c r="P191">
        <f t="shared" si="849"/>
        <v>0</v>
      </c>
      <c r="Q191">
        <f t="shared" si="850"/>
        <v>0</v>
      </c>
      <c r="R191">
        <f t="shared" si="851"/>
        <v>0</v>
      </c>
      <c r="S191">
        <f t="shared" si="852"/>
        <v>0</v>
      </c>
      <c r="T191">
        <f t="shared" si="853"/>
        <v>0</v>
      </c>
    </row>
    <row r="192" spans="1:20" x14ac:dyDescent="0.25">
      <c r="A192" s="5"/>
      <c r="P192">
        <f t="shared" si="849"/>
        <v>0</v>
      </c>
      <c r="Q192">
        <f t="shared" si="850"/>
        <v>0</v>
      </c>
      <c r="R192">
        <f t="shared" si="851"/>
        <v>0</v>
      </c>
      <c r="S192">
        <f t="shared" si="852"/>
        <v>0</v>
      </c>
      <c r="T192">
        <f t="shared" si="853"/>
        <v>0</v>
      </c>
    </row>
    <row r="193" spans="1:20" x14ac:dyDescent="0.25">
      <c r="A193" s="5"/>
      <c r="P193">
        <f t="shared" si="849"/>
        <v>0</v>
      </c>
      <c r="Q193">
        <f t="shared" si="850"/>
        <v>0</v>
      </c>
      <c r="R193">
        <f t="shared" si="851"/>
        <v>0</v>
      </c>
      <c r="S193">
        <f t="shared" si="852"/>
        <v>0</v>
      </c>
      <c r="T193">
        <f t="shared" si="853"/>
        <v>0</v>
      </c>
    </row>
    <row r="194" spans="1:20" x14ac:dyDescent="0.25">
      <c r="A194" s="5"/>
      <c r="P194">
        <f t="shared" si="849"/>
        <v>0</v>
      </c>
      <c r="Q194">
        <f t="shared" si="850"/>
        <v>0</v>
      </c>
      <c r="R194">
        <f t="shared" si="851"/>
        <v>0</v>
      </c>
      <c r="S194">
        <f t="shared" si="852"/>
        <v>0</v>
      </c>
      <c r="T194">
        <f t="shared" si="853"/>
        <v>0</v>
      </c>
    </row>
    <row r="195" spans="1:20" x14ac:dyDescent="0.25">
      <c r="A195" s="5"/>
      <c r="P195">
        <f t="shared" si="849"/>
        <v>0</v>
      </c>
      <c r="Q195">
        <f t="shared" si="850"/>
        <v>0</v>
      </c>
      <c r="R195">
        <f t="shared" si="851"/>
        <v>0</v>
      </c>
      <c r="S195">
        <f t="shared" si="852"/>
        <v>0</v>
      </c>
      <c r="T195">
        <f t="shared" si="853"/>
        <v>0</v>
      </c>
    </row>
    <row r="196" spans="1:20" x14ac:dyDescent="0.25">
      <c r="A196" s="5"/>
      <c r="P196">
        <f t="shared" si="849"/>
        <v>0</v>
      </c>
      <c r="Q196">
        <f t="shared" si="850"/>
        <v>0</v>
      </c>
      <c r="R196">
        <f t="shared" si="851"/>
        <v>0</v>
      </c>
      <c r="S196">
        <f t="shared" si="852"/>
        <v>0</v>
      </c>
      <c r="T196">
        <f t="shared" si="853"/>
        <v>0</v>
      </c>
    </row>
    <row r="197" spans="1:20" x14ac:dyDescent="0.25">
      <c r="A197" s="5"/>
      <c r="P197">
        <f t="shared" si="849"/>
        <v>0</v>
      </c>
      <c r="Q197">
        <f t="shared" si="850"/>
        <v>0</v>
      </c>
      <c r="R197">
        <f t="shared" si="851"/>
        <v>0</v>
      </c>
      <c r="S197">
        <f t="shared" si="852"/>
        <v>0</v>
      </c>
      <c r="T197">
        <f t="shared" si="853"/>
        <v>0</v>
      </c>
    </row>
    <row r="198" spans="1:20" x14ac:dyDescent="0.25">
      <c r="A198" s="5"/>
      <c r="P198">
        <f t="shared" si="849"/>
        <v>0</v>
      </c>
      <c r="Q198">
        <f t="shared" si="850"/>
        <v>0</v>
      </c>
      <c r="R198">
        <f t="shared" si="851"/>
        <v>0</v>
      </c>
      <c r="S198">
        <f t="shared" si="852"/>
        <v>0</v>
      </c>
      <c r="T198">
        <f t="shared" si="853"/>
        <v>0</v>
      </c>
    </row>
    <row r="199" spans="1:20" x14ac:dyDescent="0.25">
      <c r="A199" s="5"/>
      <c r="P199">
        <f t="shared" si="849"/>
        <v>0</v>
      </c>
      <c r="Q199">
        <f t="shared" si="850"/>
        <v>0</v>
      </c>
      <c r="R199">
        <f t="shared" si="851"/>
        <v>0</v>
      </c>
      <c r="S199">
        <f t="shared" si="852"/>
        <v>0</v>
      </c>
      <c r="T199">
        <f t="shared" si="853"/>
        <v>0</v>
      </c>
    </row>
    <row r="200" spans="1:20" x14ac:dyDescent="0.25">
      <c r="A200" s="5"/>
      <c r="P200">
        <f t="shared" si="849"/>
        <v>0</v>
      </c>
      <c r="Q200">
        <f t="shared" si="850"/>
        <v>0</v>
      </c>
      <c r="R200">
        <f t="shared" si="851"/>
        <v>0</v>
      </c>
      <c r="S200">
        <f t="shared" si="852"/>
        <v>0</v>
      </c>
      <c r="T200">
        <f t="shared" si="853"/>
        <v>0</v>
      </c>
    </row>
    <row r="201" spans="1:20" x14ac:dyDescent="0.25">
      <c r="A201" s="5"/>
      <c r="P201">
        <f t="shared" si="849"/>
        <v>0</v>
      </c>
      <c r="Q201">
        <f t="shared" si="850"/>
        <v>0</v>
      </c>
      <c r="R201">
        <f t="shared" si="851"/>
        <v>0</v>
      </c>
      <c r="S201">
        <f t="shared" si="852"/>
        <v>0</v>
      </c>
      <c r="T201">
        <f t="shared" si="853"/>
        <v>0</v>
      </c>
    </row>
    <row r="202" spans="1:20" x14ac:dyDescent="0.25">
      <c r="A202" s="5"/>
      <c r="P202">
        <f t="shared" si="849"/>
        <v>0</v>
      </c>
      <c r="Q202">
        <f t="shared" si="850"/>
        <v>0</v>
      </c>
      <c r="R202">
        <f t="shared" si="851"/>
        <v>0</v>
      </c>
      <c r="S202">
        <f t="shared" si="852"/>
        <v>0</v>
      </c>
      <c r="T202">
        <f t="shared" si="853"/>
        <v>0</v>
      </c>
    </row>
    <row r="203" spans="1:20" x14ac:dyDescent="0.25">
      <c r="A203" s="5"/>
      <c r="P203">
        <f t="shared" si="849"/>
        <v>0</v>
      </c>
      <c r="Q203">
        <f t="shared" si="850"/>
        <v>0</v>
      </c>
      <c r="R203">
        <f t="shared" si="851"/>
        <v>0</v>
      </c>
      <c r="S203">
        <f t="shared" si="852"/>
        <v>0</v>
      </c>
      <c r="T203">
        <f t="shared" si="853"/>
        <v>0</v>
      </c>
    </row>
    <row r="204" spans="1:20" x14ac:dyDescent="0.25">
      <c r="A204" s="5"/>
      <c r="P204">
        <f t="shared" si="849"/>
        <v>0</v>
      </c>
      <c r="Q204">
        <f t="shared" si="850"/>
        <v>0</v>
      </c>
      <c r="R204">
        <f t="shared" si="851"/>
        <v>0</v>
      </c>
      <c r="S204">
        <f t="shared" si="852"/>
        <v>0</v>
      </c>
      <c r="T204">
        <f t="shared" si="853"/>
        <v>0</v>
      </c>
    </row>
    <row r="205" spans="1:20" x14ac:dyDescent="0.25">
      <c r="A205" s="5"/>
      <c r="B205" s="1"/>
      <c r="C205" s="2"/>
      <c r="D205" s="2"/>
      <c r="E205" s="1"/>
      <c r="F205" s="1"/>
      <c r="P205">
        <f t="shared" si="849"/>
        <v>0</v>
      </c>
      <c r="Q205">
        <f t="shared" si="850"/>
        <v>0</v>
      </c>
      <c r="R205">
        <f t="shared" si="851"/>
        <v>0</v>
      </c>
      <c r="S205">
        <f t="shared" si="852"/>
        <v>0</v>
      </c>
      <c r="T205">
        <f t="shared" si="853"/>
        <v>0</v>
      </c>
    </row>
    <row r="206" spans="1:20" x14ac:dyDescent="0.25">
      <c r="A206" s="5"/>
      <c r="B206" s="1"/>
      <c r="C206" s="2"/>
      <c r="D206" s="2"/>
      <c r="E206" s="1"/>
      <c r="F206" s="1"/>
      <c r="P206">
        <f t="shared" si="849"/>
        <v>0</v>
      </c>
      <c r="Q206">
        <f t="shared" si="850"/>
        <v>0</v>
      </c>
      <c r="R206">
        <f t="shared" si="851"/>
        <v>0</v>
      </c>
      <c r="S206">
        <f t="shared" si="852"/>
        <v>0</v>
      </c>
      <c r="T206">
        <f t="shared" si="853"/>
        <v>0</v>
      </c>
    </row>
    <row r="207" spans="1:20" x14ac:dyDescent="0.25">
      <c r="A207" s="5"/>
      <c r="B207" s="1"/>
      <c r="C207" s="2"/>
      <c r="D207" s="2"/>
      <c r="E207" s="1"/>
      <c r="F207" s="1"/>
      <c r="P207">
        <f t="shared" si="849"/>
        <v>0</v>
      </c>
      <c r="Q207">
        <f t="shared" si="850"/>
        <v>0</v>
      </c>
      <c r="R207">
        <f t="shared" si="851"/>
        <v>0</v>
      </c>
      <c r="S207">
        <f t="shared" si="852"/>
        <v>0</v>
      </c>
      <c r="T207">
        <f t="shared" si="853"/>
        <v>0</v>
      </c>
    </row>
    <row r="208" spans="1:20" x14ac:dyDescent="0.25">
      <c r="A208" s="5"/>
      <c r="B208" s="1"/>
      <c r="C208" s="2"/>
      <c r="D208" s="2"/>
      <c r="E208" s="1"/>
      <c r="F208" s="1"/>
      <c r="P208">
        <f t="shared" si="849"/>
        <v>0</v>
      </c>
      <c r="Q208">
        <f t="shared" si="850"/>
        <v>0</v>
      </c>
      <c r="R208">
        <f t="shared" si="851"/>
        <v>0</v>
      </c>
      <c r="S208">
        <f t="shared" si="852"/>
        <v>0</v>
      </c>
      <c r="T208">
        <f t="shared" si="853"/>
        <v>0</v>
      </c>
    </row>
    <row r="209" spans="1:20" x14ac:dyDescent="0.25">
      <c r="A209" s="5"/>
      <c r="B209" s="1"/>
      <c r="C209" s="2"/>
      <c r="D209" s="2"/>
      <c r="E209" s="1"/>
      <c r="F209" s="1"/>
      <c r="P209">
        <f t="shared" si="849"/>
        <v>0</v>
      </c>
      <c r="Q209">
        <f t="shared" si="850"/>
        <v>0</v>
      </c>
      <c r="R209">
        <f t="shared" si="851"/>
        <v>0</v>
      </c>
      <c r="S209">
        <f t="shared" si="852"/>
        <v>0</v>
      </c>
      <c r="T209">
        <f t="shared" si="853"/>
        <v>0</v>
      </c>
    </row>
    <row r="210" spans="1:20" x14ac:dyDescent="0.25">
      <c r="A210" s="5"/>
      <c r="B210" s="1"/>
      <c r="C210" s="2"/>
      <c r="D210" s="2"/>
      <c r="E210" s="1"/>
      <c r="F210" s="1"/>
      <c r="P210">
        <f t="shared" si="849"/>
        <v>0</v>
      </c>
      <c r="Q210">
        <f t="shared" si="850"/>
        <v>0</v>
      </c>
      <c r="R210">
        <f t="shared" si="851"/>
        <v>0</v>
      </c>
      <c r="S210">
        <f t="shared" si="852"/>
        <v>0</v>
      </c>
      <c r="T210">
        <f t="shared" si="853"/>
        <v>0</v>
      </c>
    </row>
    <row r="211" spans="1:20" x14ac:dyDescent="0.25">
      <c r="A211" s="5"/>
      <c r="B211" s="1"/>
      <c r="C211" s="2"/>
      <c r="D211" s="2"/>
      <c r="E211" s="1"/>
      <c r="F211" s="1"/>
      <c r="P211">
        <f t="shared" si="849"/>
        <v>0</v>
      </c>
      <c r="Q211">
        <f t="shared" si="850"/>
        <v>0</v>
      </c>
      <c r="R211">
        <f t="shared" si="851"/>
        <v>0</v>
      </c>
      <c r="S211">
        <f t="shared" si="852"/>
        <v>0</v>
      </c>
      <c r="T211">
        <f t="shared" si="853"/>
        <v>0</v>
      </c>
    </row>
    <row r="212" spans="1:20" x14ac:dyDescent="0.25">
      <c r="A212" s="5"/>
      <c r="B212" s="1"/>
      <c r="C212" s="2"/>
      <c r="D212" s="2"/>
      <c r="E212" s="1"/>
      <c r="F212" s="1"/>
      <c r="P212">
        <f t="shared" si="849"/>
        <v>0</v>
      </c>
      <c r="Q212">
        <f t="shared" si="850"/>
        <v>0</v>
      </c>
      <c r="R212">
        <f t="shared" si="851"/>
        <v>0</v>
      </c>
      <c r="S212">
        <f t="shared" si="852"/>
        <v>0</v>
      </c>
      <c r="T212">
        <f t="shared" si="853"/>
        <v>0</v>
      </c>
    </row>
    <row r="213" spans="1:20" x14ac:dyDescent="0.25">
      <c r="A213" s="5"/>
      <c r="B213" s="1"/>
      <c r="C213" s="2"/>
      <c r="D213" s="2"/>
      <c r="E213" s="1"/>
      <c r="F213" s="1"/>
      <c r="P213">
        <f t="shared" si="849"/>
        <v>0</v>
      </c>
      <c r="Q213">
        <f t="shared" si="850"/>
        <v>0</v>
      </c>
      <c r="R213">
        <f t="shared" si="851"/>
        <v>0</v>
      </c>
      <c r="S213">
        <f t="shared" si="852"/>
        <v>0</v>
      </c>
      <c r="T213">
        <f t="shared" si="853"/>
        <v>0</v>
      </c>
    </row>
    <row r="214" spans="1:20" x14ac:dyDescent="0.25">
      <c r="A214" s="5"/>
      <c r="B214" s="1"/>
      <c r="C214" s="2"/>
      <c r="D214" s="2"/>
      <c r="E214" s="1"/>
      <c r="F214" s="1"/>
      <c r="P214">
        <f t="shared" si="849"/>
        <v>0</v>
      </c>
      <c r="Q214">
        <f t="shared" si="850"/>
        <v>0</v>
      </c>
      <c r="R214">
        <f t="shared" si="851"/>
        <v>0</v>
      </c>
      <c r="S214">
        <f t="shared" si="852"/>
        <v>0</v>
      </c>
      <c r="T214">
        <f t="shared" si="853"/>
        <v>0</v>
      </c>
    </row>
    <row r="215" spans="1:20" x14ac:dyDescent="0.25">
      <c r="A215" s="5"/>
      <c r="B215" s="1"/>
      <c r="C215" s="2"/>
      <c r="D215" s="2"/>
      <c r="E215" s="1"/>
      <c r="F215" s="1"/>
      <c r="P215">
        <f t="shared" si="849"/>
        <v>0</v>
      </c>
      <c r="Q215">
        <f t="shared" si="850"/>
        <v>0</v>
      </c>
      <c r="R215">
        <f t="shared" si="851"/>
        <v>0</v>
      </c>
      <c r="S215">
        <f t="shared" si="852"/>
        <v>0</v>
      </c>
      <c r="T215">
        <f t="shared" si="853"/>
        <v>0</v>
      </c>
    </row>
    <row r="216" spans="1:20" x14ac:dyDescent="0.25">
      <c r="A216" s="5"/>
      <c r="B216" s="1"/>
      <c r="C216" s="2"/>
      <c r="D216" s="2"/>
      <c r="E216" s="1"/>
      <c r="F216" s="1"/>
      <c r="P216">
        <f t="shared" si="849"/>
        <v>0</v>
      </c>
      <c r="Q216">
        <f t="shared" si="850"/>
        <v>0</v>
      </c>
      <c r="R216">
        <f t="shared" si="851"/>
        <v>0</v>
      </c>
      <c r="S216">
        <f t="shared" si="852"/>
        <v>0</v>
      </c>
      <c r="T216">
        <f t="shared" si="853"/>
        <v>0</v>
      </c>
    </row>
    <row r="217" spans="1:20" x14ac:dyDescent="0.25">
      <c r="A217" s="5"/>
      <c r="B217" s="1"/>
      <c r="C217" s="2"/>
      <c r="D217" s="2"/>
      <c r="E217" s="1"/>
      <c r="F217" s="1"/>
      <c r="P217">
        <f t="shared" si="849"/>
        <v>0</v>
      </c>
      <c r="Q217">
        <f t="shared" si="850"/>
        <v>0</v>
      </c>
      <c r="R217">
        <f t="shared" si="851"/>
        <v>0</v>
      </c>
      <c r="S217">
        <f t="shared" si="852"/>
        <v>0</v>
      </c>
      <c r="T217">
        <f t="shared" si="853"/>
        <v>0</v>
      </c>
    </row>
    <row r="218" spans="1:20" x14ac:dyDescent="0.25">
      <c r="A218" s="5"/>
      <c r="B218" s="1"/>
      <c r="C218" s="2"/>
      <c r="D218" s="2"/>
      <c r="E218" s="1"/>
      <c r="F218" s="1"/>
      <c r="P218">
        <f t="shared" si="849"/>
        <v>0</v>
      </c>
      <c r="Q218">
        <f t="shared" si="850"/>
        <v>0</v>
      </c>
      <c r="R218">
        <f t="shared" si="851"/>
        <v>0</v>
      </c>
      <c r="S218">
        <f t="shared" si="852"/>
        <v>0</v>
      </c>
      <c r="T218">
        <f t="shared" si="853"/>
        <v>0</v>
      </c>
    </row>
    <row r="219" spans="1:20" x14ac:dyDescent="0.25">
      <c r="A219" s="5"/>
      <c r="B219" s="1"/>
      <c r="C219" s="2"/>
      <c r="D219" s="2"/>
      <c r="E219" s="1"/>
      <c r="F219" s="1"/>
      <c r="P219">
        <f t="shared" si="849"/>
        <v>0</v>
      </c>
      <c r="Q219">
        <f t="shared" si="850"/>
        <v>0</v>
      </c>
      <c r="R219">
        <f t="shared" si="851"/>
        <v>0</v>
      </c>
      <c r="S219">
        <f t="shared" si="852"/>
        <v>0</v>
      </c>
      <c r="T219">
        <f t="shared" si="853"/>
        <v>0</v>
      </c>
    </row>
    <row r="220" spans="1:20" x14ac:dyDescent="0.25">
      <c r="A220" s="5"/>
      <c r="B220" s="1"/>
      <c r="C220" s="2"/>
      <c r="D220" s="2"/>
      <c r="E220" s="1"/>
      <c r="F220" s="1"/>
      <c r="P220">
        <f t="shared" si="849"/>
        <v>0</v>
      </c>
      <c r="Q220">
        <f t="shared" si="850"/>
        <v>0</v>
      </c>
      <c r="R220">
        <f t="shared" si="851"/>
        <v>0</v>
      </c>
      <c r="S220">
        <f t="shared" si="852"/>
        <v>0</v>
      </c>
      <c r="T220">
        <f t="shared" si="853"/>
        <v>0</v>
      </c>
    </row>
    <row r="221" spans="1:20" x14ac:dyDescent="0.25">
      <c r="A221" s="5"/>
      <c r="B221" s="1"/>
      <c r="C221" s="2"/>
      <c r="D221" s="2"/>
      <c r="E221" s="1"/>
      <c r="F221" s="1"/>
      <c r="P221">
        <f t="shared" si="849"/>
        <v>0</v>
      </c>
      <c r="Q221">
        <f t="shared" si="850"/>
        <v>0</v>
      </c>
      <c r="R221">
        <f t="shared" si="851"/>
        <v>0</v>
      </c>
      <c r="S221">
        <f t="shared" si="852"/>
        <v>0</v>
      </c>
      <c r="T221">
        <f t="shared" si="853"/>
        <v>0</v>
      </c>
    </row>
    <row r="222" spans="1:20" x14ac:dyDescent="0.25">
      <c r="A222" s="5"/>
      <c r="B222" s="1"/>
      <c r="C222" s="2"/>
      <c r="D222" s="2"/>
      <c r="E222" s="1"/>
      <c r="F222" s="1"/>
      <c r="P222">
        <f t="shared" si="849"/>
        <v>0</v>
      </c>
      <c r="Q222">
        <f t="shared" si="850"/>
        <v>0</v>
      </c>
      <c r="R222">
        <f t="shared" si="851"/>
        <v>0</v>
      </c>
      <c r="S222">
        <f t="shared" si="852"/>
        <v>0</v>
      </c>
      <c r="T222">
        <f t="shared" si="853"/>
        <v>0</v>
      </c>
    </row>
    <row r="223" spans="1:20" x14ac:dyDescent="0.25">
      <c r="A223" s="5"/>
      <c r="B223" s="1"/>
      <c r="C223" s="2"/>
      <c r="D223" s="2"/>
      <c r="E223" s="1"/>
      <c r="F223" s="1"/>
      <c r="P223">
        <f t="shared" si="849"/>
        <v>0</v>
      </c>
      <c r="Q223">
        <f t="shared" si="850"/>
        <v>0</v>
      </c>
      <c r="R223">
        <f t="shared" si="851"/>
        <v>0</v>
      </c>
      <c r="S223">
        <f t="shared" si="852"/>
        <v>0</v>
      </c>
      <c r="T223">
        <f t="shared" si="853"/>
        <v>0</v>
      </c>
    </row>
    <row r="224" spans="1:20" x14ac:dyDescent="0.25">
      <c r="A224" s="5"/>
      <c r="B224" s="1"/>
      <c r="C224" s="2"/>
      <c r="D224" s="2"/>
      <c r="E224" s="1"/>
      <c r="F224" s="1"/>
      <c r="P224">
        <f t="shared" si="849"/>
        <v>0</v>
      </c>
      <c r="Q224">
        <f t="shared" si="850"/>
        <v>0</v>
      </c>
      <c r="R224">
        <f t="shared" si="851"/>
        <v>0</v>
      </c>
      <c r="S224">
        <f t="shared" si="852"/>
        <v>0</v>
      </c>
      <c r="T224">
        <f t="shared" si="853"/>
        <v>0</v>
      </c>
    </row>
    <row r="225" spans="1:20" x14ac:dyDescent="0.25">
      <c r="A225" s="5"/>
      <c r="B225" s="1"/>
      <c r="C225" s="2"/>
      <c r="D225" s="2"/>
      <c r="E225" s="1"/>
      <c r="F225" s="1"/>
      <c r="P225">
        <f t="shared" si="849"/>
        <v>0</v>
      </c>
      <c r="Q225">
        <f t="shared" si="850"/>
        <v>0</v>
      </c>
      <c r="R225">
        <f t="shared" si="851"/>
        <v>0</v>
      </c>
      <c r="S225">
        <f t="shared" si="852"/>
        <v>0</v>
      </c>
      <c r="T225">
        <f t="shared" si="853"/>
        <v>0</v>
      </c>
    </row>
    <row r="226" spans="1:20" x14ac:dyDescent="0.25">
      <c r="A226" s="5"/>
      <c r="B226" s="1"/>
      <c r="C226" s="2"/>
      <c r="D226" s="2"/>
      <c r="E226" s="1"/>
      <c r="F226" s="1"/>
      <c r="P226">
        <f t="shared" si="849"/>
        <v>0</v>
      </c>
      <c r="Q226">
        <f t="shared" si="850"/>
        <v>0</v>
      </c>
      <c r="R226">
        <f t="shared" si="851"/>
        <v>0</v>
      </c>
      <c r="S226">
        <f t="shared" si="852"/>
        <v>0</v>
      </c>
      <c r="T226">
        <f t="shared" si="853"/>
        <v>0</v>
      </c>
    </row>
    <row r="227" spans="1:20" x14ac:dyDescent="0.25">
      <c r="A227" s="5"/>
      <c r="B227" s="1"/>
      <c r="C227" s="2"/>
      <c r="D227" s="2"/>
      <c r="E227" s="1"/>
      <c r="F227" s="1"/>
      <c r="P227">
        <f t="shared" si="849"/>
        <v>0</v>
      </c>
      <c r="Q227">
        <f t="shared" si="850"/>
        <v>0</v>
      </c>
      <c r="R227">
        <f t="shared" si="851"/>
        <v>0</v>
      </c>
      <c r="S227">
        <f t="shared" si="852"/>
        <v>0</v>
      </c>
      <c r="T227">
        <f t="shared" si="853"/>
        <v>0</v>
      </c>
    </row>
    <row r="228" spans="1:20" x14ac:dyDescent="0.25">
      <c r="A228" s="5"/>
      <c r="B228" s="1"/>
      <c r="C228" s="2"/>
      <c r="D228" s="2"/>
      <c r="E228" s="1"/>
      <c r="F228" s="1"/>
      <c r="P228">
        <f t="shared" si="849"/>
        <v>0</v>
      </c>
      <c r="Q228">
        <f t="shared" si="850"/>
        <v>0</v>
      </c>
      <c r="R228">
        <f t="shared" si="851"/>
        <v>0</v>
      </c>
      <c r="S228">
        <f t="shared" si="852"/>
        <v>0</v>
      </c>
      <c r="T228">
        <f t="shared" si="853"/>
        <v>0</v>
      </c>
    </row>
    <row r="229" spans="1:20" x14ac:dyDescent="0.25">
      <c r="A229" s="5"/>
      <c r="B229" s="1"/>
      <c r="C229" s="2"/>
      <c r="D229" s="2"/>
      <c r="E229" s="1"/>
      <c r="F229" s="1"/>
      <c r="P229">
        <f t="shared" si="849"/>
        <v>0</v>
      </c>
      <c r="Q229">
        <f t="shared" si="850"/>
        <v>0</v>
      </c>
      <c r="R229">
        <f t="shared" si="851"/>
        <v>0</v>
      </c>
      <c r="S229">
        <f t="shared" si="852"/>
        <v>0</v>
      </c>
      <c r="T229">
        <f t="shared" si="853"/>
        <v>0</v>
      </c>
    </row>
    <row r="230" spans="1:20" x14ac:dyDescent="0.25">
      <c r="A230" s="5"/>
      <c r="B230" s="1"/>
      <c r="C230" s="2"/>
      <c r="D230" s="2"/>
      <c r="E230" s="1"/>
      <c r="F230" s="1"/>
      <c r="P230">
        <f t="shared" si="849"/>
        <v>0</v>
      </c>
      <c r="Q230">
        <f t="shared" si="850"/>
        <v>0</v>
      </c>
      <c r="R230">
        <f t="shared" si="851"/>
        <v>0</v>
      </c>
      <c r="S230">
        <f t="shared" si="852"/>
        <v>0</v>
      </c>
      <c r="T230">
        <f t="shared" si="853"/>
        <v>0</v>
      </c>
    </row>
    <row r="231" spans="1:20" x14ac:dyDescent="0.25">
      <c r="A231" s="5"/>
      <c r="B231" s="1"/>
      <c r="C231" s="2"/>
      <c r="D231" s="2"/>
      <c r="E231" s="1"/>
      <c r="F231" s="1"/>
      <c r="P231">
        <f t="shared" si="849"/>
        <v>0</v>
      </c>
      <c r="Q231">
        <f t="shared" si="850"/>
        <v>0</v>
      </c>
      <c r="R231">
        <f t="shared" si="851"/>
        <v>0</v>
      </c>
      <c r="S231">
        <f t="shared" si="852"/>
        <v>0</v>
      </c>
      <c r="T231">
        <f t="shared" si="853"/>
        <v>0</v>
      </c>
    </row>
    <row r="232" spans="1:20" x14ac:dyDescent="0.25">
      <c r="A232" s="5"/>
      <c r="B232" s="1"/>
      <c r="C232" s="2"/>
      <c r="D232" s="2"/>
      <c r="E232" s="1"/>
      <c r="F232" s="1"/>
      <c r="P232">
        <f t="shared" si="849"/>
        <v>0</v>
      </c>
      <c r="Q232">
        <f t="shared" si="850"/>
        <v>0</v>
      </c>
      <c r="R232">
        <f t="shared" si="851"/>
        <v>0</v>
      </c>
      <c r="S232">
        <f t="shared" si="852"/>
        <v>0</v>
      </c>
      <c r="T232">
        <f t="shared" si="853"/>
        <v>0</v>
      </c>
    </row>
    <row r="233" spans="1:20" x14ac:dyDescent="0.25">
      <c r="A233" s="5"/>
      <c r="B233" s="1"/>
      <c r="C233" s="2"/>
      <c r="D233" s="2"/>
      <c r="E233" s="1"/>
      <c r="F233" s="1"/>
      <c r="P233">
        <f t="shared" si="849"/>
        <v>0</v>
      </c>
      <c r="Q233">
        <f t="shared" si="850"/>
        <v>0</v>
      </c>
      <c r="R233">
        <f t="shared" si="851"/>
        <v>0</v>
      </c>
      <c r="S233">
        <f t="shared" si="852"/>
        <v>0</v>
      </c>
      <c r="T233">
        <f t="shared" si="853"/>
        <v>0</v>
      </c>
    </row>
    <row r="234" spans="1:20" x14ac:dyDescent="0.25">
      <c r="A234" s="5"/>
      <c r="B234" s="1"/>
      <c r="C234" s="2"/>
      <c r="D234" s="2"/>
      <c r="E234" s="1"/>
      <c r="F234" s="1"/>
      <c r="P234">
        <f t="shared" si="849"/>
        <v>0</v>
      </c>
      <c r="Q234">
        <f t="shared" si="850"/>
        <v>0</v>
      </c>
      <c r="R234">
        <f t="shared" si="851"/>
        <v>0</v>
      </c>
      <c r="S234">
        <f t="shared" si="852"/>
        <v>0</v>
      </c>
      <c r="T234">
        <f t="shared" si="853"/>
        <v>0</v>
      </c>
    </row>
    <row r="235" spans="1:20" x14ac:dyDescent="0.25">
      <c r="A235" s="5"/>
      <c r="B235" s="1"/>
      <c r="C235" s="2"/>
      <c r="D235" s="2"/>
      <c r="E235" s="1"/>
      <c r="F235" s="1"/>
      <c r="P235">
        <f t="shared" si="849"/>
        <v>0</v>
      </c>
      <c r="Q235">
        <f t="shared" si="850"/>
        <v>0</v>
      </c>
      <c r="R235">
        <f t="shared" si="851"/>
        <v>0</v>
      </c>
      <c r="S235">
        <f t="shared" si="852"/>
        <v>0</v>
      </c>
      <c r="T235">
        <f t="shared" si="853"/>
        <v>0</v>
      </c>
    </row>
    <row r="236" spans="1:20" x14ac:dyDescent="0.25">
      <c r="A236" s="5"/>
      <c r="B236" s="1"/>
      <c r="C236" s="2"/>
      <c r="D236" s="2"/>
      <c r="E236" s="1"/>
      <c r="F236" s="1"/>
      <c r="P236">
        <f t="shared" si="849"/>
        <v>0</v>
      </c>
      <c r="Q236">
        <f t="shared" si="850"/>
        <v>0</v>
      </c>
      <c r="R236">
        <f t="shared" si="851"/>
        <v>0</v>
      </c>
      <c r="S236">
        <f t="shared" si="852"/>
        <v>0</v>
      </c>
      <c r="T236">
        <f t="shared" si="853"/>
        <v>0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849"/>
        <v>0</v>
      </c>
      <c r="Q237">
        <f t="shared" si="850"/>
        <v>0</v>
      </c>
      <c r="R237">
        <f t="shared" si="851"/>
        <v>0</v>
      </c>
      <c r="S237">
        <f t="shared" si="852"/>
        <v>0</v>
      </c>
      <c r="T237">
        <f t="shared" si="85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849"/>
        <v>0</v>
      </c>
      <c r="Q238">
        <f t="shared" si="850"/>
        <v>0</v>
      </c>
      <c r="R238">
        <f t="shared" si="851"/>
        <v>0</v>
      </c>
      <c r="S238">
        <f t="shared" si="852"/>
        <v>0</v>
      </c>
      <c r="T238">
        <f t="shared" si="85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849"/>
        <v>0</v>
      </c>
      <c r="Q239">
        <f t="shared" si="850"/>
        <v>0</v>
      </c>
      <c r="R239">
        <f t="shared" si="851"/>
        <v>0</v>
      </c>
      <c r="S239">
        <f t="shared" si="852"/>
        <v>0</v>
      </c>
      <c r="T239">
        <f t="shared" si="85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ref="P240:P303" si="854">IF(C240=D240,0,((E240-D240)-(C240-E240))/(C240-D240))</f>
        <v>0</v>
      </c>
      <c r="Q240">
        <f t="shared" ref="Q240:Q303" si="855">F240*P240</f>
        <v>0</v>
      </c>
      <c r="R240">
        <f t="shared" ref="R240:R303" si="856">R241+Q240</f>
        <v>0</v>
      </c>
      <c r="S240">
        <f t="shared" ref="S240:S303" si="857">R240/100000</f>
        <v>0</v>
      </c>
      <c r="T240">
        <f t="shared" ref="T240:T303" si="858">S240/1000</f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854"/>
        <v>0</v>
      </c>
      <c r="Q241">
        <f t="shared" si="855"/>
        <v>0</v>
      </c>
      <c r="R241">
        <f t="shared" si="856"/>
        <v>0</v>
      </c>
      <c r="S241">
        <f t="shared" si="857"/>
        <v>0</v>
      </c>
      <c r="T241">
        <f t="shared" si="858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854"/>
        <v>0</v>
      </c>
      <c r="Q242">
        <f t="shared" si="855"/>
        <v>0</v>
      </c>
      <c r="R242">
        <f t="shared" si="856"/>
        <v>0</v>
      </c>
      <c r="S242">
        <f t="shared" si="857"/>
        <v>0</v>
      </c>
      <c r="T242">
        <f t="shared" si="858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854"/>
        <v>0</v>
      </c>
      <c r="Q243">
        <f t="shared" si="855"/>
        <v>0</v>
      </c>
      <c r="R243">
        <f t="shared" si="856"/>
        <v>0</v>
      </c>
      <c r="S243">
        <f t="shared" si="857"/>
        <v>0</v>
      </c>
      <c r="T243">
        <f t="shared" si="858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854"/>
        <v>0</v>
      </c>
      <c r="Q244">
        <f t="shared" si="855"/>
        <v>0</v>
      </c>
      <c r="R244">
        <f t="shared" si="856"/>
        <v>0</v>
      </c>
      <c r="S244">
        <f t="shared" si="857"/>
        <v>0</v>
      </c>
      <c r="T244">
        <f t="shared" si="858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854"/>
        <v>0</v>
      </c>
      <c r="Q245">
        <f t="shared" si="855"/>
        <v>0</v>
      </c>
      <c r="R245">
        <f t="shared" si="856"/>
        <v>0</v>
      </c>
      <c r="S245">
        <f t="shared" si="857"/>
        <v>0</v>
      </c>
      <c r="T245">
        <f t="shared" si="858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854"/>
        <v>0</v>
      </c>
      <c r="Q246">
        <f t="shared" si="855"/>
        <v>0</v>
      </c>
      <c r="R246">
        <f t="shared" si="856"/>
        <v>0</v>
      </c>
      <c r="S246">
        <f t="shared" si="857"/>
        <v>0</v>
      </c>
      <c r="T246">
        <f t="shared" si="858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854"/>
        <v>0</v>
      </c>
      <c r="Q247">
        <f t="shared" si="855"/>
        <v>0</v>
      </c>
      <c r="R247">
        <f t="shared" si="856"/>
        <v>0</v>
      </c>
      <c r="S247">
        <f t="shared" si="857"/>
        <v>0</v>
      </c>
      <c r="T247">
        <f t="shared" si="858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854"/>
        <v>0</v>
      </c>
      <c r="Q248">
        <f t="shared" si="855"/>
        <v>0</v>
      </c>
      <c r="R248">
        <f t="shared" si="856"/>
        <v>0</v>
      </c>
      <c r="S248">
        <f t="shared" si="857"/>
        <v>0</v>
      </c>
      <c r="T248">
        <f t="shared" si="858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854"/>
        <v>0</v>
      </c>
      <c r="Q249">
        <f t="shared" si="855"/>
        <v>0</v>
      </c>
      <c r="R249">
        <f t="shared" si="856"/>
        <v>0</v>
      </c>
      <c r="S249">
        <f t="shared" si="857"/>
        <v>0</v>
      </c>
      <c r="T249">
        <f t="shared" si="858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854"/>
        <v>0</v>
      </c>
      <c r="Q250">
        <f t="shared" si="855"/>
        <v>0</v>
      </c>
      <c r="R250">
        <f t="shared" si="856"/>
        <v>0</v>
      </c>
      <c r="S250">
        <f t="shared" si="857"/>
        <v>0</v>
      </c>
      <c r="T250">
        <f t="shared" si="858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854"/>
        <v>0</v>
      </c>
      <c r="Q251">
        <f t="shared" si="855"/>
        <v>0</v>
      </c>
      <c r="R251">
        <f t="shared" si="856"/>
        <v>0</v>
      </c>
      <c r="S251">
        <f t="shared" si="857"/>
        <v>0</v>
      </c>
      <c r="T251">
        <f t="shared" si="858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854"/>
        <v>0</v>
      </c>
      <c r="Q252">
        <f t="shared" si="855"/>
        <v>0</v>
      </c>
      <c r="R252">
        <f t="shared" si="856"/>
        <v>0</v>
      </c>
      <c r="S252">
        <f t="shared" si="857"/>
        <v>0</v>
      </c>
      <c r="T252">
        <f t="shared" si="858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854"/>
        <v>0</v>
      </c>
      <c r="Q253">
        <f t="shared" si="855"/>
        <v>0</v>
      </c>
      <c r="R253">
        <f t="shared" si="856"/>
        <v>0</v>
      </c>
      <c r="S253">
        <f t="shared" si="857"/>
        <v>0</v>
      </c>
      <c r="T253">
        <f t="shared" si="858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854"/>
        <v>0</v>
      </c>
      <c r="Q254">
        <f t="shared" si="855"/>
        <v>0</v>
      </c>
      <c r="R254">
        <f t="shared" si="856"/>
        <v>0</v>
      </c>
      <c r="S254">
        <f t="shared" si="857"/>
        <v>0</v>
      </c>
      <c r="T254">
        <f t="shared" si="858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854"/>
        <v>0</v>
      </c>
      <c r="Q255">
        <f t="shared" si="855"/>
        <v>0</v>
      </c>
      <c r="R255">
        <f t="shared" si="856"/>
        <v>0</v>
      </c>
      <c r="S255">
        <f t="shared" si="857"/>
        <v>0</v>
      </c>
      <c r="T255">
        <f t="shared" si="858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854"/>
        <v>0</v>
      </c>
      <c r="Q256">
        <f t="shared" si="855"/>
        <v>0</v>
      </c>
      <c r="R256">
        <f t="shared" si="856"/>
        <v>0</v>
      </c>
      <c r="S256">
        <f t="shared" si="857"/>
        <v>0</v>
      </c>
      <c r="T256">
        <f t="shared" si="858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854"/>
        <v>0</v>
      </c>
      <c r="Q257">
        <f t="shared" si="855"/>
        <v>0</v>
      </c>
      <c r="R257">
        <f t="shared" si="856"/>
        <v>0</v>
      </c>
      <c r="S257">
        <f t="shared" si="857"/>
        <v>0</v>
      </c>
      <c r="T257">
        <f t="shared" si="858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854"/>
        <v>0</v>
      </c>
      <c r="Q258">
        <f t="shared" si="855"/>
        <v>0</v>
      </c>
      <c r="R258">
        <f t="shared" si="856"/>
        <v>0</v>
      </c>
      <c r="S258">
        <f t="shared" si="857"/>
        <v>0</v>
      </c>
      <c r="T258">
        <f t="shared" si="858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854"/>
        <v>0</v>
      </c>
      <c r="Q259">
        <f t="shared" si="855"/>
        <v>0</v>
      </c>
      <c r="R259">
        <f t="shared" si="856"/>
        <v>0</v>
      </c>
      <c r="S259">
        <f t="shared" si="857"/>
        <v>0</v>
      </c>
      <c r="T259">
        <f t="shared" si="858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854"/>
        <v>0</v>
      </c>
      <c r="Q260">
        <f t="shared" si="855"/>
        <v>0</v>
      </c>
      <c r="R260">
        <f t="shared" si="856"/>
        <v>0</v>
      </c>
      <c r="S260">
        <f t="shared" si="857"/>
        <v>0</v>
      </c>
      <c r="T260">
        <f t="shared" si="858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854"/>
        <v>0</v>
      </c>
      <c r="Q261">
        <f t="shared" si="855"/>
        <v>0</v>
      </c>
      <c r="R261">
        <f t="shared" si="856"/>
        <v>0</v>
      </c>
      <c r="S261">
        <f t="shared" si="857"/>
        <v>0</v>
      </c>
      <c r="T261">
        <f t="shared" si="858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si="854"/>
        <v>0</v>
      </c>
      <c r="Q262">
        <f t="shared" si="855"/>
        <v>0</v>
      </c>
      <c r="R262">
        <f t="shared" si="856"/>
        <v>0</v>
      </c>
      <c r="S262">
        <f t="shared" si="857"/>
        <v>0</v>
      </c>
      <c r="T262">
        <f t="shared" si="858"/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854"/>
        <v>0</v>
      </c>
      <c r="Q263">
        <f t="shared" si="855"/>
        <v>0</v>
      </c>
      <c r="R263">
        <f t="shared" si="856"/>
        <v>0</v>
      </c>
      <c r="S263">
        <f t="shared" si="857"/>
        <v>0</v>
      </c>
      <c r="T263">
        <f t="shared" si="85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854"/>
        <v>0</v>
      </c>
      <c r="Q264">
        <f t="shared" si="855"/>
        <v>0</v>
      </c>
      <c r="R264">
        <f t="shared" si="856"/>
        <v>0</v>
      </c>
      <c r="S264">
        <f t="shared" si="857"/>
        <v>0</v>
      </c>
      <c r="T264">
        <f t="shared" si="85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854"/>
        <v>0</v>
      </c>
      <c r="Q265">
        <f t="shared" si="855"/>
        <v>0</v>
      </c>
      <c r="R265">
        <f t="shared" si="856"/>
        <v>0</v>
      </c>
      <c r="S265">
        <f t="shared" si="857"/>
        <v>0</v>
      </c>
      <c r="T265">
        <f t="shared" si="85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854"/>
        <v>0</v>
      </c>
      <c r="Q266">
        <f t="shared" si="855"/>
        <v>0</v>
      </c>
      <c r="R266">
        <f t="shared" si="856"/>
        <v>0</v>
      </c>
      <c r="S266">
        <f t="shared" si="857"/>
        <v>0</v>
      </c>
      <c r="T266">
        <f t="shared" si="85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854"/>
        <v>0</v>
      </c>
      <c r="Q267">
        <f t="shared" si="855"/>
        <v>0</v>
      </c>
      <c r="R267">
        <f t="shared" si="856"/>
        <v>0</v>
      </c>
      <c r="S267">
        <f t="shared" si="857"/>
        <v>0</v>
      </c>
      <c r="T267">
        <f t="shared" si="85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854"/>
        <v>0</v>
      </c>
      <c r="Q268">
        <f t="shared" si="855"/>
        <v>0</v>
      </c>
      <c r="R268">
        <f t="shared" si="856"/>
        <v>0</v>
      </c>
      <c r="S268">
        <f t="shared" si="857"/>
        <v>0</v>
      </c>
      <c r="T268">
        <f t="shared" si="85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854"/>
        <v>0</v>
      </c>
      <c r="Q269">
        <f t="shared" si="855"/>
        <v>0</v>
      </c>
      <c r="R269">
        <f t="shared" si="856"/>
        <v>0</v>
      </c>
      <c r="S269">
        <f t="shared" si="857"/>
        <v>0</v>
      </c>
      <c r="T269">
        <f t="shared" si="85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854"/>
        <v>0</v>
      </c>
      <c r="Q270">
        <f t="shared" si="855"/>
        <v>0</v>
      </c>
      <c r="R270">
        <f t="shared" si="856"/>
        <v>0</v>
      </c>
      <c r="S270">
        <f t="shared" si="857"/>
        <v>0</v>
      </c>
      <c r="T270">
        <f t="shared" si="85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854"/>
        <v>0</v>
      </c>
      <c r="Q271">
        <f t="shared" si="855"/>
        <v>0</v>
      </c>
      <c r="R271">
        <f t="shared" si="856"/>
        <v>0</v>
      </c>
      <c r="S271">
        <f t="shared" si="857"/>
        <v>0</v>
      </c>
      <c r="T271">
        <f t="shared" si="85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854"/>
        <v>0</v>
      </c>
      <c r="Q272">
        <f t="shared" si="855"/>
        <v>0</v>
      </c>
      <c r="R272">
        <f t="shared" si="856"/>
        <v>0</v>
      </c>
      <c r="S272">
        <f t="shared" si="857"/>
        <v>0</v>
      </c>
      <c r="T272">
        <f t="shared" si="85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854"/>
        <v>0</v>
      </c>
      <c r="Q273">
        <f t="shared" si="855"/>
        <v>0</v>
      </c>
      <c r="R273">
        <f t="shared" si="856"/>
        <v>0</v>
      </c>
      <c r="S273">
        <f t="shared" si="857"/>
        <v>0</v>
      </c>
      <c r="T273">
        <f t="shared" si="85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854"/>
        <v>0</v>
      </c>
      <c r="Q274">
        <f t="shared" si="855"/>
        <v>0</v>
      </c>
      <c r="R274">
        <f t="shared" si="856"/>
        <v>0</v>
      </c>
      <c r="S274">
        <f t="shared" si="857"/>
        <v>0</v>
      </c>
      <c r="T274">
        <f t="shared" si="85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854"/>
        <v>0</v>
      </c>
      <c r="Q275">
        <f t="shared" si="855"/>
        <v>0</v>
      </c>
      <c r="R275">
        <f t="shared" si="856"/>
        <v>0</v>
      </c>
      <c r="S275">
        <f t="shared" si="857"/>
        <v>0</v>
      </c>
      <c r="T275">
        <f t="shared" si="85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854"/>
        <v>0</v>
      </c>
      <c r="Q276">
        <f t="shared" si="855"/>
        <v>0</v>
      </c>
      <c r="R276">
        <f t="shared" si="856"/>
        <v>0</v>
      </c>
      <c r="S276">
        <f t="shared" si="857"/>
        <v>0</v>
      </c>
      <c r="T276">
        <f t="shared" si="85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854"/>
        <v>0</v>
      </c>
      <c r="Q277">
        <f t="shared" si="855"/>
        <v>0</v>
      </c>
      <c r="R277">
        <f t="shared" si="856"/>
        <v>0</v>
      </c>
      <c r="S277">
        <f t="shared" si="857"/>
        <v>0</v>
      </c>
      <c r="T277">
        <f t="shared" si="85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854"/>
        <v>0</v>
      </c>
      <c r="Q278">
        <f t="shared" si="855"/>
        <v>0</v>
      </c>
      <c r="R278">
        <f t="shared" si="856"/>
        <v>0</v>
      </c>
      <c r="S278">
        <f t="shared" si="857"/>
        <v>0</v>
      </c>
      <c r="T278">
        <f t="shared" si="85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854"/>
        <v>0</v>
      </c>
      <c r="Q279">
        <f t="shared" si="855"/>
        <v>0</v>
      </c>
      <c r="R279">
        <f t="shared" si="856"/>
        <v>0</v>
      </c>
      <c r="S279">
        <f t="shared" si="857"/>
        <v>0</v>
      </c>
      <c r="T279">
        <f t="shared" si="85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854"/>
        <v>0</v>
      </c>
      <c r="Q280">
        <f t="shared" si="855"/>
        <v>0</v>
      </c>
      <c r="R280">
        <f t="shared" si="856"/>
        <v>0</v>
      </c>
      <c r="S280">
        <f t="shared" si="857"/>
        <v>0</v>
      </c>
      <c r="T280">
        <f t="shared" si="85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854"/>
        <v>0</v>
      </c>
      <c r="Q281">
        <f t="shared" si="855"/>
        <v>0</v>
      </c>
      <c r="R281">
        <f t="shared" si="856"/>
        <v>0</v>
      </c>
      <c r="S281">
        <f t="shared" si="857"/>
        <v>0</v>
      </c>
      <c r="T281">
        <f t="shared" si="85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854"/>
        <v>0</v>
      </c>
      <c r="Q282">
        <f t="shared" si="855"/>
        <v>0</v>
      </c>
      <c r="R282">
        <f t="shared" si="856"/>
        <v>0</v>
      </c>
      <c r="S282">
        <f t="shared" si="857"/>
        <v>0</v>
      </c>
      <c r="T282">
        <f t="shared" si="85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854"/>
        <v>0</v>
      </c>
      <c r="Q283">
        <f t="shared" si="855"/>
        <v>0</v>
      </c>
      <c r="R283">
        <f t="shared" si="856"/>
        <v>0</v>
      </c>
      <c r="S283">
        <f t="shared" si="857"/>
        <v>0</v>
      </c>
      <c r="T283">
        <f t="shared" si="85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854"/>
        <v>0</v>
      </c>
      <c r="Q284">
        <f t="shared" si="855"/>
        <v>0</v>
      </c>
      <c r="R284">
        <f t="shared" si="856"/>
        <v>0</v>
      </c>
      <c r="S284">
        <f t="shared" si="857"/>
        <v>0</v>
      </c>
      <c r="T284">
        <f t="shared" si="85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854"/>
        <v>0</v>
      </c>
      <c r="Q285">
        <f t="shared" si="855"/>
        <v>0</v>
      </c>
      <c r="R285">
        <f t="shared" si="856"/>
        <v>0</v>
      </c>
      <c r="S285">
        <f t="shared" si="857"/>
        <v>0</v>
      </c>
      <c r="T285">
        <f t="shared" si="85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854"/>
        <v>0</v>
      </c>
      <c r="Q286">
        <f t="shared" si="855"/>
        <v>0</v>
      </c>
      <c r="R286">
        <f t="shared" si="856"/>
        <v>0</v>
      </c>
      <c r="S286">
        <f t="shared" si="857"/>
        <v>0</v>
      </c>
      <c r="T286">
        <f t="shared" si="85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854"/>
        <v>0</v>
      </c>
      <c r="Q287">
        <f t="shared" si="855"/>
        <v>0</v>
      </c>
      <c r="R287">
        <f t="shared" si="856"/>
        <v>0</v>
      </c>
      <c r="S287">
        <f t="shared" si="857"/>
        <v>0</v>
      </c>
      <c r="T287">
        <f t="shared" si="85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854"/>
        <v>0</v>
      </c>
      <c r="Q288">
        <f t="shared" si="855"/>
        <v>0</v>
      </c>
      <c r="R288">
        <f t="shared" si="856"/>
        <v>0</v>
      </c>
      <c r="S288">
        <f t="shared" si="857"/>
        <v>0</v>
      </c>
      <c r="T288">
        <f t="shared" si="85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854"/>
        <v>0</v>
      </c>
      <c r="Q289">
        <f t="shared" si="855"/>
        <v>0</v>
      </c>
      <c r="R289">
        <f t="shared" si="856"/>
        <v>0</v>
      </c>
      <c r="S289">
        <f t="shared" si="857"/>
        <v>0</v>
      </c>
      <c r="T289">
        <f t="shared" si="85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854"/>
        <v>0</v>
      </c>
      <c r="Q290">
        <f t="shared" si="855"/>
        <v>0</v>
      </c>
      <c r="R290">
        <f t="shared" si="856"/>
        <v>0</v>
      </c>
      <c r="S290">
        <f t="shared" si="857"/>
        <v>0</v>
      </c>
      <c r="T290">
        <f t="shared" si="85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854"/>
        <v>0</v>
      </c>
      <c r="Q291">
        <f t="shared" si="855"/>
        <v>0</v>
      </c>
      <c r="R291">
        <f t="shared" si="856"/>
        <v>0</v>
      </c>
      <c r="S291">
        <f t="shared" si="857"/>
        <v>0</v>
      </c>
      <c r="T291">
        <f t="shared" si="858"/>
        <v>0</v>
      </c>
    </row>
    <row r="292" spans="1:20" x14ac:dyDescent="0.25">
      <c r="A292" s="5"/>
      <c r="P292">
        <f t="shared" si="854"/>
        <v>0</v>
      </c>
      <c r="Q292">
        <f t="shared" si="855"/>
        <v>0</v>
      </c>
      <c r="R292">
        <f t="shared" si="856"/>
        <v>0</v>
      </c>
      <c r="S292">
        <f t="shared" si="857"/>
        <v>0</v>
      </c>
      <c r="T292">
        <f t="shared" si="858"/>
        <v>0</v>
      </c>
    </row>
    <row r="293" spans="1:20" x14ac:dyDescent="0.25">
      <c r="A293" s="5"/>
      <c r="P293">
        <f t="shared" si="854"/>
        <v>0</v>
      </c>
      <c r="Q293">
        <f t="shared" si="855"/>
        <v>0</v>
      </c>
      <c r="R293">
        <f t="shared" si="856"/>
        <v>0</v>
      </c>
      <c r="S293">
        <f t="shared" si="857"/>
        <v>0</v>
      </c>
      <c r="T293">
        <f t="shared" si="858"/>
        <v>0</v>
      </c>
    </row>
    <row r="294" spans="1:20" x14ac:dyDescent="0.25">
      <c r="A294" s="5"/>
      <c r="P294">
        <f t="shared" si="854"/>
        <v>0</v>
      </c>
      <c r="Q294">
        <f t="shared" si="855"/>
        <v>0</v>
      </c>
      <c r="R294">
        <f t="shared" si="856"/>
        <v>0</v>
      </c>
      <c r="S294">
        <f t="shared" si="857"/>
        <v>0</v>
      </c>
      <c r="T294">
        <f t="shared" si="858"/>
        <v>0</v>
      </c>
    </row>
    <row r="295" spans="1:20" x14ac:dyDescent="0.25">
      <c r="A295" s="5"/>
      <c r="P295">
        <f t="shared" si="854"/>
        <v>0</v>
      </c>
      <c r="Q295">
        <f t="shared" si="855"/>
        <v>0</v>
      </c>
      <c r="R295">
        <f t="shared" si="856"/>
        <v>0</v>
      </c>
      <c r="S295">
        <f t="shared" si="857"/>
        <v>0</v>
      </c>
      <c r="T295">
        <f t="shared" si="858"/>
        <v>0</v>
      </c>
    </row>
    <row r="296" spans="1:20" x14ac:dyDescent="0.25">
      <c r="A296" s="5"/>
      <c r="P296">
        <f t="shared" si="854"/>
        <v>0</v>
      </c>
      <c r="Q296">
        <f t="shared" si="855"/>
        <v>0</v>
      </c>
      <c r="R296">
        <f t="shared" si="856"/>
        <v>0</v>
      </c>
      <c r="S296">
        <f t="shared" si="857"/>
        <v>0</v>
      </c>
      <c r="T296">
        <f t="shared" si="858"/>
        <v>0</v>
      </c>
    </row>
    <row r="297" spans="1:20" x14ac:dyDescent="0.25">
      <c r="A297" s="5"/>
      <c r="P297">
        <f t="shared" si="854"/>
        <v>0</v>
      </c>
      <c r="Q297">
        <f t="shared" si="855"/>
        <v>0</v>
      </c>
      <c r="R297">
        <f t="shared" si="856"/>
        <v>0</v>
      </c>
      <c r="S297">
        <f t="shared" si="857"/>
        <v>0</v>
      </c>
      <c r="T297">
        <f t="shared" si="858"/>
        <v>0</v>
      </c>
    </row>
    <row r="298" spans="1:20" x14ac:dyDescent="0.25">
      <c r="A298" s="5"/>
      <c r="P298">
        <f t="shared" si="854"/>
        <v>0</v>
      </c>
      <c r="Q298">
        <f t="shared" si="855"/>
        <v>0</v>
      </c>
      <c r="R298">
        <f t="shared" si="856"/>
        <v>0</v>
      </c>
      <c r="S298">
        <f t="shared" si="857"/>
        <v>0</v>
      </c>
      <c r="T298">
        <f t="shared" si="858"/>
        <v>0</v>
      </c>
    </row>
    <row r="299" spans="1:20" x14ac:dyDescent="0.25">
      <c r="A299" s="5"/>
      <c r="P299">
        <f t="shared" si="854"/>
        <v>0</v>
      </c>
      <c r="Q299">
        <f t="shared" si="855"/>
        <v>0</v>
      </c>
      <c r="R299">
        <f t="shared" si="856"/>
        <v>0</v>
      </c>
      <c r="S299">
        <f t="shared" si="857"/>
        <v>0</v>
      </c>
      <c r="T299">
        <f t="shared" si="858"/>
        <v>0</v>
      </c>
    </row>
    <row r="300" spans="1:20" x14ac:dyDescent="0.25">
      <c r="A300" s="5"/>
      <c r="P300">
        <f t="shared" si="854"/>
        <v>0</v>
      </c>
      <c r="Q300">
        <f t="shared" si="855"/>
        <v>0</v>
      </c>
      <c r="R300">
        <f t="shared" si="856"/>
        <v>0</v>
      </c>
      <c r="S300">
        <f t="shared" si="857"/>
        <v>0</v>
      </c>
      <c r="T300">
        <f t="shared" si="858"/>
        <v>0</v>
      </c>
    </row>
    <row r="301" spans="1:20" x14ac:dyDescent="0.25">
      <c r="A301" s="5"/>
      <c r="P301">
        <f t="shared" si="854"/>
        <v>0</v>
      </c>
      <c r="Q301">
        <f t="shared" si="855"/>
        <v>0</v>
      </c>
      <c r="R301">
        <f t="shared" si="856"/>
        <v>0</v>
      </c>
      <c r="S301">
        <f t="shared" si="857"/>
        <v>0</v>
      </c>
      <c r="T301">
        <f t="shared" si="858"/>
        <v>0</v>
      </c>
    </row>
    <row r="302" spans="1:20" x14ac:dyDescent="0.25">
      <c r="A302" s="5"/>
      <c r="P302">
        <f t="shared" si="854"/>
        <v>0</v>
      </c>
      <c r="Q302">
        <f t="shared" si="855"/>
        <v>0</v>
      </c>
      <c r="R302">
        <f t="shared" si="856"/>
        <v>0</v>
      </c>
      <c r="S302">
        <f t="shared" si="857"/>
        <v>0</v>
      </c>
      <c r="T302">
        <f t="shared" si="858"/>
        <v>0</v>
      </c>
    </row>
    <row r="303" spans="1:20" x14ac:dyDescent="0.25">
      <c r="A303" s="5"/>
      <c r="C303"/>
      <c r="D303"/>
      <c r="P303">
        <f t="shared" si="854"/>
        <v>0</v>
      </c>
      <c r="Q303">
        <f t="shared" si="855"/>
        <v>0</v>
      </c>
      <c r="R303">
        <f t="shared" si="856"/>
        <v>0</v>
      </c>
      <c r="S303">
        <f t="shared" si="857"/>
        <v>0</v>
      </c>
      <c r="T303">
        <f t="shared" si="858"/>
        <v>0</v>
      </c>
    </row>
    <row r="304" spans="1:20" x14ac:dyDescent="0.25">
      <c r="A304" s="5"/>
      <c r="C304"/>
      <c r="D304"/>
      <c r="P304">
        <f t="shared" ref="P304:P367" si="859">IF(C304=D304,0,((E304-D304)-(C304-E304))/(C304-D304))</f>
        <v>0</v>
      </c>
      <c r="Q304">
        <f t="shared" ref="Q304:Q367" si="860">F304*P304</f>
        <v>0</v>
      </c>
      <c r="R304">
        <f t="shared" ref="R304:R367" si="861">R305+Q304</f>
        <v>0</v>
      </c>
      <c r="S304">
        <f t="shared" ref="S304:S367" si="862">R304/100000</f>
        <v>0</v>
      </c>
      <c r="T304">
        <f t="shared" ref="T304:T367" si="863">S304/1000</f>
        <v>0</v>
      </c>
    </row>
    <row r="305" spans="1:20" x14ac:dyDescent="0.25">
      <c r="A305" s="5"/>
      <c r="C305"/>
      <c r="D305"/>
      <c r="P305">
        <f t="shared" si="859"/>
        <v>0</v>
      </c>
      <c r="Q305">
        <f t="shared" si="860"/>
        <v>0</v>
      </c>
      <c r="R305">
        <f t="shared" si="861"/>
        <v>0</v>
      </c>
      <c r="S305">
        <f t="shared" si="862"/>
        <v>0</v>
      </c>
      <c r="T305">
        <f t="shared" si="863"/>
        <v>0</v>
      </c>
    </row>
    <row r="306" spans="1:20" x14ac:dyDescent="0.25">
      <c r="A306" s="5"/>
      <c r="C306"/>
      <c r="D306"/>
      <c r="P306">
        <f t="shared" si="859"/>
        <v>0</v>
      </c>
      <c r="Q306">
        <f t="shared" si="860"/>
        <v>0</v>
      </c>
      <c r="R306">
        <f t="shared" si="861"/>
        <v>0</v>
      </c>
      <c r="S306">
        <f t="shared" si="862"/>
        <v>0</v>
      </c>
      <c r="T306">
        <f t="shared" si="863"/>
        <v>0</v>
      </c>
    </row>
    <row r="307" spans="1:20" x14ac:dyDescent="0.25">
      <c r="A307" s="5"/>
      <c r="C307"/>
      <c r="D307"/>
      <c r="P307">
        <f t="shared" si="859"/>
        <v>0</v>
      </c>
      <c r="Q307">
        <f t="shared" si="860"/>
        <v>0</v>
      </c>
      <c r="R307">
        <f t="shared" si="861"/>
        <v>0</v>
      </c>
      <c r="S307">
        <f t="shared" si="862"/>
        <v>0</v>
      </c>
      <c r="T307">
        <f t="shared" si="863"/>
        <v>0</v>
      </c>
    </row>
    <row r="308" spans="1:20" x14ac:dyDescent="0.25">
      <c r="A308" s="5"/>
      <c r="C308"/>
      <c r="D308"/>
      <c r="P308">
        <f t="shared" si="859"/>
        <v>0</v>
      </c>
      <c r="Q308">
        <f t="shared" si="860"/>
        <v>0</v>
      </c>
      <c r="R308">
        <f t="shared" si="861"/>
        <v>0</v>
      </c>
      <c r="S308">
        <f t="shared" si="862"/>
        <v>0</v>
      </c>
      <c r="T308">
        <f t="shared" si="863"/>
        <v>0</v>
      </c>
    </row>
    <row r="309" spans="1:20" x14ac:dyDescent="0.25">
      <c r="A309" s="5"/>
      <c r="C309"/>
      <c r="D309"/>
      <c r="P309">
        <f t="shared" si="859"/>
        <v>0</v>
      </c>
      <c r="Q309">
        <f t="shared" si="860"/>
        <v>0</v>
      </c>
      <c r="R309">
        <f t="shared" si="861"/>
        <v>0</v>
      </c>
      <c r="S309">
        <f t="shared" si="862"/>
        <v>0</v>
      </c>
      <c r="T309">
        <f t="shared" si="863"/>
        <v>0</v>
      </c>
    </row>
    <row r="310" spans="1:20" x14ac:dyDescent="0.25">
      <c r="A310" s="5"/>
      <c r="C310"/>
      <c r="D310"/>
      <c r="P310">
        <f t="shared" si="859"/>
        <v>0</v>
      </c>
      <c r="Q310">
        <f t="shared" si="860"/>
        <v>0</v>
      </c>
      <c r="R310">
        <f t="shared" si="861"/>
        <v>0</v>
      </c>
      <c r="S310">
        <f t="shared" si="862"/>
        <v>0</v>
      </c>
      <c r="T310">
        <f t="shared" si="863"/>
        <v>0</v>
      </c>
    </row>
    <row r="311" spans="1:20" x14ac:dyDescent="0.25">
      <c r="A311" s="5"/>
      <c r="C311"/>
      <c r="D311"/>
      <c r="P311">
        <f t="shared" si="859"/>
        <v>0</v>
      </c>
      <c r="Q311">
        <f t="shared" si="860"/>
        <v>0</v>
      </c>
      <c r="R311">
        <f t="shared" si="861"/>
        <v>0</v>
      </c>
      <c r="S311">
        <f t="shared" si="862"/>
        <v>0</v>
      </c>
      <c r="T311">
        <f t="shared" si="863"/>
        <v>0</v>
      </c>
    </row>
    <row r="312" spans="1:20" x14ac:dyDescent="0.25">
      <c r="A312" s="5"/>
      <c r="C312"/>
      <c r="D312"/>
      <c r="P312">
        <f t="shared" si="859"/>
        <v>0</v>
      </c>
      <c r="Q312">
        <f t="shared" si="860"/>
        <v>0</v>
      </c>
      <c r="R312">
        <f t="shared" si="861"/>
        <v>0</v>
      </c>
      <c r="S312">
        <f t="shared" si="862"/>
        <v>0</v>
      </c>
      <c r="T312">
        <f t="shared" si="863"/>
        <v>0</v>
      </c>
    </row>
    <row r="313" spans="1:20" x14ac:dyDescent="0.25">
      <c r="A313" s="5"/>
      <c r="C313"/>
      <c r="D313"/>
      <c r="P313">
        <f t="shared" si="859"/>
        <v>0</v>
      </c>
      <c r="Q313">
        <f t="shared" si="860"/>
        <v>0</v>
      </c>
      <c r="R313">
        <f t="shared" si="861"/>
        <v>0</v>
      </c>
      <c r="S313">
        <f t="shared" si="862"/>
        <v>0</v>
      </c>
      <c r="T313">
        <f t="shared" si="863"/>
        <v>0</v>
      </c>
    </row>
    <row r="314" spans="1:20" x14ac:dyDescent="0.25">
      <c r="A314" s="5"/>
      <c r="C314"/>
      <c r="D314"/>
      <c r="P314">
        <f t="shared" si="859"/>
        <v>0</v>
      </c>
      <c r="Q314">
        <f t="shared" si="860"/>
        <v>0</v>
      </c>
      <c r="R314">
        <f t="shared" si="861"/>
        <v>0</v>
      </c>
      <c r="S314">
        <f t="shared" si="862"/>
        <v>0</v>
      </c>
      <c r="T314">
        <f t="shared" si="863"/>
        <v>0</v>
      </c>
    </row>
    <row r="315" spans="1:20" x14ac:dyDescent="0.25">
      <c r="A315" s="5"/>
      <c r="C315"/>
      <c r="D315"/>
      <c r="P315">
        <f t="shared" si="859"/>
        <v>0</v>
      </c>
      <c r="Q315">
        <f t="shared" si="860"/>
        <v>0</v>
      </c>
      <c r="R315">
        <f t="shared" si="861"/>
        <v>0</v>
      </c>
      <c r="S315">
        <f t="shared" si="862"/>
        <v>0</v>
      </c>
      <c r="T315">
        <f t="shared" si="863"/>
        <v>0</v>
      </c>
    </row>
    <row r="316" spans="1:20" x14ac:dyDescent="0.25">
      <c r="A316" s="5"/>
      <c r="C316"/>
      <c r="D316"/>
      <c r="P316">
        <f t="shared" si="859"/>
        <v>0</v>
      </c>
      <c r="Q316">
        <f t="shared" si="860"/>
        <v>0</v>
      </c>
      <c r="R316">
        <f t="shared" si="861"/>
        <v>0</v>
      </c>
      <c r="S316">
        <f t="shared" si="862"/>
        <v>0</v>
      </c>
      <c r="T316">
        <f t="shared" si="863"/>
        <v>0</v>
      </c>
    </row>
    <row r="317" spans="1:20" x14ac:dyDescent="0.25">
      <c r="A317" s="5"/>
      <c r="C317"/>
      <c r="D317"/>
      <c r="P317">
        <f t="shared" si="859"/>
        <v>0</v>
      </c>
      <c r="Q317">
        <f t="shared" si="860"/>
        <v>0</v>
      </c>
      <c r="R317">
        <f t="shared" si="861"/>
        <v>0</v>
      </c>
      <c r="S317">
        <f t="shared" si="862"/>
        <v>0</v>
      </c>
      <c r="T317">
        <f t="shared" si="863"/>
        <v>0</v>
      </c>
    </row>
    <row r="318" spans="1:20" x14ac:dyDescent="0.25">
      <c r="A318" s="5"/>
      <c r="C318"/>
      <c r="D318"/>
      <c r="P318">
        <f t="shared" si="859"/>
        <v>0</v>
      </c>
      <c r="Q318">
        <f t="shared" si="860"/>
        <v>0</v>
      </c>
      <c r="R318">
        <f t="shared" si="861"/>
        <v>0</v>
      </c>
      <c r="S318">
        <f t="shared" si="862"/>
        <v>0</v>
      </c>
      <c r="T318">
        <f t="shared" si="863"/>
        <v>0</v>
      </c>
    </row>
    <row r="319" spans="1:20" x14ac:dyDescent="0.25">
      <c r="A319" s="5"/>
      <c r="C319"/>
      <c r="D319"/>
      <c r="P319">
        <f t="shared" si="859"/>
        <v>0</v>
      </c>
      <c r="Q319">
        <f t="shared" si="860"/>
        <v>0</v>
      </c>
      <c r="R319">
        <f t="shared" si="861"/>
        <v>0</v>
      </c>
      <c r="S319">
        <f t="shared" si="862"/>
        <v>0</v>
      </c>
      <c r="T319">
        <f t="shared" si="863"/>
        <v>0</v>
      </c>
    </row>
    <row r="320" spans="1:20" x14ac:dyDescent="0.25">
      <c r="A320" s="5"/>
      <c r="C320"/>
      <c r="D320"/>
      <c r="P320">
        <f t="shared" si="859"/>
        <v>0</v>
      </c>
      <c r="Q320">
        <f t="shared" si="860"/>
        <v>0</v>
      </c>
      <c r="R320">
        <f t="shared" si="861"/>
        <v>0</v>
      </c>
      <c r="S320">
        <f t="shared" si="862"/>
        <v>0</v>
      </c>
      <c r="T320">
        <f t="shared" si="863"/>
        <v>0</v>
      </c>
    </row>
    <row r="321" spans="1:20" x14ac:dyDescent="0.25">
      <c r="A321" s="5"/>
      <c r="C321"/>
      <c r="D321"/>
      <c r="P321">
        <f t="shared" si="859"/>
        <v>0</v>
      </c>
      <c r="Q321">
        <f t="shared" si="860"/>
        <v>0</v>
      </c>
      <c r="R321">
        <f t="shared" si="861"/>
        <v>0</v>
      </c>
      <c r="S321">
        <f t="shared" si="862"/>
        <v>0</v>
      </c>
      <c r="T321">
        <f t="shared" si="863"/>
        <v>0</v>
      </c>
    </row>
    <row r="322" spans="1:20" x14ac:dyDescent="0.25">
      <c r="A322" s="5"/>
      <c r="C322"/>
      <c r="D322"/>
      <c r="P322">
        <f t="shared" si="859"/>
        <v>0</v>
      </c>
      <c r="Q322">
        <f t="shared" si="860"/>
        <v>0</v>
      </c>
      <c r="R322">
        <f t="shared" si="861"/>
        <v>0</v>
      </c>
      <c r="S322">
        <f t="shared" si="862"/>
        <v>0</v>
      </c>
      <c r="T322">
        <f t="shared" si="863"/>
        <v>0</v>
      </c>
    </row>
    <row r="323" spans="1:20" x14ac:dyDescent="0.25">
      <c r="A323" s="5"/>
      <c r="C323"/>
      <c r="D323"/>
      <c r="P323">
        <f t="shared" si="859"/>
        <v>0</v>
      </c>
      <c r="Q323">
        <f t="shared" si="860"/>
        <v>0</v>
      </c>
      <c r="R323">
        <f t="shared" si="861"/>
        <v>0</v>
      </c>
      <c r="S323">
        <f t="shared" si="862"/>
        <v>0</v>
      </c>
      <c r="T323">
        <f t="shared" si="863"/>
        <v>0</v>
      </c>
    </row>
    <row r="324" spans="1:20" x14ac:dyDescent="0.25">
      <c r="A324" s="5"/>
      <c r="C324"/>
      <c r="D324"/>
      <c r="P324">
        <f t="shared" si="859"/>
        <v>0</v>
      </c>
      <c r="Q324">
        <f t="shared" si="860"/>
        <v>0</v>
      </c>
      <c r="R324">
        <f t="shared" si="861"/>
        <v>0</v>
      </c>
      <c r="S324">
        <f t="shared" si="862"/>
        <v>0</v>
      </c>
      <c r="T324">
        <f t="shared" si="863"/>
        <v>0</v>
      </c>
    </row>
    <row r="325" spans="1:20" x14ac:dyDescent="0.25">
      <c r="A325" s="5"/>
      <c r="C325"/>
      <c r="D325"/>
      <c r="P325">
        <f t="shared" si="859"/>
        <v>0</v>
      </c>
      <c r="Q325">
        <f t="shared" si="860"/>
        <v>0</v>
      </c>
      <c r="R325">
        <f t="shared" si="861"/>
        <v>0</v>
      </c>
      <c r="S325">
        <f t="shared" si="862"/>
        <v>0</v>
      </c>
      <c r="T325">
        <f t="shared" si="863"/>
        <v>0</v>
      </c>
    </row>
    <row r="326" spans="1:20" x14ac:dyDescent="0.25">
      <c r="A326" s="5"/>
      <c r="C326"/>
      <c r="D326"/>
      <c r="P326">
        <f t="shared" si="859"/>
        <v>0</v>
      </c>
      <c r="Q326">
        <f t="shared" si="860"/>
        <v>0</v>
      </c>
      <c r="R326">
        <f t="shared" si="861"/>
        <v>0</v>
      </c>
      <c r="S326">
        <f t="shared" si="862"/>
        <v>0</v>
      </c>
      <c r="T326">
        <f t="shared" si="863"/>
        <v>0</v>
      </c>
    </row>
    <row r="327" spans="1:20" x14ac:dyDescent="0.25">
      <c r="A327" s="5"/>
      <c r="C327"/>
      <c r="D327"/>
      <c r="P327">
        <f t="shared" si="859"/>
        <v>0</v>
      </c>
      <c r="Q327">
        <f t="shared" si="860"/>
        <v>0</v>
      </c>
      <c r="R327">
        <f t="shared" si="861"/>
        <v>0</v>
      </c>
      <c r="S327">
        <f t="shared" si="862"/>
        <v>0</v>
      </c>
      <c r="T327">
        <f t="shared" si="863"/>
        <v>0</v>
      </c>
    </row>
    <row r="328" spans="1:20" x14ac:dyDescent="0.25">
      <c r="A328" s="5"/>
      <c r="C328"/>
      <c r="D328"/>
      <c r="P328">
        <f t="shared" si="859"/>
        <v>0</v>
      </c>
      <c r="Q328">
        <f t="shared" si="860"/>
        <v>0</v>
      </c>
      <c r="R328">
        <f t="shared" si="861"/>
        <v>0</v>
      </c>
      <c r="S328">
        <f t="shared" si="862"/>
        <v>0</v>
      </c>
      <c r="T328">
        <f t="shared" si="863"/>
        <v>0</v>
      </c>
    </row>
    <row r="329" spans="1:20" x14ac:dyDescent="0.25">
      <c r="A329" s="5"/>
      <c r="C329"/>
      <c r="D329"/>
      <c r="P329">
        <f t="shared" si="859"/>
        <v>0</v>
      </c>
      <c r="Q329">
        <f t="shared" si="860"/>
        <v>0</v>
      </c>
      <c r="R329">
        <f t="shared" si="861"/>
        <v>0</v>
      </c>
      <c r="S329">
        <f t="shared" si="862"/>
        <v>0</v>
      </c>
      <c r="T329">
        <f t="shared" si="863"/>
        <v>0</v>
      </c>
    </row>
    <row r="330" spans="1:20" x14ac:dyDescent="0.25">
      <c r="A330" s="5"/>
      <c r="C330"/>
      <c r="D330"/>
      <c r="P330">
        <f t="shared" si="859"/>
        <v>0</v>
      </c>
      <c r="Q330">
        <f t="shared" si="860"/>
        <v>0</v>
      </c>
      <c r="R330">
        <f t="shared" si="861"/>
        <v>0</v>
      </c>
      <c r="S330">
        <f t="shared" si="862"/>
        <v>0</v>
      </c>
      <c r="T330">
        <f t="shared" si="863"/>
        <v>0</v>
      </c>
    </row>
    <row r="331" spans="1:20" x14ac:dyDescent="0.25">
      <c r="A331" s="5"/>
      <c r="C331"/>
      <c r="D331"/>
      <c r="P331">
        <f t="shared" si="859"/>
        <v>0</v>
      </c>
      <c r="Q331">
        <f t="shared" si="860"/>
        <v>0</v>
      </c>
      <c r="R331">
        <f t="shared" si="861"/>
        <v>0</v>
      </c>
      <c r="S331">
        <f t="shared" si="862"/>
        <v>0</v>
      </c>
      <c r="T331">
        <f t="shared" si="863"/>
        <v>0</v>
      </c>
    </row>
    <row r="332" spans="1:20" x14ac:dyDescent="0.25">
      <c r="A332" s="5"/>
      <c r="C332"/>
      <c r="D332"/>
      <c r="P332">
        <f t="shared" si="859"/>
        <v>0</v>
      </c>
      <c r="Q332">
        <f t="shared" si="860"/>
        <v>0</v>
      </c>
      <c r="R332">
        <f t="shared" si="861"/>
        <v>0</v>
      </c>
      <c r="S332">
        <f t="shared" si="862"/>
        <v>0</v>
      </c>
      <c r="T332">
        <f t="shared" si="863"/>
        <v>0</v>
      </c>
    </row>
    <row r="333" spans="1:20" x14ac:dyDescent="0.25">
      <c r="A333" s="5"/>
      <c r="C333"/>
      <c r="D333"/>
      <c r="P333">
        <f t="shared" si="859"/>
        <v>0</v>
      </c>
      <c r="Q333">
        <f t="shared" si="860"/>
        <v>0</v>
      </c>
      <c r="R333">
        <f t="shared" si="861"/>
        <v>0</v>
      </c>
      <c r="S333">
        <f t="shared" si="862"/>
        <v>0</v>
      </c>
      <c r="T333">
        <f t="shared" si="863"/>
        <v>0</v>
      </c>
    </row>
    <row r="334" spans="1:20" x14ac:dyDescent="0.25">
      <c r="A334" s="5"/>
      <c r="C334"/>
      <c r="D334"/>
      <c r="P334">
        <f t="shared" si="859"/>
        <v>0</v>
      </c>
      <c r="Q334">
        <f t="shared" si="860"/>
        <v>0</v>
      </c>
      <c r="R334">
        <f t="shared" si="861"/>
        <v>0</v>
      </c>
      <c r="S334">
        <f t="shared" si="862"/>
        <v>0</v>
      </c>
      <c r="T334">
        <f t="shared" si="863"/>
        <v>0</v>
      </c>
    </row>
    <row r="335" spans="1:20" x14ac:dyDescent="0.25">
      <c r="A335" s="5"/>
      <c r="C335"/>
      <c r="D335"/>
      <c r="P335">
        <f t="shared" si="859"/>
        <v>0</v>
      </c>
      <c r="Q335">
        <f t="shared" si="860"/>
        <v>0</v>
      </c>
      <c r="R335">
        <f t="shared" si="861"/>
        <v>0</v>
      </c>
      <c r="S335">
        <f t="shared" si="862"/>
        <v>0</v>
      </c>
      <c r="T335">
        <f t="shared" si="863"/>
        <v>0</v>
      </c>
    </row>
    <row r="336" spans="1:20" x14ac:dyDescent="0.25">
      <c r="A336" s="5"/>
      <c r="C336"/>
      <c r="D336"/>
      <c r="P336">
        <f t="shared" si="859"/>
        <v>0</v>
      </c>
      <c r="Q336">
        <f t="shared" si="860"/>
        <v>0</v>
      </c>
      <c r="R336">
        <f t="shared" si="861"/>
        <v>0</v>
      </c>
      <c r="S336">
        <f t="shared" si="862"/>
        <v>0</v>
      </c>
      <c r="T336">
        <f t="shared" si="863"/>
        <v>0</v>
      </c>
    </row>
    <row r="337" spans="1:20" x14ac:dyDescent="0.25">
      <c r="A337" s="5"/>
      <c r="C337"/>
      <c r="D337"/>
      <c r="P337">
        <f t="shared" si="859"/>
        <v>0</v>
      </c>
      <c r="Q337">
        <f t="shared" si="860"/>
        <v>0</v>
      </c>
      <c r="R337">
        <f t="shared" si="861"/>
        <v>0</v>
      </c>
      <c r="S337">
        <f t="shared" si="862"/>
        <v>0</v>
      </c>
      <c r="T337">
        <f t="shared" si="863"/>
        <v>0</v>
      </c>
    </row>
    <row r="338" spans="1:20" x14ac:dyDescent="0.25">
      <c r="A338" s="5"/>
      <c r="C338"/>
      <c r="D338"/>
      <c r="P338">
        <f t="shared" si="859"/>
        <v>0</v>
      </c>
      <c r="Q338">
        <f t="shared" si="860"/>
        <v>0</v>
      </c>
      <c r="R338">
        <f t="shared" si="861"/>
        <v>0</v>
      </c>
      <c r="S338">
        <f t="shared" si="862"/>
        <v>0</v>
      </c>
      <c r="T338">
        <f t="shared" si="863"/>
        <v>0</v>
      </c>
    </row>
    <row r="339" spans="1:20" x14ac:dyDescent="0.25">
      <c r="A339" s="5"/>
      <c r="C339"/>
      <c r="D339"/>
      <c r="P339">
        <f t="shared" si="859"/>
        <v>0</v>
      </c>
      <c r="Q339">
        <f t="shared" si="860"/>
        <v>0</v>
      </c>
      <c r="R339">
        <f t="shared" si="861"/>
        <v>0</v>
      </c>
      <c r="S339">
        <f t="shared" si="862"/>
        <v>0</v>
      </c>
      <c r="T339">
        <f t="shared" si="863"/>
        <v>0</v>
      </c>
    </row>
    <row r="340" spans="1:20" x14ac:dyDescent="0.25">
      <c r="A340" s="5"/>
      <c r="C340"/>
      <c r="D340"/>
      <c r="P340">
        <f t="shared" si="859"/>
        <v>0</v>
      </c>
      <c r="Q340">
        <f t="shared" si="860"/>
        <v>0</v>
      </c>
      <c r="R340">
        <f t="shared" si="861"/>
        <v>0</v>
      </c>
      <c r="S340">
        <f t="shared" si="862"/>
        <v>0</v>
      </c>
      <c r="T340">
        <f t="shared" si="863"/>
        <v>0</v>
      </c>
    </row>
    <row r="341" spans="1:20" x14ac:dyDescent="0.25">
      <c r="A341" s="5"/>
      <c r="C341"/>
      <c r="D341"/>
      <c r="P341">
        <f t="shared" si="859"/>
        <v>0</v>
      </c>
      <c r="Q341">
        <f t="shared" si="860"/>
        <v>0</v>
      </c>
      <c r="R341">
        <f t="shared" si="861"/>
        <v>0</v>
      </c>
      <c r="S341">
        <f t="shared" si="862"/>
        <v>0</v>
      </c>
      <c r="T341">
        <f t="shared" si="863"/>
        <v>0</v>
      </c>
    </row>
    <row r="342" spans="1:20" x14ac:dyDescent="0.25">
      <c r="A342" s="5"/>
      <c r="C342"/>
      <c r="D342"/>
      <c r="P342">
        <f t="shared" si="859"/>
        <v>0</v>
      </c>
      <c r="Q342">
        <f t="shared" si="860"/>
        <v>0</v>
      </c>
      <c r="R342">
        <f t="shared" si="861"/>
        <v>0</v>
      </c>
      <c r="S342">
        <f t="shared" si="862"/>
        <v>0</v>
      </c>
      <c r="T342">
        <f t="shared" si="863"/>
        <v>0</v>
      </c>
    </row>
    <row r="343" spans="1:20" x14ac:dyDescent="0.25">
      <c r="A343" s="5"/>
      <c r="C343"/>
      <c r="D343"/>
      <c r="P343">
        <f t="shared" si="859"/>
        <v>0</v>
      </c>
      <c r="Q343">
        <f t="shared" si="860"/>
        <v>0</v>
      </c>
      <c r="R343">
        <f t="shared" si="861"/>
        <v>0</v>
      </c>
      <c r="S343">
        <f t="shared" si="862"/>
        <v>0</v>
      </c>
      <c r="T343">
        <f t="shared" si="863"/>
        <v>0</v>
      </c>
    </row>
    <row r="344" spans="1:20" x14ac:dyDescent="0.25">
      <c r="A344" s="5"/>
      <c r="C344"/>
      <c r="D344"/>
      <c r="P344">
        <f t="shared" si="859"/>
        <v>0</v>
      </c>
      <c r="Q344">
        <f t="shared" si="860"/>
        <v>0</v>
      </c>
      <c r="R344">
        <f t="shared" si="861"/>
        <v>0</v>
      </c>
      <c r="S344">
        <f t="shared" si="862"/>
        <v>0</v>
      </c>
      <c r="T344">
        <f t="shared" si="863"/>
        <v>0</v>
      </c>
    </row>
    <row r="345" spans="1:20" x14ac:dyDescent="0.25">
      <c r="A345" s="5"/>
      <c r="C345"/>
      <c r="D345"/>
      <c r="P345">
        <f t="shared" si="859"/>
        <v>0</v>
      </c>
      <c r="Q345">
        <f t="shared" si="860"/>
        <v>0</v>
      </c>
      <c r="R345">
        <f t="shared" si="861"/>
        <v>0</v>
      </c>
      <c r="S345">
        <f t="shared" si="862"/>
        <v>0</v>
      </c>
      <c r="T345">
        <f t="shared" si="863"/>
        <v>0</v>
      </c>
    </row>
    <row r="346" spans="1:20" x14ac:dyDescent="0.25">
      <c r="A346" s="5"/>
      <c r="C346"/>
      <c r="D346"/>
      <c r="P346">
        <f t="shared" si="859"/>
        <v>0</v>
      </c>
      <c r="Q346">
        <f t="shared" si="860"/>
        <v>0</v>
      </c>
      <c r="R346">
        <f t="shared" si="861"/>
        <v>0</v>
      </c>
      <c r="S346">
        <f t="shared" si="862"/>
        <v>0</v>
      </c>
      <c r="T346">
        <f t="shared" si="863"/>
        <v>0</v>
      </c>
    </row>
    <row r="347" spans="1:20" x14ac:dyDescent="0.25">
      <c r="A347" s="5"/>
      <c r="C347"/>
      <c r="D347"/>
      <c r="P347">
        <f t="shared" si="859"/>
        <v>0</v>
      </c>
      <c r="Q347">
        <f t="shared" si="860"/>
        <v>0</v>
      </c>
      <c r="R347">
        <f t="shared" si="861"/>
        <v>0</v>
      </c>
      <c r="S347">
        <f t="shared" si="862"/>
        <v>0</v>
      </c>
      <c r="T347">
        <f t="shared" si="863"/>
        <v>0</v>
      </c>
    </row>
    <row r="348" spans="1:20" x14ac:dyDescent="0.25">
      <c r="A348" s="5"/>
      <c r="C348"/>
      <c r="D348"/>
      <c r="P348">
        <f t="shared" si="859"/>
        <v>0</v>
      </c>
      <c r="Q348">
        <f t="shared" si="860"/>
        <v>0</v>
      </c>
      <c r="R348">
        <f t="shared" si="861"/>
        <v>0</v>
      </c>
      <c r="S348">
        <f t="shared" si="862"/>
        <v>0</v>
      </c>
      <c r="T348">
        <f t="shared" si="863"/>
        <v>0</v>
      </c>
    </row>
    <row r="349" spans="1:20" x14ac:dyDescent="0.25">
      <c r="A349" s="5"/>
      <c r="C349"/>
      <c r="D349"/>
      <c r="P349">
        <f t="shared" si="859"/>
        <v>0</v>
      </c>
      <c r="Q349">
        <f t="shared" si="860"/>
        <v>0</v>
      </c>
      <c r="R349">
        <f t="shared" si="861"/>
        <v>0</v>
      </c>
      <c r="S349">
        <f t="shared" si="862"/>
        <v>0</v>
      </c>
      <c r="T349">
        <f t="shared" si="863"/>
        <v>0</v>
      </c>
    </row>
    <row r="350" spans="1:20" x14ac:dyDescent="0.25">
      <c r="A350" s="5"/>
      <c r="C350"/>
      <c r="D350"/>
      <c r="P350">
        <f t="shared" si="859"/>
        <v>0</v>
      </c>
      <c r="Q350">
        <f t="shared" si="860"/>
        <v>0</v>
      </c>
      <c r="R350">
        <f t="shared" si="861"/>
        <v>0</v>
      </c>
      <c r="S350">
        <f t="shared" si="862"/>
        <v>0</v>
      </c>
      <c r="T350">
        <f t="shared" si="863"/>
        <v>0</v>
      </c>
    </row>
    <row r="351" spans="1:20" x14ac:dyDescent="0.25">
      <c r="A351" s="5"/>
      <c r="C351"/>
      <c r="D351"/>
      <c r="P351">
        <f t="shared" si="859"/>
        <v>0</v>
      </c>
      <c r="Q351">
        <f t="shared" si="860"/>
        <v>0</v>
      </c>
      <c r="R351">
        <f t="shared" si="861"/>
        <v>0</v>
      </c>
      <c r="S351">
        <f t="shared" si="862"/>
        <v>0</v>
      </c>
      <c r="T351">
        <f t="shared" si="863"/>
        <v>0</v>
      </c>
    </row>
    <row r="352" spans="1:20" x14ac:dyDescent="0.25">
      <c r="A352" s="5"/>
      <c r="C352"/>
      <c r="D352"/>
      <c r="P352">
        <f t="shared" si="859"/>
        <v>0</v>
      </c>
      <c r="Q352">
        <f t="shared" si="860"/>
        <v>0</v>
      </c>
      <c r="R352">
        <f t="shared" si="861"/>
        <v>0</v>
      </c>
      <c r="S352">
        <f t="shared" si="862"/>
        <v>0</v>
      </c>
      <c r="T352">
        <f t="shared" si="863"/>
        <v>0</v>
      </c>
    </row>
    <row r="353" spans="1:20" x14ac:dyDescent="0.25">
      <c r="A353" s="5"/>
      <c r="C353"/>
      <c r="D353"/>
      <c r="P353">
        <f t="shared" si="859"/>
        <v>0</v>
      </c>
      <c r="Q353">
        <f t="shared" si="860"/>
        <v>0</v>
      </c>
      <c r="R353">
        <f t="shared" si="861"/>
        <v>0</v>
      </c>
      <c r="S353">
        <f t="shared" si="862"/>
        <v>0</v>
      </c>
      <c r="T353">
        <f t="shared" si="863"/>
        <v>0</v>
      </c>
    </row>
    <row r="354" spans="1:20" x14ac:dyDescent="0.25">
      <c r="A354" s="5"/>
      <c r="C354"/>
      <c r="D354"/>
      <c r="P354">
        <f t="shared" si="859"/>
        <v>0</v>
      </c>
      <c r="Q354">
        <f t="shared" si="860"/>
        <v>0</v>
      </c>
      <c r="R354">
        <f t="shared" si="861"/>
        <v>0</v>
      </c>
      <c r="S354">
        <f t="shared" si="862"/>
        <v>0</v>
      </c>
      <c r="T354">
        <f t="shared" si="863"/>
        <v>0</v>
      </c>
    </row>
    <row r="355" spans="1:20" x14ac:dyDescent="0.25">
      <c r="A355" s="5"/>
      <c r="C355"/>
      <c r="D355"/>
      <c r="P355">
        <f t="shared" si="859"/>
        <v>0</v>
      </c>
      <c r="Q355">
        <f t="shared" si="860"/>
        <v>0</v>
      </c>
      <c r="R355">
        <f t="shared" si="861"/>
        <v>0</v>
      </c>
      <c r="S355">
        <f t="shared" si="862"/>
        <v>0</v>
      </c>
      <c r="T355">
        <f t="shared" si="863"/>
        <v>0</v>
      </c>
    </row>
    <row r="356" spans="1:20" x14ac:dyDescent="0.25">
      <c r="A356" s="5"/>
      <c r="C356"/>
      <c r="D356"/>
      <c r="P356">
        <f t="shared" si="859"/>
        <v>0</v>
      </c>
      <c r="Q356">
        <f t="shared" si="860"/>
        <v>0</v>
      </c>
      <c r="R356">
        <f t="shared" si="861"/>
        <v>0</v>
      </c>
      <c r="S356">
        <f t="shared" si="862"/>
        <v>0</v>
      </c>
      <c r="T356">
        <f t="shared" si="863"/>
        <v>0</v>
      </c>
    </row>
    <row r="357" spans="1:20" x14ac:dyDescent="0.25">
      <c r="A357" s="5"/>
      <c r="C357"/>
      <c r="D357"/>
      <c r="P357">
        <f t="shared" si="859"/>
        <v>0</v>
      </c>
      <c r="Q357">
        <f t="shared" si="860"/>
        <v>0</v>
      </c>
      <c r="R357">
        <f t="shared" si="861"/>
        <v>0</v>
      </c>
      <c r="S357">
        <f t="shared" si="862"/>
        <v>0</v>
      </c>
      <c r="T357">
        <f t="shared" si="863"/>
        <v>0</v>
      </c>
    </row>
    <row r="358" spans="1:20" x14ac:dyDescent="0.25">
      <c r="A358" s="5"/>
      <c r="C358"/>
      <c r="D358"/>
      <c r="P358">
        <f t="shared" si="859"/>
        <v>0</v>
      </c>
      <c r="Q358">
        <f t="shared" si="860"/>
        <v>0</v>
      </c>
      <c r="R358">
        <f t="shared" si="861"/>
        <v>0</v>
      </c>
      <c r="S358">
        <f t="shared" si="862"/>
        <v>0</v>
      </c>
      <c r="T358">
        <f t="shared" si="863"/>
        <v>0</v>
      </c>
    </row>
    <row r="359" spans="1:20" x14ac:dyDescent="0.25">
      <c r="A359" s="5"/>
      <c r="C359"/>
      <c r="D359"/>
      <c r="P359">
        <f t="shared" si="859"/>
        <v>0</v>
      </c>
      <c r="Q359">
        <f t="shared" si="860"/>
        <v>0</v>
      </c>
      <c r="R359">
        <f t="shared" si="861"/>
        <v>0</v>
      </c>
      <c r="S359">
        <f t="shared" si="862"/>
        <v>0</v>
      </c>
      <c r="T359">
        <f t="shared" si="863"/>
        <v>0</v>
      </c>
    </row>
    <row r="360" spans="1:20" x14ac:dyDescent="0.25">
      <c r="A360" s="5"/>
      <c r="C360"/>
      <c r="D360"/>
      <c r="P360">
        <f t="shared" si="859"/>
        <v>0</v>
      </c>
      <c r="Q360">
        <f t="shared" si="860"/>
        <v>0</v>
      </c>
      <c r="R360">
        <f t="shared" si="861"/>
        <v>0</v>
      </c>
      <c r="S360">
        <f t="shared" si="862"/>
        <v>0</v>
      </c>
      <c r="T360">
        <f t="shared" si="863"/>
        <v>0</v>
      </c>
    </row>
    <row r="361" spans="1:20" x14ac:dyDescent="0.25">
      <c r="A361" s="5"/>
      <c r="C361"/>
      <c r="D361"/>
      <c r="P361">
        <f t="shared" si="859"/>
        <v>0</v>
      </c>
      <c r="Q361">
        <f t="shared" si="860"/>
        <v>0</v>
      </c>
      <c r="R361">
        <f t="shared" si="861"/>
        <v>0</v>
      </c>
      <c r="S361">
        <f t="shared" si="862"/>
        <v>0</v>
      </c>
      <c r="T361">
        <f t="shared" si="863"/>
        <v>0</v>
      </c>
    </row>
    <row r="362" spans="1:20" x14ac:dyDescent="0.25">
      <c r="A362" s="5"/>
      <c r="C362"/>
      <c r="D362"/>
      <c r="P362">
        <f t="shared" si="859"/>
        <v>0</v>
      </c>
      <c r="Q362">
        <f t="shared" si="860"/>
        <v>0</v>
      </c>
      <c r="R362">
        <f t="shared" si="861"/>
        <v>0</v>
      </c>
      <c r="S362">
        <f t="shared" si="862"/>
        <v>0</v>
      </c>
      <c r="T362">
        <f t="shared" si="863"/>
        <v>0</v>
      </c>
    </row>
    <row r="363" spans="1:20" x14ac:dyDescent="0.25">
      <c r="A363" s="5"/>
      <c r="C363"/>
      <c r="D363"/>
      <c r="P363">
        <f t="shared" si="859"/>
        <v>0</v>
      </c>
      <c r="Q363">
        <f t="shared" si="860"/>
        <v>0</v>
      </c>
      <c r="R363">
        <f t="shared" si="861"/>
        <v>0</v>
      </c>
      <c r="S363">
        <f t="shared" si="862"/>
        <v>0</v>
      </c>
      <c r="T363">
        <f t="shared" si="863"/>
        <v>0</v>
      </c>
    </row>
    <row r="364" spans="1:20" x14ac:dyDescent="0.25">
      <c r="A364" s="5"/>
      <c r="C364"/>
      <c r="D364"/>
      <c r="P364">
        <f t="shared" si="859"/>
        <v>0</v>
      </c>
      <c r="Q364">
        <f t="shared" si="860"/>
        <v>0</v>
      </c>
      <c r="R364">
        <f t="shared" si="861"/>
        <v>0</v>
      </c>
      <c r="S364">
        <f t="shared" si="862"/>
        <v>0</v>
      </c>
      <c r="T364">
        <f t="shared" si="863"/>
        <v>0</v>
      </c>
    </row>
    <row r="365" spans="1:20" x14ac:dyDescent="0.25">
      <c r="A365" s="5"/>
      <c r="C365"/>
      <c r="D365"/>
      <c r="P365">
        <f t="shared" si="859"/>
        <v>0</v>
      </c>
      <c r="Q365">
        <f t="shared" si="860"/>
        <v>0</v>
      </c>
      <c r="R365">
        <f t="shared" si="861"/>
        <v>0</v>
      </c>
      <c r="S365">
        <f t="shared" si="862"/>
        <v>0</v>
      </c>
      <c r="T365">
        <f t="shared" si="863"/>
        <v>0</v>
      </c>
    </row>
    <row r="366" spans="1:20" x14ac:dyDescent="0.25">
      <c r="A366" s="5"/>
      <c r="C366"/>
      <c r="D366"/>
      <c r="P366">
        <f t="shared" si="859"/>
        <v>0</v>
      </c>
      <c r="Q366">
        <f t="shared" si="860"/>
        <v>0</v>
      </c>
      <c r="R366">
        <f t="shared" si="861"/>
        <v>0</v>
      </c>
      <c r="S366">
        <f t="shared" si="862"/>
        <v>0</v>
      </c>
      <c r="T366">
        <f t="shared" si="863"/>
        <v>0</v>
      </c>
    </row>
    <row r="367" spans="1:20" x14ac:dyDescent="0.25">
      <c r="A367" s="5"/>
      <c r="C367"/>
      <c r="D367"/>
      <c r="P367">
        <f t="shared" si="859"/>
        <v>0</v>
      </c>
      <c r="Q367">
        <f t="shared" si="860"/>
        <v>0</v>
      </c>
      <c r="R367">
        <f t="shared" si="861"/>
        <v>0</v>
      </c>
      <c r="S367">
        <f t="shared" si="862"/>
        <v>0</v>
      </c>
      <c r="T367">
        <f t="shared" si="863"/>
        <v>0</v>
      </c>
    </row>
    <row r="368" spans="1:20" x14ac:dyDescent="0.25">
      <c r="A368" s="5"/>
      <c r="C368"/>
      <c r="D368"/>
      <c r="P368">
        <f t="shared" ref="P368:P431" si="864">IF(C368=D368,0,((E368-D368)-(C368-E368))/(C368-D368))</f>
        <v>0</v>
      </c>
      <c r="Q368">
        <f t="shared" ref="Q368:Q431" si="865">F368*P368</f>
        <v>0</v>
      </c>
      <c r="R368">
        <f t="shared" ref="R368:R431" si="866">R369+Q368</f>
        <v>0</v>
      </c>
      <c r="S368">
        <f t="shared" ref="S368:S431" si="867">R368/100000</f>
        <v>0</v>
      </c>
      <c r="T368">
        <f t="shared" ref="T368:T431" si="868">S368/1000</f>
        <v>0</v>
      </c>
    </row>
    <row r="369" spans="1:20" x14ac:dyDescent="0.25">
      <c r="A369" s="5"/>
      <c r="C369"/>
      <c r="D369"/>
      <c r="P369">
        <f t="shared" si="864"/>
        <v>0</v>
      </c>
      <c r="Q369">
        <f t="shared" si="865"/>
        <v>0</v>
      </c>
      <c r="R369">
        <f t="shared" si="866"/>
        <v>0</v>
      </c>
      <c r="S369">
        <f t="shared" si="867"/>
        <v>0</v>
      </c>
      <c r="T369">
        <f t="shared" si="868"/>
        <v>0</v>
      </c>
    </row>
    <row r="370" spans="1:20" x14ac:dyDescent="0.25">
      <c r="A370" s="5"/>
      <c r="C370"/>
      <c r="D370"/>
      <c r="P370">
        <f t="shared" si="864"/>
        <v>0</v>
      </c>
      <c r="Q370">
        <f t="shared" si="865"/>
        <v>0</v>
      </c>
      <c r="R370">
        <f t="shared" si="866"/>
        <v>0</v>
      </c>
      <c r="S370">
        <f t="shared" si="867"/>
        <v>0</v>
      </c>
      <c r="T370">
        <f t="shared" si="868"/>
        <v>0</v>
      </c>
    </row>
    <row r="371" spans="1:20" x14ac:dyDescent="0.25">
      <c r="A371" s="5"/>
      <c r="C371"/>
      <c r="D371"/>
      <c r="P371">
        <f t="shared" si="864"/>
        <v>0</v>
      </c>
      <c r="Q371">
        <f t="shared" si="865"/>
        <v>0</v>
      </c>
      <c r="R371">
        <f t="shared" si="866"/>
        <v>0</v>
      </c>
      <c r="S371">
        <f t="shared" si="867"/>
        <v>0</v>
      </c>
      <c r="T371">
        <f t="shared" si="868"/>
        <v>0</v>
      </c>
    </row>
    <row r="372" spans="1:20" x14ac:dyDescent="0.25">
      <c r="A372" s="5"/>
      <c r="C372"/>
      <c r="D372"/>
      <c r="P372">
        <f t="shared" si="864"/>
        <v>0</v>
      </c>
      <c r="Q372">
        <f t="shared" si="865"/>
        <v>0</v>
      </c>
      <c r="R372">
        <f t="shared" si="866"/>
        <v>0</v>
      </c>
      <c r="S372">
        <f t="shared" si="867"/>
        <v>0</v>
      </c>
      <c r="T372">
        <f t="shared" si="868"/>
        <v>0</v>
      </c>
    </row>
    <row r="373" spans="1:20" x14ac:dyDescent="0.25">
      <c r="A373" s="5"/>
      <c r="C373"/>
      <c r="D373"/>
      <c r="P373">
        <f t="shared" si="864"/>
        <v>0</v>
      </c>
      <c r="Q373">
        <f t="shared" si="865"/>
        <v>0</v>
      </c>
      <c r="R373">
        <f t="shared" si="866"/>
        <v>0</v>
      </c>
      <c r="S373">
        <f t="shared" si="867"/>
        <v>0</v>
      </c>
      <c r="T373">
        <f t="shared" si="868"/>
        <v>0</v>
      </c>
    </row>
    <row r="374" spans="1:20" x14ac:dyDescent="0.25">
      <c r="A374" s="5"/>
      <c r="C374"/>
      <c r="D374"/>
      <c r="P374">
        <f t="shared" si="864"/>
        <v>0</v>
      </c>
      <c r="Q374">
        <f t="shared" si="865"/>
        <v>0</v>
      </c>
      <c r="R374">
        <f t="shared" si="866"/>
        <v>0</v>
      </c>
      <c r="S374">
        <f t="shared" si="867"/>
        <v>0</v>
      </c>
      <c r="T374">
        <f t="shared" si="868"/>
        <v>0</v>
      </c>
    </row>
    <row r="375" spans="1:20" x14ac:dyDescent="0.25">
      <c r="A375" s="5"/>
      <c r="C375"/>
      <c r="D375"/>
      <c r="P375">
        <f t="shared" si="864"/>
        <v>0</v>
      </c>
      <c r="Q375">
        <f t="shared" si="865"/>
        <v>0</v>
      </c>
      <c r="R375">
        <f t="shared" si="866"/>
        <v>0</v>
      </c>
      <c r="S375">
        <f t="shared" si="867"/>
        <v>0</v>
      </c>
      <c r="T375">
        <f t="shared" si="868"/>
        <v>0</v>
      </c>
    </row>
    <row r="376" spans="1:20" x14ac:dyDescent="0.25">
      <c r="A376" s="5"/>
      <c r="C376"/>
      <c r="D376"/>
      <c r="P376">
        <f t="shared" si="864"/>
        <v>0</v>
      </c>
      <c r="Q376">
        <f t="shared" si="865"/>
        <v>0</v>
      </c>
      <c r="R376">
        <f t="shared" si="866"/>
        <v>0</v>
      </c>
      <c r="S376">
        <f t="shared" si="867"/>
        <v>0</v>
      </c>
      <c r="T376">
        <f t="shared" si="868"/>
        <v>0</v>
      </c>
    </row>
    <row r="377" spans="1:20" x14ac:dyDescent="0.25">
      <c r="A377" s="5"/>
      <c r="C377"/>
      <c r="D377"/>
      <c r="P377">
        <f t="shared" si="864"/>
        <v>0</v>
      </c>
      <c r="Q377">
        <f t="shared" si="865"/>
        <v>0</v>
      </c>
      <c r="R377">
        <f t="shared" si="866"/>
        <v>0</v>
      </c>
      <c r="S377">
        <f t="shared" si="867"/>
        <v>0</v>
      </c>
      <c r="T377">
        <f t="shared" si="868"/>
        <v>0</v>
      </c>
    </row>
    <row r="378" spans="1:20" x14ac:dyDescent="0.25">
      <c r="A378" s="5"/>
      <c r="C378"/>
      <c r="D378"/>
      <c r="P378">
        <f t="shared" si="864"/>
        <v>0</v>
      </c>
      <c r="Q378">
        <f t="shared" si="865"/>
        <v>0</v>
      </c>
      <c r="R378">
        <f t="shared" si="866"/>
        <v>0</v>
      </c>
      <c r="S378">
        <f t="shared" si="867"/>
        <v>0</v>
      </c>
      <c r="T378">
        <f t="shared" si="868"/>
        <v>0</v>
      </c>
    </row>
    <row r="379" spans="1:20" x14ac:dyDescent="0.25">
      <c r="A379" s="5"/>
      <c r="C379"/>
      <c r="D379"/>
      <c r="P379">
        <f t="shared" si="864"/>
        <v>0</v>
      </c>
      <c r="Q379">
        <f t="shared" si="865"/>
        <v>0</v>
      </c>
      <c r="R379">
        <f t="shared" si="866"/>
        <v>0</v>
      </c>
      <c r="S379">
        <f t="shared" si="867"/>
        <v>0</v>
      </c>
      <c r="T379">
        <f t="shared" si="868"/>
        <v>0</v>
      </c>
    </row>
    <row r="380" spans="1:20" x14ac:dyDescent="0.25">
      <c r="A380" s="5"/>
      <c r="C380"/>
      <c r="D380"/>
      <c r="P380">
        <f t="shared" si="864"/>
        <v>0</v>
      </c>
      <c r="Q380">
        <f t="shared" si="865"/>
        <v>0</v>
      </c>
      <c r="R380">
        <f t="shared" si="866"/>
        <v>0</v>
      </c>
      <c r="S380">
        <f t="shared" si="867"/>
        <v>0</v>
      </c>
      <c r="T380">
        <f t="shared" si="868"/>
        <v>0</v>
      </c>
    </row>
    <row r="381" spans="1:20" x14ac:dyDescent="0.25">
      <c r="A381" s="5"/>
      <c r="C381"/>
      <c r="D381"/>
      <c r="P381">
        <f t="shared" si="864"/>
        <v>0</v>
      </c>
      <c r="Q381">
        <f t="shared" si="865"/>
        <v>0</v>
      </c>
      <c r="R381">
        <f t="shared" si="866"/>
        <v>0</v>
      </c>
      <c r="S381">
        <f t="shared" si="867"/>
        <v>0</v>
      </c>
      <c r="T381">
        <f t="shared" si="868"/>
        <v>0</v>
      </c>
    </row>
    <row r="382" spans="1:20" x14ac:dyDescent="0.25">
      <c r="A382" s="5"/>
      <c r="C382"/>
      <c r="D382"/>
      <c r="P382">
        <f t="shared" si="864"/>
        <v>0</v>
      </c>
      <c r="Q382">
        <f t="shared" si="865"/>
        <v>0</v>
      </c>
      <c r="R382">
        <f t="shared" si="866"/>
        <v>0</v>
      </c>
      <c r="S382">
        <f t="shared" si="867"/>
        <v>0</v>
      </c>
      <c r="T382">
        <f t="shared" si="868"/>
        <v>0</v>
      </c>
    </row>
    <row r="383" spans="1:20" x14ac:dyDescent="0.25">
      <c r="A383" s="5"/>
      <c r="C383"/>
      <c r="D383"/>
      <c r="P383">
        <f t="shared" si="864"/>
        <v>0</v>
      </c>
      <c r="Q383">
        <f t="shared" si="865"/>
        <v>0</v>
      </c>
      <c r="R383">
        <f t="shared" si="866"/>
        <v>0</v>
      </c>
      <c r="S383">
        <f t="shared" si="867"/>
        <v>0</v>
      </c>
      <c r="T383">
        <f t="shared" si="868"/>
        <v>0</v>
      </c>
    </row>
    <row r="384" spans="1:20" x14ac:dyDescent="0.25">
      <c r="A384" s="5"/>
      <c r="C384"/>
      <c r="D384"/>
      <c r="P384">
        <f t="shared" si="864"/>
        <v>0</v>
      </c>
      <c r="Q384">
        <f t="shared" si="865"/>
        <v>0</v>
      </c>
      <c r="R384">
        <f t="shared" si="866"/>
        <v>0</v>
      </c>
      <c r="S384">
        <f t="shared" si="867"/>
        <v>0</v>
      </c>
      <c r="T384">
        <f t="shared" si="868"/>
        <v>0</v>
      </c>
    </row>
    <row r="385" spans="1:20" x14ac:dyDescent="0.25">
      <c r="A385" s="5"/>
      <c r="C385"/>
      <c r="D385"/>
      <c r="P385">
        <f t="shared" si="864"/>
        <v>0</v>
      </c>
      <c r="Q385">
        <f t="shared" si="865"/>
        <v>0</v>
      </c>
      <c r="R385">
        <f t="shared" si="866"/>
        <v>0</v>
      </c>
      <c r="S385">
        <f t="shared" si="867"/>
        <v>0</v>
      </c>
      <c r="T385">
        <f t="shared" si="868"/>
        <v>0</v>
      </c>
    </row>
    <row r="386" spans="1:20" x14ac:dyDescent="0.25">
      <c r="A386" s="5"/>
      <c r="C386"/>
      <c r="D386"/>
      <c r="P386">
        <f t="shared" si="864"/>
        <v>0</v>
      </c>
      <c r="Q386">
        <f t="shared" si="865"/>
        <v>0</v>
      </c>
      <c r="R386">
        <f t="shared" si="866"/>
        <v>0</v>
      </c>
      <c r="S386">
        <f t="shared" si="867"/>
        <v>0</v>
      </c>
      <c r="T386">
        <f t="shared" si="868"/>
        <v>0</v>
      </c>
    </row>
    <row r="387" spans="1:20" x14ac:dyDescent="0.25">
      <c r="A387" s="5"/>
      <c r="C387"/>
      <c r="D387"/>
      <c r="P387">
        <f t="shared" si="864"/>
        <v>0</v>
      </c>
      <c r="Q387">
        <f t="shared" si="865"/>
        <v>0</v>
      </c>
      <c r="R387">
        <f t="shared" si="866"/>
        <v>0</v>
      </c>
      <c r="S387">
        <f t="shared" si="867"/>
        <v>0</v>
      </c>
      <c r="T387">
        <f t="shared" si="868"/>
        <v>0</v>
      </c>
    </row>
    <row r="388" spans="1:20" x14ac:dyDescent="0.25">
      <c r="A388" s="5"/>
      <c r="C388"/>
      <c r="D388"/>
      <c r="P388">
        <f t="shared" si="864"/>
        <v>0</v>
      </c>
      <c r="Q388">
        <f t="shared" si="865"/>
        <v>0</v>
      </c>
      <c r="R388">
        <f t="shared" si="866"/>
        <v>0</v>
      </c>
      <c r="S388">
        <f t="shared" si="867"/>
        <v>0</v>
      </c>
      <c r="T388">
        <f t="shared" si="868"/>
        <v>0</v>
      </c>
    </row>
    <row r="389" spans="1:20" x14ac:dyDescent="0.25">
      <c r="A389" s="5"/>
      <c r="C389"/>
      <c r="D389"/>
      <c r="P389">
        <f t="shared" si="864"/>
        <v>0</v>
      </c>
      <c r="Q389">
        <f t="shared" si="865"/>
        <v>0</v>
      </c>
      <c r="R389">
        <f t="shared" si="866"/>
        <v>0</v>
      </c>
      <c r="S389">
        <f t="shared" si="867"/>
        <v>0</v>
      </c>
      <c r="T389">
        <f t="shared" si="868"/>
        <v>0</v>
      </c>
    </row>
    <row r="390" spans="1:20" x14ac:dyDescent="0.25">
      <c r="A390" s="5"/>
      <c r="C390"/>
      <c r="D390"/>
      <c r="P390">
        <f t="shared" si="864"/>
        <v>0</v>
      </c>
      <c r="Q390">
        <f t="shared" si="865"/>
        <v>0</v>
      </c>
      <c r="R390">
        <f t="shared" si="866"/>
        <v>0</v>
      </c>
      <c r="S390">
        <f t="shared" si="867"/>
        <v>0</v>
      </c>
      <c r="T390">
        <f t="shared" si="868"/>
        <v>0</v>
      </c>
    </row>
    <row r="391" spans="1:20" x14ac:dyDescent="0.25">
      <c r="A391" s="5"/>
      <c r="C391"/>
      <c r="D391"/>
      <c r="P391">
        <f t="shared" si="864"/>
        <v>0</v>
      </c>
      <c r="Q391">
        <f t="shared" si="865"/>
        <v>0</v>
      </c>
      <c r="R391">
        <f t="shared" si="866"/>
        <v>0</v>
      </c>
      <c r="S391">
        <f t="shared" si="867"/>
        <v>0</v>
      </c>
      <c r="T391">
        <f t="shared" si="868"/>
        <v>0</v>
      </c>
    </row>
    <row r="392" spans="1:20" x14ac:dyDescent="0.25">
      <c r="A392" s="5"/>
      <c r="C392"/>
      <c r="D392"/>
      <c r="P392">
        <f t="shared" si="864"/>
        <v>0</v>
      </c>
      <c r="Q392">
        <f t="shared" si="865"/>
        <v>0</v>
      </c>
      <c r="R392">
        <f t="shared" si="866"/>
        <v>0</v>
      </c>
      <c r="S392">
        <f t="shared" si="867"/>
        <v>0</v>
      </c>
      <c r="T392">
        <f t="shared" si="868"/>
        <v>0</v>
      </c>
    </row>
    <row r="393" spans="1:20" x14ac:dyDescent="0.25">
      <c r="A393" s="5"/>
      <c r="C393"/>
      <c r="D393"/>
      <c r="P393">
        <f t="shared" si="864"/>
        <v>0</v>
      </c>
      <c r="Q393">
        <f t="shared" si="865"/>
        <v>0</v>
      </c>
      <c r="R393">
        <f t="shared" si="866"/>
        <v>0</v>
      </c>
      <c r="S393">
        <f t="shared" si="867"/>
        <v>0</v>
      </c>
      <c r="T393">
        <f t="shared" si="868"/>
        <v>0</v>
      </c>
    </row>
    <row r="394" spans="1:20" x14ac:dyDescent="0.25">
      <c r="A394" s="5"/>
      <c r="C394"/>
      <c r="D394"/>
      <c r="P394">
        <f t="shared" si="864"/>
        <v>0</v>
      </c>
      <c r="Q394">
        <f t="shared" si="865"/>
        <v>0</v>
      </c>
      <c r="R394">
        <f t="shared" si="866"/>
        <v>0</v>
      </c>
      <c r="S394">
        <f t="shared" si="867"/>
        <v>0</v>
      </c>
      <c r="T394">
        <f t="shared" si="868"/>
        <v>0</v>
      </c>
    </row>
    <row r="395" spans="1:20" x14ac:dyDescent="0.25">
      <c r="A395" s="5"/>
      <c r="C395"/>
      <c r="D395"/>
      <c r="P395">
        <f t="shared" si="864"/>
        <v>0</v>
      </c>
      <c r="Q395">
        <f t="shared" si="865"/>
        <v>0</v>
      </c>
      <c r="R395">
        <f t="shared" si="866"/>
        <v>0</v>
      </c>
      <c r="S395">
        <f t="shared" si="867"/>
        <v>0</v>
      </c>
      <c r="T395">
        <f t="shared" si="868"/>
        <v>0</v>
      </c>
    </row>
    <row r="396" spans="1:20" x14ac:dyDescent="0.25">
      <c r="A396" s="5"/>
      <c r="C396"/>
      <c r="D396"/>
      <c r="P396">
        <f t="shared" si="864"/>
        <v>0</v>
      </c>
      <c r="Q396">
        <f t="shared" si="865"/>
        <v>0</v>
      </c>
      <c r="R396">
        <f t="shared" si="866"/>
        <v>0</v>
      </c>
      <c r="S396">
        <f t="shared" si="867"/>
        <v>0</v>
      </c>
      <c r="T396">
        <f t="shared" si="868"/>
        <v>0</v>
      </c>
    </row>
    <row r="397" spans="1:20" x14ac:dyDescent="0.25">
      <c r="A397" s="5"/>
      <c r="C397"/>
      <c r="D397"/>
      <c r="P397">
        <f t="shared" si="864"/>
        <v>0</v>
      </c>
      <c r="Q397">
        <f t="shared" si="865"/>
        <v>0</v>
      </c>
      <c r="R397">
        <f t="shared" si="866"/>
        <v>0</v>
      </c>
      <c r="S397">
        <f t="shared" si="867"/>
        <v>0</v>
      </c>
      <c r="T397">
        <f t="shared" si="868"/>
        <v>0</v>
      </c>
    </row>
    <row r="398" spans="1:20" x14ac:dyDescent="0.25">
      <c r="A398" s="5"/>
      <c r="C398"/>
      <c r="D398"/>
      <c r="P398">
        <f t="shared" si="864"/>
        <v>0</v>
      </c>
      <c r="Q398">
        <f t="shared" si="865"/>
        <v>0</v>
      </c>
      <c r="R398">
        <f t="shared" si="866"/>
        <v>0</v>
      </c>
      <c r="S398">
        <f t="shared" si="867"/>
        <v>0</v>
      </c>
      <c r="T398">
        <f t="shared" si="868"/>
        <v>0</v>
      </c>
    </row>
    <row r="399" spans="1:20" x14ac:dyDescent="0.25">
      <c r="A399" s="5"/>
      <c r="C399"/>
      <c r="D399"/>
      <c r="P399">
        <f t="shared" si="864"/>
        <v>0</v>
      </c>
      <c r="Q399">
        <f t="shared" si="865"/>
        <v>0</v>
      </c>
      <c r="R399">
        <f t="shared" si="866"/>
        <v>0</v>
      </c>
      <c r="S399">
        <f t="shared" si="867"/>
        <v>0</v>
      </c>
      <c r="T399">
        <f t="shared" si="868"/>
        <v>0</v>
      </c>
    </row>
    <row r="400" spans="1:20" x14ac:dyDescent="0.25">
      <c r="A400" s="5"/>
      <c r="C400"/>
      <c r="D400"/>
      <c r="P400">
        <f t="shared" si="864"/>
        <v>0</v>
      </c>
      <c r="Q400">
        <f t="shared" si="865"/>
        <v>0</v>
      </c>
      <c r="R400">
        <f t="shared" si="866"/>
        <v>0</v>
      </c>
      <c r="S400">
        <f t="shared" si="867"/>
        <v>0</v>
      </c>
      <c r="T400">
        <f t="shared" si="868"/>
        <v>0</v>
      </c>
    </row>
    <row r="401" spans="1:20" x14ac:dyDescent="0.25">
      <c r="A401" s="5"/>
      <c r="C401"/>
      <c r="D401"/>
      <c r="P401">
        <f t="shared" si="864"/>
        <v>0</v>
      </c>
      <c r="Q401">
        <f t="shared" si="865"/>
        <v>0</v>
      </c>
      <c r="R401">
        <f t="shared" si="866"/>
        <v>0</v>
      </c>
      <c r="S401">
        <f t="shared" si="867"/>
        <v>0</v>
      </c>
      <c r="T401">
        <f t="shared" si="868"/>
        <v>0</v>
      </c>
    </row>
    <row r="402" spans="1:20" x14ac:dyDescent="0.25">
      <c r="A402" s="5"/>
      <c r="C402"/>
      <c r="D402"/>
      <c r="P402">
        <f t="shared" si="864"/>
        <v>0</v>
      </c>
      <c r="Q402">
        <f t="shared" si="865"/>
        <v>0</v>
      </c>
      <c r="R402">
        <f t="shared" si="866"/>
        <v>0</v>
      </c>
      <c r="S402">
        <f t="shared" si="867"/>
        <v>0</v>
      </c>
      <c r="T402">
        <f t="shared" si="868"/>
        <v>0</v>
      </c>
    </row>
    <row r="403" spans="1:20" x14ac:dyDescent="0.25">
      <c r="A403" s="5"/>
      <c r="C403"/>
      <c r="D403"/>
      <c r="P403">
        <f t="shared" si="864"/>
        <v>0</v>
      </c>
      <c r="Q403">
        <f t="shared" si="865"/>
        <v>0</v>
      </c>
      <c r="R403">
        <f t="shared" si="866"/>
        <v>0</v>
      </c>
      <c r="S403">
        <f t="shared" si="867"/>
        <v>0</v>
      </c>
      <c r="T403">
        <f t="shared" si="868"/>
        <v>0</v>
      </c>
    </row>
    <row r="404" spans="1:20" x14ac:dyDescent="0.25">
      <c r="A404" s="5"/>
      <c r="C404"/>
      <c r="D404"/>
      <c r="P404">
        <f t="shared" si="864"/>
        <v>0</v>
      </c>
      <c r="Q404">
        <f t="shared" si="865"/>
        <v>0</v>
      </c>
      <c r="R404">
        <f t="shared" si="866"/>
        <v>0</v>
      </c>
      <c r="S404">
        <f t="shared" si="867"/>
        <v>0</v>
      </c>
      <c r="T404">
        <f t="shared" si="868"/>
        <v>0</v>
      </c>
    </row>
    <row r="405" spans="1:20" x14ac:dyDescent="0.25">
      <c r="A405" s="5"/>
      <c r="C405"/>
      <c r="D405"/>
      <c r="P405">
        <f t="shared" si="864"/>
        <v>0</v>
      </c>
      <c r="Q405">
        <f t="shared" si="865"/>
        <v>0</v>
      </c>
      <c r="R405">
        <f t="shared" si="866"/>
        <v>0</v>
      </c>
      <c r="S405">
        <f t="shared" si="867"/>
        <v>0</v>
      </c>
      <c r="T405">
        <f t="shared" si="868"/>
        <v>0</v>
      </c>
    </row>
    <row r="406" spans="1:20" x14ac:dyDescent="0.25">
      <c r="A406" s="5"/>
      <c r="C406"/>
      <c r="D406"/>
      <c r="P406">
        <f t="shared" si="864"/>
        <v>0</v>
      </c>
      <c r="Q406">
        <f t="shared" si="865"/>
        <v>0</v>
      </c>
      <c r="R406">
        <f t="shared" si="866"/>
        <v>0</v>
      </c>
      <c r="S406">
        <f t="shared" si="867"/>
        <v>0</v>
      </c>
      <c r="T406">
        <f t="shared" si="868"/>
        <v>0</v>
      </c>
    </row>
    <row r="407" spans="1:20" x14ac:dyDescent="0.25">
      <c r="A407" s="5"/>
      <c r="C407"/>
      <c r="D407"/>
      <c r="P407">
        <f t="shared" si="864"/>
        <v>0</v>
      </c>
      <c r="Q407">
        <f t="shared" si="865"/>
        <v>0</v>
      </c>
      <c r="R407">
        <f t="shared" si="866"/>
        <v>0</v>
      </c>
      <c r="S407">
        <f t="shared" si="867"/>
        <v>0</v>
      </c>
      <c r="T407">
        <f t="shared" si="868"/>
        <v>0</v>
      </c>
    </row>
    <row r="408" spans="1:20" x14ac:dyDescent="0.25">
      <c r="A408" s="5"/>
      <c r="C408"/>
      <c r="D408"/>
      <c r="P408">
        <f t="shared" si="864"/>
        <v>0</v>
      </c>
      <c r="Q408">
        <f t="shared" si="865"/>
        <v>0</v>
      </c>
      <c r="R408">
        <f t="shared" si="866"/>
        <v>0</v>
      </c>
      <c r="S408">
        <f t="shared" si="867"/>
        <v>0</v>
      </c>
      <c r="T408">
        <f t="shared" si="868"/>
        <v>0</v>
      </c>
    </row>
    <row r="409" spans="1:20" x14ac:dyDescent="0.25">
      <c r="A409" s="5"/>
      <c r="C409"/>
      <c r="D409"/>
      <c r="P409">
        <f t="shared" si="864"/>
        <v>0</v>
      </c>
      <c r="Q409">
        <f t="shared" si="865"/>
        <v>0</v>
      </c>
      <c r="R409">
        <f t="shared" si="866"/>
        <v>0</v>
      </c>
      <c r="S409">
        <f t="shared" si="867"/>
        <v>0</v>
      </c>
      <c r="T409">
        <f t="shared" si="868"/>
        <v>0</v>
      </c>
    </row>
    <row r="410" spans="1:20" x14ac:dyDescent="0.25">
      <c r="A410" s="5"/>
      <c r="C410"/>
      <c r="D410"/>
      <c r="P410">
        <f t="shared" si="864"/>
        <v>0</v>
      </c>
      <c r="Q410">
        <f t="shared" si="865"/>
        <v>0</v>
      </c>
      <c r="R410">
        <f t="shared" si="866"/>
        <v>0</v>
      </c>
      <c r="S410">
        <f t="shared" si="867"/>
        <v>0</v>
      </c>
      <c r="T410">
        <f t="shared" si="868"/>
        <v>0</v>
      </c>
    </row>
    <row r="411" spans="1:20" x14ac:dyDescent="0.25">
      <c r="A411" s="5"/>
      <c r="C411"/>
      <c r="D411"/>
      <c r="P411">
        <f t="shared" si="864"/>
        <v>0</v>
      </c>
      <c r="Q411">
        <f t="shared" si="865"/>
        <v>0</v>
      </c>
      <c r="R411">
        <f t="shared" si="866"/>
        <v>0</v>
      </c>
      <c r="S411">
        <f t="shared" si="867"/>
        <v>0</v>
      </c>
      <c r="T411">
        <f t="shared" si="868"/>
        <v>0</v>
      </c>
    </row>
    <row r="412" spans="1:20" x14ac:dyDescent="0.25">
      <c r="A412" s="5"/>
      <c r="C412"/>
      <c r="D412"/>
      <c r="P412">
        <f t="shared" si="864"/>
        <v>0</v>
      </c>
      <c r="Q412">
        <f t="shared" si="865"/>
        <v>0</v>
      </c>
      <c r="R412">
        <f t="shared" si="866"/>
        <v>0</v>
      </c>
      <c r="S412">
        <f t="shared" si="867"/>
        <v>0</v>
      </c>
      <c r="T412">
        <f t="shared" si="868"/>
        <v>0</v>
      </c>
    </row>
    <row r="413" spans="1:20" x14ac:dyDescent="0.25">
      <c r="A413" s="5"/>
      <c r="C413"/>
      <c r="D413"/>
      <c r="P413">
        <f t="shared" si="864"/>
        <v>0</v>
      </c>
      <c r="Q413">
        <f t="shared" si="865"/>
        <v>0</v>
      </c>
      <c r="R413">
        <f t="shared" si="866"/>
        <v>0</v>
      </c>
      <c r="S413">
        <f t="shared" si="867"/>
        <v>0</v>
      </c>
      <c r="T413">
        <f t="shared" si="868"/>
        <v>0</v>
      </c>
    </row>
    <row r="414" spans="1:20" x14ac:dyDescent="0.25">
      <c r="A414" s="5"/>
      <c r="C414"/>
      <c r="D414"/>
      <c r="P414">
        <f t="shared" si="864"/>
        <v>0</v>
      </c>
      <c r="Q414">
        <f t="shared" si="865"/>
        <v>0</v>
      </c>
      <c r="R414">
        <f t="shared" si="866"/>
        <v>0</v>
      </c>
      <c r="S414">
        <f t="shared" si="867"/>
        <v>0</v>
      </c>
      <c r="T414">
        <f t="shared" si="868"/>
        <v>0</v>
      </c>
    </row>
    <row r="415" spans="1:20" x14ac:dyDescent="0.25">
      <c r="A415" s="5"/>
      <c r="C415"/>
      <c r="D415"/>
      <c r="P415">
        <f t="shared" si="864"/>
        <v>0</v>
      </c>
      <c r="Q415">
        <f t="shared" si="865"/>
        <v>0</v>
      </c>
      <c r="R415">
        <f t="shared" si="866"/>
        <v>0</v>
      </c>
      <c r="S415">
        <f t="shared" si="867"/>
        <v>0</v>
      </c>
      <c r="T415">
        <f t="shared" si="868"/>
        <v>0</v>
      </c>
    </row>
    <row r="416" spans="1:20" x14ac:dyDescent="0.25">
      <c r="A416" s="5"/>
      <c r="C416"/>
      <c r="D416"/>
      <c r="P416">
        <f t="shared" si="864"/>
        <v>0</v>
      </c>
      <c r="Q416">
        <f t="shared" si="865"/>
        <v>0</v>
      </c>
      <c r="R416">
        <f t="shared" si="866"/>
        <v>0</v>
      </c>
      <c r="S416">
        <f t="shared" si="867"/>
        <v>0</v>
      </c>
      <c r="T416">
        <f t="shared" si="868"/>
        <v>0</v>
      </c>
    </row>
    <row r="417" spans="1:20" x14ac:dyDescent="0.25">
      <c r="A417" s="5"/>
      <c r="C417"/>
      <c r="D417"/>
      <c r="P417">
        <f t="shared" si="864"/>
        <v>0</v>
      </c>
      <c r="Q417">
        <f t="shared" si="865"/>
        <v>0</v>
      </c>
      <c r="R417">
        <f t="shared" si="866"/>
        <v>0</v>
      </c>
      <c r="S417">
        <f t="shared" si="867"/>
        <v>0</v>
      </c>
      <c r="T417">
        <f t="shared" si="868"/>
        <v>0</v>
      </c>
    </row>
    <row r="418" spans="1:20" x14ac:dyDescent="0.25">
      <c r="A418" s="5"/>
      <c r="C418"/>
      <c r="D418"/>
      <c r="P418">
        <f t="shared" si="864"/>
        <v>0</v>
      </c>
      <c r="Q418">
        <f t="shared" si="865"/>
        <v>0</v>
      </c>
      <c r="R418">
        <f t="shared" si="866"/>
        <v>0</v>
      </c>
      <c r="S418">
        <f t="shared" si="867"/>
        <v>0</v>
      </c>
      <c r="T418">
        <f t="shared" si="868"/>
        <v>0</v>
      </c>
    </row>
    <row r="419" spans="1:20" x14ac:dyDescent="0.25">
      <c r="A419" s="5"/>
      <c r="C419"/>
      <c r="D419"/>
      <c r="P419">
        <f t="shared" si="864"/>
        <v>0</v>
      </c>
      <c r="Q419">
        <f t="shared" si="865"/>
        <v>0</v>
      </c>
      <c r="R419">
        <f t="shared" si="866"/>
        <v>0</v>
      </c>
      <c r="S419">
        <f t="shared" si="867"/>
        <v>0</v>
      </c>
      <c r="T419">
        <f t="shared" si="868"/>
        <v>0</v>
      </c>
    </row>
    <row r="420" spans="1:20" x14ac:dyDescent="0.25">
      <c r="A420" s="5"/>
      <c r="C420"/>
      <c r="D420"/>
      <c r="P420">
        <f t="shared" si="864"/>
        <v>0</v>
      </c>
      <c r="Q420">
        <f t="shared" si="865"/>
        <v>0</v>
      </c>
      <c r="R420">
        <f t="shared" si="866"/>
        <v>0</v>
      </c>
      <c r="S420">
        <f t="shared" si="867"/>
        <v>0</v>
      </c>
      <c r="T420">
        <f t="shared" si="868"/>
        <v>0</v>
      </c>
    </row>
    <row r="421" spans="1:20" x14ac:dyDescent="0.25">
      <c r="A421" s="5"/>
      <c r="C421"/>
      <c r="D421"/>
      <c r="P421">
        <f t="shared" si="864"/>
        <v>0</v>
      </c>
      <c r="Q421">
        <f t="shared" si="865"/>
        <v>0</v>
      </c>
      <c r="R421">
        <f t="shared" si="866"/>
        <v>0</v>
      </c>
      <c r="S421">
        <f t="shared" si="867"/>
        <v>0</v>
      </c>
      <c r="T421">
        <f t="shared" si="868"/>
        <v>0</v>
      </c>
    </row>
    <row r="422" spans="1:20" x14ac:dyDescent="0.25">
      <c r="A422" s="5"/>
      <c r="C422"/>
      <c r="D422"/>
      <c r="P422">
        <f t="shared" si="864"/>
        <v>0</v>
      </c>
      <c r="Q422">
        <f t="shared" si="865"/>
        <v>0</v>
      </c>
      <c r="R422">
        <f t="shared" si="866"/>
        <v>0</v>
      </c>
      <c r="S422">
        <f t="shared" si="867"/>
        <v>0</v>
      </c>
      <c r="T422">
        <f t="shared" si="868"/>
        <v>0</v>
      </c>
    </row>
    <row r="423" spans="1:20" x14ac:dyDescent="0.25">
      <c r="A423" s="5"/>
      <c r="C423"/>
      <c r="D423"/>
      <c r="P423">
        <f t="shared" si="864"/>
        <v>0</v>
      </c>
      <c r="Q423">
        <f t="shared" si="865"/>
        <v>0</v>
      </c>
      <c r="R423">
        <f t="shared" si="866"/>
        <v>0</v>
      </c>
      <c r="S423">
        <f t="shared" si="867"/>
        <v>0</v>
      </c>
      <c r="T423">
        <f t="shared" si="868"/>
        <v>0</v>
      </c>
    </row>
    <row r="424" spans="1:20" x14ac:dyDescent="0.25">
      <c r="A424" s="5"/>
      <c r="C424"/>
      <c r="D424"/>
      <c r="P424">
        <f t="shared" si="864"/>
        <v>0</v>
      </c>
      <c r="Q424">
        <f t="shared" si="865"/>
        <v>0</v>
      </c>
      <c r="R424">
        <f t="shared" si="866"/>
        <v>0</v>
      </c>
      <c r="S424">
        <f t="shared" si="867"/>
        <v>0</v>
      </c>
      <c r="T424">
        <f t="shared" si="868"/>
        <v>0</v>
      </c>
    </row>
    <row r="425" spans="1:20" x14ac:dyDescent="0.25">
      <c r="A425" s="5"/>
      <c r="C425"/>
      <c r="D425"/>
      <c r="P425">
        <f t="shared" si="864"/>
        <v>0</v>
      </c>
      <c r="Q425">
        <f t="shared" si="865"/>
        <v>0</v>
      </c>
      <c r="R425">
        <f t="shared" si="866"/>
        <v>0</v>
      </c>
      <c r="S425">
        <f t="shared" si="867"/>
        <v>0</v>
      </c>
      <c r="T425">
        <f t="shared" si="868"/>
        <v>0</v>
      </c>
    </row>
    <row r="426" spans="1:20" x14ac:dyDescent="0.25">
      <c r="A426" s="5"/>
      <c r="C426"/>
      <c r="D426"/>
      <c r="P426">
        <f t="shared" si="864"/>
        <v>0</v>
      </c>
      <c r="Q426">
        <f t="shared" si="865"/>
        <v>0</v>
      </c>
      <c r="R426">
        <f t="shared" si="866"/>
        <v>0</v>
      </c>
      <c r="S426">
        <f t="shared" si="867"/>
        <v>0</v>
      </c>
      <c r="T426">
        <f t="shared" si="868"/>
        <v>0</v>
      </c>
    </row>
    <row r="427" spans="1:20" x14ac:dyDescent="0.25">
      <c r="A427" s="5"/>
      <c r="C427"/>
      <c r="D427"/>
      <c r="P427">
        <f t="shared" si="864"/>
        <v>0</v>
      </c>
      <c r="Q427">
        <f t="shared" si="865"/>
        <v>0</v>
      </c>
      <c r="R427">
        <f t="shared" si="866"/>
        <v>0</v>
      </c>
      <c r="S427">
        <f t="shared" si="867"/>
        <v>0</v>
      </c>
      <c r="T427">
        <f t="shared" si="868"/>
        <v>0</v>
      </c>
    </row>
    <row r="428" spans="1:20" x14ac:dyDescent="0.25">
      <c r="A428" s="5"/>
      <c r="C428"/>
      <c r="D428"/>
      <c r="P428">
        <f t="shared" si="864"/>
        <v>0</v>
      </c>
      <c r="Q428">
        <f t="shared" si="865"/>
        <v>0</v>
      </c>
      <c r="R428">
        <f t="shared" si="866"/>
        <v>0</v>
      </c>
      <c r="S428">
        <f t="shared" si="867"/>
        <v>0</v>
      </c>
      <c r="T428">
        <f t="shared" si="868"/>
        <v>0</v>
      </c>
    </row>
    <row r="429" spans="1:20" x14ac:dyDescent="0.25">
      <c r="A429" s="5"/>
      <c r="C429"/>
      <c r="D429"/>
      <c r="P429">
        <f t="shared" si="864"/>
        <v>0</v>
      </c>
      <c r="Q429">
        <f t="shared" si="865"/>
        <v>0</v>
      </c>
      <c r="R429">
        <f t="shared" si="866"/>
        <v>0</v>
      </c>
      <c r="S429">
        <f t="shared" si="867"/>
        <v>0</v>
      </c>
      <c r="T429">
        <f t="shared" si="868"/>
        <v>0</v>
      </c>
    </row>
    <row r="430" spans="1:20" x14ac:dyDescent="0.25">
      <c r="A430" s="5"/>
      <c r="C430"/>
      <c r="D430"/>
      <c r="P430">
        <f t="shared" si="864"/>
        <v>0</v>
      </c>
      <c r="Q430">
        <f t="shared" si="865"/>
        <v>0</v>
      </c>
      <c r="R430">
        <f t="shared" si="866"/>
        <v>0</v>
      </c>
      <c r="S430">
        <f t="shared" si="867"/>
        <v>0</v>
      </c>
      <c r="T430">
        <f t="shared" si="868"/>
        <v>0</v>
      </c>
    </row>
    <row r="431" spans="1:20" x14ac:dyDescent="0.25">
      <c r="A431" s="5"/>
      <c r="C431"/>
      <c r="D431"/>
      <c r="P431">
        <f t="shared" si="864"/>
        <v>0</v>
      </c>
      <c r="Q431">
        <f t="shared" si="865"/>
        <v>0</v>
      </c>
      <c r="R431">
        <f t="shared" si="866"/>
        <v>0</v>
      </c>
      <c r="S431">
        <f t="shared" si="867"/>
        <v>0</v>
      </c>
      <c r="T431">
        <f t="shared" si="868"/>
        <v>0</v>
      </c>
    </row>
    <row r="432" spans="1:20" x14ac:dyDescent="0.25">
      <c r="A432" s="5"/>
      <c r="C432"/>
      <c r="D432"/>
      <c r="P432">
        <f t="shared" ref="P432:P495" si="869">IF(C432=D432,0,((E432-D432)-(C432-E432))/(C432-D432))</f>
        <v>0</v>
      </c>
      <c r="Q432">
        <f t="shared" ref="Q432:Q495" si="870">F432*P432</f>
        <v>0</v>
      </c>
      <c r="R432">
        <f t="shared" ref="R432:R495" si="871">R433+Q432</f>
        <v>0</v>
      </c>
      <c r="S432">
        <f t="shared" ref="S432:S495" si="872">R432/100000</f>
        <v>0</v>
      </c>
      <c r="T432">
        <f t="shared" ref="T432:T495" si="873">S432/1000</f>
        <v>0</v>
      </c>
    </row>
    <row r="433" spans="1:20" x14ac:dyDescent="0.25">
      <c r="A433" s="5"/>
      <c r="C433"/>
      <c r="D433"/>
      <c r="P433">
        <f t="shared" si="869"/>
        <v>0</v>
      </c>
      <c r="Q433">
        <f t="shared" si="870"/>
        <v>0</v>
      </c>
      <c r="R433">
        <f t="shared" si="871"/>
        <v>0</v>
      </c>
      <c r="S433">
        <f t="shared" si="872"/>
        <v>0</v>
      </c>
      <c r="T433">
        <f t="shared" si="873"/>
        <v>0</v>
      </c>
    </row>
    <row r="434" spans="1:20" x14ac:dyDescent="0.25">
      <c r="A434" s="5"/>
      <c r="C434"/>
      <c r="D434"/>
      <c r="P434">
        <f t="shared" si="869"/>
        <v>0</v>
      </c>
      <c r="Q434">
        <f t="shared" si="870"/>
        <v>0</v>
      </c>
      <c r="R434">
        <f t="shared" si="871"/>
        <v>0</v>
      </c>
      <c r="S434">
        <f t="shared" si="872"/>
        <v>0</v>
      </c>
      <c r="T434">
        <f t="shared" si="873"/>
        <v>0</v>
      </c>
    </row>
    <row r="435" spans="1:20" x14ac:dyDescent="0.25">
      <c r="A435" s="5"/>
      <c r="C435"/>
      <c r="D435"/>
      <c r="P435">
        <f t="shared" si="869"/>
        <v>0</v>
      </c>
      <c r="Q435">
        <f t="shared" si="870"/>
        <v>0</v>
      </c>
      <c r="R435">
        <f t="shared" si="871"/>
        <v>0</v>
      </c>
      <c r="S435">
        <f t="shared" si="872"/>
        <v>0</v>
      </c>
      <c r="T435">
        <f t="shared" si="873"/>
        <v>0</v>
      </c>
    </row>
    <row r="436" spans="1:20" x14ac:dyDescent="0.25">
      <c r="A436" s="5"/>
      <c r="C436"/>
      <c r="D436"/>
      <c r="P436">
        <f t="shared" si="869"/>
        <v>0</v>
      </c>
      <c r="Q436">
        <f t="shared" si="870"/>
        <v>0</v>
      </c>
      <c r="R436">
        <f t="shared" si="871"/>
        <v>0</v>
      </c>
      <c r="S436">
        <f t="shared" si="872"/>
        <v>0</v>
      </c>
      <c r="T436">
        <f t="shared" si="873"/>
        <v>0</v>
      </c>
    </row>
    <row r="437" spans="1:20" x14ac:dyDescent="0.25">
      <c r="A437" s="5"/>
      <c r="C437"/>
      <c r="D437"/>
      <c r="P437">
        <f t="shared" si="869"/>
        <v>0</v>
      </c>
      <c r="Q437">
        <f t="shared" si="870"/>
        <v>0</v>
      </c>
      <c r="R437">
        <f t="shared" si="871"/>
        <v>0</v>
      </c>
      <c r="S437">
        <f t="shared" si="872"/>
        <v>0</v>
      </c>
      <c r="T437">
        <f t="shared" si="873"/>
        <v>0</v>
      </c>
    </row>
    <row r="438" spans="1:20" x14ac:dyDescent="0.25">
      <c r="A438" s="5"/>
      <c r="C438"/>
      <c r="D438"/>
      <c r="P438">
        <f t="shared" si="869"/>
        <v>0</v>
      </c>
      <c r="Q438">
        <f t="shared" si="870"/>
        <v>0</v>
      </c>
      <c r="R438">
        <f t="shared" si="871"/>
        <v>0</v>
      </c>
      <c r="S438">
        <f t="shared" si="872"/>
        <v>0</v>
      </c>
      <c r="T438">
        <f t="shared" si="873"/>
        <v>0</v>
      </c>
    </row>
    <row r="439" spans="1:20" x14ac:dyDescent="0.25">
      <c r="A439" s="5"/>
      <c r="C439"/>
      <c r="D439"/>
      <c r="P439">
        <f t="shared" si="869"/>
        <v>0</v>
      </c>
      <c r="Q439">
        <f t="shared" si="870"/>
        <v>0</v>
      </c>
      <c r="R439">
        <f t="shared" si="871"/>
        <v>0</v>
      </c>
      <c r="S439">
        <f t="shared" si="872"/>
        <v>0</v>
      </c>
      <c r="T439">
        <f t="shared" si="873"/>
        <v>0</v>
      </c>
    </row>
    <row r="440" spans="1:20" x14ac:dyDescent="0.25">
      <c r="A440" s="5"/>
      <c r="C440"/>
      <c r="D440"/>
      <c r="P440">
        <f t="shared" si="869"/>
        <v>0</v>
      </c>
      <c r="Q440">
        <f t="shared" si="870"/>
        <v>0</v>
      </c>
      <c r="R440">
        <f t="shared" si="871"/>
        <v>0</v>
      </c>
      <c r="S440">
        <f t="shared" si="872"/>
        <v>0</v>
      </c>
      <c r="T440">
        <f t="shared" si="873"/>
        <v>0</v>
      </c>
    </row>
    <row r="441" spans="1:20" x14ac:dyDescent="0.25">
      <c r="A441" s="5"/>
      <c r="C441"/>
      <c r="D441"/>
      <c r="P441">
        <f t="shared" si="869"/>
        <v>0</v>
      </c>
      <c r="Q441">
        <f t="shared" si="870"/>
        <v>0</v>
      </c>
      <c r="R441">
        <f t="shared" si="871"/>
        <v>0</v>
      </c>
      <c r="S441">
        <f t="shared" si="872"/>
        <v>0</v>
      </c>
      <c r="T441">
        <f t="shared" si="873"/>
        <v>0</v>
      </c>
    </row>
    <row r="442" spans="1:20" x14ac:dyDescent="0.25">
      <c r="A442" s="5"/>
      <c r="C442"/>
      <c r="D442"/>
      <c r="P442">
        <f t="shared" si="869"/>
        <v>0</v>
      </c>
      <c r="Q442">
        <f t="shared" si="870"/>
        <v>0</v>
      </c>
      <c r="R442">
        <f t="shared" si="871"/>
        <v>0</v>
      </c>
      <c r="S442">
        <f t="shared" si="872"/>
        <v>0</v>
      </c>
      <c r="T442">
        <f t="shared" si="873"/>
        <v>0</v>
      </c>
    </row>
    <row r="443" spans="1:20" x14ac:dyDescent="0.25">
      <c r="A443" s="5"/>
      <c r="C443"/>
      <c r="D443"/>
      <c r="P443">
        <f t="shared" si="869"/>
        <v>0</v>
      </c>
      <c r="Q443">
        <f t="shared" si="870"/>
        <v>0</v>
      </c>
      <c r="R443">
        <f t="shared" si="871"/>
        <v>0</v>
      </c>
      <c r="S443">
        <f t="shared" si="872"/>
        <v>0</v>
      </c>
      <c r="T443">
        <f t="shared" si="873"/>
        <v>0</v>
      </c>
    </row>
    <row r="444" spans="1:20" x14ac:dyDescent="0.25">
      <c r="A444" s="5"/>
      <c r="C444"/>
      <c r="D444"/>
      <c r="P444">
        <f t="shared" si="869"/>
        <v>0</v>
      </c>
      <c r="Q444">
        <f t="shared" si="870"/>
        <v>0</v>
      </c>
      <c r="R444">
        <f t="shared" si="871"/>
        <v>0</v>
      </c>
      <c r="S444">
        <f t="shared" si="872"/>
        <v>0</v>
      </c>
      <c r="T444">
        <f t="shared" si="873"/>
        <v>0</v>
      </c>
    </row>
    <row r="445" spans="1:20" x14ac:dyDescent="0.25">
      <c r="A445" s="5"/>
      <c r="C445"/>
      <c r="D445"/>
      <c r="P445">
        <f t="shared" si="869"/>
        <v>0</v>
      </c>
      <c r="Q445">
        <f t="shared" si="870"/>
        <v>0</v>
      </c>
      <c r="R445">
        <f t="shared" si="871"/>
        <v>0</v>
      </c>
      <c r="S445">
        <f t="shared" si="872"/>
        <v>0</v>
      </c>
      <c r="T445">
        <f t="shared" si="873"/>
        <v>0</v>
      </c>
    </row>
    <row r="446" spans="1:20" x14ac:dyDescent="0.25">
      <c r="A446" s="5"/>
      <c r="C446"/>
      <c r="D446"/>
      <c r="P446">
        <f t="shared" si="869"/>
        <v>0</v>
      </c>
      <c r="Q446">
        <f t="shared" si="870"/>
        <v>0</v>
      </c>
      <c r="R446">
        <f t="shared" si="871"/>
        <v>0</v>
      </c>
      <c r="S446">
        <f t="shared" si="872"/>
        <v>0</v>
      </c>
      <c r="T446">
        <f t="shared" si="873"/>
        <v>0</v>
      </c>
    </row>
    <row r="447" spans="1:20" x14ac:dyDescent="0.25">
      <c r="A447" s="5"/>
      <c r="C447"/>
      <c r="D447"/>
      <c r="P447">
        <f t="shared" si="869"/>
        <v>0</v>
      </c>
      <c r="Q447">
        <f t="shared" si="870"/>
        <v>0</v>
      </c>
      <c r="R447">
        <f t="shared" si="871"/>
        <v>0</v>
      </c>
      <c r="S447">
        <f t="shared" si="872"/>
        <v>0</v>
      </c>
      <c r="T447">
        <f t="shared" si="873"/>
        <v>0</v>
      </c>
    </row>
    <row r="448" spans="1:20" x14ac:dyDescent="0.25">
      <c r="A448" s="5"/>
      <c r="C448"/>
      <c r="D448"/>
      <c r="P448">
        <f t="shared" si="869"/>
        <v>0</v>
      </c>
      <c r="Q448">
        <f t="shared" si="870"/>
        <v>0</v>
      </c>
      <c r="R448">
        <f t="shared" si="871"/>
        <v>0</v>
      </c>
      <c r="S448">
        <f t="shared" si="872"/>
        <v>0</v>
      </c>
      <c r="T448">
        <f t="shared" si="873"/>
        <v>0</v>
      </c>
    </row>
    <row r="449" spans="1:20" x14ac:dyDescent="0.25">
      <c r="A449" s="5"/>
      <c r="C449"/>
      <c r="D449"/>
      <c r="P449">
        <f t="shared" si="869"/>
        <v>0</v>
      </c>
      <c r="Q449">
        <f t="shared" si="870"/>
        <v>0</v>
      </c>
      <c r="R449">
        <f t="shared" si="871"/>
        <v>0</v>
      </c>
      <c r="S449">
        <f t="shared" si="872"/>
        <v>0</v>
      </c>
      <c r="T449">
        <f t="shared" si="873"/>
        <v>0</v>
      </c>
    </row>
    <row r="450" spans="1:20" x14ac:dyDescent="0.25">
      <c r="A450" s="5"/>
      <c r="C450"/>
      <c r="D450"/>
      <c r="P450">
        <f t="shared" si="869"/>
        <v>0</v>
      </c>
      <c r="Q450">
        <f t="shared" si="870"/>
        <v>0</v>
      </c>
      <c r="R450">
        <f t="shared" si="871"/>
        <v>0</v>
      </c>
      <c r="S450">
        <f t="shared" si="872"/>
        <v>0</v>
      </c>
      <c r="T450">
        <f t="shared" si="873"/>
        <v>0</v>
      </c>
    </row>
    <row r="451" spans="1:20" x14ac:dyDescent="0.25">
      <c r="A451" s="5"/>
      <c r="C451"/>
      <c r="D451"/>
      <c r="P451">
        <f t="shared" si="869"/>
        <v>0</v>
      </c>
      <c r="Q451">
        <f t="shared" si="870"/>
        <v>0</v>
      </c>
      <c r="R451">
        <f t="shared" si="871"/>
        <v>0</v>
      </c>
      <c r="S451">
        <f t="shared" si="872"/>
        <v>0</v>
      </c>
      <c r="T451">
        <f t="shared" si="873"/>
        <v>0</v>
      </c>
    </row>
    <row r="452" spans="1:20" x14ac:dyDescent="0.25">
      <c r="A452" s="5"/>
      <c r="C452"/>
      <c r="D452"/>
      <c r="P452">
        <f t="shared" si="869"/>
        <v>0</v>
      </c>
      <c r="Q452">
        <f t="shared" si="870"/>
        <v>0</v>
      </c>
      <c r="R452">
        <f t="shared" si="871"/>
        <v>0</v>
      </c>
      <c r="S452">
        <f t="shared" si="872"/>
        <v>0</v>
      </c>
      <c r="T452">
        <f t="shared" si="873"/>
        <v>0</v>
      </c>
    </row>
    <row r="453" spans="1:20" x14ac:dyDescent="0.25">
      <c r="A453" s="5"/>
      <c r="C453"/>
      <c r="D453"/>
      <c r="P453">
        <f t="shared" si="869"/>
        <v>0</v>
      </c>
      <c r="Q453">
        <f t="shared" si="870"/>
        <v>0</v>
      </c>
      <c r="R453">
        <f t="shared" si="871"/>
        <v>0</v>
      </c>
      <c r="S453">
        <f t="shared" si="872"/>
        <v>0</v>
      </c>
      <c r="T453">
        <f t="shared" si="873"/>
        <v>0</v>
      </c>
    </row>
    <row r="454" spans="1:20" x14ac:dyDescent="0.25">
      <c r="A454" s="5"/>
      <c r="C454"/>
      <c r="D454"/>
      <c r="P454">
        <f t="shared" si="869"/>
        <v>0</v>
      </c>
      <c r="Q454">
        <f t="shared" si="870"/>
        <v>0</v>
      </c>
      <c r="R454">
        <f t="shared" si="871"/>
        <v>0</v>
      </c>
      <c r="S454">
        <f t="shared" si="872"/>
        <v>0</v>
      </c>
      <c r="T454">
        <f t="shared" si="873"/>
        <v>0</v>
      </c>
    </row>
    <row r="455" spans="1:20" x14ac:dyDescent="0.25">
      <c r="A455" s="5"/>
      <c r="C455"/>
      <c r="D455"/>
      <c r="P455">
        <f t="shared" si="869"/>
        <v>0</v>
      </c>
      <c r="Q455">
        <f t="shared" si="870"/>
        <v>0</v>
      </c>
      <c r="R455">
        <f t="shared" si="871"/>
        <v>0</v>
      </c>
      <c r="S455">
        <f t="shared" si="872"/>
        <v>0</v>
      </c>
      <c r="T455">
        <f t="shared" si="873"/>
        <v>0</v>
      </c>
    </row>
    <row r="456" spans="1:20" x14ac:dyDescent="0.25">
      <c r="A456" s="5"/>
      <c r="C456"/>
      <c r="D456"/>
      <c r="P456">
        <f t="shared" si="869"/>
        <v>0</v>
      </c>
      <c r="Q456">
        <f t="shared" si="870"/>
        <v>0</v>
      </c>
      <c r="R456">
        <f t="shared" si="871"/>
        <v>0</v>
      </c>
      <c r="S456">
        <f t="shared" si="872"/>
        <v>0</v>
      </c>
      <c r="T456">
        <f t="shared" si="873"/>
        <v>0</v>
      </c>
    </row>
    <row r="457" spans="1:20" x14ac:dyDescent="0.25">
      <c r="A457" s="5"/>
      <c r="C457"/>
      <c r="D457"/>
      <c r="P457">
        <f t="shared" si="869"/>
        <v>0</v>
      </c>
      <c r="Q457">
        <f t="shared" si="870"/>
        <v>0</v>
      </c>
      <c r="R457">
        <f t="shared" si="871"/>
        <v>0</v>
      </c>
      <c r="S457">
        <f t="shared" si="872"/>
        <v>0</v>
      </c>
      <c r="T457">
        <f t="shared" si="873"/>
        <v>0</v>
      </c>
    </row>
    <row r="458" spans="1:20" x14ac:dyDescent="0.25">
      <c r="A458" s="5"/>
      <c r="C458"/>
      <c r="D458"/>
      <c r="P458">
        <f t="shared" si="869"/>
        <v>0</v>
      </c>
      <c r="Q458">
        <f t="shared" si="870"/>
        <v>0</v>
      </c>
      <c r="R458">
        <f t="shared" si="871"/>
        <v>0</v>
      </c>
      <c r="S458">
        <f t="shared" si="872"/>
        <v>0</v>
      </c>
      <c r="T458">
        <f t="shared" si="873"/>
        <v>0</v>
      </c>
    </row>
    <row r="459" spans="1:20" x14ac:dyDescent="0.25">
      <c r="A459" s="5"/>
      <c r="C459"/>
      <c r="D459"/>
      <c r="P459">
        <f t="shared" si="869"/>
        <v>0</v>
      </c>
      <c r="Q459">
        <f t="shared" si="870"/>
        <v>0</v>
      </c>
      <c r="R459">
        <f t="shared" si="871"/>
        <v>0</v>
      </c>
      <c r="S459">
        <f t="shared" si="872"/>
        <v>0</v>
      </c>
      <c r="T459">
        <f t="shared" si="873"/>
        <v>0</v>
      </c>
    </row>
    <row r="460" spans="1:20" x14ac:dyDescent="0.25">
      <c r="A460" s="5"/>
      <c r="C460"/>
      <c r="D460"/>
      <c r="P460">
        <f t="shared" si="869"/>
        <v>0</v>
      </c>
      <c r="Q460">
        <f t="shared" si="870"/>
        <v>0</v>
      </c>
      <c r="R460">
        <f t="shared" si="871"/>
        <v>0</v>
      </c>
      <c r="S460">
        <f t="shared" si="872"/>
        <v>0</v>
      </c>
      <c r="T460">
        <f t="shared" si="873"/>
        <v>0</v>
      </c>
    </row>
    <row r="461" spans="1:20" x14ac:dyDescent="0.25">
      <c r="A461" s="5"/>
      <c r="C461"/>
      <c r="D461"/>
      <c r="P461">
        <f t="shared" si="869"/>
        <v>0</v>
      </c>
      <c r="Q461">
        <f t="shared" si="870"/>
        <v>0</v>
      </c>
      <c r="R461">
        <f t="shared" si="871"/>
        <v>0</v>
      </c>
      <c r="S461">
        <f t="shared" si="872"/>
        <v>0</v>
      </c>
      <c r="T461">
        <f t="shared" si="873"/>
        <v>0</v>
      </c>
    </row>
    <row r="462" spans="1:20" x14ac:dyDescent="0.25">
      <c r="A462" s="5"/>
      <c r="C462"/>
      <c r="D462"/>
      <c r="P462">
        <f t="shared" si="869"/>
        <v>0</v>
      </c>
      <c r="Q462">
        <f t="shared" si="870"/>
        <v>0</v>
      </c>
      <c r="R462">
        <f t="shared" si="871"/>
        <v>0</v>
      </c>
      <c r="S462">
        <f t="shared" si="872"/>
        <v>0</v>
      </c>
      <c r="T462">
        <f t="shared" si="873"/>
        <v>0</v>
      </c>
    </row>
    <row r="463" spans="1:20" x14ac:dyDescent="0.25">
      <c r="A463" s="5"/>
      <c r="C463"/>
      <c r="D463"/>
      <c r="P463">
        <f t="shared" si="869"/>
        <v>0</v>
      </c>
      <c r="Q463">
        <f t="shared" si="870"/>
        <v>0</v>
      </c>
      <c r="R463">
        <f t="shared" si="871"/>
        <v>0</v>
      </c>
      <c r="S463">
        <f t="shared" si="872"/>
        <v>0</v>
      </c>
      <c r="T463">
        <f t="shared" si="873"/>
        <v>0</v>
      </c>
    </row>
    <row r="464" spans="1:20" x14ac:dyDescent="0.25">
      <c r="A464" s="5"/>
      <c r="C464"/>
      <c r="D464"/>
      <c r="P464">
        <f t="shared" si="869"/>
        <v>0</v>
      </c>
      <c r="Q464">
        <f t="shared" si="870"/>
        <v>0</v>
      </c>
      <c r="R464">
        <f t="shared" si="871"/>
        <v>0</v>
      </c>
      <c r="S464">
        <f t="shared" si="872"/>
        <v>0</v>
      </c>
      <c r="T464">
        <f t="shared" si="873"/>
        <v>0</v>
      </c>
    </row>
    <row r="465" spans="1:20" x14ac:dyDescent="0.25">
      <c r="A465" s="5"/>
      <c r="C465"/>
      <c r="D465"/>
      <c r="P465">
        <f t="shared" si="869"/>
        <v>0</v>
      </c>
      <c r="Q465">
        <f t="shared" si="870"/>
        <v>0</v>
      </c>
      <c r="R465">
        <f t="shared" si="871"/>
        <v>0</v>
      </c>
      <c r="S465">
        <f t="shared" si="872"/>
        <v>0</v>
      </c>
      <c r="T465">
        <f t="shared" si="873"/>
        <v>0</v>
      </c>
    </row>
    <row r="466" spans="1:20" x14ac:dyDescent="0.25">
      <c r="A466" s="5"/>
      <c r="C466"/>
      <c r="D466"/>
      <c r="P466">
        <f t="shared" si="869"/>
        <v>0</v>
      </c>
      <c r="Q466">
        <f t="shared" si="870"/>
        <v>0</v>
      </c>
      <c r="R466">
        <f t="shared" si="871"/>
        <v>0</v>
      </c>
      <c r="S466">
        <f t="shared" si="872"/>
        <v>0</v>
      </c>
      <c r="T466">
        <f t="shared" si="873"/>
        <v>0</v>
      </c>
    </row>
    <row r="467" spans="1:20" x14ac:dyDescent="0.25">
      <c r="A467" s="5"/>
      <c r="C467"/>
      <c r="D467"/>
      <c r="P467">
        <f t="shared" si="869"/>
        <v>0</v>
      </c>
      <c r="Q467">
        <f t="shared" si="870"/>
        <v>0</v>
      </c>
      <c r="R467">
        <f t="shared" si="871"/>
        <v>0</v>
      </c>
      <c r="S467">
        <f t="shared" si="872"/>
        <v>0</v>
      </c>
      <c r="T467">
        <f t="shared" si="873"/>
        <v>0</v>
      </c>
    </row>
    <row r="468" spans="1:20" x14ac:dyDescent="0.25">
      <c r="A468" s="5"/>
      <c r="C468"/>
      <c r="D468"/>
      <c r="P468">
        <f t="shared" si="869"/>
        <v>0</v>
      </c>
      <c r="Q468">
        <f t="shared" si="870"/>
        <v>0</v>
      </c>
      <c r="R468">
        <f t="shared" si="871"/>
        <v>0</v>
      </c>
      <c r="S468">
        <f t="shared" si="872"/>
        <v>0</v>
      </c>
      <c r="T468">
        <f t="shared" si="873"/>
        <v>0</v>
      </c>
    </row>
    <row r="469" spans="1:20" x14ac:dyDescent="0.25">
      <c r="A469" s="5"/>
      <c r="C469"/>
      <c r="D469"/>
      <c r="P469">
        <f t="shared" si="869"/>
        <v>0</v>
      </c>
      <c r="Q469">
        <f t="shared" si="870"/>
        <v>0</v>
      </c>
      <c r="R469">
        <f t="shared" si="871"/>
        <v>0</v>
      </c>
      <c r="S469">
        <f t="shared" si="872"/>
        <v>0</v>
      </c>
      <c r="T469">
        <f t="shared" si="873"/>
        <v>0</v>
      </c>
    </row>
    <row r="470" spans="1:20" x14ac:dyDescent="0.25">
      <c r="A470" s="5"/>
      <c r="C470"/>
      <c r="D470"/>
      <c r="P470">
        <f t="shared" si="869"/>
        <v>0</v>
      </c>
      <c r="Q470">
        <f t="shared" si="870"/>
        <v>0</v>
      </c>
      <c r="R470">
        <f t="shared" si="871"/>
        <v>0</v>
      </c>
      <c r="S470">
        <f t="shared" si="872"/>
        <v>0</v>
      </c>
      <c r="T470">
        <f t="shared" si="873"/>
        <v>0</v>
      </c>
    </row>
    <row r="471" spans="1:20" x14ac:dyDescent="0.25">
      <c r="A471" s="5"/>
      <c r="C471"/>
      <c r="D471"/>
      <c r="P471">
        <f t="shared" si="869"/>
        <v>0</v>
      </c>
      <c r="Q471">
        <f t="shared" si="870"/>
        <v>0</v>
      </c>
      <c r="R471">
        <f t="shared" si="871"/>
        <v>0</v>
      </c>
      <c r="S471">
        <f t="shared" si="872"/>
        <v>0</v>
      </c>
      <c r="T471">
        <f t="shared" si="873"/>
        <v>0</v>
      </c>
    </row>
    <row r="472" spans="1:20" x14ac:dyDescent="0.25">
      <c r="A472" s="5"/>
      <c r="C472"/>
      <c r="D472"/>
      <c r="P472">
        <f t="shared" si="869"/>
        <v>0</v>
      </c>
      <c r="Q472">
        <f t="shared" si="870"/>
        <v>0</v>
      </c>
      <c r="R472">
        <f t="shared" si="871"/>
        <v>0</v>
      </c>
      <c r="S472">
        <f t="shared" si="872"/>
        <v>0</v>
      </c>
      <c r="T472">
        <f t="shared" si="873"/>
        <v>0</v>
      </c>
    </row>
    <row r="473" spans="1:20" x14ac:dyDescent="0.25">
      <c r="A473" s="5"/>
      <c r="C473"/>
      <c r="D473"/>
      <c r="P473">
        <f t="shared" si="869"/>
        <v>0</v>
      </c>
      <c r="Q473">
        <f t="shared" si="870"/>
        <v>0</v>
      </c>
      <c r="R473">
        <f t="shared" si="871"/>
        <v>0</v>
      </c>
      <c r="S473">
        <f t="shared" si="872"/>
        <v>0</v>
      </c>
      <c r="T473">
        <f t="shared" si="873"/>
        <v>0</v>
      </c>
    </row>
    <row r="474" spans="1:20" x14ac:dyDescent="0.25">
      <c r="A474" s="5"/>
      <c r="C474"/>
      <c r="D474"/>
      <c r="P474">
        <f t="shared" si="869"/>
        <v>0</v>
      </c>
      <c r="Q474">
        <f t="shared" si="870"/>
        <v>0</v>
      </c>
      <c r="R474">
        <f t="shared" si="871"/>
        <v>0</v>
      </c>
      <c r="S474">
        <f t="shared" si="872"/>
        <v>0</v>
      </c>
      <c r="T474">
        <f t="shared" si="873"/>
        <v>0</v>
      </c>
    </row>
    <row r="475" spans="1:20" x14ac:dyDescent="0.25">
      <c r="A475" s="5"/>
      <c r="C475"/>
      <c r="D475"/>
      <c r="P475">
        <f t="shared" si="869"/>
        <v>0</v>
      </c>
      <c r="Q475">
        <f t="shared" si="870"/>
        <v>0</v>
      </c>
      <c r="R475">
        <f t="shared" si="871"/>
        <v>0</v>
      </c>
      <c r="S475">
        <f t="shared" si="872"/>
        <v>0</v>
      </c>
      <c r="T475">
        <f t="shared" si="873"/>
        <v>0</v>
      </c>
    </row>
    <row r="476" spans="1:20" x14ac:dyDescent="0.25">
      <c r="A476" s="5"/>
      <c r="C476"/>
      <c r="D476"/>
      <c r="P476">
        <f t="shared" si="869"/>
        <v>0</v>
      </c>
      <c r="Q476">
        <f t="shared" si="870"/>
        <v>0</v>
      </c>
      <c r="R476">
        <f t="shared" si="871"/>
        <v>0</v>
      </c>
      <c r="S476">
        <f t="shared" si="872"/>
        <v>0</v>
      </c>
      <c r="T476">
        <f t="shared" si="873"/>
        <v>0</v>
      </c>
    </row>
    <row r="477" spans="1:20" x14ac:dyDescent="0.25">
      <c r="A477" s="5"/>
      <c r="C477"/>
      <c r="D477"/>
      <c r="P477">
        <f t="shared" si="869"/>
        <v>0</v>
      </c>
      <c r="Q477">
        <f t="shared" si="870"/>
        <v>0</v>
      </c>
      <c r="R477">
        <f t="shared" si="871"/>
        <v>0</v>
      </c>
      <c r="S477">
        <f t="shared" si="872"/>
        <v>0</v>
      </c>
      <c r="T477">
        <f t="shared" si="873"/>
        <v>0</v>
      </c>
    </row>
    <row r="478" spans="1:20" x14ac:dyDescent="0.25">
      <c r="A478" s="5"/>
      <c r="C478"/>
      <c r="D478"/>
      <c r="P478">
        <f t="shared" si="869"/>
        <v>0</v>
      </c>
      <c r="Q478">
        <f t="shared" si="870"/>
        <v>0</v>
      </c>
      <c r="R478">
        <f t="shared" si="871"/>
        <v>0</v>
      </c>
      <c r="S478">
        <f t="shared" si="872"/>
        <v>0</v>
      </c>
      <c r="T478">
        <f t="shared" si="873"/>
        <v>0</v>
      </c>
    </row>
    <row r="479" spans="1:20" x14ac:dyDescent="0.25">
      <c r="A479" s="5"/>
      <c r="C479"/>
      <c r="D479"/>
      <c r="P479">
        <f t="shared" si="869"/>
        <v>0</v>
      </c>
      <c r="Q479">
        <f t="shared" si="870"/>
        <v>0</v>
      </c>
      <c r="R479">
        <f t="shared" si="871"/>
        <v>0</v>
      </c>
      <c r="S479">
        <f t="shared" si="872"/>
        <v>0</v>
      </c>
      <c r="T479">
        <f t="shared" si="873"/>
        <v>0</v>
      </c>
    </row>
    <row r="480" spans="1:20" x14ac:dyDescent="0.25">
      <c r="A480" s="5"/>
      <c r="C480"/>
      <c r="D480"/>
      <c r="P480">
        <f t="shared" si="869"/>
        <v>0</v>
      </c>
      <c r="Q480">
        <f t="shared" si="870"/>
        <v>0</v>
      </c>
      <c r="R480">
        <f t="shared" si="871"/>
        <v>0</v>
      </c>
      <c r="S480">
        <f t="shared" si="872"/>
        <v>0</v>
      </c>
      <c r="T480">
        <f t="shared" si="873"/>
        <v>0</v>
      </c>
    </row>
    <row r="481" spans="1:20" x14ac:dyDescent="0.25">
      <c r="A481" s="5"/>
      <c r="C481"/>
      <c r="D481"/>
      <c r="P481">
        <f t="shared" si="869"/>
        <v>0</v>
      </c>
      <c r="Q481">
        <f t="shared" si="870"/>
        <v>0</v>
      </c>
      <c r="R481">
        <f t="shared" si="871"/>
        <v>0</v>
      </c>
      <c r="S481">
        <f t="shared" si="872"/>
        <v>0</v>
      </c>
      <c r="T481">
        <f t="shared" si="873"/>
        <v>0</v>
      </c>
    </row>
    <row r="482" spans="1:20" x14ac:dyDescent="0.25">
      <c r="A482" s="5"/>
      <c r="C482"/>
      <c r="D482"/>
      <c r="P482">
        <f t="shared" si="869"/>
        <v>0</v>
      </c>
      <c r="Q482">
        <f t="shared" si="870"/>
        <v>0</v>
      </c>
      <c r="R482">
        <f t="shared" si="871"/>
        <v>0</v>
      </c>
      <c r="S482">
        <f t="shared" si="872"/>
        <v>0</v>
      </c>
      <c r="T482">
        <f t="shared" si="873"/>
        <v>0</v>
      </c>
    </row>
    <row r="483" spans="1:20" x14ac:dyDescent="0.25">
      <c r="A483" s="5"/>
      <c r="C483"/>
      <c r="D483"/>
      <c r="P483">
        <f t="shared" si="869"/>
        <v>0</v>
      </c>
      <c r="Q483">
        <f t="shared" si="870"/>
        <v>0</v>
      </c>
      <c r="R483">
        <f t="shared" si="871"/>
        <v>0</v>
      </c>
      <c r="S483">
        <f t="shared" si="872"/>
        <v>0</v>
      </c>
      <c r="T483">
        <f t="shared" si="873"/>
        <v>0</v>
      </c>
    </row>
    <row r="484" spans="1:20" x14ac:dyDescent="0.25">
      <c r="A484" s="5"/>
      <c r="C484"/>
      <c r="D484"/>
      <c r="P484">
        <f t="shared" si="869"/>
        <v>0</v>
      </c>
      <c r="Q484">
        <f t="shared" si="870"/>
        <v>0</v>
      </c>
      <c r="R484">
        <f t="shared" si="871"/>
        <v>0</v>
      </c>
      <c r="S484">
        <f t="shared" si="872"/>
        <v>0</v>
      </c>
      <c r="T484">
        <f t="shared" si="873"/>
        <v>0</v>
      </c>
    </row>
    <row r="485" spans="1:20" x14ac:dyDescent="0.25">
      <c r="A485" s="5"/>
      <c r="C485"/>
      <c r="D485"/>
      <c r="P485">
        <f t="shared" si="869"/>
        <v>0</v>
      </c>
      <c r="Q485">
        <f t="shared" si="870"/>
        <v>0</v>
      </c>
      <c r="R485">
        <f t="shared" si="871"/>
        <v>0</v>
      </c>
      <c r="S485">
        <f t="shared" si="872"/>
        <v>0</v>
      </c>
      <c r="T485">
        <f t="shared" si="873"/>
        <v>0</v>
      </c>
    </row>
    <row r="486" spans="1:20" x14ac:dyDescent="0.25">
      <c r="A486" s="5"/>
      <c r="C486"/>
      <c r="D486"/>
      <c r="P486">
        <f t="shared" si="869"/>
        <v>0</v>
      </c>
      <c r="Q486">
        <f t="shared" si="870"/>
        <v>0</v>
      </c>
      <c r="R486">
        <f t="shared" si="871"/>
        <v>0</v>
      </c>
      <c r="S486">
        <f t="shared" si="872"/>
        <v>0</v>
      </c>
      <c r="T486">
        <f t="shared" si="873"/>
        <v>0</v>
      </c>
    </row>
    <row r="487" spans="1:20" x14ac:dyDescent="0.25">
      <c r="A487" s="5"/>
      <c r="C487"/>
      <c r="D487"/>
      <c r="P487">
        <f t="shared" si="869"/>
        <v>0</v>
      </c>
      <c r="Q487">
        <f t="shared" si="870"/>
        <v>0</v>
      </c>
      <c r="R487">
        <f t="shared" si="871"/>
        <v>0</v>
      </c>
      <c r="S487">
        <f t="shared" si="872"/>
        <v>0</v>
      </c>
      <c r="T487">
        <f t="shared" si="873"/>
        <v>0</v>
      </c>
    </row>
    <row r="488" spans="1:20" x14ac:dyDescent="0.25">
      <c r="A488" s="5"/>
      <c r="C488"/>
      <c r="D488"/>
      <c r="P488">
        <f t="shared" si="869"/>
        <v>0</v>
      </c>
      <c r="Q488">
        <f t="shared" si="870"/>
        <v>0</v>
      </c>
      <c r="R488">
        <f t="shared" si="871"/>
        <v>0</v>
      </c>
      <c r="S488">
        <f t="shared" si="872"/>
        <v>0</v>
      </c>
      <c r="T488">
        <f t="shared" si="873"/>
        <v>0</v>
      </c>
    </row>
    <row r="489" spans="1:20" x14ac:dyDescent="0.25">
      <c r="A489" s="5"/>
      <c r="C489"/>
      <c r="D489"/>
      <c r="P489">
        <f t="shared" si="869"/>
        <v>0</v>
      </c>
      <c r="Q489">
        <f t="shared" si="870"/>
        <v>0</v>
      </c>
      <c r="R489">
        <f t="shared" si="871"/>
        <v>0</v>
      </c>
      <c r="S489">
        <f t="shared" si="872"/>
        <v>0</v>
      </c>
      <c r="T489">
        <f t="shared" si="873"/>
        <v>0</v>
      </c>
    </row>
    <row r="490" spans="1:20" x14ac:dyDescent="0.25">
      <c r="A490" s="5"/>
      <c r="C490"/>
      <c r="D490"/>
      <c r="P490">
        <f t="shared" si="869"/>
        <v>0</v>
      </c>
      <c r="Q490">
        <f t="shared" si="870"/>
        <v>0</v>
      </c>
      <c r="R490">
        <f t="shared" si="871"/>
        <v>0</v>
      </c>
      <c r="S490">
        <f t="shared" si="872"/>
        <v>0</v>
      </c>
      <c r="T490">
        <f t="shared" si="873"/>
        <v>0</v>
      </c>
    </row>
    <row r="491" spans="1:20" x14ac:dyDescent="0.25">
      <c r="A491" s="5"/>
      <c r="C491"/>
      <c r="D491"/>
      <c r="P491">
        <f t="shared" si="869"/>
        <v>0</v>
      </c>
      <c r="Q491">
        <f t="shared" si="870"/>
        <v>0</v>
      </c>
      <c r="R491">
        <f t="shared" si="871"/>
        <v>0</v>
      </c>
      <c r="S491">
        <f t="shared" si="872"/>
        <v>0</v>
      </c>
      <c r="T491">
        <f t="shared" si="873"/>
        <v>0</v>
      </c>
    </row>
    <row r="492" spans="1:20" x14ac:dyDescent="0.25">
      <c r="A492" s="5"/>
      <c r="C492"/>
      <c r="D492"/>
      <c r="P492">
        <f t="shared" si="869"/>
        <v>0</v>
      </c>
      <c r="Q492">
        <f t="shared" si="870"/>
        <v>0</v>
      </c>
      <c r="R492">
        <f t="shared" si="871"/>
        <v>0</v>
      </c>
      <c r="S492">
        <f t="shared" si="872"/>
        <v>0</v>
      </c>
      <c r="T492">
        <f t="shared" si="873"/>
        <v>0</v>
      </c>
    </row>
    <row r="493" spans="1:20" x14ac:dyDescent="0.25">
      <c r="A493" s="5"/>
      <c r="C493"/>
      <c r="D493"/>
      <c r="P493">
        <f t="shared" si="869"/>
        <v>0</v>
      </c>
      <c r="Q493">
        <f t="shared" si="870"/>
        <v>0</v>
      </c>
      <c r="R493">
        <f t="shared" si="871"/>
        <v>0</v>
      </c>
      <c r="S493">
        <f t="shared" si="872"/>
        <v>0</v>
      </c>
      <c r="T493">
        <f t="shared" si="873"/>
        <v>0</v>
      </c>
    </row>
    <row r="494" spans="1:20" x14ac:dyDescent="0.25">
      <c r="A494" s="5"/>
      <c r="C494"/>
      <c r="D494"/>
      <c r="P494">
        <f t="shared" si="869"/>
        <v>0</v>
      </c>
      <c r="Q494">
        <f t="shared" si="870"/>
        <v>0</v>
      </c>
      <c r="R494">
        <f t="shared" si="871"/>
        <v>0</v>
      </c>
      <c r="S494">
        <f t="shared" si="872"/>
        <v>0</v>
      </c>
      <c r="T494">
        <f t="shared" si="873"/>
        <v>0</v>
      </c>
    </row>
    <row r="495" spans="1:20" x14ac:dyDescent="0.25">
      <c r="A495" s="5"/>
      <c r="C495"/>
      <c r="D495"/>
      <c r="P495">
        <f t="shared" si="869"/>
        <v>0</v>
      </c>
      <c r="Q495">
        <f t="shared" si="870"/>
        <v>0</v>
      </c>
      <c r="R495">
        <f t="shared" si="871"/>
        <v>0</v>
      </c>
      <c r="S495">
        <f t="shared" si="872"/>
        <v>0</v>
      </c>
      <c r="T495">
        <f t="shared" si="873"/>
        <v>0</v>
      </c>
    </row>
    <row r="496" spans="1:20" x14ac:dyDescent="0.25">
      <c r="A496" s="5"/>
      <c r="C496"/>
      <c r="D496"/>
      <c r="P496">
        <f t="shared" ref="P496:P559" si="874">IF(C496=D496,0,((E496-D496)-(C496-E496))/(C496-D496))</f>
        <v>0</v>
      </c>
      <c r="Q496">
        <f t="shared" ref="Q496:Q559" si="875">F496*P496</f>
        <v>0</v>
      </c>
      <c r="R496">
        <f t="shared" ref="R496:R559" si="876">R497+Q496</f>
        <v>0</v>
      </c>
      <c r="S496">
        <f t="shared" ref="S496:S559" si="877">R496/100000</f>
        <v>0</v>
      </c>
      <c r="T496">
        <f t="shared" ref="T496:T559" si="878">S496/1000</f>
        <v>0</v>
      </c>
    </row>
    <row r="497" spans="1:20" x14ac:dyDescent="0.25">
      <c r="A497" s="5"/>
      <c r="C497"/>
      <c r="D497"/>
      <c r="P497">
        <f t="shared" si="874"/>
        <v>0</v>
      </c>
      <c r="Q497">
        <f t="shared" si="875"/>
        <v>0</v>
      </c>
      <c r="R497">
        <f t="shared" si="876"/>
        <v>0</v>
      </c>
      <c r="S497">
        <f t="shared" si="877"/>
        <v>0</v>
      </c>
      <c r="T497">
        <f t="shared" si="878"/>
        <v>0</v>
      </c>
    </row>
    <row r="498" spans="1:20" x14ac:dyDescent="0.25">
      <c r="A498" s="5"/>
      <c r="C498"/>
      <c r="D498"/>
      <c r="P498">
        <f t="shared" si="874"/>
        <v>0</v>
      </c>
      <c r="Q498">
        <f t="shared" si="875"/>
        <v>0</v>
      </c>
      <c r="R498">
        <f t="shared" si="876"/>
        <v>0</v>
      </c>
      <c r="S498">
        <f t="shared" si="877"/>
        <v>0</v>
      </c>
      <c r="T498">
        <f t="shared" si="878"/>
        <v>0</v>
      </c>
    </row>
    <row r="499" spans="1:20" x14ac:dyDescent="0.25">
      <c r="A499" s="5"/>
      <c r="C499"/>
      <c r="D499"/>
      <c r="P499">
        <f t="shared" si="874"/>
        <v>0</v>
      </c>
      <c r="Q499">
        <f t="shared" si="875"/>
        <v>0</v>
      </c>
      <c r="R499">
        <f t="shared" si="876"/>
        <v>0</v>
      </c>
      <c r="S499">
        <f t="shared" si="877"/>
        <v>0</v>
      </c>
      <c r="T499">
        <f t="shared" si="878"/>
        <v>0</v>
      </c>
    </row>
    <row r="500" spans="1:20" x14ac:dyDescent="0.25">
      <c r="A500" s="5"/>
      <c r="C500"/>
      <c r="D500"/>
      <c r="P500">
        <f t="shared" si="874"/>
        <v>0</v>
      </c>
      <c r="Q500">
        <f t="shared" si="875"/>
        <v>0</v>
      </c>
      <c r="R500">
        <f t="shared" si="876"/>
        <v>0</v>
      </c>
      <c r="S500">
        <f t="shared" si="877"/>
        <v>0</v>
      </c>
      <c r="T500">
        <f t="shared" si="878"/>
        <v>0</v>
      </c>
    </row>
    <row r="501" spans="1:20" x14ac:dyDescent="0.25">
      <c r="A501" s="5"/>
      <c r="C501"/>
      <c r="D501"/>
      <c r="P501">
        <f t="shared" si="874"/>
        <v>0</v>
      </c>
      <c r="Q501">
        <f t="shared" si="875"/>
        <v>0</v>
      </c>
      <c r="R501">
        <f t="shared" si="876"/>
        <v>0</v>
      </c>
      <c r="S501">
        <f t="shared" si="877"/>
        <v>0</v>
      </c>
      <c r="T501">
        <f t="shared" si="878"/>
        <v>0</v>
      </c>
    </row>
    <row r="502" spans="1:20" x14ac:dyDescent="0.25">
      <c r="A502" s="5"/>
      <c r="C502"/>
      <c r="D502"/>
      <c r="P502">
        <f t="shared" si="874"/>
        <v>0</v>
      </c>
      <c r="Q502">
        <f t="shared" si="875"/>
        <v>0</v>
      </c>
      <c r="R502">
        <f t="shared" si="876"/>
        <v>0</v>
      </c>
      <c r="S502">
        <f t="shared" si="877"/>
        <v>0</v>
      </c>
      <c r="T502">
        <f t="shared" si="878"/>
        <v>0</v>
      </c>
    </row>
    <row r="503" spans="1:20" x14ac:dyDescent="0.25">
      <c r="A503" s="5"/>
      <c r="C503"/>
      <c r="D503"/>
      <c r="P503">
        <f t="shared" si="874"/>
        <v>0</v>
      </c>
      <c r="Q503">
        <f t="shared" si="875"/>
        <v>0</v>
      </c>
      <c r="R503">
        <f t="shared" si="876"/>
        <v>0</v>
      </c>
      <c r="S503">
        <f t="shared" si="877"/>
        <v>0</v>
      </c>
      <c r="T503">
        <f t="shared" si="878"/>
        <v>0</v>
      </c>
    </row>
    <row r="504" spans="1:20" x14ac:dyDescent="0.25">
      <c r="A504" s="5"/>
      <c r="C504"/>
      <c r="D504"/>
      <c r="P504">
        <f t="shared" si="874"/>
        <v>0</v>
      </c>
      <c r="Q504">
        <f t="shared" si="875"/>
        <v>0</v>
      </c>
      <c r="R504">
        <f t="shared" si="876"/>
        <v>0</v>
      </c>
      <c r="S504">
        <f t="shared" si="877"/>
        <v>0</v>
      </c>
      <c r="T504">
        <f t="shared" si="878"/>
        <v>0</v>
      </c>
    </row>
    <row r="505" spans="1:20" x14ac:dyDescent="0.25">
      <c r="A505" s="5"/>
      <c r="C505"/>
      <c r="D505"/>
      <c r="P505">
        <f t="shared" si="874"/>
        <v>0</v>
      </c>
      <c r="Q505">
        <f t="shared" si="875"/>
        <v>0</v>
      </c>
      <c r="R505">
        <f t="shared" si="876"/>
        <v>0</v>
      </c>
      <c r="S505">
        <f t="shared" si="877"/>
        <v>0</v>
      </c>
      <c r="T505">
        <f t="shared" si="878"/>
        <v>0</v>
      </c>
    </row>
    <row r="506" spans="1:20" x14ac:dyDescent="0.25">
      <c r="A506" s="5"/>
      <c r="C506"/>
      <c r="D506"/>
      <c r="P506">
        <f t="shared" si="874"/>
        <v>0</v>
      </c>
      <c r="Q506">
        <f t="shared" si="875"/>
        <v>0</v>
      </c>
      <c r="R506">
        <f t="shared" si="876"/>
        <v>0</v>
      </c>
      <c r="S506">
        <f t="shared" si="877"/>
        <v>0</v>
      </c>
      <c r="T506">
        <f t="shared" si="878"/>
        <v>0</v>
      </c>
    </row>
    <row r="507" spans="1:20" x14ac:dyDescent="0.25">
      <c r="A507" s="5"/>
      <c r="C507"/>
      <c r="D507"/>
      <c r="P507">
        <f t="shared" si="874"/>
        <v>0</v>
      </c>
      <c r="Q507">
        <f t="shared" si="875"/>
        <v>0</v>
      </c>
      <c r="R507">
        <f t="shared" si="876"/>
        <v>0</v>
      </c>
      <c r="S507">
        <f t="shared" si="877"/>
        <v>0</v>
      </c>
      <c r="T507">
        <f t="shared" si="878"/>
        <v>0</v>
      </c>
    </row>
    <row r="508" spans="1:20" x14ac:dyDescent="0.25">
      <c r="A508" s="5"/>
      <c r="C508"/>
      <c r="D508"/>
      <c r="P508">
        <f t="shared" si="874"/>
        <v>0</v>
      </c>
      <c r="Q508">
        <f t="shared" si="875"/>
        <v>0</v>
      </c>
      <c r="R508">
        <f t="shared" si="876"/>
        <v>0</v>
      </c>
      <c r="S508">
        <f t="shared" si="877"/>
        <v>0</v>
      </c>
      <c r="T508">
        <f t="shared" si="878"/>
        <v>0</v>
      </c>
    </row>
    <row r="509" spans="1:20" x14ac:dyDescent="0.25">
      <c r="A509" s="5"/>
      <c r="C509"/>
      <c r="D509"/>
      <c r="P509">
        <f t="shared" si="874"/>
        <v>0</v>
      </c>
      <c r="Q509">
        <f t="shared" si="875"/>
        <v>0</v>
      </c>
      <c r="R509">
        <f t="shared" si="876"/>
        <v>0</v>
      </c>
      <c r="S509">
        <f t="shared" si="877"/>
        <v>0</v>
      </c>
      <c r="T509">
        <f t="shared" si="878"/>
        <v>0</v>
      </c>
    </row>
    <row r="510" spans="1:20" x14ac:dyDescent="0.25">
      <c r="A510" s="5"/>
      <c r="C510"/>
      <c r="D510"/>
      <c r="P510">
        <f t="shared" si="874"/>
        <v>0</v>
      </c>
      <c r="Q510">
        <f t="shared" si="875"/>
        <v>0</v>
      </c>
      <c r="R510">
        <f t="shared" si="876"/>
        <v>0</v>
      </c>
      <c r="S510">
        <f t="shared" si="877"/>
        <v>0</v>
      </c>
      <c r="T510">
        <f t="shared" si="878"/>
        <v>0</v>
      </c>
    </row>
    <row r="511" spans="1:20" x14ac:dyDescent="0.25">
      <c r="A511" s="5"/>
      <c r="C511"/>
      <c r="D511"/>
      <c r="P511">
        <f t="shared" si="874"/>
        <v>0</v>
      </c>
      <c r="Q511">
        <f t="shared" si="875"/>
        <v>0</v>
      </c>
      <c r="R511">
        <f t="shared" si="876"/>
        <v>0</v>
      </c>
      <c r="S511">
        <f t="shared" si="877"/>
        <v>0</v>
      </c>
      <c r="T511">
        <f t="shared" si="878"/>
        <v>0</v>
      </c>
    </row>
    <row r="512" spans="1:20" x14ac:dyDescent="0.25">
      <c r="A512" s="5"/>
      <c r="C512"/>
      <c r="D512"/>
      <c r="P512">
        <f t="shared" si="874"/>
        <v>0</v>
      </c>
      <c r="Q512">
        <f t="shared" si="875"/>
        <v>0</v>
      </c>
      <c r="R512">
        <f t="shared" si="876"/>
        <v>0</v>
      </c>
      <c r="S512">
        <f t="shared" si="877"/>
        <v>0</v>
      </c>
      <c r="T512">
        <f t="shared" si="878"/>
        <v>0</v>
      </c>
    </row>
    <row r="513" spans="1:20" x14ac:dyDescent="0.25">
      <c r="A513" s="5"/>
      <c r="C513"/>
      <c r="D513"/>
      <c r="P513">
        <f t="shared" si="874"/>
        <v>0</v>
      </c>
      <c r="Q513">
        <f t="shared" si="875"/>
        <v>0</v>
      </c>
      <c r="R513">
        <f t="shared" si="876"/>
        <v>0</v>
      </c>
      <c r="S513">
        <f t="shared" si="877"/>
        <v>0</v>
      </c>
      <c r="T513">
        <f t="shared" si="878"/>
        <v>0</v>
      </c>
    </row>
    <row r="514" spans="1:20" x14ac:dyDescent="0.25">
      <c r="A514" s="5"/>
      <c r="C514"/>
      <c r="D514"/>
      <c r="P514">
        <f t="shared" si="874"/>
        <v>0</v>
      </c>
      <c r="Q514">
        <f t="shared" si="875"/>
        <v>0</v>
      </c>
      <c r="R514">
        <f t="shared" si="876"/>
        <v>0</v>
      </c>
      <c r="S514">
        <f t="shared" si="877"/>
        <v>0</v>
      </c>
      <c r="T514">
        <f t="shared" si="878"/>
        <v>0</v>
      </c>
    </row>
    <row r="515" spans="1:20" x14ac:dyDescent="0.25">
      <c r="A515" s="5"/>
      <c r="C515"/>
      <c r="D515"/>
      <c r="P515">
        <f t="shared" si="874"/>
        <v>0</v>
      </c>
      <c r="Q515">
        <f t="shared" si="875"/>
        <v>0</v>
      </c>
      <c r="R515">
        <f t="shared" si="876"/>
        <v>0</v>
      </c>
      <c r="S515">
        <f t="shared" si="877"/>
        <v>0</v>
      </c>
      <c r="T515">
        <f t="shared" si="878"/>
        <v>0</v>
      </c>
    </row>
    <row r="516" spans="1:20" x14ac:dyDescent="0.25">
      <c r="A516" s="5"/>
      <c r="C516"/>
      <c r="D516"/>
      <c r="P516">
        <f t="shared" si="874"/>
        <v>0</v>
      </c>
      <c r="Q516">
        <f t="shared" si="875"/>
        <v>0</v>
      </c>
      <c r="R516">
        <f t="shared" si="876"/>
        <v>0</v>
      </c>
      <c r="S516">
        <f t="shared" si="877"/>
        <v>0</v>
      </c>
      <c r="T516">
        <f t="shared" si="878"/>
        <v>0</v>
      </c>
    </row>
    <row r="517" spans="1:20" x14ac:dyDescent="0.25">
      <c r="A517" s="5"/>
      <c r="C517"/>
      <c r="D517"/>
      <c r="P517">
        <f t="shared" si="874"/>
        <v>0</v>
      </c>
      <c r="Q517">
        <f t="shared" si="875"/>
        <v>0</v>
      </c>
      <c r="R517">
        <f t="shared" si="876"/>
        <v>0</v>
      </c>
      <c r="S517">
        <f t="shared" si="877"/>
        <v>0</v>
      </c>
      <c r="T517">
        <f t="shared" si="878"/>
        <v>0</v>
      </c>
    </row>
    <row r="518" spans="1:20" x14ac:dyDescent="0.25">
      <c r="A518" s="5"/>
      <c r="C518"/>
      <c r="D518"/>
      <c r="P518">
        <f t="shared" si="874"/>
        <v>0</v>
      </c>
      <c r="Q518">
        <f t="shared" si="875"/>
        <v>0</v>
      </c>
      <c r="R518">
        <f t="shared" si="876"/>
        <v>0</v>
      </c>
      <c r="S518">
        <f t="shared" si="877"/>
        <v>0</v>
      </c>
      <c r="T518">
        <f t="shared" si="878"/>
        <v>0</v>
      </c>
    </row>
    <row r="519" spans="1:20" x14ac:dyDescent="0.25">
      <c r="A519" s="5"/>
      <c r="C519"/>
      <c r="D519"/>
      <c r="P519">
        <f t="shared" si="874"/>
        <v>0</v>
      </c>
      <c r="Q519">
        <f t="shared" si="875"/>
        <v>0</v>
      </c>
      <c r="R519">
        <f t="shared" si="876"/>
        <v>0</v>
      </c>
      <c r="S519">
        <f t="shared" si="877"/>
        <v>0</v>
      </c>
      <c r="T519">
        <f t="shared" si="878"/>
        <v>0</v>
      </c>
    </row>
    <row r="520" spans="1:20" x14ac:dyDescent="0.25">
      <c r="A520" s="5"/>
      <c r="C520"/>
      <c r="D520"/>
      <c r="P520">
        <f t="shared" si="874"/>
        <v>0</v>
      </c>
      <c r="Q520">
        <f t="shared" si="875"/>
        <v>0</v>
      </c>
      <c r="R520">
        <f t="shared" si="876"/>
        <v>0</v>
      </c>
      <c r="S520">
        <f t="shared" si="877"/>
        <v>0</v>
      </c>
      <c r="T520">
        <f t="shared" si="878"/>
        <v>0</v>
      </c>
    </row>
    <row r="521" spans="1:20" x14ac:dyDescent="0.25">
      <c r="A521" s="5"/>
      <c r="C521"/>
      <c r="D521"/>
      <c r="P521">
        <f t="shared" si="874"/>
        <v>0</v>
      </c>
      <c r="Q521">
        <f t="shared" si="875"/>
        <v>0</v>
      </c>
      <c r="R521">
        <f t="shared" si="876"/>
        <v>0</v>
      </c>
      <c r="S521">
        <f t="shared" si="877"/>
        <v>0</v>
      </c>
      <c r="T521">
        <f t="shared" si="878"/>
        <v>0</v>
      </c>
    </row>
    <row r="522" spans="1:20" x14ac:dyDescent="0.25">
      <c r="A522" s="5"/>
      <c r="C522"/>
      <c r="D522"/>
      <c r="P522">
        <f t="shared" si="874"/>
        <v>0</v>
      </c>
      <c r="Q522">
        <f t="shared" si="875"/>
        <v>0</v>
      </c>
      <c r="R522">
        <f t="shared" si="876"/>
        <v>0</v>
      </c>
      <c r="S522">
        <f t="shared" si="877"/>
        <v>0</v>
      </c>
      <c r="T522">
        <f t="shared" si="878"/>
        <v>0</v>
      </c>
    </row>
    <row r="523" spans="1:20" x14ac:dyDescent="0.25">
      <c r="A523" s="5"/>
      <c r="C523"/>
      <c r="D523"/>
      <c r="P523">
        <f t="shared" si="874"/>
        <v>0</v>
      </c>
      <c r="Q523">
        <f t="shared" si="875"/>
        <v>0</v>
      </c>
      <c r="R523">
        <f t="shared" si="876"/>
        <v>0</v>
      </c>
      <c r="S523">
        <f t="shared" si="877"/>
        <v>0</v>
      </c>
      <c r="T523">
        <f t="shared" si="878"/>
        <v>0</v>
      </c>
    </row>
    <row r="524" spans="1:20" x14ac:dyDescent="0.25">
      <c r="A524" s="5"/>
      <c r="C524"/>
      <c r="D524"/>
      <c r="P524">
        <f t="shared" si="874"/>
        <v>0</v>
      </c>
      <c r="Q524">
        <f t="shared" si="875"/>
        <v>0</v>
      </c>
      <c r="R524">
        <f t="shared" si="876"/>
        <v>0</v>
      </c>
      <c r="S524">
        <f t="shared" si="877"/>
        <v>0</v>
      </c>
      <c r="T524">
        <f t="shared" si="878"/>
        <v>0</v>
      </c>
    </row>
    <row r="525" spans="1:20" x14ac:dyDescent="0.25">
      <c r="A525" s="5"/>
      <c r="C525"/>
      <c r="D525"/>
      <c r="P525">
        <f t="shared" si="874"/>
        <v>0</v>
      </c>
      <c r="Q525">
        <f t="shared" si="875"/>
        <v>0</v>
      </c>
      <c r="R525">
        <f t="shared" si="876"/>
        <v>0</v>
      </c>
      <c r="S525">
        <f t="shared" si="877"/>
        <v>0</v>
      </c>
      <c r="T525">
        <f t="shared" si="878"/>
        <v>0</v>
      </c>
    </row>
    <row r="526" spans="1:20" x14ac:dyDescent="0.25">
      <c r="A526" s="5"/>
      <c r="C526"/>
      <c r="D526"/>
      <c r="P526">
        <f t="shared" si="874"/>
        <v>0</v>
      </c>
      <c r="Q526">
        <f t="shared" si="875"/>
        <v>0</v>
      </c>
      <c r="R526">
        <f t="shared" si="876"/>
        <v>0</v>
      </c>
      <c r="S526">
        <f t="shared" si="877"/>
        <v>0</v>
      </c>
      <c r="T526">
        <f t="shared" si="878"/>
        <v>0</v>
      </c>
    </row>
    <row r="527" spans="1:20" x14ac:dyDescent="0.25">
      <c r="A527" s="5"/>
      <c r="P527">
        <f t="shared" si="874"/>
        <v>0</v>
      </c>
      <c r="Q527">
        <f t="shared" si="875"/>
        <v>0</v>
      </c>
      <c r="R527">
        <f t="shared" si="876"/>
        <v>0</v>
      </c>
      <c r="S527">
        <f t="shared" si="877"/>
        <v>0</v>
      </c>
      <c r="T527">
        <f t="shared" si="878"/>
        <v>0</v>
      </c>
    </row>
    <row r="528" spans="1:20" x14ac:dyDescent="0.25">
      <c r="A528" s="5"/>
      <c r="P528">
        <f t="shared" si="874"/>
        <v>0</v>
      </c>
      <c r="Q528">
        <f t="shared" si="875"/>
        <v>0</v>
      </c>
      <c r="R528">
        <f t="shared" si="876"/>
        <v>0</v>
      </c>
      <c r="S528">
        <f t="shared" si="877"/>
        <v>0</v>
      </c>
      <c r="T528">
        <f t="shared" si="878"/>
        <v>0</v>
      </c>
    </row>
    <row r="529" spans="1:104" x14ac:dyDescent="0.25">
      <c r="A529" s="5"/>
      <c r="P529">
        <f t="shared" si="874"/>
        <v>0</v>
      </c>
      <c r="Q529">
        <f t="shared" si="875"/>
        <v>0</v>
      </c>
      <c r="R529">
        <f t="shared" si="876"/>
        <v>0</v>
      </c>
      <c r="S529">
        <f t="shared" si="877"/>
        <v>0</v>
      </c>
      <c r="T529">
        <f t="shared" si="878"/>
        <v>0</v>
      </c>
    </row>
    <row r="530" spans="1:104" x14ac:dyDescent="0.25">
      <c r="A530" s="5"/>
      <c r="P530">
        <f t="shared" si="874"/>
        <v>0</v>
      </c>
      <c r="Q530">
        <f t="shared" si="875"/>
        <v>0</v>
      </c>
      <c r="R530">
        <f t="shared" si="876"/>
        <v>0</v>
      </c>
      <c r="S530">
        <f t="shared" si="877"/>
        <v>0</v>
      </c>
      <c r="T530">
        <f t="shared" si="878"/>
        <v>0</v>
      </c>
    </row>
    <row r="531" spans="1:104" x14ac:dyDescent="0.25">
      <c r="A531" s="5"/>
      <c r="P531">
        <f t="shared" si="874"/>
        <v>0</v>
      </c>
      <c r="Q531">
        <f t="shared" si="875"/>
        <v>0</v>
      </c>
      <c r="R531">
        <f t="shared" si="876"/>
        <v>0</v>
      </c>
      <c r="S531">
        <f t="shared" si="877"/>
        <v>0</v>
      </c>
      <c r="T531">
        <f t="shared" si="878"/>
        <v>0</v>
      </c>
    </row>
    <row r="532" spans="1:104" x14ac:dyDescent="0.25">
      <c r="A532" s="5"/>
      <c r="P532">
        <f t="shared" si="874"/>
        <v>0</v>
      </c>
      <c r="Q532">
        <f t="shared" si="875"/>
        <v>0</v>
      </c>
      <c r="R532">
        <f t="shared" si="876"/>
        <v>0</v>
      </c>
      <c r="S532">
        <f t="shared" si="877"/>
        <v>0</v>
      </c>
      <c r="T532">
        <f t="shared" si="878"/>
        <v>0</v>
      </c>
    </row>
    <row r="533" spans="1:104" x14ac:dyDescent="0.25">
      <c r="A533" s="5"/>
      <c r="P533">
        <f t="shared" si="874"/>
        <v>0</v>
      </c>
      <c r="Q533">
        <f t="shared" si="875"/>
        <v>0</v>
      </c>
      <c r="R533">
        <f t="shared" si="876"/>
        <v>0</v>
      </c>
      <c r="S533">
        <f t="shared" si="877"/>
        <v>0</v>
      </c>
      <c r="T533">
        <f t="shared" si="878"/>
        <v>0</v>
      </c>
    </row>
    <row r="534" spans="1:104" x14ac:dyDescent="0.25">
      <c r="A534" s="5"/>
      <c r="P534">
        <f t="shared" si="874"/>
        <v>0</v>
      </c>
      <c r="Q534">
        <f t="shared" si="875"/>
        <v>0</v>
      </c>
      <c r="R534">
        <f t="shared" si="876"/>
        <v>0</v>
      </c>
      <c r="S534">
        <f t="shared" si="877"/>
        <v>0</v>
      </c>
      <c r="T534">
        <f t="shared" si="878"/>
        <v>0</v>
      </c>
    </row>
    <row r="535" spans="1:104" x14ac:dyDescent="0.25">
      <c r="A535" s="5"/>
      <c r="P535">
        <f t="shared" si="874"/>
        <v>0</v>
      </c>
      <c r="Q535">
        <f t="shared" si="875"/>
        <v>0</v>
      </c>
      <c r="R535">
        <f t="shared" si="876"/>
        <v>0</v>
      </c>
      <c r="S535">
        <f t="shared" si="877"/>
        <v>0</v>
      </c>
      <c r="T535">
        <f t="shared" si="878"/>
        <v>0</v>
      </c>
    </row>
    <row r="536" spans="1:104" x14ac:dyDescent="0.25">
      <c r="A536" s="5"/>
      <c r="P536">
        <f t="shared" si="874"/>
        <v>0</v>
      </c>
      <c r="Q536">
        <f t="shared" si="875"/>
        <v>0</v>
      </c>
      <c r="R536">
        <f t="shared" si="876"/>
        <v>0</v>
      </c>
      <c r="S536">
        <f t="shared" si="877"/>
        <v>0</v>
      </c>
      <c r="T536">
        <f t="shared" si="878"/>
        <v>0</v>
      </c>
    </row>
    <row r="537" spans="1:104" x14ac:dyDescent="0.25">
      <c r="A537" s="5"/>
      <c r="P537">
        <f t="shared" si="874"/>
        <v>0</v>
      </c>
      <c r="Q537">
        <f t="shared" si="875"/>
        <v>0</v>
      </c>
      <c r="R537">
        <f t="shared" si="876"/>
        <v>0</v>
      </c>
      <c r="S537">
        <f t="shared" si="877"/>
        <v>0</v>
      </c>
      <c r="T537">
        <f t="shared" si="878"/>
        <v>0</v>
      </c>
    </row>
    <row r="538" spans="1:104" x14ac:dyDescent="0.25">
      <c r="A538" s="5"/>
      <c r="P538">
        <f t="shared" si="874"/>
        <v>0</v>
      </c>
      <c r="Q538">
        <f t="shared" si="875"/>
        <v>0</v>
      </c>
      <c r="R538">
        <f t="shared" si="876"/>
        <v>0</v>
      </c>
      <c r="S538">
        <f t="shared" si="877"/>
        <v>0</v>
      </c>
      <c r="T538">
        <f t="shared" si="878"/>
        <v>0</v>
      </c>
    </row>
    <row r="539" spans="1:104" x14ac:dyDescent="0.25">
      <c r="A539" s="5"/>
      <c r="P539">
        <f t="shared" si="874"/>
        <v>0</v>
      </c>
      <c r="Q539">
        <f t="shared" si="875"/>
        <v>0</v>
      </c>
      <c r="R539">
        <f t="shared" si="876"/>
        <v>0</v>
      </c>
      <c r="S539">
        <f t="shared" si="877"/>
        <v>0</v>
      </c>
      <c r="T539">
        <f t="shared" si="878"/>
        <v>0</v>
      </c>
      <c r="CZ539" t="s">
        <v>7</v>
      </c>
    </row>
    <row r="540" spans="1:104" x14ac:dyDescent="0.25">
      <c r="A540" s="5"/>
      <c r="P540">
        <f t="shared" si="874"/>
        <v>0</v>
      </c>
      <c r="Q540">
        <f t="shared" si="875"/>
        <v>0</v>
      </c>
      <c r="R540">
        <f t="shared" si="876"/>
        <v>0</v>
      </c>
      <c r="S540">
        <f t="shared" si="877"/>
        <v>0</v>
      </c>
      <c r="T540">
        <f t="shared" si="878"/>
        <v>0</v>
      </c>
      <c r="CZ540" t="s">
        <v>7</v>
      </c>
    </row>
    <row r="541" spans="1:104" x14ac:dyDescent="0.25">
      <c r="A541" s="5"/>
      <c r="P541">
        <f t="shared" si="874"/>
        <v>0</v>
      </c>
      <c r="Q541">
        <f t="shared" si="875"/>
        <v>0</v>
      </c>
      <c r="R541">
        <f t="shared" si="876"/>
        <v>0</v>
      </c>
      <c r="S541">
        <f t="shared" si="877"/>
        <v>0</v>
      </c>
      <c r="T541">
        <f t="shared" si="878"/>
        <v>0</v>
      </c>
      <c r="CZ541" t="s">
        <v>7</v>
      </c>
    </row>
    <row r="542" spans="1:104" x14ac:dyDescent="0.25">
      <c r="A542" s="5"/>
      <c r="P542">
        <f t="shared" si="874"/>
        <v>0</v>
      </c>
      <c r="Q542">
        <f t="shared" si="875"/>
        <v>0</v>
      </c>
      <c r="R542">
        <f t="shared" si="876"/>
        <v>0</v>
      </c>
      <c r="S542">
        <f t="shared" si="877"/>
        <v>0</v>
      </c>
      <c r="T542">
        <f t="shared" si="878"/>
        <v>0</v>
      </c>
    </row>
    <row r="543" spans="1:104" x14ac:dyDescent="0.25">
      <c r="A543" s="5"/>
      <c r="C543"/>
      <c r="D543"/>
      <c r="P543">
        <f t="shared" si="874"/>
        <v>0</v>
      </c>
      <c r="Q543">
        <f t="shared" si="875"/>
        <v>0</v>
      </c>
      <c r="R543">
        <f t="shared" si="876"/>
        <v>0</v>
      </c>
      <c r="S543">
        <f t="shared" si="877"/>
        <v>0</v>
      </c>
      <c r="T543">
        <f t="shared" si="878"/>
        <v>0</v>
      </c>
    </row>
    <row r="544" spans="1:104" x14ac:dyDescent="0.25">
      <c r="A544" s="5"/>
      <c r="C544"/>
      <c r="D544"/>
      <c r="P544">
        <f t="shared" si="874"/>
        <v>0</v>
      </c>
      <c r="Q544">
        <f t="shared" si="875"/>
        <v>0</v>
      </c>
      <c r="R544">
        <f t="shared" si="876"/>
        <v>0</v>
      </c>
      <c r="S544">
        <f t="shared" si="877"/>
        <v>0</v>
      </c>
      <c r="T544">
        <f t="shared" si="878"/>
        <v>0</v>
      </c>
    </row>
    <row r="545" spans="1:20" x14ac:dyDescent="0.25">
      <c r="A545" s="5"/>
      <c r="C545"/>
      <c r="D545"/>
      <c r="P545">
        <f t="shared" si="874"/>
        <v>0</v>
      </c>
      <c r="Q545">
        <f t="shared" si="875"/>
        <v>0</v>
      </c>
      <c r="R545">
        <f t="shared" si="876"/>
        <v>0</v>
      </c>
      <c r="S545">
        <f t="shared" si="877"/>
        <v>0</v>
      </c>
      <c r="T545">
        <f t="shared" si="878"/>
        <v>0</v>
      </c>
    </row>
    <row r="546" spans="1:20" x14ac:dyDescent="0.25">
      <c r="A546" s="5"/>
      <c r="C546"/>
      <c r="D546"/>
      <c r="P546">
        <f t="shared" si="874"/>
        <v>0</v>
      </c>
      <c r="Q546">
        <f t="shared" si="875"/>
        <v>0</v>
      </c>
      <c r="R546">
        <f t="shared" si="876"/>
        <v>0</v>
      </c>
      <c r="S546">
        <f t="shared" si="877"/>
        <v>0</v>
      </c>
      <c r="T546">
        <f t="shared" si="878"/>
        <v>0</v>
      </c>
    </row>
    <row r="547" spans="1:20" x14ac:dyDescent="0.25">
      <c r="A547" s="5"/>
      <c r="C547"/>
      <c r="D547"/>
      <c r="P547">
        <f t="shared" si="874"/>
        <v>0</v>
      </c>
      <c r="Q547">
        <f t="shared" si="875"/>
        <v>0</v>
      </c>
      <c r="R547">
        <f t="shared" si="876"/>
        <v>0</v>
      </c>
      <c r="S547">
        <f t="shared" si="877"/>
        <v>0</v>
      </c>
      <c r="T547">
        <f t="shared" si="878"/>
        <v>0</v>
      </c>
    </row>
    <row r="548" spans="1:20" x14ac:dyDescent="0.25">
      <c r="A548" s="5"/>
      <c r="C548"/>
      <c r="D548"/>
      <c r="P548">
        <f t="shared" si="874"/>
        <v>0</v>
      </c>
      <c r="Q548">
        <f t="shared" si="875"/>
        <v>0</v>
      </c>
      <c r="R548">
        <f t="shared" si="876"/>
        <v>0</v>
      </c>
      <c r="S548">
        <f t="shared" si="877"/>
        <v>0</v>
      </c>
      <c r="T548">
        <f t="shared" si="878"/>
        <v>0</v>
      </c>
    </row>
    <row r="549" spans="1:20" x14ac:dyDescent="0.25">
      <c r="A549" s="5"/>
      <c r="C549"/>
      <c r="D549"/>
      <c r="P549">
        <f t="shared" si="874"/>
        <v>0</v>
      </c>
      <c r="Q549">
        <f t="shared" si="875"/>
        <v>0</v>
      </c>
      <c r="R549">
        <f t="shared" si="876"/>
        <v>0</v>
      </c>
      <c r="S549">
        <f t="shared" si="877"/>
        <v>0</v>
      </c>
      <c r="T549">
        <f t="shared" si="878"/>
        <v>0</v>
      </c>
    </row>
    <row r="550" spans="1:20" x14ac:dyDescent="0.25">
      <c r="A550" s="5"/>
      <c r="C550"/>
      <c r="D550"/>
      <c r="P550">
        <f t="shared" si="874"/>
        <v>0</v>
      </c>
      <c r="Q550">
        <f t="shared" si="875"/>
        <v>0</v>
      </c>
      <c r="R550">
        <f t="shared" si="876"/>
        <v>0</v>
      </c>
      <c r="S550">
        <f t="shared" si="877"/>
        <v>0</v>
      </c>
      <c r="T550">
        <f t="shared" si="878"/>
        <v>0</v>
      </c>
    </row>
    <row r="551" spans="1:20" x14ac:dyDescent="0.25">
      <c r="A551" s="5"/>
      <c r="C551"/>
      <c r="D551"/>
      <c r="P551">
        <f t="shared" si="874"/>
        <v>0</v>
      </c>
      <c r="Q551">
        <f t="shared" si="875"/>
        <v>0</v>
      </c>
      <c r="R551">
        <f t="shared" si="876"/>
        <v>0</v>
      </c>
      <c r="S551">
        <f t="shared" si="877"/>
        <v>0</v>
      </c>
      <c r="T551">
        <f t="shared" si="878"/>
        <v>0</v>
      </c>
    </row>
    <row r="552" spans="1:20" x14ac:dyDescent="0.25">
      <c r="A552" s="5"/>
      <c r="C552"/>
      <c r="D552"/>
      <c r="P552">
        <f t="shared" si="874"/>
        <v>0</v>
      </c>
      <c r="Q552">
        <f t="shared" si="875"/>
        <v>0</v>
      </c>
      <c r="R552">
        <f t="shared" si="876"/>
        <v>0</v>
      </c>
      <c r="S552">
        <f t="shared" si="877"/>
        <v>0</v>
      </c>
      <c r="T552">
        <f t="shared" si="878"/>
        <v>0</v>
      </c>
    </row>
    <row r="553" spans="1:20" x14ac:dyDescent="0.25">
      <c r="A553" s="5"/>
      <c r="C553"/>
      <c r="D553"/>
      <c r="P553">
        <f t="shared" si="874"/>
        <v>0</v>
      </c>
      <c r="Q553">
        <f t="shared" si="875"/>
        <v>0</v>
      </c>
      <c r="R553">
        <f t="shared" si="876"/>
        <v>0</v>
      </c>
      <c r="S553">
        <f t="shared" si="877"/>
        <v>0</v>
      </c>
      <c r="T553">
        <f t="shared" si="878"/>
        <v>0</v>
      </c>
    </row>
    <row r="554" spans="1:20" x14ac:dyDescent="0.25">
      <c r="A554" s="5"/>
      <c r="C554"/>
      <c r="D554"/>
      <c r="P554">
        <f t="shared" si="874"/>
        <v>0</v>
      </c>
      <c r="Q554">
        <f t="shared" si="875"/>
        <v>0</v>
      </c>
      <c r="R554">
        <f t="shared" si="876"/>
        <v>0</v>
      </c>
      <c r="S554">
        <f t="shared" si="877"/>
        <v>0</v>
      </c>
      <c r="T554">
        <f t="shared" si="878"/>
        <v>0</v>
      </c>
    </row>
    <row r="555" spans="1:20" x14ac:dyDescent="0.25">
      <c r="A555" s="5"/>
      <c r="C555"/>
      <c r="D555"/>
      <c r="P555">
        <f t="shared" si="874"/>
        <v>0</v>
      </c>
      <c r="Q555">
        <f t="shared" si="875"/>
        <v>0</v>
      </c>
      <c r="R555">
        <f t="shared" si="876"/>
        <v>0</v>
      </c>
      <c r="S555">
        <f t="shared" si="877"/>
        <v>0</v>
      </c>
      <c r="T555">
        <f t="shared" si="878"/>
        <v>0</v>
      </c>
    </row>
    <row r="556" spans="1:20" x14ac:dyDescent="0.25">
      <c r="A556" s="5"/>
      <c r="C556"/>
      <c r="D556"/>
      <c r="P556">
        <f t="shared" si="874"/>
        <v>0</v>
      </c>
      <c r="Q556">
        <f t="shared" si="875"/>
        <v>0</v>
      </c>
      <c r="R556">
        <f t="shared" si="876"/>
        <v>0</v>
      </c>
      <c r="S556">
        <f t="shared" si="877"/>
        <v>0</v>
      </c>
      <c r="T556">
        <f t="shared" si="878"/>
        <v>0</v>
      </c>
    </row>
    <row r="557" spans="1:20" x14ac:dyDescent="0.25">
      <c r="A557" s="5"/>
      <c r="C557"/>
      <c r="D557"/>
      <c r="P557">
        <f t="shared" si="874"/>
        <v>0</v>
      </c>
      <c r="Q557">
        <f t="shared" si="875"/>
        <v>0</v>
      </c>
      <c r="R557">
        <f t="shared" si="876"/>
        <v>0</v>
      </c>
      <c r="S557">
        <f t="shared" si="877"/>
        <v>0</v>
      </c>
      <c r="T557">
        <f t="shared" si="878"/>
        <v>0</v>
      </c>
    </row>
    <row r="558" spans="1:20" x14ac:dyDescent="0.25">
      <c r="A558" s="5"/>
      <c r="C558"/>
      <c r="D558"/>
      <c r="P558">
        <f t="shared" si="874"/>
        <v>0</v>
      </c>
      <c r="Q558">
        <f t="shared" si="875"/>
        <v>0</v>
      </c>
      <c r="R558">
        <f t="shared" si="876"/>
        <v>0</v>
      </c>
      <c r="S558">
        <f t="shared" si="877"/>
        <v>0</v>
      </c>
      <c r="T558">
        <f t="shared" si="878"/>
        <v>0</v>
      </c>
    </row>
    <row r="559" spans="1:20" x14ac:dyDescent="0.25">
      <c r="A559" s="5"/>
      <c r="C559"/>
      <c r="D559"/>
      <c r="P559">
        <f t="shared" si="874"/>
        <v>0</v>
      </c>
      <c r="Q559">
        <f t="shared" si="875"/>
        <v>0</v>
      </c>
      <c r="R559">
        <f t="shared" si="876"/>
        <v>0</v>
      </c>
      <c r="S559">
        <f t="shared" si="877"/>
        <v>0</v>
      </c>
      <c r="T559">
        <f t="shared" si="878"/>
        <v>0</v>
      </c>
    </row>
    <row r="560" spans="1:20" x14ac:dyDescent="0.25">
      <c r="A560" s="5"/>
      <c r="C560"/>
      <c r="D560"/>
      <c r="P560">
        <f t="shared" ref="P560:P623" si="879">IF(C560=D560,0,((E560-D560)-(C560-E560))/(C560-D560))</f>
        <v>0</v>
      </c>
      <c r="Q560">
        <f t="shared" ref="Q560:Q623" si="880">F560*P560</f>
        <v>0</v>
      </c>
      <c r="R560">
        <f t="shared" ref="R560:R623" si="881">R561+Q560</f>
        <v>0</v>
      </c>
      <c r="S560">
        <f t="shared" ref="S560:S623" si="882">R560/100000</f>
        <v>0</v>
      </c>
      <c r="T560">
        <f t="shared" ref="T560:T623" si="883">S560/1000</f>
        <v>0</v>
      </c>
    </row>
    <row r="561" spans="1:20" x14ac:dyDescent="0.25">
      <c r="A561" s="5"/>
      <c r="C561"/>
      <c r="D561"/>
      <c r="P561">
        <f t="shared" si="879"/>
        <v>0</v>
      </c>
      <c r="Q561">
        <f t="shared" si="880"/>
        <v>0</v>
      </c>
      <c r="R561">
        <f t="shared" si="881"/>
        <v>0</v>
      </c>
      <c r="S561">
        <f t="shared" si="882"/>
        <v>0</v>
      </c>
      <c r="T561">
        <f t="shared" si="883"/>
        <v>0</v>
      </c>
    </row>
    <row r="562" spans="1:20" x14ac:dyDescent="0.25">
      <c r="A562" s="5"/>
      <c r="C562"/>
      <c r="D562"/>
      <c r="P562">
        <f t="shared" si="879"/>
        <v>0</v>
      </c>
      <c r="Q562">
        <f t="shared" si="880"/>
        <v>0</v>
      </c>
      <c r="R562">
        <f t="shared" si="881"/>
        <v>0</v>
      </c>
      <c r="S562">
        <f t="shared" si="882"/>
        <v>0</v>
      </c>
      <c r="T562">
        <f t="shared" si="883"/>
        <v>0</v>
      </c>
    </row>
    <row r="563" spans="1:20" x14ac:dyDescent="0.25">
      <c r="A563" s="5"/>
      <c r="C563"/>
      <c r="D563"/>
      <c r="P563">
        <f t="shared" si="879"/>
        <v>0</v>
      </c>
      <c r="Q563">
        <f t="shared" si="880"/>
        <v>0</v>
      </c>
      <c r="R563">
        <f t="shared" si="881"/>
        <v>0</v>
      </c>
      <c r="S563">
        <f t="shared" si="882"/>
        <v>0</v>
      </c>
      <c r="T563">
        <f t="shared" si="883"/>
        <v>0</v>
      </c>
    </row>
    <row r="564" spans="1:20" x14ac:dyDescent="0.25">
      <c r="A564" s="5"/>
      <c r="C564"/>
      <c r="D564"/>
      <c r="P564">
        <f t="shared" si="879"/>
        <v>0</v>
      </c>
      <c r="Q564">
        <f t="shared" si="880"/>
        <v>0</v>
      </c>
      <c r="R564">
        <f t="shared" si="881"/>
        <v>0</v>
      </c>
      <c r="S564">
        <f t="shared" si="882"/>
        <v>0</v>
      </c>
      <c r="T564">
        <f t="shared" si="883"/>
        <v>0</v>
      </c>
    </row>
    <row r="565" spans="1:20" x14ac:dyDescent="0.25">
      <c r="A565" s="5"/>
      <c r="C565"/>
      <c r="D565"/>
      <c r="P565">
        <f t="shared" si="879"/>
        <v>0</v>
      </c>
      <c r="Q565">
        <f t="shared" si="880"/>
        <v>0</v>
      </c>
      <c r="R565">
        <f t="shared" si="881"/>
        <v>0</v>
      </c>
      <c r="S565">
        <f t="shared" si="882"/>
        <v>0</v>
      </c>
      <c r="T565">
        <f t="shared" si="883"/>
        <v>0</v>
      </c>
    </row>
    <row r="566" spans="1:20" x14ac:dyDescent="0.25">
      <c r="A566" s="5"/>
      <c r="C566"/>
      <c r="D566"/>
      <c r="P566">
        <f t="shared" si="879"/>
        <v>0</v>
      </c>
      <c r="Q566">
        <f t="shared" si="880"/>
        <v>0</v>
      </c>
      <c r="R566">
        <f t="shared" si="881"/>
        <v>0</v>
      </c>
      <c r="S566">
        <f t="shared" si="882"/>
        <v>0</v>
      </c>
      <c r="T566">
        <f t="shared" si="883"/>
        <v>0</v>
      </c>
    </row>
    <row r="567" spans="1:20" x14ac:dyDescent="0.25">
      <c r="A567" s="5"/>
      <c r="C567"/>
      <c r="D567"/>
      <c r="P567">
        <f t="shared" si="879"/>
        <v>0</v>
      </c>
      <c r="Q567">
        <f t="shared" si="880"/>
        <v>0</v>
      </c>
      <c r="R567">
        <f t="shared" si="881"/>
        <v>0</v>
      </c>
      <c r="S567">
        <f t="shared" si="882"/>
        <v>0</v>
      </c>
      <c r="T567">
        <f t="shared" si="883"/>
        <v>0</v>
      </c>
    </row>
    <row r="568" spans="1:20" x14ac:dyDescent="0.25">
      <c r="A568" s="5"/>
      <c r="C568"/>
      <c r="D568"/>
      <c r="P568">
        <f t="shared" si="879"/>
        <v>0</v>
      </c>
      <c r="Q568">
        <f t="shared" si="880"/>
        <v>0</v>
      </c>
      <c r="R568">
        <f t="shared" si="881"/>
        <v>0</v>
      </c>
      <c r="S568">
        <f t="shared" si="882"/>
        <v>0</v>
      </c>
      <c r="T568">
        <f t="shared" si="883"/>
        <v>0</v>
      </c>
    </row>
    <row r="569" spans="1:20" x14ac:dyDescent="0.25">
      <c r="A569" s="5"/>
      <c r="C569"/>
      <c r="D569"/>
      <c r="P569">
        <f t="shared" si="879"/>
        <v>0</v>
      </c>
      <c r="Q569">
        <f t="shared" si="880"/>
        <v>0</v>
      </c>
      <c r="R569">
        <f t="shared" si="881"/>
        <v>0</v>
      </c>
      <c r="S569">
        <f t="shared" si="882"/>
        <v>0</v>
      </c>
      <c r="T569">
        <f t="shared" si="883"/>
        <v>0</v>
      </c>
    </row>
    <row r="570" spans="1:20" x14ac:dyDescent="0.25">
      <c r="A570" s="5"/>
      <c r="C570"/>
      <c r="D570"/>
      <c r="P570">
        <f t="shared" si="879"/>
        <v>0</v>
      </c>
      <c r="Q570">
        <f t="shared" si="880"/>
        <v>0</v>
      </c>
      <c r="R570">
        <f t="shared" si="881"/>
        <v>0</v>
      </c>
      <c r="S570">
        <f t="shared" si="882"/>
        <v>0</v>
      </c>
      <c r="T570">
        <f t="shared" si="883"/>
        <v>0</v>
      </c>
    </row>
    <row r="571" spans="1:20" x14ac:dyDescent="0.25">
      <c r="A571" s="5"/>
      <c r="C571"/>
      <c r="D571"/>
      <c r="P571">
        <f t="shared" si="879"/>
        <v>0</v>
      </c>
      <c r="Q571">
        <f t="shared" si="880"/>
        <v>0</v>
      </c>
      <c r="R571">
        <f t="shared" si="881"/>
        <v>0</v>
      </c>
      <c r="S571">
        <f t="shared" si="882"/>
        <v>0</v>
      </c>
      <c r="T571">
        <f t="shared" si="883"/>
        <v>0</v>
      </c>
    </row>
    <row r="572" spans="1:20" x14ac:dyDescent="0.25">
      <c r="A572" s="5"/>
      <c r="C572"/>
      <c r="D572"/>
      <c r="P572">
        <f t="shared" si="879"/>
        <v>0</v>
      </c>
      <c r="Q572">
        <f t="shared" si="880"/>
        <v>0</v>
      </c>
      <c r="R572">
        <f t="shared" si="881"/>
        <v>0</v>
      </c>
      <c r="S572">
        <f t="shared" si="882"/>
        <v>0</v>
      </c>
      <c r="T572">
        <f t="shared" si="883"/>
        <v>0</v>
      </c>
    </row>
    <row r="573" spans="1:20" x14ac:dyDescent="0.25">
      <c r="A573" s="5"/>
      <c r="C573"/>
      <c r="D573"/>
      <c r="P573">
        <f t="shared" si="879"/>
        <v>0</v>
      </c>
      <c r="Q573">
        <f t="shared" si="880"/>
        <v>0</v>
      </c>
      <c r="R573">
        <f t="shared" si="881"/>
        <v>0</v>
      </c>
      <c r="S573">
        <f t="shared" si="882"/>
        <v>0</v>
      </c>
      <c r="T573">
        <f t="shared" si="883"/>
        <v>0</v>
      </c>
    </row>
    <row r="574" spans="1:20" x14ac:dyDescent="0.25">
      <c r="A574" s="5"/>
      <c r="C574"/>
      <c r="D574"/>
      <c r="P574">
        <f t="shared" si="879"/>
        <v>0</v>
      </c>
      <c r="Q574">
        <f t="shared" si="880"/>
        <v>0</v>
      </c>
      <c r="R574">
        <f t="shared" si="881"/>
        <v>0</v>
      </c>
      <c r="S574">
        <f t="shared" si="882"/>
        <v>0</v>
      </c>
      <c r="T574">
        <f t="shared" si="883"/>
        <v>0</v>
      </c>
    </row>
    <row r="575" spans="1:20" x14ac:dyDescent="0.25">
      <c r="A575" s="5"/>
      <c r="C575"/>
      <c r="D575"/>
      <c r="P575">
        <f t="shared" si="879"/>
        <v>0</v>
      </c>
      <c r="Q575">
        <f t="shared" si="880"/>
        <v>0</v>
      </c>
      <c r="R575">
        <f t="shared" si="881"/>
        <v>0</v>
      </c>
      <c r="S575">
        <f t="shared" si="882"/>
        <v>0</v>
      </c>
      <c r="T575">
        <f t="shared" si="883"/>
        <v>0</v>
      </c>
    </row>
    <row r="576" spans="1:20" x14ac:dyDescent="0.25">
      <c r="A576" s="5"/>
      <c r="C576"/>
      <c r="D576"/>
      <c r="P576">
        <f t="shared" si="879"/>
        <v>0</v>
      </c>
      <c r="Q576">
        <f t="shared" si="880"/>
        <v>0</v>
      </c>
      <c r="R576">
        <f t="shared" si="881"/>
        <v>0</v>
      </c>
      <c r="S576">
        <f t="shared" si="882"/>
        <v>0</v>
      </c>
      <c r="T576">
        <f t="shared" si="883"/>
        <v>0</v>
      </c>
    </row>
    <row r="577" spans="1:20" x14ac:dyDescent="0.25">
      <c r="A577" s="5"/>
      <c r="C577"/>
      <c r="D577"/>
      <c r="P577">
        <f t="shared" si="879"/>
        <v>0</v>
      </c>
      <c r="Q577">
        <f t="shared" si="880"/>
        <v>0</v>
      </c>
      <c r="R577">
        <f t="shared" si="881"/>
        <v>0</v>
      </c>
      <c r="S577">
        <f t="shared" si="882"/>
        <v>0</v>
      </c>
      <c r="T577">
        <f t="shared" si="883"/>
        <v>0</v>
      </c>
    </row>
    <row r="578" spans="1:20" x14ac:dyDescent="0.25">
      <c r="A578" s="5"/>
      <c r="C578"/>
      <c r="D578"/>
      <c r="P578">
        <f t="shared" si="879"/>
        <v>0</v>
      </c>
      <c r="Q578">
        <f t="shared" si="880"/>
        <v>0</v>
      </c>
      <c r="R578">
        <f t="shared" si="881"/>
        <v>0</v>
      </c>
      <c r="S578">
        <f t="shared" si="882"/>
        <v>0</v>
      </c>
      <c r="T578">
        <f t="shared" si="883"/>
        <v>0</v>
      </c>
    </row>
    <row r="579" spans="1:20" x14ac:dyDescent="0.25">
      <c r="A579" s="5"/>
      <c r="C579"/>
      <c r="D579"/>
      <c r="P579">
        <f t="shared" si="879"/>
        <v>0</v>
      </c>
      <c r="Q579">
        <f t="shared" si="880"/>
        <v>0</v>
      </c>
      <c r="R579">
        <f t="shared" si="881"/>
        <v>0</v>
      </c>
      <c r="S579">
        <f t="shared" si="882"/>
        <v>0</v>
      </c>
      <c r="T579">
        <f t="shared" si="883"/>
        <v>0</v>
      </c>
    </row>
    <row r="580" spans="1:20" x14ac:dyDescent="0.25">
      <c r="A580" s="5"/>
      <c r="C580"/>
      <c r="D580"/>
      <c r="P580">
        <f t="shared" si="879"/>
        <v>0</v>
      </c>
      <c r="Q580">
        <f t="shared" si="880"/>
        <v>0</v>
      </c>
      <c r="R580">
        <f t="shared" si="881"/>
        <v>0</v>
      </c>
      <c r="S580">
        <f t="shared" si="882"/>
        <v>0</v>
      </c>
      <c r="T580">
        <f t="shared" si="883"/>
        <v>0</v>
      </c>
    </row>
    <row r="581" spans="1:20" x14ac:dyDescent="0.25">
      <c r="A581" s="5"/>
      <c r="C581"/>
      <c r="D581"/>
      <c r="P581">
        <f t="shared" si="879"/>
        <v>0</v>
      </c>
      <c r="Q581">
        <f t="shared" si="880"/>
        <v>0</v>
      </c>
      <c r="R581">
        <f t="shared" si="881"/>
        <v>0</v>
      </c>
      <c r="S581">
        <f t="shared" si="882"/>
        <v>0</v>
      </c>
      <c r="T581">
        <f t="shared" si="883"/>
        <v>0</v>
      </c>
    </row>
    <row r="582" spans="1:20" x14ac:dyDescent="0.25">
      <c r="A582" s="5"/>
      <c r="C582"/>
      <c r="D582"/>
      <c r="P582">
        <f t="shared" si="879"/>
        <v>0</v>
      </c>
      <c r="Q582">
        <f t="shared" si="880"/>
        <v>0</v>
      </c>
      <c r="R582">
        <f t="shared" si="881"/>
        <v>0</v>
      </c>
      <c r="S582">
        <f t="shared" si="882"/>
        <v>0</v>
      </c>
      <c r="T582">
        <f t="shared" si="883"/>
        <v>0</v>
      </c>
    </row>
    <row r="583" spans="1:20" x14ac:dyDescent="0.25">
      <c r="A583" s="5"/>
      <c r="C583"/>
      <c r="D583"/>
      <c r="P583">
        <f t="shared" si="879"/>
        <v>0</v>
      </c>
      <c r="Q583">
        <f t="shared" si="880"/>
        <v>0</v>
      </c>
      <c r="R583">
        <f t="shared" si="881"/>
        <v>0</v>
      </c>
      <c r="S583">
        <f t="shared" si="882"/>
        <v>0</v>
      </c>
      <c r="T583">
        <f t="shared" si="883"/>
        <v>0</v>
      </c>
    </row>
    <row r="584" spans="1:20" x14ac:dyDescent="0.25">
      <c r="A584" s="5"/>
      <c r="C584"/>
      <c r="D584"/>
      <c r="P584">
        <f t="shared" si="879"/>
        <v>0</v>
      </c>
      <c r="Q584">
        <f t="shared" si="880"/>
        <v>0</v>
      </c>
      <c r="R584">
        <f t="shared" si="881"/>
        <v>0</v>
      </c>
      <c r="S584">
        <f t="shared" si="882"/>
        <v>0</v>
      </c>
      <c r="T584">
        <f t="shared" si="883"/>
        <v>0</v>
      </c>
    </row>
    <row r="585" spans="1:20" x14ac:dyDescent="0.25">
      <c r="A585" s="5"/>
      <c r="C585"/>
      <c r="D585"/>
      <c r="P585">
        <f t="shared" si="879"/>
        <v>0</v>
      </c>
      <c r="Q585">
        <f t="shared" si="880"/>
        <v>0</v>
      </c>
      <c r="R585">
        <f t="shared" si="881"/>
        <v>0</v>
      </c>
      <c r="S585">
        <f t="shared" si="882"/>
        <v>0</v>
      </c>
      <c r="T585">
        <f t="shared" si="883"/>
        <v>0</v>
      </c>
    </row>
    <row r="586" spans="1:20" x14ac:dyDescent="0.25">
      <c r="A586" s="5"/>
      <c r="C586"/>
      <c r="D586"/>
      <c r="P586">
        <f t="shared" si="879"/>
        <v>0</v>
      </c>
      <c r="Q586">
        <f t="shared" si="880"/>
        <v>0</v>
      </c>
      <c r="R586">
        <f t="shared" si="881"/>
        <v>0</v>
      </c>
      <c r="S586">
        <f t="shared" si="882"/>
        <v>0</v>
      </c>
      <c r="T586">
        <f t="shared" si="883"/>
        <v>0</v>
      </c>
    </row>
    <row r="587" spans="1:20" x14ac:dyDescent="0.25">
      <c r="A587" s="5"/>
      <c r="C587"/>
      <c r="D587"/>
      <c r="P587">
        <f t="shared" si="879"/>
        <v>0</v>
      </c>
      <c r="Q587">
        <f t="shared" si="880"/>
        <v>0</v>
      </c>
      <c r="R587">
        <f t="shared" si="881"/>
        <v>0</v>
      </c>
      <c r="S587">
        <f t="shared" si="882"/>
        <v>0</v>
      </c>
      <c r="T587">
        <f t="shared" si="883"/>
        <v>0</v>
      </c>
    </row>
    <row r="588" spans="1:20" x14ac:dyDescent="0.25">
      <c r="A588" s="5"/>
      <c r="C588"/>
      <c r="D588"/>
      <c r="P588">
        <f t="shared" si="879"/>
        <v>0</v>
      </c>
      <c r="Q588">
        <f t="shared" si="880"/>
        <v>0</v>
      </c>
      <c r="R588">
        <f t="shared" si="881"/>
        <v>0</v>
      </c>
      <c r="S588">
        <f t="shared" si="882"/>
        <v>0</v>
      </c>
      <c r="T588">
        <f t="shared" si="883"/>
        <v>0</v>
      </c>
    </row>
    <row r="589" spans="1:20" x14ac:dyDescent="0.25">
      <c r="A589" s="5"/>
      <c r="C589"/>
      <c r="D589"/>
      <c r="P589">
        <f t="shared" si="879"/>
        <v>0</v>
      </c>
      <c r="Q589">
        <f t="shared" si="880"/>
        <v>0</v>
      </c>
      <c r="R589">
        <f t="shared" si="881"/>
        <v>0</v>
      </c>
      <c r="S589">
        <f t="shared" si="882"/>
        <v>0</v>
      </c>
      <c r="T589">
        <f t="shared" si="883"/>
        <v>0</v>
      </c>
    </row>
    <row r="590" spans="1:20" x14ac:dyDescent="0.25">
      <c r="A590" s="5"/>
      <c r="C590"/>
      <c r="D590"/>
      <c r="P590">
        <f t="shared" si="879"/>
        <v>0</v>
      </c>
      <c r="Q590">
        <f t="shared" si="880"/>
        <v>0</v>
      </c>
      <c r="R590">
        <f t="shared" si="881"/>
        <v>0</v>
      </c>
      <c r="S590">
        <f t="shared" si="882"/>
        <v>0</v>
      </c>
      <c r="T590">
        <f t="shared" si="883"/>
        <v>0</v>
      </c>
    </row>
    <row r="591" spans="1:20" x14ac:dyDescent="0.25">
      <c r="A591" s="5"/>
      <c r="C591"/>
      <c r="D591"/>
      <c r="P591">
        <f t="shared" si="879"/>
        <v>0</v>
      </c>
      <c r="Q591">
        <f t="shared" si="880"/>
        <v>0</v>
      </c>
      <c r="R591">
        <f t="shared" si="881"/>
        <v>0</v>
      </c>
      <c r="S591">
        <f t="shared" si="882"/>
        <v>0</v>
      </c>
      <c r="T591">
        <f t="shared" si="883"/>
        <v>0</v>
      </c>
    </row>
    <row r="592" spans="1:20" x14ac:dyDescent="0.25">
      <c r="A592" s="5"/>
      <c r="C592"/>
      <c r="D592"/>
      <c r="P592">
        <f t="shared" si="879"/>
        <v>0</v>
      </c>
      <c r="Q592">
        <f t="shared" si="880"/>
        <v>0</v>
      </c>
      <c r="R592">
        <f t="shared" si="881"/>
        <v>0</v>
      </c>
      <c r="S592">
        <f t="shared" si="882"/>
        <v>0</v>
      </c>
      <c r="T592">
        <f t="shared" si="883"/>
        <v>0</v>
      </c>
    </row>
    <row r="593" spans="1:20" x14ac:dyDescent="0.25">
      <c r="A593" s="5"/>
      <c r="C593"/>
      <c r="D593"/>
      <c r="P593">
        <f t="shared" si="879"/>
        <v>0</v>
      </c>
      <c r="Q593">
        <f t="shared" si="880"/>
        <v>0</v>
      </c>
      <c r="R593">
        <f t="shared" si="881"/>
        <v>0</v>
      </c>
      <c r="S593">
        <f t="shared" si="882"/>
        <v>0</v>
      </c>
      <c r="T593">
        <f t="shared" si="883"/>
        <v>0</v>
      </c>
    </row>
    <row r="594" spans="1:20" x14ac:dyDescent="0.25">
      <c r="A594" s="5"/>
      <c r="C594"/>
      <c r="D594"/>
      <c r="P594">
        <f t="shared" si="879"/>
        <v>0</v>
      </c>
      <c r="Q594">
        <f t="shared" si="880"/>
        <v>0</v>
      </c>
      <c r="R594">
        <f t="shared" si="881"/>
        <v>0</v>
      </c>
      <c r="S594">
        <f t="shared" si="882"/>
        <v>0</v>
      </c>
      <c r="T594">
        <f t="shared" si="883"/>
        <v>0</v>
      </c>
    </row>
    <row r="595" spans="1:20" x14ac:dyDescent="0.25">
      <c r="A595" s="5"/>
      <c r="C595"/>
      <c r="D595"/>
      <c r="P595">
        <f t="shared" si="879"/>
        <v>0</v>
      </c>
      <c r="Q595">
        <f t="shared" si="880"/>
        <v>0</v>
      </c>
      <c r="R595">
        <f t="shared" si="881"/>
        <v>0</v>
      </c>
      <c r="S595">
        <f t="shared" si="882"/>
        <v>0</v>
      </c>
      <c r="T595">
        <f t="shared" si="883"/>
        <v>0</v>
      </c>
    </row>
    <row r="596" spans="1:20" x14ac:dyDescent="0.25">
      <c r="A596" s="5"/>
      <c r="C596"/>
      <c r="D596"/>
      <c r="P596">
        <f t="shared" si="879"/>
        <v>0</v>
      </c>
      <c r="Q596">
        <f t="shared" si="880"/>
        <v>0</v>
      </c>
      <c r="R596">
        <f t="shared" si="881"/>
        <v>0</v>
      </c>
      <c r="S596">
        <f t="shared" si="882"/>
        <v>0</v>
      </c>
      <c r="T596">
        <f t="shared" si="883"/>
        <v>0</v>
      </c>
    </row>
    <row r="597" spans="1:20" x14ac:dyDescent="0.25">
      <c r="A597" s="5"/>
      <c r="C597"/>
      <c r="D597"/>
      <c r="P597">
        <f t="shared" si="879"/>
        <v>0</v>
      </c>
      <c r="Q597">
        <f t="shared" si="880"/>
        <v>0</v>
      </c>
      <c r="R597">
        <f t="shared" si="881"/>
        <v>0</v>
      </c>
      <c r="S597">
        <f t="shared" si="882"/>
        <v>0</v>
      </c>
      <c r="T597">
        <f t="shared" si="883"/>
        <v>0</v>
      </c>
    </row>
    <row r="598" spans="1:20" x14ac:dyDescent="0.25">
      <c r="A598" s="5"/>
      <c r="C598"/>
      <c r="D598"/>
      <c r="P598">
        <f t="shared" si="879"/>
        <v>0</v>
      </c>
      <c r="Q598">
        <f t="shared" si="880"/>
        <v>0</v>
      </c>
      <c r="R598">
        <f t="shared" si="881"/>
        <v>0</v>
      </c>
      <c r="S598">
        <f t="shared" si="882"/>
        <v>0</v>
      </c>
      <c r="T598">
        <f t="shared" si="883"/>
        <v>0</v>
      </c>
    </row>
    <row r="599" spans="1:20" x14ac:dyDescent="0.25">
      <c r="A599" s="5"/>
      <c r="C599"/>
      <c r="D599"/>
      <c r="P599">
        <f t="shared" si="879"/>
        <v>0</v>
      </c>
      <c r="Q599">
        <f t="shared" si="880"/>
        <v>0</v>
      </c>
      <c r="R599">
        <f t="shared" si="881"/>
        <v>0</v>
      </c>
      <c r="S599">
        <f t="shared" si="882"/>
        <v>0</v>
      </c>
      <c r="T599">
        <f t="shared" si="883"/>
        <v>0</v>
      </c>
    </row>
    <row r="600" spans="1:20" x14ac:dyDescent="0.25">
      <c r="A600" s="5"/>
      <c r="C600"/>
      <c r="D600"/>
      <c r="P600">
        <f t="shared" si="879"/>
        <v>0</v>
      </c>
      <c r="Q600">
        <f t="shared" si="880"/>
        <v>0</v>
      </c>
      <c r="R600">
        <f t="shared" si="881"/>
        <v>0</v>
      </c>
      <c r="S600">
        <f t="shared" si="882"/>
        <v>0</v>
      </c>
      <c r="T600">
        <f t="shared" si="883"/>
        <v>0</v>
      </c>
    </row>
    <row r="601" spans="1:20" x14ac:dyDescent="0.25">
      <c r="A601" s="5"/>
      <c r="C601"/>
      <c r="D601"/>
      <c r="P601">
        <f t="shared" si="879"/>
        <v>0</v>
      </c>
      <c r="Q601">
        <f t="shared" si="880"/>
        <v>0</v>
      </c>
      <c r="R601">
        <f t="shared" si="881"/>
        <v>0</v>
      </c>
      <c r="S601">
        <f t="shared" si="882"/>
        <v>0</v>
      </c>
      <c r="T601">
        <f t="shared" si="883"/>
        <v>0</v>
      </c>
    </row>
    <row r="602" spans="1:20" x14ac:dyDescent="0.25">
      <c r="A602" s="5"/>
      <c r="C602"/>
      <c r="D602"/>
      <c r="P602">
        <f t="shared" si="879"/>
        <v>0</v>
      </c>
      <c r="Q602">
        <f t="shared" si="880"/>
        <v>0</v>
      </c>
      <c r="R602">
        <f t="shared" si="881"/>
        <v>0</v>
      </c>
      <c r="S602">
        <f t="shared" si="882"/>
        <v>0</v>
      </c>
      <c r="T602">
        <f t="shared" si="883"/>
        <v>0</v>
      </c>
    </row>
    <row r="603" spans="1:20" x14ac:dyDescent="0.25">
      <c r="A603" s="5"/>
      <c r="C603"/>
      <c r="D603"/>
      <c r="P603">
        <f t="shared" si="879"/>
        <v>0</v>
      </c>
      <c r="Q603">
        <f t="shared" si="880"/>
        <v>0</v>
      </c>
      <c r="R603">
        <f t="shared" si="881"/>
        <v>0</v>
      </c>
      <c r="S603">
        <f t="shared" si="882"/>
        <v>0</v>
      </c>
      <c r="T603">
        <f t="shared" si="883"/>
        <v>0</v>
      </c>
    </row>
    <row r="604" spans="1:20" x14ac:dyDescent="0.25">
      <c r="A604" s="5"/>
      <c r="C604"/>
      <c r="D604"/>
      <c r="P604">
        <f t="shared" si="879"/>
        <v>0</v>
      </c>
      <c r="Q604">
        <f t="shared" si="880"/>
        <v>0</v>
      </c>
      <c r="R604">
        <f t="shared" si="881"/>
        <v>0</v>
      </c>
      <c r="S604">
        <f t="shared" si="882"/>
        <v>0</v>
      </c>
      <c r="T604">
        <f t="shared" si="883"/>
        <v>0</v>
      </c>
    </row>
    <row r="605" spans="1:20" x14ac:dyDescent="0.25">
      <c r="A605" s="5"/>
      <c r="C605"/>
      <c r="D605"/>
      <c r="P605">
        <f t="shared" si="879"/>
        <v>0</v>
      </c>
      <c r="Q605">
        <f t="shared" si="880"/>
        <v>0</v>
      </c>
      <c r="R605">
        <f t="shared" si="881"/>
        <v>0</v>
      </c>
      <c r="S605">
        <f t="shared" si="882"/>
        <v>0</v>
      </c>
      <c r="T605">
        <f t="shared" si="883"/>
        <v>0</v>
      </c>
    </row>
    <row r="606" spans="1:20" x14ac:dyDescent="0.25">
      <c r="A606" s="5"/>
      <c r="C606"/>
      <c r="D606"/>
      <c r="P606">
        <f t="shared" si="879"/>
        <v>0</v>
      </c>
      <c r="Q606">
        <f t="shared" si="880"/>
        <v>0</v>
      </c>
      <c r="R606">
        <f t="shared" si="881"/>
        <v>0</v>
      </c>
      <c r="S606">
        <f t="shared" si="882"/>
        <v>0</v>
      </c>
      <c r="T606">
        <f t="shared" si="883"/>
        <v>0</v>
      </c>
    </row>
    <row r="607" spans="1:20" x14ac:dyDescent="0.25">
      <c r="A607" s="5"/>
      <c r="C607"/>
      <c r="D607"/>
      <c r="P607">
        <f t="shared" si="879"/>
        <v>0</v>
      </c>
      <c r="Q607">
        <f t="shared" si="880"/>
        <v>0</v>
      </c>
      <c r="R607">
        <f t="shared" si="881"/>
        <v>0</v>
      </c>
      <c r="S607">
        <f t="shared" si="882"/>
        <v>0</v>
      </c>
      <c r="T607">
        <f t="shared" si="883"/>
        <v>0</v>
      </c>
    </row>
    <row r="608" spans="1:20" x14ac:dyDescent="0.25">
      <c r="A608" s="5"/>
      <c r="C608"/>
      <c r="D608"/>
      <c r="P608">
        <f t="shared" si="879"/>
        <v>0</v>
      </c>
      <c r="Q608">
        <f t="shared" si="880"/>
        <v>0</v>
      </c>
      <c r="R608">
        <f t="shared" si="881"/>
        <v>0</v>
      </c>
      <c r="S608">
        <f t="shared" si="882"/>
        <v>0</v>
      </c>
      <c r="T608">
        <f t="shared" si="883"/>
        <v>0</v>
      </c>
    </row>
    <row r="609" spans="1:20" x14ac:dyDescent="0.25">
      <c r="A609" s="5"/>
      <c r="C609"/>
      <c r="D609"/>
      <c r="P609">
        <f t="shared" si="879"/>
        <v>0</v>
      </c>
      <c r="Q609">
        <f t="shared" si="880"/>
        <v>0</v>
      </c>
      <c r="R609">
        <f t="shared" si="881"/>
        <v>0</v>
      </c>
      <c r="S609">
        <f t="shared" si="882"/>
        <v>0</v>
      </c>
      <c r="T609">
        <f t="shared" si="883"/>
        <v>0</v>
      </c>
    </row>
    <row r="610" spans="1:20" x14ac:dyDescent="0.25">
      <c r="A610" s="5"/>
      <c r="C610"/>
      <c r="D610"/>
      <c r="P610">
        <f t="shared" si="879"/>
        <v>0</v>
      </c>
      <c r="Q610">
        <f t="shared" si="880"/>
        <v>0</v>
      </c>
      <c r="R610">
        <f t="shared" si="881"/>
        <v>0</v>
      </c>
      <c r="S610">
        <f t="shared" si="882"/>
        <v>0</v>
      </c>
      <c r="T610">
        <f t="shared" si="883"/>
        <v>0</v>
      </c>
    </row>
    <row r="611" spans="1:20" x14ac:dyDescent="0.25">
      <c r="A611" s="5"/>
      <c r="C611"/>
      <c r="D611"/>
      <c r="P611">
        <f t="shared" si="879"/>
        <v>0</v>
      </c>
      <c r="Q611">
        <f t="shared" si="880"/>
        <v>0</v>
      </c>
      <c r="R611">
        <f t="shared" si="881"/>
        <v>0</v>
      </c>
      <c r="S611">
        <f t="shared" si="882"/>
        <v>0</v>
      </c>
      <c r="T611">
        <f t="shared" si="883"/>
        <v>0</v>
      </c>
    </row>
    <row r="612" spans="1:20" x14ac:dyDescent="0.25">
      <c r="A612" s="5"/>
      <c r="C612"/>
      <c r="D612"/>
      <c r="P612">
        <f t="shared" si="879"/>
        <v>0</v>
      </c>
      <c r="Q612">
        <f t="shared" si="880"/>
        <v>0</v>
      </c>
      <c r="R612">
        <f t="shared" si="881"/>
        <v>0</v>
      </c>
      <c r="S612">
        <f t="shared" si="882"/>
        <v>0</v>
      </c>
      <c r="T612">
        <f t="shared" si="883"/>
        <v>0</v>
      </c>
    </row>
    <row r="613" spans="1:20" x14ac:dyDescent="0.25">
      <c r="A613" s="5"/>
      <c r="C613"/>
      <c r="D613"/>
      <c r="P613">
        <f t="shared" si="879"/>
        <v>0</v>
      </c>
      <c r="Q613">
        <f t="shared" si="880"/>
        <v>0</v>
      </c>
      <c r="R613">
        <f t="shared" si="881"/>
        <v>0</v>
      </c>
      <c r="S613">
        <f t="shared" si="882"/>
        <v>0</v>
      </c>
      <c r="T613">
        <f t="shared" si="883"/>
        <v>0</v>
      </c>
    </row>
    <row r="614" spans="1:20" x14ac:dyDescent="0.25">
      <c r="A614" s="5"/>
      <c r="C614"/>
      <c r="D614"/>
      <c r="P614">
        <f t="shared" si="879"/>
        <v>0</v>
      </c>
      <c r="Q614">
        <f t="shared" si="880"/>
        <v>0</v>
      </c>
      <c r="R614">
        <f t="shared" si="881"/>
        <v>0</v>
      </c>
      <c r="S614">
        <f t="shared" si="882"/>
        <v>0</v>
      </c>
      <c r="T614">
        <f t="shared" si="883"/>
        <v>0</v>
      </c>
    </row>
    <row r="615" spans="1:20" x14ac:dyDescent="0.25">
      <c r="A615" s="5"/>
      <c r="C615"/>
      <c r="D615"/>
      <c r="P615">
        <f t="shared" si="879"/>
        <v>0</v>
      </c>
      <c r="Q615">
        <f t="shared" si="880"/>
        <v>0</v>
      </c>
      <c r="R615">
        <f t="shared" si="881"/>
        <v>0</v>
      </c>
      <c r="S615">
        <f t="shared" si="882"/>
        <v>0</v>
      </c>
      <c r="T615">
        <f t="shared" si="883"/>
        <v>0</v>
      </c>
    </row>
    <row r="616" spans="1:20" x14ac:dyDescent="0.25">
      <c r="A616" s="5"/>
      <c r="C616"/>
      <c r="D616"/>
      <c r="P616">
        <f t="shared" si="879"/>
        <v>0</v>
      </c>
      <c r="Q616">
        <f t="shared" si="880"/>
        <v>0</v>
      </c>
      <c r="R616">
        <f t="shared" si="881"/>
        <v>0</v>
      </c>
      <c r="S616">
        <f t="shared" si="882"/>
        <v>0</v>
      </c>
      <c r="T616">
        <f t="shared" si="883"/>
        <v>0</v>
      </c>
    </row>
    <row r="617" spans="1:20" x14ac:dyDescent="0.25">
      <c r="A617" s="5"/>
      <c r="C617"/>
      <c r="D617"/>
      <c r="P617">
        <f t="shared" si="879"/>
        <v>0</v>
      </c>
      <c r="Q617">
        <f t="shared" si="880"/>
        <v>0</v>
      </c>
      <c r="R617">
        <f t="shared" si="881"/>
        <v>0</v>
      </c>
      <c r="S617">
        <f t="shared" si="882"/>
        <v>0</v>
      </c>
      <c r="T617">
        <f t="shared" si="883"/>
        <v>0</v>
      </c>
    </row>
    <row r="618" spans="1:20" x14ac:dyDescent="0.25">
      <c r="A618" s="5"/>
      <c r="C618"/>
      <c r="D618"/>
      <c r="P618">
        <f t="shared" si="879"/>
        <v>0</v>
      </c>
      <c r="Q618">
        <f t="shared" si="880"/>
        <v>0</v>
      </c>
      <c r="R618">
        <f t="shared" si="881"/>
        <v>0</v>
      </c>
      <c r="S618">
        <f t="shared" si="882"/>
        <v>0</v>
      </c>
      <c r="T618">
        <f t="shared" si="883"/>
        <v>0</v>
      </c>
    </row>
    <row r="619" spans="1:20" x14ac:dyDescent="0.25">
      <c r="A619" s="5"/>
      <c r="C619"/>
      <c r="D619"/>
      <c r="P619">
        <f t="shared" si="879"/>
        <v>0</v>
      </c>
      <c r="Q619">
        <f t="shared" si="880"/>
        <v>0</v>
      </c>
      <c r="R619">
        <f t="shared" si="881"/>
        <v>0</v>
      </c>
      <c r="S619">
        <f t="shared" si="882"/>
        <v>0</v>
      </c>
      <c r="T619">
        <f t="shared" si="883"/>
        <v>0</v>
      </c>
    </row>
    <row r="620" spans="1:20" x14ac:dyDescent="0.25">
      <c r="A620" s="5"/>
      <c r="C620"/>
      <c r="D620"/>
      <c r="P620">
        <f t="shared" si="879"/>
        <v>0</v>
      </c>
      <c r="Q620">
        <f t="shared" si="880"/>
        <v>0</v>
      </c>
      <c r="R620">
        <f t="shared" si="881"/>
        <v>0</v>
      </c>
      <c r="S620">
        <f t="shared" si="882"/>
        <v>0</v>
      </c>
      <c r="T620">
        <f t="shared" si="883"/>
        <v>0</v>
      </c>
    </row>
    <row r="621" spans="1:20" x14ac:dyDescent="0.25">
      <c r="A621" s="5"/>
      <c r="C621"/>
      <c r="D621"/>
      <c r="P621">
        <f t="shared" si="879"/>
        <v>0</v>
      </c>
      <c r="Q621">
        <f t="shared" si="880"/>
        <v>0</v>
      </c>
      <c r="R621">
        <f t="shared" si="881"/>
        <v>0</v>
      </c>
      <c r="S621">
        <f t="shared" si="882"/>
        <v>0</v>
      </c>
      <c r="T621">
        <f t="shared" si="883"/>
        <v>0</v>
      </c>
    </row>
    <row r="622" spans="1:20" x14ac:dyDescent="0.25">
      <c r="A622" s="5"/>
      <c r="C622"/>
      <c r="D622"/>
      <c r="P622">
        <f t="shared" si="879"/>
        <v>0</v>
      </c>
      <c r="Q622">
        <f t="shared" si="880"/>
        <v>0</v>
      </c>
      <c r="R622">
        <f t="shared" si="881"/>
        <v>0</v>
      </c>
      <c r="S622">
        <f t="shared" si="882"/>
        <v>0</v>
      </c>
      <c r="T622">
        <f t="shared" si="883"/>
        <v>0</v>
      </c>
    </row>
    <row r="623" spans="1:20" x14ac:dyDescent="0.25">
      <c r="A623" s="5"/>
      <c r="C623"/>
      <c r="D623"/>
      <c r="P623">
        <f t="shared" si="879"/>
        <v>0</v>
      </c>
      <c r="Q623">
        <f t="shared" si="880"/>
        <v>0</v>
      </c>
      <c r="R623">
        <f t="shared" si="881"/>
        <v>0</v>
      </c>
      <c r="S623">
        <f t="shared" si="882"/>
        <v>0</v>
      </c>
      <c r="T623">
        <f t="shared" si="883"/>
        <v>0</v>
      </c>
    </row>
    <row r="624" spans="1:20" x14ac:dyDescent="0.25">
      <c r="A624" s="5"/>
      <c r="C624"/>
      <c r="D624"/>
      <c r="P624">
        <f t="shared" ref="P624:P687" si="884">IF(C624=D624,0,((E624-D624)-(C624-E624))/(C624-D624))</f>
        <v>0</v>
      </c>
      <c r="Q624">
        <f t="shared" ref="Q624:Q687" si="885">F624*P624</f>
        <v>0</v>
      </c>
      <c r="R624">
        <f t="shared" ref="R624:R687" si="886">R625+Q624</f>
        <v>0</v>
      </c>
      <c r="S624">
        <f t="shared" ref="S624:S687" si="887">R624/100000</f>
        <v>0</v>
      </c>
      <c r="T624">
        <f t="shared" ref="T624:T687" si="888">S624/1000</f>
        <v>0</v>
      </c>
    </row>
    <row r="625" spans="1:20" x14ac:dyDescent="0.25">
      <c r="A625" s="5"/>
      <c r="C625"/>
      <c r="D625"/>
      <c r="P625">
        <f t="shared" si="884"/>
        <v>0</v>
      </c>
      <c r="Q625">
        <f t="shared" si="885"/>
        <v>0</v>
      </c>
      <c r="R625">
        <f t="shared" si="886"/>
        <v>0</v>
      </c>
      <c r="S625">
        <f t="shared" si="887"/>
        <v>0</v>
      </c>
      <c r="T625">
        <f t="shared" si="888"/>
        <v>0</v>
      </c>
    </row>
    <row r="626" spans="1:20" x14ac:dyDescent="0.25">
      <c r="A626" s="5"/>
      <c r="C626"/>
      <c r="D626"/>
      <c r="P626">
        <f t="shared" si="884"/>
        <v>0</v>
      </c>
      <c r="Q626">
        <f t="shared" si="885"/>
        <v>0</v>
      </c>
      <c r="R626">
        <f t="shared" si="886"/>
        <v>0</v>
      </c>
      <c r="S626">
        <f t="shared" si="887"/>
        <v>0</v>
      </c>
      <c r="T626">
        <f t="shared" si="888"/>
        <v>0</v>
      </c>
    </row>
    <row r="627" spans="1:20" x14ac:dyDescent="0.25">
      <c r="A627" s="5"/>
      <c r="C627"/>
      <c r="D627"/>
      <c r="P627">
        <f t="shared" si="884"/>
        <v>0</v>
      </c>
      <c r="Q627">
        <f t="shared" si="885"/>
        <v>0</v>
      </c>
      <c r="R627">
        <f t="shared" si="886"/>
        <v>0</v>
      </c>
      <c r="S627">
        <f t="shared" si="887"/>
        <v>0</v>
      </c>
      <c r="T627">
        <f t="shared" si="888"/>
        <v>0</v>
      </c>
    </row>
    <row r="628" spans="1:20" x14ac:dyDescent="0.25">
      <c r="A628" s="5"/>
      <c r="C628"/>
      <c r="D628"/>
      <c r="P628">
        <f t="shared" si="884"/>
        <v>0</v>
      </c>
      <c r="Q628">
        <f t="shared" si="885"/>
        <v>0</v>
      </c>
      <c r="R628">
        <f t="shared" si="886"/>
        <v>0</v>
      </c>
      <c r="S628">
        <f t="shared" si="887"/>
        <v>0</v>
      </c>
      <c r="T628">
        <f t="shared" si="888"/>
        <v>0</v>
      </c>
    </row>
    <row r="629" spans="1:20" x14ac:dyDescent="0.25">
      <c r="A629" s="5"/>
      <c r="C629"/>
      <c r="D629"/>
      <c r="P629">
        <f t="shared" si="884"/>
        <v>0</v>
      </c>
      <c r="Q629">
        <f t="shared" si="885"/>
        <v>0</v>
      </c>
      <c r="R629">
        <f t="shared" si="886"/>
        <v>0</v>
      </c>
      <c r="S629">
        <f t="shared" si="887"/>
        <v>0</v>
      </c>
      <c r="T629">
        <f t="shared" si="888"/>
        <v>0</v>
      </c>
    </row>
    <row r="630" spans="1:20" x14ac:dyDescent="0.25">
      <c r="A630" s="5"/>
      <c r="C630"/>
      <c r="D630"/>
      <c r="P630">
        <f t="shared" si="884"/>
        <v>0</v>
      </c>
      <c r="Q630">
        <f t="shared" si="885"/>
        <v>0</v>
      </c>
      <c r="R630">
        <f t="shared" si="886"/>
        <v>0</v>
      </c>
      <c r="S630">
        <f t="shared" si="887"/>
        <v>0</v>
      </c>
      <c r="T630">
        <f t="shared" si="888"/>
        <v>0</v>
      </c>
    </row>
    <row r="631" spans="1:20" x14ac:dyDescent="0.25">
      <c r="A631" s="5"/>
      <c r="C631"/>
      <c r="D631"/>
      <c r="P631">
        <f t="shared" si="884"/>
        <v>0</v>
      </c>
      <c r="Q631">
        <f t="shared" si="885"/>
        <v>0</v>
      </c>
      <c r="R631">
        <f t="shared" si="886"/>
        <v>0</v>
      </c>
      <c r="S631">
        <f t="shared" si="887"/>
        <v>0</v>
      </c>
      <c r="T631">
        <f t="shared" si="888"/>
        <v>0</v>
      </c>
    </row>
    <row r="632" spans="1:20" x14ac:dyDescent="0.25">
      <c r="A632" s="5"/>
      <c r="C632"/>
      <c r="D632"/>
      <c r="P632">
        <f t="shared" si="884"/>
        <v>0</v>
      </c>
      <c r="Q632">
        <f t="shared" si="885"/>
        <v>0</v>
      </c>
      <c r="R632">
        <f t="shared" si="886"/>
        <v>0</v>
      </c>
      <c r="S632">
        <f t="shared" si="887"/>
        <v>0</v>
      </c>
      <c r="T632">
        <f t="shared" si="888"/>
        <v>0</v>
      </c>
    </row>
    <row r="633" spans="1:20" x14ac:dyDescent="0.25">
      <c r="A633" s="5"/>
      <c r="C633"/>
      <c r="D633"/>
      <c r="P633">
        <f t="shared" si="884"/>
        <v>0</v>
      </c>
      <c r="Q633">
        <f t="shared" si="885"/>
        <v>0</v>
      </c>
      <c r="R633">
        <f t="shared" si="886"/>
        <v>0</v>
      </c>
      <c r="S633">
        <f t="shared" si="887"/>
        <v>0</v>
      </c>
      <c r="T633">
        <f t="shared" si="888"/>
        <v>0</v>
      </c>
    </row>
    <row r="634" spans="1:20" x14ac:dyDescent="0.25">
      <c r="A634" s="5"/>
      <c r="C634"/>
      <c r="D634"/>
      <c r="P634">
        <f t="shared" si="884"/>
        <v>0</v>
      </c>
      <c r="Q634">
        <f t="shared" si="885"/>
        <v>0</v>
      </c>
      <c r="R634">
        <f t="shared" si="886"/>
        <v>0</v>
      </c>
      <c r="S634">
        <f t="shared" si="887"/>
        <v>0</v>
      </c>
      <c r="T634">
        <f t="shared" si="888"/>
        <v>0</v>
      </c>
    </row>
    <row r="635" spans="1:20" x14ac:dyDescent="0.25">
      <c r="A635" s="5"/>
      <c r="C635"/>
      <c r="D635"/>
      <c r="P635">
        <f t="shared" si="884"/>
        <v>0</v>
      </c>
      <c r="Q635">
        <f t="shared" si="885"/>
        <v>0</v>
      </c>
      <c r="R635">
        <f t="shared" si="886"/>
        <v>0</v>
      </c>
      <c r="S635">
        <f t="shared" si="887"/>
        <v>0</v>
      </c>
      <c r="T635">
        <f t="shared" si="888"/>
        <v>0</v>
      </c>
    </row>
    <row r="636" spans="1:20" x14ac:dyDescent="0.25">
      <c r="A636" s="5"/>
      <c r="C636"/>
      <c r="D636"/>
      <c r="P636">
        <f t="shared" si="884"/>
        <v>0</v>
      </c>
      <c r="Q636">
        <f t="shared" si="885"/>
        <v>0</v>
      </c>
      <c r="R636">
        <f t="shared" si="886"/>
        <v>0</v>
      </c>
      <c r="S636">
        <f t="shared" si="887"/>
        <v>0</v>
      </c>
      <c r="T636">
        <f t="shared" si="888"/>
        <v>0</v>
      </c>
    </row>
    <row r="637" spans="1:20" x14ac:dyDescent="0.25">
      <c r="A637" s="5"/>
      <c r="C637"/>
      <c r="D637"/>
      <c r="P637">
        <f t="shared" si="884"/>
        <v>0</v>
      </c>
      <c r="Q637">
        <f t="shared" si="885"/>
        <v>0</v>
      </c>
      <c r="R637">
        <f t="shared" si="886"/>
        <v>0</v>
      </c>
      <c r="S637">
        <f t="shared" si="887"/>
        <v>0</v>
      </c>
      <c r="T637">
        <f t="shared" si="888"/>
        <v>0</v>
      </c>
    </row>
    <row r="638" spans="1:20" x14ac:dyDescent="0.25">
      <c r="A638" s="5"/>
      <c r="C638"/>
      <c r="D638"/>
      <c r="P638">
        <f t="shared" si="884"/>
        <v>0</v>
      </c>
      <c r="Q638">
        <f t="shared" si="885"/>
        <v>0</v>
      </c>
      <c r="R638">
        <f t="shared" si="886"/>
        <v>0</v>
      </c>
      <c r="S638">
        <f t="shared" si="887"/>
        <v>0</v>
      </c>
      <c r="T638">
        <f t="shared" si="888"/>
        <v>0</v>
      </c>
    </row>
    <row r="639" spans="1:20" x14ac:dyDescent="0.25">
      <c r="A639" s="5"/>
      <c r="P639">
        <f t="shared" si="884"/>
        <v>0</v>
      </c>
      <c r="Q639">
        <f t="shared" si="885"/>
        <v>0</v>
      </c>
      <c r="R639">
        <f t="shared" si="886"/>
        <v>0</v>
      </c>
      <c r="S639">
        <f t="shared" si="887"/>
        <v>0</v>
      </c>
      <c r="T639">
        <f t="shared" si="888"/>
        <v>0</v>
      </c>
    </row>
    <row r="640" spans="1:20" x14ac:dyDescent="0.25">
      <c r="A640" s="5"/>
      <c r="P640">
        <f t="shared" si="884"/>
        <v>0</v>
      </c>
      <c r="Q640">
        <f t="shared" si="885"/>
        <v>0</v>
      </c>
      <c r="R640">
        <f t="shared" si="886"/>
        <v>0</v>
      </c>
      <c r="S640">
        <f t="shared" si="887"/>
        <v>0</v>
      </c>
      <c r="T640">
        <f t="shared" si="888"/>
        <v>0</v>
      </c>
    </row>
    <row r="641" spans="1:20" x14ac:dyDescent="0.25">
      <c r="A641" s="5"/>
      <c r="P641">
        <f t="shared" si="884"/>
        <v>0</v>
      </c>
      <c r="Q641">
        <f t="shared" si="885"/>
        <v>0</v>
      </c>
      <c r="R641">
        <f t="shared" si="886"/>
        <v>0</v>
      </c>
      <c r="S641">
        <f t="shared" si="887"/>
        <v>0</v>
      </c>
      <c r="T641">
        <f t="shared" si="888"/>
        <v>0</v>
      </c>
    </row>
    <row r="642" spans="1:20" x14ac:dyDescent="0.25">
      <c r="A642" s="5"/>
      <c r="C642" s="4"/>
      <c r="D642" s="4"/>
      <c r="P642">
        <f t="shared" si="884"/>
        <v>0</v>
      </c>
      <c r="Q642">
        <f t="shared" si="885"/>
        <v>0</v>
      </c>
      <c r="R642">
        <f t="shared" si="886"/>
        <v>0</v>
      </c>
      <c r="S642">
        <f t="shared" si="887"/>
        <v>0</v>
      </c>
      <c r="T642">
        <f t="shared" si="888"/>
        <v>0</v>
      </c>
    </row>
    <row r="643" spans="1:20" x14ac:dyDescent="0.25">
      <c r="A643" s="5"/>
      <c r="C643" s="4"/>
      <c r="D643" s="4"/>
      <c r="P643">
        <f t="shared" si="884"/>
        <v>0</v>
      </c>
      <c r="Q643">
        <f t="shared" si="885"/>
        <v>0</v>
      </c>
      <c r="R643">
        <f t="shared" si="886"/>
        <v>0</v>
      </c>
      <c r="S643">
        <f t="shared" si="887"/>
        <v>0</v>
      </c>
      <c r="T643">
        <f t="shared" si="888"/>
        <v>0</v>
      </c>
    </row>
    <row r="644" spans="1:20" x14ac:dyDescent="0.25">
      <c r="A644" s="5"/>
      <c r="C644" s="4"/>
      <c r="D644" s="4"/>
      <c r="P644">
        <f t="shared" si="884"/>
        <v>0</v>
      </c>
      <c r="Q644">
        <f t="shared" si="885"/>
        <v>0</v>
      </c>
      <c r="R644">
        <f t="shared" si="886"/>
        <v>0</v>
      </c>
      <c r="S644">
        <f t="shared" si="887"/>
        <v>0</v>
      </c>
      <c r="T644">
        <f t="shared" si="888"/>
        <v>0</v>
      </c>
    </row>
    <row r="645" spans="1:20" x14ac:dyDescent="0.25">
      <c r="A645" s="5"/>
      <c r="C645" s="4"/>
      <c r="D645" s="4"/>
      <c r="P645">
        <f t="shared" si="884"/>
        <v>0</v>
      </c>
      <c r="Q645">
        <f t="shared" si="885"/>
        <v>0</v>
      </c>
      <c r="R645">
        <f t="shared" si="886"/>
        <v>0</v>
      </c>
      <c r="S645">
        <f t="shared" si="887"/>
        <v>0</v>
      </c>
      <c r="T645">
        <f t="shared" si="888"/>
        <v>0</v>
      </c>
    </row>
    <row r="646" spans="1:20" x14ac:dyDescent="0.25">
      <c r="A646" s="5"/>
      <c r="C646" s="4"/>
      <c r="D646" s="4"/>
      <c r="P646">
        <f t="shared" si="884"/>
        <v>0</v>
      </c>
      <c r="Q646">
        <f t="shared" si="885"/>
        <v>0</v>
      </c>
      <c r="R646">
        <f t="shared" si="886"/>
        <v>0</v>
      </c>
      <c r="S646">
        <f t="shared" si="887"/>
        <v>0</v>
      </c>
      <c r="T646">
        <f t="shared" si="888"/>
        <v>0</v>
      </c>
    </row>
    <row r="647" spans="1:20" x14ac:dyDescent="0.25">
      <c r="A647" s="5"/>
      <c r="C647" s="4"/>
      <c r="D647" s="4"/>
      <c r="P647">
        <f t="shared" si="884"/>
        <v>0</v>
      </c>
      <c r="Q647">
        <f t="shared" si="885"/>
        <v>0</v>
      </c>
      <c r="R647">
        <f t="shared" si="886"/>
        <v>0</v>
      </c>
      <c r="S647">
        <f t="shared" si="887"/>
        <v>0</v>
      </c>
      <c r="T647">
        <f t="shared" si="888"/>
        <v>0</v>
      </c>
    </row>
    <row r="648" spans="1:20" x14ac:dyDescent="0.25">
      <c r="A648" s="5"/>
      <c r="C648" s="4"/>
      <c r="D648" s="4"/>
      <c r="P648">
        <f t="shared" si="884"/>
        <v>0</v>
      </c>
      <c r="Q648">
        <f t="shared" si="885"/>
        <v>0</v>
      </c>
      <c r="R648">
        <f t="shared" si="886"/>
        <v>0</v>
      </c>
      <c r="S648">
        <f t="shared" si="887"/>
        <v>0</v>
      </c>
      <c r="T648">
        <f t="shared" si="888"/>
        <v>0</v>
      </c>
    </row>
    <row r="649" spans="1:20" x14ac:dyDescent="0.25">
      <c r="A649" s="5"/>
      <c r="C649" s="4"/>
      <c r="D649" s="4"/>
      <c r="P649">
        <f t="shared" si="884"/>
        <v>0</v>
      </c>
      <c r="Q649">
        <f t="shared" si="885"/>
        <v>0</v>
      </c>
      <c r="R649">
        <f t="shared" si="886"/>
        <v>0</v>
      </c>
      <c r="S649">
        <f t="shared" si="887"/>
        <v>0</v>
      </c>
      <c r="T649">
        <f t="shared" si="888"/>
        <v>0</v>
      </c>
    </row>
    <row r="650" spans="1:20" x14ac:dyDescent="0.25">
      <c r="A650" s="5"/>
      <c r="C650" s="4"/>
      <c r="D650" s="4"/>
      <c r="P650">
        <f t="shared" si="884"/>
        <v>0</v>
      </c>
      <c r="Q650">
        <f t="shared" si="885"/>
        <v>0</v>
      </c>
      <c r="R650">
        <f t="shared" si="886"/>
        <v>0</v>
      </c>
      <c r="S650">
        <f t="shared" si="887"/>
        <v>0</v>
      </c>
      <c r="T650">
        <f t="shared" si="888"/>
        <v>0</v>
      </c>
    </row>
    <row r="651" spans="1:20" x14ac:dyDescent="0.25">
      <c r="A651" s="5"/>
      <c r="C651" s="4"/>
      <c r="D651" s="4"/>
      <c r="P651">
        <f t="shared" si="884"/>
        <v>0</v>
      </c>
      <c r="Q651">
        <f t="shared" si="885"/>
        <v>0</v>
      </c>
      <c r="R651">
        <f t="shared" si="886"/>
        <v>0</v>
      </c>
      <c r="S651">
        <f t="shared" si="887"/>
        <v>0</v>
      </c>
      <c r="T651">
        <f t="shared" si="888"/>
        <v>0</v>
      </c>
    </row>
    <row r="652" spans="1:20" x14ac:dyDescent="0.25">
      <c r="A652" s="5"/>
      <c r="C652" s="4"/>
      <c r="D652" s="4"/>
      <c r="P652">
        <f t="shared" si="884"/>
        <v>0</v>
      </c>
      <c r="Q652">
        <f t="shared" si="885"/>
        <v>0</v>
      </c>
      <c r="R652">
        <f t="shared" si="886"/>
        <v>0</v>
      </c>
      <c r="S652">
        <f t="shared" si="887"/>
        <v>0</v>
      </c>
      <c r="T652">
        <f t="shared" si="888"/>
        <v>0</v>
      </c>
    </row>
    <row r="653" spans="1:20" x14ac:dyDescent="0.25">
      <c r="A653" s="5"/>
      <c r="C653" s="4"/>
      <c r="D653" s="4"/>
      <c r="P653">
        <f t="shared" si="884"/>
        <v>0</v>
      </c>
      <c r="Q653">
        <f t="shared" si="885"/>
        <v>0</v>
      </c>
      <c r="R653">
        <f t="shared" si="886"/>
        <v>0</v>
      </c>
      <c r="S653">
        <f t="shared" si="887"/>
        <v>0</v>
      </c>
      <c r="T653">
        <f t="shared" si="888"/>
        <v>0</v>
      </c>
    </row>
    <row r="654" spans="1:20" x14ac:dyDescent="0.25">
      <c r="A654" s="5"/>
      <c r="C654" s="4"/>
      <c r="D654" s="4"/>
      <c r="P654">
        <f t="shared" si="884"/>
        <v>0</v>
      </c>
      <c r="Q654">
        <f t="shared" si="885"/>
        <v>0</v>
      </c>
      <c r="R654">
        <f t="shared" si="886"/>
        <v>0</v>
      </c>
      <c r="S654">
        <f t="shared" si="887"/>
        <v>0</v>
      </c>
      <c r="T654">
        <f t="shared" si="888"/>
        <v>0</v>
      </c>
    </row>
    <row r="655" spans="1:20" x14ac:dyDescent="0.25">
      <c r="A655" s="5"/>
      <c r="C655" s="4"/>
      <c r="D655" s="4"/>
      <c r="P655">
        <f t="shared" si="884"/>
        <v>0</v>
      </c>
      <c r="Q655">
        <f t="shared" si="885"/>
        <v>0</v>
      </c>
      <c r="R655">
        <f t="shared" si="886"/>
        <v>0</v>
      </c>
      <c r="S655">
        <f t="shared" si="887"/>
        <v>0</v>
      </c>
      <c r="T655">
        <f t="shared" si="888"/>
        <v>0</v>
      </c>
    </row>
    <row r="656" spans="1:20" x14ac:dyDescent="0.25">
      <c r="A656" s="5"/>
      <c r="C656" s="4"/>
      <c r="D656" s="4"/>
      <c r="P656">
        <f t="shared" si="884"/>
        <v>0</v>
      </c>
      <c r="Q656">
        <f t="shared" si="885"/>
        <v>0</v>
      </c>
      <c r="R656">
        <f t="shared" si="886"/>
        <v>0</v>
      </c>
      <c r="S656">
        <f t="shared" si="887"/>
        <v>0</v>
      </c>
      <c r="T656">
        <f t="shared" si="888"/>
        <v>0</v>
      </c>
    </row>
    <row r="657" spans="1:20" x14ac:dyDescent="0.25">
      <c r="A657" s="5"/>
      <c r="C657" s="4"/>
      <c r="D657" s="4"/>
      <c r="P657">
        <f t="shared" si="884"/>
        <v>0</v>
      </c>
      <c r="Q657">
        <f t="shared" si="885"/>
        <v>0</v>
      </c>
      <c r="R657">
        <f t="shared" si="886"/>
        <v>0</v>
      </c>
      <c r="S657">
        <f t="shared" si="887"/>
        <v>0</v>
      </c>
      <c r="T657">
        <f t="shared" si="888"/>
        <v>0</v>
      </c>
    </row>
    <row r="658" spans="1:20" x14ac:dyDescent="0.25">
      <c r="A658" s="5"/>
      <c r="C658" s="4"/>
      <c r="D658" s="4"/>
      <c r="P658">
        <f t="shared" si="884"/>
        <v>0</v>
      </c>
      <c r="Q658">
        <f t="shared" si="885"/>
        <v>0</v>
      </c>
      <c r="R658">
        <f t="shared" si="886"/>
        <v>0</v>
      </c>
      <c r="S658">
        <f t="shared" si="887"/>
        <v>0</v>
      </c>
      <c r="T658">
        <f t="shared" si="888"/>
        <v>0</v>
      </c>
    </row>
    <row r="659" spans="1:20" x14ac:dyDescent="0.25">
      <c r="A659" s="5"/>
      <c r="C659" s="4"/>
      <c r="D659" s="4"/>
      <c r="P659">
        <f t="shared" si="884"/>
        <v>0</v>
      </c>
      <c r="Q659">
        <f t="shared" si="885"/>
        <v>0</v>
      </c>
      <c r="R659">
        <f t="shared" si="886"/>
        <v>0</v>
      </c>
      <c r="S659">
        <f t="shared" si="887"/>
        <v>0</v>
      </c>
      <c r="T659">
        <f t="shared" si="888"/>
        <v>0</v>
      </c>
    </row>
    <row r="660" spans="1:20" x14ac:dyDescent="0.25">
      <c r="A660" s="5"/>
      <c r="C660" s="4"/>
      <c r="D660" s="4"/>
      <c r="P660">
        <f t="shared" si="884"/>
        <v>0</v>
      </c>
      <c r="Q660">
        <f t="shared" si="885"/>
        <v>0</v>
      </c>
      <c r="R660">
        <f t="shared" si="886"/>
        <v>0</v>
      </c>
      <c r="S660">
        <f t="shared" si="887"/>
        <v>0</v>
      </c>
      <c r="T660">
        <f t="shared" si="888"/>
        <v>0</v>
      </c>
    </row>
    <row r="661" spans="1:20" x14ac:dyDescent="0.25">
      <c r="A661" s="5"/>
      <c r="C661" s="4"/>
      <c r="D661" s="4"/>
      <c r="P661">
        <f t="shared" si="884"/>
        <v>0</v>
      </c>
      <c r="Q661">
        <f t="shared" si="885"/>
        <v>0</v>
      </c>
      <c r="R661">
        <f t="shared" si="886"/>
        <v>0</v>
      </c>
      <c r="S661">
        <f t="shared" si="887"/>
        <v>0</v>
      </c>
      <c r="T661">
        <f t="shared" si="888"/>
        <v>0</v>
      </c>
    </row>
    <row r="662" spans="1:20" x14ac:dyDescent="0.25">
      <c r="A662" s="5"/>
      <c r="C662" s="4"/>
      <c r="D662" s="4"/>
      <c r="P662">
        <f t="shared" si="884"/>
        <v>0</v>
      </c>
      <c r="Q662">
        <f t="shared" si="885"/>
        <v>0</v>
      </c>
      <c r="R662">
        <f t="shared" si="886"/>
        <v>0</v>
      </c>
      <c r="S662">
        <f t="shared" si="887"/>
        <v>0</v>
      </c>
      <c r="T662">
        <f t="shared" si="888"/>
        <v>0</v>
      </c>
    </row>
    <row r="663" spans="1:20" x14ac:dyDescent="0.25">
      <c r="A663" s="5"/>
      <c r="C663" s="4"/>
      <c r="D663" s="4"/>
      <c r="P663">
        <f t="shared" si="884"/>
        <v>0</v>
      </c>
      <c r="Q663">
        <f t="shared" si="885"/>
        <v>0</v>
      </c>
      <c r="R663">
        <f t="shared" si="886"/>
        <v>0</v>
      </c>
      <c r="S663">
        <f t="shared" si="887"/>
        <v>0</v>
      </c>
      <c r="T663">
        <f t="shared" si="888"/>
        <v>0</v>
      </c>
    </row>
    <row r="664" spans="1:20" x14ac:dyDescent="0.25">
      <c r="A664" s="5"/>
      <c r="C664" s="4"/>
      <c r="D664" s="4"/>
      <c r="P664">
        <f t="shared" si="884"/>
        <v>0</v>
      </c>
      <c r="Q664">
        <f t="shared" si="885"/>
        <v>0</v>
      </c>
      <c r="R664">
        <f t="shared" si="886"/>
        <v>0</v>
      </c>
      <c r="S664">
        <f t="shared" si="887"/>
        <v>0</v>
      </c>
      <c r="T664">
        <f t="shared" si="888"/>
        <v>0</v>
      </c>
    </row>
    <row r="665" spans="1:20" x14ac:dyDescent="0.25">
      <c r="A665" s="5"/>
      <c r="C665" s="4"/>
      <c r="D665" s="4"/>
      <c r="P665">
        <f t="shared" si="884"/>
        <v>0</v>
      </c>
      <c r="Q665">
        <f t="shared" si="885"/>
        <v>0</v>
      </c>
      <c r="R665">
        <f t="shared" si="886"/>
        <v>0</v>
      </c>
      <c r="S665">
        <f t="shared" si="887"/>
        <v>0</v>
      </c>
      <c r="T665">
        <f t="shared" si="888"/>
        <v>0</v>
      </c>
    </row>
    <row r="666" spans="1:20" x14ac:dyDescent="0.25">
      <c r="A666" s="5"/>
      <c r="C666" s="4"/>
      <c r="D666" s="4"/>
      <c r="P666">
        <f t="shared" si="884"/>
        <v>0</v>
      </c>
      <c r="Q666">
        <f t="shared" si="885"/>
        <v>0</v>
      </c>
      <c r="R666">
        <f t="shared" si="886"/>
        <v>0</v>
      </c>
      <c r="S666">
        <f t="shared" si="887"/>
        <v>0</v>
      </c>
      <c r="T666">
        <f t="shared" si="888"/>
        <v>0</v>
      </c>
    </row>
    <row r="667" spans="1:20" x14ac:dyDescent="0.25">
      <c r="A667" s="5"/>
      <c r="C667" s="4"/>
      <c r="D667" s="4"/>
      <c r="P667">
        <f t="shared" si="884"/>
        <v>0</v>
      </c>
      <c r="Q667">
        <f t="shared" si="885"/>
        <v>0</v>
      </c>
      <c r="R667">
        <f t="shared" si="886"/>
        <v>0</v>
      </c>
      <c r="S667">
        <f t="shared" si="887"/>
        <v>0</v>
      </c>
      <c r="T667">
        <f t="shared" si="888"/>
        <v>0</v>
      </c>
    </row>
    <row r="668" spans="1:20" x14ac:dyDescent="0.25">
      <c r="A668" s="5"/>
      <c r="C668" s="4"/>
      <c r="D668" s="4"/>
      <c r="P668">
        <f t="shared" si="884"/>
        <v>0</v>
      </c>
      <c r="Q668">
        <f t="shared" si="885"/>
        <v>0</v>
      </c>
      <c r="R668">
        <f t="shared" si="886"/>
        <v>0</v>
      </c>
      <c r="S668">
        <f t="shared" si="887"/>
        <v>0</v>
      </c>
      <c r="T668">
        <f t="shared" si="888"/>
        <v>0</v>
      </c>
    </row>
    <row r="669" spans="1:20" x14ac:dyDescent="0.25">
      <c r="A669" s="5"/>
      <c r="C669" s="4"/>
      <c r="D669" s="4"/>
      <c r="P669">
        <f t="shared" si="884"/>
        <v>0</v>
      </c>
      <c r="Q669">
        <f t="shared" si="885"/>
        <v>0</v>
      </c>
      <c r="R669">
        <f t="shared" si="886"/>
        <v>0</v>
      </c>
      <c r="S669">
        <f t="shared" si="887"/>
        <v>0</v>
      </c>
      <c r="T669">
        <f t="shared" si="888"/>
        <v>0</v>
      </c>
    </row>
    <row r="670" spans="1:20" x14ac:dyDescent="0.25">
      <c r="A670" s="5"/>
      <c r="C670" s="4"/>
      <c r="D670" s="4"/>
      <c r="P670">
        <f t="shared" si="884"/>
        <v>0</v>
      </c>
      <c r="Q670">
        <f t="shared" si="885"/>
        <v>0</v>
      </c>
      <c r="R670">
        <f t="shared" si="886"/>
        <v>0</v>
      </c>
      <c r="S670">
        <f t="shared" si="887"/>
        <v>0</v>
      </c>
      <c r="T670">
        <f t="shared" si="888"/>
        <v>0</v>
      </c>
    </row>
    <row r="671" spans="1:20" x14ac:dyDescent="0.25">
      <c r="A671" s="5"/>
      <c r="C671" s="4"/>
      <c r="D671" s="4"/>
      <c r="P671">
        <f t="shared" si="884"/>
        <v>0</v>
      </c>
      <c r="Q671">
        <f t="shared" si="885"/>
        <v>0</v>
      </c>
      <c r="R671">
        <f t="shared" si="886"/>
        <v>0</v>
      </c>
      <c r="S671">
        <f t="shared" si="887"/>
        <v>0</v>
      </c>
      <c r="T671">
        <f t="shared" si="888"/>
        <v>0</v>
      </c>
    </row>
    <row r="672" spans="1:20" x14ac:dyDescent="0.25">
      <c r="A672" s="5"/>
      <c r="C672" s="4"/>
      <c r="D672" s="4"/>
      <c r="P672">
        <f t="shared" si="884"/>
        <v>0</v>
      </c>
      <c r="Q672">
        <f t="shared" si="885"/>
        <v>0</v>
      </c>
      <c r="R672">
        <f t="shared" si="886"/>
        <v>0</v>
      </c>
      <c r="S672">
        <f t="shared" si="887"/>
        <v>0</v>
      </c>
      <c r="T672">
        <f t="shared" si="888"/>
        <v>0</v>
      </c>
    </row>
    <row r="673" spans="1:20" x14ac:dyDescent="0.25">
      <c r="A673" s="5"/>
      <c r="C673" s="4"/>
      <c r="D673" s="4"/>
      <c r="P673">
        <f t="shared" si="884"/>
        <v>0</v>
      </c>
      <c r="Q673">
        <f t="shared" si="885"/>
        <v>0</v>
      </c>
      <c r="R673">
        <f t="shared" si="886"/>
        <v>0</v>
      </c>
      <c r="S673">
        <f t="shared" si="887"/>
        <v>0</v>
      </c>
      <c r="T673">
        <f t="shared" si="888"/>
        <v>0</v>
      </c>
    </row>
    <row r="674" spans="1:20" x14ac:dyDescent="0.25">
      <c r="A674" s="5"/>
      <c r="C674" s="4"/>
      <c r="D674" s="4"/>
      <c r="P674">
        <f t="shared" si="884"/>
        <v>0</v>
      </c>
      <c r="Q674">
        <f t="shared" si="885"/>
        <v>0</v>
      </c>
      <c r="R674">
        <f t="shared" si="886"/>
        <v>0</v>
      </c>
      <c r="S674">
        <f t="shared" si="887"/>
        <v>0</v>
      </c>
      <c r="T674">
        <f t="shared" si="888"/>
        <v>0</v>
      </c>
    </row>
    <row r="675" spans="1:20" x14ac:dyDescent="0.25">
      <c r="A675" s="5"/>
      <c r="C675" s="4"/>
      <c r="D675" s="4"/>
      <c r="P675">
        <f t="shared" si="884"/>
        <v>0</v>
      </c>
      <c r="Q675">
        <f t="shared" si="885"/>
        <v>0</v>
      </c>
      <c r="R675">
        <f t="shared" si="886"/>
        <v>0</v>
      </c>
      <c r="S675">
        <f t="shared" si="887"/>
        <v>0</v>
      </c>
      <c r="T675">
        <f t="shared" si="888"/>
        <v>0</v>
      </c>
    </row>
    <row r="676" spans="1:20" x14ac:dyDescent="0.25">
      <c r="A676" s="5"/>
      <c r="C676" s="4"/>
      <c r="D676" s="4"/>
      <c r="P676">
        <f t="shared" si="884"/>
        <v>0</v>
      </c>
      <c r="Q676">
        <f t="shared" si="885"/>
        <v>0</v>
      </c>
      <c r="R676">
        <f t="shared" si="886"/>
        <v>0</v>
      </c>
      <c r="S676">
        <f t="shared" si="887"/>
        <v>0</v>
      </c>
      <c r="T676">
        <f t="shared" si="888"/>
        <v>0</v>
      </c>
    </row>
    <row r="677" spans="1:20" x14ac:dyDescent="0.25">
      <c r="A677" s="5"/>
      <c r="C677" s="4"/>
      <c r="D677" s="4"/>
      <c r="P677">
        <f t="shared" si="884"/>
        <v>0</v>
      </c>
      <c r="Q677">
        <f t="shared" si="885"/>
        <v>0</v>
      </c>
      <c r="R677">
        <f t="shared" si="886"/>
        <v>0</v>
      </c>
      <c r="S677">
        <f t="shared" si="887"/>
        <v>0</v>
      </c>
      <c r="T677">
        <f t="shared" si="888"/>
        <v>0</v>
      </c>
    </row>
    <row r="678" spans="1:20" x14ac:dyDescent="0.25">
      <c r="A678" s="5"/>
      <c r="C678" s="4"/>
      <c r="D678" s="4"/>
      <c r="P678">
        <f t="shared" si="884"/>
        <v>0</v>
      </c>
      <c r="Q678">
        <f t="shared" si="885"/>
        <v>0</v>
      </c>
      <c r="R678">
        <f t="shared" si="886"/>
        <v>0</v>
      </c>
      <c r="S678">
        <f t="shared" si="887"/>
        <v>0</v>
      </c>
      <c r="T678">
        <f t="shared" si="888"/>
        <v>0</v>
      </c>
    </row>
    <row r="679" spans="1:20" x14ac:dyDescent="0.25">
      <c r="A679" s="5"/>
      <c r="C679" s="4"/>
      <c r="D679" s="4"/>
      <c r="P679">
        <f t="shared" si="884"/>
        <v>0</v>
      </c>
      <c r="Q679">
        <f t="shared" si="885"/>
        <v>0</v>
      </c>
      <c r="R679">
        <f t="shared" si="886"/>
        <v>0</v>
      </c>
      <c r="S679">
        <f t="shared" si="887"/>
        <v>0</v>
      </c>
      <c r="T679">
        <f t="shared" si="888"/>
        <v>0</v>
      </c>
    </row>
    <row r="680" spans="1:20" x14ac:dyDescent="0.25">
      <c r="A680" s="5"/>
      <c r="C680" s="4"/>
      <c r="D680" s="4"/>
      <c r="P680">
        <f t="shared" si="884"/>
        <v>0</v>
      </c>
      <c r="Q680">
        <f t="shared" si="885"/>
        <v>0</v>
      </c>
      <c r="R680">
        <f t="shared" si="886"/>
        <v>0</v>
      </c>
      <c r="S680">
        <f t="shared" si="887"/>
        <v>0</v>
      </c>
      <c r="T680">
        <f t="shared" si="888"/>
        <v>0</v>
      </c>
    </row>
    <row r="681" spans="1:20" x14ac:dyDescent="0.25">
      <c r="A681" s="5"/>
      <c r="C681" s="4"/>
      <c r="D681" s="4"/>
      <c r="P681">
        <f t="shared" si="884"/>
        <v>0</v>
      </c>
      <c r="Q681">
        <f t="shared" si="885"/>
        <v>0</v>
      </c>
      <c r="R681">
        <f t="shared" si="886"/>
        <v>0</v>
      </c>
      <c r="S681">
        <f t="shared" si="887"/>
        <v>0</v>
      </c>
      <c r="T681">
        <f t="shared" si="888"/>
        <v>0</v>
      </c>
    </row>
    <row r="682" spans="1:20" x14ac:dyDescent="0.25">
      <c r="A682" s="5"/>
      <c r="C682" s="4"/>
      <c r="D682" s="4"/>
      <c r="P682">
        <f t="shared" si="884"/>
        <v>0</v>
      </c>
      <c r="Q682">
        <f t="shared" si="885"/>
        <v>0</v>
      </c>
      <c r="R682">
        <f t="shared" si="886"/>
        <v>0</v>
      </c>
      <c r="S682">
        <f t="shared" si="887"/>
        <v>0</v>
      </c>
      <c r="T682">
        <f t="shared" si="888"/>
        <v>0</v>
      </c>
    </row>
    <row r="683" spans="1:20" x14ac:dyDescent="0.25">
      <c r="A683" s="5"/>
      <c r="C683" s="4"/>
      <c r="D683" s="4"/>
      <c r="P683">
        <f t="shared" si="884"/>
        <v>0</v>
      </c>
      <c r="Q683">
        <f t="shared" si="885"/>
        <v>0</v>
      </c>
      <c r="R683">
        <f t="shared" si="886"/>
        <v>0</v>
      </c>
      <c r="S683">
        <f t="shared" si="887"/>
        <v>0</v>
      </c>
      <c r="T683">
        <f t="shared" si="888"/>
        <v>0</v>
      </c>
    </row>
    <row r="684" spans="1:20" x14ac:dyDescent="0.25">
      <c r="A684" s="5"/>
      <c r="C684" s="4"/>
      <c r="D684" s="4"/>
      <c r="P684">
        <f t="shared" si="884"/>
        <v>0</v>
      </c>
      <c r="Q684">
        <f t="shared" si="885"/>
        <v>0</v>
      </c>
      <c r="R684">
        <f t="shared" si="886"/>
        <v>0</v>
      </c>
      <c r="S684">
        <f t="shared" si="887"/>
        <v>0</v>
      </c>
      <c r="T684">
        <f t="shared" si="888"/>
        <v>0</v>
      </c>
    </row>
    <row r="685" spans="1:20" x14ac:dyDescent="0.25">
      <c r="A685" s="5"/>
      <c r="C685" s="4"/>
      <c r="D685" s="4"/>
      <c r="P685">
        <f t="shared" si="884"/>
        <v>0</v>
      </c>
      <c r="Q685">
        <f t="shared" si="885"/>
        <v>0</v>
      </c>
      <c r="R685">
        <f t="shared" si="886"/>
        <v>0</v>
      </c>
      <c r="S685">
        <f t="shared" si="887"/>
        <v>0</v>
      </c>
      <c r="T685">
        <f t="shared" si="888"/>
        <v>0</v>
      </c>
    </row>
    <row r="686" spans="1:20" x14ac:dyDescent="0.25">
      <c r="A686" s="5"/>
      <c r="C686" s="4"/>
      <c r="D686" s="4"/>
      <c r="P686">
        <f t="shared" si="884"/>
        <v>0</v>
      </c>
      <c r="Q686">
        <f t="shared" si="885"/>
        <v>0</v>
      </c>
      <c r="R686">
        <f t="shared" si="886"/>
        <v>0</v>
      </c>
      <c r="S686">
        <f t="shared" si="887"/>
        <v>0</v>
      </c>
      <c r="T686">
        <f t="shared" si="888"/>
        <v>0</v>
      </c>
    </row>
    <row r="687" spans="1:20" x14ac:dyDescent="0.25">
      <c r="A687" s="5"/>
      <c r="C687" s="4"/>
      <c r="D687" s="4"/>
      <c r="P687">
        <f t="shared" si="884"/>
        <v>0</v>
      </c>
      <c r="Q687">
        <f t="shared" si="885"/>
        <v>0</v>
      </c>
      <c r="R687">
        <f t="shared" si="886"/>
        <v>0</v>
      </c>
      <c r="S687">
        <f t="shared" si="887"/>
        <v>0</v>
      </c>
      <c r="T687">
        <f t="shared" si="888"/>
        <v>0</v>
      </c>
    </row>
    <row r="688" spans="1:20" x14ac:dyDescent="0.25">
      <c r="A688" s="5"/>
      <c r="C688" s="4"/>
      <c r="D688" s="4"/>
      <c r="P688">
        <f t="shared" ref="P688:P744" si="889">IF(C688=D688,0,((E688-D688)-(C688-E688))/(C688-D688))</f>
        <v>0</v>
      </c>
      <c r="Q688">
        <f t="shared" ref="Q688:Q744" si="890">F688*P688</f>
        <v>0</v>
      </c>
      <c r="R688">
        <f t="shared" ref="R688:R744" si="891">R689+Q688</f>
        <v>0</v>
      </c>
      <c r="S688">
        <f t="shared" ref="S688:S744" si="892">R688/100000</f>
        <v>0</v>
      </c>
      <c r="T688">
        <f t="shared" ref="T688:T744" si="893">S688/1000</f>
        <v>0</v>
      </c>
    </row>
    <row r="689" spans="1:20" x14ac:dyDescent="0.25">
      <c r="A689" s="5"/>
      <c r="C689" s="4"/>
      <c r="D689" s="4"/>
      <c r="P689">
        <f t="shared" si="889"/>
        <v>0</v>
      </c>
      <c r="Q689">
        <f t="shared" si="890"/>
        <v>0</v>
      </c>
      <c r="R689">
        <f t="shared" si="891"/>
        <v>0</v>
      </c>
      <c r="S689">
        <f t="shared" si="892"/>
        <v>0</v>
      </c>
      <c r="T689">
        <f t="shared" si="893"/>
        <v>0</v>
      </c>
    </row>
    <row r="690" spans="1:20" x14ac:dyDescent="0.25">
      <c r="A690" s="5"/>
      <c r="C690" s="4"/>
      <c r="D690" s="4"/>
      <c r="P690">
        <f t="shared" si="889"/>
        <v>0</v>
      </c>
      <c r="Q690">
        <f t="shared" si="890"/>
        <v>0</v>
      </c>
      <c r="R690">
        <f t="shared" si="891"/>
        <v>0</v>
      </c>
      <c r="S690">
        <f t="shared" si="892"/>
        <v>0</v>
      </c>
      <c r="T690">
        <f t="shared" si="893"/>
        <v>0</v>
      </c>
    </row>
    <row r="691" spans="1:20" x14ac:dyDescent="0.25">
      <c r="A691" s="5"/>
      <c r="C691" s="4"/>
      <c r="D691" s="4"/>
      <c r="P691">
        <f t="shared" si="889"/>
        <v>0</v>
      </c>
      <c r="Q691">
        <f t="shared" si="890"/>
        <v>0</v>
      </c>
      <c r="R691">
        <f t="shared" si="891"/>
        <v>0</v>
      </c>
      <c r="S691">
        <f t="shared" si="892"/>
        <v>0</v>
      </c>
      <c r="T691">
        <f t="shared" si="893"/>
        <v>0</v>
      </c>
    </row>
    <row r="692" spans="1:20" x14ac:dyDescent="0.25">
      <c r="A692" s="5"/>
      <c r="C692" s="4"/>
      <c r="D692" s="4"/>
      <c r="P692">
        <f t="shared" si="889"/>
        <v>0</v>
      </c>
      <c r="Q692">
        <f t="shared" si="890"/>
        <v>0</v>
      </c>
      <c r="R692">
        <f t="shared" si="891"/>
        <v>0</v>
      </c>
      <c r="S692">
        <f t="shared" si="892"/>
        <v>0</v>
      </c>
      <c r="T692">
        <f t="shared" si="893"/>
        <v>0</v>
      </c>
    </row>
    <row r="693" spans="1:20" x14ac:dyDescent="0.25">
      <c r="A693" s="5"/>
      <c r="C693" s="4"/>
      <c r="D693" s="4"/>
      <c r="P693">
        <f t="shared" si="889"/>
        <v>0</v>
      </c>
      <c r="Q693">
        <f t="shared" si="890"/>
        <v>0</v>
      </c>
      <c r="R693">
        <f t="shared" si="891"/>
        <v>0</v>
      </c>
      <c r="S693">
        <f t="shared" si="892"/>
        <v>0</v>
      </c>
      <c r="T693">
        <f t="shared" si="893"/>
        <v>0</v>
      </c>
    </row>
    <row r="694" spans="1:20" x14ac:dyDescent="0.25">
      <c r="A694" s="5"/>
      <c r="C694" s="4"/>
      <c r="D694" s="4"/>
      <c r="P694">
        <f t="shared" si="889"/>
        <v>0</v>
      </c>
      <c r="Q694">
        <f t="shared" si="890"/>
        <v>0</v>
      </c>
      <c r="R694">
        <f t="shared" si="891"/>
        <v>0</v>
      </c>
      <c r="S694">
        <f t="shared" si="892"/>
        <v>0</v>
      </c>
      <c r="T694">
        <f t="shared" si="893"/>
        <v>0</v>
      </c>
    </row>
    <row r="695" spans="1:20" x14ac:dyDescent="0.25">
      <c r="A695" s="5"/>
      <c r="C695" s="4"/>
      <c r="D695" s="4"/>
      <c r="P695">
        <f t="shared" si="889"/>
        <v>0</v>
      </c>
      <c r="Q695">
        <f t="shared" si="890"/>
        <v>0</v>
      </c>
      <c r="R695">
        <f t="shared" si="891"/>
        <v>0</v>
      </c>
      <c r="S695">
        <f t="shared" si="892"/>
        <v>0</v>
      </c>
      <c r="T695">
        <f t="shared" si="893"/>
        <v>0</v>
      </c>
    </row>
    <row r="696" spans="1:20" x14ac:dyDescent="0.25">
      <c r="A696" s="5"/>
      <c r="C696" s="4"/>
      <c r="D696" s="4"/>
      <c r="P696">
        <f t="shared" si="889"/>
        <v>0</v>
      </c>
      <c r="Q696">
        <f t="shared" si="890"/>
        <v>0</v>
      </c>
      <c r="R696">
        <f t="shared" si="891"/>
        <v>0</v>
      </c>
      <c r="S696">
        <f t="shared" si="892"/>
        <v>0</v>
      </c>
      <c r="T696">
        <f t="shared" si="893"/>
        <v>0</v>
      </c>
    </row>
    <row r="697" spans="1:20" x14ac:dyDescent="0.25">
      <c r="A697" s="5"/>
      <c r="C697" s="4"/>
      <c r="D697" s="4"/>
      <c r="P697">
        <f t="shared" si="889"/>
        <v>0</v>
      </c>
      <c r="Q697">
        <f t="shared" si="890"/>
        <v>0</v>
      </c>
      <c r="R697">
        <f t="shared" si="891"/>
        <v>0</v>
      </c>
      <c r="S697">
        <f t="shared" si="892"/>
        <v>0</v>
      </c>
      <c r="T697">
        <f t="shared" si="893"/>
        <v>0</v>
      </c>
    </row>
    <row r="698" spans="1:20" x14ac:dyDescent="0.25">
      <c r="A698" s="5"/>
      <c r="C698" s="4"/>
      <c r="D698" s="4"/>
      <c r="P698">
        <f t="shared" si="889"/>
        <v>0</v>
      </c>
      <c r="Q698">
        <f t="shared" si="890"/>
        <v>0</v>
      </c>
      <c r="R698">
        <f t="shared" si="891"/>
        <v>0</v>
      </c>
      <c r="S698">
        <f t="shared" si="892"/>
        <v>0</v>
      </c>
      <c r="T698">
        <f t="shared" si="893"/>
        <v>0</v>
      </c>
    </row>
    <row r="699" spans="1:20" x14ac:dyDescent="0.25">
      <c r="A699" s="5"/>
      <c r="C699" s="4"/>
      <c r="D699" s="4"/>
      <c r="P699">
        <f t="shared" si="889"/>
        <v>0</v>
      </c>
      <c r="Q699">
        <f t="shared" si="890"/>
        <v>0</v>
      </c>
      <c r="R699">
        <f t="shared" si="891"/>
        <v>0</v>
      </c>
      <c r="S699">
        <f t="shared" si="892"/>
        <v>0</v>
      </c>
      <c r="T699">
        <f t="shared" si="893"/>
        <v>0</v>
      </c>
    </row>
    <row r="700" spans="1:20" x14ac:dyDescent="0.25">
      <c r="A700" s="5"/>
      <c r="C700" s="4"/>
      <c r="D700" s="4"/>
      <c r="P700">
        <f t="shared" si="889"/>
        <v>0</v>
      </c>
      <c r="Q700">
        <f t="shared" si="890"/>
        <v>0</v>
      </c>
      <c r="R700">
        <f t="shared" si="891"/>
        <v>0</v>
      </c>
      <c r="S700">
        <f t="shared" si="892"/>
        <v>0</v>
      </c>
      <c r="T700">
        <f t="shared" si="893"/>
        <v>0</v>
      </c>
    </row>
    <row r="701" spans="1:20" x14ac:dyDescent="0.25">
      <c r="A701" s="5"/>
      <c r="C701" s="4"/>
      <c r="D701" s="4"/>
      <c r="P701">
        <f t="shared" si="889"/>
        <v>0</v>
      </c>
      <c r="Q701">
        <f t="shared" si="890"/>
        <v>0</v>
      </c>
      <c r="R701">
        <f t="shared" si="891"/>
        <v>0</v>
      </c>
      <c r="S701">
        <f t="shared" si="892"/>
        <v>0</v>
      </c>
      <c r="T701">
        <f t="shared" si="893"/>
        <v>0</v>
      </c>
    </row>
    <row r="702" spans="1:20" x14ac:dyDescent="0.25">
      <c r="A702" s="5"/>
      <c r="C702" s="4"/>
      <c r="D702" s="4"/>
      <c r="P702">
        <f t="shared" si="889"/>
        <v>0</v>
      </c>
      <c r="Q702">
        <f t="shared" si="890"/>
        <v>0</v>
      </c>
      <c r="R702">
        <f t="shared" si="891"/>
        <v>0</v>
      </c>
      <c r="S702">
        <f t="shared" si="892"/>
        <v>0</v>
      </c>
      <c r="T702">
        <f t="shared" si="893"/>
        <v>0</v>
      </c>
    </row>
    <row r="703" spans="1:20" x14ac:dyDescent="0.25">
      <c r="A703" s="5"/>
      <c r="C703" s="4"/>
      <c r="D703" s="4"/>
      <c r="P703">
        <f t="shared" si="889"/>
        <v>0</v>
      </c>
      <c r="Q703">
        <f t="shared" si="890"/>
        <v>0</v>
      </c>
      <c r="R703">
        <f t="shared" si="891"/>
        <v>0</v>
      </c>
      <c r="S703">
        <f t="shared" si="892"/>
        <v>0</v>
      </c>
      <c r="T703">
        <f t="shared" si="893"/>
        <v>0</v>
      </c>
    </row>
    <row r="704" spans="1:20" x14ac:dyDescent="0.25">
      <c r="A704" s="5"/>
      <c r="C704" s="4"/>
      <c r="D704" s="4"/>
      <c r="P704">
        <f t="shared" si="889"/>
        <v>0</v>
      </c>
      <c r="Q704">
        <f t="shared" si="890"/>
        <v>0</v>
      </c>
      <c r="R704">
        <f t="shared" si="891"/>
        <v>0</v>
      </c>
      <c r="S704">
        <f t="shared" si="892"/>
        <v>0</v>
      </c>
      <c r="T704">
        <f t="shared" si="893"/>
        <v>0</v>
      </c>
    </row>
    <row r="705" spans="1:20" x14ac:dyDescent="0.25">
      <c r="A705" s="5"/>
      <c r="C705" s="4"/>
      <c r="D705" s="4"/>
      <c r="P705">
        <f t="shared" si="889"/>
        <v>0</v>
      </c>
      <c r="Q705">
        <f t="shared" si="890"/>
        <v>0</v>
      </c>
      <c r="R705">
        <f t="shared" si="891"/>
        <v>0</v>
      </c>
      <c r="S705">
        <f t="shared" si="892"/>
        <v>0</v>
      </c>
      <c r="T705">
        <f t="shared" si="893"/>
        <v>0</v>
      </c>
    </row>
    <row r="706" spans="1:20" x14ac:dyDescent="0.25">
      <c r="A706" s="5"/>
      <c r="C706" s="4"/>
      <c r="D706" s="4"/>
      <c r="P706">
        <f t="shared" si="889"/>
        <v>0</v>
      </c>
      <c r="Q706">
        <f t="shared" si="890"/>
        <v>0</v>
      </c>
      <c r="R706">
        <f t="shared" si="891"/>
        <v>0</v>
      </c>
      <c r="S706">
        <f t="shared" si="892"/>
        <v>0</v>
      </c>
      <c r="T706">
        <f t="shared" si="893"/>
        <v>0</v>
      </c>
    </row>
    <row r="707" spans="1:20" x14ac:dyDescent="0.25">
      <c r="A707" s="5"/>
      <c r="C707" s="4"/>
      <c r="D707" s="4"/>
      <c r="P707">
        <f t="shared" si="889"/>
        <v>0</v>
      </c>
      <c r="Q707">
        <f t="shared" si="890"/>
        <v>0</v>
      </c>
      <c r="R707">
        <f t="shared" si="891"/>
        <v>0</v>
      </c>
      <c r="S707">
        <f t="shared" si="892"/>
        <v>0</v>
      </c>
      <c r="T707">
        <f t="shared" si="893"/>
        <v>0</v>
      </c>
    </row>
    <row r="708" spans="1:20" x14ac:dyDescent="0.25">
      <c r="A708" s="5"/>
      <c r="C708" s="4"/>
      <c r="D708" s="4"/>
      <c r="P708">
        <f t="shared" si="889"/>
        <v>0</v>
      </c>
      <c r="Q708">
        <f t="shared" si="890"/>
        <v>0</v>
      </c>
      <c r="R708">
        <f t="shared" si="891"/>
        <v>0</v>
      </c>
      <c r="S708">
        <f t="shared" si="892"/>
        <v>0</v>
      </c>
      <c r="T708">
        <f t="shared" si="893"/>
        <v>0</v>
      </c>
    </row>
    <row r="709" spans="1:20" x14ac:dyDescent="0.25">
      <c r="A709" s="5"/>
      <c r="C709" s="4"/>
      <c r="D709" s="4"/>
      <c r="P709">
        <f t="shared" si="889"/>
        <v>0</v>
      </c>
      <c r="Q709">
        <f t="shared" si="890"/>
        <v>0</v>
      </c>
      <c r="R709">
        <f t="shared" si="891"/>
        <v>0</v>
      </c>
      <c r="S709">
        <f t="shared" si="892"/>
        <v>0</v>
      </c>
      <c r="T709">
        <f t="shared" si="893"/>
        <v>0</v>
      </c>
    </row>
    <row r="710" spans="1:20" x14ac:dyDescent="0.25">
      <c r="A710" s="5"/>
      <c r="C710" s="4"/>
      <c r="D710" s="4"/>
      <c r="P710">
        <f t="shared" si="889"/>
        <v>0</v>
      </c>
      <c r="Q710">
        <f t="shared" si="890"/>
        <v>0</v>
      </c>
      <c r="R710">
        <f t="shared" si="891"/>
        <v>0</v>
      </c>
      <c r="S710">
        <f t="shared" si="892"/>
        <v>0</v>
      </c>
      <c r="T710">
        <f t="shared" si="893"/>
        <v>0</v>
      </c>
    </row>
    <row r="711" spans="1:20" x14ac:dyDescent="0.25">
      <c r="A711" s="5"/>
      <c r="C711" s="4"/>
      <c r="D711" s="4"/>
      <c r="P711">
        <f t="shared" si="889"/>
        <v>0</v>
      </c>
      <c r="Q711">
        <f t="shared" si="890"/>
        <v>0</v>
      </c>
      <c r="R711">
        <f t="shared" si="891"/>
        <v>0</v>
      </c>
      <c r="S711">
        <f t="shared" si="892"/>
        <v>0</v>
      </c>
      <c r="T711">
        <f t="shared" si="893"/>
        <v>0</v>
      </c>
    </row>
    <row r="712" spans="1:20" x14ac:dyDescent="0.25">
      <c r="A712" s="5"/>
      <c r="C712" s="4"/>
      <c r="D712" s="4"/>
      <c r="P712">
        <f t="shared" si="889"/>
        <v>0</v>
      </c>
      <c r="Q712">
        <f t="shared" si="890"/>
        <v>0</v>
      </c>
      <c r="R712">
        <f t="shared" si="891"/>
        <v>0</v>
      </c>
      <c r="S712">
        <f t="shared" si="892"/>
        <v>0</v>
      </c>
      <c r="T712">
        <f t="shared" si="893"/>
        <v>0</v>
      </c>
    </row>
    <row r="713" spans="1:20" x14ac:dyDescent="0.25">
      <c r="A713" s="5"/>
      <c r="C713" s="4"/>
      <c r="D713" s="4"/>
      <c r="P713">
        <f t="shared" si="889"/>
        <v>0</v>
      </c>
      <c r="Q713">
        <f t="shared" si="890"/>
        <v>0</v>
      </c>
      <c r="R713">
        <f t="shared" si="891"/>
        <v>0</v>
      </c>
      <c r="S713">
        <f t="shared" si="892"/>
        <v>0</v>
      </c>
      <c r="T713">
        <f t="shared" si="893"/>
        <v>0</v>
      </c>
    </row>
    <row r="714" spans="1:20" x14ac:dyDescent="0.25">
      <c r="A714" s="5"/>
      <c r="C714" s="4"/>
      <c r="D714" s="4"/>
      <c r="P714">
        <f t="shared" si="889"/>
        <v>0</v>
      </c>
      <c r="Q714">
        <f t="shared" si="890"/>
        <v>0</v>
      </c>
      <c r="R714">
        <f t="shared" si="891"/>
        <v>0</v>
      </c>
      <c r="S714">
        <f t="shared" si="892"/>
        <v>0</v>
      </c>
      <c r="T714">
        <f t="shared" si="893"/>
        <v>0</v>
      </c>
    </row>
    <row r="715" spans="1:20" x14ac:dyDescent="0.25">
      <c r="A715" s="5"/>
      <c r="C715" s="4"/>
      <c r="D715" s="4"/>
      <c r="P715">
        <f t="shared" si="889"/>
        <v>0</v>
      </c>
      <c r="Q715">
        <f t="shared" si="890"/>
        <v>0</v>
      </c>
      <c r="R715">
        <f t="shared" si="891"/>
        <v>0</v>
      </c>
      <c r="S715">
        <f t="shared" si="892"/>
        <v>0</v>
      </c>
      <c r="T715">
        <f t="shared" si="893"/>
        <v>0</v>
      </c>
    </row>
    <row r="716" spans="1:20" x14ac:dyDescent="0.25">
      <c r="A716" s="5"/>
      <c r="C716" s="4"/>
      <c r="D716" s="4"/>
      <c r="P716">
        <f t="shared" si="889"/>
        <v>0</v>
      </c>
      <c r="Q716">
        <f t="shared" si="890"/>
        <v>0</v>
      </c>
      <c r="R716">
        <f t="shared" si="891"/>
        <v>0</v>
      </c>
      <c r="S716">
        <f t="shared" si="892"/>
        <v>0</v>
      </c>
      <c r="T716">
        <f t="shared" si="893"/>
        <v>0</v>
      </c>
    </row>
    <row r="717" spans="1:20" x14ac:dyDescent="0.25">
      <c r="A717" s="5"/>
      <c r="C717" s="4"/>
      <c r="D717" s="4"/>
      <c r="P717">
        <f t="shared" si="889"/>
        <v>0</v>
      </c>
      <c r="Q717">
        <f t="shared" si="890"/>
        <v>0</v>
      </c>
      <c r="R717">
        <f t="shared" si="891"/>
        <v>0</v>
      </c>
      <c r="S717">
        <f t="shared" si="892"/>
        <v>0</v>
      </c>
      <c r="T717">
        <f t="shared" si="893"/>
        <v>0</v>
      </c>
    </row>
    <row r="718" spans="1:20" x14ac:dyDescent="0.25">
      <c r="A718" s="5"/>
      <c r="C718" s="4"/>
      <c r="D718" s="4"/>
      <c r="P718">
        <f t="shared" si="889"/>
        <v>0</v>
      </c>
      <c r="Q718">
        <f t="shared" si="890"/>
        <v>0</v>
      </c>
      <c r="R718">
        <f t="shared" si="891"/>
        <v>0</v>
      </c>
      <c r="S718">
        <f t="shared" si="892"/>
        <v>0</v>
      </c>
      <c r="T718">
        <f t="shared" si="893"/>
        <v>0</v>
      </c>
    </row>
    <row r="719" spans="1:20" x14ac:dyDescent="0.25">
      <c r="A719" s="5"/>
      <c r="C719" s="4"/>
      <c r="D719" s="4"/>
      <c r="P719">
        <f t="shared" si="889"/>
        <v>0</v>
      </c>
      <c r="Q719">
        <f t="shared" si="890"/>
        <v>0</v>
      </c>
      <c r="R719">
        <f t="shared" si="891"/>
        <v>0</v>
      </c>
      <c r="S719">
        <f t="shared" si="892"/>
        <v>0</v>
      </c>
      <c r="T719">
        <f t="shared" si="893"/>
        <v>0</v>
      </c>
    </row>
    <row r="720" spans="1:20" x14ac:dyDescent="0.25">
      <c r="A720" s="5"/>
      <c r="C720" s="4"/>
      <c r="D720" s="4"/>
      <c r="P720">
        <f t="shared" si="889"/>
        <v>0</v>
      </c>
      <c r="Q720">
        <f t="shared" si="890"/>
        <v>0</v>
      </c>
      <c r="R720">
        <f t="shared" si="891"/>
        <v>0</v>
      </c>
      <c r="S720">
        <f t="shared" si="892"/>
        <v>0</v>
      </c>
      <c r="T720">
        <f t="shared" si="893"/>
        <v>0</v>
      </c>
    </row>
    <row r="721" spans="1:20" x14ac:dyDescent="0.25">
      <c r="A721" s="5"/>
      <c r="C721" s="4"/>
      <c r="D721" s="4"/>
      <c r="P721">
        <f t="shared" si="889"/>
        <v>0</v>
      </c>
      <c r="Q721">
        <f t="shared" si="890"/>
        <v>0</v>
      </c>
      <c r="R721">
        <f t="shared" si="891"/>
        <v>0</v>
      </c>
      <c r="S721">
        <f t="shared" si="892"/>
        <v>0</v>
      </c>
      <c r="T721">
        <f t="shared" si="893"/>
        <v>0</v>
      </c>
    </row>
    <row r="722" spans="1:20" x14ac:dyDescent="0.25">
      <c r="A722" s="5"/>
      <c r="C722" s="4"/>
      <c r="D722" s="4"/>
      <c r="P722">
        <f t="shared" si="889"/>
        <v>0</v>
      </c>
      <c r="Q722">
        <f t="shared" si="890"/>
        <v>0</v>
      </c>
      <c r="R722">
        <f t="shared" si="891"/>
        <v>0</v>
      </c>
      <c r="S722">
        <f t="shared" si="892"/>
        <v>0</v>
      </c>
      <c r="T722">
        <f t="shared" si="893"/>
        <v>0</v>
      </c>
    </row>
    <row r="723" spans="1:20" x14ac:dyDescent="0.25">
      <c r="A723" s="5"/>
      <c r="C723" s="4"/>
      <c r="D723" s="4"/>
      <c r="P723">
        <f t="shared" si="889"/>
        <v>0</v>
      </c>
      <c r="Q723">
        <f t="shared" si="890"/>
        <v>0</v>
      </c>
      <c r="R723">
        <f t="shared" si="891"/>
        <v>0</v>
      </c>
      <c r="S723">
        <f t="shared" si="892"/>
        <v>0</v>
      </c>
      <c r="T723">
        <f t="shared" si="893"/>
        <v>0</v>
      </c>
    </row>
    <row r="724" spans="1:20" x14ac:dyDescent="0.25">
      <c r="A724" s="5"/>
      <c r="C724" s="4"/>
      <c r="D724" s="4"/>
      <c r="P724">
        <f t="shared" si="889"/>
        <v>0</v>
      </c>
      <c r="Q724">
        <f t="shared" si="890"/>
        <v>0</v>
      </c>
      <c r="R724">
        <f t="shared" si="891"/>
        <v>0</v>
      </c>
      <c r="S724">
        <f t="shared" si="892"/>
        <v>0</v>
      </c>
      <c r="T724">
        <f t="shared" si="893"/>
        <v>0</v>
      </c>
    </row>
    <row r="725" spans="1:20" x14ac:dyDescent="0.25">
      <c r="A725" s="5"/>
      <c r="C725" s="4"/>
      <c r="D725" s="4"/>
      <c r="P725">
        <f t="shared" si="889"/>
        <v>0</v>
      </c>
      <c r="Q725">
        <f t="shared" si="890"/>
        <v>0</v>
      </c>
      <c r="R725">
        <f t="shared" si="891"/>
        <v>0</v>
      </c>
      <c r="S725">
        <f t="shared" si="892"/>
        <v>0</v>
      </c>
      <c r="T725">
        <f t="shared" si="893"/>
        <v>0</v>
      </c>
    </row>
    <row r="726" spans="1:20" x14ac:dyDescent="0.25">
      <c r="A726" s="5"/>
      <c r="C726" s="4"/>
      <c r="D726" s="4"/>
      <c r="P726">
        <f t="shared" si="889"/>
        <v>0</v>
      </c>
      <c r="Q726">
        <f t="shared" si="890"/>
        <v>0</v>
      </c>
      <c r="R726">
        <f t="shared" si="891"/>
        <v>0</v>
      </c>
      <c r="S726">
        <f t="shared" si="892"/>
        <v>0</v>
      </c>
      <c r="T726">
        <f t="shared" si="893"/>
        <v>0</v>
      </c>
    </row>
    <row r="727" spans="1:20" x14ac:dyDescent="0.25">
      <c r="A727" s="5"/>
      <c r="C727" s="4"/>
      <c r="D727" s="4"/>
      <c r="P727">
        <f t="shared" si="889"/>
        <v>0</v>
      </c>
      <c r="Q727">
        <f t="shared" si="890"/>
        <v>0</v>
      </c>
      <c r="R727">
        <f t="shared" si="891"/>
        <v>0</v>
      </c>
      <c r="S727">
        <f t="shared" si="892"/>
        <v>0</v>
      </c>
      <c r="T727">
        <f t="shared" si="893"/>
        <v>0</v>
      </c>
    </row>
    <row r="728" spans="1:20" x14ac:dyDescent="0.25">
      <c r="A728" s="5"/>
      <c r="C728" s="4"/>
      <c r="D728" s="4"/>
      <c r="P728">
        <f t="shared" si="889"/>
        <v>0</v>
      </c>
      <c r="Q728">
        <f t="shared" si="890"/>
        <v>0</v>
      </c>
      <c r="R728">
        <f t="shared" si="891"/>
        <v>0</v>
      </c>
      <c r="S728">
        <f t="shared" si="892"/>
        <v>0</v>
      </c>
      <c r="T728">
        <f t="shared" si="893"/>
        <v>0</v>
      </c>
    </row>
    <row r="729" spans="1:20" x14ac:dyDescent="0.25">
      <c r="A729" s="5"/>
      <c r="C729" s="4"/>
      <c r="D729" s="4"/>
      <c r="P729">
        <f t="shared" si="889"/>
        <v>0</v>
      </c>
      <c r="Q729">
        <f t="shared" si="890"/>
        <v>0</v>
      </c>
      <c r="R729">
        <f t="shared" si="891"/>
        <v>0</v>
      </c>
      <c r="S729">
        <f t="shared" si="892"/>
        <v>0</v>
      </c>
      <c r="T729">
        <f t="shared" si="893"/>
        <v>0</v>
      </c>
    </row>
    <row r="730" spans="1:20" x14ac:dyDescent="0.25">
      <c r="A730" s="5"/>
      <c r="C730" s="4"/>
      <c r="D730" s="4"/>
      <c r="P730">
        <f t="shared" si="889"/>
        <v>0</v>
      </c>
      <c r="Q730">
        <f t="shared" si="890"/>
        <v>0</v>
      </c>
      <c r="R730">
        <f t="shared" si="891"/>
        <v>0</v>
      </c>
      <c r="S730">
        <f t="shared" si="892"/>
        <v>0</v>
      </c>
      <c r="T730">
        <f t="shared" si="893"/>
        <v>0</v>
      </c>
    </row>
    <row r="731" spans="1:20" x14ac:dyDescent="0.25">
      <c r="A731" s="5"/>
      <c r="C731" s="4"/>
      <c r="D731" s="4"/>
      <c r="P731">
        <f t="shared" si="889"/>
        <v>0</v>
      </c>
      <c r="Q731">
        <f t="shared" si="890"/>
        <v>0</v>
      </c>
      <c r="R731">
        <f t="shared" si="891"/>
        <v>0</v>
      </c>
      <c r="S731">
        <f t="shared" si="892"/>
        <v>0</v>
      </c>
      <c r="T731">
        <f t="shared" si="893"/>
        <v>0</v>
      </c>
    </row>
    <row r="732" spans="1:20" x14ac:dyDescent="0.25">
      <c r="A732" s="5"/>
      <c r="C732" s="4"/>
      <c r="D732" s="4"/>
      <c r="P732">
        <f t="shared" si="889"/>
        <v>0</v>
      </c>
      <c r="Q732">
        <f t="shared" si="890"/>
        <v>0</v>
      </c>
      <c r="R732">
        <f t="shared" si="891"/>
        <v>0</v>
      </c>
      <c r="S732">
        <f t="shared" si="892"/>
        <v>0</v>
      </c>
      <c r="T732">
        <f t="shared" si="893"/>
        <v>0</v>
      </c>
    </row>
    <row r="733" spans="1:20" x14ac:dyDescent="0.25">
      <c r="A733" s="5"/>
      <c r="C733" s="4"/>
      <c r="D733" s="4"/>
      <c r="P733">
        <f t="shared" si="889"/>
        <v>0</v>
      </c>
      <c r="Q733">
        <f t="shared" si="890"/>
        <v>0</v>
      </c>
      <c r="R733">
        <f t="shared" si="891"/>
        <v>0</v>
      </c>
      <c r="S733">
        <f t="shared" si="892"/>
        <v>0</v>
      </c>
      <c r="T733">
        <f t="shared" si="893"/>
        <v>0</v>
      </c>
    </row>
    <row r="734" spans="1:20" x14ac:dyDescent="0.25">
      <c r="A734" s="5"/>
      <c r="C734" s="4"/>
      <c r="D734" s="4"/>
      <c r="P734">
        <f t="shared" si="889"/>
        <v>0</v>
      </c>
      <c r="Q734">
        <f t="shared" si="890"/>
        <v>0</v>
      </c>
      <c r="R734">
        <f t="shared" si="891"/>
        <v>0</v>
      </c>
      <c r="S734">
        <f t="shared" si="892"/>
        <v>0</v>
      </c>
      <c r="T734">
        <f t="shared" si="893"/>
        <v>0</v>
      </c>
    </row>
    <row r="735" spans="1:20" x14ac:dyDescent="0.25">
      <c r="A735" s="5"/>
      <c r="C735" s="4"/>
      <c r="D735" s="4"/>
      <c r="P735">
        <f t="shared" si="889"/>
        <v>0</v>
      </c>
      <c r="Q735">
        <f t="shared" si="890"/>
        <v>0</v>
      </c>
      <c r="R735">
        <f t="shared" si="891"/>
        <v>0</v>
      </c>
      <c r="S735">
        <f t="shared" si="892"/>
        <v>0</v>
      </c>
      <c r="T735">
        <f t="shared" si="893"/>
        <v>0</v>
      </c>
    </row>
    <row r="736" spans="1:20" x14ac:dyDescent="0.25">
      <c r="A736" s="5"/>
      <c r="C736" s="4"/>
      <c r="D736" s="4"/>
      <c r="P736">
        <f t="shared" si="889"/>
        <v>0</v>
      </c>
      <c r="Q736">
        <f t="shared" si="890"/>
        <v>0</v>
      </c>
      <c r="R736">
        <f t="shared" si="891"/>
        <v>0</v>
      </c>
      <c r="S736">
        <f t="shared" si="892"/>
        <v>0</v>
      </c>
      <c r="T736">
        <f t="shared" si="893"/>
        <v>0</v>
      </c>
    </row>
    <row r="737" spans="1:20" x14ac:dyDescent="0.25">
      <c r="A737" s="5"/>
      <c r="C737" s="4"/>
      <c r="D737" s="4"/>
      <c r="P737">
        <f t="shared" si="889"/>
        <v>0</v>
      </c>
      <c r="Q737">
        <f t="shared" si="890"/>
        <v>0</v>
      </c>
      <c r="R737">
        <f t="shared" si="891"/>
        <v>0</v>
      </c>
      <c r="S737">
        <f t="shared" si="892"/>
        <v>0</v>
      </c>
      <c r="T737">
        <f t="shared" si="893"/>
        <v>0</v>
      </c>
    </row>
    <row r="738" spans="1:20" x14ac:dyDescent="0.25">
      <c r="A738" s="5"/>
      <c r="C738" s="4"/>
      <c r="D738" s="4"/>
      <c r="P738">
        <f t="shared" si="889"/>
        <v>0</v>
      </c>
      <c r="Q738">
        <f t="shared" si="890"/>
        <v>0</v>
      </c>
      <c r="R738">
        <f t="shared" si="891"/>
        <v>0</v>
      </c>
      <c r="S738">
        <f t="shared" si="892"/>
        <v>0</v>
      </c>
      <c r="T738">
        <f t="shared" si="893"/>
        <v>0</v>
      </c>
    </row>
    <row r="739" spans="1:20" x14ac:dyDescent="0.25">
      <c r="A739" s="5"/>
      <c r="C739" s="4"/>
      <c r="D739" s="4"/>
      <c r="P739">
        <f t="shared" si="889"/>
        <v>0</v>
      </c>
      <c r="Q739">
        <f t="shared" si="890"/>
        <v>0</v>
      </c>
      <c r="R739">
        <f t="shared" si="891"/>
        <v>0</v>
      </c>
      <c r="S739">
        <f t="shared" si="892"/>
        <v>0</v>
      </c>
      <c r="T739">
        <f t="shared" si="893"/>
        <v>0</v>
      </c>
    </row>
    <row r="740" spans="1:20" x14ac:dyDescent="0.25">
      <c r="A740" s="5"/>
      <c r="C740" s="4"/>
      <c r="D740" s="4"/>
      <c r="P740">
        <f t="shared" si="889"/>
        <v>0</v>
      </c>
      <c r="Q740">
        <f t="shared" si="890"/>
        <v>0</v>
      </c>
      <c r="R740">
        <f t="shared" si="891"/>
        <v>0</v>
      </c>
      <c r="S740">
        <f t="shared" si="892"/>
        <v>0</v>
      </c>
      <c r="T740">
        <f t="shared" si="893"/>
        <v>0</v>
      </c>
    </row>
    <row r="741" spans="1:20" x14ac:dyDescent="0.25">
      <c r="A741" s="5"/>
      <c r="C741" s="4"/>
      <c r="D741" s="4"/>
      <c r="P741">
        <f t="shared" si="889"/>
        <v>0</v>
      </c>
      <c r="Q741">
        <f t="shared" si="890"/>
        <v>0</v>
      </c>
      <c r="R741">
        <f t="shared" si="891"/>
        <v>0</v>
      </c>
      <c r="S741">
        <f t="shared" si="892"/>
        <v>0</v>
      </c>
      <c r="T741">
        <f t="shared" si="893"/>
        <v>0</v>
      </c>
    </row>
    <row r="742" spans="1:20" x14ac:dyDescent="0.25">
      <c r="A742" s="5"/>
      <c r="C742" s="4"/>
      <c r="D742" s="4"/>
      <c r="P742">
        <f t="shared" si="889"/>
        <v>0</v>
      </c>
      <c r="Q742">
        <f t="shared" si="890"/>
        <v>0</v>
      </c>
      <c r="R742">
        <f t="shared" si="891"/>
        <v>0</v>
      </c>
      <c r="S742">
        <f t="shared" si="892"/>
        <v>0</v>
      </c>
      <c r="T742">
        <f t="shared" si="893"/>
        <v>0</v>
      </c>
    </row>
    <row r="743" spans="1:20" x14ac:dyDescent="0.25">
      <c r="A743" s="5"/>
      <c r="C743" s="4"/>
      <c r="D743" s="4"/>
      <c r="P743">
        <f t="shared" si="889"/>
        <v>0</v>
      </c>
      <c r="Q743">
        <f t="shared" si="890"/>
        <v>0</v>
      </c>
      <c r="R743">
        <f t="shared" si="891"/>
        <v>0</v>
      </c>
      <c r="S743">
        <f t="shared" si="892"/>
        <v>0</v>
      </c>
      <c r="T743">
        <f t="shared" si="893"/>
        <v>0</v>
      </c>
    </row>
    <row r="744" spans="1:20" x14ac:dyDescent="0.25">
      <c r="A744" s="5"/>
      <c r="C744" s="4"/>
      <c r="D744" s="4"/>
      <c r="P744">
        <f t="shared" si="889"/>
        <v>0</v>
      </c>
      <c r="Q744">
        <f t="shared" si="890"/>
        <v>0</v>
      </c>
      <c r="R744">
        <f t="shared" si="891"/>
        <v>0</v>
      </c>
      <c r="S744">
        <f t="shared" si="892"/>
        <v>0</v>
      </c>
      <c r="T744">
        <f t="shared" si="893"/>
        <v>0</v>
      </c>
    </row>
    <row r="745" spans="1:20" x14ac:dyDescent="0.25">
      <c r="A745" s="5"/>
      <c r="C745" s="4"/>
      <c r="D745" s="4"/>
    </row>
    <row r="746" spans="1:20" x14ac:dyDescent="0.25">
      <c r="A746" s="5"/>
      <c r="C746" s="4"/>
      <c r="D746" s="4"/>
    </row>
    <row r="747" spans="1:20" x14ac:dyDescent="0.25">
      <c r="A747" s="5"/>
      <c r="C747" s="4"/>
      <c r="D747" s="4"/>
    </row>
    <row r="748" spans="1:20" x14ac:dyDescent="0.25">
      <c r="A748" s="5"/>
      <c r="C748" s="4"/>
      <c r="D748" s="4"/>
    </row>
    <row r="749" spans="1:20" x14ac:dyDescent="0.25">
      <c r="A749" s="5"/>
      <c r="C749" s="4"/>
      <c r="D749" s="4"/>
    </row>
    <row r="750" spans="1:20" x14ac:dyDescent="0.25">
      <c r="A750" s="5"/>
      <c r="C750" s="4"/>
      <c r="D750" s="4"/>
    </row>
    <row r="751" spans="1:20" x14ac:dyDescent="0.25">
      <c r="A751" s="5"/>
      <c r="C751" s="4"/>
      <c r="D751" s="4"/>
    </row>
    <row r="752" spans="1:20" x14ac:dyDescent="0.25">
      <c r="A752" s="5"/>
      <c r="C752" s="4"/>
      <c r="D752" s="4"/>
    </row>
    <row r="753" spans="1:4" x14ac:dyDescent="0.25">
      <c r="A753" s="5"/>
      <c r="C753" s="4"/>
      <c r="D753" s="4"/>
    </row>
    <row r="754" spans="1:4" x14ac:dyDescent="0.25">
      <c r="A754" s="5"/>
      <c r="C754" s="4"/>
      <c r="D754" s="4"/>
    </row>
    <row r="755" spans="1:4" x14ac:dyDescent="0.25">
      <c r="A755" s="5"/>
      <c r="C755" s="4"/>
      <c r="D755" s="4"/>
    </row>
    <row r="756" spans="1:4" x14ac:dyDescent="0.25">
      <c r="A756" s="5"/>
      <c r="C756" s="4"/>
      <c r="D756" s="4"/>
    </row>
    <row r="757" spans="1:4" x14ac:dyDescent="0.25">
      <c r="A757" s="5"/>
      <c r="C757" s="4"/>
      <c r="D757" s="4"/>
    </row>
    <row r="758" spans="1:4" x14ac:dyDescent="0.25">
      <c r="A758" s="5"/>
      <c r="C758" s="4"/>
      <c r="D758" s="4"/>
    </row>
    <row r="759" spans="1:4" x14ac:dyDescent="0.25">
      <c r="A759" s="5"/>
      <c r="C759" s="4"/>
      <c r="D759" s="4"/>
    </row>
    <row r="760" spans="1:4" x14ac:dyDescent="0.25">
      <c r="A760" s="5"/>
      <c r="C760" s="4"/>
      <c r="D760" s="4"/>
    </row>
    <row r="761" spans="1:4" x14ac:dyDescent="0.25">
      <c r="A761" s="5"/>
      <c r="C761" s="4"/>
      <c r="D761" s="4"/>
    </row>
    <row r="762" spans="1:4" x14ac:dyDescent="0.25">
      <c r="A762" s="5"/>
      <c r="C762" s="4"/>
      <c r="D762" s="4"/>
    </row>
    <row r="763" spans="1:4" x14ac:dyDescent="0.25">
      <c r="A763" s="5"/>
      <c r="C763" s="4"/>
      <c r="D763" s="4"/>
    </row>
    <row r="764" spans="1:4" x14ac:dyDescent="0.25">
      <c r="A764" s="5"/>
      <c r="C764" s="4"/>
      <c r="D764" s="4"/>
    </row>
    <row r="765" spans="1:4" x14ac:dyDescent="0.25">
      <c r="A765" s="5"/>
      <c r="C765" s="4"/>
      <c r="D765" s="4"/>
    </row>
    <row r="766" spans="1:4" x14ac:dyDescent="0.25">
      <c r="A766" s="5"/>
      <c r="C766" s="4"/>
      <c r="D766" s="4"/>
    </row>
    <row r="767" spans="1:4" x14ac:dyDescent="0.25">
      <c r="A767" s="5"/>
      <c r="C767" s="4"/>
      <c r="D767" s="4"/>
    </row>
    <row r="768" spans="1:4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</row>
    <row r="932" spans="1:4" x14ac:dyDescent="0.25">
      <c r="A932" s="5"/>
    </row>
    <row r="933" spans="1:4" x14ac:dyDescent="0.25">
      <c r="A933" s="5"/>
    </row>
    <row r="934" spans="1:4" x14ac:dyDescent="0.25">
      <c r="A934" s="5"/>
    </row>
    <row r="935" spans="1:4" x14ac:dyDescent="0.25">
      <c r="A935" s="5"/>
    </row>
    <row r="936" spans="1:4" x14ac:dyDescent="0.25">
      <c r="A936" s="5"/>
    </row>
    <row r="937" spans="1:4" x14ac:dyDescent="0.25">
      <c r="A937" s="5"/>
    </row>
    <row r="938" spans="1:4" x14ac:dyDescent="0.25">
      <c r="A938" s="5"/>
    </row>
    <row r="939" spans="1:4" x14ac:dyDescent="0.25">
      <c r="A939" s="5"/>
    </row>
    <row r="940" spans="1:4" x14ac:dyDescent="0.25">
      <c r="A940" s="5"/>
    </row>
    <row r="941" spans="1:4" x14ac:dyDescent="0.25">
      <c r="A941" s="5"/>
    </row>
    <row r="942" spans="1:4" x14ac:dyDescent="0.25">
      <c r="A942" s="5"/>
    </row>
    <row r="943" spans="1:4" x14ac:dyDescent="0.25">
      <c r="A943" s="5"/>
      <c r="C943"/>
      <c r="D943"/>
    </row>
    <row r="944" spans="1:4" x14ac:dyDescent="0.25">
      <c r="A944" s="5"/>
      <c r="C944"/>
      <c r="D944"/>
    </row>
    <row r="945" spans="1:4" x14ac:dyDescent="0.25">
      <c r="A945" s="5"/>
      <c r="C945"/>
      <c r="D945"/>
    </row>
    <row r="946" spans="1:4" x14ac:dyDescent="0.25">
      <c r="A946" s="5"/>
      <c r="C946"/>
      <c r="D946"/>
    </row>
    <row r="947" spans="1:4" x14ac:dyDescent="0.25">
      <c r="A947" s="5"/>
      <c r="C947"/>
      <c r="D947"/>
    </row>
    <row r="948" spans="1:4" x14ac:dyDescent="0.25">
      <c r="A948" s="5"/>
      <c r="C948"/>
      <c r="D948"/>
    </row>
    <row r="949" spans="1:4" x14ac:dyDescent="0.25">
      <c r="A949" s="5"/>
      <c r="C949"/>
      <c r="D949"/>
    </row>
    <row r="950" spans="1:4" x14ac:dyDescent="0.25">
      <c r="A950" s="5"/>
      <c r="C950"/>
      <c r="D950"/>
    </row>
    <row r="951" spans="1:4" x14ac:dyDescent="0.25">
      <c r="A951" s="5"/>
      <c r="C951"/>
      <c r="D951"/>
    </row>
    <row r="952" spans="1:4" x14ac:dyDescent="0.25">
      <c r="A952" s="5"/>
      <c r="C952"/>
      <c r="D952"/>
    </row>
    <row r="953" spans="1:4" x14ac:dyDescent="0.25">
      <c r="A953" s="5"/>
      <c r="C953"/>
      <c r="D953"/>
    </row>
    <row r="954" spans="1:4" x14ac:dyDescent="0.25">
      <c r="A954" s="5"/>
      <c r="C954"/>
      <c r="D954"/>
    </row>
    <row r="955" spans="1:4" x14ac:dyDescent="0.25">
      <c r="A955" s="5"/>
      <c r="C955"/>
      <c r="D95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</row>
    <row r="1695" spans="1:4" x14ac:dyDescent="0.25">
      <c r="A1695" s="5"/>
    </row>
    <row r="1696" spans="1:4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</sheetData>
  <conditionalFormatting sqref="D1:D4 D180:D1048576 C178:D179 D175:D177">
    <cfRule type="cellIs" dxfId="264" priority="171" operator="lessThan">
      <formula>$A$2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BX523" sqref="BX52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$A$522</v>
      </c>
      <c r="D111" s="1" t="str">
        <f>ADDRESS(C121-1,D121,1,1)</f>
        <v>$BX$522</v>
      </c>
      <c r="E111"/>
    </row>
    <row r="112" spans="1:5" x14ac:dyDescent="0.25">
      <c r="A112" s="7">
        <v>12164.144957890772</v>
      </c>
      <c r="C112" s="1" t="str">
        <f>ADDRESS(C121,1,1,1)</f>
        <v>$A$523</v>
      </c>
      <c r="D112" s="1" t="str">
        <f>ADDRESS(C121,D121-1,1,1)</f>
        <v>$BW$523</v>
      </c>
      <c r="E112"/>
    </row>
    <row r="113" spans="1:5" x14ac:dyDescent="0.25">
      <c r="A113" s="7">
        <v>11925.63231165762</v>
      </c>
      <c r="C113" s="1" t="str">
        <f>ADDRESS(C121+1,1,1,1)</f>
        <v>$A$524</v>
      </c>
      <c r="D113" s="1" t="str">
        <f>ADDRESS(C121-1,D121+1,1,1)</f>
        <v>$BY$522</v>
      </c>
    </row>
    <row r="114" spans="1:5" x14ac:dyDescent="0.25">
      <c r="A114" s="7">
        <v>11691.796383978059</v>
      </c>
      <c r="C114" s="1" t="str">
        <f>ADDRESS(C121,D121,1,1)</f>
        <v>$BX$523</v>
      </c>
      <c r="D114" s="1" t="str">
        <f>ADDRESS(C121+1,D121+1,1,1)</f>
        <v>$BY$524</v>
      </c>
    </row>
    <row r="115" spans="1:5" x14ac:dyDescent="0.25">
      <c r="A115" s="7">
        <v>11462.545474488292</v>
      </c>
      <c r="C115" s="1" t="str">
        <f>ADDRESS(C121+1,D121,1,1)</f>
        <v>$BX$524</v>
      </c>
    </row>
    <row r="116" spans="1:5" x14ac:dyDescent="0.25">
      <c r="A116" s="7">
        <v>11237.789680870874</v>
      </c>
      <c r="C116" s="1">
        <f>C117-1</f>
        <v>522</v>
      </c>
    </row>
    <row r="117" spans="1:5" x14ac:dyDescent="0.25">
      <c r="A117" s="7">
        <v>11017.440863598895</v>
      </c>
      <c r="C117" s="1">
        <f>C121</f>
        <v>523</v>
      </c>
      <c r="D117" s="1">
        <f>D121</f>
        <v>76</v>
      </c>
    </row>
    <row r="118" spans="1:5" x14ac:dyDescent="0.25">
      <c r="A118" s="7">
        <v>10801.412611371465</v>
      </c>
      <c r="C118" s="1">
        <f>C117+1</f>
        <v>524</v>
      </c>
      <c r="D118" s="1">
        <f>D117+1</f>
        <v>77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523</v>
      </c>
      <c r="D121" s="19">
        <v>76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R523</v>
      </c>
      <c r="D123" s="1" t="str">
        <f>"C"&amp;D121</f>
        <v>C76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3.5514932432768775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18" x14ac:dyDescent="0.25">
      <c r="A433" s="7">
        <v>21.106997141968804</v>
      </c>
      <c r="B433"/>
      <c r="C433"/>
      <c r="D433"/>
      <c r="E433"/>
    </row>
    <row r="434" spans="1:18" x14ac:dyDescent="0.25">
      <c r="A434" s="7">
        <v>20.693134452910591</v>
      </c>
      <c r="B434"/>
      <c r="C434"/>
      <c r="D434"/>
      <c r="E434"/>
    </row>
    <row r="435" spans="1:18" x14ac:dyDescent="0.25">
      <c r="A435" s="7">
        <v>20.287386718539796</v>
      </c>
      <c r="B435"/>
      <c r="C435"/>
      <c r="D435"/>
      <c r="E435"/>
    </row>
    <row r="436" spans="1:18" x14ac:dyDescent="0.25">
      <c r="A436" s="7">
        <v>19.889594822097838</v>
      </c>
      <c r="B436"/>
      <c r="C436"/>
      <c r="D436"/>
      <c r="E436"/>
    </row>
    <row r="437" spans="1:18" x14ac:dyDescent="0.25">
      <c r="A437" s="7">
        <v>19.499602766762585</v>
      </c>
      <c r="B437"/>
      <c r="C437"/>
      <c r="D437"/>
      <c r="E437"/>
    </row>
    <row r="438" spans="1:18" x14ac:dyDescent="0.25">
      <c r="A438" s="7">
        <v>19.117257614473122</v>
      </c>
      <c r="B438"/>
      <c r="C438"/>
      <c r="D438"/>
      <c r="E438"/>
    </row>
    <row r="439" spans="1:18" x14ac:dyDescent="0.25">
      <c r="A439" s="7">
        <v>18.74240942595404</v>
      </c>
      <c r="B439"/>
      <c r="C439"/>
      <c r="D439"/>
      <c r="E439"/>
    </row>
    <row r="440" spans="1:18" x14ac:dyDescent="0.25">
      <c r="A440" s="7">
        <v>18.374911201915726</v>
      </c>
      <c r="B440"/>
      <c r="C440"/>
      <c r="D440"/>
      <c r="E440"/>
    </row>
    <row r="441" spans="1:18" x14ac:dyDescent="0.25">
      <c r="A441" s="7">
        <v>18.014618825407574</v>
      </c>
      <c r="B441"/>
      <c r="C441"/>
      <c r="D441"/>
      <c r="E441"/>
    </row>
    <row r="442" spans="1:18" x14ac:dyDescent="0.25">
      <c r="A442" s="7">
        <v>17.661391005301542</v>
      </c>
      <c r="B442"/>
      <c r="C442"/>
      <c r="D442"/>
      <c r="E442"/>
      <c r="I442" s="27" t="s">
        <v>8</v>
      </c>
    </row>
    <row r="443" spans="1:18" x14ac:dyDescent="0.25">
      <c r="A443" s="7">
        <v>17.315089220883866</v>
      </c>
      <c r="B443"/>
      <c r="C443"/>
      <c r="D443"/>
      <c r="E443"/>
      <c r="I443" s="27" t="s">
        <v>8</v>
      </c>
      <c r="J443" s="27" t="s">
        <v>7</v>
      </c>
    </row>
    <row r="444" spans="1:18" x14ac:dyDescent="0.25">
      <c r="A444" s="7">
        <v>16.975577667533202</v>
      </c>
      <c r="B444"/>
      <c r="C444"/>
      <c r="D444"/>
      <c r="E444"/>
      <c r="I444" s="27" t="s">
        <v>8</v>
      </c>
      <c r="J444" s="27" t="s">
        <v>7</v>
      </c>
    </row>
    <row r="445" spans="1:18" x14ac:dyDescent="0.25">
      <c r="A445" s="7">
        <v>16.642723203463923</v>
      </c>
      <c r="B445"/>
      <c r="C445"/>
      <c r="D445"/>
      <c r="E445"/>
      <c r="I445" s="27" t="s">
        <v>8</v>
      </c>
      <c r="J445" s="27" t="s">
        <v>7</v>
      </c>
      <c r="Q445" s="27" t="s">
        <v>8</v>
      </c>
    </row>
    <row r="446" spans="1:18" x14ac:dyDescent="0.25">
      <c r="A446" s="7">
        <v>16.316395297513651</v>
      </c>
      <c r="B446"/>
      <c r="C446"/>
      <c r="D446"/>
      <c r="E446"/>
      <c r="I446" s="27" t="s">
        <v>8</v>
      </c>
      <c r="J446" s="27" t="s">
        <v>7</v>
      </c>
      <c r="Q446" s="27" t="s">
        <v>8</v>
      </c>
      <c r="R446" s="27" t="s">
        <v>7</v>
      </c>
    </row>
    <row r="447" spans="1:18" x14ac:dyDescent="0.25">
      <c r="A447" s="7">
        <v>15.996465977954561</v>
      </c>
      <c r="B447"/>
      <c r="C447"/>
      <c r="D447"/>
      <c r="E447"/>
      <c r="I447" s="27" t="s">
        <v>8</v>
      </c>
      <c r="J447" s="27" t="s">
        <v>7</v>
      </c>
      <c r="O447" s="27" t="s">
        <v>8</v>
      </c>
      <c r="Q447" s="27" t="s">
        <v>8</v>
      </c>
      <c r="R447" s="27" t="s">
        <v>7</v>
      </c>
    </row>
    <row r="448" spans="1:18" x14ac:dyDescent="0.25">
      <c r="A448" s="7">
        <v>15.682809782308393</v>
      </c>
      <c r="B448"/>
      <c r="C448"/>
      <c r="D448"/>
      <c r="E448"/>
      <c r="I448" s="27" t="s">
        <v>8</v>
      </c>
      <c r="J448" s="27" t="s">
        <v>7</v>
      </c>
      <c r="O448" s="27" t="s">
        <v>8</v>
      </c>
      <c r="P448" s="27" t="s">
        <v>7</v>
      </c>
      <c r="Q448" s="27" t="s">
        <v>8</v>
      </c>
      <c r="R448" s="27" t="s">
        <v>7</v>
      </c>
    </row>
    <row r="449" spans="1:54" x14ac:dyDescent="0.25">
      <c r="A449" s="7">
        <v>15.375303708145482</v>
      </c>
      <c r="B449"/>
      <c r="C449"/>
      <c r="D449"/>
      <c r="E449"/>
      <c r="I449" s="27" t="s">
        <v>8</v>
      </c>
      <c r="J449" s="27" t="s">
        <v>7</v>
      </c>
      <c r="O449" s="27" t="s">
        <v>8</v>
      </c>
      <c r="P449" s="27" t="s">
        <v>7</v>
      </c>
      <c r="Q449" s="27" t="s">
        <v>8</v>
      </c>
      <c r="R449" s="27" t="s">
        <v>7</v>
      </c>
    </row>
    <row r="450" spans="1:54" x14ac:dyDescent="0.25">
      <c r="A450" s="7">
        <v>15.073827164848511</v>
      </c>
      <c r="B450"/>
      <c r="C450"/>
      <c r="D450"/>
      <c r="E450"/>
      <c r="I450" s="27" t="s">
        <v>8</v>
      </c>
      <c r="J450" s="27" t="s">
        <v>7</v>
      </c>
      <c r="O450" s="27" t="s">
        <v>8</v>
      </c>
      <c r="P450" s="27" t="s">
        <v>7</v>
      </c>
      <c r="Q450" s="27" t="s">
        <v>8</v>
      </c>
      <c r="R450" s="27" t="s">
        <v>7</v>
      </c>
    </row>
    <row r="451" spans="1:54" x14ac:dyDescent="0.25">
      <c r="A451" s="7">
        <v>14.77826192632207</v>
      </c>
      <c r="B451"/>
      <c r="C451"/>
      <c r="D451"/>
      <c r="E451"/>
      <c r="I451" s="27" t="s">
        <v>8</v>
      </c>
      <c r="J451" s="27" t="s">
        <v>7</v>
      </c>
      <c r="O451" s="27" t="s">
        <v>8</v>
      </c>
      <c r="P451" s="27" t="s">
        <v>7</v>
      </c>
      <c r="Q451" s="27" t="s">
        <v>8</v>
      </c>
      <c r="R451" s="27" t="s">
        <v>7</v>
      </c>
    </row>
    <row r="452" spans="1:54" x14ac:dyDescent="0.25">
      <c r="A452" s="7">
        <v>14.488492084629481</v>
      </c>
      <c r="B452"/>
      <c r="C452"/>
      <c r="D452"/>
      <c r="E452"/>
      <c r="I452" s="27" t="s">
        <v>8</v>
      </c>
      <c r="J452" s="27" t="s">
        <v>7</v>
      </c>
      <c r="K452" s="27" t="s">
        <v>8</v>
      </c>
      <c r="O452" s="27" t="s">
        <v>8</v>
      </c>
      <c r="P452" s="27" t="s">
        <v>7</v>
      </c>
      <c r="Q452" s="27" t="s">
        <v>8</v>
      </c>
      <c r="R452" s="27" t="s">
        <v>7</v>
      </c>
    </row>
    <row r="453" spans="1:54" x14ac:dyDescent="0.25">
      <c r="A453" s="7">
        <v>14.204404004538707</v>
      </c>
      <c r="B453"/>
      <c r="C453"/>
      <c r="D453"/>
      <c r="E453"/>
      <c r="I453" s="27" t="s">
        <v>8</v>
      </c>
      <c r="J453" s="27" t="s">
        <v>7</v>
      </c>
      <c r="K453" s="27" t="s">
        <v>8</v>
      </c>
      <c r="L453" s="27" t="s">
        <v>7</v>
      </c>
      <c r="O453" s="27" t="s">
        <v>8</v>
      </c>
      <c r="P453" s="27" t="s">
        <v>7</v>
      </c>
      <c r="Q453" s="27" t="s">
        <v>8</v>
      </c>
      <c r="R453" s="27" t="s">
        <v>7</v>
      </c>
    </row>
    <row r="454" spans="1:54" x14ac:dyDescent="0.25">
      <c r="A454" s="7">
        <v>13.925886278959517</v>
      </c>
      <c r="B454"/>
      <c r="C454"/>
      <c r="D454"/>
      <c r="E454"/>
      <c r="I454" s="27" t="s">
        <v>8</v>
      </c>
      <c r="J454" s="27" t="s">
        <v>7</v>
      </c>
      <c r="K454" s="27" t="s">
        <v>8</v>
      </c>
      <c r="L454" s="27" t="s">
        <v>7</v>
      </c>
      <c r="O454" s="27" t="s">
        <v>8</v>
      </c>
      <c r="P454" s="27" t="s">
        <v>7</v>
      </c>
      <c r="Q454" s="27" t="s">
        <v>8</v>
      </c>
      <c r="R454" s="27" t="s">
        <v>7</v>
      </c>
      <c r="S454" s="27" t="s">
        <v>8</v>
      </c>
    </row>
    <row r="455" spans="1:54" x14ac:dyDescent="0.25">
      <c r="A455" s="7">
        <v>13.652829685254428</v>
      </c>
      <c r="B455"/>
      <c r="C455"/>
      <c r="D455"/>
      <c r="E455"/>
      <c r="I455" s="27" t="s">
        <v>8</v>
      </c>
      <c r="J455" s="27" t="s">
        <v>7</v>
      </c>
      <c r="K455" s="27" t="s">
        <v>8</v>
      </c>
      <c r="L455" s="27" t="s">
        <v>7</v>
      </c>
      <c r="M455" s="27" t="s">
        <v>8</v>
      </c>
      <c r="O455" s="27" t="s">
        <v>8</v>
      </c>
      <c r="P455" s="27" t="s">
        <v>7</v>
      </c>
      <c r="Q455" s="27" t="s">
        <v>8</v>
      </c>
      <c r="R455" s="27" t="s">
        <v>7</v>
      </c>
      <c r="S455" s="27" t="s">
        <v>8</v>
      </c>
      <c r="T455" s="27" t="s">
        <v>7</v>
      </c>
    </row>
    <row r="456" spans="1:54" x14ac:dyDescent="0.25">
      <c r="A456" s="7">
        <v>13.385127142406303</v>
      </c>
      <c r="B456"/>
      <c r="C456"/>
      <c r="D456"/>
      <c r="E456"/>
      <c r="I456" s="27" t="s">
        <v>8</v>
      </c>
      <c r="J456" s="27" t="s">
        <v>7</v>
      </c>
      <c r="K456" s="27" t="s">
        <v>8</v>
      </c>
      <c r="L456" s="27" t="s">
        <v>7</v>
      </c>
      <c r="M456" s="27" t="s">
        <v>8</v>
      </c>
      <c r="N456" s="27" t="s">
        <v>7</v>
      </c>
      <c r="O456" s="27" t="s">
        <v>8</v>
      </c>
      <c r="P456" s="27" t="s">
        <v>7</v>
      </c>
      <c r="Q456" s="27" t="s">
        <v>8</v>
      </c>
      <c r="R456" s="27" t="s">
        <v>7</v>
      </c>
      <c r="S456" s="27" t="s">
        <v>8</v>
      </c>
      <c r="T456" s="27" t="s">
        <v>7</v>
      </c>
      <c r="U456" s="27" t="s">
        <v>8</v>
      </c>
      <c r="AO456" s="27" t="s">
        <v>8</v>
      </c>
    </row>
    <row r="457" spans="1:54" x14ac:dyDescent="0.25">
      <c r="A457" s="7">
        <v>13.122673669025787</v>
      </c>
      <c r="B457"/>
      <c r="C457"/>
      <c r="D457"/>
      <c r="E457"/>
      <c r="I457" s="27" t="s">
        <v>8</v>
      </c>
      <c r="J457" s="27" t="s">
        <v>7</v>
      </c>
      <c r="K457" s="27" t="s">
        <v>8</v>
      </c>
      <c r="L457" s="27" t="s">
        <v>7</v>
      </c>
      <c r="M457" s="27" t="s">
        <v>8</v>
      </c>
      <c r="N457" s="27" t="s">
        <v>7</v>
      </c>
      <c r="O457" s="27" t="s">
        <v>8</v>
      </c>
      <c r="P457" s="27" t="s">
        <v>7</v>
      </c>
      <c r="Q457" s="27" t="s">
        <v>8</v>
      </c>
      <c r="R457" s="27" t="s">
        <v>7</v>
      </c>
      <c r="S457" s="27" t="s">
        <v>8</v>
      </c>
      <c r="T457" s="27" t="s">
        <v>7</v>
      </c>
      <c r="U457" s="27" t="s">
        <v>8</v>
      </c>
      <c r="V457" s="27" t="s">
        <v>7</v>
      </c>
      <c r="AO457" s="27" t="s">
        <v>8</v>
      </c>
      <c r="AP457" s="27" t="s">
        <v>7</v>
      </c>
    </row>
    <row r="458" spans="1:54" x14ac:dyDescent="0.25">
      <c r="A458" s="7">
        <v>12.865366342182144</v>
      </c>
      <c r="B458"/>
      <c r="C458"/>
      <c r="D458"/>
      <c r="E458"/>
      <c r="I458" s="27" t="s">
        <v>8</v>
      </c>
      <c r="J458" s="27" t="s">
        <v>7</v>
      </c>
      <c r="K458" s="27" t="s">
        <v>8</v>
      </c>
      <c r="L458" s="27" t="s">
        <v>7</v>
      </c>
      <c r="M458" s="27" t="s">
        <v>8</v>
      </c>
      <c r="N458" s="27" t="s">
        <v>7</v>
      </c>
      <c r="O458" s="27" t="s">
        <v>8</v>
      </c>
      <c r="P458" s="27" t="s">
        <v>7</v>
      </c>
      <c r="R458" s="27" t="s">
        <v>7</v>
      </c>
      <c r="S458" s="27" t="s">
        <v>8</v>
      </c>
      <c r="T458" s="27" t="s">
        <v>7</v>
      </c>
      <c r="U458" s="27" t="s">
        <v>8</v>
      </c>
      <c r="V458" s="27" t="s">
        <v>7</v>
      </c>
      <c r="AO458" s="27" t="s">
        <v>8</v>
      </c>
      <c r="AP458" s="27" t="s">
        <v>7</v>
      </c>
    </row>
    <row r="459" spans="1:54" x14ac:dyDescent="0.25">
      <c r="A459" s="7">
        <v>12.613104257041318</v>
      </c>
      <c r="B459"/>
      <c r="C459"/>
      <c r="D459"/>
      <c r="E459"/>
      <c r="I459" s="27" t="s">
        <v>8</v>
      </c>
      <c r="J459" s="27" t="s">
        <v>7</v>
      </c>
      <c r="K459" s="27" t="s">
        <v>8</v>
      </c>
      <c r="L459" s="27" t="s">
        <v>7</v>
      </c>
      <c r="M459" s="27" t="s">
        <v>8</v>
      </c>
      <c r="N459" s="27" t="s">
        <v>7</v>
      </c>
      <c r="O459" s="27" t="s">
        <v>8</v>
      </c>
      <c r="R459" s="27" t="s">
        <v>7</v>
      </c>
      <c r="S459" s="27" t="s">
        <v>8</v>
      </c>
      <c r="T459" s="27" t="s">
        <v>7</v>
      </c>
      <c r="U459" s="27" t="s">
        <v>8</v>
      </c>
      <c r="V459" s="27" t="s">
        <v>7</v>
      </c>
      <c r="AO459" s="27" t="s">
        <v>8</v>
      </c>
      <c r="AP459" s="27" t="s">
        <v>7</v>
      </c>
      <c r="AQ459" s="27" t="s">
        <v>8</v>
      </c>
    </row>
    <row r="460" spans="1:54" x14ac:dyDescent="0.25">
      <c r="A460" s="7">
        <v>12.36578848729541</v>
      </c>
      <c r="B460"/>
      <c r="C460"/>
      <c r="D460"/>
      <c r="E460"/>
      <c r="I460" s="27" t="s">
        <v>8</v>
      </c>
      <c r="J460" s="27" t="s">
        <v>7</v>
      </c>
      <c r="K460" s="27" t="s">
        <v>8</v>
      </c>
      <c r="L460" s="27" t="s">
        <v>7</v>
      </c>
      <c r="M460" s="27" t="s">
        <v>8</v>
      </c>
      <c r="N460" s="27" t="s">
        <v>7</v>
      </c>
      <c r="O460" s="27" t="s">
        <v>8</v>
      </c>
      <c r="R460" s="27" t="s">
        <v>7</v>
      </c>
      <c r="T460" s="27" t="s">
        <v>7</v>
      </c>
      <c r="U460" s="27" t="s">
        <v>8</v>
      </c>
      <c r="V460" s="27" t="s">
        <v>7</v>
      </c>
      <c r="AO460" s="27" t="s">
        <v>8</v>
      </c>
      <c r="AP460" s="27" t="s">
        <v>7</v>
      </c>
      <c r="AQ460" s="27" t="s">
        <v>8</v>
      </c>
      <c r="AR460" s="27" t="s">
        <v>7</v>
      </c>
    </row>
    <row r="461" spans="1:54" x14ac:dyDescent="0.25">
      <c r="A461" s="7">
        <v>12.123322046368049</v>
      </c>
      <c r="B461"/>
      <c r="C461"/>
      <c r="D461"/>
      <c r="E461"/>
      <c r="I461" s="27" t="s">
        <v>8</v>
      </c>
      <c r="J461" s="27" t="s">
        <v>7</v>
      </c>
      <c r="K461" s="27" t="s">
        <v>8</v>
      </c>
      <c r="L461" s="27" t="s">
        <v>7</v>
      </c>
      <c r="M461" s="27" t="s">
        <v>8</v>
      </c>
      <c r="N461" s="27" t="s">
        <v>7</v>
      </c>
      <c r="O461" s="27" t="s">
        <v>8</v>
      </c>
      <c r="T461" s="27" t="s">
        <v>7</v>
      </c>
      <c r="U461" s="27" t="s">
        <v>8</v>
      </c>
      <c r="V461" s="27" t="s">
        <v>7</v>
      </c>
      <c r="AO461" s="27" t="s">
        <v>8</v>
      </c>
      <c r="AP461" s="27" t="s">
        <v>7</v>
      </c>
      <c r="AQ461" s="27" t="s">
        <v>8</v>
      </c>
      <c r="AR461" s="27" t="s">
        <v>7</v>
      </c>
    </row>
    <row r="462" spans="1:54" x14ac:dyDescent="0.25">
      <c r="A462" s="7">
        <v>11.88560984938044</v>
      </c>
      <c r="B462"/>
      <c r="C462"/>
      <c r="D462"/>
      <c r="E462"/>
      <c r="I462" s="27" t="s">
        <v>8</v>
      </c>
      <c r="J462" s="27" t="s">
        <v>7</v>
      </c>
      <c r="K462" s="27" t="s">
        <v>8</v>
      </c>
      <c r="L462" s="27" t="s">
        <v>7</v>
      </c>
      <c r="M462" s="27" t="s">
        <v>8</v>
      </c>
      <c r="N462" s="27" t="s">
        <v>7</v>
      </c>
      <c r="O462" s="27" t="s">
        <v>8</v>
      </c>
      <c r="T462" s="27" t="s">
        <v>7</v>
      </c>
      <c r="V462" s="27" t="s">
        <v>7</v>
      </c>
      <c r="AC462" s="27" t="s">
        <v>8</v>
      </c>
      <c r="AO462" s="27" t="s">
        <v>8</v>
      </c>
      <c r="AP462" s="27" t="s">
        <v>7</v>
      </c>
      <c r="AQ462" s="27" t="s">
        <v>8</v>
      </c>
      <c r="AR462" s="27" t="s">
        <v>7</v>
      </c>
    </row>
    <row r="463" spans="1:54" x14ac:dyDescent="0.25">
      <c r="A463" s="7">
        <v>11.652558675863176</v>
      </c>
      <c r="B463"/>
      <c r="C463"/>
      <c r="D463"/>
      <c r="E463"/>
      <c r="I463" s="27" t="s">
        <v>8</v>
      </c>
      <c r="J463" s="27" t="s">
        <v>7</v>
      </c>
      <c r="K463" s="27" t="s">
        <v>8</v>
      </c>
      <c r="L463" s="27" t="s">
        <v>7</v>
      </c>
      <c r="M463" s="27" t="s">
        <v>8</v>
      </c>
      <c r="N463" s="27" t="s">
        <v>7</v>
      </c>
      <c r="O463" s="27" t="s">
        <v>8</v>
      </c>
      <c r="V463" s="27" t="s">
        <v>7</v>
      </c>
      <c r="W463" s="27" t="s">
        <v>8</v>
      </c>
      <c r="AC463" s="27" t="s">
        <v>8</v>
      </c>
      <c r="AD463" s="27" t="s">
        <v>7</v>
      </c>
      <c r="AO463" s="27" t="s">
        <v>8</v>
      </c>
      <c r="AP463" s="27" t="s">
        <v>7</v>
      </c>
      <c r="AQ463" s="27" t="s">
        <v>8</v>
      </c>
      <c r="AR463" s="27" t="s">
        <v>7</v>
      </c>
      <c r="BA463" s="27" t="s">
        <v>8</v>
      </c>
    </row>
    <row r="464" spans="1:54" x14ac:dyDescent="0.25">
      <c r="A464" s="7">
        <v>11.424077133199193</v>
      </c>
      <c r="B464"/>
      <c r="C464"/>
      <c r="D464"/>
      <c r="E464"/>
      <c r="I464" s="27" t="s">
        <v>8</v>
      </c>
      <c r="J464" s="27" t="s">
        <v>7</v>
      </c>
      <c r="K464" s="27" t="s">
        <v>8</v>
      </c>
      <c r="L464" s="27" t="s">
        <v>7</v>
      </c>
      <c r="N464" s="27" t="s">
        <v>7</v>
      </c>
      <c r="O464" s="27" t="s">
        <v>8</v>
      </c>
      <c r="V464" s="27" t="s">
        <v>7</v>
      </c>
      <c r="W464" s="27" t="s">
        <v>8</v>
      </c>
      <c r="X464" s="27" t="s">
        <v>7</v>
      </c>
      <c r="AC464" s="27" t="s">
        <v>8</v>
      </c>
      <c r="AD464" s="27" t="s">
        <v>7</v>
      </c>
      <c r="AK464" s="27" t="s">
        <v>8</v>
      </c>
      <c r="AM464" s="27" t="s">
        <v>8</v>
      </c>
      <c r="AO464" s="27" t="s">
        <v>8</v>
      </c>
      <c r="AP464" s="27" t="s">
        <v>7</v>
      </c>
      <c r="AR464" s="27" t="s">
        <v>7</v>
      </c>
      <c r="AS464" s="27" t="s">
        <v>8</v>
      </c>
      <c r="BA464" s="27" t="s">
        <v>8</v>
      </c>
      <c r="BB464" s="27" t="s">
        <v>7</v>
      </c>
    </row>
    <row r="465" spans="1:58" x14ac:dyDescent="0.25">
      <c r="A465" s="7">
        <v>11.200075620783522</v>
      </c>
      <c r="B465"/>
      <c r="C465"/>
      <c r="D465"/>
      <c r="E465"/>
      <c r="I465" s="27" t="s">
        <v>8</v>
      </c>
      <c r="J465" s="27" t="s">
        <v>7</v>
      </c>
      <c r="K465" s="27" t="s">
        <v>8</v>
      </c>
      <c r="N465" s="27" t="s">
        <v>7</v>
      </c>
      <c r="O465" s="27" t="s">
        <v>8</v>
      </c>
      <c r="V465" s="27" t="s">
        <v>7</v>
      </c>
      <c r="W465" s="27" t="s">
        <v>8</v>
      </c>
      <c r="X465" s="27" t="s">
        <v>7</v>
      </c>
      <c r="AC465" s="27" t="s">
        <v>8</v>
      </c>
      <c r="AD465" s="27" t="s">
        <v>7</v>
      </c>
      <c r="AI465" s="27" t="s">
        <v>8</v>
      </c>
      <c r="AK465" s="27" t="s">
        <v>8</v>
      </c>
      <c r="AL465" s="27" t="s">
        <v>7</v>
      </c>
      <c r="AM465" s="27" t="s">
        <v>8</v>
      </c>
      <c r="AN465" s="27" t="s">
        <v>7</v>
      </c>
      <c r="AO465" s="27" t="s">
        <v>8</v>
      </c>
      <c r="AR465" s="27" t="s">
        <v>7</v>
      </c>
      <c r="AS465" s="27" t="s">
        <v>8</v>
      </c>
      <c r="AT465" s="27" t="s">
        <v>7</v>
      </c>
      <c r="BA465" s="27" t="s">
        <v>8</v>
      </c>
      <c r="BB465" s="27" t="s">
        <v>7</v>
      </c>
    </row>
    <row r="466" spans="1:58" x14ac:dyDescent="0.25">
      <c r="A466" s="7">
        <v>10.980466294885806</v>
      </c>
      <c r="B466"/>
      <c r="C466"/>
      <c r="D466"/>
      <c r="E466"/>
      <c r="I466" s="27" t="s">
        <v>8</v>
      </c>
      <c r="J466" s="27" t="s">
        <v>7</v>
      </c>
      <c r="K466" s="27" t="s">
        <v>8</v>
      </c>
      <c r="N466" s="27" t="s">
        <v>7</v>
      </c>
      <c r="O466" s="27" t="s">
        <v>8</v>
      </c>
      <c r="V466" s="27" t="s">
        <v>7</v>
      </c>
      <c r="W466" s="27" t="s">
        <v>8</v>
      </c>
      <c r="X466" s="27" t="s">
        <v>7</v>
      </c>
      <c r="AA466" s="27" t="s">
        <v>8</v>
      </c>
      <c r="AC466" s="27" t="s">
        <v>8</v>
      </c>
      <c r="AD466" s="27" t="s">
        <v>7</v>
      </c>
      <c r="AI466" s="27" t="s">
        <v>8</v>
      </c>
      <c r="AJ466" s="27" t="s">
        <v>7</v>
      </c>
      <c r="AK466" s="27" t="s">
        <v>8</v>
      </c>
      <c r="AL466" s="27" t="s">
        <v>7</v>
      </c>
      <c r="AM466" s="27" t="s">
        <v>8</v>
      </c>
      <c r="AN466" s="27" t="s">
        <v>7</v>
      </c>
      <c r="AO466" s="27" t="s">
        <v>8</v>
      </c>
      <c r="AR466" s="27" t="s">
        <v>7</v>
      </c>
      <c r="AS466" s="27" t="s">
        <v>8</v>
      </c>
      <c r="AT466" s="27" t="s">
        <v>7</v>
      </c>
      <c r="BA466" s="27" t="s">
        <v>8</v>
      </c>
      <c r="BB466" s="27" t="s">
        <v>7</v>
      </c>
    </row>
    <row r="467" spans="1:58" x14ac:dyDescent="0.25">
      <c r="A467" s="7">
        <v>10.765163034201771</v>
      </c>
      <c r="B467"/>
      <c r="C467"/>
      <c r="D467"/>
      <c r="E467"/>
      <c r="I467" s="27" t="s">
        <v>8</v>
      </c>
      <c r="J467" s="27" t="s">
        <v>7</v>
      </c>
      <c r="N467" s="27" t="s">
        <v>7</v>
      </c>
      <c r="O467" s="27" t="s">
        <v>8</v>
      </c>
      <c r="V467" s="27" t="s">
        <v>7</v>
      </c>
      <c r="W467" s="27" t="s">
        <v>8</v>
      </c>
      <c r="X467" s="27" t="s">
        <v>7</v>
      </c>
      <c r="AA467" s="27" t="s">
        <v>8</v>
      </c>
      <c r="AB467" s="27" t="s">
        <v>7</v>
      </c>
      <c r="AC467" s="27" t="s">
        <v>8</v>
      </c>
      <c r="AD467" s="27" t="s">
        <v>7</v>
      </c>
      <c r="AE467" s="27" t="s">
        <v>8</v>
      </c>
      <c r="AI467" s="27" t="s">
        <v>8</v>
      </c>
      <c r="AJ467" s="27" t="s">
        <v>7</v>
      </c>
      <c r="AK467" s="27" t="s">
        <v>8</v>
      </c>
      <c r="AL467" s="27" t="s">
        <v>7</v>
      </c>
      <c r="AM467" s="27" t="s">
        <v>8</v>
      </c>
      <c r="AN467" s="27" t="s">
        <v>7</v>
      </c>
      <c r="AO467" s="27" t="s">
        <v>8</v>
      </c>
      <c r="AR467" s="27" t="s">
        <v>7</v>
      </c>
      <c r="AS467" s="27" t="s">
        <v>8</v>
      </c>
      <c r="AT467" s="27" t="s">
        <v>7</v>
      </c>
      <c r="BA467" s="27" t="s">
        <v>8</v>
      </c>
      <c r="BB467" s="27" t="s">
        <v>7</v>
      </c>
    </row>
    <row r="468" spans="1:58" x14ac:dyDescent="0.25">
      <c r="A468" s="7">
        <v>10.554081406080169</v>
      </c>
      <c r="B468"/>
      <c r="C468"/>
      <c r="D468"/>
      <c r="E468"/>
      <c r="I468" s="27" t="s">
        <v>8</v>
      </c>
      <c r="N468" s="27" t="s">
        <v>7</v>
      </c>
      <c r="O468" s="27" t="s">
        <v>8</v>
      </c>
      <c r="V468" s="27" t="s">
        <v>7</v>
      </c>
      <c r="W468" s="27" t="s">
        <v>8</v>
      </c>
      <c r="X468" s="27" t="s">
        <v>7</v>
      </c>
      <c r="AA468" s="27" t="s">
        <v>8</v>
      </c>
      <c r="AB468" s="27" t="s">
        <v>7</v>
      </c>
      <c r="AC468" s="27" t="s">
        <v>8</v>
      </c>
      <c r="AD468" s="27" t="s">
        <v>7</v>
      </c>
      <c r="AE468" s="27" t="s">
        <v>8</v>
      </c>
      <c r="AF468" s="27" t="s">
        <v>7</v>
      </c>
      <c r="AG468" s="27" t="s">
        <v>8</v>
      </c>
      <c r="AI468" s="27" t="s">
        <v>8</v>
      </c>
      <c r="AJ468" s="27" t="s">
        <v>7</v>
      </c>
      <c r="AK468" s="27" t="s">
        <v>8</v>
      </c>
      <c r="AL468" s="27" t="s">
        <v>7</v>
      </c>
      <c r="AM468" s="27" t="s">
        <v>8</v>
      </c>
      <c r="AN468" s="27" t="s">
        <v>7</v>
      </c>
      <c r="AO468" s="27" t="s">
        <v>8</v>
      </c>
      <c r="AR468" s="27" t="s">
        <v>7</v>
      </c>
      <c r="AS468" s="27" t="s">
        <v>8</v>
      </c>
      <c r="AT468" s="27" t="s">
        <v>7</v>
      </c>
      <c r="AU468" s="27" t="s">
        <v>8</v>
      </c>
      <c r="AW468" s="27" t="s">
        <v>8</v>
      </c>
      <c r="BA468" s="27" t="s">
        <v>8</v>
      </c>
      <c r="BB468" s="27" t="s">
        <v>7</v>
      </c>
    </row>
    <row r="469" spans="1:58" x14ac:dyDescent="0.25">
      <c r="A469" s="7">
        <v>10.34713863341193</v>
      </c>
      <c r="B469"/>
      <c r="C469"/>
      <c r="D469"/>
      <c r="E469"/>
      <c r="I469" s="27" t="s">
        <v>8</v>
      </c>
      <c r="N469" s="27" t="s">
        <v>7</v>
      </c>
      <c r="O469" s="27" t="s">
        <v>8</v>
      </c>
      <c r="V469" s="27" t="s">
        <v>7</v>
      </c>
      <c r="W469" s="27" t="s">
        <v>8</v>
      </c>
      <c r="X469" s="27" t="s">
        <v>7</v>
      </c>
      <c r="AA469" s="27" t="s">
        <v>8</v>
      </c>
      <c r="AB469" s="27" t="s">
        <v>7</v>
      </c>
      <c r="AC469" s="27" t="s">
        <v>8</v>
      </c>
      <c r="AD469" s="27" t="s">
        <v>7</v>
      </c>
      <c r="AE469" s="27" t="s">
        <v>8</v>
      </c>
      <c r="AF469" s="27" t="s">
        <v>7</v>
      </c>
      <c r="AG469" s="27" t="s">
        <v>8</v>
      </c>
      <c r="AH469" s="27" t="s">
        <v>7</v>
      </c>
      <c r="AI469" s="27" t="s">
        <v>8</v>
      </c>
      <c r="AJ469" s="27" t="s">
        <v>7</v>
      </c>
      <c r="AK469" s="27" t="s">
        <v>8</v>
      </c>
      <c r="AL469" s="27" t="s">
        <v>7</v>
      </c>
      <c r="AM469" s="27" t="s">
        <v>8</v>
      </c>
      <c r="AN469" s="27" t="s">
        <v>7</v>
      </c>
      <c r="AO469" s="27" t="s">
        <v>8</v>
      </c>
      <c r="AR469" s="27" t="s">
        <v>7</v>
      </c>
      <c r="AS469" s="27" t="s">
        <v>8</v>
      </c>
      <c r="AT469" s="27" t="s">
        <v>7</v>
      </c>
      <c r="AU469" s="27" t="s">
        <v>8</v>
      </c>
      <c r="AV469" s="27" t="s">
        <v>7</v>
      </c>
      <c r="AW469" s="27" t="s">
        <v>8</v>
      </c>
      <c r="AX469" s="27" t="s">
        <v>7</v>
      </c>
      <c r="AY469" s="27" t="s">
        <v>8</v>
      </c>
      <c r="BA469" s="27" t="s">
        <v>8</v>
      </c>
      <c r="BB469" s="27" t="s">
        <v>7</v>
      </c>
    </row>
    <row r="470" spans="1:58" x14ac:dyDescent="0.25">
      <c r="A470" s="7">
        <v>10.14425356216856</v>
      </c>
      <c r="B470"/>
      <c r="C470"/>
      <c r="D470"/>
      <c r="E470"/>
      <c r="I470" s="27" t="s">
        <v>8</v>
      </c>
      <c r="N470" s="27" t="s">
        <v>7</v>
      </c>
      <c r="V470" s="27" t="s">
        <v>7</v>
      </c>
      <c r="W470" s="27" t="s">
        <v>8</v>
      </c>
      <c r="X470" s="27" t="s">
        <v>7</v>
      </c>
      <c r="Y470" s="27" t="s">
        <v>8</v>
      </c>
      <c r="AA470" s="27" t="s">
        <v>8</v>
      </c>
      <c r="AB470" s="27" t="s">
        <v>7</v>
      </c>
      <c r="AC470" s="27" t="s">
        <v>8</v>
      </c>
      <c r="AD470" s="27" t="s">
        <v>7</v>
      </c>
      <c r="AF470" s="27" t="s">
        <v>7</v>
      </c>
      <c r="AG470" s="27" t="s">
        <v>8</v>
      </c>
      <c r="AH470" s="27" t="s">
        <v>7</v>
      </c>
      <c r="AI470" s="27" t="s">
        <v>8</v>
      </c>
      <c r="AJ470" s="27" t="s">
        <v>7</v>
      </c>
      <c r="AK470" s="27" t="s">
        <v>8</v>
      </c>
      <c r="AL470" s="27" t="s">
        <v>7</v>
      </c>
      <c r="AM470" s="27" t="s">
        <v>8</v>
      </c>
      <c r="AN470" s="27" t="s">
        <v>7</v>
      </c>
      <c r="AR470" s="27" t="s">
        <v>7</v>
      </c>
      <c r="AT470" s="27" t="s">
        <v>7</v>
      </c>
      <c r="AU470" s="27" t="s">
        <v>8</v>
      </c>
      <c r="AV470" s="27" t="s">
        <v>7</v>
      </c>
      <c r="AW470" s="27" t="s">
        <v>8</v>
      </c>
      <c r="AX470" s="27" t="s">
        <v>7</v>
      </c>
      <c r="AY470" s="27" t="s">
        <v>8</v>
      </c>
      <c r="AZ470" s="27" t="s">
        <v>7</v>
      </c>
      <c r="BA470" s="27" t="s">
        <v>8</v>
      </c>
      <c r="BB470" s="27" t="s">
        <v>7</v>
      </c>
    </row>
    <row r="471" spans="1:58" x14ac:dyDescent="0.25">
      <c r="A471" s="7">
        <v>9.9453466295770188</v>
      </c>
      <c r="B471"/>
      <c r="C471"/>
      <c r="D471"/>
      <c r="E471"/>
      <c r="I471" s="27" t="s">
        <v>8</v>
      </c>
      <c r="V471" s="27" t="s">
        <v>7</v>
      </c>
      <c r="W471" s="27" t="s">
        <v>8</v>
      </c>
      <c r="X471" s="27" t="s">
        <v>7</v>
      </c>
      <c r="Y471" s="27" t="s">
        <v>8</v>
      </c>
      <c r="Z471" s="27" t="s">
        <v>7</v>
      </c>
      <c r="AA471" s="27" t="s">
        <v>8</v>
      </c>
      <c r="AB471" s="27" t="s">
        <v>7</v>
      </c>
      <c r="AC471" s="27" t="s">
        <v>8</v>
      </c>
      <c r="AF471" s="27" t="s">
        <v>7</v>
      </c>
      <c r="AG471" s="27" t="s">
        <v>8</v>
      </c>
      <c r="AH471" s="27" t="s">
        <v>7</v>
      </c>
      <c r="AI471" s="27" t="s">
        <v>8</v>
      </c>
      <c r="AJ471" s="27" t="s">
        <v>7</v>
      </c>
      <c r="AL471" s="27" t="s">
        <v>7</v>
      </c>
      <c r="AM471" s="27" t="s">
        <v>8</v>
      </c>
      <c r="AT471" s="27" t="s">
        <v>7</v>
      </c>
      <c r="AU471" s="27" t="s">
        <v>8</v>
      </c>
      <c r="AV471" s="27" t="s">
        <v>7</v>
      </c>
      <c r="AW471" s="27" t="s">
        <v>8</v>
      </c>
      <c r="AX471" s="27" t="s">
        <v>7</v>
      </c>
      <c r="AY471" s="27" t="s">
        <v>8</v>
      </c>
      <c r="AZ471" s="27" t="s">
        <v>7</v>
      </c>
      <c r="BA471" s="27" t="s">
        <v>8</v>
      </c>
      <c r="BB471" s="27" t="s">
        <v>7</v>
      </c>
    </row>
    <row r="472" spans="1:58" x14ac:dyDescent="0.25">
      <c r="A472" s="7">
        <v>9.7503398329186464</v>
      </c>
      <c r="B472"/>
      <c r="C472"/>
      <c r="D472"/>
      <c r="E472"/>
      <c r="I472" s="27" t="s">
        <v>8</v>
      </c>
      <c r="V472" s="27" t="s">
        <v>7</v>
      </c>
      <c r="W472" s="27" t="s">
        <v>8</v>
      </c>
      <c r="X472" s="27" t="s">
        <v>7</v>
      </c>
      <c r="Y472" s="27" t="s">
        <v>8</v>
      </c>
      <c r="Z472" s="27" t="s">
        <v>7</v>
      </c>
      <c r="AA472" s="27" t="s">
        <v>8</v>
      </c>
      <c r="AB472" s="27" t="s">
        <v>7</v>
      </c>
      <c r="AC472" s="27" t="s">
        <v>8</v>
      </c>
      <c r="AF472" s="27" t="s">
        <v>7</v>
      </c>
      <c r="AG472" s="27" t="s">
        <v>8</v>
      </c>
      <c r="AH472" s="27" t="s">
        <v>7</v>
      </c>
      <c r="AI472" s="27" t="s">
        <v>8</v>
      </c>
      <c r="AL472" s="27" t="s">
        <v>7</v>
      </c>
      <c r="AM472" s="27" t="s">
        <v>8</v>
      </c>
      <c r="AT472" s="27" t="s">
        <v>7</v>
      </c>
      <c r="AV472" s="27" t="s">
        <v>7</v>
      </c>
      <c r="AW472" s="27" t="s">
        <v>8</v>
      </c>
      <c r="AX472" s="27" t="s">
        <v>7</v>
      </c>
      <c r="AZ472" s="27" t="s">
        <v>7</v>
      </c>
      <c r="BA472" s="27" t="s">
        <v>8</v>
      </c>
      <c r="BB472" s="27" t="s">
        <v>7</v>
      </c>
    </row>
    <row r="473" spans="1:58" x14ac:dyDescent="0.25">
      <c r="A473" s="7">
        <v>9.5591566989398498</v>
      </c>
      <c r="B473"/>
      <c r="C473"/>
      <c r="D473"/>
      <c r="E473"/>
      <c r="I473" s="27" t="s">
        <v>8</v>
      </c>
      <c r="V473" s="27" t="s">
        <v>7</v>
      </c>
      <c r="W473" s="27" t="s">
        <v>8</v>
      </c>
      <c r="X473" s="27" t="s">
        <v>7</v>
      </c>
      <c r="Z473" s="27" t="s">
        <v>7</v>
      </c>
      <c r="AA473" s="27" t="s">
        <v>8</v>
      </c>
      <c r="AB473" s="27" t="s">
        <v>7</v>
      </c>
      <c r="AC473" s="27" t="s">
        <v>8</v>
      </c>
      <c r="AF473" s="27" t="s">
        <v>7</v>
      </c>
      <c r="AG473" s="27" t="s">
        <v>8</v>
      </c>
      <c r="AH473" s="27" t="s">
        <v>7</v>
      </c>
      <c r="AI473" s="27" t="s">
        <v>8</v>
      </c>
      <c r="AL473" s="27" t="s">
        <v>7</v>
      </c>
      <c r="AM473" s="27" t="s">
        <v>8</v>
      </c>
      <c r="AV473" s="27" t="s">
        <v>7</v>
      </c>
      <c r="AW473" s="27" t="s">
        <v>8</v>
      </c>
      <c r="AZ473" s="27" t="s">
        <v>7</v>
      </c>
      <c r="BA473" s="27" t="s">
        <v>8</v>
      </c>
      <c r="BB473" s="27" t="s">
        <v>7</v>
      </c>
    </row>
    <row r="474" spans="1:58" x14ac:dyDescent="0.25">
      <c r="A474" s="7">
        <v>9.3717222538625968</v>
      </c>
      <c r="B474"/>
      <c r="C474"/>
      <c r="D474"/>
      <c r="E474"/>
      <c r="I474" s="27" t="s">
        <v>8</v>
      </c>
      <c r="V474" s="27" t="s">
        <v>7</v>
      </c>
      <c r="W474" s="27" t="s">
        <v>8</v>
      </c>
      <c r="Z474" s="27" t="s">
        <v>7</v>
      </c>
      <c r="AA474" s="27" t="s">
        <v>8</v>
      </c>
      <c r="AB474" s="27" t="s">
        <v>7</v>
      </c>
      <c r="AC474" s="27" t="s">
        <v>8</v>
      </c>
      <c r="AF474" s="27" t="s">
        <v>7</v>
      </c>
      <c r="AG474" s="27" t="s">
        <v>8</v>
      </c>
      <c r="AH474" s="27" t="s">
        <v>7</v>
      </c>
      <c r="AL474" s="27" t="s">
        <v>7</v>
      </c>
      <c r="AM474" s="27" t="s">
        <v>8</v>
      </c>
      <c r="AV474" s="27" t="s">
        <v>7</v>
      </c>
      <c r="AW474" s="27" t="s">
        <v>8</v>
      </c>
      <c r="AZ474" s="27" t="s">
        <v>7</v>
      </c>
      <c r="BA474" s="27" t="s">
        <v>8</v>
      </c>
      <c r="BB474" s="27" t="s">
        <v>7</v>
      </c>
      <c r="BC474" s="27" t="s">
        <v>8</v>
      </c>
    </row>
    <row r="475" spans="1:58" x14ac:dyDescent="0.25">
      <c r="A475" s="7">
        <v>9.1879629939829375</v>
      </c>
      <c r="B475"/>
      <c r="C475"/>
      <c r="D475"/>
      <c r="E475"/>
      <c r="I475" s="27" t="s">
        <v>8</v>
      </c>
      <c r="V475" s="27" t="s">
        <v>7</v>
      </c>
      <c r="W475" s="27" t="s">
        <v>8</v>
      </c>
      <c r="Z475" s="27" t="s">
        <v>7</v>
      </c>
      <c r="AB475" s="27" t="s">
        <v>7</v>
      </c>
      <c r="AC475" s="27" t="s">
        <v>8</v>
      </c>
      <c r="AF475" s="27" t="s">
        <v>7</v>
      </c>
      <c r="AL475" s="27" t="s">
        <v>7</v>
      </c>
      <c r="AM475" s="27" t="s">
        <v>8</v>
      </c>
      <c r="AV475" s="27" t="s">
        <v>7</v>
      </c>
      <c r="AZ475" s="27" t="s">
        <v>7</v>
      </c>
      <c r="BB475" s="27" t="s">
        <v>7</v>
      </c>
      <c r="BC475" s="27" t="s">
        <v>8</v>
      </c>
      <c r="BD475" s="27" t="s">
        <v>7</v>
      </c>
    </row>
    <row r="476" spans="1:58" x14ac:dyDescent="0.25">
      <c r="A476" s="7">
        <v>9.0078068568460168</v>
      </c>
      <c r="B476"/>
      <c r="C476"/>
      <c r="D476"/>
      <c r="E476"/>
      <c r="I476" s="27" t="s">
        <v>8</v>
      </c>
      <c r="V476" s="27" t="s">
        <v>7</v>
      </c>
      <c r="AB476" s="27" t="s">
        <v>7</v>
      </c>
      <c r="AL476" s="27" t="s">
        <v>7</v>
      </c>
      <c r="AM476" s="27" t="s">
        <v>8</v>
      </c>
      <c r="BB476" s="27" t="s">
        <v>7</v>
      </c>
      <c r="BC476" s="27" t="s">
        <v>8</v>
      </c>
      <c r="BD476" s="27" t="s">
        <v>7</v>
      </c>
      <c r="BE476" s="27" t="s">
        <v>8</v>
      </c>
    </row>
    <row r="477" spans="1:58" x14ac:dyDescent="0.25">
      <c r="A477" s="7">
        <v>8.8311831929862912</v>
      </c>
      <c r="B477"/>
      <c r="C477"/>
      <c r="D477"/>
      <c r="E477" t="s">
        <v>8</v>
      </c>
      <c r="I477" s="27" t="s">
        <v>8</v>
      </c>
      <c r="AL477" s="27" t="s">
        <v>7</v>
      </c>
      <c r="AM477" s="27" t="s">
        <v>8</v>
      </c>
      <c r="BB477" s="27" t="s">
        <v>7</v>
      </c>
      <c r="BC477" s="27" t="s">
        <v>8</v>
      </c>
      <c r="BD477" s="27" t="s">
        <v>7</v>
      </c>
      <c r="BE477" s="27" t="s">
        <v>8</v>
      </c>
      <c r="BF477" s="27" t="s">
        <v>7</v>
      </c>
    </row>
    <row r="478" spans="1:58" x14ac:dyDescent="0.25">
      <c r="A478" s="7">
        <v>8.6580227382218542</v>
      </c>
      <c r="B478"/>
      <c r="C478"/>
      <c r="D478"/>
      <c r="E478" t="s">
        <v>8</v>
      </c>
      <c r="F478" s="27" t="s">
        <v>7</v>
      </c>
      <c r="I478" s="27" t="s">
        <v>8</v>
      </c>
      <c r="AL478" s="27" t="s">
        <v>7</v>
      </c>
      <c r="BB478" s="27" t="s">
        <v>7</v>
      </c>
      <c r="BC478" s="27" t="s">
        <v>8</v>
      </c>
      <c r="BD478" s="27" t="s">
        <v>7</v>
      </c>
      <c r="BE478" s="27" t="s">
        <v>8</v>
      </c>
      <c r="BF478" s="27" t="s">
        <v>7</v>
      </c>
    </row>
    <row r="479" spans="1:58" x14ac:dyDescent="0.25">
      <c r="A479" s="7">
        <v>8.4882575864920131</v>
      </c>
      <c r="B479"/>
      <c r="C479"/>
      <c r="D479"/>
      <c r="E479" t="s">
        <v>8</v>
      </c>
      <c r="F479" s="27" t="s">
        <v>7</v>
      </c>
      <c r="I479" s="27" t="s">
        <v>8</v>
      </c>
      <c r="BB479" s="27" t="s">
        <v>7</v>
      </c>
      <c r="BC479" s="27" t="s">
        <v>8</v>
      </c>
      <c r="BD479" s="27" t="s">
        <v>7</v>
      </c>
      <c r="BE479" s="27" t="s">
        <v>8</v>
      </c>
      <c r="BF479" s="27" t="s">
        <v>7</v>
      </c>
    </row>
    <row r="480" spans="1:58" x14ac:dyDescent="0.25">
      <c r="A480" s="7">
        <v>8.3218211632274635</v>
      </c>
      <c r="B480"/>
      <c r="C480"/>
      <c r="D480"/>
      <c r="E480" t="s">
        <v>8</v>
      </c>
      <c r="F480" s="27" t="s">
        <v>7</v>
      </c>
      <c r="I480" s="27" t="s">
        <v>8</v>
      </c>
      <c r="BB480" s="27" t="s">
        <v>7</v>
      </c>
      <c r="BC480" s="27" t="s">
        <v>8</v>
      </c>
      <c r="BD480" s="27" t="s">
        <v>7</v>
      </c>
      <c r="BE480" s="27" t="s">
        <v>8</v>
      </c>
      <c r="BF480" s="27" t="s">
        <v>7</v>
      </c>
    </row>
    <row r="481" spans="1:69" x14ac:dyDescent="0.25">
      <c r="A481" s="7">
        <v>8.1586481992426112</v>
      </c>
      <c r="B481"/>
      <c r="C481"/>
      <c r="D481"/>
      <c r="E481" t="s">
        <v>8</v>
      </c>
      <c r="F481" s="27" t="s">
        <v>7</v>
      </c>
      <c r="G481" s="27" t="s">
        <v>8</v>
      </c>
      <c r="I481" s="27" t="s">
        <v>8</v>
      </c>
      <c r="BB481" s="27" t="s">
        <v>7</v>
      </c>
      <c r="BC481" s="27" t="s">
        <v>8</v>
      </c>
      <c r="BD481" s="27" t="s">
        <v>7</v>
      </c>
      <c r="BF481" s="27" t="s">
        <v>7</v>
      </c>
      <c r="BK481" s="27" t="s">
        <v>8</v>
      </c>
      <c r="BM481" s="27" t="s">
        <v>8</v>
      </c>
    </row>
    <row r="482" spans="1:69" x14ac:dyDescent="0.25">
      <c r="A482" s="7">
        <v>7.9986747051398144</v>
      </c>
      <c r="B482"/>
      <c r="C482"/>
      <c r="D482"/>
      <c r="E482" t="s">
        <v>8</v>
      </c>
      <c r="F482" s="27" t="s">
        <v>7</v>
      </c>
      <c r="G482" s="27" t="s">
        <v>8</v>
      </c>
      <c r="H482" s="27" t="s">
        <v>7</v>
      </c>
      <c r="I482" s="27" t="s">
        <v>8</v>
      </c>
      <c r="BB482" s="27" t="s">
        <v>7</v>
      </c>
      <c r="BF482" s="27" t="s">
        <v>7</v>
      </c>
      <c r="BK482" s="27" t="s">
        <v>8</v>
      </c>
      <c r="BL482" s="27" t="s">
        <v>7</v>
      </c>
      <c r="BM482" s="27" t="s">
        <v>8</v>
      </c>
      <c r="BN482" s="27" t="s">
        <v>7</v>
      </c>
    </row>
    <row r="483" spans="1:69" x14ac:dyDescent="0.25">
      <c r="A483" s="7">
        <v>7.8418379462155041</v>
      </c>
      <c r="B483"/>
      <c r="C483"/>
      <c r="D483"/>
      <c r="E483" t="s">
        <v>8</v>
      </c>
      <c r="F483" s="27" t="s">
        <v>7</v>
      </c>
      <c r="G483" s="27" t="s">
        <v>8</v>
      </c>
      <c r="H483" s="27" t="s">
        <v>7</v>
      </c>
      <c r="I483" s="27" t="s">
        <v>8</v>
      </c>
      <c r="BF483" s="27" t="s">
        <v>7</v>
      </c>
      <c r="BG483" s="27" t="s">
        <v>8</v>
      </c>
      <c r="BK483" s="27" t="s">
        <v>8</v>
      </c>
      <c r="BL483" s="27" t="s">
        <v>7</v>
      </c>
      <c r="BM483" s="27" t="s">
        <v>8</v>
      </c>
      <c r="BN483" s="27" t="s">
        <v>7</v>
      </c>
    </row>
    <row r="484" spans="1:69" x14ac:dyDescent="0.25">
      <c r="A484" s="7">
        <v>7.688076417858337</v>
      </c>
      <c r="B484"/>
      <c r="C484"/>
      <c r="D484"/>
      <c r="E484" t="s">
        <v>8</v>
      </c>
      <c r="F484" s="27" t="s">
        <v>7</v>
      </c>
      <c r="G484" s="27" t="s">
        <v>8</v>
      </c>
      <c r="H484" s="27" t="s">
        <v>7</v>
      </c>
      <c r="I484" s="27" t="s">
        <v>8</v>
      </c>
      <c r="BF484" s="27" t="s">
        <v>7</v>
      </c>
      <c r="BG484" s="27" t="s">
        <v>8</v>
      </c>
      <c r="BH484" s="27" t="s">
        <v>7</v>
      </c>
      <c r="BK484" s="27" t="s">
        <v>8</v>
      </c>
      <c r="BL484" s="27" t="s">
        <v>7</v>
      </c>
      <c r="BM484" s="27" t="s">
        <v>8</v>
      </c>
      <c r="BN484" s="27" t="s">
        <v>7</v>
      </c>
    </row>
    <row r="485" spans="1:69" x14ac:dyDescent="0.25">
      <c r="A485" s="7">
        <v>7.5373298214297417</v>
      </c>
      <c r="B485"/>
      <c r="C485"/>
      <c r="D485"/>
      <c r="E485" t="s">
        <v>8</v>
      </c>
      <c r="F485" s="27" t="s">
        <v>7</v>
      </c>
      <c r="G485" s="27" t="s">
        <v>8</v>
      </c>
      <c r="H485" s="27" t="s">
        <v>7</v>
      </c>
      <c r="I485" s="27" t="s">
        <v>8</v>
      </c>
      <c r="BF485" s="27" t="s">
        <v>7</v>
      </c>
      <c r="BG485" s="27" t="s">
        <v>8</v>
      </c>
      <c r="BH485" s="27" t="s">
        <v>7</v>
      </c>
      <c r="BI485" s="27" t="s">
        <v>8</v>
      </c>
      <c r="BK485" s="27" t="s">
        <v>8</v>
      </c>
      <c r="BL485" s="27" t="s">
        <v>7</v>
      </c>
      <c r="BN485" s="27" t="s">
        <v>7</v>
      </c>
    </row>
    <row r="486" spans="1:69" x14ac:dyDescent="0.25">
      <c r="A486" s="7">
        <v>7.389539040617394</v>
      </c>
      <c r="B486"/>
      <c r="C486"/>
      <c r="D486"/>
      <c r="E486" t="s">
        <v>8</v>
      </c>
      <c r="F486" s="27" t="s">
        <v>7</v>
      </c>
      <c r="G486" s="27" t="s">
        <v>8</v>
      </c>
      <c r="H486" s="27" t="s">
        <v>7</v>
      </c>
      <c r="I486" s="27" t="s">
        <v>8</v>
      </c>
      <c r="BF486" s="27" t="s">
        <v>7</v>
      </c>
      <c r="BG486" s="27" t="s">
        <v>8</v>
      </c>
      <c r="BH486" s="27" t="s">
        <v>7</v>
      </c>
      <c r="BI486" s="27" t="s">
        <v>8</v>
      </c>
      <c r="BJ486" s="27" t="s">
        <v>7</v>
      </c>
      <c r="BK486" s="27" t="s">
        <v>8</v>
      </c>
      <c r="BN486" s="27" t="s">
        <v>7</v>
      </c>
    </row>
    <row r="487" spans="1:69" x14ac:dyDescent="0.25">
      <c r="A487" s="7">
        <v>7.2446461182523469</v>
      </c>
      <c r="B487"/>
      <c r="C487"/>
      <c r="D487"/>
      <c r="E487" t="s">
        <v>8</v>
      </c>
      <c r="F487" s="27" t="s">
        <v>7</v>
      </c>
      <c r="G487" s="27" t="s">
        <v>8</v>
      </c>
      <c r="H487" s="27" t="s">
        <v>7</v>
      </c>
      <c r="I487" s="27" t="s">
        <v>8</v>
      </c>
      <c r="BF487" s="27" t="s">
        <v>7</v>
      </c>
      <c r="BG487" s="27" t="s">
        <v>8</v>
      </c>
      <c r="BH487" s="27" t="s">
        <v>7</v>
      </c>
      <c r="BI487" s="27" t="s">
        <v>8</v>
      </c>
      <c r="BJ487" s="27" t="s">
        <v>7</v>
      </c>
      <c r="BK487" s="27" t="s">
        <v>8</v>
      </c>
      <c r="BN487" s="27" t="s">
        <v>7</v>
      </c>
    </row>
    <row r="488" spans="1:69" x14ac:dyDescent="0.25">
      <c r="A488" s="7">
        <v>7.1025942335807324</v>
      </c>
      <c r="B488"/>
      <c r="C488"/>
      <c r="D488"/>
      <c r="E488" t="s">
        <v>8</v>
      </c>
      <c r="F488" s="27" t="s">
        <v>7</v>
      </c>
      <c r="G488" s="27" t="s">
        <v>8</v>
      </c>
      <c r="H488" s="27" t="s">
        <v>7</v>
      </c>
      <c r="I488" s="27" t="s">
        <v>8</v>
      </c>
      <c r="BF488" s="27" t="s">
        <v>7</v>
      </c>
      <c r="BH488" s="27" t="s">
        <v>7</v>
      </c>
      <c r="BJ488" s="27" t="s">
        <v>7</v>
      </c>
      <c r="BK488" s="27" t="s">
        <v>8</v>
      </c>
      <c r="BN488" s="27" t="s">
        <v>7</v>
      </c>
    </row>
    <row r="489" spans="1:69" x14ac:dyDescent="0.25">
      <c r="A489" s="7">
        <v>6.9633276799811101</v>
      </c>
      <c r="B489"/>
      <c r="C489"/>
      <c r="D489"/>
      <c r="E489" t="s">
        <v>8</v>
      </c>
      <c r="F489" s="27" t="s">
        <v>7</v>
      </c>
      <c r="G489" s="27" t="s">
        <v>8</v>
      </c>
      <c r="H489" s="27" t="s">
        <v>7</v>
      </c>
      <c r="I489" s="27" t="s">
        <v>8</v>
      </c>
      <c r="BJ489" s="27" t="s">
        <v>7</v>
      </c>
      <c r="BK489" s="27" t="s">
        <v>8</v>
      </c>
      <c r="BN489" s="27" t="s">
        <v>7</v>
      </c>
      <c r="BO489" s="27" t="s">
        <v>8</v>
      </c>
    </row>
    <row r="490" spans="1:69" x14ac:dyDescent="0.25">
      <c r="A490" s="7">
        <v>6.8267918431187349</v>
      </c>
      <c r="B490"/>
      <c r="C490"/>
      <c r="D490"/>
      <c r="E490" t="s">
        <v>8</v>
      </c>
      <c r="F490" s="27" t="s">
        <v>7</v>
      </c>
      <c r="G490" s="27" t="s">
        <v>8</v>
      </c>
      <c r="H490" s="27" t="s">
        <v>7</v>
      </c>
      <c r="I490" s="27" t="s">
        <v>8</v>
      </c>
      <c r="BJ490" s="27" t="s">
        <v>7</v>
      </c>
      <c r="BN490" s="27" t="s">
        <v>7</v>
      </c>
      <c r="BO490" s="27" t="s">
        <v>8</v>
      </c>
      <c r="BP490" s="27" t="s">
        <v>7</v>
      </c>
    </row>
    <row r="491" spans="1:69" x14ac:dyDescent="0.25">
      <c r="A491" s="7">
        <v>6.692933179528171</v>
      </c>
      <c r="B491"/>
      <c r="C491"/>
      <c r="D491"/>
      <c r="E491" t="s">
        <v>8</v>
      </c>
      <c r="F491" s="27" t="s">
        <v>7</v>
      </c>
      <c r="G491" s="27" t="s">
        <v>8</v>
      </c>
      <c r="H491" s="27" t="s">
        <v>7</v>
      </c>
      <c r="BN491" s="27" t="s">
        <v>7</v>
      </c>
      <c r="BO491" s="27" t="s">
        <v>8</v>
      </c>
      <c r="BP491" s="27" t="s">
        <v>7</v>
      </c>
    </row>
    <row r="492" spans="1:69" x14ac:dyDescent="0.25">
      <c r="A492" s="7">
        <v>6.5616991956158541</v>
      </c>
      <c r="B492"/>
      <c r="C492"/>
      <c r="D492"/>
      <c r="E492" t="s">
        <v>8</v>
      </c>
      <c r="F492" s="27" t="s">
        <v>7</v>
      </c>
      <c r="G492" s="27" t="s">
        <v>8</v>
      </c>
      <c r="BN492" s="27" t="s">
        <v>7</v>
      </c>
      <c r="BO492" s="27" t="s">
        <v>8</v>
      </c>
      <c r="BP492" s="27" t="s">
        <v>7</v>
      </c>
    </row>
    <row r="493" spans="1:69" x14ac:dyDescent="0.25">
      <c r="A493" s="7">
        <v>6.4330384270743668</v>
      </c>
      <c r="B493"/>
      <c r="C493"/>
      <c r="D493"/>
      <c r="E493" t="s">
        <v>8</v>
      </c>
      <c r="F493" s="27" t="s">
        <v>7</v>
      </c>
      <c r="BN493" s="27" t="s">
        <v>7</v>
      </c>
      <c r="BO493" s="27" t="s">
        <v>8</v>
      </c>
      <c r="BP493" s="27" t="s">
        <v>7</v>
      </c>
    </row>
    <row r="494" spans="1:69" x14ac:dyDescent="0.25">
      <c r="A494" s="7">
        <v>6.3069004187003594</v>
      </c>
      <c r="B494"/>
      <c r="C494"/>
      <c r="D494"/>
      <c r="E494" t="s">
        <v>8</v>
      </c>
      <c r="BN494" s="27" t="s">
        <v>7</v>
      </c>
      <c r="BP494" s="27" t="s">
        <v>7</v>
      </c>
    </row>
    <row r="495" spans="1:69" x14ac:dyDescent="0.25">
      <c r="A495" s="7">
        <v>6.1832357046081956</v>
      </c>
      <c r="B495"/>
      <c r="C495"/>
      <c r="D495"/>
      <c r="E495" t="s">
        <v>8</v>
      </c>
      <c r="BP495" s="27" t="s">
        <v>7</v>
      </c>
    </row>
    <row r="496" spans="1:69" x14ac:dyDescent="0.25">
      <c r="A496" s="7">
        <v>6.0619957888315641</v>
      </c>
      <c r="B496"/>
      <c r="C496"/>
      <c r="D496"/>
      <c r="E496" t="s">
        <v>8</v>
      </c>
      <c r="BP496" s="27" t="s">
        <v>7</v>
      </c>
      <c r="BQ496" s="27" t="s">
        <v>8</v>
      </c>
    </row>
    <row r="497" spans="1:72" x14ac:dyDescent="0.25">
      <c r="A497" s="7">
        <v>5.9431331263054545</v>
      </c>
      <c r="B497"/>
      <c r="C497"/>
      <c r="D497"/>
      <c r="E497" t="s">
        <v>8</v>
      </c>
      <c r="BP497" s="27" t="s">
        <v>7</v>
      </c>
      <c r="BQ497" s="27" t="s">
        <v>8</v>
      </c>
      <c r="BR497" s="27" t="s">
        <v>7</v>
      </c>
    </row>
    <row r="498" spans="1:72" x14ac:dyDescent="0.25">
      <c r="A498" s="7">
        <v>5.8266011042210337</v>
      </c>
      <c r="B498"/>
      <c r="C498"/>
      <c r="D498"/>
      <c r="E498" t="s">
        <v>8</v>
      </c>
      <c r="BP498" s="27" t="s">
        <v>7</v>
      </c>
      <c r="BQ498" s="27" t="s">
        <v>8</v>
      </c>
      <c r="BR498" s="27" t="s">
        <v>7</v>
      </c>
    </row>
    <row r="499" spans="1:72" x14ac:dyDescent="0.25">
      <c r="A499" s="7">
        <v>5.7123540237461112</v>
      </c>
      <c r="B499"/>
      <c r="C499"/>
      <c r="D499"/>
      <c r="E499" t="s">
        <v>8</v>
      </c>
      <c r="BP499" s="27" t="s">
        <v>7</v>
      </c>
      <c r="BR499" s="27" t="s">
        <v>7</v>
      </c>
    </row>
    <row r="500" spans="1:72" x14ac:dyDescent="0.25">
      <c r="A500" s="7">
        <v>5.6003470821040304</v>
      </c>
      <c r="B500"/>
      <c r="C500"/>
      <c r="D500"/>
      <c r="E500" t="s">
        <v>8</v>
      </c>
      <c r="BR500" s="27" t="s">
        <v>7</v>
      </c>
      <c r="BS500" s="27" t="s">
        <v>8</v>
      </c>
    </row>
    <row r="501" spans="1:72" x14ac:dyDescent="0.25">
      <c r="A501" s="7">
        <v>5.4905363550039512</v>
      </c>
      <c r="B501"/>
      <c r="C501"/>
      <c r="D501"/>
      <c r="E501" t="s">
        <v>8</v>
      </c>
      <c r="BR501" s="27" t="s">
        <v>7</v>
      </c>
      <c r="BS501" s="27" t="s">
        <v>8</v>
      </c>
      <c r="BT501" s="27" t="s">
        <v>7</v>
      </c>
    </row>
    <row r="502" spans="1:72" x14ac:dyDescent="0.25">
      <c r="A502" s="7">
        <v>5.3828787794156385</v>
      </c>
      <c r="B502"/>
      <c r="C502"/>
      <c r="D502"/>
      <c r="E502" t="s">
        <v>8</v>
      </c>
      <c r="BR502" s="27" t="s">
        <v>7</v>
      </c>
      <c r="BS502" s="27" t="s">
        <v>8</v>
      </c>
      <c r="BT502" s="27" t="s">
        <v>7</v>
      </c>
    </row>
    <row r="503" spans="1:72" x14ac:dyDescent="0.25">
      <c r="A503" s="7">
        <v>5.2773321366819985</v>
      </c>
      <c r="B503"/>
      <c r="C503"/>
      <c r="D503"/>
      <c r="E503" t="s">
        <v>8</v>
      </c>
      <c r="BR503" s="27" t="s">
        <v>7</v>
      </c>
      <c r="BS503" s="27" t="s">
        <v>8</v>
      </c>
      <c r="BT503" s="27" t="s">
        <v>7</v>
      </c>
    </row>
    <row r="504" spans="1:72" x14ac:dyDescent="0.25">
      <c r="A504" s="7">
        <v>5.1738550359627435</v>
      </c>
      <c r="B504"/>
      <c r="C504"/>
      <c r="D504"/>
      <c r="E504" t="s">
        <v>8</v>
      </c>
      <c r="BR504" s="27" t="s">
        <v>7</v>
      </c>
      <c r="BS504" s="27" t="s">
        <v>8</v>
      </c>
      <c r="BT504" s="27" t="s">
        <v>7</v>
      </c>
    </row>
    <row r="505" spans="1:72" x14ac:dyDescent="0.25">
      <c r="A505" s="7">
        <v>5.07240689800269</v>
      </c>
      <c r="B505"/>
      <c r="C505"/>
      <c r="D505"/>
      <c r="E505" t="s">
        <v>8</v>
      </c>
      <c r="BR505" s="27" t="s">
        <v>7</v>
      </c>
      <c r="BS505" s="27" t="s">
        <v>8</v>
      </c>
      <c r="BT505" s="27" t="s">
        <v>7</v>
      </c>
    </row>
    <row r="506" spans="1:72" x14ac:dyDescent="0.25">
      <c r="A506" s="7">
        <v>4.9729479392183231</v>
      </c>
      <c r="B506"/>
      <c r="C506"/>
      <c r="D506"/>
      <c r="E506" t="s">
        <v>8</v>
      </c>
      <c r="BR506" s="27" t="s">
        <v>7</v>
      </c>
      <c r="BT506" s="27" t="s">
        <v>7</v>
      </c>
    </row>
    <row r="507" spans="1:72" x14ac:dyDescent="0.25">
      <c r="A507" s="7">
        <v>4.8754391560963954</v>
      </c>
      <c r="B507"/>
      <c r="C507"/>
      <c r="D507"/>
      <c r="E507" t="s">
        <v>8</v>
      </c>
      <c r="BT507" s="27" t="s">
        <v>7</v>
      </c>
    </row>
    <row r="508" spans="1:72" x14ac:dyDescent="0.25">
      <c r="A508" s="7">
        <v>4.7798423098984264</v>
      </c>
      <c r="B508"/>
      <c r="C508"/>
      <c r="D508"/>
      <c r="E508" t="s">
        <v>8</v>
      </c>
      <c r="BT508" s="27" t="s">
        <v>7</v>
      </c>
    </row>
    <row r="509" spans="1:72" x14ac:dyDescent="0.25">
      <c r="A509" s="7">
        <v>4.6861199116651235</v>
      </c>
      <c r="B509"/>
      <c r="C509"/>
      <c r="D509"/>
      <c r="E509" t="s">
        <v>8</v>
      </c>
      <c r="BT509" s="27" t="s">
        <v>7</v>
      </c>
    </row>
    <row r="510" spans="1:72" x14ac:dyDescent="0.25">
      <c r="A510" s="7">
        <v>4.5942352075148269</v>
      </c>
      <c r="B510"/>
      <c r="C510"/>
      <c r="D510"/>
      <c r="E510" t="s">
        <v>8</v>
      </c>
      <c r="BT510" s="27" t="s">
        <v>7</v>
      </c>
    </row>
    <row r="511" spans="1:72" x14ac:dyDescent="0.25">
      <c r="A511" s="7">
        <v>4.5041521642302227</v>
      </c>
      <c r="B511"/>
      <c r="C511"/>
      <c r="D511"/>
      <c r="E511" t="s">
        <v>8</v>
      </c>
      <c r="BT511" s="27" t="s">
        <v>7</v>
      </c>
    </row>
    <row r="512" spans="1:72" x14ac:dyDescent="0.25">
      <c r="A512" s="7">
        <v>4.4158354551276693</v>
      </c>
      <c r="B512"/>
      <c r="C512"/>
      <c r="D512"/>
      <c r="E512" t="s">
        <v>8</v>
      </c>
      <c r="BT512" s="27" t="s">
        <v>7</v>
      </c>
    </row>
    <row r="513" spans="1:76" x14ac:dyDescent="0.25">
      <c r="A513" s="7">
        <v>4.3292504462035977</v>
      </c>
      <c r="B513"/>
      <c r="C513"/>
      <c r="D513"/>
      <c r="E513" t="s">
        <v>8</v>
      </c>
      <c r="BT513" s="27" t="s">
        <v>7</v>
      </c>
    </row>
    <row r="514" spans="1:76" x14ac:dyDescent="0.25">
      <c r="A514" s="7">
        <v>4.2443631825525463</v>
      </c>
      <c r="B514"/>
      <c r="C514"/>
      <c r="D514"/>
      <c r="E514" t="s">
        <v>8</v>
      </c>
      <c r="BT514" s="27" t="s">
        <v>7</v>
      </c>
      <c r="BU514" s="27" t="s">
        <v>8</v>
      </c>
    </row>
    <row r="515" spans="1:76" x14ac:dyDescent="0.25">
      <c r="A515" s="7">
        <v>4.1611403750515157</v>
      </c>
      <c r="B515"/>
      <c r="C515"/>
      <c r="D515"/>
      <c r="E515" t="s">
        <v>8</v>
      </c>
      <c r="BT515" s="27" t="s">
        <v>7</v>
      </c>
      <c r="BU515" s="27" t="s">
        <v>8</v>
      </c>
      <c r="BV515" s="27" t="s">
        <v>7</v>
      </c>
    </row>
    <row r="516" spans="1:76" x14ac:dyDescent="0.25">
      <c r="A516" s="7">
        <v>4.0795493873054074</v>
      </c>
      <c r="B516"/>
      <c r="C516"/>
      <c r="D516"/>
      <c r="E516" t="s">
        <v>8</v>
      </c>
      <c r="BT516" s="27" t="s">
        <v>7</v>
      </c>
      <c r="BU516" s="27" t="s">
        <v>8</v>
      </c>
      <c r="BV516" s="27" t="s">
        <v>7</v>
      </c>
    </row>
    <row r="517" spans="1:76" x14ac:dyDescent="0.25">
      <c r="A517" s="7">
        <v>3.9995582228484383</v>
      </c>
      <c r="B517"/>
      <c r="C517"/>
      <c r="D517"/>
      <c r="E517" t="s">
        <v>8</v>
      </c>
      <c r="BT517" s="27" t="s">
        <v>7</v>
      </c>
      <c r="BU517" s="27" t="s">
        <v>8</v>
      </c>
      <c r="BV517" s="27" t="s">
        <v>7</v>
      </c>
    </row>
    <row r="518" spans="1:76" x14ac:dyDescent="0.25">
      <c r="A518" s="7">
        <v>3.9211355125965079</v>
      </c>
      <c r="B518"/>
      <c r="C518"/>
      <c r="D518"/>
      <c r="E518" t="s">
        <v>8</v>
      </c>
      <c r="BT518" s="27" t="s">
        <v>7</v>
      </c>
      <c r="BU518" s="27" t="s">
        <v>8</v>
      </c>
      <c r="BV518" s="27" t="s">
        <v>7</v>
      </c>
    </row>
    <row r="519" spans="1:76" x14ac:dyDescent="0.25">
      <c r="A519" s="7">
        <v>3.844250502545596</v>
      </c>
      <c r="B519"/>
      <c r="C519"/>
      <c r="D519"/>
      <c r="E519" t="s">
        <v>8</v>
      </c>
      <c r="BT519" s="27" t="s">
        <v>7</v>
      </c>
      <c r="BU519" s="27" t="s">
        <v>8</v>
      </c>
      <c r="BV519" s="27" t="s">
        <v>7</v>
      </c>
      <c r="BW519" s="27" t="s">
        <v>8</v>
      </c>
    </row>
    <row r="520" spans="1:76" x14ac:dyDescent="0.25">
      <c r="A520" s="7">
        <v>3.7688730417113687</v>
      </c>
      <c r="B520"/>
      <c r="C520"/>
      <c r="D520"/>
      <c r="E520" t="s">
        <v>8</v>
      </c>
      <c r="BT520" s="27" t="s">
        <v>7</v>
      </c>
      <c r="BU520" s="27" t="s">
        <v>8</v>
      </c>
      <c r="BV520" s="27" t="s">
        <v>7</v>
      </c>
      <c r="BW520" s="27" t="s">
        <v>8</v>
      </c>
      <c r="BX520" s="27" t="s">
        <v>7</v>
      </c>
    </row>
    <row r="521" spans="1:76" x14ac:dyDescent="0.25">
      <c r="A521" s="7">
        <v>3.6949735703052635</v>
      </c>
      <c r="B521"/>
      <c r="C521"/>
      <c r="D521"/>
      <c r="E521" t="s">
        <v>8</v>
      </c>
      <c r="BT521" s="27" t="s">
        <v>7</v>
      </c>
      <c r="BU521" s="27" t="s">
        <v>8</v>
      </c>
      <c r="BV521" s="27" t="s">
        <v>7</v>
      </c>
      <c r="BW521" s="27" t="s">
        <v>8</v>
      </c>
      <c r="BX521" s="27" t="s">
        <v>7</v>
      </c>
    </row>
    <row r="522" spans="1:76" x14ac:dyDescent="0.25">
      <c r="A522" s="7">
        <v>3.6225231081424152</v>
      </c>
      <c r="B522"/>
      <c r="C522"/>
      <c r="D522"/>
      <c r="E522" t="s">
        <v>8</v>
      </c>
      <c r="BT522" s="27" t="s">
        <v>7</v>
      </c>
      <c r="BU522" s="27" t="s">
        <v>8</v>
      </c>
      <c r="BV522" s="27" t="s">
        <v>7</v>
      </c>
      <c r="BW522" s="27" t="s">
        <v>8</v>
      </c>
      <c r="BX522" s="27" t="s">
        <v>7</v>
      </c>
    </row>
    <row r="523" spans="1:76" x14ac:dyDescent="0.25">
      <c r="A523" s="7">
        <v>3.5514932432768775</v>
      </c>
      <c r="B523"/>
      <c r="C523"/>
      <c r="D523"/>
      <c r="E523" t="s">
        <v>8</v>
      </c>
      <c r="BT523" s="27" t="s">
        <v>7</v>
      </c>
      <c r="BU523" s="27" t="s">
        <v>8</v>
      </c>
      <c r="BV523" s="27" t="s">
        <v>7</v>
      </c>
      <c r="BW523" s="27" t="s">
        <v>8</v>
      </c>
      <c r="BX523" s="27" t="s">
        <v>7</v>
      </c>
    </row>
    <row r="524" spans="1:76" x14ac:dyDescent="0.25">
      <c r="A524" s="7">
        <v>3.4818561208596837</v>
      </c>
      <c r="B524"/>
      <c r="C524"/>
      <c r="D524"/>
      <c r="E524" t="s">
        <v>8</v>
      </c>
      <c r="BT524" s="27" t="s">
        <v>7</v>
      </c>
      <c r="BV524" s="27" t="s">
        <v>7</v>
      </c>
      <c r="BW524" s="27" t="s">
        <v>8</v>
      </c>
    </row>
    <row r="525" spans="1:76" x14ac:dyDescent="0.25">
      <c r="A525" s="7">
        <v>3.4135844322153761</v>
      </c>
      <c r="B525"/>
      <c r="C525"/>
      <c r="D525"/>
      <c r="E525" t="s">
        <v>8</v>
      </c>
      <c r="BV525" s="27" t="s">
        <v>7</v>
      </c>
      <c r="BW525" s="27" t="s">
        <v>8</v>
      </c>
    </row>
    <row r="526" spans="1:76" x14ac:dyDescent="0.25">
      <c r="A526" s="7">
        <v>3.3466514041327216</v>
      </c>
      <c r="B526"/>
      <c r="C526"/>
      <c r="D526"/>
      <c r="E526" t="s">
        <v>8</v>
      </c>
      <c r="BV526" s="27" t="s">
        <v>7</v>
      </c>
      <c r="BW526" s="27" t="s">
        <v>8</v>
      </c>
    </row>
    <row r="527" spans="1:76" x14ac:dyDescent="0.25">
      <c r="A527" s="7">
        <v>3.2810307883654133</v>
      </c>
      <c r="B527"/>
      <c r="C527"/>
      <c r="D527"/>
      <c r="E527" t="s">
        <v>8</v>
      </c>
      <c r="BV527" s="27" t="s">
        <v>7</v>
      </c>
      <c r="BW527" s="27" t="s">
        <v>8</v>
      </c>
    </row>
    <row r="528" spans="1:76" x14ac:dyDescent="0.25">
      <c r="A528" s="7">
        <v>3.2166968513386403</v>
      </c>
      <c r="B528"/>
      <c r="C528"/>
      <c r="D528"/>
      <c r="E528" t="s">
        <v>8</v>
      </c>
      <c r="BV528" s="27" t="s">
        <v>7</v>
      </c>
      <c r="BW528" s="27" t="s">
        <v>8</v>
      </c>
    </row>
    <row r="529" spans="1:74" x14ac:dyDescent="0.25">
      <c r="A529" s="7">
        <v>3.1536243640574906</v>
      </c>
      <c r="B529"/>
      <c r="C529"/>
      <c r="D529"/>
      <c r="E529" t="s">
        <v>8</v>
      </c>
      <c r="BV529" s="27" t="s">
        <v>7</v>
      </c>
    </row>
    <row r="530" spans="1:74" x14ac:dyDescent="0.25">
      <c r="A530" s="7">
        <v>3.0917885922132262</v>
      </c>
      <c r="B530"/>
      <c r="C530"/>
      <c r="D530"/>
      <c r="E530" t="s">
        <v>8</v>
      </c>
    </row>
    <row r="531" spans="1:74" x14ac:dyDescent="0.25">
      <c r="A531" s="7">
        <v>3.0311652864835552</v>
      </c>
      <c r="B531"/>
      <c r="C531"/>
      <c r="D531"/>
      <c r="E531" t="s">
        <v>8</v>
      </c>
    </row>
    <row r="532" spans="1:74" x14ac:dyDescent="0.25">
      <c r="A532" s="7">
        <v>2.9717306730230932</v>
      </c>
      <c r="B532"/>
      <c r="C532"/>
      <c r="D532"/>
      <c r="E532" t="s">
        <v>8</v>
      </c>
    </row>
    <row r="533" spans="1:74" x14ac:dyDescent="0.25">
      <c r="A533" s="7">
        <v>2.9134614441402875</v>
      </c>
      <c r="B533"/>
      <c r="C533"/>
      <c r="D533"/>
      <c r="E533" t="s">
        <v>8</v>
      </c>
    </row>
    <row r="534" spans="1:74" x14ac:dyDescent="0.25">
      <c r="A534" s="7">
        <v>2.8563347491571447</v>
      </c>
      <c r="B534"/>
      <c r="C534"/>
      <c r="D534"/>
      <c r="E534" t="s">
        <v>8</v>
      </c>
    </row>
    <row r="535" spans="1:74" x14ac:dyDescent="0.25">
      <c r="A535" s="7">
        <v>2.8003281854481812</v>
      </c>
      <c r="B535"/>
      <c r="C535"/>
      <c r="D535"/>
      <c r="E535" t="s">
        <v>8</v>
      </c>
    </row>
    <row r="536" spans="1:74" x14ac:dyDescent="0.25">
      <c r="A536" s="7">
        <v>2.7454197896550796</v>
      </c>
      <c r="B536"/>
      <c r="C536"/>
      <c r="D536"/>
      <c r="E536" t="s">
        <v>8</v>
      </c>
    </row>
    <row r="537" spans="1:74" x14ac:dyDescent="0.25">
      <c r="A537" s="7">
        <v>2.6915880290736074</v>
      </c>
      <c r="B537"/>
      <c r="C537"/>
      <c r="D537"/>
      <c r="E537" t="s">
        <v>8</v>
      </c>
    </row>
    <row r="538" spans="1:74" x14ac:dyDescent="0.25">
      <c r="A538" s="7">
        <v>2.6388117932094191</v>
      </c>
      <c r="B538"/>
      <c r="C538"/>
      <c r="D538"/>
      <c r="E538" t="s">
        <v>8</v>
      </c>
    </row>
    <row r="539" spans="1:74" x14ac:dyDescent="0.25">
      <c r="A539" s="7">
        <v>2.5870703854994304</v>
      </c>
      <c r="B539"/>
      <c r="C539"/>
      <c r="D539"/>
      <c r="E539" t="s">
        <v>8</v>
      </c>
    </row>
    <row r="540" spans="1:74" x14ac:dyDescent="0.25">
      <c r="A540" s="7">
        <v>2.53634351519552</v>
      </c>
      <c r="B540"/>
      <c r="C540"/>
      <c r="D540"/>
      <c r="E540" t="s">
        <v>8</v>
      </c>
    </row>
    <row r="541" spans="1:74" x14ac:dyDescent="0.25">
      <c r="A541" s="7">
        <v>2.4866112894073726</v>
      </c>
      <c r="B541"/>
      <c r="C541"/>
      <c r="D541"/>
      <c r="E541" t="s">
        <v>8</v>
      </c>
    </row>
    <row r="542" spans="1:74" x14ac:dyDescent="0.25">
      <c r="A542" s="7">
        <v>2.4378542053013459</v>
      </c>
      <c r="B542"/>
      <c r="C542"/>
      <c r="D542"/>
      <c r="E542" t="s">
        <v>8</v>
      </c>
    </row>
    <row r="543" spans="1:74" x14ac:dyDescent="0.25">
      <c r="A543" s="7">
        <v>2.3900531424522997</v>
      </c>
      <c r="B543"/>
      <c r="C543"/>
      <c r="D543"/>
      <c r="E543" t="s">
        <v>8</v>
      </c>
    </row>
    <row r="544" spans="1:74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531" operator="equal">
      <formula>$U$1</formula>
    </cfRule>
    <cfRule type="cellIs" dxfId="89" priority="532" operator="equal">
      <formula>$S$1</formula>
    </cfRule>
  </conditionalFormatting>
  <conditionalFormatting sqref="D27">
    <cfRule type="cellIs" dxfId="88" priority="529" operator="equal">
      <formula>$S$1</formula>
    </cfRule>
    <cfRule type="cellIs" dxfId="87" priority="530" operator="equal">
      <formula>$U$1</formula>
    </cfRule>
  </conditionalFormatting>
  <conditionalFormatting sqref="C164">
    <cfRule type="cellIs" dxfId="86" priority="527" operator="equal">
      <formula>$U$1</formula>
    </cfRule>
    <cfRule type="cellIs" dxfId="85" priority="528" operator="equal">
      <formula>$S$1</formula>
    </cfRule>
  </conditionalFormatting>
  <conditionalFormatting sqref="D164">
    <cfRule type="cellIs" dxfId="84" priority="525" operator="equal">
      <formula>$S$1</formula>
    </cfRule>
    <cfRule type="cellIs" dxfId="83" priority="526" operator="equal">
      <formula>$U$1</formula>
    </cfRule>
  </conditionalFormatting>
  <conditionalFormatting sqref="C55">
    <cfRule type="cellIs" dxfId="82" priority="523" operator="equal">
      <formula>$U$1</formula>
    </cfRule>
    <cfRule type="cellIs" dxfId="81" priority="524" operator="equal">
      <formula>$S$1</formula>
    </cfRule>
  </conditionalFormatting>
  <conditionalFormatting sqref="D55">
    <cfRule type="cellIs" dxfId="80" priority="521" operator="equal">
      <formula>$S$1</formula>
    </cfRule>
    <cfRule type="cellIs" dxfId="79" priority="522" operator="equal">
      <formula>$U$1</formula>
    </cfRule>
  </conditionalFormatting>
  <conditionalFormatting sqref="C89">
    <cfRule type="cellIs" dxfId="78" priority="519" operator="equal">
      <formula>$U$1</formula>
    </cfRule>
    <cfRule type="cellIs" dxfId="77" priority="520" operator="equal">
      <formula>$S$1</formula>
    </cfRule>
  </conditionalFormatting>
  <conditionalFormatting sqref="D89">
    <cfRule type="cellIs" dxfId="76" priority="517" operator="equal">
      <formula>$S$1</formula>
    </cfRule>
    <cfRule type="cellIs" dxfId="75" priority="518" operator="equal">
      <formula>$U$1</formula>
    </cfRule>
  </conditionalFormatting>
  <conditionalFormatting sqref="C136">
    <cfRule type="cellIs" dxfId="74" priority="515" operator="equal">
      <formula>$U$1</formula>
    </cfRule>
    <cfRule type="cellIs" dxfId="73" priority="516" operator="equal">
      <formula>$S$1</formula>
    </cfRule>
  </conditionalFormatting>
  <conditionalFormatting sqref="D136">
    <cfRule type="cellIs" dxfId="72" priority="513" operator="equal">
      <formula>$S$1</formula>
    </cfRule>
    <cfRule type="cellIs" dxfId="71" priority="514" operator="equal">
      <formula>$U$1</formula>
    </cfRule>
  </conditionalFormatting>
  <conditionalFormatting sqref="C1">
    <cfRule type="cellIs" dxfId="70" priority="51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83" zoomScale="90" zoomScaleNormal="90" workbookViewId="0">
      <pane xSplit="4" topLeftCell="E1" activePane="topRight" state="frozen"/>
      <selection activeCell="A109" sqref="A109"/>
      <selection pane="topRight" activeCell="AM281" sqref="AM281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$A$280</v>
      </c>
      <c r="D111" s="1" t="str">
        <f>ADDRESS(C121-1,D121,1,1)</f>
        <v>$AM$280</v>
      </c>
      <c r="E111"/>
    </row>
    <row r="112" spans="1:5" x14ac:dyDescent="0.25">
      <c r="A112" s="30">
        <v>14226.649032170862</v>
      </c>
      <c r="C112" s="1" t="str">
        <f>ADDRESS(C121,1,1,1)</f>
        <v>$A$281</v>
      </c>
      <c r="D112" s="1" t="str">
        <f>ADDRESS(C121,D121-1,1,1)</f>
        <v>$AL$281</v>
      </c>
      <c r="E112"/>
    </row>
    <row r="113" spans="1:5" x14ac:dyDescent="0.25">
      <c r="A113" s="30">
        <v>13549.18955444844</v>
      </c>
      <c r="C113" s="1" t="str">
        <f>ADDRESS(C121+1,1,1,1)</f>
        <v>$A$282</v>
      </c>
      <c r="D113" s="1" t="str">
        <f>ADDRESS(C121-1,D121+1,1,1)</f>
        <v>$AN$280</v>
      </c>
    </row>
    <row r="114" spans="1:5" x14ac:dyDescent="0.25">
      <c r="A114" s="30">
        <v>12903.990051855657</v>
      </c>
      <c r="C114" s="1" t="str">
        <f>ADDRESS(C121,D121,1,1)</f>
        <v>$AM$281</v>
      </c>
      <c r="D114" s="1" t="str">
        <f>ADDRESS(C121+1,D121+1,1,1)</f>
        <v>$AN$282</v>
      </c>
    </row>
    <row r="115" spans="1:5" x14ac:dyDescent="0.25">
      <c r="A115" s="30">
        <v>12289.514335100625</v>
      </c>
      <c r="C115" s="1" t="str">
        <f>ADDRESS(C121+1,D121,1,1)</f>
        <v>$AM$282</v>
      </c>
    </row>
    <row r="116" spans="1:5" x14ac:dyDescent="0.25">
      <c r="A116" s="30">
        <v>11704.2993667625</v>
      </c>
      <c r="C116" s="1">
        <f>C117-1</f>
        <v>280</v>
      </c>
    </row>
    <row r="117" spans="1:5" x14ac:dyDescent="0.25">
      <c r="A117" s="30">
        <v>11146.951777869046</v>
      </c>
      <c r="C117" s="1">
        <f>C121</f>
        <v>281</v>
      </c>
      <c r="D117" s="1">
        <f>D121</f>
        <v>39</v>
      </c>
    </row>
    <row r="118" spans="1:5" x14ac:dyDescent="0.25">
      <c r="A118" s="30">
        <v>10616.144550351471</v>
      </c>
      <c r="C118" s="1">
        <f>C117+1</f>
        <v>282</v>
      </c>
      <c r="D118" s="1">
        <f>D117+1</f>
        <v>40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281</v>
      </c>
      <c r="D121" s="19">
        <v>39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R281</v>
      </c>
      <c r="D123" s="1" t="str">
        <f>"C"&amp;D121</f>
        <v>C39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30">
        <v>3.7334563223415764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 s="6"/>
      <c r="D130" s="6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5" x14ac:dyDescent="0.25">
      <c r="A193" s="30">
        <v>273.38167056472184</v>
      </c>
      <c r="E193"/>
    </row>
    <row r="194" spans="1:5" x14ac:dyDescent="0.25">
      <c r="A194" s="30">
        <v>260.36349577592557</v>
      </c>
      <c r="E194"/>
    </row>
    <row r="195" spans="1:5" x14ac:dyDescent="0.25">
      <c r="A195" s="30">
        <v>247.96523407231004</v>
      </c>
      <c r="E195"/>
    </row>
    <row r="196" spans="1:5" x14ac:dyDescent="0.25">
      <c r="A196" s="30">
        <v>236.15736578315241</v>
      </c>
      <c r="E196"/>
    </row>
    <row r="197" spans="1:5" x14ac:dyDescent="0.25">
      <c r="A197" s="30">
        <v>224.91177693633563</v>
      </c>
      <c r="E197"/>
    </row>
    <row r="198" spans="1:5" x14ac:dyDescent="0.25">
      <c r="A198" s="30">
        <v>214.20169232031964</v>
      </c>
      <c r="E198"/>
    </row>
    <row r="199" spans="1:5" x14ac:dyDescent="0.25">
      <c r="A199" s="30">
        <v>204.00161173363773</v>
      </c>
      <c r="E199"/>
    </row>
    <row r="200" spans="1:5" x14ac:dyDescent="0.25">
      <c r="A200" s="30">
        <v>194.28724927013116</v>
      </c>
      <c r="E200"/>
    </row>
    <row r="201" spans="1:5" x14ac:dyDescent="0.25">
      <c r="A201" s="30">
        <v>185.03547549536299</v>
      </c>
      <c r="E201"/>
    </row>
    <row r="202" spans="1:5" x14ac:dyDescent="0.25">
      <c r="A202" s="30">
        <v>176.22426237653616</v>
      </c>
      <c r="E202"/>
    </row>
    <row r="203" spans="1:5" x14ac:dyDescent="0.25">
      <c r="A203" s="30">
        <v>167.83263083479633</v>
      </c>
      <c r="C203" s="7"/>
      <c r="D203"/>
      <c r="E203"/>
    </row>
    <row r="204" spans="1:5" x14ac:dyDescent="0.25">
      <c r="A204" s="30">
        <v>159.84060079504411</v>
      </c>
      <c r="E204"/>
    </row>
    <row r="205" spans="1:5" x14ac:dyDescent="0.25">
      <c r="A205" s="30">
        <v>152.22914361432771</v>
      </c>
      <c r="E205"/>
    </row>
    <row r="206" spans="1:5" x14ac:dyDescent="0.25">
      <c r="A206" s="30">
        <v>144.98013677555019</v>
      </c>
      <c r="C206"/>
      <c r="D206"/>
      <c r="E206"/>
    </row>
    <row r="207" spans="1:5" x14ac:dyDescent="0.25">
      <c r="A207" s="30">
        <v>138.07632073861922</v>
      </c>
      <c r="E207"/>
    </row>
    <row r="208" spans="1:5" x14ac:dyDescent="0.25">
      <c r="A208" s="30">
        <v>131.50125784630401</v>
      </c>
      <c r="E208"/>
    </row>
    <row r="209" spans="1:5" x14ac:dyDescent="0.25">
      <c r="A209" s="30">
        <v>125.23929318695619</v>
      </c>
      <c r="E209"/>
    </row>
    <row r="210" spans="1:5" x14ac:dyDescent="0.25">
      <c r="A210" s="30">
        <v>119.27551732091065</v>
      </c>
      <c r="C210"/>
      <c r="E210"/>
    </row>
    <row r="211" spans="1:5" x14ac:dyDescent="0.25">
      <c r="A211" s="30">
        <v>113.59573078181967</v>
      </c>
      <c r="E211"/>
    </row>
    <row r="212" spans="1:5" x14ac:dyDescent="0.25">
      <c r="A212" s="30">
        <v>108.18641026839968</v>
      </c>
      <c r="E212"/>
    </row>
    <row r="213" spans="1:5" x14ac:dyDescent="0.25">
      <c r="A213" s="30">
        <v>103.03467644609493</v>
      </c>
      <c r="E213"/>
    </row>
    <row r="214" spans="1:5" x14ac:dyDescent="0.25">
      <c r="A214" s="30">
        <v>98.128263281995174</v>
      </c>
      <c r="E214"/>
    </row>
    <row r="215" spans="1:5" x14ac:dyDescent="0.25">
      <c r="A215" s="30">
        <v>93.455488839995397</v>
      </c>
      <c r="E215"/>
    </row>
    <row r="216" spans="1:5" x14ac:dyDescent="0.25">
      <c r="A216" s="30">
        <v>89.005227466662276</v>
      </c>
      <c r="E216"/>
    </row>
    <row r="217" spans="1:5" x14ac:dyDescent="0.25">
      <c r="A217" s="30">
        <v>84.766883301583121</v>
      </c>
      <c r="E217"/>
    </row>
    <row r="218" spans="1:5" x14ac:dyDescent="0.25">
      <c r="A218" s="30">
        <v>80.730365049126775</v>
      </c>
      <c r="E218"/>
    </row>
    <row r="219" spans="1:5" x14ac:dyDescent="0.25">
      <c r="A219" s="30">
        <v>76.886061951549308</v>
      </c>
      <c r="E219"/>
    </row>
    <row r="220" spans="1:5" x14ac:dyDescent="0.25">
      <c r="A220" s="30">
        <v>73.22482090623744</v>
      </c>
      <c r="E220"/>
    </row>
    <row r="221" spans="1:5" x14ac:dyDescent="0.25">
      <c r="A221" s="30">
        <v>69.737924672607079</v>
      </c>
      <c r="E221"/>
    </row>
    <row r="222" spans="1:5" x14ac:dyDescent="0.25">
      <c r="A222" s="30">
        <v>66.417071116768639</v>
      </c>
      <c r="E222"/>
    </row>
    <row r="223" spans="1:5" x14ac:dyDescent="0.25">
      <c r="A223" s="30">
        <v>63.254353444541557</v>
      </c>
      <c r="E223"/>
    </row>
    <row r="224" spans="1:5" x14ac:dyDescent="0.25">
      <c r="A224" s="30">
        <v>60.242241375753864</v>
      </c>
      <c r="E224"/>
    </row>
    <row r="225" spans="1:5" x14ac:dyDescent="0.25">
      <c r="A225" s="30">
        <v>57.373563215003678</v>
      </c>
      <c r="E225"/>
    </row>
    <row r="226" spans="1:5" x14ac:dyDescent="0.25">
      <c r="A226" s="30">
        <v>54.641488776193974</v>
      </c>
      <c r="E226"/>
    </row>
    <row r="227" spans="1:5" x14ac:dyDescent="0.25">
      <c r="A227" s="30">
        <v>52.039513120184736</v>
      </c>
      <c r="E227"/>
    </row>
    <row r="228" spans="1:5" x14ac:dyDescent="0.25">
      <c r="A228" s="30">
        <v>49.561441066842605</v>
      </c>
      <c r="C228" s="7"/>
      <c r="D228"/>
      <c r="E228"/>
    </row>
    <row r="229" spans="1:5" x14ac:dyDescent="0.25">
      <c r="A229" s="30">
        <v>47.201372444612005</v>
      </c>
      <c r="E229"/>
    </row>
    <row r="230" spans="1:5" x14ac:dyDescent="0.25">
      <c r="A230" s="30">
        <v>44.95368804248762</v>
      </c>
      <c r="E230"/>
    </row>
    <row r="231" spans="1:5" x14ac:dyDescent="0.25">
      <c r="A231" s="30">
        <v>42.81303623094059</v>
      </c>
      <c r="C231"/>
      <c r="D231"/>
      <c r="E231"/>
    </row>
    <row r="232" spans="1:5" x14ac:dyDescent="0.25">
      <c r="A232" s="30">
        <v>40.774320219943419</v>
      </c>
      <c r="E232"/>
    </row>
    <row r="233" spans="1:5" x14ac:dyDescent="0.25">
      <c r="A233" s="30">
        <v>38.832685923755633</v>
      </c>
      <c r="E233"/>
    </row>
    <row r="234" spans="1:5" x14ac:dyDescent="0.25">
      <c r="A234" s="30">
        <v>36.983510403576794</v>
      </c>
      <c r="E234"/>
    </row>
    <row r="235" spans="1:5" x14ac:dyDescent="0.25">
      <c r="A235" s="30">
        <v>35.222390860549325</v>
      </c>
      <c r="C235"/>
      <c r="E235"/>
    </row>
    <row r="236" spans="1:5" x14ac:dyDescent="0.25">
      <c r="A236" s="30">
        <v>33.545134152904119</v>
      </c>
      <c r="E236"/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30.426425535513939</v>
      </c>
      <c r="E238"/>
    </row>
    <row r="239" spans="1:5" x14ac:dyDescent="0.25">
      <c r="A239" s="30">
        <v>28.977548129060892</v>
      </c>
      <c r="E239"/>
    </row>
    <row r="240" spans="1:5" x14ac:dyDescent="0.25">
      <c r="A240" s="30">
        <v>27.597664884819896</v>
      </c>
      <c r="E240" s="29"/>
    </row>
    <row r="241" spans="1:30" x14ac:dyDescent="0.25">
      <c r="A241" s="30">
        <v>26.283490366495137</v>
      </c>
      <c r="B241"/>
      <c r="C241"/>
      <c r="D241"/>
      <c r="E241"/>
    </row>
    <row r="242" spans="1:30" x14ac:dyDescent="0.25">
      <c r="A242" s="30">
        <v>25.031895587138223</v>
      </c>
      <c r="B242"/>
      <c r="C242"/>
      <c r="D242"/>
      <c r="E242"/>
    </row>
    <row r="243" spans="1:30" x14ac:dyDescent="0.25">
      <c r="A243" s="30">
        <v>23.839900559179259</v>
      </c>
      <c r="B243"/>
      <c r="C243"/>
      <c r="D243"/>
      <c r="E243"/>
    </row>
    <row r="244" spans="1:30" x14ac:dyDescent="0.25">
      <c r="A244" s="30">
        <v>22.704667199218342</v>
      </c>
      <c r="B244"/>
      <c r="C244"/>
      <c r="D244"/>
      <c r="E244"/>
    </row>
    <row r="245" spans="1:30" x14ac:dyDescent="0.25">
      <c r="A245" s="30">
        <v>21.623492570684135</v>
      </c>
      <c r="B245"/>
      <c r="C245"/>
      <c r="D245"/>
      <c r="E245"/>
    </row>
    <row r="246" spans="1:30" x14ac:dyDescent="0.25">
      <c r="A246" s="30">
        <v>20.593802448270605</v>
      </c>
      <c r="B246"/>
      <c r="C246"/>
      <c r="D246"/>
      <c r="E246"/>
    </row>
    <row r="247" spans="1:30" x14ac:dyDescent="0.25">
      <c r="A247" s="30">
        <v>19.613145188829147</v>
      </c>
      <c r="B247"/>
      <c r="C247"/>
      <c r="D247"/>
      <c r="E247"/>
    </row>
    <row r="248" spans="1:30" x14ac:dyDescent="0.25">
      <c r="A248" s="30">
        <v>18.679185894122998</v>
      </c>
      <c r="B248"/>
      <c r="C248"/>
      <c r="D248"/>
      <c r="E248"/>
    </row>
    <row r="249" spans="1:30" x14ac:dyDescent="0.25">
      <c r="A249" s="30">
        <v>17.78970085154571</v>
      </c>
      <c r="B249"/>
      <c r="C249"/>
      <c r="D249"/>
      <c r="E249"/>
      <c r="I249" s="27" t="s">
        <v>8</v>
      </c>
    </row>
    <row r="250" spans="1:30" x14ac:dyDescent="0.25">
      <c r="A250" s="30">
        <v>16.942572239567344</v>
      </c>
      <c r="B250"/>
      <c r="C250"/>
      <c r="D250"/>
      <c r="E250"/>
      <c r="I250" s="27" t="s">
        <v>8</v>
      </c>
      <c r="J250" s="27" t="s">
        <v>7</v>
      </c>
      <c r="S250" s="27" t="s">
        <v>8</v>
      </c>
    </row>
    <row r="251" spans="1:30" x14ac:dyDescent="0.25">
      <c r="A251" s="30">
        <v>16.135783085302233</v>
      </c>
      <c r="B251"/>
      <c r="C251"/>
      <c r="D251"/>
      <c r="E251"/>
      <c r="I251" s="27" t="s">
        <v>8</v>
      </c>
      <c r="J251" s="27" t="s">
        <v>7</v>
      </c>
      <c r="Q251" s="27" t="s">
        <v>8</v>
      </c>
      <c r="S251" s="27" t="s">
        <v>8</v>
      </c>
      <c r="T251" s="27" t="s">
        <v>7</v>
      </c>
    </row>
    <row r="252" spans="1:30" x14ac:dyDescent="0.25">
      <c r="A252" s="30">
        <v>15.367412462192602</v>
      </c>
      <c r="B252"/>
      <c r="C252"/>
      <c r="D252"/>
      <c r="E252"/>
      <c r="I252" s="27" t="s">
        <v>8</v>
      </c>
      <c r="J252" s="27" t="s">
        <v>7</v>
      </c>
      <c r="Q252" s="27" t="s">
        <v>8</v>
      </c>
      <c r="R252" s="27" t="s">
        <v>7</v>
      </c>
      <c r="S252" s="27" t="s">
        <v>8</v>
      </c>
      <c r="T252" s="27" t="s">
        <v>7</v>
      </c>
    </row>
    <row r="253" spans="1:30" x14ac:dyDescent="0.25">
      <c r="A253" s="30">
        <v>14.635630916373906</v>
      </c>
      <c r="B253"/>
      <c r="C253"/>
      <c r="D253"/>
      <c r="E253"/>
      <c r="I253" s="27" t="s">
        <v>8</v>
      </c>
      <c r="J253" s="27" t="s">
        <v>7</v>
      </c>
      <c r="O253" s="27" t="s">
        <v>8</v>
      </c>
      <c r="Q253" s="27" t="s">
        <v>8</v>
      </c>
      <c r="R253" s="27" t="s">
        <v>7</v>
      </c>
      <c r="S253" s="27" t="s">
        <v>8</v>
      </c>
      <c r="T253" s="27" t="s">
        <v>7</v>
      </c>
    </row>
    <row r="254" spans="1:30" x14ac:dyDescent="0.25">
      <c r="A254" s="30">
        <v>13.938696110832291</v>
      </c>
      <c r="B254"/>
      <c r="C254"/>
      <c r="D254"/>
      <c r="E254"/>
      <c r="I254" s="27" t="s">
        <v>8</v>
      </c>
      <c r="J254" s="27" t="s">
        <v>7</v>
      </c>
      <c r="K254" s="27" t="s">
        <v>8</v>
      </c>
      <c r="O254" s="27" t="s">
        <v>8</v>
      </c>
      <c r="P254" s="27" t="s">
        <v>7</v>
      </c>
      <c r="Q254" s="27" t="s">
        <v>8</v>
      </c>
      <c r="R254" s="27" t="s">
        <v>7</v>
      </c>
      <c r="S254" s="27" t="s">
        <v>8</v>
      </c>
      <c r="T254" s="27" t="s">
        <v>7</v>
      </c>
    </row>
    <row r="255" spans="1:30" x14ac:dyDescent="0.25">
      <c r="A255" s="30">
        <v>13.274948676983135</v>
      </c>
      <c r="E255"/>
      <c r="I255" s="27" t="s">
        <v>8</v>
      </c>
      <c r="J255" s="27" t="s">
        <v>7</v>
      </c>
      <c r="K255" s="27" t="s">
        <v>8</v>
      </c>
      <c r="L255" s="27" t="s">
        <v>7</v>
      </c>
      <c r="M255" s="27" t="s">
        <v>8</v>
      </c>
      <c r="O255" s="27" t="s">
        <v>8</v>
      </c>
      <c r="P255" s="27" t="s">
        <v>7</v>
      </c>
      <c r="Q255" s="27" t="s">
        <v>8</v>
      </c>
      <c r="R255" s="27" t="s">
        <v>7</v>
      </c>
      <c r="T255" s="27" t="s">
        <v>7</v>
      </c>
      <c r="AC255" s="27" t="s">
        <v>8</v>
      </c>
    </row>
    <row r="256" spans="1:30" x14ac:dyDescent="0.25">
      <c r="A256" s="30">
        <v>12.64280826379346</v>
      </c>
      <c r="E256"/>
      <c r="I256" s="27" t="s">
        <v>8</v>
      </c>
      <c r="J256" s="27" t="s">
        <v>7</v>
      </c>
      <c r="K256" s="27" t="s">
        <v>8</v>
      </c>
      <c r="L256" s="27" t="s">
        <v>7</v>
      </c>
      <c r="M256" s="27" t="s">
        <v>8</v>
      </c>
      <c r="N256" s="27" t="s">
        <v>7</v>
      </c>
      <c r="O256" s="27" t="s">
        <v>8</v>
      </c>
      <c r="P256" s="27" t="s">
        <v>7</v>
      </c>
      <c r="Q256" s="27" t="s">
        <v>8</v>
      </c>
      <c r="T256" s="27" t="s">
        <v>7</v>
      </c>
      <c r="AC256" s="27" t="s">
        <v>8</v>
      </c>
      <c r="AD256" s="27" t="s">
        <v>7</v>
      </c>
    </row>
    <row r="257" spans="1:36" x14ac:dyDescent="0.25">
      <c r="A257" s="30">
        <v>12.04076977504139</v>
      </c>
      <c r="B257"/>
      <c r="C257"/>
      <c r="D257"/>
      <c r="E257"/>
      <c r="I257" s="27" t="s">
        <v>8</v>
      </c>
      <c r="J257" s="27" t="s">
        <v>7</v>
      </c>
      <c r="K257" s="27" t="s">
        <v>8</v>
      </c>
      <c r="L257" s="27" t="s">
        <v>7</v>
      </c>
      <c r="M257" s="27" t="s">
        <v>8</v>
      </c>
      <c r="N257" s="27" t="s">
        <v>7</v>
      </c>
      <c r="O257" s="27" t="s">
        <v>8</v>
      </c>
      <c r="P257" s="27" t="s">
        <v>7</v>
      </c>
      <c r="Q257" s="27" t="s">
        <v>8</v>
      </c>
      <c r="T257" s="27" t="s">
        <v>7</v>
      </c>
      <c r="AC257" s="27" t="s">
        <v>8</v>
      </c>
      <c r="AD257" s="27" t="s">
        <v>7</v>
      </c>
    </row>
    <row r="258" spans="1:36" x14ac:dyDescent="0.25">
      <c r="A258" s="30">
        <v>11.467399785753704</v>
      </c>
      <c r="B258"/>
      <c r="C258"/>
      <c r="D258"/>
      <c r="E258"/>
      <c r="I258" s="27" t="s">
        <v>8</v>
      </c>
      <c r="J258" s="27" t="s">
        <v>7</v>
      </c>
      <c r="K258" s="27" t="s">
        <v>8</v>
      </c>
      <c r="L258" s="27" t="s">
        <v>7</v>
      </c>
      <c r="N258" s="27" t="s">
        <v>7</v>
      </c>
      <c r="O258" s="27" t="s">
        <v>8</v>
      </c>
      <c r="P258" s="27" t="s">
        <v>7</v>
      </c>
      <c r="Q258" s="27" t="s">
        <v>8</v>
      </c>
      <c r="T258" s="27" t="s">
        <v>7</v>
      </c>
      <c r="U258" s="27" t="s">
        <v>8</v>
      </c>
      <c r="Y258" s="27" t="s">
        <v>8</v>
      </c>
      <c r="AA258" s="27" t="s">
        <v>8</v>
      </c>
      <c r="AC258" s="27" t="s">
        <v>8</v>
      </c>
      <c r="AD258" s="27" t="s">
        <v>7</v>
      </c>
      <c r="AE258" s="27" t="s">
        <v>8</v>
      </c>
    </row>
    <row r="259" spans="1:36" x14ac:dyDescent="0.25">
      <c r="A259" s="30">
        <v>10.921333129289241</v>
      </c>
      <c r="B259"/>
      <c r="C259"/>
      <c r="D259"/>
      <c r="E259"/>
      <c r="I259" s="27" t="s">
        <v>8</v>
      </c>
      <c r="J259" s="27" t="s">
        <v>7</v>
      </c>
      <c r="N259" s="27" t="s">
        <v>7</v>
      </c>
      <c r="O259" s="27" t="s">
        <v>8</v>
      </c>
      <c r="P259" s="27" t="s">
        <v>7</v>
      </c>
      <c r="Q259" s="27" t="s">
        <v>8</v>
      </c>
      <c r="T259" s="27" t="s">
        <v>7</v>
      </c>
      <c r="U259" s="27" t="s">
        <v>8</v>
      </c>
      <c r="V259" s="27" t="s">
        <v>7</v>
      </c>
      <c r="W259" s="27" t="s">
        <v>8</v>
      </c>
      <c r="Y259" s="27" t="s">
        <v>8</v>
      </c>
      <c r="Z259" s="27" t="s">
        <v>7</v>
      </c>
      <c r="AA259" s="27" t="s">
        <v>8</v>
      </c>
      <c r="AB259" s="27" t="s">
        <v>7</v>
      </c>
      <c r="AC259" s="27" t="s">
        <v>8</v>
      </c>
      <c r="AD259" s="27" t="s">
        <v>7</v>
      </c>
      <c r="AE259" s="27" t="s">
        <v>8</v>
      </c>
      <c r="AF259" s="27" t="s">
        <v>7</v>
      </c>
    </row>
    <row r="260" spans="1:36" x14ac:dyDescent="0.25">
      <c r="A260" s="30">
        <v>10.401269646942135</v>
      </c>
      <c r="B260"/>
      <c r="C260"/>
      <c r="D260"/>
      <c r="E260"/>
      <c r="I260" s="27" t="s">
        <v>8</v>
      </c>
      <c r="N260" s="27" t="s">
        <v>7</v>
      </c>
      <c r="P260" s="27" t="s">
        <v>7</v>
      </c>
      <c r="T260" s="27" t="s">
        <v>7</v>
      </c>
      <c r="U260" s="27" t="s">
        <v>8</v>
      </c>
      <c r="V260" s="27" t="s">
        <v>7</v>
      </c>
      <c r="W260" s="27" t="s">
        <v>8</v>
      </c>
      <c r="X260" s="27" t="s">
        <v>7</v>
      </c>
      <c r="Y260" s="27" t="s">
        <v>8</v>
      </c>
      <c r="Z260" s="27" t="s">
        <v>7</v>
      </c>
      <c r="AA260" s="27" t="s">
        <v>8</v>
      </c>
      <c r="AB260" s="27" t="s">
        <v>7</v>
      </c>
      <c r="AC260" s="27" t="s">
        <v>8</v>
      </c>
      <c r="AD260" s="27" t="s">
        <v>7</v>
      </c>
      <c r="AE260" s="27" t="s">
        <v>8</v>
      </c>
      <c r="AF260" s="27" t="s">
        <v>7</v>
      </c>
    </row>
    <row r="261" spans="1:36" x14ac:dyDescent="0.25">
      <c r="A261" s="30">
        <v>9.9059710923258422</v>
      </c>
      <c r="B261"/>
      <c r="C261"/>
      <c r="D261"/>
      <c r="E261"/>
      <c r="I261" s="27" t="s">
        <v>8</v>
      </c>
      <c r="T261" s="27" t="s">
        <v>7</v>
      </c>
      <c r="U261" s="27" t="s">
        <v>8</v>
      </c>
      <c r="V261" s="27" t="s">
        <v>7</v>
      </c>
      <c r="W261" s="27" t="s">
        <v>8</v>
      </c>
      <c r="X261" s="27" t="s">
        <v>7</v>
      </c>
      <c r="Y261" s="27" t="s">
        <v>8</v>
      </c>
      <c r="Z261" s="27" t="s">
        <v>7</v>
      </c>
      <c r="AA261" s="27" t="s">
        <v>8</v>
      </c>
      <c r="AB261" s="27" t="s">
        <v>7</v>
      </c>
      <c r="AC261" s="27" t="s">
        <v>8</v>
      </c>
      <c r="AD261" s="27" t="s">
        <v>7</v>
      </c>
      <c r="AE261" s="27" t="s">
        <v>8</v>
      </c>
      <c r="AF261" s="27" t="s">
        <v>7</v>
      </c>
    </row>
    <row r="262" spans="1:36" x14ac:dyDescent="0.25">
      <c r="A262" s="30">
        <v>9.4342581831674686</v>
      </c>
      <c r="B262"/>
      <c r="C262"/>
      <c r="D262"/>
      <c r="E262"/>
      <c r="I262" s="27" t="s">
        <v>8</v>
      </c>
      <c r="T262" s="27" t="s">
        <v>7</v>
      </c>
      <c r="V262" s="27" t="s">
        <v>7</v>
      </c>
      <c r="X262" s="27" t="s">
        <v>7</v>
      </c>
      <c r="Y262" s="27" t="s">
        <v>8</v>
      </c>
      <c r="Z262" s="27" t="s">
        <v>7</v>
      </c>
      <c r="AB262" s="27" t="s">
        <v>7</v>
      </c>
      <c r="AC262" s="27" t="s">
        <v>8</v>
      </c>
      <c r="AD262" s="27" t="s">
        <v>7</v>
      </c>
      <c r="AF262" s="27" t="s">
        <v>7</v>
      </c>
      <c r="AG262" s="27" t="s">
        <v>8</v>
      </c>
    </row>
    <row r="263" spans="1:36" x14ac:dyDescent="0.25">
      <c r="A263" s="30">
        <v>8.9850077934928265</v>
      </c>
      <c r="B263"/>
      <c r="C263"/>
      <c r="D263"/>
      <c r="E263"/>
      <c r="I263" s="27" t="s">
        <v>8</v>
      </c>
      <c r="X263" s="27" t="s">
        <v>7</v>
      </c>
      <c r="AB263" s="27" t="s">
        <v>7</v>
      </c>
      <c r="AF263" s="27" t="s">
        <v>7</v>
      </c>
      <c r="AG263" s="27" t="s">
        <v>8</v>
      </c>
      <c r="AH263" s="27" t="s">
        <v>7</v>
      </c>
    </row>
    <row r="264" spans="1:36" x14ac:dyDescent="0.25">
      <c r="A264" s="30">
        <v>8.5571502795169767</v>
      </c>
      <c r="B264"/>
      <c r="C264"/>
      <c r="D264"/>
      <c r="E264" t="s">
        <v>8</v>
      </c>
      <c r="I264" s="27" t="s">
        <v>8</v>
      </c>
      <c r="AF264" s="27" t="s">
        <v>7</v>
      </c>
      <c r="AG264" s="27" t="s">
        <v>8</v>
      </c>
      <c r="AH264" s="27" t="s">
        <v>7</v>
      </c>
    </row>
    <row r="265" spans="1:36" x14ac:dyDescent="0.25">
      <c r="A265" s="30">
        <v>8.1496669328733109</v>
      </c>
      <c r="B265"/>
      <c r="C265"/>
      <c r="D265"/>
      <c r="E265" t="s">
        <v>8</v>
      </c>
      <c r="F265" s="27" t="s">
        <v>7</v>
      </c>
      <c r="G265" s="27" t="s">
        <v>8</v>
      </c>
      <c r="I265" s="27" t="s">
        <v>8</v>
      </c>
      <c r="AF265" s="27" t="s">
        <v>7</v>
      </c>
      <c r="AH265" s="27" t="s">
        <v>7</v>
      </c>
      <c r="AI265" s="27" t="s">
        <v>8</v>
      </c>
    </row>
    <row r="266" spans="1:36" x14ac:dyDescent="0.25">
      <c r="A266" s="30">
        <v>7.7615875551174378</v>
      </c>
      <c r="B266"/>
      <c r="C266"/>
      <c r="D266"/>
      <c r="E266" t="s">
        <v>8</v>
      </c>
      <c r="F266" s="27" t="s">
        <v>7</v>
      </c>
      <c r="G266" s="27" t="s">
        <v>8</v>
      </c>
      <c r="H266" s="27" t="s">
        <v>7</v>
      </c>
      <c r="I266" s="27" t="s">
        <v>8</v>
      </c>
      <c r="AH266" s="27" t="s">
        <v>7</v>
      </c>
      <c r="AI266" s="27" t="s">
        <v>8</v>
      </c>
      <c r="AJ266" s="27" t="s">
        <v>7</v>
      </c>
    </row>
    <row r="267" spans="1:36" x14ac:dyDescent="0.25">
      <c r="A267" s="30">
        <v>7.3919881477308929</v>
      </c>
      <c r="B267"/>
      <c r="C267"/>
      <c r="D267"/>
      <c r="E267" t="s">
        <v>8</v>
      </c>
      <c r="F267" s="27" t="s">
        <v>7</v>
      </c>
      <c r="G267" s="27" t="s">
        <v>8</v>
      </c>
      <c r="H267" s="27" t="s">
        <v>7</v>
      </c>
      <c r="I267" s="27" t="s">
        <v>8</v>
      </c>
      <c r="AH267" s="27" t="s">
        <v>7</v>
      </c>
      <c r="AI267" s="27" t="s">
        <v>8</v>
      </c>
      <c r="AJ267" s="27" t="s">
        <v>7</v>
      </c>
    </row>
    <row r="268" spans="1:36" x14ac:dyDescent="0.25">
      <c r="A268" s="30">
        <v>7.0399887121246598</v>
      </c>
      <c r="B268"/>
      <c r="C268"/>
      <c r="D268"/>
      <c r="E268" t="s">
        <v>8</v>
      </c>
      <c r="F268" s="27" t="s">
        <v>7</v>
      </c>
      <c r="G268" s="27" t="s">
        <v>8</v>
      </c>
      <c r="H268" s="27" t="s">
        <v>7</v>
      </c>
      <c r="I268" s="27" t="s">
        <v>8</v>
      </c>
      <c r="AH268" s="27" t="s">
        <v>7</v>
      </c>
      <c r="AJ268" s="27" t="s">
        <v>7</v>
      </c>
    </row>
    <row r="269" spans="1:36" x14ac:dyDescent="0.25">
      <c r="A269" s="30">
        <v>6.7047511544044376</v>
      </c>
      <c r="B269"/>
      <c r="C269"/>
      <c r="D269"/>
      <c r="E269" t="s">
        <v>8</v>
      </c>
      <c r="F269" s="27" t="s">
        <v>7</v>
      </c>
      <c r="G269" s="27" t="s">
        <v>8</v>
      </c>
      <c r="H269" s="27" t="s">
        <v>7</v>
      </c>
      <c r="AJ269" s="27" t="s">
        <v>7</v>
      </c>
    </row>
    <row r="270" spans="1:36" x14ac:dyDescent="0.25">
      <c r="A270" s="30">
        <v>6.3854772899089882</v>
      </c>
      <c r="B270"/>
      <c r="C270"/>
      <c r="D270"/>
      <c r="E270" t="s">
        <v>8</v>
      </c>
      <c r="F270" s="27" t="s">
        <v>7</v>
      </c>
      <c r="AJ270" s="27" t="s">
        <v>7</v>
      </c>
    </row>
    <row r="271" spans="1:36" x14ac:dyDescent="0.25">
      <c r="A271" s="30">
        <v>6.0814069427704647</v>
      </c>
      <c r="B271"/>
      <c r="C271"/>
      <c r="D271"/>
      <c r="E271" t="s">
        <v>8</v>
      </c>
      <c r="AJ271" s="27" t="s">
        <v>7</v>
      </c>
    </row>
    <row r="272" spans="1:36" x14ac:dyDescent="0.25">
      <c r="A272" s="30">
        <v>5.7918161359718709</v>
      </c>
      <c r="B272"/>
      <c r="C272"/>
      <c r="D272"/>
      <c r="E272" t="s">
        <v>8</v>
      </c>
      <c r="AJ272" s="27" t="s">
        <v>7</v>
      </c>
    </row>
    <row r="273" spans="1:39" x14ac:dyDescent="0.25">
      <c r="A273" s="30">
        <v>5.5160153675922574</v>
      </c>
      <c r="B273"/>
      <c r="C273"/>
      <c r="D273"/>
      <c r="E273" t="s">
        <v>8</v>
      </c>
      <c r="AJ273" s="27" t="s">
        <v>7</v>
      </c>
    </row>
    <row r="274" spans="1:39" x14ac:dyDescent="0.25">
      <c r="A274" s="30">
        <v>5.2533479691354827</v>
      </c>
      <c r="B274"/>
      <c r="C274"/>
      <c r="D274"/>
      <c r="E274" t="s">
        <v>8</v>
      </c>
      <c r="AJ274" s="27" t="s">
        <v>7</v>
      </c>
    </row>
    <row r="275" spans="1:39" x14ac:dyDescent="0.25">
      <c r="A275" s="30">
        <v>5.0031885420337927</v>
      </c>
      <c r="B275"/>
      <c r="C275"/>
      <c r="D275"/>
      <c r="E275" t="s">
        <v>8</v>
      </c>
      <c r="AJ275" s="27" t="s">
        <v>7</v>
      </c>
    </row>
    <row r="276" spans="1:39" x14ac:dyDescent="0.25">
      <c r="A276" s="30">
        <v>4.7649414686036122</v>
      </c>
      <c r="B276"/>
      <c r="C276"/>
      <c r="D276"/>
      <c r="E276" t="s">
        <v>8</v>
      </c>
      <c r="AJ276" s="27" t="s">
        <v>7</v>
      </c>
    </row>
    <row r="277" spans="1:39" x14ac:dyDescent="0.25">
      <c r="A277" s="30">
        <v>4.5380394939082018</v>
      </c>
      <c r="B277"/>
      <c r="C277"/>
      <c r="D277"/>
      <c r="E277" t="s">
        <v>8</v>
      </c>
      <c r="AJ277" s="27" t="s">
        <v>7</v>
      </c>
    </row>
    <row r="278" spans="1:39" x14ac:dyDescent="0.25">
      <c r="A278" s="30">
        <v>4.3219423751506678</v>
      </c>
      <c r="B278"/>
      <c r="C278"/>
      <c r="D278"/>
      <c r="E278" t="s">
        <v>8</v>
      </c>
      <c r="AJ278" s="27" t="s">
        <v>7</v>
      </c>
    </row>
    <row r="279" spans="1:39" x14ac:dyDescent="0.25">
      <c r="A279" s="30">
        <v>4.1161355953815884</v>
      </c>
      <c r="B279"/>
      <c r="C279"/>
      <c r="D279"/>
      <c r="E279" t="s">
        <v>8</v>
      </c>
      <c r="AJ279" s="27" t="s">
        <v>7</v>
      </c>
      <c r="AK279" s="27" t="s">
        <v>8</v>
      </c>
    </row>
    <row r="280" spans="1:39" x14ac:dyDescent="0.25">
      <c r="A280" s="30">
        <v>3.9201291384586554</v>
      </c>
      <c r="B280"/>
      <c r="C280"/>
      <c r="D280"/>
      <c r="E280" t="s">
        <v>8</v>
      </c>
      <c r="AJ280" s="27" t="s">
        <v>7</v>
      </c>
      <c r="AK280" s="27" t="s">
        <v>8</v>
      </c>
      <c r="AL280" s="27" t="s">
        <v>7</v>
      </c>
    </row>
    <row r="281" spans="1:39" x14ac:dyDescent="0.25">
      <c r="A281" s="30">
        <v>3.7334563223415764</v>
      </c>
      <c r="B281"/>
      <c r="C281"/>
      <c r="D281"/>
      <c r="E281" t="s">
        <v>8</v>
      </c>
      <c r="AJ281" s="27" t="s">
        <v>7</v>
      </c>
      <c r="AK281" s="27" t="s">
        <v>8</v>
      </c>
      <c r="AL281" s="27" t="s">
        <v>7</v>
      </c>
      <c r="AM281" s="27" t="s">
        <v>8</v>
      </c>
    </row>
    <row r="282" spans="1:39" x14ac:dyDescent="0.25">
      <c r="A282" s="30">
        <v>3.5556726879443583</v>
      </c>
      <c r="B282"/>
      <c r="C282"/>
      <c r="D282"/>
      <c r="E282" t="s">
        <v>8</v>
      </c>
      <c r="AJ282" s="27" t="s">
        <v>7</v>
      </c>
      <c r="AL282" s="27" t="s">
        <v>7</v>
      </c>
      <c r="AM282" s="27" t="s">
        <v>8</v>
      </c>
    </row>
    <row r="283" spans="1:39" x14ac:dyDescent="0.25">
      <c r="A283" s="30">
        <v>3.3863549408993889</v>
      </c>
      <c r="B283"/>
      <c r="C283"/>
      <c r="D283"/>
      <c r="E283" t="s">
        <v>8</v>
      </c>
      <c r="AL283" s="27" t="s">
        <v>7</v>
      </c>
      <c r="AM283" s="27" t="s">
        <v>8</v>
      </c>
    </row>
    <row r="284" spans="1:39" x14ac:dyDescent="0.25">
      <c r="A284" s="30">
        <v>3.2250999437137038</v>
      </c>
      <c r="B284"/>
      <c r="C284"/>
      <c r="D284"/>
      <c r="E284" t="s">
        <v>8</v>
      </c>
      <c r="AL284" s="27" t="s">
        <v>7</v>
      </c>
    </row>
    <row r="285" spans="1:39" x14ac:dyDescent="0.25">
      <c r="A285" s="30">
        <v>3.0715237559178128</v>
      </c>
      <c r="B285"/>
      <c r="C285"/>
      <c r="D285"/>
      <c r="E285" t="s">
        <v>8</v>
      </c>
    </row>
    <row r="286" spans="1:39" x14ac:dyDescent="0.25">
      <c r="A286" s="30">
        <v>2.9252607199217264</v>
      </c>
      <c r="B286"/>
      <c r="C286"/>
      <c r="D286"/>
      <c r="E286" t="s">
        <v>8</v>
      </c>
    </row>
    <row r="287" spans="1:39" x14ac:dyDescent="0.25">
      <c r="A287" s="30">
        <v>2.7859625904016441</v>
      </c>
      <c r="B287"/>
      <c r="C287"/>
      <c r="D287"/>
      <c r="E287" t="s">
        <v>8</v>
      </c>
    </row>
    <row r="288" spans="1:39" x14ac:dyDescent="0.25">
      <c r="A288" s="30">
        <v>2.6532977051444226</v>
      </c>
      <c r="B288"/>
      <c r="C288"/>
      <c r="D288"/>
      <c r="E288" t="s">
        <v>8</v>
      </c>
    </row>
    <row r="289" spans="1:5" x14ac:dyDescent="0.25">
      <c r="A289" s="30">
        <v>2.5269501953756404</v>
      </c>
      <c r="B289"/>
      <c r="C289"/>
      <c r="D289"/>
      <c r="E289" t="s">
        <v>8</v>
      </c>
    </row>
    <row r="290" spans="1:5" x14ac:dyDescent="0.25">
      <c r="A290" s="30">
        <v>2.4066192336910861</v>
      </c>
      <c r="B290"/>
      <c r="C290"/>
      <c r="D290"/>
      <c r="E290" t="s">
        <v>8</v>
      </c>
    </row>
    <row r="291" spans="1:5" x14ac:dyDescent="0.25">
      <c r="A291" s="30">
        <v>2.2920183178010345</v>
      </c>
      <c r="B291"/>
      <c r="C291"/>
      <c r="D291"/>
      <c r="E291" t="s">
        <v>8</v>
      </c>
    </row>
    <row r="292" spans="1:5" x14ac:dyDescent="0.25">
      <c r="A292" s="30">
        <v>2.1828745883819374</v>
      </c>
      <c r="B292"/>
      <c r="C292"/>
      <c r="D292"/>
      <c r="E292" t="s">
        <v>8</v>
      </c>
    </row>
    <row r="293" spans="1:5" x14ac:dyDescent="0.25">
      <c r="A293" s="30">
        <v>2.0789281794113688</v>
      </c>
      <c r="B293"/>
      <c r="C293"/>
      <c r="D293"/>
      <c r="E293" t="s">
        <v>8</v>
      </c>
    </row>
    <row r="294" spans="1:5" x14ac:dyDescent="0.25">
      <c r="A294" s="30">
        <v>1.9799315994393987</v>
      </c>
      <c r="B294"/>
      <c r="C294"/>
      <c r="D294"/>
      <c r="E294" t="s">
        <v>8</v>
      </c>
    </row>
    <row r="295" spans="1:5" x14ac:dyDescent="0.25">
      <c r="A295" s="30">
        <v>1.8856491423232367</v>
      </c>
      <c r="B295"/>
      <c r="C295"/>
      <c r="D295"/>
      <c r="E295" t="s">
        <v>8</v>
      </c>
    </row>
    <row r="296" spans="1:5" x14ac:dyDescent="0.25">
      <c r="A296" s="30">
        <v>1.7958563260221301</v>
      </c>
      <c r="B296"/>
      <c r="C296"/>
      <c r="D296"/>
      <c r="E296" t="s">
        <v>8</v>
      </c>
    </row>
    <row r="297" spans="1:5" x14ac:dyDescent="0.25">
      <c r="A297" s="30">
        <v>1.7103393581163142</v>
      </c>
      <c r="B297"/>
      <c r="C297"/>
      <c r="D297"/>
      <c r="E297" t="s">
        <v>8</v>
      </c>
    </row>
    <row r="298" spans="1:5" x14ac:dyDescent="0.25">
      <c r="A298" s="30">
        <v>1.628894626777442</v>
      </c>
      <c r="B298"/>
      <c r="C298"/>
      <c r="D298"/>
      <c r="E298" t="s">
        <v>8</v>
      </c>
    </row>
    <row r="299" spans="1:5" x14ac:dyDescent="0.25">
      <c r="A299" s="30">
        <v>1.5513282159785162</v>
      </c>
      <c r="B299"/>
      <c r="C299"/>
      <c r="D299"/>
      <c r="E299" t="s">
        <v>8</v>
      </c>
    </row>
    <row r="300" spans="1:5" x14ac:dyDescent="0.25">
      <c r="A300" s="30">
        <v>1.477455443789063</v>
      </c>
      <c r="B300"/>
      <c r="C300"/>
      <c r="D300"/>
      <c r="E300" t="s">
        <v>8</v>
      </c>
    </row>
    <row r="301" spans="1:5" x14ac:dyDescent="0.25">
      <c r="A301" s="30">
        <v>1.4071004226562505</v>
      </c>
      <c r="B301"/>
      <c r="C301"/>
      <c r="D301"/>
      <c r="E301" t="s">
        <v>8</v>
      </c>
    </row>
    <row r="302" spans="1:5" x14ac:dyDescent="0.25">
      <c r="A302" s="30">
        <v>1.3400956406250004</v>
      </c>
      <c r="B302"/>
      <c r="C302"/>
      <c r="D302"/>
      <c r="E302" t="s">
        <v>8</v>
      </c>
    </row>
    <row r="303" spans="1:5" x14ac:dyDescent="0.25">
      <c r="A303" s="30">
        <v>1.2762815625000004</v>
      </c>
      <c r="B303"/>
      <c r="C303"/>
      <c r="D303"/>
      <c r="E303" t="s">
        <v>8</v>
      </c>
    </row>
    <row r="304" spans="1:5" x14ac:dyDescent="0.25">
      <c r="A304" s="30">
        <v>1.2155062500000002</v>
      </c>
      <c r="B304"/>
      <c r="C304"/>
      <c r="D304"/>
      <c r="E304" t="s">
        <v>8</v>
      </c>
    </row>
    <row r="305" spans="1:5" x14ac:dyDescent="0.25">
      <c r="A305" s="30">
        <v>1.1576249999999999</v>
      </c>
      <c r="B305"/>
      <c r="C305"/>
      <c r="D305"/>
      <c r="E305" t="s">
        <v>8</v>
      </c>
    </row>
    <row r="306" spans="1:5" x14ac:dyDescent="0.25">
      <c r="A306" s="30">
        <v>1.1025</v>
      </c>
      <c r="B306"/>
      <c r="C306"/>
      <c r="D306"/>
      <c r="E306" t="s">
        <v>8</v>
      </c>
    </row>
    <row r="307" spans="1:5" x14ac:dyDescent="0.25">
      <c r="A307" s="30">
        <v>1.05</v>
      </c>
      <c r="B307"/>
      <c r="C307"/>
      <c r="D307"/>
      <c r="E307" t="s">
        <v>8</v>
      </c>
    </row>
    <row r="308" spans="1:5" x14ac:dyDescent="0.25">
      <c r="A308" s="30">
        <v>1</v>
      </c>
      <c r="B308"/>
      <c r="C308"/>
      <c r="D308"/>
      <c r="E308" s="29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546" operator="equal">
      <formula>$U$1</formula>
    </cfRule>
    <cfRule type="cellIs" dxfId="67" priority="547" operator="equal">
      <formula>$S$1</formula>
    </cfRule>
  </conditionalFormatting>
  <conditionalFormatting sqref="D136">
    <cfRule type="cellIs" dxfId="66" priority="544" operator="equal">
      <formula>$S$1</formula>
    </cfRule>
    <cfRule type="cellIs" dxfId="65" priority="545" operator="equal">
      <formula>$U$1</formula>
    </cfRule>
  </conditionalFormatting>
  <conditionalFormatting sqref="C162">
    <cfRule type="cellIs" dxfId="64" priority="542" operator="equal">
      <formula>$U$1</formula>
    </cfRule>
    <cfRule type="cellIs" dxfId="63" priority="543" operator="equal">
      <formula>$S$1</formula>
    </cfRule>
  </conditionalFormatting>
  <conditionalFormatting sqref="D162">
    <cfRule type="cellIs" dxfId="62" priority="540" operator="equal">
      <formula>$S$1</formula>
    </cfRule>
    <cfRule type="cellIs" dxfId="61" priority="541" operator="equal">
      <formula>$U$1</formula>
    </cfRule>
  </conditionalFormatting>
  <conditionalFormatting sqref="C187">
    <cfRule type="cellIs" dxfId="60" priority="538" operator="equal">
      <formula>$U$1</formula>
    </cfRule>
    <cfRule type="cellIs" dxfId="59" priority="539" operator="equal">
      <formula>$S$1</formula>
    </cfRule>
  </conditionalFormatting>
  <conditionalFormatting sqref="D187">
    <cfRule type="cellIs" dxfId="58" priority="536" operator="equal">
      <formula>$S$1</formula>
    </cfRule>
    <cfRule type="cellIs" dxfId="57" priority="537" operator="equal">
      <formula>$U$1</formula>
    </cfRule>
  </conditionalFormatting>
  <conditionalFormatting sqref="C212">
    <cfRule type="cellIs" dxfId="56" priority="534" operator="equal">
      <formula>$U$1</formula>
    </cfRule>
    <cfRule type="cellIs" dxfId="55" priority="535" operator="equal">
      <formula>$S$1</formula>
    </cfRule>
  </conditionalFormatting>
  <conditionalFormatting sqref="D212">
    <cfRule type="cellIs" dxfId="54" priority="532" operator="equal">
      <formula>$S$1</formula>
    </cfRule>
    <cfRule type="cellIs" dxfId="53" priority="533" operator="equal">
      <formula>$U$1</formula>
    </cfRule>
  </conditionalFormatting>
  <conditionalFormatting sqref="C237">
    <cfRule type="cellIs" dxfId="52" priority="530" operator="equal">
      <formula>$U$1</formula>
    </cfRule>
    <cfRule type="cellIs" dxfId="51" priority="531" operator="equal">
      <formula>$S$1</formula>
    </cfRule>
  </conditionalFormatting>
  <conditionalFormatting sqref="D237">
    <cfRule type="cellIs" dxfId="50" priority="528" operator="equal">
      <formula>$S$1</formula>
    </cfRule>
    <cfRule type="cellIs" dxfId="49" priority="529" operator="equal">
      <formula>$U$1</formula>
    </cfRule>
  </conditionalFormatting>
  <conditionalFormatting sqref="C106">
    <cfRule type="cellIs" dxfId="48" priority="526" operator="equal">
      <formula>$U$1</formula>
    </cfRule>
    <cfRule type="cellIs" dxfId="47" priority="527" operator="equal">
      <formula>$S$1</formula>
    </cfRule>
  </conditionalFormatting>
  <conditionalFormatting sqref="D106">
    <cfRule type="cellIs" dxfId="46" priority="524" operator="equal">
      <formula>$S$1</formula>
    </cfRule>
    <cfRule type="cellIs" dxfId="45" priority="525" operator="equal">
      <formula>$U$1</formula>
    </cfRule>
  </conditionalFormatting>
  <conditionalFormatting sqref="C81">
    <cfRule type="cellIs" dxfId="44" priority="522" operator="equal">
      <formula>$U$1</formula>
    </cfRule>
    <cfRule type="cellIs" dxfId="43" priority="523" operator="equal">
      <formula>$S$1</formula>
    </cfRule>
  </conditionalFormatting>
  <conditionalFormatting sqref="D81">
    <cfRule type="cellIs" dxfId="42" priority="520" operator="equal">
      <formula>$S$1</formula>
    </cfRule>
    <cfRule type="cellIs" dxfId="41" priority="521" operator="equal">
      <formula>$U$1</formula>
    </cfRule>
  </conditionalFormatting>
  <conditionalFormatting sqref="C56">
    <cfRule type="cellIs" dxfId="40" priority="518" operator="equal">
      <formula>$U$1</formula>
    </cfRule>
    <cfRule type="cellIs" dxfId="39" priority="519" operator="equal">
      <formula>$S$1</formula>
    </cfRule>
  </conditionalFormatting>
  <conditionalFormatting sqref="D56">
    <cfRule type="cellIs" dxfId="38" priority="516" operator="equal">
      <formula>$S$1</formula>
    </cfRule>
    <cfRule type="cellIs" dxfId="37" priority="517" operator="equal">
      <formula>$U$1</formula>
    </cfRule>
  </conditionalFormatting>
  <conditionalFormatting sqref="C31">
    <cfRule type="cellIs" dxfId="36" priority="514" operator="equal">
      <formula>$U$1</formula>
    </cfRule>
    <cfRule type="cellIs" dxfId="35" priority="515" operator="equal">
      <formula>$S$1</formula>
    </cfRule>
  </conditionalFormatting>
  <conditionalFormatting sqref="D31">
    <cfRule type="cellIs" dxfId="34" priority="512" operator="equal">
      <formula>$S$1</formula>
    </cfRule>
    <cfRule type="cellIs" dxfId="33" priority="51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9" zoomScale="90" zoomScaleNormal="90" workbookViewId="0">
      <pane xSplit="4" topLeftCell="E1" activePane="topRight" state="frozen"/>
      <selection activeCell="A109" sqref="A109"/>
      <selection pane="topRight" activeCell="P145" sqref="P145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5" x14ac:dyDescent="0.25">
      <c r="A97" s="30">
        <v>334.92980349556137</v>
      </c>
      <c r="E97"/>
    </row>
    <row r="98" spans="1:5" x14ac:dyDescent="0.25">
      <c r="A98" s="30">
        <v>304.48163954141938</v>
      </c>
      <c r="C98" s="1" t="s">
        <v>13</v>
      </c>
      <c r="E98"/>
    </row>
    <row r="99" spans="1:5" x14ac:dyDescent="0.25">
      <c r="A99" s="30">
        <v>276.80149049219943</v>
      </c>
      <c r="C99" s="1">
        <f>C88</f>
        <v>0</v>
      </c>
      <c r="E99"/>
    </row>
    <row r="100" spans="1:5" x14ac:dyDescent="0.25">
      <c r="A100" s="30">
        <v>251.63771862927217</v>
      </c>
      <c r="C100"/>
      <c r="D100"/>
      <c r="E100"/>
    </row>
    <row r="101" spans="1:5" x14ac:dyDescent="0.25">
      <c r="A101" s="30">
        <v>228.76156239024741</v>
      </c>
      <c r="C101" s="1" t="s">
        <v>14</v>
      </c>
      <c r="E101"/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189.05914247127882</v>
      </c>
      <c r="E103"/>
    </row>
    <row r="104" spans="1:5" x14ac:dyDescent="0.25">
      <c r="A104" s="30">
        <v>171.87194770116255</v>
      </c>
      <c r="E104"/>
    </row>
    <row r="105" spans="1:5" x14ac:dyDescent="0.25">
      <c r="A105" s="30">
        <v>156.24722518287504</v>
      </c>
      <c r="E105"/>
    </row>
    <row r="106" spans="1:5" x14ac:dyDescent="0.25">
      <c r="A106" s="30">
        <v>142.04293198443185</v>
      </c>
      <c r="E106"/>
    </row>
    <row r="107" spans="1:5" x14ac:dyDescent="0.25">
      <c r="A107" s="30">
        <v>129.1299381676653</v>
      </c>
      <c r="E107"/>
    </row>
    <row r="108" spans="1:5" x14ac:dyDescent="0.25">
      <c r="A108" s="30">
        <v>117.39085287969573</v>
      </c>
      <c r="E108"/>
    </row>
    <row r="109" spans="1:5" x14ac:dyDescent="0.25">
      <c r="A109" s="30">
        <v>106.71895716335975</v>
      </c>
      <c r="E109"/>
    </row>
    <row r="110" spans="1:5" x14ac:dyDescent="0.25">
      <c r="A110" s="30">
        <v>97.017233784872488</v>
      </c>
      <c r="E110"/>
    </row>
    <row r="111" spans="1:5" x14ac:dyDescent="0.25">
      <c r="A111" s="30">
        <v>88.197485258974979</v>
      </c>
      <c r="C111" s="1" t="str">
        <f>ADDRESS(C121-1,1,1,1)</f>
        <v>$A$144</v>
      </c>
      <c r="D111" s="1" t="str">
        <f>ADDRESS(C121-1,D121,1,1)</f>
        <v>$P$144</v>
      </c>
      <c r="E111"/>
    </row>
    <row r="112" spans="1:5" x14ac:dyDescent="0.25">
      <c r="A112" s="30">
        <v>80.179532053613613</v>
      </c>
      <c r="C112" s="1" t="str">
        <f>ADDRESS(C121,1,1,1)</f>
        <v>$A$145</v>
      </c>
      <c r="D112" s="1" t="str">
        <f>ADDRESS(C121,D121-1,1,1)</f>
        <v>$O$145</v>
      </c>
      <c r="E112"/>
    </row>
    <row r="113" spans="1:5" x14ac:dyDescent="0.25">
      <c r="A113" s="30">
        <v>72.890483685103277</v>
      </c>
      <c r="C113" s="1" t="str">
        <f>ADDRESS(C121+1,1,1,1)</f>
        <v>$A$146</v>
      </c>
      <c r="D113" s="1" t="str">
        <f>ADDRESS(C121-1,D121+1,1,1)</f>
        <v>$Q$144</v>
      </c>
    </row>
    <row r="114" spans="1:5" x14ac:dyDescent="0.25">
      <c r="A114" s="30">
        <v>66.26407607736661</v>
      </c>
      <c r="C114" s="1" t="str">
        <f>ADDRESS(C121,D121,1,1)</f>
        <v>$P$145</v>
      </c>
      <c r="D114" s="1" t="str">
        <f>ADDRESS(C121+1,D121+1,1,1)</f>
        <v>$Q$146</v>
      </c>
    </row>
    <row r="115" spans="1:5" x14ac:dyDescent="0.25">
      <c r="A115" s="30">
        <v>60.240069161242367</v>
      </c>
      <c r="C115" s="1" t="str">
        <f>ADDRESS(C121+1,D121,1,1)</f>
        <v>$P$146</v>
      </c>
    </row>
    <row r="116" spans="1:5" x14ac:dyDescent="0.25">
      <c r="A116" s="30">
        <v>54.763699237493057</v>
      </c>
      <c r="C116" s="1">
        <f>C117-1</f>
        <v>144</v>
      </c>
    </row>
    <row r="117" spans="1:5" x14ac:dyDescent="0.25">
      <c r="A117" s="30">
        <v>49.785181124993684</v>
      </c>
      <c r="C117" s="1">
        <f>C121</f>
        <v>145</v>
      </c>
      <c r="D117" s="1">
        <f>D121</f>
        <v>16</v>
      </c>
    </row>
    <row r="118" spans="1:5" x14ac:dyDescent="0.25">
      <c r="A118" s="30">
        <v>45.259255568176073</v>
      </c>
      <c r="C118" s="1">
        <f>C117+1</f>
        <v>146</v>
      </c>
      <c r="D118" s="1">
        <f>D117+1</f>
        <v>17</v>
      </c>
    </row>
    <row r="119" spans="1:5" x14ac:dyDescent="0.25">
      <c r="A119" s="30">
        <v>41.144777789250973</v>
      </c>
    </row>
    <row r="120" spans="1:5" x14ac:dyDescent="0.25">
      <c r="A120" s="30">
        <v>37.404343444773609</v>
      </c>
      <c r="C120" s="1" t="s">
        <v>9</v>
      </c>
    </row>
    <row r="121" spans="1:5" x14ac:dyDescent="0.25">
      <c r="A121" s="30">
        <v>34.003948586157826</v>
      </c>
      <c r="C121" s="18">
        <v>145</v>
      </c>
      <c r="D121" s="19">
        <v>16</v>
      </c>
      <c r="E121" s="18"/>
    </row>
    <row r="122" spans="1:5" x14ac:dyDescent="0.25">
      <c r="A122" s="30">
        <v>30.912680532870748</v>
      </c>
      <c r="C122" s="1" t="str">
        <f>INDEX(1:1048576,C117,D117)</f>
        <v>O</v>
      </c>
    </row>
    <row r="123" spans="1:5" x14ac:dyDescent="0.25">
      <c r="A123" s="30">
        <v>28.102436848064315</v>
      </c>
      <c r="C123" s="1" t="str">
        <f>"R"&amp;C121</f>
        <v>R145</v>
      </c>
      <c r="D123" s="1" t="str">
        <f>"C"&amp;D121</f>
        <v>C16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23.225154419887861</v>
      </c>
    </row>
    <row r="126" spans="1:5" x14ac:dyDescent="0.25">
      <c r="A126" s="30">
        <v>21.113776745352599</v>
      </c>
      <c r="C126" s="1" t="s">
        <v>10</v>
      </c>
    </row>
    <row r="127" spans="1:5" x14ac:dyDescent="0.25">
      <c r="A127" s="30">
        <v>19.194342495775089</v>
      </c>
      <c r="C127" s="30">
        <v>3.4522712143931042</v>
      </c>
      <c r="D127"/>
    </row>
    <row r="128" spans="1:5" x14ac:dyDescent="0.25">
      <c r="A128" s="30">
        <v>17.449402268886445</v>
      </c>
      <c r="E128" s="1" t="s">
        <v>8</v>
      </c>
    </row>
    <row r="129" spans="1:16" x14ac:dyDescent="0.25">
      <c r="A129" s="30">
        <v>15.863092971714948</v>
      </c>
      <c r="C129" s="1" t="s">
        <v>11</v>
      </c>
      <c r="D129" s="1" t="s">
        <v>12</v>
      </c>
      <c r="E129" t="s">
        <v>8</v>
      </c>
      <c r="F129" s="27" t="s">
        <v>7</v>
      </c>
      <c r="K129" s="27" t="s">
        <v>8</v>
      </c>
    </row>
    <row r="130" spans="1:16" x14ac:dyDescent="0.25">
      <c r="A130" s="30">
        <v>14.420993610649951</v>
      </c>
      <c r="C130" s="6"/>
      <c r="D130" s="6"/>
      <c r="E130" t="s">
        <v>8</v>
      </c>
      <c r="F130" s="27" t="s">
        <v>7</v>
      </c>
      <c r="G130" s="27" t="s">
        <v>8</v>
      </c>
      <c r="I130" s="27" t="s">
        <v>8</v>
      </c>
      <c r="K130" s="27" t="s">
        <v>8</v>
      </c>
      <c r="L130" s="27" t="s">
        <v>7</v>
      </c>
    </row>
    <row r="131" spans="1:16" x14ac:dyDescent="0.25">
      <c r="A131" s="30">
        <v>13.109994191499954</v>
      </c>
      <c r="E131" t="s">
        <v>8</v>
      </c>
      <c r="F131" s="27" t="s">
        <v>7</v>
      </c>
      <c r="G131" s="27" t="s">
        <v>8</v>
      </c>
      <c r="H131" s="27" t="s">
        <v>7</v>
      </c>
      <c r="I131" s="27" t="s">
        <v>8</v>
      </c>
      <c r="J131" s="27" t="s">
        <v>7</v>
      </c>
      <c r="K131" s="27" t="s">
        <v>8</v>
      </c>
      <c r="L131" s="27" t="s">
        <v>7</v>
      </c>
      <c r="O131" s="27" t="s">
        <v>8</v>
      </c>
    </row>
    <row r="132" spans="1:16" x14ac:dyDescent="0.25">
      <c r="A132" s="30">
        <v>11.918176537727231</v>
      </c>
      <c r="C132" s="1" t="s">
        <v>13</v>
      </c>
      <c r="E132" t="s">
        <v>8</v>
      </c>
      <c r="F132" s="27" t="s">
        <v>7</v>
      </c>
      <c r="G132" s="27" t="s">
        <v>8</v>
      </c>
      <c r="H132" s="27" t="s">
        <v>7</v>
      </c>
      <c r="I132" s="27" t="s">
        <v>8</v>
      </c>
      <c r="J132" s="27" t="s">
        <v>7</v>
      </c>
      <c r="K132" s="27" t="s">
        <v>8</v>
      </c>
      <c r="L132" s="27" t="s">
        <v>7</v>
      </c>
      <c r="M132" s="27" t="s">
        <v>8</v>
      </c>
      <c r="O132" s="27" t="s">
        <v>8</v>
      </c>
      <c r="P132" s="27" t="s">
        <v>7</v>
      </c>
    </row>
    <row r="133" spans="1:16" x14ac:dyDescent="0.25">
      <c r="A133" s="30">
        <v>10.834705943388391</v>
      </c>
      <c r="C133" s="1" t="str">
        <f>C122</f>
        <v>O</v>
      </c>
      <c r="E133" t="s">
        <v>8</v>
      </c>
      <c r="F133" s="27" t="s">
        <v>7</v>
      </c>
      <c r="H133" s="27" t="s">
        <v>7</v>
      </c>
      <c r="J133" s="27" t="s">
        <v>7</v>
      </c>
      <c r="L133" s="27" t="s">
        <v>7</v>
      </c>
      <c r="M133" s="27" t="s">
        <v>8</v>
      </c>
      <c r="N133" s="27" t="s">
        <v>7</v>
      </c>
      <c r="O133" s="27" t="s">
        <v>8</v>
      </c>
      <c r="P133" s="27" t="s">
        <v>7</v>
      </c>
    </row>
    <row r="134" spans="1:16" x14ac:dyDescent="0.25">
      <c r="A134" s="30">
        <v>9.849732675807628</v>
      </c>
      <c r="C134"/>
      <c r="D134"/>
      <c r="E134" t="s">
        <v>8</v>
      </c>
      <c r="L134" s="27" t="s">
        <v>7</v>
      </c>
      <c r="M134" s="27" t="s">
        <v>8</v>
      </c>
      <c r="N134" s="27" t="s">
        <v>7</v>
      </c>
      <c r="O134" s="27" t="s">
        <v>8</v>
      </c>
      <c r="P134" s="27" t="s">
        <v>7</v>
      </c>
    </row>
    <row r="135" spans="1:16" x14ac:dyDescent="0.25">
      <c r="A135" s="30">
        <v>8.9543024325523888</v>
      </c>
      <c r="C135" s="1" t="s">
        <v>14</v>
      </c>
      <c r="E135" t="s">
        <v>8</v>
      </c>
      <c r="L135" s="27" t="s">
        <v>7</v>
      </c>
      <c r="N135" s="27" t="s">
        <v>7</v>
      </c>
      <c r="P135" s="27" t="s">
        <v>7</v>
      </c>
    </row>
    <row r="136" spans="1:16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 t="s">
        <v>8</v>
      </c>
      <c r="P136" s="27" t="s">
        <v>7</v>
      </c>
    </row>
    <row r="137" spans="1:16" x14ac:dyDescent="0.25">
      <c r="A137" s="30">
        <v>7.4002499442581717</v>
      </c>
      <c r="E137" t="s">
        <v>8</v>
      </c>
      <c r="P137" s="27" t="s">
        <v>7</v>
      </c>
    </row>
    <row r="138" spans="1:16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 t="s">
        <v>8</v>
      </c>
      <c r="P138" s="27" t="s">
        <v>7</v>
      </c>
    </row>
    <row r="139" spans="1:16" x14ac:dyDescent="0.25">
      <c r="A139" s="30">
        <v>6.1159090448414632</v>
      </c>
      <c r="E139" t="s">
        <v>8</v>
      </c>
      <c r="P139" s="27" t="s">
        <v>7</v>
      </c>
    </row>
    <row r="140" spans="1:16" x14ac:dyDescent="0.25">
      <c r="A140" s="30">
        <v>5.5599173134922388</v>
      </c>
      <c r="C140" s="1">
        <v>0</v>
      </c>
      <c r="E140" t="s">
        <v>8</v>
      </c>
      <c r="P140" s="27" t="s">
        <v>7</v>
      </c>
    </row>
    <row r="141" spans="1:16" x14ac:dyDescent="0.25">
      <c r="A141" s="30">
        <v>5.0544702849929442</v>
      </c>
      <c r="C141" s="1">
        <v>1</v>
      </c>
      <c r="E141" t="s">
        <v>8</v>
      </c>
      <c r="P141" s="27" t="s">
        <v>7</v>
      </c>
    </row>
    <row r="142" spans="1:16" x14ac:dyDescent="0.25">
      <c r="A142" s="30">
        <v>4.594972986357222</v>
      </c>
      <c r="C142" s="1">
        <v>2</v>
      </c>
      <c r="E142" t="s">
        <v>8</v>
      </c>
      <c r="P142" s="27" t="s">
        <v>7</v>
      </c>
    </row>
    <row r="143" spans="1:16" x14ac:dyDescent="0.25">
      <c r="A143" s="30">
        <v>4.1772481694156562</v>
      </c>
      <c r="C143" s="1">
        <v>3</v>
      </c>
      <c r="E143" t="s">
        <v>8</v>
      </c>
      <c r="P143" s="27" t="s">
        <v>7</v>
      </c>
    </row>
    <row r="144" spans="1:16" x14ac:dyDescent="0.25">
      <c r="A144" s="30">
        <v>3.7974983358324148</v>
      </c>
      <c r="C144" s="1">
        <v>4</v>
      </c>
      <c r="E144" t="s">
        <v>8</v>
      </c>
      <c r="P144" s="27" t="s">
        <v>7</v>
      </c>
    </row>
    <row r="145" spans="1:16" x14ac:dyDescent="0.25">
      <c r="A145" s="30">
        <v>3.4522712143931042</v>
      </c>
      <c r="B145"/>
      <c r="C145"/>
      <c r="D145"/>
      <c r="E145" t="s">
        <v>8</v>
      </c>
      <c r="P145" s="27" t="s">
        <v>7</v>
      </c>
    </row>
    <row r="146" spans="1:16" x14ac:dyDescent="0.25">
      <c r="A146" s="30">
        <v>3.1384283767210035</v>
      </c>
      <c r="B146"/>
      <c r="C146"/>
      <c r="D146"/>
      <c r="E146" t="s">
        <v>8</v>
      </c>
    </row>
    <row r="147" spans="1:16" x14ac:dyDescent="0.25">
      <c r="A147" s="30">
        <v>2.8531167061100029</v>
      </c>
      <c r="B147"/>
      <c r="C147"/>
      <c r="D147"/>
      <c r="E147" t="s">
        <v>8</v>
      </c>
    </row>
    <row r="148" spans="1:16" x14ac:dyDescent="0.25">
      <c r="A148" s="30">
        <v>2.5937424601000023</v>
      </c>
      <c r="B148"/>
      <c r="C148"/>
      <c r="D148"/>
      <c r="E148" t="s">
        <v>8</v>
      </c>
    </row>
    <row r="149" spans="1:16" x14ac:dyDescent="0.25">
      <c r="A149" s="30">
        <v>2.3579476910000019</v>
      </c>
      <c r="B149"/>
      <c r="C149"/>
      <c r="D149"/>
      <c r="E149" t="s">
        <v>8</v>
      </c>
    </row>
    <row r="150" spans="1:16" x14ac:dyDescent="0.25">
      <c r="A150" s="30">
        <v>2.1435888100000016</v>
      </c>
      <c r="B150"/>
      <c r="C150"/>
      <c r="D150"/>
      <c r="E150" t="s">
        <v>8</v>
      </c>
    </row>
    <row r="151" spans="1:16" x14ac:dyDescent="0.25">
      <c r="A151" s="30">
        <v>1.9487171000000014</v>
      </c>
      <c r="B151"/>
      <c r="C151"/>
      <c r="D151"/>
      <c r="E151" t="s">
        <v>8</v>
      </c>
    </row>
    <row r="152" spans="1:16" x14ac:dyDescent="0.25">
      <c r="A152" s="30">
        <v>1.7715610000000011</v>
      </c>
      <c r="B152"/>
      <c r="C152"/>
      <c r="D152"/>
      <c r="E152" t="s">
        <v>8</v>
      </c>
    </row>
    <row r="153" spans="1:16" x14ac:dyDescent="0.25">
      <c r="A153" s="30">
        <v>1.6105100000000008</v>
      </c>
      <c r="B153"/>
      <c r="C153"/>
      <c r="D153"/>
      <c r="E153" t="s">
        <v>8</v>
      </c>
    </row>
    <row r="154" spans="1:16" x14ac:dyDescent="0.25">
      <c r="A154" s="30">
        <v>1.4641000000000006</v>
      </c>
      <c r="B154"/>
      <c r="C154"/>
      <c r="D154"/>
      <c r="E154" t="s">
        <v>8</v>
      </c>
    </row>
    <row r="155" spans="1:16" x14ac:dyDescent="0.25">
      <c r="A155" s="30">
        <v>1.3310000000000004</v>
      </c>
      <c r="B155"/>
      <c r="C155"/>
      <c r="D155"/>
      <c r="E155" t="s">
        <v>8</v>
      </c>
    </row>
    <row r="156" spans="1:16" x14ac:dyDescent="0.25">
      <c r="A156" s="30">
        <v>1.2100000000000002</v>
      </c>
      <c r="B156"/>
      <c r="C156"/>
      <c r="D156"/>
      <c r="E156" t="s">
        <v>8</v>
      </c>
    </row>
    <row r="157" spans="1:16" x14ac:dyDescent="0.25">
      <c r="A157" s="30">
        <v>1.1000000000000001</v>
      </c>
      <c r="B157"/>
      <c r="C157"/>
      <c r="D157"/>
      <c r="E157" t="s">
        <v>8</v>
      </c>
    </row>
    <row r="158" spans="1:16" x14ac:dyDescent="0.25">
      <c r="A158" s="30">
        <v>1</v>
      </c>
      <c r="B158"/>
      <c r="C158"/>
      <c r="D158"/>
      <c r="E158" s="29" t="s">
        <v>8</v>
      </c>
    </row>
    <row r="159" spans="1:16" x14ac:dyDescent="0.25">
      <c r="A159" s="30">
        <v>0.90909090909090895</v>
      </c>
      <c r="B159"/>
      <c r="C159"/>
      <c r="D159"/>
      <c r="E159"/>
    </row>
    <row r="160" spans="1:16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531" operator="equal">
      <formula>$U$1</formula>
    </cfRule>
    <cfRule type="cellIs" dxfId="30" priority="532" operator="equal">
      <formula>$S$1</formula>
    </cfRule>
  </conditionalFormatting>
  <conditionalFormatting sqref="D136">
    <cfRule type="cellIs" dxfId="29" priority="529" operator="equal">
      <formula>$S$1</formula>
    </cfRule>
    <cfRule type="cellIs" dxfId="28" priority="530" operator="equal">
      <formula>$U$1</formula>
    </cfRule>
  </conditionalFormatting>
  <conditionalFormatting sqref="C102">
    <cfRule type="cellIs" dxfId="27" priority="527" operator="equal">
      <formula>$U$1</formula>
    </cfRule>
    <cfRule type="cellIs" dxfId="26" priority="528" operator="equal">
      <formula>$S$1</formula>
    </cfRule>
  </conditionalFormatting>
  <conditionalFormatting sqref="D102">
    <cfRule type="cellIs" dxfId="25" priority="525" operator="equal">
      <formula>$S$1</formula>
    </cfRule>
    <cfRule type="cellIs" dxfId="24" priority="526" operator="equal">
      <formula>$U$1</formula>
    </cfRule>
  </conditionalFormatting>
  <conditionalFormatting sqref="C77">
    <cfRule type="cellIs" dxfId="23" priority="523" operator="equal">
      <formula>$U$1</formula>
    </cfRule>
    <cfRule type="cellIs" dxfId="22" priority="524" operator="equal">
      <formula>$S$1</formula>
    </cfRule>
  </conditionalFormatting>
  <conditionalFormatting sqref="D77">
    <cfRule type="cellIs" dxfId="21" priority="521" operator="equal">
      <formula>$S$1</formula>
    </cfRule>
    <cfRule type="cellIs" dxfId="20" priority="522" operator="equal">
      <formula>$U$1</formula>
    </cfRule>
  </conditionalFormatting>
  <conditionalFormatting sqref="C52">
    <cfRule type="cellIs" dxfId="19" priority="519" operator="equal">
      <formula>$U$1</formula>
    </cfRule>
    <cfRule type="cellIs" dxfId="18" priority="520" operator="equal">
      <formula>$S$1</formula>
    </cfRule>
  </conditionalFormatting>
  <conditionalFormatting sqref="D52">
    <cfRule type="cellIs" dxfId="17" priority="517" operator="equal">
      <formula>$S$1</formula>
    </cfRule>
    <cfRule type="cellIs" dxfId="16" priority="518" operator="equal">
      <formula>$U$1</formula>
    </cfRule>
  </conditionalFormatting>
  <conditionalFormatting sqref="C26">
    <cfRule type="cellIs" dxfId="15" priority="515" operator="equal">
      <formula>$U$1</formula>
    </cfRule>
    <cfRule type="cellIs" dxfId="14" priority="516" operator="equal">
      <formula>$S$1</formula>
    </cfRule>
  </conditionalFormatting>
  <conditionalFormatting sqref="D26">
    <cfRule type="cellIs" dxfId="13" priority="513" operator="equal">
      <formula>$S$1</formula>
    </cfRule>
    <cfRule type="cellIs" dxfId="12" priority="51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sheetPr codeName="Sheet8"/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table (1)</vt:lpstr>
      <vt:lpstr>1%</vt:lpstr>
      <vt:lpstr>2%</vt:lpstr>
      <vt:lpstr>5%</vt:lpstr>
      <vt:lpstr>10%</vt:lpstr>
      <vt:lpstr>Sheet1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2022-01-28T01:20:37Z</dcterms:modified>
</cp:coreProperties>
</file>