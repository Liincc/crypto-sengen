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8FEAC16-4775-493B-A301-12DA5605A3B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118" i="4"/>
  <c r="C122" i="4"/>
  <c r="C133" i="4" s="1"/>
  <c r="C2" i="1" l="1"/>
  <c r="D2" i="1"/>
  <c r="C116" i="5"/>
  <c r="C122" i="3"/>
  <c r="C133" i="3" s="1"/>
  <c r="C136" i="3" s="1"/>
  <c r="C136" i="5"/>
  <c r="D136" i="5"/>
  <c r="D136" i="4"/>
  <c r="C136" i="4"/>
  <c r="C116" i="3"/>
  <c r="C118" i="3"/>
  <c r="R1194" i="1"/>
  <c r="D136" i="3" l="1"/>
  <c r="C138" i="3" s="1"/>
  <c r="C138" i="5"/>
  <c r="C138" i="4"/>
  <c r="R1193" i="1"/>
  <c r="S1194" i="1"/>
  <c r="T1194" i="1" s="1"/>
  <c r="R1192" i="1" l="1"/>
  <c r="S1193" i="1"/>
  <c r="T1193" i="1" s="1"/>
  <c r="R1191" i="1" l="1"/>
  <c r="S1192" i="1"/>
  <c r="T1192" i="1" s="1"/>
  <c r="R1190" i="1" l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R1111" i="1" l="1"/>
  <c r="S1112" i="1"/>
  <c r="T1112" i="1" s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<sst xmlns="http://schemas.openxmlformats.org/spreadsheetml/2006/main" count="8390" uniqueCount="34">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</sst>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0.6038</c:v>
                </c:pt>
                <c:pt idx="1">
                  <c:v>0.61929999999999996</c:v>
                </c:pt>
                <c:pt idx="2">
                  <c:v>0.61799999999999999</c:v>
                </c:pt>
                <c:pt idx="3">
                  <c:v>0.61180000000000001</c:v>
                </c:pt>
                <c:pt idx="4">
                  <c:v>0.62829999999999997</c:v>
                </c:pt>
                <c:pt idx="5">
                  <c:v>0.59660000000000002</c:v>
                </c:pt>
                <c:pt idx="6">
                  <c:v>0.63680000000000003</c:v>
                </c:pt>
                <c:pt idx="7">
                  <c:v>0.71989999999999998</c:v>
                </c:pt>
                <c:pt idx="8">
                  <c:v>0.73809999999999998</c:v>
                </c:pt>
                <c:pt idx="9">
                  <c:v>0.75080000000000002</c:v>
                </c:pt>
                <c:pt idx="10">
                  <c:v>0.76170000000000004</c:v>
                </c:pt>
                <c:pt idx="11">
                  <c:v>0.77839999999999998</c:v>
                </c:pt>
                <c:pt idx="12">
                  <c:v>0.77910000000000001</c:v>
                </c:pt>
                <c:pt idx="13">
                  <c:v>0.7732</c:v>
                </c:pt>
                <c:pt idx="14">
                  <c:v>0.76800000000000002</c:v>
                </c:pt>
                <c:pt idx="15">
                  <c:v>0.79869999999999997</c:v>
                </c:pt>
                <c:pt idx="16">
                  <c:v>0.77029999999999998</c:v>
                </c:pt>
                <c:pt idx="17">
                  <c:v>0.7399</c:v>
                </c:pt>
                <c:pt idx="18">
                  <c:v>0.753</c:v>
                </c:pt>
                <c:pt idx="19">
                  <c:v>0.74519999999999997</c:v>
                </c:pt>
                <c:pt idx="20">
                  <c:v>0.76339999999999997</c:v>
                </c:pt>
                <c:pt idx="21">
                  <c:v>0.77910000000000001</c:v>
                </c:pt>
                <c:pt idx="22">
                  <c:v>0.77259999999999995</c:v>
                </c:pt>
                <c:pt idx="23">
                  <c:v>0.82279999999999998</c:v>
                </c:pt>
                <c:pt idx="24">
                  <c:v>0.83240000000000003</c:v>
                </c:pt>
                <c:pt idx="25">
                  <c:v>0.85860000000000003</c:v>
                </c:pt>
                <c:pt idx="26">
                  <c:v>0.85070000000000001</c:v>
                </c:pt>
                <c:pt idx="27">
                  <c:v>0.82969999999999999</c:v>
                </c:pt>
                <c:pt idx="28">
                  <c:v>0.83860000000000001</c:v>
                </c:pt>
                <c:pt idx="29">
                  <c:v>0.81710000000000005</c:v>
                </c:pt>
                <c:pt idx="30">
                  <c:v>0.85150000000000003</c:v>
                </c:pt>
                <c:pt idx="31">
                  <c:v>0.92689999999999995</c:v>
                </c:pt>
                <c:pt idx="32">
                  <c:v>0.92</c:v>
                </c:pt>
                <c:pt idx="33">
                  <c:v>0.92520000000000002</c:v>
                </c:pt>
                <c:pt idx="34">
                  <c:v>0.91149999999999998</c:v>
                </c:pt>
                <c:pt idx="35">
                  <c:v>0.99409999999999998</c:v>
                </c:pt>
                <c:pt idx="36">
                  <c:v>0.95369999999999999</c:v>
                </c:pt>
                <c:pt idx="37">
                  <c:v>0.94669999999999999</c:v>
                </c:pt>
                <c:pt idx="38">
                  <c:v>0.87980000000000003</c:v>
                </c:pt>
                <c:pt idx="39">
                  <c:v>0.83499999999999996</c:v>
                </c:pt>
                <c:pt idx="40">
                  <c:v>0.82620000000000005</c:v>
                </c:pt>
                <c:pt idx="41">
                  <c:v>0.79659999999999997</c:v>
                </c:pt>
                <c:pt idx="42">
                  <c:v>0.80510000000000004</c:v>
                </c:pt>
                <c:pt idx="43">
                  <c:v>0.82620000000000005</c:v>
                </c:pt>
                <c:pt idx="44">
                  <c:v>0.81030000000000002</c:v>
                </c:pt>
                <c:pt idx="45">
                  <c:v>0.78180000000000005</c:v>
                </c:pt>
                <c:pt idx="46">
                  <c:v>0.83930000000000005</c:v>
                </c:pt>
                <c:pt idx="47">
                  <c:v>0.80759999999999998</c:v>
                </c:pt>
                <c:pt idx="48">
                  <c:v>0.79920000000000002</c:v>
                </c:pt>
                <c:pt idx="49">
                  <c:v>0.85829999999999995</c:v>
                </c:pt>
                <c:pt idx="50">
                  <c:v>0.86219999999999997</c:v>
                </c:pt>
                <c:pt idx="51">
                  <c:v>0.81540000000000001</c:v>
                </c:pt>
                <c:pt idx="52">
                  <c:v>0.82550000000000001</c:v>
                </c:pt>
                <c:pt idx="53">
                  <c:v>0.80449999999999999</c:v>
                </c:pt>
                <c:pt idx="54">
                  <c:v>0.84489999999999998</c:v>
                </c:pt>
                <c:pt idx="55">
                  <c:v>0.92110000000000003</c:v>
                </c:pt>
                <c:pt idx="56">
                  <c:v>0.97160000000000002</c:v>
                </c:pt>
                <c:pt idx="57">
                  <c:v>0.9899</c:v>
                </c:pt>
                <c:pt idx="58">
                  <c:v>0.99829999999999997</c:v>
                </c:pt>
                <c:pt idx="59">
                  <c:v>0.98980000000000001</c:v>
                </c:pt>
                <c:pt idx="60">
                  <c:v>0.96870000000000001</c:v>
                </c:pt>
                <c:pt idx="61">
                  <c:v>0.94520000000000004</c:v>
                </c:pt>
                <c:pt idx="62">
                  <c:v>0.93940000000000001</c:v>
                </c:pt>
                <c:pt idx="63">
                  <c:v>1.0438000000000001</c:v>
                </c:pt>
                <c:pt idx="64">
                  <c:v>1.0389999999999999</c:v>
                </c:pt>
                <c:pt idx="65">
                  <c:v>1.0661</c:v>
                </c:pt>
                <c:pt idx="66">
                  <c:v>1.0354000000000001</c:v>
                </c:pt>
                <c:pt idx="67">
                  <c:v>1.0569</c:v>
                </c:pt>
                <c:pt idx="68">
                  <c:v>1.0965</c:v>
                </c:pt>
                <c:pt idx="69">
                  <c:v>1.0891999999999999</c:v>
                </c:pt>
                <c:pt idx="70">
                  <c:v>1.0406</c:v>
                </c:pt>
                <c:pt idx="71">
                  <c:v>1.0952999999999999</c:v>
                </c:pt>
                <c:pt idx="72">
                  <c:v>1.0876999999999999</c:v>
                </c:pt>
                <c:pt idx="73">
                  <c:v>1.1719999999999999</c:v>
                </c:pt>
                <c:pt idx="74">
                  <c:v>1.1879</c:v>
                </c:pt>
                <c:pt idx="75">
                  <c:v>1.1892</c:v>
                </c:pt>
                <c:pt idx="76">
                  <c:v>1.1882999999999999</c:v>
                </c:pt>
                <c:pt idx="77">
                  <c:v>1.2141999999999999</c:v>
                </c:pt>
                <c:pt idx="78">
                  <c:v>1.1901999999999999</c:v>
                </c:pt>
                <c:pt idx="79">
                  <c:v>1.2571000000000001</c:v>
                </c:pt>
                <c:pt idx="80">
                  <c:v>1.2815000000000001</c:v>
                </c:pt>
                <c:pt idx="81">
                  <c:v>1.2198</c:v>
                </c:pt>
                <c:pt idx="82">
                  <c:v>1.151</c:v>
                </c:pt>
                <c:pt idx="83">
                  <c:v>1.1580999999999999</c:v>
                </c:pt>
                <c:pt idx="84">
                  <c:v>1.2003999999999999</c:v>
                </c:pt>
                <c:pt idx="85">
                  <c:v>1.2101</c:v>
                </c:pt>
                <c:pt idx="86">
                  <c:v>1.1349</c:v>
                </c:pt>
                <c:pt idx="87">
                  <c:v>1.0914999999999999</c:v>
                </c:pt>
                <c:pt idx="88">
                  <c:v>1.1128</c:v>
                </c:pt>
                <c:pt idx="89">
                  <c:v>1.0846</c:v>
                </c:pt>
                <c:pt idx="90">
                  <c:v>1.0825</c:v>
                </c:pt>
                <c:pt idx="91">
                  <c:v>1.0579000000000001</c:v>
                </c:pt>
                <c:pt idx="92">
                  <c:v>0.995</c:v>
                </c:pt>
                <c:pt idx="93">
                  <c:v>1.1074999999999999</c:v>
                </c:pt>
                <c:pt idx="94">
                  <c:v>1.0951</c:v>
                </c:pt>
                <c:pt idx="95">
                  <c:v>1.0821000000000001</c:v>
                </c:pt>
                <c:pt idx="96">
                  <c:v>1.0933999999999999</c:v>
                </c:pt>
                <c:pt idx="97">
                  <c:v>1.0885</c:v>
                </c:pt>
                <c:pt idx="98">
                  <c:v>1.0886</c:v>
                </c:pt>
                <c:pt idx="99">
                  <c:v>1.1455</c:v>
                </c:pt>
                <c:pt idx="100">
                  <c:v>1.0911</c:v>
                </c:pt>
                <c:pt idx="101">
                  <c:v>1.0827</c:v>
                </c:pt>
                <c:pt idx="102">
                  <c:v>1.0944</c:v>
                </c:pt>
                <c:pt idx="103">
                  <c:v>1.1343000000000001</c:v>
                </c:pt>
                <c:pt idx="104">
                  <c:v>1.1413</c:v>
                </c:pt>
                <c:pt idx="105">
                  <c:v>1.1335999999999999</c:v>
                </c:pt>
                <c:pt idx="106">
                  <c:v>1.1274999999999999</c:v>
                </c:pt>
                <c:pt idx="107">
                  <c:v>1.1017999999999999</c:v>
                </c:pt>
                <c:pt idx="108">
                  <c:v>1.1364000000000001</c:v>
                </c:pt>
                <c:pt idx="109">
                  <c:v>1.1352</c:v>
                </c:pt>
                <c:pt idx="110">
                  <c:v>1.1604000000000001</c:v>
                </c:pt>
                <c:pt idx="111">
                  <c:v>1.0636000000000001</c:v>
                </c:pt>
                <c:pt idx="112">
                  <c:v>1.0678000000000001</c:v>
                </c:pt>
                <c:pt idx="113">
                  <c:v>1.0765</c:v>
                </c:pt>
                <c:pt idx="114">
                  <c:v>1.0839000000000001</c:v>
                </c:pt>
                <c:pt idx="115">
                  <c:v>1.0584</c:v>
                </c:pt>
                <c:pt idx="116">
                  <c:v>1.0531999999999999</c:v>
                </c:pt>
                <c:pt idx="117">
                  <c:v>1.0359</c:v>
                </c:pt>
                <c:pt idx="118">
                  <c:v>1.0422</c:v>
                </c:pt>
                <c:pt idx="119">
                  <c:v>0.95330000000000004</c:v>
                </c:pt>
                <c:pt idx="120">
                  <c:v>0.92679999999999996</c:v>
                </c:pt>
                <c:pt idx="121">
                  <c:v>0.89280000000000004</c:v>
                </c:pt>
                <c:pt idx="122">
                  <c:v>0.92179999999999995</c:v>
                </c:pt>
                <c:pt idx="123">
                  <c:v>0.94359999999999999</c:v>
                </c:pt>
                <c:pt idx="124">
                  <c:v>0.94</c:v>
                </c:pt>
                <c:pt idx="125">
                  <c:v>0.94399999999999995</c:v>
                </c:pt>
                <c:pt idx="126">
                  <c:v>1.0016</c:v>
                </c:pt>
                <c:pt idx="127">
                  <c:v>1.0033000000000001</c:v>
                </c:pt>
                <c:pt idx="128">
                  <c:v>0.87429999999999997</c:v>
                </c:pt>
                <c:pt idx="129">
                  <c:v>0.95840000000000003</c:v>
                </c:pt>
                <c:pt idx="130">
                  <c:v>1.0483</c:v>
                </c:pt>
                <c:pt idx="131">
                  <c:v>1.0750999999999999</c:v>
                </c:pt>
                <c:pt idx="132">
                  <c:v>1.0661</c:v>
                </c:pt>
                <c:pt idx="133">
                  <c:v>1.0902000000000001</c:v>
                </c:pt>
                <c:pt idx="134">
                  <c:v>1.1207</c:v>
                </c:pt>
                <c:pt idx="135">
                  <c:v>1.0963000000000001</c:v>
                </c:pt>
                <c:pt idx="136">
                  <c:v>1.0643</c:v>
                </c:pt>
                <c:pt idx="137">
                  <c:v>1.1181000000000001</c:v>
                </c:pt>
                <c:pt idx="138">
                  <c:v>1.0787</c:v>
                </c:pt>
                <c:pt idx="139">
                  <c:v>1.0551999999999999</c:v>
                </c:pt>
                <c:pt idx="140">
                  <c:v>1.0868</c:v>
                </c:pt>
                <c:pt idx="141">
                  <c:v>1.0998000000000001</c:v>
                </c:pt>
                <c:pt idx="142">
                  <c:v>1.1292</c:v>
                </c:pt>
                <c:pt idx="143">
                  <c:v>1.3894</c:v>
                </c:pt>
                <c:pt idx="144">
                  <c:v>1.3076000000000001</c:v>
                </c:pt>
                <c:pt idx="145">
                  <c:v>1.2547999999999999</c:v>
                </c:pt>
                <c:pt idx="146">
                  <c:v>1.2907</c:v>
                </c:pt>
                <c:pt idx="147">
                  <c:v>1.2533000000000001</c:v>
                </c:pt>
                <c:pt idx="148">
                  <c:v>1.2362</c:v>
                </c:pt>
                <c:pt idx="149">
                  <c:v>1.1856</c:v>
                </c:pt>
                <c:pt idx="150">
                  <c:v>1.1002000000000001</c:v>
                </c:pt>
                <c:pt idx="151">
                  <c:v>1.1408</c:v>
                </c:pt>
                <c:pt idx="152">
                  <c:v>1.1458999999999999</c:v>
                </c:pt>
                <c:pt idx="153">
                  <c:v>1.1918</c:v>
                </c:pt>
                <c:pt idx="154">
                  <c:v>1.0711999999999999</c:v>
                </c:pt>
                <c:pt idx="155">
                  <c:v>1.1735</c:v>
                </c:pt>
                <c:pt idx="156">
                  <c:v>1.1353</c:v>
                </c:pt>
                <c:pt idx="157">
                  <c:v>1.2457</c:v>
                </c:pt>
                <c:pt idx="158">
                  <c:v>1.2388999999999999</c:v>
                </c:pt>
                <c:pt idx="159">
                  <c:v>1.2158</c:v>
                </c:pt>
                <c:pt idx="160">
                  <c:v>1.2628999999999999</c:v>
                </c:pt>
                <c:pt idx="161">
                  <c:v>1.2346999999999999</c:v>
                </c:pt>
                <c:pt idx="162">
                  <c:v>1.1431</c:v>
                </c:pt>
                <c:pt idx="163">
                  <c:v>1.0978000000000001</c:v>
                </c:pt>
                <c:pt idx="164">
                  <c:v>1.1855</c:v>
                </c:pt>
                <c:pt idx="165">
                  <c:v>1.2839</c:v>
                </c:pt>
                <c:pt idx="166">
                  <c:v>1.2790999999999999</c:v>
                </c:pt>
                <c:pt idx="167">
                  <c:v>1.0901000000000001</c:v>
                </c:pt>
                <c:pt idx="168">
                  <c:v>0.96599999999999997</c:v>
                </c:pt>
                <c:pt idx="169">
                  <c:v>1.0105</c:v>
                </c:pt>
                <c:pt idx="170">
                  <c:v>0.85109999999999997</c:v>
                </c:pt>
                <c:pt idx="171">
                  <c:v>0.81699999999999995</c:v>
                </c:pt>
                <c:pt idx="172">
                  <c:v>0.77880000000000005</c:v>
                </c:pt>
                <c:pt idx="173">
                  <c:v>0.81620000000000004</c:v>
                </c:pt>
                <c:pt idx="174">
                  <c:v>0.74739999999999995</c:v>
                </c:pt>
                <c:pt idx="175">
                  <c:v>0.73270000000000002</c:v>
                </c:pt>
                <c:pt idx="176">
                  <c:v>0.73099999999999998</c:v>
                </c:pt>
                <c:pt idx="177">
                  <c:v>0.71360000000000001</c:v>
                </c:pt>
                <c:pt idx="178">
                  <c:v>0.73799999999999999</c:v>
                </c:pt>
                <c:pt idx="179">
                  <c:v>0.72419999999999995</c:v>
                </c:pt>
                <c:pt idx="180">
                  <c:v>0.746</c:v>
                </c:pt>
                <c:pt idx="181">
                  <c:v>0.75209999999999999</c:v>
                </c:pt>
                <c:pt idx="182">
                  <c:v>0.74880000000000002</c:v>
                </c:pt>
                <c:pt idx="183">
                  <c:v>0.73270000000000002</c:v>
                </c:pt>
                <c:pt idx="184">
                  <c:v>0.64510000000000001</c:v>
                </c:pt>
                <c:pt idx="185">
                  <c:v>0.62339999999999995</c:v>
                </c:pt>
                <c:pt idx="186">
                  <c:v>0.6069</c:v>
                </c:pt>
                <c:pt idx="187">
                  <c:v>0.60850000000000004</c:v>
                </c:pt>
                <c:pt idx="188">
                  <c:v>0.60909999999999997</c:v>
                </c:pt>
                <c:pt idx="189">
                  <c:v>0.59199999999999997</c:v>
                </c:pt>
                <c:pt idx="190">
                  <c:v>0.57189999999999996</c:v>
                </c:pt>
                <c:pt idx="191">
                  <c:v>0.52839999999999998</c:v>
                </c:pt>
                <c:pt idx="192">
                  <c:v>0.55700000000000005</c:v>
                </c:pt>
                <c:pt idx="193">
                  <c:v>0.58660000000000001</c:v>
                </c:pt>
                <c:pt idx="194">
                  <c:v>0.58209999999999995</c:v>
                </c:pt>
                <c:pt idx="195">
                  <c:v>0.58930000000000005</c:v>
                </c:pt>
                <c:pt idx="196">
                  <c:v>0.59789999999999999</c:v>
                </c:pt>
                <c:pt idx="197">
                  <c:v>0.61970000000000003</c:v>
                </c:pt>
                <c:pt idx="198">
                  <c:v>0.61919999999999997</c:v>
                </c:pt>
                <c:pt idx="199">
                  <c:v>0.62880000000000003</c:v>
                </c:pt>
                <c:pt idx="200">
                  <c:v>0.63639999999999997</c:v>
                </c:pt>
                <c:pt idx="201">
                  <c:v>0.62460000000000004</c:v>
                </c:pt>
                <c:pt idx="202">
                  <c:v>0.63690000000000002</c:v>
                </c:pt>
                <c:pt idx="203">
                  <c:v>0.62150000000000005</c:v>
                </c:pt>
                <c:pt idx="204">
                  <c:v>0.6522</c:v>
                </c:pt>
                <c:pt idx="205">
                  <c:v>0.66479999999999995</c:v>
                </c:pt>
                <c:pt idx="206">
                  <c:v>0.65259999999999996</c:v>
                </c:pt>
                <c:pt idx="207">
                  <c:v>0.69599999999999995</c:v>
                </c:pt>
                <c:pt idx="208">
                  <c:v>0.67320000000000002</c:v>
                </c:pt>
                <c:pt idx="209">
                  <c:v>0.65559999999999996</c:v>
                </c:pt>
                <c:pt idx="210">
                  <c:v>0.65910000000000002</c:v>
                </c:pt>
                <c:pt idx="211">
                  <c:v>0.70630000000000004</c:v>
                </c:pt>
                <c:pt idx="212">
                  <c:v>0.70630000000000004</c:v>
                </c:pt>
                <c:pt idx="213">
                  <c:v>0.64439999999999997</c:v>
                </c:pt>
                <c:pt idx="214">
                  <c:v>0.64839999999999998</c:v>
                </c:pt>
                <c:pt idx="215">
                  <c:v>0.61619999999999997</c:v>
                </c:pt>
                <c:pt idx="216">
                  <c:v>0.61109999999999998</c:v>
                </c:pt>
                <c:pt idx="217">
                  <c:v>0.67310000000000003</c:v>
                </c:pt>
                <c:pt idx="218">
                  <c:v>0.63829999999999998</c:v>
                </c:pt>
                <c:pt idx="219">
                  <c:v>0.54679999999999995</c:v>
                </c:pt>
                <c:pt idx="220">
                  <c:v>0.60670000000000002</c:v>
                </c:pt>
                <c:pt idx="221">
                  <c:v>0.77410000000000001</c:v>
                </c:pt>
                <c:pt idx="222">
                  <c:v>0.75819999999999999</c:v>
                </c:pt>
                <c:pt idx="223">
                  <c:v>0.79720000000000002</c:v>
                </c:pt>
                <c:pt idx="224">
                  <c:v>0.84189999999999998</c:v>
                </c:pt>
                <c:pt idx="225">
                  <c:v>0.83199999999999996</c:v>
                </c:pt>
                <c:pt idx="226">
                  <c:v>0.86629999999999996</c:v>
                </c:pt>
                <c:pt idx="227">
                  <c:v>0.89059999999999995</c:v>
                </c:pt>
                <c:pt idx="228">
                  <c:v>0.88319999999999999</c:v>
                </c:pt>
                <c:pt idx="229">
                  <c:v>0.83260000000000001</c:v>
                </c:pt>
                <c:pt idx="230">
                  <c:v>0.84709999999999996</c:v>
                </c:pt>
                <c:pt idx="231">
                  <c:v>0.86860000000000004</c:v>
                </c:pt>
                <c:pt idx="232">
                  <c:v>0.92179999999999995</c:v>
                </c:pt>
                <c:pt idx="233">
                  <c:v>0.87309999999999999</c:v>
                </c:pt>
                <c:pt idx="234">
                  <c:v>0.86180000000000001</c:v>
                </c:pt>
                <c:pt idx="235">
                  <c:v>0.94699999999999995</c:v>
                </c:pt>
                <c:pt idx="236">
                  <c:v>0.92300000000000004</c:v>
                </c:pt>
                <c:pt idx="237">
                  <c:v>0.96830000000000005</c:v>
                </c:pt>
                <c:pt idx="238">
                  <c:v>1.0449999999999999</c:v>
                </c:pt>
                <c:pt idx="239">
                  <c:v>1.0241</c:v>
                </c:pt>
                <c:pt idx="240">
                  <c:v>1.0107999999999999</c:v>
                </c:pt>
                <c:pt idx="241">
                  <c:v>1.0408999999999999</c:v>
                </c:pt>
                <c:pt idx="242">
                  <c:v>0.90580000000000005</c:v>
                </c:pt>
                <c:pt idx="243">
                  <c:v>0.83179999999999998</c:v>
                </c:pt>
                <c:pt idx="244">
                  <c:v>0.89849999999999997</c:v>
                </c:pt>
                <c:pt idx="245">
                  <c:v>0.97470000000000001</c:v>
                </c:pt>
                <c:pt idx="246">
                  <c:v>1.0316000000000001</c:v>
                </c:pt>
                <c:pt idx="247">
                  <c:v>0.97460000000000002</c:v>
                </c:pt>
                <c:pt idx="248">
                  <c:v>0.99299999999999999</c:v>
                </c:pt>
                <c:pt idx="249">
                  <c:v>0.78979999999999995</c:v>
                </c:pt>
                <c:pt idx="250">
                  <c:v>0.9052</c:v>
                </c:pt>
                <c:pt idx="251">
                  <c:v>1.0062</c:v>
                </c:pt>
                <c:pt idx="252">
                  <c:v>1.1795</c:v>
                </c:pt>
                <c:pt idx="253">
                  <c:v>1.0568</c:v>
                </c:pt>
                <c:pt idx="254">
                  <c:v>1.5889</c:v>
                </c:pt>
                <c:pt idx="255">
                  <c:v>1.4945999999999999</c:v>
                </c:pt>
                <c:pt idx="256">
                  <c:v>1.4496</c:v>
                </c:pt>
                <c:pt idx="257">
                  <c:v>1.4903999999999999</c:v>
                </c:pt>
                <c:pt idx="258">
                  <c:v>1.4</c:v>
                </c:pt>
                <c:pt idx="259">
                  <c:v>1.3640000000000001</c:v>
                </c:pt>
                <c:pt idx="260">
                  <c:v>1.2690999999999999</c:v>
                </c:pt>
                <c:pt idx="261">
                  <c:v>1.4785999999999999</c:v>
                </c:pt>
                <c:pt idx="262">
                  <c:v>1.3906000000000001</c:v>
                </c:pt>
                <c:pt idx="263">
                  <c:v>1.5345</c:v>
                </c:pt>
                <c:pt idx="264">
                  <c:v>1.5610999999999999</c:v>
                </c:pt>
                <c:pt idx="265">
                  <c:v>1.5792999999999999</c:v>
                </c:pt>
                <c:pt idx="266">
                  <c:v>1.6028</c:v>
                </c:pt>
                <c:pt idx="267">
                  <c:v>1.6133</c:v>
                </c:pt>
                <c:pt idx="268">
                  <c:v>1.3876999999999999</c:v>
                </c:pt>
                <c:pt idx="269">
                  <c:v>1.5546</c:v>
                </c:pt>
                <c:pt idx="270">
                  <c:v>1.5605</c:v>
                </c:pt>
                <c:pt idx="271">
                  <c:v>1.651</c:v>
                </c:pt>
                <c:pt idx="272">
                  <c:v>1.5988</c:v>
                </c:pt>
                <c:pt idx="273">
                  <c:v>1.3977999999999999</c:v>
                </c:pt>
                <c:pt idx="274">
                  <c:v>1.3575999999999999</c:v>
                </c:pt>
                <c:pt idx="275">
                  <c:v>1.4016999999999999</c:v>
                </c:pt>
                <c:pt idx="276">
                  <c:v>1.3629</c:v>
                </c:pt>
                <c:pt idx="277">
                  <c:v>1.0350999999999999</c:v>
                </c:pt>
                <c:pt idx="278">
                  <c:v>1.04833</c:v>
                </c:pt>
                <c:pt idx="279">
                  <c:v>1.17073</c:v>
                </c:pt>
                <c:pt idx="280">
                  <c:v>1.15489</c:v>
                </c:pt>
                <c:pt idx="281">
                  <c:v>1.29097</c:v>
                </c:pt>
                <c:pt idx="282">
                  <c:v>1.3850100000000001</c:v>
                </c:pt>
                <c:pt idx="283">
                  <c:v>1.30945</c:v>
                </c:pt>
                <c:pt idx="284">
                  <c:v>1.4079699999999999</c:v>
                </c:pt>
                <c:pt idx="285">
                  <c:v>1.5389600000000001</c:v>
                </c:pt>
                <c:pt idx="286">
                  <c:v>1.5480499999999999</c:v>
                </c:pt>
                <c:pt idx="287">
                  <c:v>1.7578100000000001</c:v>
                </c:pt>
                <c:pt idx="288">
                  <c:v>1.8346800000000001</c:v>
                </c:pt>
                <c:pt idx="289">
                  <c:v>1.7961100000000001</c:v>
                </c:pt>
                <c:pt idx="290">
                  <c:v>1.4684299999999999</c:v>
                </c:pt>
                <c:pt idx="291">
                  <c:v>1.35118</c:v>
                </c:pt>
                <c:pt idx="292">
                  <c:v>1.3728</c:v>
                </c:pt>
                <c:pt idx="293">
                  <c:v>1.0172099999999999</c:v>
                </c:pt>
                <c:pt idx="294">
                  <c:v>1.05599</c:v>
                </c:pt>
                <c:pt idx="295">
                  <c:v>0.91542000000000001</c:v>
                </c:pt>
                <c:pt idx="296">
                  <c:v>1.09663</c:v>
                </c:pt>
                <c:pt idx="297">
                  <c:v>0.91583999999999999</c:v>
                </c:pt>
                <c:pt idx="298">
                  <c:v>0.63500000000000001</c:v>
                </c:pt>
                <c:pt idx="299">
                  <c:v>0.57830999999999999</c:v>
                </c:pt>
                <c:pt idx="300">
                  <c:v>0.60701000000000005</c:v>
                </c:pt>
                <c:pt idx="301">
                  <c:v>0.57086999999999999</c:v>
                </c:pt>
                <c:pt idx="302">
                  <c:v>0.56981999999999999</c:v>
                </c:pt>
                <c:pt idx="303">
                  <c:v>0.56210000000000004</c:v>
                </c:pt>
                <c:pt idx="304">
                  <c:v>0.56537999999999999</c:v>
                </c:pt>
                <c:pt idx="305">
                  <c:v>0.54552</c:v>
                </c:pt>
                <c:pt idx="306">
                  <c:v>0.54752000000000001</c:v>
                </c:pt>
                <c:pt idx="307">
                  <c:v>0.56357000000000002</c:v>
                </c:pt>
                <c:pt idx="308">
                  <c:v>0.51058000000000003</c:v>
                </c:pt>
                <c:pt idx="309">
                  <c:v>0.48021000000000003</c:v>
                </c:pt>
                <c:pt idx="310">
                  <c:v>0.54979999999999996</c:v>
                </c:pt>
                <c:pt idx="311">
                  <c:v>0.54410000000000003</c:v>
                </c:pt>
                <c:pt idx="312">
                  <c:v>0.51651000000000002</c:v>
                </c:pt>
                <c:pt idx="313">
                  <c:v>0.52612999999999999</c:v>
                </c:pt>
                <c:pt idx="314">
                  <c:v>0.46650999999999998</c:v>
                </c:pt>
                <c:pt idx="315">
                  <c:v>0.46893000000000001</c:v>
                </c:pt>
                <c:pt idx="316">
                  <c:v>0.4698</c:v>
                </c:pt>
                <c:pt idx="317">
                  <c:v>0.46023999999999998</c:v>
                </c:pt>
                <c:pt idx="318">
                  <c:v>0.43574000000000002</c:v>
                </c:pt>
                <c:pt idx="319">
                  <c:v>0.43905</c:v>
                </c:pt>
                <c:pt idx="320">
                  <c:v>0.45787</c:v>
                </c:pt>
                <c:pt idx="321">
                  <c:v>0.43934000000000001</c:v>
                </c:pt>
                <c:pt idx="322">
                  <c:v>0.45186999999999999</c:v>
                </c:pt>
                <c:pt idx="323">
                  <c:v>0.46155000000000002</c:v>
                </c:pt>
                <c:pt idx="324">
                  <c:v>0.4849</c:v>
                </c:pt>
                <c:pt idx="325">
                  <c:v>0.47411999999999999</c:v>
                </c:pt>
                <c:pt idx="326">
                  <c:v>0.46557999999999999</c:v>
                </c:pt>
                <c:pt idx="327">
                  <c:v>0.46284999999999998</c:v>
                </c:pt>
                <c:pt idx="328">
                  <c:v>0.45456999999999997</c:v>
                </c:pt>
                <c:pt idx="329">
                  <c:v>0.48096</c:v>
                </c:pt>
                <c:pt idx="330">
                  <c:v>0.44846000000000003</c:v>
                </c:pt>
                <c:pt idx="331">
                  <c:v>0.43569999999999998</c:v>
                </c:pt>
                <c:pt idx="332">
                  <c:v>0.44536999999999999</c:v>
                </c:pt>
                <c:pt idx="333">
                  <c:v>0.41565000000000002</c:v>
                </c:pt>
                <c:pt idx="334">
                  <c:v>0.43589</c:v>
                </c:pt>
                <c:pt idx="335">
                  <c:v>0.42787999999999998</c:v>
                </c:pt>
                <c:pt idx="336">
                  <c:v>0.43601000000000001</c:v>
                </c:pt>
                <c:pt idx="337">
                  <c:v>0.46860000000000002</c:v>
                </c:pt>
                <c:pt idx="338">
                  <c:v>0.47578999999999999</c:v>
                </c:pt>
                <c:pt idx="339">
                  <c:v>0.56645999999999996</c:v>
                </c:pt>
                <c:pt idx="340">
                  <c:v>0.54468000000000005</c:v>
                </c:pt>
                <c:pt idx="341">
                  <c:v>0.51166999999999996</c:v>
                </c:pt>
                <c:pt idx="342">
                  <c:v>0.56464999999999999</c:v>
                </c:pt>
                <c:pt idx="343">
                  <c:v>0.53203999999999996</c:v>
                </c:pt>
                <c:pt idx="344">
                  <c:v>0.53466999999999998</c:v>
                </c:pt>
                <c:pt idx="345">
                  <c:v>0.51995000000000002</c:v>
                </c:pt>
                <c:pt idx="346">
                  <c:v>0.54976000000000003</c:v>
                </c:pt>
                <c:pt idx="347">
                  <c:v>0.59211000000000003</c:v>
                </c:pt>
                <c:pt idx="348">
                  <c:v>0.63309000000000004</c:v>
                </c:pt>
                <c:pt idx="349">
                  <c:v>0.60899999999999999</c:v>
                </c:pt>
                <c:pt idx="350">
                  <c:v>0.52805999999999997</c:v>
                </c:pt>
                <c:pt idx="351">
                  <c:v>0.50429000000000002</c:v>
                </c:pt>
                <c:pt idx="352">
                  <c:v>0.47636000000000001</c:v>
                </c:pt>
                <c:pt idx="353">
                  <c:v>0.45099</c:v>
                </c:pt>
                <c:pt idx="354">
                  <c:v>0.41848999999999997</c:v>
                </c:pt>
                <c:pt idx="355">
                  <c:v>0.44307000000000002</c:v>
                </c:pt>
                <c:pt idx="356">
                  <c:v>0.45218999999999998</c:v>
                </c:pt>
                <c:pt idx="357">
                  <c:v>0.44545000000000001</c:v>
                </c:pt>
                <c:pt idx="358">
                  <c:v>0.39721000000000001</c:v>
                </c:pt>
                <c:pt idx="359">
                  <c:v>0.37253999999999998</c:v>
                </c:pt>
                <c:pt idx="360">
                  <c:v>0.37106</c:v>
                </c:pt>
                <c:pt idx="361">
                  <c:v>0.49507000000000001</c:v>
                </c:pt>
                <c:pt idx="362">
                  <c:v>0.44372</c:v>
                </c:pt>
                <c:pt idx="363">
                  <c:v>0.28289999999999998</c:v>
                </c:pt>
                <c:pt idx="364">
                  <c:v>0.26407000000000003</c:v>
                </c:pt>
                <c:pt idx="365">
                  <c:v>0.25039</c:v>
                </c:pt>
                <c:pt idx="366">
                  <c:v>0.26834000000000002</c:v>
                </c:pt>
                <c:pt idx="367">
                  <c:v>0.26756999999999997</c:v>
                </c:pt>
                <c:pt idx="368">
                  <c:v>0.27339000000000002</c:v>
                </c:pt>
                <c:pt idx="369">
                  <c:v>0.27167000000000002</c:v>
                </c:pt>
                <c:pt idx="370">
                  <c:v>0.27217000000000002</c:v>
                </c:pt>
                <c:pt idx="371">
                  <c:v>0.26801999999999998</c:v>
                </c:pt>
                <c:pt idx="372">
                  <c:v>0.29538999999999999</c:v>
                </c:pt>
                <c:pt idx="373">
                  <c:v>0.29396</c:v>
                </c:pt>
                <c:pt idx="374">
                  <c:v>0.28527999999999998</c:v>
                </c:pt>
                <c:pt idx="375">
                  <c:v>0.27745999999999998</c:v>
                </c:pt>
                <c:pt idx="376">
                  <c:v>0.27923999999999999</c:v>
                </c:pt>
                <c:pt idx="377">
                  <c:v>0.27990999999999999</c:v>
                </c:pt>
                <c:pt idx="378">
                  <c:v>0.29642000000000002</c:v>
                </c:pt>
                <c:pt idx="379">
                  <c:v>0.30581999999999998</c:v>
                </c:pt>
                <c:pt idx="380">
                  <c:v>0.29254000000000002</c:v>
                </c:pt>
                <c:pt idx="381">
                  <c:v>0.28743000000000002</c:v>
                </c:pt>
                <c:pt idx="382">
                  <c:v>0.31491000000000002</c:v>
                </c:pt>
                <c:pt idx="383">
                  <c:v>0.32418999999999998</c:v>
                </c:pt>
                <c:pt idx="384">
                  <c:v>0.32031999999999999</c:v>
                </c:pt>
                <c:pt idx="385">
                  <c:v>0.32389000000000001</c:v>
                </c:pt>
                <c:pt idx="386">
                  <c:v>0.24854000000000001</c:v>
                </c:pt>
                <c:pt idx="387">
                  <c:v>0.22572999999999999</c:v>
                </c:pt>
                <c:pt idx="388">
                  <c:v>0.23565</c:v>
                </c:pt>
                <c:pt idx="389">
                  <c:v>0.22539999999999999</c:v>
                </c:pt>
                <c:pt idx="390">
                  <c:v>0.22064</c:v>
                </c:pt>
                <c:pt idx="391">
                  <c:v>0.23746</c:v>
                </c:pt>
                <c:pt idx="392">
                  <c:v>0.21959000000000001</c:v>
                </c:pt>
                <c:pt idx="393">
                  <c:v>0.21138000000000001</c:v>
                </c:pt>
                <c:pt idx="394">
                  <c:v>0.22142000000000001</c:v>
                </c:pt>
                <c:pt idx="395">
                  <c:v>0.24845</c:v>
                </c:pt>
                <c:pt idx="396">
                  <c:v>0.28406999999999999</c:v>
                </c:pt>
                <c:pt idx="397">
                  <c:v>0.29481000000000002</c:v>
                </c:pt>
                <c:pt idx="398">
                  <c:v>0.31768000000000002</c:v>
                </c:pt>
                <c:pt idx="399">
                  <c:v>0.33862999999999999</c:v>
                </c:pt>
                <c:pt idx="400">
                  <c:v>0.26050000000000001</c:v>
                </c:pt>
                <c:pt idx="401">
                  <c:v>0.44641999999999998</c:v>
                </c:pt>
                <c:pt idx="402">
                  <c:v>0.51444999999999996</c:v>
                </c:pt>
                <c:pt idx="403">
                  <c:v>0.55586000000000002</c:v>
                </c:pt>
                <c:pt idx="404">
                  <c:v>0.57665999999999995</c:v>
                </c:pt>
                <c:pt idx="405">
                  <c:v>0.58337000000000006</c:v>
                </c:pt>
                <c:pt idx="406">
                  <c:v>0.57689999999999997</c:v>
                </c:pt>
                <c:pt idx="407">
                  <c:v>0.56940999999999997</c:v>
                </c:pt>
                <c:pt idx="408">
                  <c:v>0.46793000000000001</c:v>
                </c:pt>
                <c:pt idx="409">
                  <c:v>0.49740000000000001</c:v>
                </c:pt>
                <c:pt idx="410">
                  <c:v>0.51365000000000005</c:v>
                </c:pt>
                <c:pt idx="411">
                  <c:v>0.50658000000000003</c:v>
                </c:pt>
                <c:pt idx="412">
                  <c:v>0.54944999999999999</c:v>
                </c:pt>
                <c:pt idx="413">
                  <c:v>0.57267000000000001</c:v>
                </c:pt>
                <c:pt idx="414">
                  <c:v>0.58265</c:v>
                </c:pt>
                <c:pt idx="415">
                  <c:v>0.55889999999999995</c:v>
                </c:pt>
                <c:pt idx="416">
                  <c:v>0.60818000000000005</c:v>
                </c:pt>
                <c:pt idx="417">
                  <c:v>0.62107000000000001</c:v>
                </c:pt>
                <c:pt idx="418">
                  <c:v>0.58516999999999997</c:v>
                </c:pt>
                <c:pt idx="419">
                  <c:v>0.55367</c:v>
                </c:pt>
                <c:pt idx="420">
                  <c:v>0.63046000000000002</c:v>
                </c:pt>
                <c:pt idx="421">
                  <c:v>0.62971999999999995</c:v>
                </c:pt>
                <c:pt idx="422">
                  <c:v>0.61087999999999998</c:v>
                </c:pt>
                <c:pt idx="423">
                  <c:v>0.66417000000000004</c:v>
                </c:pt>
                <c:pt idx="424">
                  <c:v>0.60543000000000002</c:v>
                </c:pt>
                <c:pt idx="425">
                  <c:v>0.62578999999999996</c:v>
                </c:pt>
                <c:pt idx="426">
                  <c:v>0.56230000000000002</c:v>
                </c:pt>
                <c:pt idx="427">
                  <c:v>0.53654000000000002</c:v>
                </c:pt>
                <c:pt idx="428">
                  <c:v>0.63022</c:v>
                </c:pt>
                <c:pt idx="429">
                  <c:v>0.69399999999999995</c:v>
                </c:pt>
                <c:pt idx="430">
                  <c:v>0.61578999999999995</c:v>
                </c:pt>
                <c:pt idx="431">
                  <c:v>0.44611000000000001</c:v>
                </c:pt>
                <c:pt idx="432">
                  <c:v>0.46283000000000002</c:v>
                </c:pt>
                <c:pt idx="433">
                  <c:v>0.32990999999999998</c:v>
                </c:pt>
                <c:pt idx="434">
                  <c:v>0.30358000000000002</c:v>
                </c:pt>
                <c:pt idx="435">
                  <c:v>0.29335</c:v>
                </c:pt>
                <c:pt idx="436">
                  <c:v>0.30247000000000002</c:v>
                </c:pt>
                <c:pt idx="437">
                  <c:v>0.28813</c:v>
                </c:pt>
                <c:pt idx="438">
                  <c:v>0.26954</c:v>
                </c:pt>
                <c:pt idx="439">
                  <c:v>0.26823999999999998</c:v>
                </c:pt>
                <c:pt idx="440">
                  <c:v>0.26590000000000003</c:v>
                </c:pt>
                <c:pt idx="441">
                  <c:v>0.25490000000000002</c:v>
                </c:pt>
                <c:pt idx="442">
                  <c:v>0.25580999999999998</c:v>
                </c:pt>
                <c:pt idx="443">
                  <c:v>0.25380000000000003</c:v>
                </c:pt>
                <c:pt idx="444">
                  <c:v>0.25058999999999998</c:v>
                </c:pt>
                <c:pt idx="445">
                  <c:v>0.25374000000000002</c:v>
                </c:pt>
                <c:pt idx="446">
                  <c:v>0.24909999999999999</c:v>
                </c:pt>
                <c:pt idx="447">
                  <c:v>0.25863000000000003</c:v>
                </c:pt>
                <c:pt idx="448">
                  <c:v>0.24560999999999999</c:v>
                </c:pt>
                <c:pt idx="449">
                  <c:v>0.23758000000000001</c:v>
                </c:pt>
                <c:pt idx="450">
                  <c:v>0.23960000000000001</c:v>
                </c:pt>
                <c:pt idx="451">
                  <c:v>0.23522999999999999</c:v>
                </c:pt>
                <c:pt idx="452">
                  <c:v>0.23999000000000001</c:v>
                </c:pt>
                <c:pt idx="453">
                  <c:v>0.23968</c:v>
                </c:pt>
                <c:pt idx="454">
                  <c:v>0.23905000000000001</c:v>
                </c:pt>
                <c:pt idx="455">
                  <c:v>0.24238999999999999</c:v>
                </c:pt>
                <c:pt idx="456">
                  <c:v>0.24540000000000001</c:v>
                </c:pt>
                <c:pt idx="457">
                  <c:v>0.25273000000000001</c:v>
                </c:pt>
                <c:pt idx="458">
                  <c:v>0.24809999999999999</c:v>
                </c:pt>
                <c:pt idx="459">
                  <c:v>0.25313000000000002</c:v>
                </c:pt>
                <c:pt idx="460">
                  <c:v>0.25619999999999998</c:v>
                </c:pt>
                <c:pt idx="461">
                  <c:v>0.25470999999999999</c:v>
                </c:pt>
                <c:pt idx="462">
                  <c:v>0.25708999999999999</c:v>
                </c:pt>
                <c:pt idx="463">
                  <c:v>0.25087999999999999</c:v>
                </c:pt>
                <c:pt idx="464">
                  <c:v>0.24321999999999999</c:v>
                </c:pt>
                <c:pt idx="465">
                  <c:v>0.24557999999999999</c:v>
                </c:pt>
                <c:pt idx="466">
                  <c:v>0.24221000000000001</c:v>
                </c:pt>
                <c:pt idx="467">
                  <c:v>0.24057000000000001</c:v>
                </c:pt>
                <c:pt idx="468">
                  <c:v>0.24010999999999999</c:v>
                </c:pt>
                <c:pt idx="469">
                  <c:v>0.24596000000000001</c:v>
                </c:pt>
                <c:pt idx="470">
                  <c:v>0.24906</c:v>
                </c:pt>
                <c:pt idx="471">
                  <c:v>0.25650000000000001</c:v>
                </c:pt>
                <c:pt idx="472">
                  <c:v>0.25602999999999998</c:v>
                </c:pt>
                <c:pt idx="473">
                  <c:v>0.25544</c:v>
                </c:pt>
                <c:pt idx="474">
                  <c:v>0.25402000000000002</c:v>
                </c:pt>
                <c:pt idx="475">
                  <c:v>0.25292999999999999</c:v>
                </c:pt>
                <c:pt idx="476">
                  <c:v>0.25141000000000002</c:v>
                </c:pt>
                <c:pt idx="477">
                  <c:v>0.2487</c:v>
                </c:pt>
                <c:pt idx="478">
                  <c:v>0.24545</c:v>
                </c:pt>
                <c:pt idx="479">
                  <c:v>0.25030000000000002</c:v>
                </c:pt>
                <c:pt idx="480">
                  <c:v>0.24793999999999999</c:v>
                </c:pt>
                <c:pt idx="481">
                  <c:v>0.23272999999999999</c:v>
                </c:pt>
                <c:pt idx="482">
                  <c:v>0.23386000000000001</c:v>
                </c:pt>
                <c:pt idx="483">
                  <c:v>0.23819000000000001</c:v>
                </c:pt>
                <c:pt idx="484">
                  <c:v>0.24171000000000001</c:v>
                </c:pt>
                <c:pt idx="485">
                  <c:v>0.24285000000000001</c:v>
                </c:pt>
                <c:pt idx="486">
                  <c:v>0.24107000000000001</c:v>
                </c:pt>
                <c:pt idx="487">
                  <c:v>0.24334</c:v>
                </c:pt>
                <c:pt idx="488">
                  <c:v>0.24152999999999999</c:v>
                </c:pt>
                <c:pt idx="489">
                  <c:v>0.24154</c:v>
                </c:pt>
                <c:pt idx="490">
                  <c:v>0.23275999999999999</c:v>
                </c:pt>
                <c:pt idx="491">
                  <c:v>0.22164</c:v>
                </c:pt>
                <c:pt idx="492">
                  <c:v>0.23302</c:v>
                </c:pt>
                <c:pt idx="493">
                  <c:v>0.23102</c:v>
                </c:pt>
                <c:pt idx="494">
                  <c:v>0.24651999999999999</c:v>
                </c:pt>
                <c:pt idx="495">
                  <c:v>0.25112000000000001</c:v>
                </c:pt>
                <c:pt idx="496">
                  <c:v>0.25064999999999998</c:v>
                </c:pt>
                <c:pt idx="497">
                  <c:v>0.25213999999999998</c:v>
                </c:pt>
                <c:pt idx="498">
                  <c:v>0.24686</c:v>
                </c:pt>
                <c:pt idx="499">
                  <c:v>0.24331</c:v>
                </c:pt>
                <c:pt idx="500">
                  <c:v>0.24564</c:v>
                </c:pt>
                <c:pt idx="501">
                  <c:v>0.24218000000000001</c:v>
                </c:pt>
                <c:pt idx="502">
                  <c:v>0.24751999999999999</c:v>
                </c:pt>
                <c:pt idx="503">
                  <c:v>0.24252000000000001</c:v>
                </c:pt>
                <c:pt idx="504">
                  <c:v>0.24302000000000001</c:v>
                </c:pt>
                <c:pt idx="505">
                  <c:v>0.23901</c:v>
                </c:pt>
                <c:pt idx="506">
                  <c:v>0.23657</c:v>
                </c:pt>
                <c:pt idx="507">
                  <c:v>0.24198</c:v>
                </c:pt>
                <c:pt idx="508">
                  <c:v>0.23985999999999999</c:v>
                </c:pt>
                <c:pt idx="509">
                  <c:v>0.23738000000000001</c:v>
                </c:pt>
                <c:pt idx="510">
                  <c:v>0.25385000000000002</c:v>
                </c:pt>
                <c:pt idx="511">
                  <c:v>0.24409</c:v>
                </c:pt>
                <c:pt idx="512">
                  <c:v>0.27594999999999997</c:v>
                </c:pt>
                <c:pt idx="513">
                  <c:v>0.29520999999999997</c:v>
                </c:pt>
                <c:pt idx="514">
                  <c:v>0.28115000000000001</c:v>
                </c:pt>
                <c:pt idx="515">
                  <c:v>0.28301999999999999</c:v>
                </c:pt>
                <c:pt idx="516">
                  <c:v>0.27379999999999999</c:v>
                </c:pt>
                <c:pt idx="517">
                  <c:v>0.27173999999999998</c:v>
                </c:pt>
                <c:pt idx="518">
                  <c:v>0.26468999999999998</c:v>
                </c:pt>
                <c:pt idx="519">
                  <c:v>0.27653</c:v>
                </c:pt>
                <c:pt idx="520">
                  <c:v>0.27625</c:v>
                </c:pt>
                <c:pt idx="521">
                  <c:v>0.28839999999999999</c:v>
                </c:pt>
                <c:pt idx="522">
                  <c:v>0.2848</c:v>
                </c:pt>
                <c:pt idx="523">
                  <c:v>0.28592000000000001</c:v>
                </c:pt>
                <c:pt idx="524">
                  <c:v>0.27933000000000002</c:v>
                </c:pt>
                <c:pt idx="525">
                  <c:v>0.29218</c:v>
                </c:pt>
                <c:pt idx="526">
                  <c:v>0.28975000000000001</c:v>
                </c:pt>
                <c:pt idx="527">
                  <c:v>0.30251</c:v>
                </c:pt>
                <c:pt idx="528">
                  <c:v>0.31539</c:v>
                </c:pt>
                <c:pt idx="529">
                  <c:v>0.30454999999999999</c:v>
                </c:pt>
                <c:pt idx="530">
                  <c:v>0.29883999999999999</c:v>
                </c:pt>
                <c:pt idx="531">
                  <c:v>0.29994999999999999</c:v>
                </c:pt>
                <c:pt idx="532">
                  <c:v>0.29420000000000002</c:v>
                </c:pt>
                <c:pt idx="533">
                  <c:v>0.28233000000000003</c:v>
                </c:pt>
                <c:pt idx="534">
                  <c:v>0.28310000000000002</c:v>
                </c:pt>
                <c:pt idx="535">
                  <c:v>0.29469000000000001</c:v>
                </c:pt>
                <c:pt idx="536">
                  <c:v>0.28789999999999999</c:v>
                </c:pt>
                <c:pt idx="537">
                  <c:v>0.29526999999999998</c:v>
                </c:pt>
                <c:pt idx="538">
                  <c:v>0.29437000000000002</c:v>
                </c:pt>
                <c:pt idx="539">
                  <c:v>0.30310999999999999</c:v>
                </c:pt>
                <c:pt idx="540">
                  <c:v>0.30227999999999999</c:v>
                </c:pt>
                <c:pt idx="541">
                  <c:v>0.30137999999999998</c:v>
                </c:pt>
                <c:pt idx="542">
                  <c:v>0.31015999999999999</c:v>
                </c:pt>
                <c:pt idx="543">
                  <c:v>0.28803000000000001</c:v>
                </c:pt>
                <c:pt idx="544">
                  <c:v>0.29088999999999998</c:v>
                </c:pt>
                <c:pt idx="545">
                  <c:v>0.25939000000000001</c:v>
                </c:pt>
                <c:pt idx="546">
                  <c:v>0.24407999999999999</c:v>
                </c:pt>
                <c:pt idx="547">
                  <c:v>0.24326999999999999</c:v>
                </c:pt>
                <c:pt idx="548">
                  <c:v>0.23028999999999999</c:v>
                </c:pt>
                <c:pt idx="549">
                  <c:v>0.22437000000000001</c:v>
                </c:pt>
                <c:pt idx="550">
                  <c:v>0.21532000000000001</c:v>
                </c:pt>
                <c:pt idx="551">
                  <c:v>0.21462999999999999</c:v>
                </c:pt>
                <c:pt idx="552">
                  <c:v>0.20391999999999999</c:v>
                </c:pt>
                <c:pt idx="553">
                  <c:v>0.20851</c:v>
                </c:pt>
                <c:pt idx="554">
                  <c:v>0.20347999999999999</c:v>
                </c:pt>
                <c:pt idx="555">
                  <c:v>0.19949</c:v>
                </c:pt>
                <c:pt idx="556">
                  <c:v>0.19464999999999999</c:v>
                </c:pt>
                <c:pt idx="557">
                  <c:v>0.19955999999999999</c:v>
                </c:pt>
                <c:pt idx="558">
                  <c:v>0.19989999999999999</c:v>
                </c:pt>
                <c:pt idx="559">
                  <c:v>0.19439999999999999</c:v>
                </c:pt>
                <c:pt idx="560">
                  <c:v>0.19444</c:v>
                </c:pt>
                <c:pt idx="561">
                  <c:v>0.19721</c:v>
                </c:pt>
                <c:pt idx="562">
                  <c:v>0.19908999999999999</c:v>
                </c:pt>
                <c:pt idx="563">
                  <c:v>0.19867000000000001</c:v>
                </c:pt>
                <c:pt idx="564">
                  <c:v>0.20127999999999999</c:v>
                </c:pt>
                <c:pt idx="565">
                  <c:v>0.2011</c:v>
                </c:pt>
                <c:pt idx="566">
                  <c:v>0.19908999999999999</c:v>
                </c:pt>
                <c:pt idx="567">
                  <c:v>0.20263</c:v>
                </c:pt>
                <c:pt idx="568">
                  <c:v>0.20551</c:v>
                </c:pt>
                <c:pt idx="569">
                  <c:v>0.18507999999999999</c:v>
                </c:pt>
                <c:pt idx="570">
                  <c:v>0.18875</c:v>
                </c:pt>
                <c:pt idx="571">
                  <c:v>0.17695</c:v>
                </c:pt>
                <c:pt idx="572">
                  <c:v>0.17807999999999999</c:v>
                </c:pt>
                <c:pt idx="573">
                  <c:v>0.1762</c:v>
                </c:pt>
                <c:pt idx="574">
                  <c:v>0.17477000000000001</c:v>
                </c:pt>
                <c:pt idx="575">
                  <c:v>0.17646999999999999</c:v>
                </c:pt>
                <c:pt idx="576">
                  <c:v>0.17533000000000001</c:v>
                </c:pt>
                <c:pt idx="577">
                  <c:v>0.17726</c:v>
                </c:pt>
                <c:pt idx="578">
                  <c:v>0.17693</c:v>
                </c:pt>
                <c:pt idx="579">
                  <c:v>0.17509</c:v>
                </c:pt>
                <c:pt idx="580">
                  <c:v>0.18249000000000001</c:v>
                </c:pt>
                <c:pt idx="581">
                  <c:v>0.18156</c:v>
                </c:pt>
                <c:pt idx="582">
                  <c:v>0.18348</c:v>
                </c:pt>
                <c:pt idx="583">
                  <c:v>0.18889</c:v>
                </c:pt>
                <c:pt idx="584">
                  <c:v>0.18928</c:v>
                </c:pt>
                <c:pt idx="585">
                  <c:v>0.18601999999999999</c:v>
                </c:pt>
                <c:pt idx="586">
                  <c:v>0.18792</c:v>
                </c:pt>
                <c:pt idx="587">
                  <c:v>0.18722</c:v>
                </c:pt>
                <c:pt idx="588">
                  <c:v>0.18975</c:v>
                </c:pt>
                <c:pt idx="589">
                  <c:v>0.19314999999999999</c:v>
                </c:pt>
                <c:pt idx="590">
                  <c:v>0.19238</c:v>
                </c:pt>
                <c:pt idx="591">
                  <c:v>0.19238</c:v>
                </c:pt>
                <c:pt idx="592">
                  <c:v>0.19022</c:v>
                </c:pt>
                <c:pt idx="593">
                  <c:v>0.19234000000000001</c:v>
                </c:pt>
                <c:pt idx="594">
                  <c:v>0.19306999999999999</c:v>
                </c:pt>
                <c:pt idx="595">
                  <c:v>0.18817</c:v>
                </c:pt>
                <c:pt idx="596">
                  <c:v>0.20266000000000001</c:v>
                </c:pt>
                <c:pt idx="597">
                  <c:v>0.20127</c:v>
                </c:pt>
                <c:pt idx="598">
                  <c:v>0.20402999999999999</c:v>
                </c:pt>
                <c:pt idx="599">
                  <c:v>0.20329</c:v>
                </c:pt>
                <c:pt idx="600">
                  <c:v>0.20361000000000001</c:v>
                </c:pt>
                <c:pt idx="601">
                  <c:v>0.20274</c:v>
                </c:pt>
                <c:pt idx="602">
                  <c:v>0.20427000000000001</c:v>
                </c:pt>
                <c:pt idx="603">
                  <c:v>0.2041</c:v>
                </c:pt>
                <c:pt idx="604">
                  <c:v>0.20301</c:v>
                </c:pt>
                <c:pt idx="605">
                  <c:v>0.21099999999999999</c:v>
                </c:pt>
                <c:pt idx="606">
                  <c:v>0.20244999999999999</c:v>
                </c:pt>
                <c:pt idx="607">
                  <c:v>0.20701</c:v>
                </c:pt>
                <c:pt idx="608">
                  <c:v>0.19758999999999999</c:v>
                </c:pt>
                <c:pt idx="609">
                  <c:v>0.20052</c:v>
                </c:pt>
                <c:pt idx="610">
                  <c:v>0.19791</c:v>
                </c:pt>
                <c:pt idx="611">
                  <c:v>0.19372</c:v>
                </c:pt>
                <c:pt idx="612">
                  <c:v>0.19622000000000001</c:v>
                </c:pt>
                <c:pt idx="613">
                  <c:v>0.19256000000000001</c:v>
                </c:pt>
                <c:pt idx="614">
                  <c:v>0.19883000000000001</c:v>
                </c:pt>
                <c:pt idx="615">
                  <c:v>0.20033999999999999</c:v>
                </c:pt>
                <c:pt idx="616">
                  <c:v>0.19434000000000001</c:v>
                </c:pt>
                <c:pt idx="617">
                  <c:v>0.20179</c:v>
                </c:pt>
                <c:pt idx="618">
                  <c:v>0.20496</c:v>
                </c:pt>
                <c:pt idx="619">
                  <c:v>0.20543</c:v>
                </c:pt>
                <c:pt idx="620">
                  <c:v>0.20130999999999999</c:v>
                </c:pt>
                <c:pt idx="621">
                  <c:v>0.19969000000000001</c:v>
                </c:pt>
                <c:pt idx="622">
                  <c:v>0.19818</c:v>
                </c:pt>
                <c:pt idx="623">
                  <c:v>0.20386000000000001</c:v>
                </c:pt>
                <c:pt idx="624">
                  <c:v>0.20177</c:v>
                </c:pt>
                <c:pt idx="625">
                  <c:v>0.19711000000000001</c:v>
                </c:pt>
                <c:pt idx="626">
                  <c:v>0.19253999999999999</c:v>
                </c:pt>
                <c:pt idx="627">
                  <c:v>0.19702</c:v>
                </c:pt>
                <c:pt idx="628">
                  <c:v>0.21642</c:v>
                </c:pt>
                <c:pt idx="629">
                  <c:v>0.21865000000000001</c:v>
                </c:pt>
                <c:pt idx="630">
                  <c:v>0.21862000000000001</c:v>
                </c:pt>
                <c:pt idx="631">
                  <c:v>0.21157999999999999</c:v>
                </c:pt>
                <c:pt idx="632">
                  <c:v>0.21687999999999999</c:v>
                </c:pt>
                <c:pt idx="633">
                  <c:v>0.21776000000000001</c:v>
                </c:pt>
                <c:pt idx="634">
                  <c:v>0.21936</c:v>
                </c:pt>
                <c:pt idx="635">
                  <c:v>0.22369</c:v>
                </c:pt>
                <c:pt idx="636">
                  <c:v>0.21786</c:v>
                </c:pt>
                <c:pt idx="637">
                  <c:v>0.21135000000000001</c:v>
                </c:pt>
                <c:pt idx="638">
                  <c:v>0.22647999999999999</c:v>
                </c:pt>
                <c:pt idx="639">
                  <c:v>0.21415999999999999</c:v>
                </c:pt>
                <c:pt idx="640">
                  <c:v>0.19747000000000001</c:v>
                </c:pt>
                <c:pt idx="641">
                  <c:v>0.19617999999999999</c:v>
                </c:pt>
                <c:pt idx="642">
                  <c:v>0.19417999999999999</c:v>
                </c:pt>
                <c:pt idx="643">
                  <c:v>0.19325000000000001</c:v>
                </c:pt>
                <c:pt idx="644">
                  <c:v>0.19259999999999999</c:v>
                </c:pt>
                <c:pt idx="645">
                  <c:v>0.18804000000000001</c:v>
                </c:pt>
                <c:pt idx="646">
                  <c:v>0.18340999999999999</c:v>
                </c:pt>
                <c:pt idx="647">
                  <c:v>0.18151</c:v>
                </c:pt>
                <c:pt idx="648">
                  <c:v>0.18901000000000001</c:v>
                </c:pt>
                <c:pt idx="649">
                  <c:v>0.19544</c:v>
                </c:pt>
                <c:pt idx="650">
                  <c:v>0.18862999999999999</c:v>
                </c:pt>
                <c:pt idx="651">
                  <c:v>0.19053</c:v>
                </c:pt>
                <c:pt idx="652">
                  <c:v>0.18049999999999999</c:v>
                </c:pt>
                <c:pt idx="653">
                  <c:v>0.18612999999999999</c:v>
                </c:pt>
                <c:pt idx="654">
                  <c:v>0.18762999999999999</c:v>
                </c:pt>
                <c:pt idx="655">
                  <c:v>0.18939</c:v>
                </c:pt>
                <c:pt idx="656">
                  <c:v>0.1885</c:v>
                </c:pt>
                <c:pt idx="657">
                  <c:v>0.18758</c:v>
                </c:pt>
                <c:pt idx="658">
                  <c:v>0.19828999999999999</c:v>
                </c:pt>
                <c:pt idx="659">
                  <c:v>0.20191999999999999</c:v>
                </c:pt>
                <c:pt idx="660">
                  <c:v>0.19284999999999999</c:v>
                </c:pt>
                <c:pt idx="661">
                  <c:v>0.19803000000000001</c:v>
                </c:pt>
                <c:pt idx="662">
                  <c:v>0.17924999999999999</c:v>
                </c:pt>
                <c:pt idx="663">
                  <c:v>0.18114</c:v>
                </c:pt>
                <c:pt idx="664">
                  <c:v>0.17957000000000001</c:v>
                </c:pt>
                <c:pt idx="665">
                  <c:v>0.17827999999999999</c:v>
                </c:pt>
                <c:pt idx="666">
                  <c:v>0.17494000000000001</c:v>
                </c:pt>
                <c:pt idx="667">
                  <c:v>0.17352999999999999</c:v>
                </c:pt>
                <c:pt idx="668">
                  <c:v>0.17111999999999999</c:v>
                </c:pt>
                <c:pt idx="669">
                  <c:v>0.16278000000000001</c:v>
                </c:pt>
                <c:pt idx="670">
                  <c:v>0.17543</c:v>
                </c:pt>
                <c:pt idx="671">
                  <c:v>0.17269000000000001</c:v>
                </c:pt>
                <c:pt idx="672">
                  <c:v>0.17593</c:v>
                </c:pt>
                <c:pt idx="673">
                  <c:v>0.16167999999999999</c:v>
                </c:pt>
                <c:pt idx="674">
                  <c:v>0.16225000000000001</c:v>
                </c:pt>
                <c:pt idx="675">
                  <c:v>0.15853999999999999</c:v>
                </c:pt>
                <c:pt idx="676">
                  <c:v>0.14776</c:v>
                </c:pt>
                <c:pt idx="677">
                  <c:v>0.15797</c:v>
                </c:pt>
                <c:pt idx="678">
                  <c:v>0.15695000000000001</c:v>
                </c:pt>
                <c:pt idx="679">
                  <c:v>0.1646</c:v>
                </c:pt>
                <c:pt idx="680">
                  <c:v>0.14760000000000001</c:v>
                </c:pt>
                <c:pt idx="681">
                  <c:v>0.14693999999999999</c:v>
                </c:pt>
                <c:pt idx="682">
                  <c:v>0.14102000000000001</c:v>
                </c:pt>
                <c:pt idx="683">
                  <c:v>0.15307999999999999</c:v>
                </c:pt>
                <c:pt idx="684">
                  <c:v>0.14588000000000001</c:v>
                </c:pt>
                <c:pt idx="685">
                  <c:v>0.15872</c:v>
                </c:pt>
                <c:pt idx="686">
                  <c:v>0.13549</c:v>
                </c:pt>
                <c:pt idx="687">
                  <c:v>0.20813000000000001</c:v>
                </c:pt>
                <c:pt idx="688">
                  <c:v>0.21185000000000001</c:v>
                </c:pt>
                <c:pt idx="689">
                  <c:v>0.20952000000000001</c:v>
                </c:pt>
                <c:pt idx="690">
                  <c:v>0.20385</c:v>
                </c:pt>
                <c:pt idx="691">
                  <c:v>0.23622000000000001</c:v>
                </c:pt>
                <c:pt idx="692">
                  <c:v>0.24476999999999999</c:v>
                </c:pt>
                <c:pt idx="693">
                  <c:v>0.23909</c:v>
                </c:pt>
                <c:pt idx="694">
                  <c:v>0.23452999999999999</c:v>
                </c:pt>
                <c:pt idx="695">
                  <c:v>0.23427999999999999</c:v>
                </c:pt>
                <c:pt idx="696">
                  <c:v>0.23957999999999999</c:v>
                </c:pt>
                <c:pt idx="697">
                  <c:v>0.22696</c:v>
                </c:pt>
                <c:pt idx="698">
                  <c:v>0.22892000000000001</c:v>
                </c:pt>
                <c:pt idx="699">
                  <c:v>0.23663000000000001</c:v>
                </c:pt>
                <c:pt idx="700">
                  <c:v>0.23849999999999999</c:v>
                </c:pt>
                <c:pt idx="701">
                  <c:v>0.22914999999999999</c:v>
                </c:pt>
                <c:pt idx="702">
                  <c:v>0.25208999999999998</c:v>
                </c:pt>
                <c:pt idx="703">
                  <c:v>0.27039999999999997</c:v>
                </c:pt>
                <c:pt idx="704">
                  <c:v>0.28298000000000001</c:v>
                </c:pt>
                <c:pt idx="705">
                  <c:v>0.27467999999999998</c:v>
                </c:pt>
                <c:pt idx="706">
                  <c:v>0.27417999999999998</c:v>
                </c:pt>
                <c:pt idx="707">
                  <c:v>0.27089999999999997</c:v>
                </c:pt>
                <c:pt idx="708">
                  <c:v>0.27466000000000002</c:v>
                </c:pt>
                <c:pt idx="709">
                  <c:v>0.29826999999999998</c:v>
                </c:pt>
                <c:pt idx="710">
                  <c:v>0.28736</c:v>
                </c:pt>
                <c:pt idx="711">
                  <c:v>0.29224</c:v>
                </c:pt>
                <c:pt idx="712">
                  <c:v>0.30729000000000001</c:v>
                </c:pt>
                <c:pt idx="713">
                  <c:v>0.33594000000000002</c:v>
                </c:pt>
                <c:pt idx="714">
                  <c:v>0.32708999999999999</c:v>
                </c:pt>
                <c:pt idx="715">
                  <c:v>0.30426999999999998</c:v>
                </c:pt>
                <c:pt idx="716">
                  <c:v>0.28100000000000003</c:v>
                </c:pt>
                <c:pt idx="717">
                  <c:v>0.27338000000000001</c:v>
                </c:pt>
                <c:pt idx="718">
                  <c:v>0.28256999999999999</c:v>
                </c:pt>
                <c:pt idx="719">
                  <c:v>0.27734999999999999</c:v>
                </c:pt>
                <c:pt idx="720">
                  <c:v>0.27953</c:v>
                </c:pt>
                <c:pt idx="721">
                  <c:v>0.28325</c:v>
                </c:pt>
                <c:pt idx="722">
                  <c:v>0.27773999999999999</c:v>
                </c:pt>
                <c:pt idx="723">
                  <c:v>0.26737</c:v>
                </c:pt>
                <c:pt idx="724">
                  <c:v>0.25452999999999998</c:v>
                </c:pt>
                <c:pt idx="725">
                  <c:v>0.25092999999999999</c:v>
                </c:pt>
                <c:pt idx="726">
                  <c:v>0.24141000000000001</c:v>
                </c:pt>
                <c:pt idx="727">
                  <c:v>0.23946000000000001</c:v>
                </c:pt>
                <c:pt idx="728">
                  <c:v>0.24376</c:v>
                </c:pt>
                <c:pt idx="729">
                  <c:v>0.23538999999999999</c:v>
                </c:pt>
                <c:pt idx="730">
                  <c:v>0.23905999999999999</c:v>
                </c:pt>
                <c:pt idx="731">
                  <c:v>0.23077</c:v>
                </c:pt>
                <c:pt idx="732">
                  <c:v>0.23130999999999999</c:v>
                </c:pt>
                <c:pt idx="733">
                  <c:v>0.21945999999999999</c:v>
                </c:pt>
                <c:pt idx="734">
                  <c:v>0.22222</c:v>
                </c:pt>
                <c:pt idx="735">
                  <c:v>0.22586000000000001</c:v>
                </c:pt>
                <c:pt idx="736">
                  <c:v>0.23733000000000001</c:v>
                </c:pt>
                <c:pt idx="737">
                  <c:v>0.23726</c:v>
                </c:pt>
                <c:pt idx="738">
                  <c:v>0.23313999999999999</c:v>
                </c:pt>
                <c:pt idx="739">
                  <c:v>0.23558000000000001</c:v>
                </c:pt>
                <c:pt idx="740">
                  <c:v>0.24357000000000001</c:v>
                </c:pt>
                <c:pt idx="741">
                  <c:v>0.23921000000000001</c:v>
                </c:pt>
                <c:pt idx="742">
                  <c:v>0.22900000000000001</c:v>
                </c:pt>
                <c:pt idx="743">
                  <c:v>0.23366999999999999</c:v>
                </c:pt>
                <c:pt idx="744">
                  <c:v>0.23463999999999999</c:v>
                </c:pt>
                <c:pt idx="745">
                  <c:v>0.21134</c:v>
                </c:pt>
                <c:pt idx="746">
                  <c:v>0.21539</c:v>
                </c:pt>
                <c:pt idx="747">
                  <c:v>0.21121000000000001</c:v>
                </c:pt>
                <c:pt idx="748">
                  <c:v>0.21284</c:v>
                </c:pt>
                <c:pt idx="749">
                  <c:v>0.20372999999999999</c:v>
                </c:pt>
                <c:pt idx="750">
                  <c:v>0.20749999999999999</c:v>
                </c:pt>
                <c:pt idx="751">
                  <c:v>0.21335000000000001</c:v>
                </c:pt>
                <c:pt idx="752">
                  <c:v>0.22309999999999999</c:v>
                </c:pt>
                <c:pt idx="753">
                  <c:v>0.19453000000000001</c:v>
                </c:pt>
                <c:pt idx="754">
                  <c:v>0.19305</c:v>
                </c:pt>
                <c:pt idx="755">
                  <c:v>0.19338</c:v>
                </c:pt>
                <c:pt idx="756">
                  <c:v>0.1875</c:v>
                </c:pt>
                <c:pt idx="757">
                  <c:v>0.19305</c:v>
                </c:pt>
                <c:pt idx="758">
                  <c:v>0.19295000000000001</c:v>
                </c:pt>
                <c:pt idx="759">
                  <c:v>0.19325999999999999</c:v>
                </c:pt>
                <c:pt idx="760">
                  <c:v>0.19653000000000001</c:v>
                </c:pt>
                <c:pt idx="761">
                  <c:v>0.19320000000000001</c:v>
                </c:pt>
                <c:pt idx="762">
                  <c:v>0.19003</c:v>
                </c:pt>
                <c:pt idx="763">
                  <c:v>0.18923000000000001</c:v>
                </c:pt>
                <c:pt idx="764">
                  <c:v>0.18851999999999999</c:v>
                </c:pt>
                <c:pt idx="765">
                  <c:v>0.19077</c:v>
                </c:pt>
                <c:pt idx="766">
                  <c:v>0.18953</c:v>
                </c:pt>
                <c:pt idx="767">
                  <c:v>0.19649</c:v>
                </c:pt>
                <c:pt idx="768">
                  <c:v>0.19142999999999999</c:v>
                </c:pt>
                <c:pt idx="769">
                  <c:v>0.19520999999999999</c:v>
                </c:pt>
                <c:pt idx="770">
                  <c:v>0.18779999999999999</c:v>
                </c:pt>
                <c:pt idx="771">
                  <c:v>0.19572999999999999</c:v>
                </c:pt>
                <c:pt idx="772">
                  <c:v>0.18310000000000001</c:v>
                </c:pt>
                <c:pt idx="773">
                  <c:v>0.20549999999999999</c:v>
                </c:pt>
                <c:pt idx="774">
                  <c:v>0.21734999999999999</c:v>
                </c:pt>
                <c:pt idx="775">
                  <c:v>0.21604999999999999</c:v>
                </c:pt>
                <c:pt idx="776">
                  <c:v>0.22054000000000001</c:v>
                </c:pt>
                <c:pt idx="777">
                  <c:v>0.21837000000000001</c:v>
                </c:pt>
                <c:pt idx="778">
                  <c:v>0.22092999999999999</c:v>
                </c:pt>
                <c:pt idx="779">
                  <c:v>0.22256000000000001</c:v>
                </c:pt>
                <c:pt idx="780">
                  <c:v>0.22445000000000001</c:v>
                </c:pt>
                <c:pt idx="781">
                  <c:v>0.22908999999999999</c:v>
                </c:pt>
                <c:pt idx="782">
                  <c:v>0.22699</c:v>
                </c:pt>
                <c:pt idx="783">
                  <c:v>0.22545999999999999</c:v>
                </c:pt>
                <c:pt idx="784">
                  <c:v>0.22117999999999999</c:v>
                </c:pt>
                <c:pt idx="785">
                  <c:v>0.21390000000000001</c:v>
                </c:pt>
                <c:pt idx="786">
                  <c:v>0.21951000000000001</c:v>
                </c:pt>
                <c:pt idx="787">
                  <c:v>0.21914</c:v>
                </c:pt>
                <c:pt idx="788">
                  <c:v>0.22477</c:v>
                </c:pt>
                <c:pt idx="789">
                  <c:v>0.22550000000000001</c:v>
                </c:pt>
                <c:pt idx="790">
                  <c:v>0.22997999999999999</c:v>
                </c:pt>
                <c:pt idx="791">
                  <c:v>0.22313</c:v>
                </c:pt>
                <c:pt idx="792">
                  <c:v>0.224</c:v>
                </c:pt>
                <c:pt idx="793">
                  <c:v>0.22059999999999999</c:v>
                </c:pt>
                <c:pt idx="794">
                  <c:v>0.21731</c:v>
                </c:pt>
                <c:pt idx="795">
                  <c:v>0.21989</c:v>
                </c:pt>
                <c:pt idx="796">
                  <c:v>0.23407</c:v>
                </c:pt>
                <c:pt idx="797">
                  <c:v>0.23</c:v>
                </c:pt>
                <c:pt idx="798">
                  <c:v>0.24345</c:v>
                </c:pt>
                <c:pt idx="799">
                  <c:v>0.25013999999999997</c:v>
                </c:pt>
                <c:pt idx="800">
                  <c:v>0.25397999999999998</c:v>
                </c:pt>
                <c:pt idx="801">
                  <c:v>0.25179000000000001</c:v>
                </c:pt>
                <c:pt idx="802">
                  <c:v>0.26311000000000001</c:v>
                </c:pt>
                <c:pt idx="803">
                  <c:v>0.26218000000000002</c:v>
                </c:pt>
                <c:pt idx="804">
                  <c:v>0.26068999999999998</c:v>
                </c:pt>
                <c:pt idx="805">
                  <c:v>0.26795000000000002</c:v>
                </c:pt>
                <c:pt idx="806">
                  <c:v>0.27201999999999998</c:v>
                </c:pt>
                <c:pt idx="807">
                  <c:v>0.27222000000000002</c:v>
                </c:pt>
                <c:pt idx="808">
                  <c:v>0.27422999999999997</c:v>
                </c:pt>
                <c:pt idx="809">
                  <c:v>0.27894000000000002</c:v>
                </c:pt>
                <c:pt idx="810">
                  <c:v>0.27989999999999998</c:v>
                </c:pt>
                <c:pt idx="811">
                  <c:v>0.27546999999999999</c:v>
                </c:pt>
                <c:pt idx="812">
                  <c:v>0.29060999999999998</c:v>
                </c:pt>
                <c:pt idx="813">
                  <c:v>0.31008999999999998</c:v>
                </c:pt>
                <c:pt idx="814">
                  <c:v>0.30060999999999999</c:v>
                </c:pt>
                <c:pt idx="815">
                  <c:v>0.29863000000000001</c:v>
                </c:pt>
                <c:pt idx="816">
                  <c:v>0.29024</c:v>
                </c:pt>
                <c:pt idx="817">
                  <c:v>0.29455999999999999</c:v>
                </c:pt>
                <c:pt idx="818">
                  <c:v>0.29146</c:v>
                </c:pt>
                <c:pt idx="819">
                  <c:v>0.29452</c:v>
                </c:pt>
                <c:pt idx="820">
                  <c:v>0.29471000000000003</c:v>
                </c:pt>
                <c:pt idx="821">
                  <c:v>0.30192000000000002</c:v>
                </c:pt>
                <c:pt idx="822">
                  <c:v>0.29447000000000001</c:v>
                </c:pt>
                <c:pt idx="823">
                  <c:v>0.29818</c:v>
                </c:pt>
                <c:pt idx="824">
                  <c:v>0.29350999999999999</c:v>
                </c:pt>
                <c:pt idx="825">
                  <c:v>0.29829</c:v>
                </c:pt>
                <c:pt idx="826">
                  <c:v>0.27595999999999998</c:v>
                </c:pt>
                <c:pt idx="827">
                  <c:v>0.27306000000000002</c:v>
                </c:pt>
                <c:pt idx="828">
                  <c:v>0.29046</c:v>
                </c:pt>
                <c:pt idx="829">
                  <c:v>0.29187000000000002</c:v>
                </c:pt>
                <c:pt idx="830">
                  <c:v>0.29386000000000001</c:v>
                </c:pt>
                <c:pt idx="831">
                  <c:v>0.29144999999999999</c:v>
                </c:pt>
                <c:pt idx="832">
                  <c:v>0.29404000000000002</c:v>
                </c:pt>
                <c:pt idx="833">
                  <c:v>0.30166999999999999</c:v>
                </c:pt>
                <c:pt idx="834">
                  <c:v>0.28331000000000001</c:v>
                </c:pt>
                <c:pt idx="835">
                  <c:v>0.28859000000000001</c:v>
                </c:pt>
                <c:pt idx="836">
                  <c:v>0.29726999999999998</c:v>
                </c:pt>
                <c:pt idx="837">
                  <c:v>0.27726000000000001</c:v>
                </c:pt>
                <c:pt idx="838">
                  <c:v>0.27226</c:v>
                </c:pt>
                <c:pt idx="839">
                  <c:v>0.26743</c:v>
                </c:pt>
                <c:pt idx="840">
                  <c:v>0.27021000000000001</c:v>
                </c:pt>
                <c:pt idx="841">
                  <c:v>0.28082000000000001</c:v>
                </c:pt>
                <c:pt idx="842">
                  <c:v>0.27739999999999998</c:v>
                </c:pt>
                <c:pt idx="843">
                  <c:v>0.27592</c:v>
                </c:pt>
                <c:pt idx="844">
                  <c:v>0.25552000000000002</c:v>
                </c:pt>
                <c:pt idx="845">
                  <c:v>0.25324999999999998</c:v>
                </c:pt>
                <c:pt idx="846">
                  <c:v>0.25242999999999999</c:v>
                </c:pt>
                <c:pt idx="847">
                  <c:v>0.24673999999999999</c:v>
                </c:pt>
                <c:pt idx="848">
                  <c:v>0.25247000000000003</c:v>
                </c:pt>
                <c:pt idx="849">
                  <c:v>0.24787999999999999</c:v>
                </c:pt>
                <c:pt idx="850">
                  <c:v>0.25659999999999999</c:v>
                </c:pt>
                <c:pt idx="851">
                  <c:v>0.24024000000000001</c:v>
                </c:pt>
                <c:pt idx="852">
                  <c:v>0.24163000000000001</c:v>
                </c:pt>
                <c:pt idx="853">
                  <c:v>0.24207999999999999</c:v>
                </c:pt>
                <c:pt idx="854">
                  <c:v>0.2422</c:v>
                </c:pt>
                <c:pt idx="855">
                  <c:v>0.2457</c:v>
                </c:pt>
                <c:pt idx="856">
                  <c:v>0.23282</c:v>
                </c:pt>
                <c:pt idx="857">
                  <c:v>0.26785999999999999</c:v>
                </c:pt>
                <c:pt idx="858">
                  <c:v>0.27653</c:v>
                </c:pt>
                <c:pt idx="859">
                  <c:v>0.28960999999999998</c:v>
                </c:pt>
                <c:pt idx="860">
                  <c:v>0.29360000000000003</c:v>
                </c:pt>
                <c:pt idx="861">
                  <c:v>0.30062</c:v>
                </c:pt>
                <c:pt idx="862">
                  <c:v>0.31344</c:v>
                </c:pt>
                <c:pt idx="863">
                  <c:v>0.28560999999999998</c:v>
                </c:pt>
                <c:pt idx="864">
                  <c:v>0.26097999999999999</c:v>
                </c:pt>
                <c:pt idx="865">
                  <c:v>0.26022000000000001</c:v>
                </c:pt>
                <c:pt idx="866">
                  <c:v>0.26124000000000003</c:v>
                </c:pt>
                <c:pt idx="867">
                  <c:v>0.25519999999999998</c:v>
                </c:pt>
                <c:pt idx="868">
                  <c:v>0.25406000000000001</c:v>
                </c:pt>
                <c:pt idx="869">
                  <c:v>0.25518999999999997</c:v>
                </c:pt>
                <c:pt idx="870">
                  <c:v>0.25858999999999999</c:v>
                </c:pt>
                <c:pt idx="871">
                  <c:v>0.25855</c:v>
                </c:pt>
                <c:pt idx="872">
                  <c:v>0.26205000000000001</c:v>
                </c:pt>
                <c:pt idx="873">
                  <c:v>0.25992999999999999</c:v>
                </c:pt>
                <c:pt idx="874">
                  <c:v>0.25109999999999999</c:v>
                </c:pt>
                <c:pt idx="875">
                  <c:v>0.25617000000000001</c:v>
                </c:pt>
                <c:pt idx="876">
                  <c:v>0.25842999999999999</c:v>
                </c:pt>
                <c:pt idx="877">
                  <c:v>0.26241999999999999</c:v>
                </c:pt>
                <c:pt idx="878">
                  <c:v>0.2606</c:v>
                </c:pt>
                <c:pt idx="879">
                  <c:v>0.25592999999999999</c:v>
                </c:pt>
                <c:pt idx="880">
                  <c:v>0.25746999999999998</c:v>
                </c:pt>
                <c:pt idx="881">
                  <c:v>0.25539000000000001</c:v>
                </c:pt>
                <c:pt idx="882">
                  <c:v>0.25697999999999999</c:v>
                </c:pt>
                <c:pt idx="883">
                  <c:v>0.25629000000000002</c:v>
                </c:pt>
                <c:pt idx="884">
                  <c:v>0.26954</c:v>
                </c:pt>
                <c:pt idx="885">
                  <c:v>0.27050999999999997</c:v>
                </c:pt>
                <c:pt idx="886">
                  <c:v>0.26954</c:v>
                </c:pt>
                <c:pt idx="887">
                  <c:v>0.27137</c:v>
                </c:pt>
                <c:pt idx="888">
                  <c:v>0.27664</c:v>
                </c:pt>
                <c:pt idx="889">
                  <c:v>0.27039000000000002</c:v>
                </c:pt>
                <c:pt idx="890">
                  <c:v>0.26589000000000002</c:v>
                </c:pt>
                <c:pt idx="891">
                  <c:v>0.27432000000000001</c:v>
                </c:pt>
                <c:pt idx="892">
                  <c:v>0.28201999999999999</c:v>
                </c:pt>
                <c:pt idx="893">
                  <c:v>0.28320000000000001</c:v>
                </c:pt>
                <c:pt idx="894">
                  <c:v>0.26545999999999997</c:v>
                </c:pt>
                <c:pt idx="895">
                  <c:v>0.26046999999999998</c:v>
                </c:pt>
                <c:pt idx="896">
                  <c:v>0.26378000000000001</c:v>
                </c:pt>
                <c:pt idx="897">
                  <c:v>0.26352999999999999</c:v>
                </c:pt>
                <c:pt idx="898">
                  <c:v>0.29799999999999999</c:v>
                </c:pt>
                <c:pt idx="899">
                  <c:v>0.30059999999999998</c:v>
                </c:pt>
                <c:pt idx="900">
                  <c:v>0.30315999999999999</c:v>
                </c:pt>
                <c:pt idx="901">
                  <c:v>0.29918</c:v>
                </c:pt>
                <c:pt idx="902">
                  <c:v>0.29648999999999998</c:v>
                </c:pt>
                <c:pt idx="903">
                  <c:v>0.30825000000000002</c:v>
                </c:pt>
                <c:pt idx="904">
                  <c:v>0.31108999999999998</c:v>
                </c:pt>
                <c:pt idx="905">
                  <c:v>0.31159999999999999</c:v>
                </c:pt>
                <c:pt idx="906">
                  <c:v>0.32241999999999998</c:v>
                </c:pt>
                <c:pt idx="907">
                  <c:v>0.31813000000000002</c:v>
                </c:pt>
                <c:pt idx="908">
                  <c:v>0.31596000000000002</c:v>
                </c:pt>
                <c:pt idx="909">
                  <c:v>0.31178</c:v>
                </c:pt>
                <c:pt idx="910">
                  <c:v>0.31574999999999998</c:v>
                </c:pt>
                <c:pt idx="911">
                  <c:v>0.31958999999999999</c:v>
                </c:pt>
                <c:pt idx="912">
                  <c:v>0.31823000000000001</c:v>
                </c:pt>
                <c:pt idx="913">
                  <c:v>0.31003999999999998</c:v>
                </c:pt>
                <c:pt idx="914">
                  <c:v>0.31218000000000001</c:v>
                </c:pt>
                <c:pt idx="915">
                  <c:v>0.30964999999999998</c:v>
                </c:pt>
                <c:pt idx="916">
                  <c:v>0.32302999999999998</c:v>
                </c:pt>
                <c:pt idx="917">
                  <c:v>0.31335000000000002</c:v>
                </c:pt>
                <c:pt idx="918">
                  <c:v>0.31547999999999998</c:v>
                </c:pt>
                <c:pt idx="919">
                  <c:v>0.30891000000000002</c:v>
                </c:pt>
                <c:pt idx="920">
                  <c:v>0.32111000000000001</c:v>
                </c:pt>
                <c:pt idx="921">
                  <c:v>0.33074999999999999</c:v>
                </c:pt>
                <c:pt idx="922">
                  <c:v>0.33278999999999997</c:v>
                </c:pt>
                <c:pt idx="923">
                  <c:v>0.31879999999999997</c:v>
                </c:pt>
                <c:pt idx="924">
                  <c:v>0.32035000000000002</c:v>
                </c:pt>
                <c:pt idx="925">
                  <c:v>0.31031999999999998</c:v>
                </c:pt>
                <c:pt idx="926">
                  <c:v>0.29543000000000003</c:v>
                </c:pt>
                <c:pt idx="927">
                  <c:v>0.31286999999999998</c:v>
                </c:pt>
                <c:pt idx="928">
                  <c:v>0.30365999999999999</c:v>
                </c:pt>
                <c:pt idx="929">
                  <c:v>0.33206000000000002</c:v>
                </c:pt>
                <c:pt idx="930">
                  <c:v>0.34336</c:v>
                </c:pt>
                <c:pt idx="931">
                  <c:v>0.32874999999999999</c:v>
                </c:pt>
                <c:pt idx="932">
                  <c:v>0.36153999999999997</c:v>
                </c:pt>
                <c:pt idx="933">
                  <c:v>0.39362000000000003</c:v>
                </c:pt>
                <c:pt idx="934">
                  <c:v>0.40072999999999998</c:v>
                </c:pt>
                <c:pt idx="935">
                  <c:v>0.39650999999999997</c:v>
                </c:pt>
                <c:pt idx="936">
                  <c:v>0.39030999999999999</c:v>
                </c:pt>
                <c:pt idx="937">
                  <c:v>0.37880999999999998</c:v>
                </c:pt>
                <c:pt idx="938">
                  <c:v>0.38723000000000002</c:v>
                </c:pt>
                <c:pt idx="939">
                  <c:v>0.40455999999999998</c:v>
                </c:pt>
                <c:pt idx="940">
                  <c:v>0.39794000000000002</c:v>
                </c:pt>
                <c:pt idx="941">
                  <c:v>0.40690999999999999</c:v>
                </c:pt>
                <c:pt idx="942">
                  <c:v>0.3962</c:v>
                </c:pt>
                <c:pt idx="943">
                  <c:v>0.42620000000000002</c:v>
                </c:pt>
                <c:pt idx="944">
                  <c:v>0.42609999999999998</c:v>
                </c:pt>
                <c:pt idx="945">
                  <c:v>0.41049000000000002</c:v>
                </c:pt>
                <c:pt idx="946">
                  <c:v>0.46805000000000002</c:v>
                </c:pt>
                <c:pt idx="947">
                  <c:v>0.46809000000000001</c:v>
                </c:pt>
                <c:pt idx="948">
                  <c:v>0.47384999999999999</c:v>
                </c:pt>
                <c:pt idx="949">
                  <c:v>0.47015000000000001</c:v>
                </c:pt>
                <c:pt idx="950">
                  <c:v>0.47728999999999999</c:v>
                </c:pt>
                <c:pt idx="951">
                  <c:v>0.4425</c:v>
                </c:pt>
                <c:pt idx="952">
                  <c:v>0.42995</c:v>
                </c:pt>
                <c:pt idx="953">
                  <c:v>0.43406</c:v>
                </c:pt>
                <c:pt idx="954">
                  <c:v>0.42693999999999999</c:v>
                </c:pt>
                <c:pt idx="955">
                  <c:v>0.44705</c:v>
                </c:pt>
                <c:pt idx="956">
                  <c:v>0.42703000000000002</c:v>
                </c:pt>
                <c:pt idx="957">
                  <c:v>0.40949999999999998</c:v>
                </c:pt>
                <c:pt idx="958">
                  <c:v>0.40200999999999998</c:v>
                </c:pt>
                <c:pt idx="959">
                  <c:v>0.39876</c:v>
                </c:pt>
                <c:pt idx="960">
                  <c:v>0.40073999999999999</c:v>
                </c:pt>
                <c:pt idx="961">
                  <c:v>0.39191999999999999</c:v>
                </c:pt>
                <c:pt idx="962">
                  <c:v>0.39989999999999998</c:v>
                </c:pt>
                <c:pt idx="963">
                  <c:v>0.38527</c:v>
                </c:pt>
                <c:pt idx="964">
                  <c:v>0.40699000000000002</c:v>
                </c:pt>
                <c:pt idx="965">
                  <c:v>0.41886000000000001</c:v>
                </c:pt>
                <c:pt idx="966">
                  <c:v>0.41937000000000002</c:v>
                </c:pt>
                <c:pt idx="967">
                  <c:v>0.40010000000000001</c:v>
                </c:pt>
                <c:pt idx="968">
                  <c:v>0.39878000000000002</c:v>
                </c:pt>
                <c:pt idx="969">
                  <c:v>0.41731000000000001</c:v>
                </c:pt>
                <c:pt idx="970">
                  <c:v>0.44396000000000002</c:v>
                </c:pt>
                <c:pt idx="971">
                  <c:v>0.42893999999999999</c:v>
                </c:pt>
                <c:pt idx="972">
                  <c:v>0.43851000000000001</c:v>
                </c:pt>
                <c:pt idx="973">
                  <c:v>0.41788999999999998</c:v>
                </c:pt>
                <c:pt idx="974">
                  <c:v>0.44307000000000002</c:v>
                </c:pt>
                <c:pt idx="975">
                  <c:v>0.44877</c:v>
                </c:pt>
                <c:pt idx="976">
                  <c:v>0.43330999999999997</c:v>
                </c:pt>
                <c:pt idx="977">
                  <c:v>0.40372000000000002</c:v>
                </c:pt>
                <c:pt idx="978">
                  <c:v>0.38519999999999999</c:v>
                </c:pt>
                <c:pt idx="979">
                  <c:v>0.38285999999999998</c:v>
                </c:pt>
                <c:pt idx="980">
                  <c:v>0.37956000000000001</c:v>
                </c:pt>
                <c:pt idx="981">
                  <c:v>0.37182999999999999</c:v>
                </c:pt>
                <c:pt idx="982">
                  <c:v>0.39523999999999998</c:v>
                </c:pt>
                <c:pt idx="983">
                  <c:v>0.39635999999999999</c:v>
                </c:pt>
                <c:pt idx="984">
                  <c:v>0.41631000000000001</c:v>
                </c:pt>
                <c:pt idx="985">
                  <c:v>0.37182999999999999</c:v>
                </c:pt>
                <c:pt idx="986">
                  <c:v>0.38862000000000002</c:v>
                </c:pt>
                <c:pt idx="987">
                  <c:v>0.41876000000000002</c:v>
                </c:pt>
                <c:pt idx="988">
                  <c:v>0.45734000000000002</c:v>
                </c:pt>
                <c:pt idx="989">
                  <c:v>0.40899999999999997</c:v>
                </c:pt>
                <c:pt idx="990">
                  <c:v>0.32408999999999999</c:v>
                </c:pt>
                <c:pt idx="991">
                  <c:v>0.31015999999999999</c:v>
                </c:pt>
                <c:pt idx="992">
                  <c:v>0.31724000000000002</c:v>
                </c:pt>
                <c:pt idx="993">
                  <c:v>0.29881000000000002</c:v>
                </c:pt>
                <c:pt idx="994">
                  <c:v>0.29487999999999998</c:v>
                </c:pt>
                <c:pt idx="995">
                  <c:v>0.29958000000000001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D-4D63-8664-4170FAA0A6A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295.52209158065506</c:v>
                </c:pt>
                <c:pt idx="1">
                  <c:v>295.74842479627716</c:v>
                </c:pt>
                <c:pt idx="2">
                  <c:v>297.88786048032176</c:v>
                </c:pt>
                <c:pt idx="3">
                  <c:v>295.77717274164252</c:v>
                </c:pt>
                <c:pt idx="4">
                  <c:v>292.90729979353222</c:v>
                </c:pt>
                <c:pt idx="5">
                  <c:v>290.60624800154113</c:v>
                </c:pt>
                <c:pt idx="6">
                  <c:v>291.33013064926075</c:v>
                </c:pt>
                <c:pt idx="7">
                  <c:v>294.78415059726586</c:v>
                </c:pt>
                <c:pt idx="8">
                  <c:v>296.50396522307932</c:v>
                </c:pt>
                <c:pt idx="9">
                  <c:v>296.51658476890714</c:v>
                </c:pt>
                <c:pt idx="10">
                  <c:v>296.64065811555383</c:v>
                </c:pt>
                <c:pt idx="11">
                  <c:v>297.04893364405547</c:v>
                </c:pt>
                <c:pt idx="12">
                  <c:v>297.02441049091823</c:v>
                </c:pt>
                <c:pt idx="13">
                  <c:v>297.01182476191815</c:v>
                </c:pt>
                <c:pt idx="14">
                  <c:v>297.23429101218517</c:v>
                </c:pt>
                <c:pt idx="15">
                  <c:v>298.68808785770892</c:v>
                </c:pt>
                <c:pt idx="16">
                  <c:v>297.46518504347165</c:v>
                </c:pt>
                <c:pt idx="17">
                  <c:v>295.63943601966213</c:v>
                </c:pt>
                <c:pt idx="18">
                  <c:v>294.42134281599658</c:v>
                </c:pt>
                <c:pt idx="19">
                  <c:v>294.35776740382875</c:v>
                </c:pt>
                <c:pt idx="20">
                  <c:v>294.7563105742683</c:v>
                </c:pt>
                <c:pt idx="21">
                  <c:v>293.51799330313582</c:v>
                </c:pt>
                <c:pt idx="22">
                  <c:v>291.80874755140655</c:v>
                </c:pt>
                <c:pt idx="23">
                  <c:v>291.84349247421909</c:v>
                </c:pt>
                <c:pt idx="24">
                  <c:v>291.17627731917372</c:v>
                </c:pt>
                <c:pt idx="25">
                  <c:v>291.90221394441431</c:v>
                </c:pt>
                <c:pt idx="26">
                  <c:v>291.31751874929574</c:v>
                </c:pt>
                <c:pt idx="27">
                  <c:v>290.47458502621879</c:v>
                </c:pt>
                <c:pt idx="28">
                  <c:v>290.36389428744963</c:v>
                </c:pt>
                <c:pt idx="29">
                  <c:v>289.67551338800132</c:v>
                </c:pt>
                <c:pt idx="30">
                  <c:v>291.94208062910218</c:v>
                </c:pt>
                <c:pt idx="31">
                  <c:v>294.68845118623631</c:v>
                </c:pt>
                <c:pt idx="32">
                  <c:v>295.60756342931506</c:v>
                </c:pt>
                <c:pt idx="33">
                  <c:v>295.5264237479675</c:v>
                </c:pt>
                <c:pt idx="34">
                  <c:v>294.35398565894315</c:v>
                </c:pt>
                <c:pt idx="35">
                  <c:v>298.31669887650804</c:v>
                </c:pt>
                <c:pt idx="36">
                  <c:v>296.24818784644515</c:v>
                </c:pt>
                <c:pt idx="37">
                  <c:v>295.41060620459473</c:v>
                </c:pt>
                <c:pt idx="38">
                  <c:v>291.94208860200007</c:v>
                </c:pt>
                <c:pt idx="39">
                  <c:v>290.68945555557542</c:v>
                </c:pt>
                <c:pt idx="40">
                  <c:v>290.55057736066021</c:v>
                </c:pt>
                <c:pt idx="41">
                  <c:v>289.50780267750235</c:v>
                </c:pt>
                <c:pt idx="42">
                  <c:v>290.16723177243193</c:v>
                </c:pt>
                <c:pt idx="43">
                  <c:v>291.94635739862235</c:v>
                </c:pt>
                <c:pt idx="44">
                  <c:v>289.95656172052713</c:v>
                </c:pt>
                <c:pt idx="45">
                  <c:v>288.00503848511465</c:v>
                </c:pt>
                <c:pt idx="46">
                  <c:v>289.84115704229134</c:v>
                </c:pt>
                <c:pt idx="47">
                  <c:v>289.25684270803515</c:v>
                </c:pt>
                <c:pt idx="48">
                  <c:v>289.06719256066668</c:v>
                </c:pt>
                <c:pt idx="49">
                  <c:v>293.1858051012241</c:v>
                </c:pt>
                <c:pt idx="50">
                  <c:v>296.56345746945829</c:v>
                </c:pt>
                <c:pt idx="51">
                  <c:v>294.6660037662798</c:v>
                </c:pt>
                <c:pt idx="52">
                  <c:v>296.17707232027976</c:v>
                </c:pt>
                <c:pt idx="53">
                  <c:v>291.68757168323827</c:v>
                </c:pt>
                <c:pt idx="54">
                  <c:v>292.9147632875393</c:v>
                </c:pt>
                <c:pt idx="55">
                  <c:v>285.9972975624018</c:v>
                </c:pt>
                <c:pt idx="56">
                  <c:v>286.99843202922489</c:v>
                </c:pt>
                <c:pt idx="57">
                  <c:v>287.08226381293269</c:v>
                </c:pt>
                <c:pt idx="58">
                  <c:v>288.24672209614124</c:v>
                </c:pt>
                <c:pt idx="59">
                  <c:v>288.46064033359153</c:v>
                </c:pt>
                <c:pt idx="60">
                  <c:v>287.31900535601426</c:v>
                </c:pt>
                <c:pt idx="61">
                  <c:v>283.99443122968205</c:v>
                </c:pt>
                <c:pt idx="62">
                  <c:v>284.61275859043212</c:v>
                </c:pt>
                <c:pt idx="63">
                  <c:v>288.43473298027016</c:v>
                </c:pt>
                <c:pt idx="64">
                  <c:v>288.33355331906648</c:v>
                </c:pt>
                <c:pt idx="65">
                  <c:v>289.07784218102353</c:v>
                </c:pt>
                <c:pt idx="66">
                  <c:v>286.36877616276348</c:v>
                </c:pt>
                <c:pt idx="67">
                  <c:v>288.06172884868943</c:v>
                </c:pt>
                <c:pt idx="68">
                  <c:v>290.07717930868938</c:v>
                </c:pt>
                <c:pt idx="69">
                  <c:v>288.15743220569647</c:v>
                </c:pt>
                <c:pt idx="70">
                  <c:v>285.79211920429464</c:v>
                </c:pt>
                <c:pt idx="71">
                  <c:v>290.4709186090559</c:v>
                </c:pt>
                <c:pt idx="72">
                  <c:v>289.14074149436954</c:v>
                </c:pt>
                <c:pt idx="73">
                  <c:v>290.91222658255066</c:v>
                </c:pt>
                <c:pt idx="74">
                  <c:v>292.9070803412344</c:v>
                </c:pt>
                <c:pt idx="75">
                  <c:v>292.37901624698441</c:v>
                </c:pt>
                <c:pt idx="76">
                  <c:v>291.89104246446408</c:v>
                </c:pt>
                <c:pt idx="77">
                  <c:v>292.50194426623619</c:v>
                </c:pt>
                <c:pt idx="78">
                  <c:v>292.64818553762086</c:v>
                </c:pt>
                <c:pt idx="79">
                  <c:v>296.11849805524918</c:v>
                </c:pt>
                <c:pt idx="80">
                  <c:v>296.02387117385632</c:v>
                </c:pt>
                <c:pt idx="81">
                  <c:v>292.25180424940316</c:v>
                </c:pt>
                <c:pt idx="82">
                  <c:v>289.95521496760472</c:v>
                </c:pt>
                <c:pt idx="83">
                  <c:v>289.35152836122791</c:v>
                </c:pt>
                <c:pt idx="84">
                  <c:v>290.09383730281883</c:v>
                </c:pt>
                <c:pt idx="85">
                  <c:v>291.06381216694257</c:v>
                </c:pt>
                <c:pt idx="86">
                  <c:v>286.64268195351292</c:v>
                </c:pt>
                <c:pt idx="87">
                  <c:v>284.19559866100076</c:v>
                </c:pt>
                <c:pt idx="88">
                  <c:v>285.28971764404355</c:v>
                </c:pt>
                <c:pt idx="89">
                  <c:v>285.11244065352895</c:v>
                </c:pt>
                <c:pt idx="90">
                  <c:v>285.6994590836365</c:v>
                </c:pt>
                <c:pt idx="91">
                  <c:v>283.25150898574174</c:v>
                </c:pt>
                <c:pt idx="92">
                  <c:v>279.62315414037397</c:v>
                </c:pt>
                <c:pt idx="93">
                  <c:v>283.92989078076488</c:v>
                </c:pt>
                <c:pt idx="94">
                  <c:v>286.19321794115007</c:v>
                </c:pt>
                <c:pt idx="95">
                  <c:v>285.42447002474381</c:v>
                </c:pt>
                <c:pt idx="96">
                  <c:v>284.57591473927687</c:v>
                </c:pt>
                <c:pt idx="97">
                  <c:v>283.92889250151211</c:v>
                </c:pt>
                <c:pt idx="98">
                  <c:v>285.49064314812415</c:v>
                </c:pt>
                <c:pt idx="99">
                  <c:v>289.52113023937892</c:v>
                </c:pt>
                <c:pt idx="100">
                  <c:v>286.83488466842579</c:v>
                </c:pt>
                <c:pt idx="101">
                  <c:v>285.80702981417295</c:v>
                </c:pt>
                <c:pt idx="102">
                  <c:v>286.20278954488384</c:v>
                </c:pt>
                <c:pt idx="103">
                  <c:v>285.24097420963687</c:v>
                </c:pt>
                <c:pt idx="104">
                  <c:v>288.12310647972475</c:v>
                </c:pt>
                <c:pt idx="105">
                  <c:v>286.14392086333658</c:v>
                </c:pt>
                <c:pt idx="106">
                  <c:v>286.99084271164645</c:v>
                </c:pt>
                <c:pt idx="107">
                  <c:v>284.37609476791022</c:v>
                </c:pt>
                <c:pt idx="108">
                  <c:v>284.13903759128004</c:v>
                </c:pt>
                <c:pt idx="109">
                  <c:v>284.72228400944942</c:v>
                </c:pt>
                <c:pt idx="110">
                  <c:v>290.07072115800435</c:v>
                </c:pt>
                <c:pt idx="111">
                  <c:v>287.60597652221117</c:v>
                </c:pt>
                <c:pt idx="112">
                  <c:v>289.28340970221115</c:v>
                </c:pt>
                <c:pt idx="113">
                  <c:v>289.35465864544818</c:v>
                </c:pt>
                <c:pt idx="114">
                  <c:v>287.7990374601514</c:v>
                </c:pt>
                <c:pt idx="115">
                  <c:v>284.20867429607148</c:v>
                </c:pt>
                <c:pt idx="116">
                  <c:v>280.3543277426636</c:v>
                </c:pt>
                <c:pt idx="117">
                  <c:v>280.53537608687725</c:v>
                </c:pt>
                <c:pt idx="118">
                  <c:v>281.10799842229011</c:v>
                </c:pt>
                <c:pt idx="119">
                  <c:v>277.47436032336037</c:v>
                </c:pt>
                <c:pt idx="120">
                  <c:v>275.82947644780478</c:v>
                </c:pt>
                <c:pt idx="121">
                  <c:v>276.96160396387887</c:v>
                </c:pt>
                <c:pt idx="122">
                  <c:v>279.79992393899249</c:v>
                </c:pt>
                <c:pt idx="123">
                  <c:v>283.03286072976169</c:v>
                </c:pt>
                <c:pt idx="124">
                  <c:v>280.73543907546724</c:v>
                </c:pt>
                <c:pt idx="125">
                  <c:v>280.23247684793103</c:v>
                </c:pt>
                <c:pt idx="126">
                  <c:v>280.25836775836734</c:v>
                </c:pt>
                <c:pt idx="127">
                  <c:v>278.71587091804344</c:v>
                </c:pt>
                <c:pt idx="128">
                  <c:v>273.1745417333438</c:v>
                </c:pt>
                <c:pt idx="129">
                  <c:v>277.4837792183298</c:v>
                </c:pt>
                <c:pt idx="130">
                  <c:v>279.9838837730706</c:v>
                </c:pt>
                <c:pt idx="131">
                  <c:v>281.16445394809261</c:v>
                </c:pt>
                <c:pt idx="132">
                  <c:v>281.22456226532336</c:v>
                </c:pt>
                <c:pt idx="133">
                  <c:v>282.44862899547837</c:v>
                </c:pt>
                <c:pt idx="134">
                  <c:v>283.19889234466331</c:v>
                </c:pt>
                <c:pt idx="135">
                  <c:v>281.35022731152378</c:v>
                </c:pt>
                <c:pt idx="136">
                  <c:v>278.79205014730053</c:v>
                </c:pt>
                <c:pt idx="137">
                  <c:v>279.9481224257454</c:v>
                </c:pt>
                <c:pt idx="138">
                  <c:v>277.58719260560258</c:v>
                </c:pt>
                <c:pt idx="139">
                  <c:v>278.20998814098277</c:v>
                </c:pt>
                <c:pt idx="140">
                  <c:v>285.11301445231294</c:v>
                </c:pt>
                <c:pt idx="141">
                  <c:v>287.18624521853991</c:v>
                </c:pt>
                <c:pt idx="142">
                  <c:v>284.92732431503578</c:v>
                </c:pt>
                <c:pt idx="143">
                  <c:v>287.47133782752599</c:v>
                </c:pt>
                <c:pt idx="144">
                  <c:v>283.72723831067293</c:v>
                </c:pt>
                <c:pt idx="145">
                  <c:v>280.80531191410222</c:v>
                </c:pt>
                <c:pt idx="146">
                  <c:v>282.11399775455385</c:v>
                </c:pt>
                <c:pt idx="147">
                  <c:v>280.15127029444585</c:v>
                </c:pt>
                <c:pt idx="148">
                  <c:v>280.83464428193901</c:v>
                </c:pt>
                <c:pt idx="149">
                  <c:v>276.39263345955089</c:v>
                </c:pt>
                <c:pt idx="150">
                  <c:v>274.70830768900856</c:v>
                </c:pt>
                <c:pt idx="151">
                  <c:v>277.60403931446979</c:v>
                </c:pt>
                <c:pt idx="152">
                  <c:v>277.5316976868499</c:v>
                </c:pt>
                <c:pt idx="153">
                  <c:v>279.42134033008386</c:v>
                </c:pt>
                <c:pt idx="154">
                  <c:v>273.82746727110032</c:v>
                </c:pt>
                <c:pt idx="155">
                  <c:v>278.82277197002526</c:v>
                </c:pt>
                <c:pt idx="156">
                  <c:v>274.17588148379554</c:v>
                </c:pt>
                <c:pt idx="157">
                  <c:v>279.30971761866772</c:v>
                </c:pt>
                <c:pt idx="158">
                  <c:v>280.31929679807513</c:v>
                </c:pt>
                <c:pt idx="159">
                  <c:v>279.83957063564253</c:v>
                </c:pt>
                <c:pt idx="160">
                  <c:v>282.28949951062481</c:v>
                </c:pt>
                <c:pt idx="161">
                  <c:v>279.86517132908131</c:v>
                </c:pt>
                <c:pt idx="162">
                  <c:v>272.71166479645967</c:v>
                </c:pt>
                <c:pt idx="163">
                  <c:v>270.34213684688729</c:v>
                </c:pt>
                <c:pt idx="164">
                  <c:v>277.87181189814743</c:v>
                </c:pt>
                <c:pt idx="165">
                  <c:v>282.8347636411674</c:v>
                </c:pt>
                <c:pt idx="166">
                  <c:v>283.51978692654029</c:v>
                </c:pt>
                <c:pt idx="167">
                  <c:v>273.05139203568052</c:v>
                </c:pt>
                <c:pt idx="168">
                  <c:v>266.92333998907361</c:v>
                </c:pt>
                <c:pt idx="169">
                  <c:v>269.7636172859805</c:v>
                </c:pt>
                <c:pt idx="170">
                  <c:v>265.92096164472838</c:v>
                </c:pt>
                <c:pt idx="171">
                  <c:v>262.68461043437469</c:v>
                </c:pt>
                <c:pt idx="172">
                  <c:v>259.45133654100425</c:v>
                </c:pt>
                <c:pt idx="173">
                  <c:v>263.87807414411606</c:v>
                </c:pt>
                <c:pt idx="174">
                  <c:v>258.39107920096336</c:v>
                </c:pt>
                <c:pt idx="175">
                  <c:v>256.43954192147527</c:v>
                </c:pt>
                <c:pt idx="176">
                  <c:v>254.2064820028618</c:v>
                </c:pt>
                <c:pt idx="177">
                  <c:v>252.2054368203932</c:v>
                </c:pt>
                <c:pt idx="178">
                  <c:v>253.88094397001896</c:v>
                </c:pt>
                <c:pt idx="179">
                  <c:v>254.78577940480201</c:v>
                </c:pt>
                <c:pt idx="180">
                  <c:v>256.92904746861944</c:v>
                </c:pt>
                <c:pt idx="181">
                  <c:v>257.56907914154351</c:v>
                </c:pt>
                <c:pt idx="182">
                  <c:v>255.18037582836487</c:v>
                </c:pt>
                <c:pt idx="183">
                  <c:v>252.66160520084441</c:v>
                </c:pt>
                <c:pt idx="184">
                  <c:v>245.13074062771082</c:v>
                </c:pt>
                <c:pt idx="185">
                  <c:v>242.47593086694059</c:v>
                </c:pt>
                <c:pt idx="186">
                  <c:v>246.49839265276796</c:v>
                </c:pt>
                <c:pt idx="187">
                  <c:v>245.10547127865948</c:v>
                </c:pt>
                <c:pt idx="188">
                  <c:v>245.57964508685566</c:v>
                </c:pt>
                <c:pt idx="189">
                  <c:v>242.19067173889474</c:v>
                </c:pt>
                <c:pt idx="190">
                  <c:v>240.27960392419473</c:v>
                </c:pt>
                <c:pt idx="191">
                  <c:v>237.19093946913983</c:v>
                </c:pt>
                <c:pt idx="192">
                  <c:v>239.28294945791626</c:v>
                </c:pt>
                <c:pt idx="193">
                  <c:v>241.61801200032468</c:v>
                </c:pt>
                <c:pt idx="194">
                  <c:v>241.5705906011776</c:v>
                </c:pt>
                <c:pt idx="195">
                  <c:v>241.11642156300519</c:v>
                </c:pt>
                <c:pt idx="196">
                  <c:v>243.62297939283039</c:v>
                </c:pt>
                <c:pt idx="197">
                  <c:v>245.21377324217849</c:v>
                </c:pt>
                <c:pt idx="198">
                  <c:v>242.626660429981</c:v>
                </c:pt>
                <c:pt idx="199">
                  <c:v>243.8149827407575</c:v>
                </c:pt>
                <c:pt idx="200">
                  <c:v>245.32915333691528</c:v>
                </c:pt>
                <c:pt idx="201">
                  <c:v>244.53824942633671</c:v>
                </c:pt>
                <c:pt idx="202">
                  <c:v>245.42513878750256</c:v>
                </c:pt>
                <c:pt idx="203">
                  <c:v>243.00631292559217</c:v>
                </c:pt>
                <c:pt idx="204">
                  <c:v>245.20531576831848</c:v>
                </c:pt>
                <c:pt idx="205">
                  <c:v>247.52755997458183</c:v>
                </c:pt>
                <c:pt idx="206">
                  <c:v>247.71239313853857</c:v>
                </c:pt>
                <c:pt idx="207">
                  <c:v>250.519197149804</c:v>
                </c:pt>
                <c:pt idx="208">
                  <c:v>249.18597770696641</c:v>
                </c:pt>
                <c:pt idx="209">
                  <c:v>247.7449958843539</c:v>
                </c:pt>
                <c:pt idx="210">
                  <c:v>246.54991878141067</c:v>
                </c:pt>
                <c:pt idx="211">
                  <c:v>248.9408141879517</c:v>
                </c:pt>
                <c:pt idx="212">
                  <c:v>244.15517208442472</c:v>
                </c:pt>
                <c:pt idx="213">
                  <c:v>241.28294758459126</c:v>
                </c:pt>
                <c:pt idx="214">
                  <c:v>240.38954964325504</c:v>
                </c:pt>
                <c:pt idx="215">
                  <c:v>236.32281338377041</c:v>
                </c:pt>
                <c:pt idx="216">
                  <c:v>234.39335160684246</c:v>
                </c:pt>
                <c:pt idx="217">
                  <c:v>240.66552083611489</c:v>
                </c:pt>
                <c:pt idx="218">
                  <c:v>237.59403733007096</c:v>
                </c:pt>
                <c:pt idx="219">
                  <c:v>230.29142687092991</c:v>
                </c:pt>
                <c:pt idx="220">
                  <c:v>237.7662665895499</c:v>
                </c:pt>
                <c:pt idx="221">
                  <c:v>248.13445933108002</c:v>
                </c:pt>
                <c:pt idx="222">
                  <c:v>243.69751794557797</c:v>
                </c:pt>
                <c:pt idx="223">
                  <c:v>246.55185986996028</c:v>
                </c:pt>
                <c:pt idx="224">
                  <c:v>247.53708249062566</c:v>
                </c:pt>
                <c:pt idx="225">
                  <c:v>247.60388516072302</c:v>
                </c:pt>
                <c:pt idx="226">
                  <c:v>250.42682504665046</c:v>
                </c:pt>
                <c:pt idx="227">
                  <c:v>252.33651518040026</c:v>
                </c:pt>
                <c:pt idx="228">
                  <c:v>253.09901602735383</c:v>
                </c:pt>
                <c:pt idx="229">
                  <c:v>250.1435714927583</c:v>
                </c:pt>
                <c:pt idx="230">
                  <c:v>249.09238019039429</c:v>
                </c:pt>
                <c:pt idx="231">
                  <c:v>250.68961581234072</c:v>
                </c:pt>
                <c:pt idx="232">
                  <c:v>254.11108091832838</c:v>
                </c:pt>
                <c:pt idx="233">
                  <c:v>246.12113620132837</c:v>
                </c:pt>
                <c:pt idx="234">
                  <c:v>238.7425818022966</c:v>
                </c:pt>
                <c:pt idx="235">
                  <c:v>243.15716094786066</c:v>
                </c:pt>
                <c:pt idx="236">
                  <c:v>239.76589852371271</c:v>
                </c:pt>
                <c:pt idx="237">
                  <c:v>242.33180757640469</c:v>
                </c:pt>
                <c:pt idx="238">
                  <c:v>243.92355182314179</c:v>
                </c:pt>
                <c:pt idx="239">
                  <c:v>243.5145322359943</c:v>
                </c:pt>
                <c:pt idx="240">
                  <c:v>241.6890862386139</c:v>
                </c:pt>
                <c:pt idx="241">
                  <c:v>246.41552142557018</c:v>
                </c:pt>
                <c:pt idx="242">
                  <c:v>235.43034808245002</c:v>
                </c:pt>
                <c:pt idx="243">
                  <c:v>230.48351509964371</c:v>
                </c:pt>
                <c:pt idx="244">
                  <c:v>234.97697195269936</c:v>
                </c:pt>
                <c:pt idx="245">
                  <c:v>237.7798180176303</c:v>
                </c:pt>
                <c:pt idx="246">
                  <c:v>240.05301990863322</c:v>
                </c:pt>
                <c:pt idx="247">
                  <c:v>235.61634827900517</c:v>
                </c:pt>
                <c:pt idx="248">
                  <c:v>235.60768024312299</c:v>
                </c:pt>
                <c:pt idx="249">
                  <c:v>220.00752376420468</c:v>
                </c:pt>
                <c:pt idx="250">
                  <c:v>222.38876719040036</c:v>
                </c:pt>
                <c:pt idx="251">
                  <c:v>223.99833977374888</c:v>
                </c:pt>
                <c:pt idx="252">
                  <c:v>227.62736041520645</c:v>
                </c:pt>
                <c:pt idx="253">
                  <c:v>217.24913418165306</c:v>
                </c:pt>
                <c:pt idx="254">
                  <c:v>232.50210915959153</c:v>
                </c:pt>
                <c:pt idx="255">
                  <c:v>232.27074010249589</c:v>
                </c:pt>
                <c:pt idx="256">
                  <c:v>225.78927249576833</c:v>
                </c:pt>
                <c:pt idx="257">
                  <c:v>228.57046092453118</c:v>
                </c:pt>
                <c:pt idx="258">
                  <c:v>224.4745303293071</c:v>
                </c:pt>
                <c:pt idx="259">
                  <c:v>222.64834817593058</c:v>
                </c:pt>
                <c:pt idx="260">
                  <c:v>213.02348208082847</c:v>
                </c:pt>
                <c:pt idx="261">
                  <c:v>221.06326849987335</c:v>
                </c:pt>
                <c:pt idx="262">
                  <c:v>215.09882130042388</c:v>
                </c:pt>
                <c:pt idx="263">
                  <c:v>216.76987195027834</c:v>
                </c:pt>
                <c:pt idx="264">
                  <c:v>214.7695849390837</c:v>
                </c:pt>
                <c:pt idx="265">
                  <c:v>217.47514153953526</c:v>
                </c:pt>
                <c:pt idx="266">
                  <c:v>219.42464116047938</c:v>
                </c:pt>
                <c:pt idx="267">
                  <c:v>224.42472717028051</c:v>
                </c:pt>
                <c:pt idx="268">
                  <c:v>212.85479188394191</c:v>
                </c:pt>
                <c:pt idx="269">
                  <c:v>218.78327555934834</c:v>
                </c:pt>
                <c:pt idx="270">
                  <c:v>218.00429199961431</c:v>
                </c:pt>
                <c:pt idx="271">
                  <c:v>220.81258989827444</c:v>
                </c:pt>
                <c:pt idx="272">
                  <c:v>215.31885229471277</c:v>
                </c:pt>
                <c:pt idx="273">
                  <c:v>205.43382651684442</c:v>
                </c:pt>
                <c:pt idx="274">
                  <c:v>201.09508230561241</c:v>
                </c:pt>
                <c:pt idx="275">
                  <c:v>202.09808226283636</c:v>
                </c:pt>
                <c:pt idx="276">
                  <c:v>200.62791449422411</c:v>
                </c:pt>
                <c:pt idx="277">
                  <c:v>183.16118319096518</c:v>
                </c:pt>
                <c:pt idx="278">
                  <c:v>184.48328530194337</c:v>
                </c:pt>
                <c:pt idx="279">
                  <c:v>191.22180788287261</c:v>
                </c:pt>
                <c:pt idx="280">
                  <c:v>169.22511706272883</c:v>
                </c:pt>
                <c:pt idx="281">
                  <c:v>179.61261281765235</c:v>
                </c:pt>
                <c:pt idx="282">
                  <c:v>190.4898816907687</c:v>
                </c:pt>
                <c:pt idx="283">
                  <c:v>182.41990089308956</c:v>
                </c:pt>
                <c:pt idx="284">
                  <c:v>191.85575298500896</c:v>
                </c:pt>
                <c:pt idx="285">
                  <c:v>187.25942896421094</c:v>
                </c:pt>
                <c:pt idx="286">
                  <c:v>197.39975409168071</c:v>
                </c:pt>
                <c:pt idx="287">
                  <c:v>203.61091873370549</c:v>
                </c:pt>
                <c:pt idx="288">
                  <c:v>204.66534026503265</c:v>
                </c:pt>
                <c:pt idx="289">
                  <c:v>197.2436666340046</c:v>
                </c:pt>
                <c:pt idx="290">
                  <c:v>181.99739264451412</c:v>
                </c:pt>
                <c:pt idx="291">
                  <c:v>171.64794359386966</c:v>
                </c:pt>
                <c:pt idx="292">
                  <c:v>182.03125813245097</c:v>
                </c:pt>
                <c:pt idx="293">
                  <c:v>158.51635230882084</c:v>
                </c:pt>
                <c:pt idx="294">
                  <c:v>161.41460377402043</c:v>
                </c:pt>
                <c:pt idx="295">
                  <c:v>151.52565325258598</c:v>
                </c:pt>
                <c:pt idx="296">
                  <c:v>162.80463455987663</c:v>
                </c:pt>
                <c:pt idx="297">
                  <c:v>127.83652851695597</c:v>
                </c:pt>
                <c:pt idx="298">
                  <c:v>99.591967576731179</c:v>
                </c:pt>
                <c:pt idx="299">
                  <c:v>93.135126070421265</c:v>
                </c:pt>
                <c:pt idx="300">
                  <c:v>101.53398068737039</c:v>
                </c:pt>
                <c:pt idx="301">
                  <c:v>94.598195653801824</c:v>
                </c:pt>
                <c:pt idx="302">
                  <c:v>94.969492278988355</c:v>
                </c:pt>
                <c:pt idx="303">
                  <c:v>90.145790777744011</c:v>
                </c:pt>
                <c:pt idx="304">
                  <c:v>94.675300939385352</c:v>
                </c:pt>
                <c:pt idx="305">
                  <c:v>91.435006104585725</c:v>
                </c:pt>
                <c:pt idx="306">
                  <c:v>92.756926458752375</c:v>
                </c:pt>
                <c:pt idx="307">
                  <c:v>94.311298937550603</c:v>
                </c:pt>
                <c:pt idx="308">
                  <c:v>89.871565943259114</c:v>
                </c:pt>
                <c:pt idx="309">
                  <c:v>84.401350321194712</c:v>
                </c:pt>
                <c:pt idx="310">
                  <c:v>88.81332961973682</c:v>
                </c:pt>
                <c:pt idx="311">
                  <c:v>95.272147565471542</c:v>
                </c:pt>
                <c:pt idx="312">
                  <c:v>97.370008221426374</c:v>
                </c:pt>
                <c:pt idx="313">
                  <c:v>98.892248790876693</c:v>
                </c:pt>
                <c:pt idx="314">
                  <c:v>93.729896954906906</c:v>
                </c:pt>
                <c:pt idx="315">
                  <c:v>93.893579886701929</c:v>
                </c:pt>
                <c:pt idx="316">
                  <c:v>97.953572438568685</c:v>
                </c:pt>
                <c:pt idx="317">
                  <c:v>97.185577265848067</c:v>
                </c:pt>
                <c:pt idx="318">
                  <c:v>101.5970175191696</c:v>
                </c:pt>
                <c:pt idx="319">
                  <c:v>101.46149467514329</c:v>
                </c:pt>
                <c:pt idx="320">
                  <c:v>105.44476957005712</c:v>
                </c:pt>
                <c:pt idx="321">
                  <c:v>102.70173967389439</c:v>
                </c:pt>
                <c:pt idx="322">
                  <c:v>103.98315911173583</c:v>
                </c:pt>
                <c:pt idx="323">
                  <c:v>104.23385364170716</c:v>
                </c:pt>
                <c:pt idx="324">
                  <c:v>107.74374767064575</c:v>
                </c:pt>
                <c:pt idx="325">
                  <c:v>104.27892180037682</c:v>
                </c:pt>
                <c:pt idx="326">
                  <c:v>103.62974586172434</c:v>
                </c:pt>
                <c:pt idx="327">
                  <c:v>102.10296979513907</c:v>
                </c:pt>
                <c:pt idx="328">
                  <c:v>102.07767525704341</c:v>
                </c:pt>
                <c:pt idx="329">
                  <c:v>106.20367839555681</c:v>
                </c:pt>
                <c:pt idx="330">
                  <c:v>99.333349609760191</c:v>
                </c:pt>
                <c:pt idx="331">
                  <c:v>99.646199351833801</c:v>
                </c:pt>
                <c:pt idx="332">
                  <c:v>100.70056148945611</c:v>
                </c:pt>
                <c:pt idx="333">
                  <c:v>97.166573360116246</c:v>
                </c:pt>
                <c:pt idx="334">
                  <c:v>97.187075035244703</c:v>
                </c:pt>
                <c:pt idx="335">
                  <c:v>99.902729318303557</c:v>
                </c:pt>
                <c:pt idx="336">
                  <c:v>101.28517949580355</c:v>
                </c:pt>
                <c:pt idx="337">
                  <c:v>105.53824029147108</c:v>
                </c:pt>
                <c:pt idx="338">
                  <c:v>108.36180103193959</c:v>
                </c:pt>
                <c:pt idx="339">
                  <c:v>106.51900623576816</c:v>
                </c:pt>
                <c:pt idx="340">
                  <c:v>113.74391269037376</c:v>
                </c:pt>
                <c:pt idx="341">
                  <c:v>108.66845858802706</c:v>
                </c:pt>
                <c:pt idx="342">
                  <c:v>112.2190840368188</c:v>
                </c:pt>
                <c:pt idx="343">
                  <c:v>106.59607173510855</c:v>
                </c:pt>
                <c:pt idx="344">
                  <c:v>109.36428777893073</c:v>
                </c:pt>
                <c:pt idx="345">
                  <c:v>106.74825730226743</c:v>
                </c:pt>
                <c:pt idx="346">
                  <c:v>109.22717521489385</c:v>
                </c:pt>
                <c:pt idx="347">
                  <c:v>110.98167433869098</c:v>
                </c:pt>
                <c:pt idx="348">
                  <c:v>113.12491223810777</c:v>
                </c:pt>
                <c:pt idx="349">
                  <c:v>100.1722454772782</c:v>
                </c:pt>
                <c:pt idx="350">
                  <c:v>86.852045256744816</c:v>
                </c:pt>
                <c:pt idx="351">
                  <c:v>81.226101564527596</c:v>
                </c:pt>
                <c:pt idx="352">
                  <c:v>77.639283026365845</c:v>
                </c:pt>
                <c:pt idx="353">
                  <c:v>73.379061229038939</c:v>
                </c:pt>
                <c:pt idx="354">
                  <c:v>69.268455603987078</c:v>
                </c:pt>
                <c:pt idx="355">
                  <c:v>70.252016960402457</c:v>
                </c:pt>
                <c:pt idx="356">
                  <c:v>68.053090744286919</c:v>
                </c:pt>
                <c:pt idx="357">
                  <c:v>65.465053704175119</c:v>
                </c:pt>
                <c:pt idx="358">
                  <c:v>58.694920202345642</c:v>
                </c:pt>
                <c:pt idx="359">
                  <c:v>57.834319120572061</c:v>
                </c:pt>
                <c:pt idx="360">
                  <c:v>59.672425411693965</c:v>
                </c:pt>
                <c:pt idx="361">
                  <c:v>140.63084409208454</c:v>
                </c:pt>
                <c:pt idx="362">
                  <c:v>106.19276950631237</c:v>
                </c:pt>
                <c:pt idx="363">
                  <c:v>83.749642639977097</c:v>
                </c:pt>
                <c:pt idx="364">
                  <c:v>86.841223686851265</c:v>
                </c:pt>
                <c:pt idx="365">
                  <c:v>84.436688467772598</c:v>
                </c:pt>
                <c:pt idx="366">
                  <c:v>86.663062556669516</c:v>
                </c:pt>
                <c:pt idx="367">
                  <c:v>84.372760303439378</c:v>
                </c:pt>
                <c:pt idx="368">
                  <c:v>88.790320916487175</c:v>
                </c:pt>
                <c:pt idx="369">
                  <c:v>88.520122271332255</c:v>
                </c:pt>
                <c:pt idx="370">
                  <c:v>89.918200237051735</c:v>
                </c:pt>
                <c:pt idx="371">
                  <c:v>84.479985335721636</c:v>
                </c:pt>
                <c:pt idx="372">
                  <c:v>90.500557031636319</c:v>
                </c:pt>
                <c:pt idx="373">
                  <c:v>90.783656083699782</c:v>
                </c:pt>
                <c:pt idx="374">
                  <c:v>97.949934837388753</c:v>
                </c:pt>
                <c:pt idx="375">
                  <c:v>94.735627968222389</c:v>
                </c:pt>
                <c:pt idx="376">
                  <c:v>94.502800654449501</c:v>
                </c:pt>
                <c:pt idx="377">
                  <c:v>99.082678000045433</c:v>
                </c:pt>
                <c:pt idx="378">
                  <c:v>99.99009201017644</c:v>
                </c:pt>
                <c:pt idx="379">
                  <c:v>99.81707883724188</c:v>
                </c:pt>
                <c:pt idx="380">
                  <c:v>94.705057242132355</c:v>
                </c:pt>
                <c:pt idx="381">
                  <c:v>95.508375569304121</c:v>
                </c:pt>
                <c:pt idx="382">
                  <c:v>93.895953452294563</c:v>
                </c:pt>
                <c:pt idx="383">
                  <c:v>99.256759157393915</c:v>
                </c:pt>
                <c:pt idx="384">
                  <c:v>98.002200468311656</c:v>
                </c:pt>
                <c:pt idx="385">
                  <c:v>95.025785920054346</c:v>
                </c:pt>
                <c:pt idx="386">
                  <c:v>84.962493391645026</c:v>
                </c:pt>
                <c:pt idx="387">
                  <c:v>84.564498110017084</c:v>
                </c:pt>
                <c:pt idx="388">
                  <c:v>88.822782086605073</c:v>
                </c:pt>
                <c:pt idx="389">
                  <c:v>91.515448924205629</c:v>
                </c:pt>
                <c:pt idx="390">
                  <c:v>92.877945685756671</c:v>
                </c:pt>
                <c:pt idx="391">
                  <c:v>96.103242338789528</c:v>
                </c:pt>
                <c:pt idx="392">
                  <c:v>92.192898701022457</c:v>
                </c:pt>
                <c:pt idx="393">
                  <c:v>89.6246909305315</c:v>
                </c:pt>
                <c:pt idx="394">
                  <c:v>92.935064445786011</c:v>
                </c:pt>
                <c:pt idx="395">
                  <c:v>83.410105691887338</c:v>
                </c:pt>
                <c:pt idx="396">
                  <c:v>93.032154053394578</c:v>
                </c:pt>
                <c:pt idx="397">
                  <c:v>96.14796942372503</c:v>
                </c:pt>
                <c:pt idx="398">
                  <c:v>104.01976655792593</c:v>
                </c:pt>
                <c:pt idx="399">
                  <c:v>113.4462056467123</c:v>
                </c:pt>
                <c:pt idx="400">
                  <c:v>96.95915706950241</c:v>
                </c:pt>
                <c:pt idx="401">
                  <c:v>123.70373964750071</c:v>
                </c:pt>
                <c:pt idx="402">
                  <c:v>127.66042015139536</c:v>
                </c:pt>
                <c:pt idx="403">
                  <c:v>130.88942498687638</c:v>
                </c:pt>
                <c:pt idx="404">
                  <c:v>131.22423764939813</c:v>
                </c:pt>
                <c:pt idx="405">
                  <c:v>133.87363591442536</c:v>
                </c:pt>
                <c:pt idx="406">
                  <c:v>133.52095682991211</c:v>
                </c:pt>
                <c:pt idx="407">
                  <c:v>139.46879863779611</c:v>
                </c:pt>
                <c:pt idx="408">
                  <c:v>127.94379599110067</c:v>
                </c:pt>
                <c:pt idx="409">
                  <c:v>132.21997170133935</c:v>
                </c:pt>
                <c:pt idx="410">
                  <c:v>133.84067193731019</c:v>
                </c:pt>
                <c:pt idx="411">
                  <c:v>131.84497633291303</c:v>
                </c:pt>
                <c:pt idx="412">
                  <c:v>135.34327732752811</c:v>
                </c:pt>
                <c:pt idx="413">
                  <c:v>137.52942947947258</c:v>
                </c:pt>
                <c:pt idx="414">
                  <c:v>136.94701314409352</c:v>
                </c:pt>
                <c:pt idx="415">
                  <c:v>131.83382204261636</c:v>
                </c:pt>
                <c:pt idx="416">
                  <c:v>135.36891383520239</c:v>
                </c:pt>
                <c:pt idx="417">
                  <c:v>135.19168245305764</c:v>
                </c:pt>
                <c:pt idx="418">
                  <c:v>130.61380091248509</c:v>
                </c:pt>
                <c:pt idx="419">
                  <c:v>128.29091704228844</c:v>
                </c:pt>
                <c:pt idx="420">
                  <c:v>133.3030243988631</c:v>
                </c:pt>
                <c:pt idx="421">
                  <c:v>132.68703670464822</c:v>
                </c:pt>
                <c:pt idx="422">
                  <c:v>128.73863924234954</c:v>
                </c:pt>
                <c:pt idx="423">
                  <c:v>130.87513741794149</c:v>
                </c:pt>
                <c:pt idx="424">
                  <c:v>123.47036351528997</c:v>
                </c:pt>
                <c:pt idx="425">
                  <c:v>124.89420131705394</c:v>
                </c:pt>
                <c:pt idx="426">
                  <c:v>117.48092809287535</c:v>
                </c:pt>
                <c:pt idx="427">
                  <c:v>112.34255998761151</c:v>
                </c:pt>
                <c:pt idx="428">
                  <c:v>116.50140963790867</c:v>
                </c:pt>
                <c:pt idx="429">
                  <c:v>122.33177667056009</c:v>
                </c:pt>
                <c:pt idx="430">
                  <c:v>116.97310338320607</c:v>
                </c:pt>
                <c:pt idx="431">
                  <c:v>99.262129600343869</c:v>
                </c:pt>
                <c:pt idx="432">
                  <c:v>100.42942784382197</c:v>
                </c:pt>
                <c:pt idx="433">
                  <c:v>85.344648562947057</c:v>
                </c:pt>
                <c:pt idx="434">
                  <c:v>80.780554401869679</c:v>
                </c:pt>
                <c:pt idx="435">
                  <c:v>78.132020842748815</c:v>
                </c:pt>
                <c:pt idx="436">
                  <c:v>78.491041920555915</c:v>
                </c:pt>
                <c:pt idx="437">
                  <c:v>74.705997444906856</c:v>
                </c:pt>
                <c:pt idx="438">
                  <c:v>72.019264374764006</c:v>
                </c:pt>
                <c:pt idx="439">
                  <c:v>72.326812855858336</c:v>
                </c:pt>
                <c:pt idx="440">
                  <c:v>72.812797043738982</c:v>
                </c:pt>
                <c:pt idx="441">
                  <c:v>70.882585012738986</c:v>
                </c:pt>
                <c:pt idx="442">
                  <c:v>71.099139462133351</c:v>
                </c:pt>
                <c:pt idx="443">
                  <c:v>71.191488673943724</c:v>
                </c:pt>
                <c:pt idx="444">
                  <c:v>71.997332331431323</c:v>
                </c:pt>
                <c:pt idx="445">
                  <c:v>72.086764253359831</c:v>
                </c:pt>
                <c:pt idx="446">
                  <c:v>71.690840412440693</c:v>
                </c:pt>
                <c:pt idx="447">
                  <c:v>73.208808208361177</c:v>
                </c:pt>
                <c:pt idx="448">
                  <c:v>71.298175390281514</c:v>
                </c:pt>
                <c:pt idx="449">
                  <c:v>69.870905931783938</c:v>
                </c:pt>
                <c:pt idx="450">
                  <c:v>69.327437449815193</c:v>
                </c:pt>
                <c:pt idx="451">
                  <c:v>68.39307325130703</c:v>
                </c:pt>
                <c:pt idx="452">
                  <c:v>69.158694899665306</c:v>
                </c:pt>
                <c:pt idx="453">
                  <c:v>68.87844367331428</c:v>
                </c:pt>
                <c:pt idx="454">
                  <c:v>69.098230147363623</c:v>
                </c:pt>
                <c:pt idx="455">
                  <c:v>68.750040340004517</c:v>
                </c:pt>
                <c:pt idx="456">
                  <c:v>69.067101111950606</c:v>
                </c:pt>
                <c:pt idx="457">
                  <c:v>70.345484284439991</c:v>
                </c:pt>
                <c:pt idx="458">
                  <c:v>69.571362582730075</c:v>
                </c:pt>
                <c:pt idx="459">
                  <c:v>70.186712278223382</c:v>
                </c:pt>
                <c:pt idx="460">
                  <c:v>70.408858554469688</c:v>
                </c:pt>
                <c:pt idx="461">
                  <c:v>70.093233191269704</c:v>
                </c:pt>
                <c:pt idx="462">
                  <c:v>70.06777774524349</c:v>
                </c:pt>
                <c:pt idx="463">
                  <c:v>70.100587724755997</c:v>
                </c:pt>
                <c:pt idx="464">
                  <c:v>69.49272970040991</c:v>
                </c:pt>
                <c:pt idx="465">
                  <c:v>70.267821031314114</c:v>
                </c:pt>
                <c:pt idx="466">
                  <c:v>70.020692577866583</c:v>
                </c:pt>
                <c:pt idx="467">
                  <c:v>69.895434777026239</c:v>
                </c:pt>
                <c:pt idx="468">
                  <c:v>70.004297960883392</c:v>
                </c:pt>
                <c:pt idx="469">
                  <c:v>70.747449382243062</c:v>
                </c:pt>
                <c:pt idx="470">
                  <c:v>70.984043269437009</c:v>
                </c:pt>
                <c:pt idx="471">
                  <c:v>71.98048670593019</c:v>
                </c:pt>
                <c:pt idx="472">
                  <c:v>71.865830775705533</c:v>
                </c:pt>
                <c:pt idx="473">
                  <c:v>70.529206899902974</c:v>
                </c:pt>
                <c:pt idx="474">
                  <c:v>70.715207114970156</c:v>
                </c:pt>
                <c:pt idx="475">
                  <c:v>71.810592192270391</c:v>
                </c:pt>
                <c:pt idx="476">
                  <c:v>71.847505504686822</c:v>
                </c:pt>
                <c:pt idx="477">
                  <c:v>70.434451249279832</c:v>
                </c:pt>
                <c:pt idx="478">
                  <c:v>69.565608573975339</c:v>
                </c:pt>
                <c:pt idx="479">
                  <c:v>71.272657872526878</c:v>
                </c:pt>
                <c:pt idx="480">
                  <c:v>71.300771389037905</c:v>
                </c:pt>
                <c:pt idx="481">
                  <c:v>70.117897523367674</c:v>
                </c:pt>
                <c:pt idx="482">
                  <c:v>70.624013930122771</c:v>
                </c:pt>
                <c:pt idx="483">
                  <c:v>70.61605992180327</c:v>
                </c:pt>
                <c:pt idx="484">
                  <c:v>70.835360420953279</c:v>
                </c:pt>
                <c:pt idx="485">
                  <c:v>70.266090498070156</c:v>
                </c:pt>
                <c:pt idx="486">
                  <c:v>70.163711135601403</c:v>
                </c:pt>
                <c:pt idx="487">
                  <c:v>71.022656268518844</c:v>
                </c:pt>
                <c:pt idx="488">
                  <c:v>70.449851018673201</c:v>
                </c:pt>
                <c:pt idx="489">
                  <c:v>70.486511480981662</c:v>
                </c:pt>
                <c:pt idx="490">
                  <c:v>69.640027519952838</c:v>
                </c:pt>
                <c:pt idx="491">
                  <c:v>68.201215169953528</c:v>
                </c:pt>
                <c:pt idx="492">
                  <c:v>69.393693886524389</c:v>
                </c:pt>
                <c:pt idx="493">
                  <c:v>68.916781037154209</c:v>
                </c:pt>
                <c:pt idx="494">
                  <c:v>70.783151192043334</c:v>
                </c:pt>
                <c:pt idx="495">
                  <c:v>70.840607783153956</c:v>
                </c:pt>
                <c:pt idx="496">
                  <c:v>70.848019903502106</c:v>
                </c:pt>
                <c:pt idx="497">
                  <c:v>70.878582704928121</c:v>
                </c:pt>
                <c:pt idx="498">
                  <c:v>70.92993162365967</c:v>
                </c:pt>
                <c:pt idx="499">
                  <c:v>70.160486001705934</c:v>
                </c:pt>
                <c:pt idx="500">
                  <c:v>71.028585254417834</c:v>
                </c:pt>
                <c:pt idx="501">
                  <c:v>70.498243545884279</c:v>
                </c:pt>
                <c:pt idx="502">
                  <c:v>71.064815995744297</c:v>
                </c:pt>
                <c:pt idx="503">
                  <c:v>70.43044144659082</c:v>
                </c:pt>
                <c:pt idx="504">
                  <c:v>69.912062576434934</c:v>
                </c:pt>
                <c:pt idx="505">
                  <c:v>70.132255250820634</c:v>
                </c:pt>
                <c:pt idx="506">
                  <c:v>69.858143513767303</c:v>
                </c:pt>
                <c:pt idx="507">
                  <c:v>70.112770666964877</c:v>
                </c:pt>
                <c:pt idx="508">
                  <c:v>68.248227487637052</c:v>
                </c:pt>
                <c:pt idx="509">
                  <c:v>67.076359924826349</c:v>
                </c:pt>
                <c:pt idx="510">
                  <c:v>68.971303249878972</c:v>
                </c:pt>
                <c:pt idx="511">
                  <c:v>68.733479361717087</c:v>
                </c:pt>
                <c:pt idx="512">
                  <c:v>71.299189305193465</c:v>
                </c:pt>
                <c:pt idx="513">
                  <c:v>72.55764845143031</c:v>
                </c:pt>
                <c:pt idx="514">
                  <c:v>70.554265240458889</c:v>
                </c:pt>
                <c:pt idx="515">
                  <c:v>70.615395236582714</c:v>
                </c:pt>
                <c:pt idx="516">
                  <c:v>69.310317324156671</c:v>
                </c:pt>
                <c:pt idx="517">
                  <c:v>69.000650667522521</c:v>
                </c:pt>
                <c:pt idx="518">
                  <c:v>67.744342251101315</c:v>
                </c:pt>
                <c:pt idx="519">
                  <c:v>68.141106724770225</c:v>
                </c:pt>
                <c:pt idx="520">
                  <c:v>68.501436638738241</c:v>
                </c:pt>
                <c:pt idx="521">
                  <c:v>69.349018117132829</c:v>
                </c:pt>
                <c:pt idx="522">
                  <c:v>68.919247999886935</c:v>
                </c:pt>
                <c:pt idx="523">
                  <c:v>68.314904393097748</c:v>
                </c:pt>
                <c:pt idx="524">
                  <c:v>66.521827296182508</c:v>
                </c:pt>
                <c:pt idx="525">
                  <c:v>68.665236571151169</c:v>
                </c:pt>
                <c:pt idx="526">
                  <c:v>67.530214158965478</c:v>
                </c:pt>
                <c:pt idx="527">
                  <c:v>68.191285895766342</c:v>
                </c:pt>
                <c:pt idx="528">
                  <c:v>70.220362190572004</c:v>
                </c:pt>
                <c:pt idx="529">
                  <c:v>68.843897837393229</c:v>
                </c:pt>
                <c:pt idx="530">
                  <c:v>66.22114060006713</c:v>
                </c:pt>
                <c:pt idx="531">
                  <c:v>65.865983288579741</c:v>
                </c:pt>
                <c:pt idx="532">
                  <c:v>65.075129133592981</c:v>
                </c:pt>
                <c:pt idx="533">
                  <c:v>62.057500875270293</c:v>
                </c:pt>
                <c:pt idx="534">
                  <c:v>60.943740194469292</c:v>
                </c:pt>
                <c:pt idx="535">
                  <c:v>61.899087786462303</c:v>
                </c:pt>
                <c:pt idx="536">
                  <c:v>60.580913887938578</c:v>
                </c:pt>
                <c:pt idx="537">
                  <c:v>61.14930831205681</c:v>
                </c:pt>
                <c:pt idx="538">
                  <c:v>60.735274864901776</c:v>
                </c:pt>
                <c:pt idx="539">
                  <c:v>60.847031536016573</c:v>
                </c:pt>
                <c:pt idx="540">
                  <c:v>61.354906397963859</c:v>
                </c:pt>
                <c:pt idx="541">
                  <c:v>60.127149086640152</c:v>
                </c:pt>
                <c:pt idx="542">
                  <c:v>61.374290381543204</c:v>
                </c:pt>
                <c:pt idx="543">
                  <c:v>58.32786170932355</c:v>
                </c:pt>
                <c:pt idx="544">
                  <c:v>58.025934175621721</c:v>
                </c:pt>
                <c:pt idx="545">
                  <c:v>53.212082736574864</c:v>
                </c:pt>
                <c:pt idx="546">
                  <c:v>50.578291272616255</c:v>
                </c:pt>
                <c:pt idx="547">
                  <c:v>49.42452320564891</c:v>
                </c:pt>
                <c:pt idx="548">
                  <c:v>47.928371634394708</c:v>
                </c:pt>
                <c:pt idx="549">
                  <c:v>46.199642419083901</c:v>
                </c:pt>
                <c:pt idx="550">
                  <c:v>44.502475341198902</c:v>
                </c:pt>
                <c:pt idx="551">
                  <c:v>46.039302568047773</c:v>
                </c:pt>
                <c:pt idx="552">
                  <c:v>44.651496118446062</c:v>
                </c:pt>
                <c:pt idx="553">
                  <c:v>45.28409868262024</c:v>
                </c:pt>
                <c:pt idx="554">
                  <c:v>45.322693906542568</c:v>
                </c:pt>
                <c:pt idx="555">
                  <c:v>44.331436593147799</c:v>
                </c:pt>
                <c:pt idx="556">
                  <c:v>43.659561372178622</c:v>
                </c:pt>
                <c:pt idx="557">
                  <c:v>44.051257734190756</c:v>
                </c:pt>
                <c:pt idx="558">
                  <c:v>43.802654649960971</c:v>
                </c:pt>
                <c:pt idx="559">
                  <c:v>43.206077549140986</c:v>
                </c:pt>
                <c:pt idx="560">
                  <c:v>43.323930603093771</c:v>
                </c:pt>
                <c:pt idx="561">
                  <c:v>42.811456638522046</c:v>
                </c:pt>
                <c:pt idx="562">
                  <c:v>43.314412507519229</c:v>
                </c:pt>
                <c:pt idx="563">
                  <c:v>42.417319475971119</c:v>
                </c:pt>
                <c:pt idx="564">
                  <c:v>42.452434845371116</c:v>
                </c:pt>
                <c:pt idx="565">
                  <c:v>42.266133444069411</c:v>
                </c:pt>
                <c:pt idx="566">
                  <c:v>42.400156762191152</c:v>
                </c:pt>
                <c:pt idx="567">
                  <c:v>41.786509326020571</c:v>
                </c:pt>
                <c:pt idx="568">
                  <c:v>42.575028351054144</c:v>
                </c:pt>
                <c:pt idx="569">
                  <c:v>39.520871658972382</c:v>
                </c:pt>
                <c:pt idx="570">
                  <c:v>40.001408969725809</c:v>
                </c:pt>
                <c:pt idx="571">
                  <c:v>38.36169756148395</c:v>
                </c:pt>
                <c:pt idx="572">
                  <c:v>38.065518396031194</c:v>
                </c:pt>
                <c:pt idx="573">
                  <c:v>37.904785901157886</c:v>
                </c:pt>
                <c:pt idx="574">
                  <c:v>38.023079433088924</c:v>
                </c:pt>
                <c:pt idx="575">
                  <c:v>38.053773882969615</c:v>
                </c:pt>
                <c:pt idx="576">
                  <c:v>37.819156652751929</c:v>
                </c:pt>
                <c:pt idx="577">
                  <c:v>38.2531409892797</c:v>
                </c:pt>
                <c:pt idx="578">
                  <c:v>38.190964293155815</c:v>
                </c:pt>
                <c:pt idx="579">
                  <c:v>38.109315361521126</c:v>
                </c:pt>
                <c:pt idx="580">
                  <c:v>38.269507136561131</c:v>
                </c:pt>
                <c:pt idx="581">
                  <c:v>38.339289209142684</c:v>
                </c:pt>
                <c:pt idx="582">
                  <c:v>38.266898081917908</c:v>
                </c:pt>
                <c:pt idx="583">
                  <c:v>38.568481513331164</c:v>
                </c:pt>
                <c:pt idx="584">
                  <c:v>38.930662652833533</c:v>
                </c:pt>
                <c:pt idx="585">
                  <c:v>38.334890431655111</c:v>
                </c:pt>
                <c:pt idx="586">
                  <c:v>38.826682885838871</c:v>
                </c:pt>
                <c:pt idx="587">
                  <c:v>38.509232616014906</c:v>
                </c:pt>
                <c:pt idx="588">
                  <c:v>39.179840228448768</c:v>
                </c:pt>
                <c:pt idx="589">
                  <c:v>39.460806741595995</c:v>
                </c:pt>
                <c:pt idx="590">
                  <c:v>39.612957878892466</c:v>
                </c:pt>
                <c:pt idx="591">
                  <c:v>39.487800886776597</c:v>
                </c:pt>
                <c:pt idx="592">
                  <c:v>38.425711801881675</c:v>
                </c:pt>
                <c:pt idx="593">
                  <c:v>38.541336659467433</c:v>
                </c:pt>
                <c:pt idx="594">
                  <c:v>38.5141814181572</c:v>
                </c:pt>
                <c:pt idx="595">
                  <c:v>38.125786872151068</c:v>
                </c:pt>
                <c:pt idx="596">
                  <c:v>38.951392481057376</c:v>
                </c:pt>
                <c:pt idx="597">
                  <c:v>38.537678439629865</c:v>
                </c:pt>
                <c:pt idx="598">
                  <c:v>38.961474451876086</c:v>
                </c:pt>
                <c:pt idx="599">
                  <c:v>38.488704045376096</c:v>
                </c:pt>
                <c:pt idx="600">
                  <c:v>38.029868316660725</c:v>
                </c:pt>
                <c:pt idx="601">
                  <c:v>37.780326687345948</c:v>
                </c:pt>
                <c:pt idx="602">
                  <c:v>38.139632600701212</c:v>
                </c:pt>
                <c:pt idx="603">
                  <c:v>37.85458131991372</c:v>
                </c:pt>
                <c:pt idx="604">
                  <c:v>37.217972501697496</c:v>
                </c:pt>
                <c:pt idx="605">
                  <c:v>37.7417656425975</c:v>
                </c:pt>
                <c:pt idx="606">
                  <c:v>36.622057614569826</c:v>
                </c:pt>
                <c:pt idx="607">
                  <c:v>37.830068759014942</c:v>
                </c:pt>
                <c:pt idx="608">
                  <c:v>36.531402670842184</c:v>
                </c:pt>
                <c:pt idx="609">
                  <c:v>37.114365727654118</c:v>
                </c:pt>
                <c:pt idx="610">
                  <c:v>36.168525643178569</c:v>
                </c:pt>
                <c:pt idx="611">
                  <c:v>35.911750116315652</c:v>
                </c:pt>
                <c:pt idx="612">
                  <c:v>36.059788125272483</c:v>
                </c:pt>
                <c:pt idx="613">
                  <c:v>35.342094725374217</c:v>
                </c:pt>
                <c:pt idx="614">
                  <c:v>36.162153156023109</c:v>
                </c:pt>
                <c:pt idx="615">
                  <c:v>36.669650806491191</c:v>
                </c:pt>
                <c:pt idx="616">
                  <c:v>35.882972837092353</c:v>
                </c:pt>
                <c:pt idx="617">
                  <c:v>36.20071284278589</c:v>
                </c:pt>
                <c:pt idx="618">
                  <c:v>36.220228331682918</c:v>
                </c:pt>
                <c:pt idx="619">
                  <c:v>35.813941438515961</c:v>
                </c:pt>
                <c:pt idx="620">
                  <c:v>35.441325596084674</c:v>
                </c:pt>
                <c:pt idx="621">
                  <c:v>35.578566907543014</c:v>
                </c:pt>
                <c:pt idx="622">
                  <c:v>35.539934503583972</c:v>
                </c:pt>
                <c:pt idx="623">
                  <c:v>36.036810999367759</c:v>
                </c:pt>
                <c:pt idx="624">
                  <c:v>35.575216438164745</c:v>
                </c:pt>
                <c:pt idx="625">
                  <c:v>35.177855724799421</c:v>
                </c:pt>
                <c:pt idx="626">
                  <c:v>34.789017112885595</c:v>
                </c:pt>
                <c:pt idx="627">
                  <c:v>34.699824548027223</c:v>
                </c:pt>
                <c:pt idx="628">
                  <c:v>34.737735447120187</c:v>
                </c:pt>
                <c:pt idx="629">
                  <c:v>36.032078017701586</c:v>
                </c:pt>
                <c:pt idx="630">
                  <c:v>35.845691444567557</c:v>
                </c:pt>
                <c:pt idx="631">
                  <c:v>34.828818415315851</c:v>
                </c:pt>
                <c:pt idx="632">
                  <c:v>35.862580029661025</c:v>
                </c:pt>
                <c:pt idx="633">
                  <c:v>36.044962082627585</c:v>
                </c:pt>
                <c:pt idx="634">
                  <c:v>35.07469590089692</c:v>
                </c:pt>
                <c:pt idx="635">
                  <c:v>35.40531730405575</c:v>
                </c:pt>
                <c:pt idx="636">
                  <c:v>34.680655028183516</c:v>
                </c:pt>
                <c:pt idx="637">
                  <c:v>34.635054931050547</c:v>
                </c:pt>
                <c:pt idx="638">
                  <c:v>37.053557756478085</c:v>
                </c:pt>
                <c:pt idx="639">
                  <c:v>35.323854029391171</c:v>
                </c:pt>
                <c:pt idx="640">
                  <c:v>33.68913117301836</c:v>
                </c:pt>
                <c:pt idx="641">
                  <c:v>33.491754160004369</c:v>
                </c:pt>
                <c:pt idx="642">
                  <c:v>33.015460867119643</c:v>
                </c:pt>
                <c:pt idx="643">
                  <c:v>33.14334927150275</c:v>
                </c:pt>
                <c:pt idx="644">
                  <c:v>33.696503566165397</c:v>
                </c:pt>
                <c:pt idx="645">
                  <c:v>33.682359618632731</c:v>
                </c:pt>
                <c:pt idx="646">
                  <c:v>33.137592418493625</c:v>
                </c:pt>
                <c:pt idx="647">
                  <c:v>33.27307523412999</c:v>
                </c:pt>
                <c:pt idx="648">
                  <c:v>34.309566975527048</c:v>
                </c:pt>
                <c:pt idx="649">
                  <c:v>34.941365993245292</c:v>
                </c:pt>
                <c:pt idx="650">
                  <c:v>34.247357201734467</c:v>
                </c:pt>
                <c:pt idx="651">
                  <c:v>34.372264024203602</c:v>
                </c:pt>
                <c:pt idx="652">
                  <c:v>32.931943074677335</c:v>
                </c:pt>
                <c:pt idx="653">
                  <c:v>34.02177214021998</c:v>
                </c:pt>
                <c:pt idx="654">
                  <c:v>34.049058777433579</c:v>
                </c:pt>
                <c:pt idx="655">
                  <c:v>33.084451312527591</c:v>
                </c:pt>
                <c:pt idx="656">
                  <c:v>33.500696872695833</c:v>
                </c:pt>
                <c:pt idx="657">
                  <c:v>33.519038772509298</c:v>
                </c:pt>
                <c:pt idx="658">
                  <c:v>33.954619427529266</c:v>
                </c:pt>
                <c:pt idx="659">
                  <c:v>33.896948464796012</c:v>
                </c:pt>
                <c:pt idx="660">
                  <c:v>32.625860252109447</c:v>
                </c:pt>
                <c:pt idx="661">
                  <c:v>34.28153982657129</c:v>
                </c:pt>
                <c:pt idx="662">
                  <c:v>32.100117562841497</c:v>
                </c:pt>
                <c:pt idx="663">
                  <c:v>32.075559666345818</c:v>
                </c:pt>
                <c:pt idx="664">
                  <c:v>31.892453158465148</c:v>
                </c:pt>
                <c:pt idx="665">
                  <c:v>31.726363205425649</c:v>
                </c:pt>
                <c:pt idx="666">
                  <c:v>32.393381545615227</c:v>
                </c:pt>
                <c:pt idx="667">
                  <c:v>31.144150863590433</c:v>
                </c:pt>
                <c:pt idx="668">
                  <c:v>31.414539452613255</c:v>
                </c:pt>
                <c:pt idx="669">
                  <c:v>30.806666877407736</c:v>
                </c:pt>
                <c:pt idx="670">
                  <c:v>32.441128830501953</c:v>
                </c:pt>
                <c:pt idx="671">
                  <c:v>31.376227276949614</c:v>
                </c:pt>
                <c:pt idx="672">
                  <c:v>33.360107317580479</c:v>
                </c:pt>
                <c:pt idx="673">
                  <c:v>31.649106285987759</c:v>
                </c:pt>
                <c:pt idx="674">
                  <c:v>31.309727239500017</c:v>
                </c:pt>
                <c:pt idx="675">
                  <c:v>29.967402768938403</c:v>
                </c:pt>
                <c:pt idx="676">
                  <c:v>28.177782908182049</c:v>
                </c:pt>
                <c:pt idx="677">
                  <c:v>29.923068030921673</c:v>
                </c:pt>
                <c:pt idx="678">
                  <c:v>29.294766037075519</c:v>
                </c:pt>
                <c:pt idx="679">
                  <c:v>30.343060774889935</c:v>
                </c:pt>
                <c:pt idx="680">
                  <c:v>28.783365290010121</c:v>
                </c:pt>
                <c:pt idx="681">
                  <c:v>27.338074248100838</c:v>
                </c:pt>
                <c:pt idx="682">
                  <c:v>26.727798993423324</c:v>
                </c:pt>
                <c:pt idx="683">
                  <c:v>26.619774901743174</c:v>
                </c:pt>
                <c:pt idx="684">
                  <c:v>26.998317634160816</c:v>
                </c:pt>
                <c:pt idx="685">
                  <c:v>29.311791410232853</c:v>
                </c:pt>
                <c:pt idx="686">
                  <c:v>19.791382953691919</c:v>
                </c:pt>
                <c:pt idx="687">
                  <c:v>26.089252522574949</c:v>
                </c:pt>
                <c:pt idx="688">
                  <c:v>25.671591640824946</c:v>
                </c:pt>
                <c:pt idx="689">
                  <c:v>24.725861130779606</c:v>
                </c:pt>
                <c:pt idx="690">
                  <c:v>22.678272263649735</c:v>
                </c:pt>
                <c:pt idx="691">
                  <c:v>24.815759329555917</c:v>
                </c:pt>
                <c:pt idx="692">
                  <c:v>25.540351038907914</c:v>
                </c:pt>
                <c:pt idx="693">
                  <c:v>24.804236330282464</c:v>
                </c:pt>
                <c:pt idx="694">
                  <c:v>24.730570533691193</c:v>
                </c:pt>
                <c:pt idx="695">
                  <c:v>24.656646420288332</c:v>
                </c:pt>
                <c:pt idx="696">
                  <c:v>24.727808857447872</c:v>
                </c:pt>
                <c:pt idx="697">
                  <c:v>23.68195633223409</c:v>
                </c:pt>
                <c:pt idx="698">
                  <c:v>24.364874231441899</c:v>
                </c:pt>
                <c:pt idx="699">
                  <c:v>25.377398529011035</c:v>
                </c:pt>
                <c:pt idx="700">
                  <c:v>25.283823685080709</c:v>
                </c:pt>
                <c:pt idx="701">
                  <c:v>24.631625831377868</c:v>
                </c:pt>
                <c:pt idx="702">
                  <c:v>26.837745917319555</c:v>
                </c:pt>
                <c:pt idx="703">
                  <c:v>28.704675941982561</c:v>
                </c:pt>
                <c:pt idx="704">
                  <c:v>29.384163001054702</c:v>
                </c:pt>
                <c:pt idx="705">
                  <c:v>28.494693308365139</c:v>
                </c:pt>
                <c:pt idx="706">
                  <c:v>28.386393645762798</c:v>
                </c:pt>
                <c:pt idx="707">
                  <c:v>28.137741323972108</c:v>
                </c:pt>
                <c:pt idx="708">
                  <c:v>28.265232557707908</c:v>
                </c:pt>
                <c:pt idx="709">
                  <c:v>29.929156223869178</c:v>
                </c:pt>
                <c:pt idx="710">
                  <c:v>27.906642071207155</c:v>
                </c:pt>
                <c:pt idx="711">
                  <c:v>26.403013597080761</c:v>
                </c:pt>
                <c:pt idx="712">
                  <c:v>26.749554309825648</c:v>
                </c:pt>
                <c:pt idx="713">
                  <c:v>28.893609988062085</c:v>
                </c:pt>
                <c:pt idx="714">
                  <c:v>26.246325787581036</c:v>
                </c:pt>
                <c:pt idx="715">
                  <c:v>23.81899004854554</c:v>
                </c:pt>
                <c:pt idx="716">
                  <c:v>21.441036520025431</c:v>
                </c:pt>
                <c:pt idx="717">
                  <c:v>20.404903031826908</c:v>
                </c:pt>
                <c:pt idx="718">
                  <c:v>20.742123045811834</c:v>
                </c:pt>
                <c:pt idx="719">
                  <c:v>20.779447392134418</c:v>
                </c:pt>
                <c:pt idx="720">
                  <c:v>19.994655163762438</c:v>
                </c:pt>
                <c:pt idx="721">
                  <c:v>21.025149972599216</c:v>
                </c:pt>
                <c:pt idx="722">
                  <c:v>19.680915735559754</c:v>
                </c:pt>
                <c:pt idx="723">
                  <c:v>18.503763601056757</c:v>
                </c:pt>
                <c:pt idx="724">
                  <c:v>16.617869279132574</c:v>
                </c:pt>
                <c:pt idx="725">
                  <c:v>16.250334741209624</c:v>
                </c:pt>
                <c:pt idx="726">
                  <c:v>15.851910591586966</c:v>
                </c:pt>
                <c:pt idx="727">
                  <c:v>15.477470529064384</c:v>
                </c:pt>
                <c:pt idx="728">
                  <c:v>15.417086052050298</c:v>
                </c:pt>
                <c:pt idx="729">
                  <c:v>14.384708315856868</c:v>
                </c:pt>
                <c:pt idx="730">
                  <c:v>15.192557227732522</c:v>
                </c:pt>
                <c:pt idx="731">
                  <c:v>14.360257445313167</c:v>
                </c:pt>
                <c:pt idx="732">
                  <c:v>14.183473486997309</c:v>
                </c:pt>
                <c:pt idx="733">
                  <c:v>13.542293281577257</c:v>
                </c:pt>
                <c:pt idx="734">
                  <c:v>13.580537291872822</c:v>
                </c:pt>
                <c:pt idx="735">
                  <c:v>13.156185740546944</c:v>
                </c:pt>
                <c:pt idx="736">
                  <c:v>13.610383450035545</c:v>
                </c:pt>
                <c:pt idx="737">
                  <c:v>13.332292207075136</c:v>
                </c:pt>
                <c:pt idx="738">
                  <c:v>13.097274634285135</c:v>
                </c:pt>
                <c:pt idx="739">
                  <c:v>12.60184096656517</c:v>
                </c:pt>
                <c:pt idx="740">
                  <c:v>13.156563301458501</c:v>
                </c:pt>
                <c:pt idx="741">
                  <c:v>13.088281558013716</c:v>
                </c:pt>
                <c:pt idx="742">
                  <c:v>12.215988685600115</c:v>
                </c:pt>
                <c:pt idx="743">
                  <c:v>12.139933649006091</c:v>
                </c:pt>
                <c:pt idx="744">
                  <c:v>12.486844589756963</c:v>
                </c:pt>
                <c:pt idx="745">
                  <c:v>11.36111126834777</c:v>
                </c:pt>
                <c:pt idx="746">
                  <c:v>11.57513972690777</c:v>
                </c:pt>
                <c:pt idx="747">
                  <c:v>11.186774870617613</c:v>
                </c:pt>
                <c:pt idx="748">
                  <c:v>11.817419268593094</c:v>
                </c:pt>
                <c:pt idx="749">
                  <c:v>10.441443641562207</c:v>
                </c:pt>
                <c:pt idx="750">
                  <c:v>10.699785587081516</c:v>
                </c:pt>
                <c:pt idx="751">
                  <c:v>11.331350081777257</c:v>
                </c:pt>
                <c:pt idx="752">
                  <c:v>11.981532202498036</c:v>
                </c:pt>
                <c:pt idx="753">
                  <c:v>9.7753381134977015</c:v>
                </c:pt>
                <c:pt idx="754">
                  <c:v>9.905593267433181</c:v>
                </c:pt>
                <c:pt idx="755">
                  <c:v>9.7259754030397403</c:v>
                </c:pt>
                <c:pt idx="756">
                  <c:v>9.1069834707825983</c:v>
                </c:pt>
                <c:pt idx="757">
                  <c:v>9.2947796635866187</c:v>
                </c:pt>
                <c:pt idx="758">
                  <c:v>9.4257033786029041</c:v>
                </c:pt>
                <c:pt idx="759">
                  <c:v>9.257274685653595</c:v>
                </c:pt>
                <c:pt idx="760">
                  <c:v>9.5042296373248281</c:v>
                </c:pt>
                <c:pt idx="761">
                  <c:v>9.2646181667689849</c:v>
                </c:pt>
                <c:pt idx="762">
                  <c:v>9.1161737282529831</c:v>
                </c:pt>
                <c:pt idx="763">
                  <c:v>8.7821493248548546</c:v>
                </c:pt>
                <c:pt idx="764">
                  <c:v>8.9759167961775255</c:v>
                </c:pt>
                <c:pt idx="765">
                  <c:v>9.0278689544156219</c:v>
                </c:pt>
                <c:pt idx="766">
                  <c:v>9.0318405346192154</c:v>
                </c:pt>
                <c:pt idx="767">
                  <c:v>9.7459329788097744</c:v>
                </c:pt>
                <c:pt idx="768">
                  <c:v>9.2404333136678378</c:v>
                </c:pt>
                <c:pt idx="769">
                  <c:v>9.5403413227062988</c:v>
                </c:pt>
                <c:pt idx="770">
                  <c:v>8.6478704623198386</c:v>
                </c:pt>
                <c:pt idx="771">
                  <c:v>9.0694116400950584</c:v>
                </c:pt>
                <c:pt idx="772">
                  <c:v>7.6982319697422623</c:v>
                </c:pt>
                <c:pt idx="773">
                  <c:v>9.2859510194615211</c:v>
                </c:pt>
                <c:pt idx="774">
                  <c:v>9.7592524644569991</c:v>
                </c:pt>
                <c:pt idx="775">
                  <c:v>9.7217908023141426</c:v>
                </c:pt>
                <c:pt idx="776">
                  <c:v>9.8929528387812375</c:v>
                </c:pt>
                <c:pt idx="777">
                  <c:v>9.4122813424925909</c:v>
                </c:pt>
                <c:pt idx="778">
                  <c:v>9.6206971986333532</c:v>
                </c:pt>
                <c:pt idx="779">
                  <c:v>9.7226107879598871</c:v>
                </c:pt>
                <c:pt idx="780">
                  <c:v>9.6836662264854105</c:v>
                </c:pt>
                <c:pt idx="781">
                  <c:v>9.8520279454235542</c:v>
                </c:pt>
                <c:pt idx="782">
                  <c:v>9.6899123945609063</c:v>
                </c:pt>
                <c:pt idx="783">
                  <c:v>9.4031749259944331</c:v>
                </c:pt>
                <c:pt idx="784">
                  <c:v>8.9289563805087209</c:v>
                </c:pt>
                <c:pt idx="785">
                  <c:v>8.6553840503453436</c:v>
                </c:pt>
                <c:pt idx="786">
                  <c:v>9.132465150499339</c:v>
                </c:pt>
                <c:pt idx="787">
                  <c:v>9.184190143932172</c:v>
                </c:pt>
                <c:pt idx="788">
                  <c:v>9.5725346401362081</c:v>
                </c:pt>
                <c:pt idx="789">
                  <c:v>9.0859160384434539</c:v>
                </c:pt>
                <c:pt idx="790">
                  <c:v>9.3447604038133818</c:v>
                </c:pt>
                <c:pt idx="791">
                  <c:v>9.0265369893316745</c:v>
                </c:pt>
                <c:pt idx="792">
                  <c:v>9.5021692643831024</c:v>
                </c:pt>
                <c:pt idx="793">
                  <c:v>9.0833182558709797</c:v>
                </c:pt>
                <c:pt idx="794">
                  <c:v>8.4714113680250946</c:v>
                </c:pt>
                <c:pt idx="795">
                  <c:v>7.6051126472844421</c:v>
                </c:pt>
                <c:pt idx="796">
                  <c:v>8.3741482939667886</c:v>
                </c:pt>
                <c:pt idx="797">
                  <c:v>7.7347219939815686</c:v>
                </c:pt>
                <c:pt idx="798">
                  <c:v>8.2453343651128481</c:v>
                </c:pt>
                <c:pt idx="799">
                  <c:v>8.4224876587994846</c:v>
                </c:pt>
                <c:pt idx="800">
                  <c:v>8.9041349117519601</c:v>
                </c:pt>
                <c:pt idx="801">
                  <c:v>8.3575216435939108</c:v>
                </c:pt>
                <c:pt idx="802">
                  <c:v>8.3889570952560479</c:v>
                </c:pt>
                <c:pt idx="803">
                  <c:v>8.2927426977891923</c:v>
                </c:pt>
                <c:pt idx="804">
                  <c:v>8.2132929709223976</c:v>
                </c:pt>
                <c:pt idx="805">
                  <c:v>8.2926637866761865</c:v>
                </c:pt>
                <c:pt idx="806">
                  <c:v>8.3372904882591641</c:v>
                </c:pt>
                <c:pt idx="807">
                  <c:v>8.5020373204991646</c:v>
                </c:pt>
                <c:pt idx="808">
                  <c:v>8.4640393521654484</c:v>
                </c:pt>
                <c:pt idx="809">
                  <c:v>8.5796914866872243</c:v>
                </c:pt>
                <c:pt idx="810">
                  <c:v>8.8438200077384312</c:v>
                </c:pt>
                <c:pt idx="811">
                  <c:v>8.5108838579480661</c:v>
                </c:pt>
                <c:pt idx="812">
                  <c:v>9.3315950928849958</c:v>
                </c:pt>
                <c:pt idx="813">
                  <c:v>9.8468796700565555</c:v>
                </c:pt>
                <c:pt idx="814">
                  <c:v>9.2094707741333952</c:v>
                </c:pt>
                <c:pt idx="815">
                  <c:v>8.9339999771392336</c:v>
                </c:pt>
                <c:pt idx="816">
                  <c:v>8.2807649363799758</c:v>
                </c:pt>
                <c:pt idx="817">
                  <c:v>8.663852719339129</c:v>
                </c:pt>
                <c:pt idx="818">
                  <c:v>8.6069935429284712</c:v>
                </c:pt>
                <c:pt idx="819">
                  <c:v>8.2830346301695759</c:v>
                </c:pt>
                <c:pt idx="820">
                  <c:v>8.050454196977233</c:v>
                </c:pt>
                <c:pt idx="821">
                  <c:v>8.5671219819216731</c:v>
                </c:pt>
                <c:pt idx="822">
                  <c:v>8.5708698304615112</c:v>
                </c:pt>
                <c:pt idx="823">
                  <c:v>9.6052878347704223</c:v>
                </c:pt>
                <c:pt idx="824">
                  <c:v>8.8869623301682896</c:v>
                </c:pt>
                <c:pt idx="825">
                  <c:v>9.7551616681032858</c:v>
                </c:pt>
                <c:pt idx="826">
                  <c:v>8.9159247433068263</c:v>
                </c:pt>
                <c:pt idx="827">
                  <c:v>8.5077955672360819</c:v>
                </c:pt>
                <c:pt idx="828">
                  <c:v>8.2892027944849875</c:v>
                </c:pt>
                <c:pt idx="829">
                  <c:v>9.0505630118861156</c:v>
                </c:pt>
                <c:pt idx="830">
                  <c:v>8.8956135645595147</c:v>
                </c:pt>
                <c:pt idx="831">
                  <c:v>8.1157551286736904</c:v>
                </c:pt>
                <c:pt idx="832">
                  <c:v>8.4152304036673016</c:v>
                </c:pt>
                <c:pt idx="833">
                  <c:v>8.2888940464542227</c:v>
                </c:pt>
                <c:pt idx="834">
                  <c:v>7.0710685349838807</c:v>
                </c:pt>
                <c:pt idx="835">
                  <c:v>7.403991951758309</c:v>
                </c:pt>
                <c:pt idx="836">
                  <c:v>7.8493052550008029</c:v>
                </c:pt>
                <c:pt idx="837">
                  <c:v>6.4058589079849027</c:v>
                </c:pt>
                <c:pt idx="838">
                  <c:v>6.2647919695106564</c:v>
                </c:pt>
                <c:pt idx="839">
                  <c:v>6.2585326857604118</c:v>
                </c:pt>
                <c:pt idx="840">
                  <c:v>6.5503905418420025</c:v>
                </c:pt>
                <c:pt idx="841">
                  <c:v>6.8246123351677461</c:v>
                </c:pt>
                <c:pt idx="842">
                  <c:v>6.7350030235078204</c:v>
                </c:pt>
                <c:pt idx="843">
                  <c:v>6.8416753105939643</c:v>
                </c:pt>
                <c:pt idx="844">
                  <c:v>5.5238390015195309</c:v>
                </c:pt>
                <c:pt idx="845">
                  <c:v>5.0708290008052419</c:v>
                </c:pt>
                <c:pt idx="846">
                  <c:v>4.8046638796252665</c:v>
                </c:pt>
                <c:pt idx="847">
                  <c:v>4.5268477117109329</c:v>
                </c:pt>
                <c:pt idx="848">
                  <c:v>4.5991297581367636</c:v>
                </c:pt>
                <c:pt idx="849">
                  <c:v>4.0551250679631714</c:v>
                </c:pt>
                <c:pt idx="850">
                  <c:v>4.7845087525050651</c:v>
                </c:pt>
                <c:pt idx="851">
                  <c:v>3.8449189903783672</c:v>
                </c:pt>
                <c:pt idx="852">
                  <c:v>3.6555206922488694</c:v>
                </c:pt>
                <c:pt idx="853">
                  <c:v>3.5890569201209046</c:v>
                </c:pt>
                <c:pt idx="854">
                  <c:v>3.3994006486315445</c:v>
                </c:pt>
                <c:pt idx="855">
                  <c:v>3.0234953104944657</c:v>
                </c:pt>
                <c:pt idx="856">
                  <c:v>2.0400015286355968</c:v>
                </c:pt>
                <c:pt idx="857">
                  <c:v>3.0947742659895408</c:v>
                </c:pt>
                <c:pt idx="858">
                  <c:v>4.3621959644350667</c:v>
                </c:pt>
                <c:pt idx="859">
                  <c:v>4.6589306675491118</c:v>
                </c:pt>
                <c:pt idx="860">
                  <c:v>5.1466666603712428</c:v>
                </c:pt>
                <c:pt idx="861">
                  <c:v>4.9608926941047926</c:v>
                </c:pt>
                <c:pt idx="862">
                  <c:v>4.4561184286642455</c:v>
                </c:pt>
                <c:pt idx="863">
                  <c:v>3.318563068500882</c:v>
                </c:pt>
                <c:pt idx="864">
                  <c:v>2.5794898682018568</c:v>
                </c:pt>
                <c:pt idx="865">
                  <c:v>2.4170496267804746</c:v>
                </c:pt>
                <c:pt idx="866">
                  <c:v>2.2975237224658538</c:v>
                </c:pt>
                <c:pt idx="867">
                  <c:v>2.1105577466586238</c:v>
                </c:pt>
                <c:pt idx="868">
                  <c:v>1.797294709786833</c:v>
                </c:pt>
                <c:pt idx="869">
                  <c:v>1.7591753385113684</c:v>
                </c:pt>
                <c:pt idx="870">
                  <c:v>1.8461779522553223</c:v>
                </c:pt>
                <c:pt idx="871">
                  <c:v>1.8479892344707993</c:v>
                </c:pt>
                <c:pt idx="872">
                  <c:v>2.1054374874226385</c:v>
                </c:pt>
                <c:pt idx="873">
                  <c:v>1.9373887077069789</c:v>
                </c:pt>
                <c:pt idx="874">
                  <c:v>1.6446920739452215</c:v>
                </c:pt>
                <c:pt idx="875">
                  <c:v>1.82792702641121</c:v>
                </c:pt>
                <c:pt idx="876">
                  <c:v>1.8567737732778735</c:v>
                </c:pt>
                <c:pt idx="877">
                  <c:v>2.0054619341366462</c:v>
                </c:pt>
                <c:pt idx="878">
                  <c:v>1.9858827082746899</c:v>
                </c:pt>
                <c:pt idx="879">
                  <c:v>1.7728994103382396</c:v>
                </c:pt>
                <c:pt idx="880">
                  <c:v>1.6640314806637162</c:v>
                </c:pt>
                <c:pt idx="881">
                  <c:v>1.5879431189443491</c:v>
                </c:pt>
                <c:pt idx="882">
                  <c:v>1.4891206974291959</c:v>
                </c:pt>
                <c:pt idx="883">
                  <c:v>1.2834659334598866</c:v>
                </c:pt>
                <c:pt idx="884">
                  <c:v>1.4042020236984551</c:v>
                </c:pt>
                <c:pt idx="885">
                  <c:v>1.2002294965788893</c:v>
                </c:pt>
                <c:pt idx="886">
                  <c:v>1.4667573959615003</c:v>
                </c:pt>
                <c:pt idx="887">
                  <c:v>1.5976116734659762</c:v>
                </c:pt>
                <c:pt idx="888">
                  <c:v>1.5414161587875104</c:v>
                </c:pt>
                <c:pt idx="889">
                  <c:v>1.2153111912728054</c:v>
                </c:pt>
                <c:pt idx="890">
                  <c:v>0.95100807032744028</c:v>
                </c:pt>
                <c:pt idx="891">
                  <c:v>1.005197814679373</c:v>
                </c:pt>
                <c:pt idx="892">
                  <c:v>1.132846775558493</c:v>
                </c:pt>
                <c:pt idx="893">
                  <c:v>1.2216677970987773</c:v>
                </c:pt>
                <c:pt idx="894">
                  <c:v>0.88523308341460294</c:v>
                </c:pt>
                <c:pt idx="895">
                  <c:v>0.6728011813004281</c:v>
                </c:pt>
                <c:pt idx="896">
                  <c:v>0.57140271101042173</c:v>
                </c:pt>
                <c:pt idx="897">
                  <c:v>0.68621683447401671</c:v>
                </c:pt>
                <c:pt idx="898">
                  <c:v>1.0596749843154984</c:v>
                </c:pt>
                <c:pt idx="899">
                  <c:v>0.99112478040183016</c:v>
                </c:pt>
                <c:pt idx="900">
                  <c:v>1.0687222101735707</c:v>
                </c:pt>
                <c:pt idx="901">
                  <c:v>0.89657248612284646</c:v>
                </c:pt>
                <c:pt idx="902">
                  <c:v>0.88030557602473403</c:v>
                </c:pt>
                <c:pt idx="903">
                  <c:v>1.0716897188881584</c:v>
                </c:pt>
                <c:pt idx="904">
                  <c:v>1.0762610980716654</c:v>
                </c:pt>
                <c:pt idx="905">
                  <c:v>1.1763453467235785</c:v>
                </c:pt>
                <c:pt idx="906">
                  <c:v>1.5840979153102543</c:v>
                </c:pt>
                <c:pt idx="907">
                  <c:v>1.8580676046190114</c:v>
                </c:pt>
                <c:pt idx="908">
                  <c:v>1.7883312006109506</c:v>
                </c:pt>
                <c:pt idx="909">
                  <c:v>1.5728835887085075</c:v>
                </c:pt>
                <c:pt idx="910">
                  <c:v>1.6932597585662543</c:v>
                </c:pt>
                <c:pt idx="911">
                  <c:v>1.6824299120956705</c:v>
                </c:pt>
                <c:pt idx="912">
                  <c:v>1.6473832902579619</c:v>
                </c:pt>
                <c:pt idx="913">
                  <c:v>1.3877111582889698</c:v>
                </c:pt>
                <c:pt idx="914">
                  <c:v>1.4189456677422745</c:v>
                </c:pt>
                <c:pt idx="915">
                  <c:v>1.1415764222984306</c:v>
                </c:pt>
                <c:pt idx="916">
                  <c:v>1.5204992664238526</c:v>
                </c:pt>
                <c:pt idx="917">
                  <c:v>1.098221534066631</c:v>
                </c:pt>
                <c:pt idx="918">
                  <c:v>1.4448395847842965</c:v>
                </c:pt>
                <c:pt idx="919">
                  <c:v>1.0598606650019522</c:v>
                </c:pt>
                <c:pt idx="920">
                  <c:v>1.4380623322604278</c:v>
                </c:pt>
                <c:pt idx="921">
                  <c:v>1.6694816123521967</c:v>
                </c:pt>
                <c:pt idx="922">
                  <c:v>1.4058904943466706</c:v>
                </c:pt>
                <c:pt idx="923">
                  <c:v>1.167469652534723</c:v>
                </c:pt>
                <c:pt idx="924">
                  <c:v>0.84702463553472451</c:v>
                </c:pt>
                <c:pt idx="925">
                  <c:v>0.2552056621135198</c:v>
                </c:pt>
                <c:pt idx="926">
                  <c:v>3.1298484409555051E-2</c:v>
                </c:pt>
                <c:pt idx="927">
                  <c:v>0.76451074327843183</c:v>
                </c:pt>
                <c:pt idx="928">
                  <c:v>0.36376327218815091</c:v>
                </c:pt>
                <c:pt idx="929">
                  <c:v>1.3651953870721436</c:v>
                </c:pt>
                <c:pt idx="930">
                  <c:v>1.5248991361913711</c:v>
                </c:pt>
                <c:pt idx="931">
                  <c:v>0.80390197378077721</c:v>
                </c:pt>
                <c:pt idx="932">
                  <c:v>1.5565269249401936</c:v>
                </c:pt>
                <c:pt idx="933">
                  <c:v>2.0605209100101787</c:v>
                </c:pt>
                <c:pt idx="934">
                  <c:v>2.4626200572339596</c:v>
                </c:pt>
                <c:pt idx="935">
                  <c:v>2.039348959871401</c:v>
                </c:pt>
                <c:pt idx="936">
                  <c:v>1.7785316243321105</c:v>
                </c:pt>
                <c:pt idx="937">
                  <c:v>2.0048560016841965</c:v>
                </c:pt>
                <c:pt idx="938">
                  <c:v>2.1895325158495327</c:v>
                </c:pt>
                <c:pt idx="939">
                  <c:v>2.7450976328921062</c:v>
                </c:pt>
                <c:pt idx="940">
                  <c:v>2.2067344331455057</c:v>
                </c:pt>
                <c:pt idx="941">
                  <c:v>2.17695213028205</c:v>
                </c:pt>
                <c:pt idx="942">
                  <c:v>2.0680692788453023</c:v>
                </c:pt>
                <c:pt idx="943">
                  <c:v>3.1939330155186965</c:v>
                </c:pt>
                <c:pt idx="944">
                  <c:v>2.2837348013929266</c:v>
                </c:pt>
                <c:pt idx="945">
                  <c:v>1.0282996444836712</c:v>
                </c:pt>
                <c:pt idx="946">
                  <c:v>2.8251662395648074</c:v>
                </c:pt>
                <c:pt idx="947">
                  <c:v>3.7231733000100116</c:v>
                </c:pt>
                <c:pt idx="948">
                  <c:v>3.3855832953229195</c:v>
                </c:pt>
                <c:pt idx="949">
                  <c:v>2.4019197411759179</c:v>
                </c:pt>
                <c:pt idx="950">
                  <c:v>3.428043390379635</c:v>
                </c:pt>
                <c:pt idx="951">
                  <c:v>3.088324360131399</c:v>
                </c:pt>
                <c:pt idx="952">
                  <c:v>2.7689487590591106</c:v>
                </c:pt>
                <c:pt idx="953">
                  <c:v>2.5320032977501761</c:v>
                </c:pt>
                <c:pt idx="954">
                  <c:v>2.1508953357508527</c:v>
                </c:pt>
                <c:pt idx="955">
                  <c:v>3.6022118221835475</c:v>
                </c:pt>
                <c:pt idx="956">
                  <c:v>2.9116435230615161</c:v>
                </c:pt>
                <c:pt idx="957">
                  <c:v>2.5407513852876877</c:v>
                </c:pt>
                <c:pt idx="958">
                  <c:v>1.7507420291765816</c:v>
                </c:pt>
                <c:pt idx="959">
                  <c:v>1.2155450661384952</c:v>
                </c:pt>
                <c:pt idx="960">
                  <c:v>1.4780496514853159</c:v>
                </c:pt>
                <c:pt idx="961">
                  <c:v>0.80815862871869826</c:v>
                </c:pt>
                <c:pt idx="962">
                  <c:v>0.80293553310780608</c:v>
                </c:pt>
                <c:pt idx="963">
                  <c:v>2.2958683270873873E-2</c:v>
                </c:pt>
                <c:pt idx="964">
                  <c:v>0.30989077670297888</c:v>
                </c:pt>
                <c:pt idx="965">
                  <c:v>0.70728396913935954</c:v>
                </c:pt>
                <c:pt idx="966">
                  <c:v>1.1729589171195305</c:v>
                </c:pt>
                <c:pt idx="967">
                  <c:v>7.856791856131165E-2</c:v>
                </c:pt>
                <c:pt idx="968">
                  <c:v>-0.41001656209104836</c:v>
                </c:pt>
                <c:pt idx="969">
                  <c:v>-7.8290740623228841E-2</c:v>
                </c:pt>
                <c:pt idx="970">
                  <c:v>2.2463096311551012</c:v>
                </c:pt>
                <c:pt idx="971">
                  <c:v>1.5345962170612224</c:v>
                </c:pt>
                <c:pt idx="972">
                  <c:v>1.5550551798336802</c:v>
                </c:pt>
                <c:pt idx="973">
                  <c:v>-0.12190965848137886</c:v>
                </c:pt>
                <c:pt idx="974">
                  <c:v>1.734172758736831</c:v>
                </c:pt>
                <c:pt idx="975">
                  <c:v>1.2267000491577973</c:v>
                </c:pt>
                <c:pt idx="976">
                  <c:v>0.16214386251228155</c:v>
                </c:pt>
                <c:pt idx="977">
                  <c:v>-0.72295942359540732</c:v>
                </c:pt>
                <c:pt idx="978">
                  <c:v>-1.214814866250276</c:v>
                </c:pt>
                <c:pt idx="979">
                  <c:v>-1.1047097327911111</c:v>
                </c:pt>
                <c:pt idx="980">
                  <c:v>-1.2200265594877253</c:v>
                </c:pt>
                <c:pt idx="981">
                  <c:v>-2.0966496165529263</c:v>
                </c:pt>
                <c:pt idx="982">
                  <c:v>-0.88244110486512084</c:v>
                </c:pt>
                <c:pt idx="983">
                  <c:v>-0.74638472762780006</c:v>
                </c:pt>
                <c:pt idx="984">
                  <c:v>-0.65537693270341757</c:v>
                </c:pt>
                <c:pt idx="985">
                  <c:v>-2.1075424145557302</c:v>
                </c:pt>
                <c:pt idx="986">
                  <c:v>-1.3946050971487316</c:v>
                </c:pt>
                <c:pt idx="987">
                  <c:v>-1.1176235772954348</c:v>
                </c:pt>
                <c:pt idx="988">
                  <c:v>0.73720276572044074</c:v>
                </c:pt>
                <c:pt idx="989">
                  <c:v>-1.1625614606864012</c:v>
                </c:pt>
                <c:pt idx="990">
                  <c:v>-4.3161481349349771</c:v>
                </c:pt>
                <c:pt idx="991">
                  <c:v>-5.0401154276990399</c:v>
                </c:pt>
                <c:pt idx="992">
                  <c:v>-4.4260577003442023</c:v>
                </c:pt>
                <c:pt idx="993">
                  <c:v>-4.3903409331586971</c:v>
                </c:pt>
                <c:pt idx="994">
                  <c:v>-4.6101438479977483</c:v>
                </c:pt>
                <c:pt idx="995">
                  <c:v>-4.428765936266938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DD-4D63-8664-4170FAA0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86319"/>
        <c:axId val="309463343"/>
      </c:lineChart>
      <c:dateAx>
        <c:axId val="1313863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463343"/>
        <c:crosses val="autoZero"/>
        <c:auto val="1"/>
        <c:lblOffset val="100"/>
        <c:baseTimeUnit val="days"/>
      </c:dateAx>
      <c:valAx>
        <c:axId val="30946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86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769035-D73F-40B4-A32B-4D5DBEEFAA73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B7BD8C-B334-43E0-889A-B54A12A6E2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1.96689</v>
      </c>
      <c r="D2" s="4">
        <f>MIN(D3:D1912)</f>
        <v>0.10129000000000001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0.61929999999999996</v>
      </c>
      <c r="C5">
        <v>0.62470000000000003</v>
      </c>
      <c r="D5">
        <v>0.60299999999999998</v>
      </c>
      <c r="E5">
        <v>0.6038</v>
      </c>
      <c r="F5">
        <v>24434979</v>
      </c>
      <c r="G5">
        <v>0.6038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-0.92626728110598888</v>
      </c>
      <c r="Q5">
        <f t="shared" ref="Q5" si="1">F5*P5</f>
        <v>-22633321.562211934</v>
      </c>
      <c r="R5">
        <f t="shared" ref="R5" si="2">R6+Q5</f>
        <v>29552209158.06551</v>
      </c>
      <c r="S5">
        <f t="shared" ref="S5" si="3">R5/100000</f>
        <v>295522.09158065508</v>
      </c>
      <c r="T5">
        <f t="shared" ref="T5" si="4">S5/1000</f>
        <v>295.52209158065506</v>
      </c>
    </row>
    <row r="6" spans="1:20" x14ac:dyDescent="0.25">
      <c r="A6" s="5">
        <v>44587</v>
      </c>
      <c r="B6">
        <v>0.61780000000000002</v>
      </c>
      <c r="C6">
        <v>0.65859999999999996</v>
      </c>
      <c r="D6">
        <v>0.60470000000000002</v>
      </c>
      <c r="E6">
        <v>0.61929999999999996</v>
      </c>
      <c r="F6">
        <v>466864710</v>
      </c>
      <c r="G6">
        <v>0.61929999999999996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-0.45825602968460261</v>
      </c>
      <c r="Q6">
        <f t="shared" ref="Q6" si="6">F6*P6</f>
        <v>-213943568.4044534</v>
      </c>
      <c r="R6">
        <f t="shared" ref="R6" si="7">R7+Q6</f>
        <v>29574842479.62772</v>
      </c>
      <c r="S6">
        <f t="shared" ref="S6" si="8">R6/100000</f>
        <v>295748.42479627719</v>
      </c>
      <c r="T6">
        <f t="shared" ref="T6" si="9">S6/1000</f>
        <v>295.74842479627716</v>
      </c>
    </row>
    <row r="7" spans="1:20" x14ac:dyDescent="0.25">
      <c r="A7" s="5">
        <v>44586</v>
      </c>
      <c r="B7">
        <v>0.61180000000000001</v>
      </c>
      <c r="C7">
        <v>0.62429999999999997</v>
      </c>
      <c r="D7">
        <v>0.58720000000000006</v>
      </c>
      <c r="E7">
        <v>0.61799999999999999</v>
      </c>
      <c r="F7">
        <v>319618429</v>
      </c>
      <c r="G7">
        <v>0.61799999999999999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0.66037735849056667</v>
      </c>
      <c r="Q7">
        <f t="shared" ref="Q7" si="11">F7*P7</f>
        <v>211068773.86792472</v>
      </c>
      <c r="R7">
        <f t="shared" ref="R7" si="12">R8+Q7</f>
        <v>29788786048.032173</v>
      </c>
      <c r="S7">
        <f t="shared" ref="S7" si="13">R7/100000</f>
        <v>297887.86048032175</v>
      </c>
      <c r="T7">
        <f t="shared" ref="T7" si="14">S7/1000</f>
        <v>297.88786048032176</v>
      </c>
    </row>
    <row r="8" spans="1:20" x14ac:dyDescent="0.25">
      <c r="A8" s="5">
        <v>44585</v>
      </c>
      <c r="B8">
        <v>0.62839999999999996</v>
      </c>
      <c r="C8">
        <v>0.62860000000000005</v>
      </c>
      <c r="D8">
        <v>0.5524</v>
      </c>
      <c r="E8">
        <v>0.61180000000000001</v>
      </c>
      <c r="F8">
        <v>513343471</v>
      </c>
      <c r="G8">
        <v>0.61180000000000001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0.55905511811023556</v>
      </c>
      <c r="Q8">
        <f t="shared" ref="Q8" si="16">F8*P8</f>
        <v>286987294.81102329</v>
      </c>
      <c r="R8">
        <f t="shared" ref="R8" si="17">R9+Q8</f>
        <v>29577717274.164249</v>
      </c>
      <c r="S8">
        <f t="shared" ref="S8" si="18">R8/100000</f>
        <v>295777.17274164251</v>
      </c>
      <c r="T8">
        <f t="shared" ref="T8" si="19">S8/1000</f>
        <v>295.77717274164252</v>
      </c>
    </row>
    <row r="9" spans="1:20" x14ac:dyDescent="0.25">
      <c r="A9" s="5">
        <v>44584</v>
      </c>
      <c r="B9">
        <v>0.59660000000000002</v>
      </c>
      <c r="C9">
        <v>0.63519999999999999</v>
      </c>
      <c r="D9">
        <v>0.59</v>
      </c>
      <c r="E9">
        <v>0.62829999999999997</v>
      </c>
      <c r="F9">
        <v>331234207</v>
      </c>
      <c r="G9">
        <v>0.62829999999999997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0.69469026548672497</v>
      </c>
      <c r="Q9">
        <f t="shared" ref="Q9" si="21">F9*P9</f>
        <v>230105179.1991148</v>
      </c>
      <c r="R9">
        <f t="shared" ref="R9" si="22">R10+Q9</f>
        <v>29290729979.353226</v>
      </c>
      <c r="S9">
        <f t="shared" ref="S9" si="23">R9/100000</f>
        <v>292907.29979353223</v>
      </c>
      <c r="T9">
        <f t="shared" ref="T9" si="24">S9/1000</f>
        <v>292.90729979353222</v>
      </c>
    </row>
    <row r="10" spans="1:20" x14ac:dyDescent="0.25">
      <c r="A10" s="5">
        <v>44583</v>
      </c>
      <c r="B10">
        <v>0.63680000000000003</v>
      </c>
      <c r="C10">
        <v>0.6542</v>
      </c>
      <c r="D10">
        <v>0.54890000000000005</v>
      </c>
      <c r="E10">
        <v>0.59660000000000002</v>
      </c>
      <c r="F10">
        <v>769947907.12</v>
      </c>
      <c r="G10">
        <v>0.59660000000000002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-9.4017094017094252E-2</v>
      </c>
      <c r="Q10">
        <f t="shared" ref="Q10" si="26">F10*P10</f>
        <v>-72388264.771965995</v>
      </c>
      <c r="R10">
        <f t="shared" ref="R10" si="27">R11+Q10</f>
        <v>29060624800.15411</v>
      </c>
      <c r="S10">
        <f t="shared" ref="S10" si="28">R10/100000</f>
        <v>290606.24800154113</v>
      </c>
      <c r="T10">
        <f t="shared" ref="T10" si="29">S10/1000</f>
        <v>290.60624800154113</v>
      </c>
    </row>
    <row r="11" spans="1:20" x14ac:dyDescent="0.25">
      <c r="A11" s="5">
        <v>44582</v>
      </c>
      <c r="B11">
        <v>0.71989999999999998</v>
      </c>
      <c r="C11">
        <v>0.72850000000000004</v>
      </c>
      <c r="D11">
        <v>0.61119999999999997</v>
      </c>
      <c r="E11">
        <v>0.63680000000000003</v>
      </c>
      <c r="F11">
        <v>612944841</v>
      </c>
      <c r="G11">
        <v>0.63680000000000003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-0.56351236146632477</v>
      </c>
      <c r="Q11">
        <f t="shared" ref="Q11" si="31">F11*P11</f>
        <v>-345401994.80051094</v>
      </c>
      <c r="R11">
        <f t="shared" ref="R11" si="32">R12+Q11</f>
        <v>29133013064.926075</v>
      </c>
      <c r="S11">
        <f t="shared" ref="S11" si="33">R11/100000</f>
        <v>291330.13064926077</v>
      </c>
      <c r="T11">
        <f t="shared" ref="T11" si="34">S11/1000</f>
        <v>291.33013064926075</v>
      </c>
    </row>
    <row r="12" spans="1:20" x14ac:dyDescent="0.25">
      <c r="A12" s="5">
        <v>44581</v>
      </c>
      <c r="B12">
        <v>0.73809999999999998</v>
      </c>
      <c r="C12">
        <v>0.76219999999999999</v>
      </c>
      <c r="D12">
        <v>0.71609999999999996</v>
      </c>
      <c r="E12">
        <v>0.71989999999999998</v>
      </c>
      <c r="F12">
        <v>205931050</v>
      </c>
      <c r="G12">
        <v>0.71989999999999998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-0.83514099783080165</v>
      </c>
      <c r="Q12">
        <f t="shared" ref="Q12" si="36">F12*P12</f>
        <v>-171981462.58134469</v>
      </c>
      <c r="R12">
        <f t="shared" ref="R12" si="37">R13+Q12</f>
        <v>29478415059.726585</v>
      </c>
      <c r="S12">
        <f t="shared" ref="S12" si="38">R12/100000</f>
        <v>294784.15059726586</v>
      </c>
      <c r="T12">
        <f t="shared" ref="T12" si="39">S12/1000</f>
        <v>294.78415059726586</v>
      </c>
    </row>
    <row r="13" spans="1:20" x14ac:dyDescent="0.25">
      <c r="A13" s="5">
        <v>44580</v>
      </c>
      <c r="B13">
        <v>0.751</v>
      </c>
      <c r="C13">
        <v>0.75329999999999997</v>
      </c>
      <c r="D13">
        <v>0.72309999999999997</v>
      </c>
      <c r="E13">
        <v>0.73809999999999998</v>
      </c>
      <c r="F13">
        <v>190555142</v>
      </c>
      <c r="G13">
        <v>0.73809999999999998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-6.6225165562906604E-3</v>
      </c>
      <c r="Q13">
        <f t="shared" ref="Q13" si="41">F13*P13</f>
        <v>-1261954.5827813179</v>
      </c>
      <c r="R13">
        <f t="shared" ref="R13" si="42">R14+Q13</f>
        <v>29650396522.30793</v>
      </c>
      <c r="S13">
        <f t="shared" ref="S13" si="43">R13/100000</f>
        <v>296503.96522307931</v>
      </c>
      <c r="T13">
        <f t="shared" ref="T13" si="44">S13/1000</f>
        <v>296.50396522307932</v>
      </c>
    </row>
    <row r="14" spans="1:20" x14ac:dyDescent="0.25">
      <c r="A14" s="5">
        <v>44579</v>
      </c>
      <c r="B14">
        <v>0.76160000000000005</v>
      </c>
      <c r="C14">
        <v>0.76859999999999995</v>
      </c>
      <c r="D14">
        <v>0.73519999999999996</v>
      </c>
      <c r="E14">
        <v>0.75080000000000002</v>
      </c>
      <c r="F14">
        <v>188365899</v>
      </c>
      <c r="G14">
        <v>0.75080000000000002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-6.5868263473049984E-2</v>
      </c>
      <c r="Q14">
        <f t="shared" ref="Q14" si="46">F14*P14</f>
        <v>-12407334.664669923</v>
      </c>
      <c r="R14">
        <f t="shared" ref="R14" si="47">R15+Q14</f>
        <v>29651658476.890713</v>
      </c>
      <c r="S14">
        <f t="shared" ref="S14" si="48">R14/100000</f>
        <v>296516.58476890711</v>
      </c>
      <c r="T14">
        <f t="shared" ref="T14" si="49">S14/1000</f>
        <v>296.51658476890714</v>
      </c>
    </row>
    <row r="15" spans="1:20" x14ac:dyDescent="0.25">
      <c r="A15" s="5">
        <v>44578</v>
      </c>
      <c r="B15">
        <v>0.77849999999999997</v>
      </c>
      <c r="C15">
        <v>0.78049999999999997</v>
      </c>
      <c r="D15">
        <v>0.74980000000000002</v>
      </c>
      <c r="E15">
        <v>0.76170000000000004</v>
      </c>
      <c r="F15">
        <v>181653025</v>
      </c>
      <c r="G15">
        <v>0.76170000000000004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-0.22475570032573022</v>
      </c>
      <c r="Q15">
        <f t="shared" ref="Q15" si="51">F15*P15</f>
        <v>-40827552.850162379</v>
      </c>
      <c r="R15">
        <f t="shared" ref="R15" si="52">R16+Q15</f>
        <v>29664065811.555382</v>
      </c>
      <c r="S15">
        <f t="shared" ref="S15" si="53">R15/100000</f>
        <v>296640.65811555384</v>
      </c>
      <c r="T15">
        <f t="shared" ref="T15" si="54">S15/1000</f>
        <v>296.64065811555383</v>
      </c>
    </row>
    <row r="16" spans="1:20" x14ac:dyDescent="0.25">
      <c r="A16" s="5">
        <v>44577</v>
      </c>
      <c r="B16">
        <v>0.77910000000000001</v>
      </c>
      <c r="C16">
        <v>0.78839999999999999</v>
      </c>
      <c r="D16">
        <v>0.76800000000000002</v>
      </c>
      <c r="E16">
        <v>0.77839999999999998</v>
      </c>
      <c r="F16">
        <v>125068081</v>
      </c>
      <c r="G16">
        <v>0.77839999999999998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1.9607843137252768E-2</v>
      </c>
      <c r="Q16">
        <f t="shared" ref="Q16" si="56">F16*P16</f>
        <v>2452315.3137252233</v>
      </c>
      <c r="R16">
        <f t="shared" ref="R16" si="57">R17+Q16</f>
        <v>29704893364.405544</v>
      </c>
      <c r="S16">
        <f t="shared" ref="S16" si="58">R16/100000</f>
        <v>297048.93364405545</v>
      </c>
      <c r="T16">
        <f t="shared" ref="T16" si="59">S16/1000</f>
        <v>297.04893364405547</v>
      </c>
    </row>
    <row r="17" spans="1:20" x14ac:dyDescent="0.25">
      <c r="A17" s="5">
        <v>44576</v>
      </c>
      <c r="B17">
        <v>0.77329999999999999</v>
      </c>
      <c r="C17">
        <v>0.79</v>
      </c>
      <c r="D17">
        <v>0.76800000000000002</v>
      </c>
      <c r="E17">
        <v>0.77910000000000001</v>
      </c>
      <c r="F17">
        <v>138443019</v>
      </c>
      <c r="G17">
        <v>0.77910000000000001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9.0909090909080809E-3</v>
      </c>
      <c r="Q17">
        <f t="shared" ref="Q17" si="61">F17*P17</f>
        <v>1258572.8999998602</v>
      </c>
      <c r="R17">
        <f t="shared" ref="R17" si="62">R18+Q17</f>
        <v>29702441049.09182</v>
      </c>
      <c r="S17">
        <f t="shared" ref="S17" si="63">R17/100000</f>
        <v>297024.41049091821</v>
      </c>
      <c r="T17">
        <f t="shared" ref="T17" si="64">S17/1000</f>
        <v>297.02441049091823</v>
      </c>
    </row>
    <row r="18" spans="1:20" x14ac:dyDescent="0.25">
      <c r="A18" s="5">
        <v>44575</v>
      </c>
      <c r="B18">
        <v>0.76770000000000005</v>
      </c>
      <c r="C18">
        <v>0.8</v>
      </c>
      <c r="D18">
        <v>0.75129999999999997</v>
      </c>
      <c r="E18">
        <v>0.7732</v>
      </c>
      <c r="F18">
        <v>221104212</v>
      </c>
      <c r="G18">
        <v>0.7732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-0.10061601642710488</v>
      </c>
      <c r="Q18">
        <f t="shared" ref="Q18" si="66">F18*P18</f>
        <v>-22246625.026694082</v>
      </c>
      <c r="R18">
        <f t="shared" ref="R18" si="67">R19+Q18</f>
        <v>29701182476.191818</v>
      </c>
      <c r="S18">
        <f t="shared" ref="S18" si="68">R18/100000</f>
        <v>297011.82476191816</v>
      </c>
      <c r="T18">
        <f t="shared" ref="T18" si="69">S18/1000</f>
        <v>297.01182476191815</v>
      </c>
    </row>
    <row r="19" spans="1:20" x14ac:dyDescent="0.25">
      <c r="A19" s="5">
        <v>44574</v>
      </c>
      <c r="B19">
        <v>0.79859999999999998</v>
      </c>
      <c r="C19">
        <v>0.8024</v>
      </c>
      <c r="D19">
        <v>0.76039999999999996</v>
      </c>
      <c r="E19">
        <v>0.76800000000000002</v>
      </c>
      <c r="F19">
        <v>227833834</v>
      </c>
      <c r="G19">
        <v>0.76800000000000002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-0.63809523809523594</v>
      </c>
      <c r="Q19">
        <f t="shared" ref="Q19" si="71">F19*P19</f>
        <v>-145379684.55238047</v>
      </c>
      <c r="R19">
        <f t="shared" ref="R19" si="72">R20+Q19</f>
        <v>29723429101.218513</v>
      </c>
      <c r="S19">
        <f t="shared" ref="S19" si="73">R19/100000</f>
        <v>297234.29101218516</v>
      </c>
      <c r="T19">
        <f t="shared" ref="T19" si="74">S19/1000</f>
        <v>297.23429101218517</v>
      </c>
    </row>
    <row r="20" spans="1:20" x14ac:dyDescent="0.25">
      <c r="A20" s="5">
        <v>44573</v>
      </c>
      <c r="B20">
        <v>0.7702</v>
      </c>
      <c r="C20">
        <v>0.81599999999999995</v>
      </c>
      <c r="D20">
        <v>0.75700000000000001</v>
      </c>
      <c r="E20">
        <v>0.79869999999999997</v>
      </c>
      <c r="F20">
        <v>295701910</v>
      </c>
      <c r="G20">
        <v>0.79869999999999997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0.41355932203389834</v>
      </c>
      <c r="Q20">
        <f t="shared" ref="Q20" si="76">F20*P20</f>
        <v>122290281.42372882</v>
      </c>
      <c r="R20">
        <f t="shared" ref="R20" si="77">R21+Q20</f>
        <v>29868808785.770893</v>
      </c>
      <c r="S20">
        <f t="shared" ref="S20" si="78">R20/100000</f>
        <v>298688.08785770892</v>
      </c>
      <c r="T20">
        <f t="shared" ref="T20" si="79">S20/1000</f>
        <v>298.68808785770892</v>
      </c>
    </row>
    <row r="21" spans="1:20" x14ac:dyDescent="0.25">
      <c r="A21" s="5">
        <v>44572</v>
      </c>
      <c r="B21">
        <v>0.7399</v>
      </c>
      <c r="C21">
        <v>0.77680000000000005</v>
      </c>
      <c r="D21">
        <v>0.73060000000000003</v>
      </c>
      <c r="E21">
        <v>0.77029999999999998</v>
      </c>
      <c r="F21">
        <v>254065075</v>
      </c>
      <c r="G21">
        <v>0.77029999999999998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0.71861471861471604</v>
      </c>
      <c r="Q21">
        <f t="shared" ref="Q21" si="81">F21*P21</f>
        <v>182574902.38095173</v>
      </c>
      <c r="R21">
        <f t="shared" ref="R21" si="82">R22+Q21</f>
        <v>29746518504.347164</v>
      </c>
      <c r="S21">
        <f t="shared" ref="S21" si="83">R21/100000</f>
        <v>297465.18504347163</v>
      </c>
      <c r="T21">
        <f t="shared" ref="T21" si="84">S21/1000</f>
        <v>297.46518504347165</v>
      </c>
    </row>
    <row r="22" spans="1:20" x14ac:dyDescent="0.25">
      <c r="A22" s="5">
        <v>44571</v>
      </c>
      <c r="B22">
        <v>0.753</v>
      </c>
      <c r="C22">
        <v>0.75890000000000002</v>
      </c>
      <c r="D22">
        <v>0.69669999999999999</v>
      </c>
      <c r="E22">
        <v>0.7399</v>
      </c>
      <c r="F22">
        <v>313080154</v>
      </c>
      <c r="G22">
        <v>0.7399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0.3890675241157554</v>
      </c>
      <c r="Q22">
        <f t="shared" ref="Q22" si="86">F22*P22</f>
        <v>121809320.36655942</v>
      </c>
      <c r="R22">
        <f t="shared" ref="R22" si="87">R23+Q22</f>
        <v>29563943601.966213</v>
      </c>
      <c r="S22">
        <f t="shared" ref="S22" si="88">R22/100000</f>
        <v>295639.43601966213</v>
      </c>
      <c r="T22">
        <f t="shared" ref="T22" si="89">S22/1000</f>
        <v>295.63943601966213</v>
      </c>
    </row>
    <row r="23" spans="1:20" x14ac:dyDescent="0.25">
      <c r="A23" s="5">
        <v>44570</v>
      </c>
      <c r="B23">
        <v>0.74519999999999997</v>
      </c>
      <c r="C23">
        <v>0.76670000000000005</v>
      </c>
      <c r="D23">
        <v>0.73809999999999998</v>
      </c>
      <c r="E23">
        <v>0.753</v>
      </c>
      <c r="F23">
        <v>151521399</v>
      </c>
      <c r="G23">
        <v>0.753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4.1958041958041113E-2</v>
      </c>
      <c r="Q23">
        <f t="shared" ref="Q23" si="91">F23*P23</f>
        <v>6357541.2167830886</v>
      </c>
      <c r="R23">
        <f t="shared" ref="R23" si="92">R24+Q23</f>
        <v>29442134281.599655</v>
      </c>
      <c r="S23">
        <f t="shared" ref="S23" si="93">R23/100000</f>
        <v>294421.34281599656</v>
      </c>
      <c r="T23">
        <f t="shared" ref="T23" si="94">S23/1000</f>
        <v>294.42134281599658</v>
      </c>
    </row>
    <row r="24" spans="1:20" x14ac:dyDescent="0.25">
      <c r="A24" s="5">
        <v>44569</v>
      </c>
      <c r="B24">
        <v>0.76339999999999997</v>
      </c>
      <c r="C24">
        <v>0.77680000000000005</v>
      </c>
      <c r="D24">
        <v>0.72219999999999995</v>
      </c>
      <c r="E24">
        <v>0.74519999999999997</v>
      </c>
      <c r="F24">
        <v>253028571</v>
      </c>
      <c r="G24">
        <v>0.74519999999999997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-0.1575091575091582</v>
      </c>
      <c r="Q24">
        <f t="shared" ref="Q24" si="96">F24*P24</f>
        <v>-39854317.04395622</v>
      </c>
      <c r="R24">
        <f t="shared" ref="R24" si="97">R25+Q24</f>
        <v>29435776740.382874</v>
      </c>
      <c r="S24">
        <f t="shared" ref="S24" si="98">R24/100000</f>
        <v>294357.76740382874</v>
      </c>
      <c r="T24">
        <f t="shared" ref="T24" si="99">S24/1000</f>
        <v>294.35776740382875</v>
      </c>
    </row>
    <row r="25" spans="1:20" x14ac:dyDescent="0.25">
      <c r="A25" s="5">
        <v>44568</v>
      </c>
      <c r="B25">
        <v>0.77900000000000003</v>
      </c>
      <c r="C25">
        <v>0.78080000000000005</v>
      </c>
      <c r="D25">
        <v>0.72870000000000001</v>
      </c>
      <c r="E25">
        <v>0.76339999999999997</v>
      </c>
      <c r="F25">
        <v>372926762</v>
      </c>
      <c r="G25">
        <v>0.76339999999999997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0.33205374280230054</v>
      </c>
      <c r="Q25">
        <f t="shared" ref="Q25" si="101">F25*P25</f>
        <v>123831727.11324275</v>
      </c>
      <c r="R25">
        <f t="shared" ref="R25" si="102">R26+Q25</f>
        <v>29475631057.42683</v>
      </c>
      <c r="S25">
        <f t="shared" ref="S25" si="103">R25/100000</f>
        <v>294756.31057426828</v>
      </c>
      <c r="T25">
        <f t="shared" ref="T25" si="104">S25/1000</f>
        <v>294.7563105742683</v>
      </c>
    </row>
    <row r="26" spans="1:20" x14ac:dyDescent="0.25">
      <c r="A26" s="5">
        <v>44567</v>
      </c>
      <c r="B26">
        <v>0.77249999999999996</v>
      </c>
      <c r="C26">
        <v>0.79090000000000005</v>
      </c>
      <c r="D26">
        <v>0.73770000000000002</v>
      </c>
      <c r="E26">
        <v>0.77910000000000001</v>
      </c>
      <c r="F26">
        <v>307202277</v>
      </c>
      <c r="G26">
        <v>0.77910000000000001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0.55639097744360799</v>
      </c>
      <c r="Q26">
        <f t="shared" ref="Q26" si="106">F26*P26</f>
        <v>170924575.17293203</v>
      </c>
      <c r="R26">
        <f t="shared" ref="R26" si="107">R27+Q26</f>
        <v>29351799330.313587</v>
      </c>
      <c r="S26">
        <f t="shared" ref="S26" si="108">R26/100000</f>
        <v>293517.99330313585</v>
      </c>
      <c r="T26">
        <f t="shared" ref="T26" si="109">S26/1000</f>
        <v>293.51799330313582</v>
      </c>
    </row>
    <row r="27" spans="1:20" x14ac:dyDescent="0.25">
      <c r="A27" s="5">
        <v>44566</v>
      </c>
      <c r="B27">
        <v>0.82269999999999999</v>
      </c>
      <c r="C27">
        <v>0.83720000000000006</v>
      </c>
      <c r="D27">
        <v>0.70920000000000005</v>
      </c>
      <c r="E27">
        <v>0.77259999999999995</v>
      </c>
      <c r="F27">
        <v>370612510</v>
      </c>
      <c r="G27">
        <v>0.77259999999999995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-9.3750000000015696E-3</v>
      </c>
      <c r="Q27">
        <f t="shared" ref="Q27" si="111">F27*P27</f>
        <v>-3474492.2812505816</v>
      </c>
      <c r="R27">
        <f t="shared" ref="R27" si="112">R28+Q27</f>
        <v>29180874755.140656</v>
      </c>
      <c r="S27">
        <f t="shared" ref="S27" si="113">R27/100000</f>
        <v>291808.74755140656</v>
      </c>
      <c r="T27">
        <f t="shared" ref="T27" si="114">S27/1000</f>
        <v>291.80874755140655</v>
      </c>
    </row>
    <row r="28" spans="1:20" x14ac:dyDescent="0.25">
      <c r="A28" s="5">
        <v>44565</v>
      </c>
      <c r="B28">
        <v>0.83240000000000003</v>
      </c>
      <c r="C28">
        <v>0.84560000000000002</v>
      </c>
      <c r="D28">
        <v>0.77939999999999998</v>
      </c>
      <c r="E28">
        <v>0.82279999999999998</v>
      </c>
      <c r="F28">
        <v>214415744</v>
      </c>
      <c r="G28">
        <v>0.82279999999999998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0.31117824773413805</v>
      </c>
      <c r="Q28">
        <f t="shared" ref="Q28" si="116">F28*P28</f>
        <v>66721515.504531525</v>
      </c>
      <c r="R28">
        <f t="shared" ref="R28" si="117">R29+Q28</f>
        <v>29184349247.421906</v>
      </c>
      <c r="S28">
        <f t="shared" ref="S28" si="118">R28/100000</f>
        <v>291843.49247421906</v>
      </c>
      <c r="T28">
        <f t="shared" ref="T28" si="119">S28/1000</f>
        <v>291.84349247421909</v>
      </c>
    </row>
    <row r="29" spans="1:20" x14ac:dyDescent="0.25">
      <c r="A29" s="5">
        <v>44564</v>
      </c>
      <c r="B29">
        <v>0.85860000000000003</v>
      </c>
      <c r="C29">
        <v>0.85870000000000002</v>
      </c>
      <c r="D29">
        <v>0.82130000000000003</v>
      </c>
      <c r="E29">
        <v>0.83240000000000003</v>
      </c>
      <c r="F29">
        <v>178618617</v>
      </c>
      <c r="G29">
        <v>0.83240000000000003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-0.40641711229946514</v>
      </c>
      <c r="Q29">
        <f t="shared" ref="Q29" si="121">F29*P29</f>
        <v>-72593662.524064153</v>
      </c>
      <c r="R29">
        <f t="shared" ref="R29" si="122">R30+Q29</f>
        <v>29117627731.917374</v>
      </c>
      <c r="S29">
        <f t="shared" ref="S29" si="123">R29/100000</f>
        <v>291176.27731917374</v>
      </c>
      <c r="T29">
        <f t="shared" ref="T29" si="124">S29/1000</f>
        <v>291.17627731917372</v>
      </c>
    </row>
    <row r="30" spans="1:20" x14ac:dyDescent="0.25">
      <c r="A30" s="5">
        <v>44563</v>
      </c>
      <c r="B30">
        <v>0.8508</v>
      </c>
      <c r="C30">
        <v>0.86670000000000003</v>
      </c>
      <c r="D30">
        <v>0.83720000000000006</v>
      </c>
      <c r="E30">
        <v>0.85860000000000003</v>
      </c>
      <c r="F30">
        <v>129688032</v>
      </c>
      <c r="G30">
        <v>0.85860000000000003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0.45084745762711836</v>
      </c>
      <c r="Q30">
        <f t="shared" ref="Q30" si="126">F30*P30</f>
        <v>58469519.511864372</v>
      </c>
      <c r="R30">
        <f t="shared" ref="R30" si="127">R31+Q30</f>
        <v>29190221394.441437</v>
      </c>
      <c r="S30">
        <f t="shared" ref="S30" si="128">R30/100000</f>
        <v>291902.21394441434</v>
      </c>
      <c r="T30">
        <f t="shared" ref="T30" si="129">S30/1000</f>
        <v>291.90221394441431</v>
      </c>
    </row>
    <row r="31" spans="1:20" x14ac:dyDescent="0.25">
      <c r="A31" s="5">
        <v>44562</v>
      </c>
      <c r="B31">
        <v>0.82979999999999998</v>
      </c>
      <c r="C31">
        <v>0.85570000000000002</v>
      </c>
      <c r="D31">
        <v>0.82969999999999999</v>
      </c>
      <c r="E31">
        <v>0.85070000000000001</v>
      </c>
      <c r="F31">
        <v>136976730</v>
      </c>
      <c r="G31">
        <v>0.85070000000000001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0.61538461538461542</v>
      </c>
      <c r="Q31">
        <f t="shared" ref="Q31" si="131">F31*P31</f>
        <v>84293372.307692319</v>
      </c>
      <c r="R31">
        <f t="shared" ref="R31" si="132">R32+Q31</f>
        <v>29131751874.929573</v>
      </c>
      <c r="S31">
        <f t="shared" ref="S31" si="133">R31/100000</f>
        <v>291317.51874929573</v>
      </c>
      <c r="T31">
        <f t="shared" ref="T31" si="134">S31/1000</f>
        <v>291.31751874929574</v>
      </c>
    </row>
    <row r="32" spans="1:20" x14ac:dyDescent="0.25">
      <c r="A32" s="5">
        <v>44561</v>
      </c>
      <c r="B32">
        <v>0.83850000000000002</v>
      </c>
      <c r="C32">
        <v>0.85450000000000004</v>
      </c>
      <c r="D32">
        <v>0.80249999999999999</v>
      </c>
      <c r="E32">
        <v>0.82969999999999999</v>
      </c>
      <c r="F32">
        <v>239829934</v>
      </c>
      <c r="G32">
        <v>0.82969999999999999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4.6153846153845303E-2</v>
      </c>
      <c r="Q32">
        <f t="shared" ref="Q32" si="136">F32*P32</f>
        <v>11069073.876922872</v>
      </c>
      <c r="R32">
        <f t="shared" ref="R32" si="137">R33+Q32</f>
        <v>29047458502.62188</v>
      </c>
      <c r="S32">
        <f t="shared" ref="S32" si="138">R32/100000</f>
        <v>290474.58502621879</v>
      </c>
      <c r="T32">
        <f t="shared" ref="T32" si="139">S32/1000</f>
        <v>290.47458502621879</v>
      </c>
    </row>
    <row r="33" spans="1:20" x14ac:dyDescent="0.25">
      <c r="A33" s="5">
        <v>44560</v>
      </c>
      <c r="B33">
        <v>0.81720000000000004</v>
      </c>
      <c r="C33">
        <v>0.86</v>
      </c>
      <c r="D33">
        <v>0.80200000000000005</v>
      </c>
      <c r="E33">
        <v>0.83860000000000001</v>
      </c>
      <c r="F33">
        <v>262671659</v>
      </c>
      <c r="G33">
        <v>0.83860000000000001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0.26206896551724151</v>
      </c>
      <c r="Q33">
        <f t="shared" ref="Q33" si="141">F33*P33</f>
        <v>68838089.944827616</v>
      </c>
      <c r="R33">
        <f t="shared" ref="R33" si="142">R34+Q33</f>
        <v>29036389428.744957</v>
      </c>
      <c r="S33">
        <f t="shared" ref="S33" si="143">R33/100000</f>
        <v>290363.8942874496</v>
      </c>
      <c r="T33">
        <f t="shared" ref="T33" si="144">S33/1000</f>
        <v>290.36389428744963</v>
      </c>
    </row>
    <row r="34" spans="1:20" x14ac:dyDescent="0.25">
      <c r="A34" s="5">
        <v>44559</v>
      </c>
      <c r="B34">
        <v>0.85160000000000002</v>
      </c>
      <c r="C34">
        <v>0.86450000000000005</v>
      </c>
      <c r="D34">
        <v>0.81</v>
      </c>
      <c r="E34">
        <v>0.81710000000000005</v>
      </c>
      <c r="F34">
        <v>306520880</v>
      </c>
      <c r="G34">
        <v>0.81710000000000005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-0.73944954128440377</v>
      </c>
      <c r="Q34">
        <f t="shared" ref="Q34" si="146">F34*P34</f>
        <v>-226656724.11009178</v>
      </c>
      <c r="R34">
        <f t="shared" ref="R34" si="147">R35+Q34</f>
        <v>28967551338.800129</v>
      </c>
      <c r="S34">
        <f t="shared" ref="S34" si="148">R34/100000</f>
        <v>289675.5133880013</v>
      </c>
      <c r="T34">
        <f t="shared" ref="T34" si="149">S34/1000</f>
        <v>289.67551338800132</v>
      </c>
    </row>
    <row r="35" spans="1:20" x14ac:dyDescent="0.25">
      <c r="A35" s="5">
        <v>44558</v>
      </c>
      <c r="B35">
        <v>0.92689999999999995</v>
      </c>
      <c r="C35">
        <v>0.92689999999999995</v>
      </c>
      <c r="D35">
        <v>0.84560000000000002</v>
      </c>
      <c r="E35">
        <v>0.85150000000000003</v>
      </c>
      <c r="F35">
        <v>321266081</v>
      </c>
      <c r="G35">
        <v>0.85150000000000003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-0.85485854858548538</v>
      </c>
      <c r="Q35">
        <f t="shared" ref="Q35" si="151">F35*P35</f>
        <v>-274637055.71340698</v>
      </c>
      <c r="R35">
        <f t="shared" ref="R35" si="152">R36+Q35</f>
        <v>29194208062.910221</v>
      </c>
      <c r="S35">
        <f t="shared" ref="S35" si="153">R35/100000</f>
        <v>291942.08062910219</v>
      </c>
      <c r="T35">
        <f t="shared" ref="T35" si="154">S35/1000</f>
        <v>291.94208062910218</v>
      </c>
    </row>
    <row r="36" spans="1:20" x14ac:dyDescent="0.25">
      <c r="A36" s="5">
        <v>44557</v>
      </c>
      <c r="B36">
        <v>0.92</v>
      </c>
      <c r="C36">
        <v>0.95599999999999996</v>
      </c>
      <c r="D36">
        <v>0.91410000000000002</v>
      </c>
      <c r="E36">
        <v>0.92689999999999995</v>
      </c>
      <c r="F36">
        <v>236262595</v>
      </c>
      <c r="G36">
        <v>0.92689999999999995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-0.38902147971360662</v>
      </c>
      <c r="Q36">
        <f t="shared" ref="Q36" si="156">F36*P36</f>
        <v>-91911224.307876557</v>
      </c>
      <c r="R36">
        <f t="shared" ref="R36" si="157">R37+Q36</f>
        <v>29468845118.623627</v>
      </c>
      <c r="S36">
        <f t="shared" ref="S36" si="158">R36/100000</f>
        <v>294688.45118623629</v>
      </c>
      <c r="T36">
        <f t="shared" ref="T36" si="159">S36/1000</f>
        <v>294.68845118623631</v>
      </c>
    </row>
    <row r="37" spans="1:20" x14ac:dyDescent="0.25">
      <c r="A37" s="5">
        <v>44556</v>
      </c>
      <c r="B37">
        <v>0.92520000000000002</v>
      </c>
      <c r="C37">
        <v>0.93340000000000001</v>
      </c>
      <c r="D37">
        <v>0.9052</v>
      </c>
      <c r="E37">
        <v>0.92</v>
      </c>
      <c r="F37">
        <v>163438501</v>
      </c>
      <c r="G37">
        <v>0.92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4.9645390070924389E-2</v>
      </c>
      <c r="Q37">
        <f t="shared" ref="Q37" si="161">F37*P37</f>
        <v>8113968.1347521655</v>
      </c>
      <c r="R37">
        <f t="shared" ref="R37" si="162">R38+Q37</f>
        <v>29560756342.931503</v>
      </c>
      <c r="S37">
        <f t="shared" ref="S37" si="163">R37/100000</f>
        <v>295607.56342931505</v>
      </c>
      <c r="T37">
        <f t="shared" ref="T37" si="164">S37/1000</f>
        <v>295.60756342931506</v>
      </c>
    </row>
    <row r="38" spans="1:20" x14ac:dyDescent="0.25">
      <c r="A38" s="5">
        <v>44555</v>
      </c>
      <c r="B38">
        <v>0.91139999999999999</v>
      </c>
      <c r="C38">
        <v>0.93500000000000005</v>
      </c>
      <c r="D38">
        <v>0.89810000000000001</v>
      </c>
      <c r="E38">
        <v>0.92520000000000002</v>
      </c>
      <c r="F38">
        <v>250074945</v>
      </c>
      <c r="G38">
        <v>0.92520000000000002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0.46883468834688241</v>
      </c>
      <c r="Q38">
        <f t="shared" ref="Q38" si="166">F38*P38</f>
        <v>117243808.90243876</v>
      </c>
      <c r="R38">
        <f t="shared" ref="R38" si="167">R39+Q38</f>
        <v>29552642374.796753</v>
      </c>
      <c r="S38">
        <f t="shared" ref="S38" si="168">R38/100000</f>
        <v>295526.42374796752</v>
      </c>
      <c r="T38">
        <f t="shared" ref="T38" si="169">S38/1000</f>
        <v>295.5264237479675</v>
      </c>
    </row>
    <row r="39" spans="1:20" x14ac:dyDescent="0.25">
      <c r="A39" s="5">
        <v>44554</v>
      </c>
      <c r="B39">
        <v>0.99409999999999998</v>
      </c>
      <c r="C39">
        <v>0.99660000000000004</v>
      </c>
      <c r="D39">
        <v>0.89639999999999997</v>
      </c>
      <c r="E39">
        <v>0.91149999999999998</v>
      </c>
      <c r="F39">
        <v>567234092</v>
      </c>
      <c r="G39">
        <v>0.91149999999999998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-0.69860279441117779</v>
      </c>
      <c r="Q39">
        <f t="shared" ref="Q39" si="171">F39*P39</f>
        <v>-396271321.75648713</v>
      </c>
      <c r="R39">
        <f t="shared" ref="R39" si="172">R40+Q39</f>
        <v>29435398565.894314</v>
      </c>
      <c r="S39">
        <f t="shared" ref="S39" si="173">R39/100000</f>
        <v>294353.98565894313</v>
      </c>
      <c r="T39">
        <f t="shared" ref="T39" si="174">S39/1000</f>
        <v>294.35398565894315</v>
      </c>
    </row>
    <row r="40" spans="1:20" x14ac:dyDescent="0.25">
      <c r="A40" s="5">
        <v>44553</v>
      </c>
      <c r="B40">
        <v>0.95379999999999998</v>
      </c>
      <c r="C40">
        <v>1.0166999999999999</v>
      </c>
      <c r="D40">
        <v>0.93720000000000003</v>
      </c>
      <c r="E40">
        <v>0.99409999999999998</v>
      </c>
      <c r="F40">
        <v>479436230</v>
      </c>
      <c r="G40">
        <v>0.99409999999999998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0.4314465408805036</v>
      </c>
      <c r="Q40">
        <f t="shared" ref="Q40" si="176">F40*P40</f>
        <v>206851103.00628954</v>
      </c>
      <c r="R40">
        <f t="shared" ref="R40" si="177">R41+Q40</f>
        <v>29831669887.650803</v>
      </c>
      <c r="S40">
        <f t="shared" ref="S40" si="178">R40/100000</f>
        <v>298316.69887650805</v>
      </c>
      <c r="T40">
        <f t="shared" ref="T40" si="179">S40/1000</f>
        <v>298.31669887650804</v>
      </c>
    </row>
    <row r="41" spans="1:20" x14ac:dyDescent="0.25">
      <c r="A41" s="5">
        <v>44552</v>
      </c>
      <c r="B41">
        <v>0.9466</v>
      </c>
      <c r="C41">
        <v>0.9738</v>
      </c>
      <c r="D41">
        <v>0.92300000000000004</v>
      </c>
      <c r="E41">
        <v>0.95369999999999999</v>
      </c>
      <c r="F41">
        <v>401407051</v>
      </c>
      <c r="G41">
        <v>0.95369999999999999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0.20866141732283369</v>
      </c>
      <c r="Q41">
        <f t="shared" ref="Q41" si="181">F41*P41</f>
        <v>83758164.185038984</v>
      </c>
      <c r="R41">
        <f t="shared" ref="R41" si="182">R42+Q41</f>
        <v>29624818784.644512</v>
      </c>
      <c r="S41">
        <f t="shared" ref="S41" si="183">R41/100000</f>
        <v>296248.18784644513</v>
      </c>
      <c r="T41">
        <f t="shared" ref="T41" si="184">S41/1000</f>
        <v>296.24818784644515</v>
      </c>
    </row>
    <row r="42" spans="1:20" x14ac:dyDescent="0.25">
      <c r="A42" s="5">
        <v>44551</v>
      </c>
      <c r="B42">
        <v>0.87990000000000002</v>
      </c>
      <c r="C42">
        <v>0.96099999999999997</v>
      </c>
      <c r="D42">
        <v>0.85270000000000001</v>
      </c>
      <c r="E42">
        <v>0.94669999999999999</v>
      </c>
      <c r="F42">
        <v>471318013</v>
      </c>
      <c r="G42">
        <v>0.94669999999999999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0.73591874422899384</v>
      </c>
      <c r="Q42">
        <f t="shared" ref="Q42" si="186">F42*P42</f>
        <v>346851760.25946462</v>
      </c>
      <c r="R42">
        <f t="shared" ref="R42" si="187">R43+Q42</f>
        <v>29541060620.459473</v>
      </c>
      <c r="S42">
        <f t="shared" ref="S42" si="188">R42/100000</f>
        <v>295410.60620459472</v>
      </c>
      <c r="T42">
        <f t="shared" ref="T42" si="189">S42/1000</f>
        <v>295.41060620459473</v>
      </c>
    </row>
    <row r="43" spans="1:20" x14ac:dyDescent="0.25">
      <c r="A43" s="5">
        <v>44550</v>
      </c>
      <c r="B43">
        <v>0.83499999999999996</v>
      </c>
      <c r="C43">
        <v>0.91500000000000004</v>
      </c>
      <c r="D43">
        <v>0.82410000000000005</v>
      </c>
      <c r="E43">
        <v>0.87980000000000003</v>
      </c>
      <c r="F43">
        <v>555435824</v>
      </c>
      <c r="G43">
        <v>0.87980000000000003</v>
      </c>
      <c r="L43" t="s">
        <v>8</v>
      </c>
      <c r="M43" t="s">
        <v>8</v>
      </c>
      <c r="N43" t="s">
        <v>8</v>
      </c>
      <c r="P43">
        <f t="shared" ref="P43" si="190">IF(C43=D43,0,((E43-D43)-(C43-E43))/(C43-D43))</f>
        <v>0.22552255225522516</v>
      </c>
      <c r="Q43">
        <f t="shared" ref="Q43" si="191">F43*P43</f>
        <v>125263304.64246404</v>
      </c>
      <c r="R43">
        <f t="shared" ref="R43" si="192">R44+Q43</f>
        <v>29194208860.200008</v>
      </c>
      <c r="S43">
        <f t="shared" ref="S43" si="193">R43/100000</f>
        <v>291942.08860200009</v>
      </c>
      <c r="T43">
        <f t="shared" ref="T43" si="194">S43/1000</f>
        <v>291.94208860200007</v>
      </c>
    </row>
    <row r="44" spans="1:20" x14ac:dyDescent="0.25">
      <c r="A44" s="5">
        <v>44549</v>
      </c>
      <c r="B44">
        <v>0.82630000000000003</v>
      </c>
      <c r="C44">
        <v>0.84850000000000003</v>
      </c>
      <c r="D44">
        <v>0.81899999999999995</v>
      </c>
      <c r="E44">
        <v>0.83499999999999996</v>
      </c>
      <c r="F44">
        <v>163876270</v>
      </c>
      <c r="G44">
        <v>0.83499999999999996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8.4745762711862363E-2</v>
      </c>
      <c r="Q44">
        <f t="shared" ref="Q44" si="196">F44*P44</f>
        <v>13887819.491525089</v>
      </c>
      <c r="R44">
        <f t="shared" ref="R44" si="197">R45+Q44</f>
        <v>29068945555.557545</v>
      </c>
      <c r="S44">
        <f t="shared" ref="S44" si="198">R44/100000</f>
        <v>290689.45555557543</v>
      </c>
      <c r="T44">
        <f t="shared" ref="T44" si="199">S44/1000</f>
        <v>290.68945555557542</v>
      </c>
    </row>
    <row r="45" spans="1:20" x14ac:dyDescent="0.25">
      <c r="A45" s="5">
        <v>44548</v>
      </c>
      <c r="B45">
        <v>0.79669999999999996</v>
      </c>
      <c r="C45">
        <v>0.8347</v>
      </c>
      <c r="D45">
        <v>0.79100000000000004</v>
      </c>
      <c r="E45">
        <v>0.82620000000000005</v>
      </c>
      <c r="F45">
        <v>170671362</v>
      </c>
      <c r="G45">
        <v>0.82620000000000005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0.61098398169336565</v>
      </c>
      <c r="Q45">
        <f t="shared" ref="Q45" si="201">F45*P45</f>
        <v>104277468.31578979</v>
      </c>
      <c r="R45">
        <f t="shared" ref="R45" si="202">R46+Q45</f>
        <v>29055057736.066021</v>
      </c>
      <c r="S45">
        <f t="shared" ref="S45" si="203">R45/100000</f>
        <v>290550.57736066019</v>
      </c>
      <c r="T45">
        <f t="shared" ref="T45" si="204">S45/1000</f>
        <v>290.55057736066021</v>
      </c>
    </row>
    <row r="46" spans="1:20" x14ac:dyDescent="0.25">
      <c r="A46" s="5">
        <v>44547</v>
      </c>
      <c r="B46">
        <v>0.80530000000000002</v>
      </c>
      <c r="C46">
        <v>0.83220000000000005</v>
      </c>
      <c r="D46">
        <v>0.77539999999999998</v>
      </c>
      <c r="E46">
        <v>0.79659999999999997</v>
      </c>
      <c r="F46">
        <v>260108143</v>
      </c>
      <c r="G46">
        <v>0.79659999999999997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-0.25352112676056443</v>
      </c>
      <c r="Q46">
        <f t="shared" ref="Q46" si="206">F46*P46</f>
        <v>-65942909.492958017</v>
      </c>
      <c r="R46">
        <f t="shared" ref="R46" si="207">R47+Q46</f>
        <v>28950780267.750233</v>
      </c>
      <c r="S46">
        <f t="shared" ref="S46" si="208">R46/100000</f>
        <v>289507.80267750233</v>
      </c>
      <c r="T46">
        <f t="shared" ref="T46" si="209">S46/1000</f>
        <v>289.50780267750235</v>
      </c>
    </row>
    <row r="47" spans="1:20" x14ac:dyDescent="0.25">
      <c r="A47" s="5">
        <v>44546</v>
      </c>
      <c r="B47">
        <v>0.82620000000000005</v>
      </c>
      <c r="C47">
        <v>0.83640000000000003</v>
      </c>
      <c r="D47">
        <v>0.80279999999999996</v>
      </c>
      <c r="E47">
        <v>0.80510000000000004</v>
      </c>
      <c r="F47">
        <v>206133176</v>
      </c>
      <c r="G47">
        <v>0.80510000000000004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-0.8630952380952337</v>
      </c>
      <c r="Q47">
        <f t="shared" ref="Q47" si="211">F47*P47</f>
        <v>-177912562.61904672</v>
      </c>
      <c r="R47">
        <f t="shared" ref="R47" si="212">R48+Q47</f>
        <v>29016723177.243191</v>
      </c>
      <c r="S47">
        <f t="shared" ref="S47" si="213">R47/100000</f>
        <v>290167.23177243193</v>
      </c>
      <c r="T47">
        <f t="shared" ref="T47" si="214">S47/1000</f>
        <v>290.16723177243193</v>
      </c>
    </row>
    <row r="48" spans="1:20" x14ac:dyDescent="0.25">
      <c r="A48" s="5">
        <v>44545</v>
      </c>
      <c r="B48">
        <v>0.81020000000000003</v>
      </c>
      <c r="C48">
        <v>0.84</v>
      </c>
      <c r="D48">
        <v>0.77700000000000002</v>
      </c>
      <c r="E48">
        <v>0.82620000000000005</v>
      </c>
      <c r="F48">
        <v>354116180</v>
      </c>
      <c r="G48">
        <v>0.82620000000000005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0.56190476190476391</v>
      </c>
      <c r="Q48">
        <f t="shared" ref="Q48" si="216">F48*P48</f>
        <v>198979567.80952451</v>
      </c>
      <c r="R48">
        <f t="shared" ref="R48" si="217">R49+Q48</f>
        <v>29194635739.862236</v>
      </c>
      <c r="S48">
        <f t="shared" ref="S48" si="218">R48/100000</f>
        <v>291946.35739862238</v>
      </c>
      <c r="T48">
        <f t="shared" ref="T48" si="219">S48/1000</f>
        <v>291.94635739862235</v>
      </c>
    </row>
    <row r="49" spans="1:20" x14ac:dyDescent="0.25">
      <c r="A49" s="5">
        <v>44544</v>
      </c>
      <c r="B49">
        <v>0.78200000000000003</v>
      </c>
      <c r="C49">
        <v>0.82140000000000002</v>
      </c>
      <c r="D49">
        <v>0.77170000000000005</v>
      </c>
      <c r="E49">
        <v>0.81030000000000002</v>
      </c>
      <c r="F49">
        <v>352693472</v>
      </c>
      <c r="G49">
        <v>0.81030000000000002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0.55331991951710235</v>
      </c>
      <c r="Q49">
        <f t="shared" ref="Q49" si="221">F49*P49</f>
        <v>195152323.5412474</v>
      </c>
      <c r="R49">
        <f t="shared" ref="R49" si="222">R50+Q49</f>
        <v>28995656172.052711</v>
      </c>
      <c r="S49">
        <f t="shared" ref="S49" si="223">R49/100000</f>
        <v>289956.56172052713</v>
      </c>
      <c r="T49">
        <f t="shared" ref="T49" si="224">S49/1000</f>
        <v>289.95656172052713</v>
      </c>
    </row>
    <row r="50" spans="1:20" x14ac:dyDescent="0.25">
      <c r="A50" s="5">
        <v>44543</v>
      </c>
      <c r="B50">
        <v>0.83940000000000003</v>
      </c>
      <c r="C50">
        <v>0.84440000000000004</v>
      </c>
      <c r="D50">
        <v>0.7601</v>
      </c>
      <c r="E50">
        <v>0.78180000000000005</v>
      </c>
      <c r="F50">
        <v>378446930</v>
      </c>
      <c r="G50">
        <v>0.78180000000000005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-0.48517200474495747</v>
      </c>
      <c r="Q50">
        <f t="shared" ref="Q50" si="226">F50*P50</f>
        <v>-183611855.71767458</v>
      </c>
      <c r="R50">
        <f t="shared" ref="R50" si="227">R51+Q50</f>
        <v>28800503848.511463</v>
      </c>
      <c r="S50">
        <f t="shared" ref="S50" si="228">R50/100000</f>
        <v>288005.03848511464</v>
      </c>
      <c r="T50">
        <f t="shared" ref="T50" si="229">S50/1000</f>
        <v>288.00503848511465</v>
      </c>
    </row>
    <row r="51" spans="1:20" x14ac:dyDescent="0.25">
      <c r="A51" s="5">
        <v>44542</v>
      </c>
      <c r="B51">
        <v>0.83909999999999996</v>
      </c>
      <c r="C51">
        <v>0.85719999999999996</v>
      </c>
      <c r="D51">
        <v>0.80879999999999996</v>
      </c>
      <c r="E51">
        <v>0.83930000000000005</v>
      </c>
      <c r="F51">
        <v>224450903</v>
      </c>
      <c r="G51">
        <v>0.83930000000000005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0.26033057851240016</v>
      </c>
      <c r="Q51">
        <f t="shared" ref="Q51" si="231">F51*P51</f>
        <v>58431433.425620615</v>
      </c>
      <c r="R51">
        <f t="shared" ref="R51" si="232">R52+Q51</f>
        <v>28984115704.229137</v>
      </c>
      <c r="S51">
        <f t="shared" ref="S51" si="233">R51/100000</f>
        <v>289841.15704229136</v>
      </c>
      <c r="T51">
        <f t="shared" ref="T51" si="234">S51/1000</f>
        <v>289.84115704229134</v>
      </c>
    </row>
    <row r="52" spans="1:20" x14ac:dyDescent="0.25">
      <c r="A52" s="5">
        <v>44541</v>
      </c>
      <c r="B52">
        <v>0.79920000000000002</v>
      </c>
      <c r="C52">
        <v>0.81479999999999997</v>
      </c>
      <c r="D52">
        <v>0.78439999999999999</v>
      </c>
      <c r="E52">
        <v>0.80759999999999998</v>
      </c>
      <c r="F52">
        <v>36033528</v>
      </c>
      <c r="G52">
        <v>0.80759999999999998</v>
      </c>
      <c r="L52" t="s">
        <v>7</v>
      </c>
      <c r="M52" t="s">
        <v>8</v>
      </c>
      <c r="N52" t="s">
        <v>8</v>
      </c>
      <c r="P52">
        <f t="shared" ref="P52" si="235">IF(C52=D52,0,((E52-D52)-(C52-E52))/(C52-D52))</f>
        <v>0.52631578947368496</v>
      </c>
      <c r="Q52">
        <f t="shared" ref="Q52" si="236">F52*P52</f>
        <v>18965014.736842133</v>
      </c>
      <c r="R52">
        <f t="shared" ref="R52" si="237">R53+Q52</f>
        <v>28925684270.803516</v>
      </c>
      <c r="S52">
        <f t="shared" ref="S52" si="238">R52/100000</f>
        <v>289256.84270803514</v>
      </c>
      <c r="T52">
        <f t="shared" ref="T52" si="239">S52/1000</f>
        <v>289.25684270803515</v>
      </c>
    </row>
    <row r="53" spans="1:20" x14ac:dyDescent="0.25">
      <c r="A53" s="5">
        <v>44540</v>
      </c>
      <c r="B53">
        <v>0.85829999999999995</v>
      </c>
      <c r="C53">
        <v>0.88290000000000002</v>
      </c>
      <c r="D53">
        <v>0.79139999999999999</v>
      </c>
      <c r="E53">
        <v>0.79920000000000002</v>
      </c>
      <c r="F53">
        <v>496512579</v>
      </c>
      <c r="G53">
        <v>0.79920000000000002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-0.82950819672131093</v>
      </c>
      <c r="Q53">
        <f t="shared" ref="Q53" si="241">F53*P53</f>
        <v>-411861254.05573744</v>
      </c>
      <c r="R53">
        <f t="shared" ref="R53" si="242">R54+Q53</f>
        <v>28906719256.066673</v>
      </c>
      <c r="S53">
        <f t="shared" ref="S53" si="243">R53/100000</f>
        <v>289067.19256066671</v>
      </c>
      <c r="T53">
        <f t="shared" ref="T53" si="244">S53/1000</f>
        <v>289.06719256066668</v>
      </c>
    </row>
    <row r="54" spans="1:20" x14ac:dyDescent="0.25">
      <c r="A54" s="5">
        <v>44539</v>
      </c>
      <c r="B54">
        <v>0.86229999999999996</v>
      </c>
      <c r="C54">
        <v>0.93610000000000004</v>
      </c>
      <c r="D54">
        <v>0.83189999999999997</v>
      </c>
      <c r="E54">
        <v>0.85829999999999995</v>
      </c>
      <c r="F54">
        <v>684730305</v>
      </c>
      <c r="G54">
        <v>0.85829999999999995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-0.49328214971209289</v>
      </c>
      <c r="Q54">
        <f t="shared" ref="Q54" si="246">F54*P54</f>
        <v>-337765236.82341701</v>
      </c>
      <c r="R54">
        <f t="shared" ref="R54" si="247">R55+Q54</f>
        <v>29318580510.12241</v>
      </c>
      <c r="S54">
        <f t="shared" ref="S54" si="248">R54/100000</f>
        <v>293185.8051012241</v>
      </c>
      <c r="T54">
        <f t="shared" ref="T54" si="249">S54/1000</f>
        <v>293.1858051012241</v>
      </c>
    </row>
    <row r="55" spans="1:20" x14ac:dyDescent="0.25">
      <c r="A55" s="5">
        <v>44538</v>
      </c>
      <c r="B55">
        <v>0.81540000000000001</v>
      </c>
      <c r="C55">
        <v>0.88439999999999996</v>
      </c>
      <c r="D55">
        <v>0.80259999999999998</v>
      </c>
      <c r="E55">
        <v>0.86219999999999997</v>
      </c>
      <c r="F55">
        <v>415004580</v>
      </c>
      <c r="G55">
        <v>0.86219999999999997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0.45721271393643026</v>
      </c>
      <c r="Q55">
        <f t="shared" ref="Q55" si="251">F55*P55</f>
        <v>189745370.31784838</v>
      </c>
      <c r="R55">
        <f t="shared" ref="R55" si="252">R56+Q55</f>
        <v>29656345746.945827</v>
      </c>
      <c r="S55">
        <f t="shared" ref="S55" si="253">R55/100000</f>
        <v>296563.45746945828</v>
      </c>
      <c r="T55">
        <f t="shared" ref="T55" si="254">S55/1000</f>
        <v>296.56345746945829</v>
      </c>
    </row>
    <row r="56" spans="1:20" x14ac:dyDescent="0.25">
      <c r="A56" s="5">
        <v>44537</v>
      </c>
      <c r="B56">
        <v>0.8256</v>
      </c>
      <c r="C56">
        <v>0.84670000000000001</v>
      </c>
      <c r="D56">
        <v>0.80420000000000003</v>
      </c>
      <c r="E56">
        <v>0.81540000000000001</v>
      </c>
      <c r="F56">
        <v>319504545</v>
      </c>
      <c r="G56">
        <v>0.81540000000000001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-0.47294117647058859</v>
      </c>
      <c r="Q56">
        <f t="shared" ref="Q56" si="256">F56*P56</f>
        <v>-151106855.40000013</v>
      </c>
      <c r="R56">
        <f t="shared" ref="R56" si="257">R57+Q56</f>
        <v>29466600376.627979</v>
      </c>
      <c r="S56">
        <f t="shared" ref="S56" si="258">R56/100000</f>
        <v>294666.00376627978</v>
      </c>
      <c r="T56">
        <f t="shared" ref="T56" si="259">S56/1000</f>
        <v>294.6660037662798</v>
      </c>
    </row>
    <row r="57" spans="1:20" x14ac:dyDescent="0.25">
      <c r="A57" s="5">
        <v>44536</v>
      </c>
      <c r="B57">
        <v>0.80449999999999999</v>
      </c>
      <c r="C57">
        <v>0.83030000000000004</v>
      </c>
      <c r="D57">
        <v>0.74850000000000005</v>
      </c>
      <c r="E57">
        <v>0.82550000000000001</v>
      </c>
      <c r="F57">
        <v>508644255</v>
      </c>
      <c r="G57">
        <v>0.82550000000000001</v>
      </c>
      <c r="L57" t="s">
        <v>7</v>
      </c>
      <c r="M57" t="s">
        <v>8</v>
      </c>
      <c r="N57" t="s">
        <v>8</v>
      </c>
      <c r="P57">
        <f t="shared" ref="P57" si="260">IF(C57=D57,0,((E57-D57)-(C57-E57))/(C57-D57))</f>
        <v>0.88264058679706536</v>
      </c>
      <c r="Q57">
        <f t="shared" ref="Q57" si="261">F57*P57</f>
        <v>448950063.70415616</v>
      </c>
      <c r="R57">
        <f t="shared" ref="R57" si="262">R58+Q57</f>
        <v>29617707232.027981</v>
      </c>
      <c r="S57">
        <f t="shared" ref="S57" si="263">R57/100000</f>
        <v>296177.07232027978</v>
      </c>
      <c r="T57">
        <f t="shared" ref="T57" si="264">S57/1000</f>
        <v>296.17707232027976</v>
      </c>
    </row>
    <row r="58" spans="1:20" x14ac:dyDescent="0.25">
      <c r="A58" s="5">
        <v>44535</v>
      </c>
      <c r="B58">
        <v>0.84519999999999995</v>
      </c>
      <c r="C58">
        <v>0.86199999999999999</v>
      </c>
      <c r="D58">
        <v>0.76900000000000002</v>
      </c>
      <c r="E58">
        <v>0.80449999999999999</v>
      </c>
      <c r="F58">
        <v>518767360</v>
      </c>
      <c r="G58">
        <v>0.80449999999999999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-0.23655913978494653</v>
      </c>
      <c r="Q58">
        <f t="shared" ref="Q58" si="266">F58*P58</f>
        <v>-122719160.43010768</v>
      </c>
      <c r="R58">
        <f t="shared" ref="R58" si="267">R59+Q58</f>
        <v>29168757168.323826</v>
      </c>
      <c r="S58">
        <f t="shared" ref="S58" si="268">R58/100000</f>
        <v>291687.57168323826</v>
      </c>
      <c r="T58">
        <f t="shared" ref="T58" si="269">S58/1000</f>
        <v>291.68757168323827</v>
      </c>
    </row>
    <row r="59" spans="1:20" x14ac:dyDescent="0.25">
      <c r="A59" s="5">
        <v>44534</v>
      </c>
      <c r="B59">
        <v>0.92110000000000003</v>
      </c>
      <c r="C59">
        <v>0.92449999999999999</v>
      </c>
      <c r="D59">
        <v>0.6</v>
      </c>
      <c r="E59">
        <v>0.84489999999999998</v>
      </c>
      <c r="F59">
        <v>1357965897.04</v>
      </c>
      <c r="G59">
        <v>0.84489999999999998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0.50939907550077046</v>
      </c>
      <c r="Q59">
        <f t="shared" ref="Q59" si="271">F59*P59</f>
        <v>691746572.51375043</v>
      </c>
      <c r="R59">
        <f t="shared" ref="R59" si="272">R60+Q59</f>
        <v>29291476328.753933</v>
      </c>
      <c r="S59">
        <f t="shared" ref="S59" si="273">R59/100000</f>
        <v>292914.7632875393</v>
      </c>
      <c r="T59">
        <f t="shared" ref="T59" si="274">S59/1000</f>
        <v>292.9147632875393</v>
      </c>
    </row>
    <row r="60" spans="1:20" x14ac:dyDescent="0.25">
      <c r="A60" s="5">
        <v>44533</v>
      </c>
      <c r="B60">
        <v>0.97150000000000003</v>
      </c>
      <c r="C60">
        <v>0.98380000000000001</v>
      </c>
      <c r="D60">
        <v>0.89</v>
      </c>
      <c r="E60">
        <v>0.92110000000000003</v>
      </c>
      <c r="F60">
        <v>297172193</v>
      </c>
      <c r="G60">
        <v>0.92110000000000003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-0.33688699360341112</v>
      </c>
      <c r="Q60">
        <f t="shared" ref="Q60" si="276">F60*P60</f>
        <v>-100113446.68230265</v>
      </c>
      <c r="R60">
        <f t="shared" ref="R60" si="277">R61+Q60</f>
        <v>28599729756.240181</v>
      </c>
      <c r="S60">
        <f t="shared" ref="S60" si="278">R60/100000</f>
        <v>285997.2975624018</v>
      </c>
      <c r="T60">
        <f t="shared" ref="T60" si="279">S60/1000</f>
        <v>285.9972975624018</v>
      </c>
    </row>
    <row r="61" spans="1:20" x14ac:dyDescent="0.25">
      <c r="A61" s="5">
        <v>44532</v>
      </c>
      <c r="B61">
        <v>0.98980000000000001</v>
      </c>
      <c r="C61">
        <v>0.99009999999999998</v>
      </c>
      <c r="D61">
        <v>0.95450000000000002</v>
      </c>
      <c r="E61">
        <v>0.97160000000000002</v>
      </c>
      <c r="F61">
        <v>213172250</v>
      </c>
      <c r="G61">
        <v>0.97160000000000002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-3.932584269662804E-2</v>
      </c>
      <c r="Q61">
        <f t="shared" ref="Q61" si="281">F61*P61</f>
        <v>-8383178.3707862664</v>
      </c>
      <c r="R61">
        <f t="shared" ref="R61" si="282">R62+Q61</f>
        <v>28699843202.922485</v>
      </c>
      <c r="S61">
        <f t="shared" ref="S61" si="283">R61/100000</f>
        <v>286998.43202922487</v>
      </c>
      <c r="T61">
        <f t="shared" ref="T61" si="284">S61/1000</f>
        <v>286.99843202922489</v>
      </c>
    </row>
    <row r="62" spans="1:20" x14ac:dyDescent="0.25">
      <c r="A62" s="5">
        <v>44531</v>
      </c>
      <c r="B62">
        <v>0.99839999999999995</v>
      </c>
      <c r="C62">
        <v>1.0173000000000001</v>
      </c>
      <c r="D62">
        <v>0.97989999999999999</v>
      </c>
      <c r="E62">
        <v>0.9899</v>
      </c>
      <c r="F62">
        <v>250291608</v>
      </c>
      <c r="G62">
        <v>0.9899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-0.46524064171123092</v>
      </c>
      <c r="Q62">
        <f t="shared" ref="Q62" si="286">F62*P62</f>
        <v>-116445828.32085586</v>
      </c>
      <c r="R62">
        <f t="shared" ref="R62" si="287">R63+Q62</f>
        <v>28708226381.29327</v>
      </c>
      <c r="S62">
        <f t="shared" ref="S62" si="288">R62/100000</f>
        <v>287082.26381293271</v>
      </c>
      <c r="T62">
        <f t="shared" ref="T62" si="289">S62/1000</f>
        <v>287.08226381293269</v>
      </c>
    </row>
    <row r="63" spans="1:20" x14ac:dyDescent="0.25">
      <c r="A63" s="5">
        <v>44530</v>
      </c>
      <c r="B63">
        <v>0.9899</v>
      </c>
      <c r="C63">
        <v>1.0304</v>
      </c>
      <c r="D63">
        <v>0.97</v>
      </c>
      <c r="E63">
        <v>0.99829999999999997</v>
      </c>
      <c r="F63">
        <v>340017409</v>
      </c>
      <c r="G63">
        <v>0.99829999999999997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-6.291390728476863E-2</v>
      </c>
      <c r="Q63">
        <f t="shared" ref="Q63" si="291">F63*P63</f>
        <v>-21391823.745033257</v>
      </c>
      <c r="R63">
        <f t="shared" ref="R63" si="292">R64+Q63</f>
        <v>28824672209.614124</v>
      </c>
      <c r="S63">
        <f t="shared" ref="S63" si="293">R63/100000</f>
        <v>288246.72209614125</v>
      </c>
      <c r="T63">
        <f t="shared" ref="T63" si="294">S63/1000</f>
        <v>288.24672209614124</v>
      </c>
    </row>
    <row r="64" spans="1:20" x14ac:dyDescent="0.25">
      <c r="A64" s="5">
        <v>44529</v>
      </c>
      <c r="B64">
        <v>0.96870000000000001</v>
      </c>
      <c r="C64">
        <v>1.0019</v>
      </c>
      <c r="D64">
        <v>0.96309999999999996</v>
      </c>
      <c r="E64">
        <v>0.98980000000000001</v>
      </c>
      <c r="F64">
        <v>303393405</v>
      </c>
      <c r="G64">
        <v>0.98980000000000001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0.37628865979381537</v>
      </c>
      <c r="Q64">
        <f t="shared" ref="Q64" si="296">F64*P64</f>
        <v>114163497.75773224</v>
      </c>
      <c r="R64">
        <f t="shared" ref="R64" si="297">R65+Q64</f>
        <v>28846064033.359158</v>
      </c>
      <c r="S64">
        <f t="shared" ref="S64" si="298">R64/100000</f>
        <v>288460.64033359155</v>
      </c>
      <c r="T64">
        <f t="shared" ref="T64" si="299">S64/1000</f>
        <v>288.46064033359153</v>
      </c>
    </row>
    <row r="65" spans="1:20" x14ac:dyDescent="0.25">
      <c r="A65" s="5">
        <v>44528</v>
      </c>
      <c r="B65">
        <v>0.94530000000000003</v>
      </c>
      <c r="C65">
        <v>0.96919999999999995</v>
      </c>
      <c r="D65">
        <v>0.88249999999999995</v>
      </c>
      <c r="E65">
        <v>0.96870000000000001</v>
      </c>
      <c r="F65">
        <v>336336729</v>
      </c>
      <c r="G65">
        <v>0.96870000000000001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0.9884659746251454</v>
      </c>
      <c r="Q65">
        <f t="shared" ref="Q65" si="301">F65*P65</f>
        <v>332457412.63321841</v>
      </c>
      <c r="R65">
        <f t="shared" ref="R65" si="302">R66+Q65</f>
        <v>28731900535.601425</v>
      </c>
      <c r="S65">
        <f t="shared" ref="S65" si="303">R65/100000</f>
        <v>287319.00535601424</v>
      </c>
      <c r="T65">
        <f t="shared" ref="T65" si="304">S65/1000</f>
        <v>287.31900535601426</v>
      </c>
    </row>
    <row r="66" spans="1:20" x14ac:dyDescent="0.25">
      <c r="A66" s="5">
        <v>44527</v>
      </c>
      <c r="B66">
        <v>0.93920000000000003</v>
      </c>
      <c r="C66">
        <v>0.96560000000000001</v>
      </c>
      <c r="D66">
        <v>0.93359999999999999</v>
      </c>
      <c r="E66">
        <v>0.94520000000000004</v>
      </c>
      <c r="F66">
        <v>224846313</v>
      </c>
      <c r="G66">
        <v>0.94520000000000004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-0.27499999999999725</v>
      </c>
      <c r="Q66">
        <f t="shared" ref="Q66" si="306">F66*P66</f>
        <v>-61832736.074999385</v>
      </c>
      <c r="R66">
        <f t="shared" ref="R66" si="307">R67+Q66</f>
        <v>28399443122.968208</v>
      </c>
      <c r="S66">
        <f t="shared" ref="S66" si="308">R66/100000</f>
        <v>283994.43122968206</v>
      </c>
      <c r="T66">
        <f t="shared" ref="T66" si="309">S66/1000</f>
        <v>283.99443122968205</v>
      </c>
    </row>
    <row r="67" spans="1:20" x14ac:dyDescent="0.25">
      <c r="A67" s="5">
        <v>44526</v>
      </c>
      <c r="B67">
        <v>1.0439000000000001</v>
      </c>
      <c r="C67">
        <v>1.0467</v>
      </c>
      <c r="D67">
        <v>0.91080000000000005</v>
      </c>
      <c r="E67">
        <v>0.93940000000000001</v>
      </c>
      <c r="F67">
        <v>659982617</v>
      </c>
      <c r="G67">
        <v>0.93940000000000001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-0.57910228108903639</v>
      </c>
      <c r="Q67">
        <f t="shared" ref="Q67" si="311">F67*P67</f>
        <v>-382197438.98381186</v>
      </c>
      <c r="R67">
        <f t="shared" ref="R67" si="312">R68+Q67</f>
        <v>28461275859.043209</v>
      </c>
      <c r="S67">
        <f t="shared" ref="S67" si="313">R67/100000</f>
        <v>284612.75859043212</v>
      </c>
      <c r="T67">
        <f t="shared" ref="T67" si="314">S67/1000</f>
        <v>284.61275859043212</v>
      </c>
    </row>
    <row r="68" spans="1:20" x14ac:dyDescent="0.25">
      <c r="A68" s="5">
        <v>44525</v>
      </c>
      <c r="B68">
        <v>1.0325</v>
      </c>
      <c r="C68">
        <v>1.0647</v>
      </c>
      <c r="D68">
        <v>1.0215000000000001</v>
      </c>
      <c r="E68">
        <v>1.0438000000000001</v>
      </c>
      <c r="F68">
        <v>312211526</v>
      </c>
      <c r="G68">
        <v>1.0438000000000001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3.240740740740905E-2</v>
      </c>
      <c r="Q68">
        <f t="shared" ref="Q68" si="316">F68*P68</f>
        <v>10117966.120370883</v>
      </c>
      <c r="R68">
        <f t="shared" ref="R68" si="317">R69+Q68</f>
        <v>28843473298.02702</v>
      </c>
      <c r="S68">
        <f t="shared" ref="S68" si="318">R68/100000</f>
        <v>288434.73298027017</v>
      </c>
      <c r="T68">
        <f t="shared" ref="T68" si="319">S68/1000</f>
        <v>288.43473298027016</v>
      </c>
    </row>
    <row r="69" spans="1:20" x14ac:dyDescent="0.25">
      <c r="A69" s="5">
        <v>44524</v>
      </c>
      <c r="B69">
        <v>1.0662</v>
      </c>
      <c r="C69">
        <v>1.0734999999999999</v>
      </c>
      <c r="D69">
        <v>1.0316000000000001</v>
      </c>
      <c r="E69">
        <v>1.0389999999999999</v>
      </c>
      <c r="F69">
        <v>115076396</v>
      </c>
      <c r="G69">
        <v>1.0389999999999999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-0.64677804295943286</v>
      </c>
      <c r="Q69">
        <f t="shared" ref="Q69" si="321">F69*P69</f>
        <v>-74428886.195704713</v>
      </c>
      <c r="R69">
        <f t="shared" ref="R69" si="322">R70+Q69</f>
        <v>28833355331.906647</v>
      </c>
      <c r="S69">
        <f t="shared" ref="S69" si="323">R69/100000</f>
        <v>288333.55331906647</v>
      </c>
      <c r="T69">
        <f t="shared" ref="T69" si="324">S69/1000</f>
        <v>288.33355331906648</v>
      </c>
    </row>
    <row r="70" spans="1:20" x14ac:dyDescent="0.25">
      <c r="A70" s="5">
        <v>44523</v>
      </c>
      <c r="B70">
        <v>1.0354000000000001</v>
      </c>
      <c r="C70">
        <v>1.0714999999999999</v>
      </c>
      <c r="D70">
        <v>1.0192000000000001</v>
      </c>
      <c r="E70">
        <v>1.0661</v>
      </c>
      <c r="F70">
        <v>341407597</v>
      </c>
      <c r="G70">
        <v>1.0661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0.79349904397706039</v>
      </c>
      <c r="Q70">
        <f t="shared" ref="Q70" si="326">F70*P70</f>
        <v>270906601.82600552</v>
      </c>
      <c r="R70">
        <f t="shared" ref="R70" si="327">R71+Q70</f>
        <v>28907784218.102352</v>
      </c>
      <c r="S70">
        <f t="shared" ref="S70" si="328">R70/100000</f>
        <v>289077.8421810235</v>
      </c>
      <c r="T70">
        <f t="shared" ref="T70" si="329">S70/1000</f>
        <v>289.07784218102353</v>
      </c>
    </row>
    <row r="71" spans="1:20" x14ac:dyDescent="0.25">
      <c r="A71" s="5">
        <v>44522</v>
      </c>
      <c r="B71">
        <v>1.0570999999999999</v>
      </c>
      <c r="C71">
        <v>1.071</v>
      </c>
      <c r="D71">
        <v>1.0250999999999999</v>
      </c>
      <c r="E71">
        <v>1.0354000000000001</v>
      </c>
      <c r="F71">
        <v>307140428</v>
      </c>
      <c r="G71">
        <v>1.0354000000000001</v>
      </c>
      <c r="L71" t="s">
        <v>8</v>
      </c>
      <c r="M71" t="s">
        <v>7</v>
      </c>
      <c r="N71" t="s">
        <v>8</v>
      </c>
      <c r="P71">
        <f t="shared" ref="P71" si="330">IF(C71=D71,0,((E71-D71)-(C71-E71))/(C71-D71))</f>
        <v>-0.55119825708060188</v>
      </c>
      <c r="Q71">
        <f t="shared" ref="Q71" si="331">F71*P71</f>
        <v>-169295268.59259009</v>
      </c>
      <c r="R71">
        <f t="shared" ref="R71" si="332">R72+Q71</f>
        <v>28636877616.276348</v>
      </c>
      <c r="S71">
        <f t="shared" ref="S71" si="333">R71/100000</f>
        <v>286368.77616276348</v>
      </c>
      <c r="T71">
        <f t="shared" ref="T71" si="334">S71/1000</f>
        <v>286.36877616276348</v>
      </c>
    </row>
    <row r="72" spans="1:20" x14ac:dyDescent="0.25">
      <c r="A72" s="5">
        <v>44521</v>
      </c>
      <c r="B72">
        <v>1.0965</v>
      </c>
      <c r="C72">
        <v>1.0973999999999999</v>
      </c>
      <c r="D72">
        <v>1.0544</v>
      </c>
      <c r="E72">
        <v>1.0569</v>
      </c>
      <c r="F72">
        <v>228064131</v>
      </c>
      <c r="G72">
        <v>1.0569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-0.88372093023256038</v>
      </c>
      <c r="Q72">
        <f t="shared" ref="Q72" si="336">F72*P72</f>
        <v>-201545046.00000051</v>
      </c>
      <c r="R72">
        <f t="shared" ref="R72" si="337">R73+Q72</f>
        <v>28806172884.868938</v>
      </c>
      <c r="S72">
        <f t="shared" ref="S72" si="338">R72/100000</f>
        <v>288061.72884868941</v>
      </c>
      <c r="T72">
        <f t="shared" ref="T72" si="339">S72/1000</f>
        <v>288.06172884868943</v>
      </c>
    </row>
    <row r="73" spans="1:20" x14ac:dyDescent="0.25">
      <c r="A73" s="5">
        <v>44520</v>
      </c>
      <c r="B73">
        <v>1.0891999999999999</v>
      </c>
      <c r="C73">
        <v>1.1014999999999999</v>
      </c>
      <c r="D73">
        <v>1.0593999999999999</v>
      </c>
      <c r="E73">
        <v>1.0965</v>
      </c>
      <c r="F73">
        <v>251779916</v>
      </c>
      <c r="G73">
        <v>1.0965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0.76247030878860378</v>
      </c>
      <c r="Q73">
        <f t="shared" ref="Q73" si="341">F73*P73</f>
        <v>191974710.29928872</v>
      </c>
      <c r="R73">
        <f t="shared" ref="R73" si="342">R74+Q73</f>
        <v>29007717930.868938</v>
      </c>
      <c r="S73">
        <f t="shared" ref="S73" si="343">R73/100000</f>
        <v>290077.17930868937</v>
      </c>
      <c r="T73">
        <f t="shared" ref="T73" si="344">S73/1000</f>
        <v>290.07717930868938</v>
      </c>
    </row>
    <row r="74" spans="1:20" x14ac:dyDescent="0.25">
      <c r="A74" s="5">
        <v>44519</v>
      </c>
      <c r="B74">
        <v>1.0406</v>
      </c>
      <c r="C74">
        <v>1.103</v>
      </c>
      <c r="D74">
        <v>1.0174000000000001</v>
      </c>
      <c r="E74">
        <v>1.0891999999999999</v>
      </c>
      <c r="F74">
        <v>349087574</v>
      </c>
      <c r="G74">
        <v>1.0891999999999999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0.67757009345794272</v>
      </c>
      <c r="Q74">
        <f t="shared" ref="Q74" si="346">F74*P74</f>
        <v>236531300.14018649</v>
      </c>
      <c r="R74">
        <f t="shared" ref="R74" si="347">R75+Q74</f>
        <v>28815743220.569649</v>
      </c>
      <c r="S74">
        <f t="shared" ref="S74" si="348">R74/100000</f>
        <v>288157.43220569647</v>
      </c>
      <c r="T74">
        <f t="shared" ref="T74" si="349">S74/1000</f>
        <v>288.15743220569647</v>
      </c>
    </row>
    <row r="75" spans="1:20" x14ac:dyDescent="0.25">
      <c r="A75" s="5">
        <v>44518</v>
      </c>
      <c r="B75">
        <v>1.0952999999999999</v>
      </c>
      <c r="C75">
        <v>1.17</v>
      </c>
      <c r="D75">
        <v>1.0149999999999999</v>
      </c>
      <c r="E75">
        <v>1.0406</v>
      </c>
      <c r="F75">
        <v>698664651</v>
      </c>
      <c r="G75">
        <v>1.0406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-0.66967741935483793</v>
      </c>
      <c r="Q75">
        <f t="shared" ref="Q75" si="351">F75*P75</f>
        <v>-467879940.47612852</v>
      </c>
      <c r="R75">
        <f t="shared" ref="R75" si="352">R76+Q75</f>
        <v>28579211920.429462</v>
      </c>
      <c r="S75">
        <f t="shared" ref="S75" si="353">R75/100000</f>
        <v>285792.11920429463</v>
      </c>
      <c r="T75">
        <f t="shared" ref="T75" si="354">S75/1000</f>
        <v>285.79211920429464</v>
      </c>
    </row>
    <row r="76" spans="1:20" x14ac:dyDescent="0.25">
      <c r="A76" s="5">
        <v>44517</v>
      </c>
      <c r="B76">
        <v>1.0876999999999999</v>
      </c>
      <c r="C76">
        <v>1.113</v>
      </c>
      <c r="D76">
        <v>1.0588</v>
      </c>
      <c r="E76">
        <v>1.0952999999999999</v>
      </c>
      <c r="F76">
        <v>383487232</v>
      </c>
      <c r="G76">
        <v>1.0952999999999999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0.34686346863468487</v>
      </c>
      <c r="Q76">
        <f t="shared" ref="Q76" si="356">F76*P76</f>
        <v>133017711.46863411</v>
      </c>
      <c r="R76">
        <f t="shared" ref="R76" si="357">R77+Q76</f>
        <v>29047091860.90559</v>
      </c>
      <c r="S76">
        <f t="shared" ref="S76" si="358">R76/100000</f>
        <v>290470.91860905592</v>
      </c>
      <c r="T76">
        <f t="shared" ref="T76" si="359">S76/1000</f>
        <v>290.4709186090559</v>
      </c>
    </row>
    <row r="77" spans="1:20" x14ac:dyDescent="0.25">
      <c r="A77" s="5">
        <v>44516</v>
      </c>
      <c r="B77">
        <v>1.1719999999999999</v>
      </c>
      <c r="C77">
        <v>1.1720999999999999</v>
      </c>
      <c r="D77">
        <v>1.0418000000000001</v>
      </c>
      <c r="E77">
        <v>1.0876999999999999</v>
      </c>
      <c r="F77">
        <v>599544174</v>
      </c>
      <c r="G77">
        <v>1.0876999999999999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-0.29547198772064653</v>
      </c>
      <c r="Q77">
        <f t="shared" ref="Q77" si="361">F77*P77</f>
        <v>-177148508.81811318</v>
      </c>
      <c r="R77">
        <f t="shared" ref="R77" si="362">R78+Q77</f>
        <v>28914074149.436954</v>
      </c>
      <c r="S77">
        <f t="shared" ref="S77" si="363">R77/100000</f>
        <v>289140.74149436952</v>
      </c>
      <c r="T77">
        <f t="shared" ref="T77" si="364">S77/1000</f>
        <v>289.14074149436954</v>
      </c>
    </row>
    <row r="78" spans="1:20" x14ac:dyDescent="0.25">
      <c r="A78" s="5">
        <v>44515</v>
      </c>
      <c r="B78">
        <v>1.1879</v>
      </c>
      <c r="C78">
        <v>1.2198</v>
      </c>
      <c r="D78">
        <v>1.1651</v>
      </c>
      <c r="E78">
        <v>1.1719999999999999</v>
      </c>
      <c r="F78">
        <v>266793400</v>
      </c>
      <c r="G78">
        <v>1.1719999999999999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-0.74771480804387902</v>
      </c>
      <c r="Q78">
        <f t="shared" ref="Q78" si="366">F78*P78</f>
        <v>-199485375.86837384</v>
      </c>
      <c r="R78">
        <f t="shared" ref="R78" si="367">R79+Q78</f>
        <v>29091222658.255066</v>
      </c>
      <c r="S78">
        <f t="shared" ref="S78" si="368">R78/100000</f>
        <v>290912.22658255068</v>
      </c>
      <c r="T78">
        <f t="shared" ref="T78" si="369">S78/1000</f>
        <v>290.91222658255066</v>
      </c>
    </row>
    <row r="79" spans="1:20" x14ac:dyDescent="0.25">
      <c r="A79" s="5">
        <v>44514</v>
      </c>
      <c r="B79">
        <v>1.1894</v>
      </c>
      <c r="C79">
        <v>1.1995</v>
      </c>
      <c r="D79">
        <v>1.1675</v>
      </c>
      <c r="E79">
        <v>1.1879</v>
      </c>
      <c r="F79">
        <v>192023307</v>
      </c>
      <c r="G79">
        <v>1.1879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0.27499999999999725</v>
      </c>
      <c r="Q79">
        <f t="shared" ref="Q79" si="371">F79*P79</f>
        <v>52806409.424999468</v>
      </c>
      <c r="R79">
        <f t="shared" ref="R79" si="372">R80+Q79</f>
        <v>29290708034.12344</v>
      </c>
      <c r="S79">
        <f t="shared" ref="S79" si="373">R79/100000</f>
        <v>292907.0803412344</v>
      </c>
      <c r="T79">
        <f t="shared" ref="T79" si="374">S79/1000</f>
        <v>292.9070803412344</v>
      </c>
    </row>
    <row r="80" spans="1:20" x14ac:dyDescent="0.25">
      <c r="A80" s="5">
        <v>44513</v>
      </c>
      <c r="B80">
        <v>1.1883999999999999</v>
      </c>
      <c r="C80">
        <v>1.2039</v>
      </c>
      <c r="D80">
        <v>1.167</v>
      </c>
      <c r="E80">
        <v>1.1892</v>
      </c>
      <c r="F80">
        <v>240083101</v>
      </c>
      <c r="G80">
        <v>1.1892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0.20325203252032725</v>
      </c>
      <c r="Q80">
        <f t="shared" ref="Q80" si="376">F80*P80</f>
        <v>48797378.25203301</v>
      </c>
      <c r="R80">
        <f t="shared" ref="R80" si="377">R81+Q80</f>
        <v>29237901624.698441</v>
      </c>
      <c r="S80">
        <f t="shared" ref="S80" si="378">R80/100000</f>
        <v>292379.01624698442</v>
      </c>
      <c r="T80">
        <f t="shared" ref="T80" si="379">S80/1000</f>
        <v>292.37901624698441</v>
      </c>
    </row>
    <row r="81" spans="1:20" x14ac:dyDescent="0.25">
      <c r="A81" s="5">
        <v>44512</v>
      </c>
      <c r="B81">
        <v>1.2141999999999999</v>
      </c>
      <c r="C81">
        <v>1.2332000000000001</v>
      </c>
      <c r="D81">
        <v>1.1541999999999999</v>
      </c>
      <c r="E81">
        <v>1.1882999999999999</v>
      </c>
      <c r="F81">
        <v>446863355</v>
      </c>
      <c r="G81">
        <v>1.1882999999999999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-0.13670886075949518</v>
      </c>
      <c r="Q81">
        <f t="shared" ref="Q81" si="381">F81*P81</f>
        <v>-61090180.177215859</v>
      </c>
      <c r="R81">
        <f t="shared" ref="R81" si="382">R82+Q81</f>
        <v>29189104246.446407</v>
      </c>
      <c r="S81">
        <f t="shared" ref="S81" si="383">R81/100000</f>
        <v>291891.04246446409</v>
      </c>
      <c r="T81">
        <f t="shared" ref="T81" si="384">S81/1000</f>
        <v>291.89104246446408</v>
      </c>
    </row>
    <row r="82" spans="1:20" x14ac:dyDescent="0.25">
      <c r="A82" s="5">
        <v>44511</v>
      </c>
      <c r="B82">
        <v>1.1901999999999999</v>
      </c>
      <c r="C82">
        <v>1.2544</v>
      </c>
      <c r="D82">
        <v>1.1763999999999999</v>
      </c>
      <c r="E82">
        <v>1.2141999999999999</v>
      </c>
      <c r="F82">
        <v>475284132</v>
      </c>
      <c r="G82">
        <v>1.2141999999999999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-3.0769230769230198E-2</v>
      </c>
      <c r="Q82">
        <f t="shared" ref="Q82" si="386">F82*P82</f>
        <v>-14624127.138461268</v>
      </c>
      <c r="R82">
        <f t="shared" ref="R82" si="387">R83+Q82</f>
        <v>29250194426.623623</v>
      </c>
      <c r="S82">
        <f t="shared" ref="S82" si="388">R82/100000</f>
        <v>292501.94426623621</v>
      </c>
      <c r="T82">
        <f t="shared" ref="T82" si="389">S82/1000</f>
        <v>292.50194426623619</v>
      </c>
    </row>
    <row r="83" spans="1:20" x14ac:dyDescent="0.25">
      <c r="A83" s="5">
        <v>44510</v>
      </c>
      <c r="B83">
        <v>1.2572000000000001</v>
      </c>
      <c r="C83">
        <v>1.3492999999999999</v>
      </c>
      <c r="D83">
        <v>1.1173999999999999</v>
      </c>
      <c r="E83">
        <v>1.1901999999999999</v>
      </c>
      <c r="F83">
        <v>932520826</v>
      </c>
      <c r="G83">
        <v>1.1901999999999999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-0.37214316515739565</v>
      </c>
      <c r="Q83">
        <f t="shared" ref="Q83" si="391">F83*P83</f>
        <v>-347031251.76282901</v>
      </c>
      <c r="R83">
        <f t="shared" ref="R83" si="392">R84+Q83</f>
        <v>29264818553.762085</v>
      </c>
      <c r="S83">
        <f t="shared" ref="S83" si="393">R83/100000</f>
        <v>292648.18553762086</v>
      </c>
      <c r="T83">
        <f t="shared" ref="T83" si="394">S83/1000</f>
        <v>292.64818553762086</v>
      </c>
    </row>
    <row r="84" spans="1:20" x14ac:dyDescent="0.25">
      <c r="A84" s="5">
        <v>44509</v>
      </c>
      <c r="B84">
        <v>1.2815000000000001</v>
      </c>
      <c r="C84">
        <v>1.2884</v>
      </c>
      <c r="D84">
        <v>1.2244999999999999</v>
      </c>
      <c r="E84">
        <v>1.2571000000000001</v>
      </c>
      <c r="F84">
        <v>465127517</v>
      </c>
      <c r="G84">
        <v>1.2571000000000001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2.0344287949926439E-2</v>
      </c>
      <c r="Q84">
        <f t="shared" ref="Q84" si="396">F84*P84</f>
        <v>9462688.1392823048</v>
      </c>
      <c r="R84">
        <f t="shared" ref="R84" si="397">R85+Q84</f>
        <v>29611849805.524914</v>
      </c>
      <c r="S84">
        <f t="shared" ref="S84" si="398">R84/100000</f>
        <v>296118.49805524916</v>
      </c>
      <c r="T84">
        <f t="shared" ref="T84" si="399">S84/1000</f>
        <v>296.11849805524918</v>
      </c>
    </row>
    <row r="85" spans="1:20" x14ac:dyDescent="0.25">
      <c r="A85" s="5">
        <v>44508</v>
      </c>
      <c r="B85">
        <v>1.2198</v>
      </c>
      <c r="C85">
        <v>1.296</v>
      </c>
      <c r="D85">
        <v>1.2192000000000001</v>
      </c>
      <c r="E85">
        <v>1.2815000000000001</v>
      </c>
      <c r="F85">
        <v>606055941</v>
      </c>
      <c r="G85">
        <v>1.2815000000000001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0.62239583333333437</v>
      </c>
      <c r="Q85">
        <f t="shared" ref="Q85" si="401">F85*P85</f>
        <v>377206692.44531316</v>
      </c>
      <c r="R85">
        <f t="shared" ref="R85" si="402">R86+Q85</f>
        <v>29602387117.385632</v>
      </c>
      <c r="S85">
        <f t="shared" ref="S85" si="403">R85/100000</f>
        <v>296023.87117385631</v>
      </c>
      <c r="T85">
        <f t="shared" ref="T85" si="404">S85/1000</f>
        <v>296.02387117385632</v>
      </c>
    </row>
    <row r="86" spans="1:20" x14ac:dyDescent="0.25">
      <c r="A86" s="5">
        <v>44507</v>
      </c>
      <c r="B86">
        <v>1.1511</v>
      </c>
      <c r="C86">
        <v>1.2374000000000001</v>
      </c>
      <c r="D86">
        <v>1.1451</v>
      </c>
      <c r="E86">
        <v>1.2198</v>
      </c>
      <c r="F86">
        <v>371235010</v>
      </c>
      <c r="G86">
        <v>1.2198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0.61863488624051899</v>
      </c>
      <c r="Q86">
        <f t="shared" ref="Q86" si="406">F86*P86</f>
        <v>229658928.17984793</v>
      </c>
      <c r="R86">
        <f t="shared" ref="R86" si="407">R87+Q86</f>
        <v>29225180424.940319</v>
      </c>
      <c r="S86">
        <f t="shared" ref="S86" si="408">R86/100000</f>
        <v>292251.80424940318</v>
      </c>
      <c r="T86">
        <f t="shared" ref="T86" si="409">S86/1000</f>
        <v>292.25180424940316</v>
      </c>
    </row>
    <row r="87" spans="1:20" x14ac:dyDescent="0.25">
      <c r="A87" s="5">
        <v>44506</v>
      </c>
      <c r="B87">
        <v>1.1580999999999999</v>
      </c>
      <c r="C87">
        <v>1.1828000000000001</v>
      </c>
      <c r="D87">
        <v>1.1000000000000001</v>
      </c>
      <c r="E87">
        <v>1.151</v>
      </c>
      <c r="F87">
        <v>260339849</v>
      </c>
      <c r="G87">
        <v>1.151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0.23188405797101314</v>
      </c>
      <c r="Q87">
        <f t="shared" ref="Q87" si="411">F87*P87</f>
        <v>60368660.637680806</v>
      </c>
      <c r="R87">
        <f t="shared" ref="R87" si="412">R88+Q87</f>
        <v>28995521496.760471</v>
      </c>
      <c r="S87">
        <f t="shared" ref="S87" si="413">R87/100000</f>
        <v>289955.21496760473</v>
      </c>
      <c r="T87">
        <f t="shared" ref="T87" si="414">S87/1000</f>
        <v>289.95521496760472</v>
      </c>
    </row>
    <row r="88" spans="1:20" x14ac:dyDescent="0.25">
      <c r="A88" s="5">
        <v>44505</v>
      </c>
      <c r="B88">
        <v>1.2003999999999999</v>
      </c>
      <c r="C88">
        <v>1.2015</v>
      </c>
      <c r="D88">
        <v>1.1311</v>
      </c>
      <c r="E88">
        <v>1.1580999999999999</v>
      </c>
      <c r="F88">
        <v>318649692</v>
      </c>
      <c r="G88">
        <v>1.1580999999999999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-0.23295454545454813</v>
      </c>
      <c r="Q88">
        <f t="shared" ref="Q88" si="416">F88*P88</f>
        <v>-74230894.159091756</v>
      </c>
      <c r="R88">
        <f t="shared" ref="R88" si="417">R89+Q88</f>
        <v>28935152836.122791</v>
      </c>
      <c r="S88">
        <f t="shared" ref="S88" si="418">R88/100000</f>
        <v>289351.52836122789</v>
      </c>
      <c r="T88">
        <f t="shared" ref="T88" si="419">S88/1000</f>
        <v>289.35152836122791</v>
      </c>
    </row>
    <row r="89" spans="1:20" x14ac:dyDescent="0.25">
      <c r="A89" s="5">
        <v>44504</v>
      </c>
      <c r="B89">
        <v>1.21</v>
      </c>
      <c r="C89">
        <v>1.2574000000000001</v>
      </c>
      <c r="D89">
        <v>1.1604000000000001</v>
      </c>
      <c r="E89">
        <v>1.2003999999999999</v>
      </c>
      <c r="F89">
        <v>553456246</v>
      </c>
      <c r="G89">
        <v>1.2003999999999999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-0.17525773195876651</v>
      </c>
      <c r="Q89">
        <f t="shared" ref="Q89" si="421">F89*P89</f>
        <v>-96997486.41237314</v>
      </c>
      <c r="R89">
        <f t="shared" ref="R89" si="422">R90+Q89</f>
        <v>29009383730.281883</v>
      </c>
      <c r="S89">
        <f t="shared" ref="S89" si="423">R89/100000</f>
        <v>290093.83730281884</v>
      </c>
      <c r="T89">
        <f t="shared" ref="T89" si="424">S89/1000</f>
        <v>290.09383730281883</v>
      </c>
    </row>
    <row r="90" spans="1:20" x14ac:dyDescent="0.25">
      <c r="A90" s="5">
        <v>44503</v>
      </c>
      <c r="B90">
        <v>1.1348</v>
      </c>
      <c r="C90">
        <v>1.2363</v>
      </c>
      <c r="D90">
        <v>1.1254999999999999</v>
      </c>
      <c r="E90">
        <v>1.2101</v>
      </c>
      <c r="F90">
        <v>838803472</v>
      </c>
      <c r="G90">
        <v>1.2101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0.52707581227436828</v>
      </c>
      <c r="Q90">
        <f t="shared" ref="Q90" si="426">F90*P90</f>
        <v>442113021.34296036</v>
      </c>
      <c r="R90">
        <f t="shared" ref="R90" si="427">R91+Q90</f>
        <v>29106381216.694256</v>
      </c>
      <c r="S90">
        <f t="shared" ref="S90" si="428">R90/100000</f>
        <v>291063.81216694257</v>
      </c>
      <c r="T90">
        <f t="shared" ref="T90" si="429">S90/1000</f>
        <v>291.06381216694257</v>
      </c>
    </row>
    <row r="91" spans="1:20" x14ac:dyDescent="0.25">
      <c r="A91" s="5">
        <v>44502</v>
      </c>
      <c r="B91">
        <v>1.0915999999999999</v>
      </c>
      <c r="C91">
        <v>1.1468</v>
      </c>
      <c r="D91">
        <v>1.0851</v>
      </c>
      <c r="E91">
        <v>1.1349</v>
      </c>
      <c r="F91">
        <v>398377412</v>
      </c>
      <c r="G91">
        <v>1.1349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0.61426256077795771</v>
      </c>
      <c r="Q91">
        <f t="shared" ref="Q91" si="431">F91*P91</f>
        <v>244708329.25121549</v>
      </c>
      <c r="R91">
        <f t="shared" ref="R91" si="432">R92+Q91</f>
        <v>28664268195.351295</v>
      </c>
      <c r="S91">
        <f t="shared" ref="S91" si="433">R91/100000</f>
        <v>286642.68195351295</v>
      </c>
      <c r="T91">
        <f t="shared" ref="T91" si="434">S91/1000</f>
        <v>286.64268195351292</v>
      </c>
    </row>
    <row r="92" spans="1:20" x14ac:dyDescent="0.25">
      <c r="A92" s="5">
        <v>44501</v>
      </c>
      <c r="B92">
        <v>1.1128</v>
      </c>
      <c r="C92">
        <v>1.1321000000000001</v>
      </c>
      <c r="D92">
        <v>1.069</v>
      </c>
      <c r="E92">
        <v>1.0914999999999999</v>
      </c>
      <c r="F92">
        <v>381430430</v>
      </c>
      <c r="G92">
        <v>1.0914999999999999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-0.28684627575277627</v>
      </c>
      <c r="Q92">
        <f t="shared" ref="Q92" si="436">F92*P92</f>
        <v>-109411898.30428003</v>
      </c>
      <c r="R92">
        <f t="shared" ref="R92" si="437">R93+Q92</f>
        <v>28419559866.100079</v>
      </c>
      <c r="S92">
        <f t="shared" ref="S92" si="438">R92/100000</f>
        <v>284195.59866100078</v>
      </c>
      <c r="T92">
        <f t="shared" ref="T92" si="439">S92/1000</f>
        <v>284.19559866100076</v>
      </c>
    </row>
    <row r="93" spans="1:20" x14ac:dyDescent="0.25">
      <c r="A93" s="5">
        <v>44500</v>
      </c>
      <c r="B93">
        <v>1.0845</v>
      </c>
      <c r="C93">
        <v>1.1544000000000001</v>
      </c>
      <c r="D93">
        <v>1.0689</v>
      </c>
      <c r="E93">
        <v>1.1128</v>
      </c>
      <c r="F93">
        <v>659007943</v>
      </c>
      <c r="G93">
        <v>1.1128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2.6900584795321231E-2</v>
      </c>
      <c r="Q93">
        <f t="shared" ref="Q93" si="441">F93*P93</f>
        <v>17727699.051461719</v>
      </c>
      <c r="R93">
        <f t="shared" ref="R93" si="442">R94+Q93</f>
        <v>28528971764.404358</v>
      </c>
      <c r="S93">
        <f t="shared" ref="S93" si="443">R93/100000</f>
        <v>285289.71764404356</v>
      </c>
      <c r="T93">
        <f t="shared" ref="T93" si="444">S93/1000</f>
        <v>285.28971764404355</v>
      </c>
    </row>
    <row r="94" spans="1:20" x14ac:dyDescent="0.25">
      <c r="A94" s="5">
        <v>44499</v>
      </c>
      <c r="B94">
        <v>1.0825</v>
      </c>
      <c r="C94">
        <v>1.1169</v>
      </c>
      <c r="D94">
        <v>1.0610999999999999</v>
      </c>
      <c r="E94">
        <v>1.0846</v>
      </c>
      <c r="F94">
        <v>372223050</v>
      </c>
      <c r="G94">
        <v>1.0846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-0.15770609318996251</v>
      </c>
      <c r="Q94">
        <f t="shared" ref="Q94" si="446">F94*P94</f>
        <v>-58701843.010752074</v>
      </c>
      <c r="R94">
        <f t="shared" ref="R94" si="447">R95+Q94</f>
        <v>28511244065.352898</v>
      </c>
      <c r="S94">
        <f t="shared" ref="S94" si="448">R94/100000</f>
        <v>285112.44065352896</v>
      </c>
      <c r="T94">
        <f t="shared" ref="T94" si="449">S94/1000</f>
        <v>285.11244065352895</v>
      </c>
    </row>
    <row r="95" spans="1:20" x14ac:dyDescent="0.25">
      <c r="A95" s="5">
        <v>44498</v>
      </c>
      <c r="B95">
        <v>1.0580000000000001</v>
      </c>
      <c r="C95">
        <v>1.0903</v>
      </c>
      <c r="D95">
        <v>1.0408999999999999</v>
      </c>
      <c r="E95">
        <v>1.0825</v>
      </c>
      <c r="F95">
        <v>357777322</v>
      </c>
      <c r="G95">
        <v>1.0825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0.68421052631578905</v>
      </c>
      <c r="Q95">
        <f t="shared" ref="Q95" si="451">F95*P95</f>
        <v>244795009.78947353</v>
      </c>
      <c r="R95">
        <f t="shared" ref="R95" si="452">R96+Q95</f>
        <v>28569945908.363651</v>
      </c>
      <c r="S95">
        <f t="shared" ref="S95" si="453">R95/100000</f>
        <v>285699.45908363652</v>
      </c>
      <c r="T95">
        <f t="shared" ref="T95" si="454">S95/1000</f>
        <v>285.6994590836365</v>
      </c>
    </row>
    <row r="96" spans="1:20" x14ac:dyDescent="0.25">
      <c r="A96" s="5">
        <v>44497</v>
      </c>
      <c r="B96">
        <v>0.99509999999999998</v>
      </c>
      <c r="C96">
        <v>1.0815999999999999</v>
      </c>
      <c r="D96">
        <v>0.98099999999999998</v>
      </c>
      <c r="E96">
        <v>1.0579000000000001</v>
      </c>
      <c r="F96">
        <v>686113717</v>
      </c>
      <c r="G96">
        <v>1.0579000000000001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0.52882703777336271</v>
      </c>
      <c r="Q96">
        <f t="shared" ref="Q96" si="456">F96*P96</f>
        <v>362835484.53678131</v>
      </c>
      <c r="R96">
        <f t="shared" ref="R96" si="457">R97+Q96</f>
        <v>28325150898.574177</v>
      </c>
      <c r="S96">
        <f t="shared" ref="S96" si="458">R96/100000</f>
        <v>283251.50898574176</v>
      </c>
      <c r="T96">
        <f t="shared" ref="T96" si="459">S96/1000</f>
        <v>283.25150898574174</v>
      </c>
    </row>
    <row r="97" spans="1:20" x14ac:dyDescent="0.25">
      <c r="A97" s="5">
        <v>44496</v>
      </c>
      <c r="B97">
        <v>1.1075999999999999</v>
      </c>
      <c r="C97">
        <v>1.1248</v>
      </c>
      <c r="D97">
        <v>0.94830000000000003</v>
      </c>
      <c r="E97">
        <v>0.995</v>
      </c>
      <c r="F97">
        <v>914728059</v>
      </c>
      <c r="G97">
        <v>0.995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-0.47082152974504288</v>
      </c>
      <c r="Q97">
        <f t="shared" ref="Q97" si="461">F97*P97</f>
        <v>-430673664.03909385</v>
      </c>
      <c r="R97">
        <f t="shared" ref="R97" si="462">R98+Q97</f>
        <v>27962315414.037395</v>
      </c>
      <c r="S97">
        <f t="shared" ref="S97" si="463">R97/100000</f>
        <v>279623.15414037398</v>
      </c>
      <c r="T97">
        <f t="shared" ref="T97" si="464">S97/1000</f>
        <v>279.62315414037397</v>
      </c>
    </row>
    <row r="98" spans="1:20" x14ac:dyDescent="0.25">
      <c r="A98" s="5">
        <v>44495</v>
      </c>
      <c r="B98">
        <v>1.0951</v>
      </c>
      <c r="C98">
        <v>1.1606000000000001</v>
      </c>
      <c r="D98">
        <v>1.0905</v>
      </c>
      <c r="E98">
        <v>1.1074999999999999</v>
      </c>
      <c r="F98">
        <v>439499263</v>
      </c>
      <c r="G98">
        <v>1.1074999999999999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-0.51497860199715007</v>
      </c>
      <c r="Q98">
        <f t="shared" ref="Q98" si="466">F98*P98</f>
        <v>-226332716.03851777</v>
      </c>
      <c r="R98">
        <f t="shared" ref="R98" si="467">R99+Q98</f>
        <v>28392989078.076488</v>
      </c>
      <c r="S98">
        <f t="shared" ref="S98" si="468">R98/100000</f>
        <v>283929.89078076486</v>
      </c>
      <c r="T98">
        <f t="shared" ref="T98" si="469">S98/1000</f>
        <v>283.92989078076488</v>
      </c>
    </row>
    <row r="99" spans="1:20" x14ac:dyDescent="0.25">
      <c r="A99" s="5">
        <v>44494</v>
      </c>
      <c r="B99">
        <v>1.0821000000000001</v>
      </c>
      <c r="C99">
        <v>1.1033999999999999</v>
      </c>
      <c r="D99">
        <v>1.0778000000000001</v>
      </c>
      <c r="E99">
        <v>1.0951</v>
      </c>
      <c r="F99">
        <v>218666074</v>
      </c>
      <c r="G99">
        <v>1.0951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0.35156249999999811</v>
      </c>
      <c r="Q99">
        <f t="shared" ref="Q99" si="471">F99*P99</f>
        <v>76874791.640624583</v>
      </c>
      <c r="R99">
        <f t="shared" ref="R99" si="472">R100+Q99</f>
        <v>28619321794.115005</v>
      </c>
      <c r="S99">
        <f t="shared" ref="S99" si="473">R99/100000</f>
        <v>286193.21794115007</v>
      </c>
      <c r="T99">
        <f t="shared" ref="T99" si="474">S99/1000</f>
        <v>286.19321794115007</v>
      </c>
    </row>
    <row r="100" spans="1:20" x14ac:dyDescent="0.25">
      <c r="A100" s="5">
        <v>44493</v>
      </c>
      <c r="B100">
        <v>1.0934999999999999</v>
      </c>
      <c r="C100">
        <v>1.0961000000000001</v>
      </c>
      <c r="D100">
        <v>1.0522</v>
      </c>
      <c r="E100">
        <v>1.0821000000000001</v>
      </c>
      <c r="F100">
        <v>234286648</v>
      </c>
      <c r="G100">
        <v>1.0821000000000001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0.36218678815489763</v>
      </c>
      <c r="Q100">
        <f t="shared" ref="Q100" si="476">F100*P100</f>
        <v>84855528.546697065</v>
      </c>
      <c r="R100">
        <f t="shared" ref="R100" si="477">R101+Q100</f>
        <v>28542447002.47438</v>
      </c>
      <c r="S100">
        <f t="shared" ref="S100" si="478">R100/100000</f>
        <v>285424.47002474382</v>
      </c>
      <c r="T100">
        <f t="shared" ref="T100" si="479">S100/1000</f>
        <v>285.42447002474381</v>
      </c>
    </row>
    <row r="101" spans="1:20" x14ac:dyDescent="0.25">
      <c r="A101" s="5">
        <v>44492</v>
      </c>
      <c r="B101">
        <v>1.0885</v>
      </c>
      <c r="C101">
        <v>1.1017999999999999</v>
      </c>
      <c r="D101">
        <v>1.0763</v>
      </c>
      <c r="E101">
        <v>1.0933999999999999</v>
      </c>
      <c r="F101">
        <v>189644449</v>
      </c>
      <c r="G101">
        <v>1.0933999999999999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0.34117647058823447</v>
      </c>
      <c r="Q101">
        <f t="shared" ref="Q101" si="481">F101*P101</f>
        <v>64702223.77647043</v>
      </c>
      <c r="R101">
        <f t="shared" ref="R101" si="482">R102+Q101</f>
        <v>28457591473.927685</v>
      </c>
      <c r="S101">
        <f t="shared" ref="S101" si="483">R101/100000</f>
        <v>284575.91473927686</v>
      </c>
      <c r="T101">
        <f t="shared" ref="T101" si="484">S101/1000</f>
        <v>284.57591473927687</v>
      </c>
    </row>
    <row r="102" spans="1:20" x14ac:dyDescent="0.25">
      <c r="A102" s="5">
        <v>44491</v>
      </c>
      <c r="B102">
        <v>1.0885</v>
      </c>
      <c r="C102">
        <v>1.1288</v>
      </c>
      <c r="D102">
        <v>1.0739000000000001</v>
      </c>
      <c r="E102">
        <v>1.0885</v>
      </c>
      <c r="F102">
        <v>333619107</v>
      </c>
      <c r="G102">
        <v>1.0885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-0.468123861566486</v>
      </c>
      <c r="Q102">
        <f t="shared" ref="Q102" si="486">F102*P102</f>
        <v>-156175064.66120267</v>
      </c>
      <c r="R102">
        <f t="shared" ref="R102" si="487">R103+Q102</f>
        <v>28392889250.151215</v>
      </c>
      <c r="S102">
        <f t="shared" ref="S102" si="488">R102/100000</f>
        <v>283928.89250151213</v>
      </c>
      <c r="T102">
        <f t="shared" ref="T102" si="489">S102/1000</f>
        <v>283.92889250151211</v>
      </c>
    </row>
    <row r="103" spans="1:20" x14ac:dyDescent="0.25">
      <c r="A103" s="5">
        <v>44490</v>
      </c>
      <c r="B103">
        <v>1.1451</v>
      </c>
      <c r="C103">
        <v>1.1639999999999999</v>
      </c>
      <c r="D103">
        <v>1.0851</v>
      </c>
      <c r="E103">
        <v>1.0886</v>
      </c>
      <c r="F103">
        <v>442288500</v>
      </c>
      <c r="G103">
        <v>1.0886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-0.91128010139416826</v>
      </c>
      <c r="Q103">
        <f t="shared" ref="Q103" si="491">F103*P103</f>
        <v>-403048709.12547457</v>
      </c>
      <c r="R103">
        <f t="shared" ref="R103" si="492">R104+Q103</f>
        <v>28549064314.812416</v>
      </c>
      <c r="S103">
        <f t="shared" ref="S103" si="493">R103/100000</f>
        <v>285490.64314812416</v>
      </c>
      <c r="T103">
        <f t="shared" ref="T103" si="494">S103/1000</f>
        <v>285.49064314812415</v>
      </c>
    </row>
    <row r="104" spans="1:20" x14ac:dyDescent="0.25">
      <c r="A104" s="5">
        <v>44489</v>
      </c>
      <c r="B104">
        <v>1.0911</v>
      </c>
      <c r="C104">
        <v>1.1529</v>
      </c>
      <c r="D104">
        <v>1.0868</v>
      </c>
      <c r="E104">
        <v>1.1455</v>
      </c>
      <c r="F104">
        <v>346122480</v>
      </c>
      <c r="G104">
        <v>1.1455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0.77609682299545935</v>
      </c>
      <c r="Q104">
        <f t="shared" ref="Q104" si="496">F104*P104</f>
        <v>268624557.09530944</v>
      </c>
      <c r="R104">
        <f t="shared" ref="R104" si="497">R105+Q104</f>
        <v>28952113023.937889</v>
      </c>
      <c r="S104">
        <f t="shared" ref="S104" si="498">R104/100000</f>
        <v>289521.13023937889</v>
      </c>
      <c r="T104">
        <f t="shared" ref="T104" si="499">S104/1000</f>
        <v>289.52113023937892</v>
      </c>
    </row>
    <row r="105" spans="1:20" x14ac:dyDescent="0.25">
      <c r="A105" s="5">
        <v>44488</v>
      </c>
      <c r="B105">
        <v>1.0827</v>
      </c>
      <c r="C105">
        <v>1.1009</v>
      </c>
      <c r="D105">
        <v>1.0661</v>
      </c>
      <c r="E105">
        <v>1.0911</v>
      </c>
      <c r="F105">
        <v>235324664</v>
      </c>
      <c r="G105">
        <v>1.0911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0.4367816091953996</v>
      </c>
      <c r="Q105">
        <f t="shared" ref="Q105" si="501">F105*P105</f>
        <v>102785485.42528673</v>
      </c>
      <c r="R105">
        <f t="shared" ref="R105" si="502">R106+Q105</f>
        <v>28683488466.842579</v>
      </c>
      <c r="S105">
        <f t="shared" ref="S105" si="503">R105/100000</f>
        <v>286834.88466842577</v>
      </c>
      <c r="T105">
        <f t="shared" ref="T105" si="504">S105/1000</f>
        <v>286.83488466842579</v>
      </c>
    </row>
    <row r="106" spans="1:20" x14ac:dyDescent="0.25">
      <c r="A106" s="5">
        <v>44487</v>
      </c>
      <c r="B106">
        <v>1.0943000000000001</v>
      </c>
      <c r="C106">
        <v>1.1064000000000001</v>
      </c>
      <c r="D106">
        <v>1.0642</v>
      </c>
      <c r="E106">
        <v>1.0827</v>
      </c>
      <c r="F106">
        <v>321174243</v>
      </c>
      <c r="G106">
        <v>1.0827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-0.12322274881516805</v>
      </c>
      <c r="Q106">
        <f t="shared" ref="Q106" si="506">F106*P106</f>
        <v>-39575973.071090743</v>
      </c>
      <c r="R106">
        <f t="shared" ref="R106" si="507">R107+Q106</f>
        <v>28580702981.417294</v>
      </c>
      <c r="S106">
        <f t="shared" ref="S106" si="508">R106/100000</f>
        <v>285807.02981417294</v>
      </c>
      <c r="T106">
        <f t="shared" ref="T106" si="509">S106/1000</f>
        <v>285.80702981417295</v>
      </c>
    </row>
    <row r="107" spans="1:20" x14ac:dyDescent="0.25">
      <c r="A107" s="5">
        <v>44486</v>
      </c>
      <c r="B107">
        <v>1.1343000000000001</v>
      </c>
      <c r="C107">
        <v>1.1407</v>
      </c>
      <c r="D107">
        <v>1.0172000000000001</v>
      </c>
      <c r="E107">
        <v>1.0944</v>
      </c>
      <c r="F107">
        <v>384414867</v>
      </c>
      <c r="G107">
        <v>1.0944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0.25020242914979712</v>
      </c>
      <c r="Q107">
        <f t="shared" ref="Q107" si="511">F107*P107</f>
        <v>96181533.524696186</v>
      </c>
      <c r="R107">
        <f t="shared" ref="R107" si="512">R108+Q107</f>
        <v>28620278954.488384</v>
      </c>
      <c r="S107">
        <f t="shared" ref="S107" si="513">R107/100000</f>
        <v>286202.78954488382</v>
      </c>
      <c r="T107">
        <f t="shared" ref="T107" si="514">S107/1000</f>
        <v>286.20278954488384</v>
      </c>
    </row>
    <row r="108" spans="1:20" x14ac:dyDescent="0.25">
      <c r="A108" s="5">
        <v>44485</v>
      </c>
      <c r="B108">
        <v>1.1415</v>
      </c>
      <c r="C108">
        <v>1.1869000000000001</v>
      </c>
      <c r="D108">
        <v>1.1299999999999999</v>
      </c>
      <c r="E108">
        <v>1.1343000000000001</v>
      </c>
      <c r="F108">
        <v>339530696</v>
      </c>
      <c r="G108">
        <v>1.1343000000000001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-0.84885764499120631</v>
      </c>
      <c r="Q108">
        <f t="shared" ref="Q108" si="516">F108*P108</f>
        <v>-288213227.00878519</v>
      </c>
      <c r="R108">
        <f t="shared" ref="R108" si="517">R109+Q108</f>
        <v>28524097420.963688</v>
      </c>
      <c r="S108">
        <f t="shared" ref="S108" si="518">R108/100000</f>
        <v>285240.97420963686</v>
      </c>
      <c r="T108">
        <f t="shared" ref="T108" si="519">S108/1000</f>
        <v>285.24097420963687</v>
      </c>
    </row>
    <row r="109" spans="1:20" x14ac:dyDescent="0.25">
      <c r="A109" s="5">
        <v>44484</v>
      </c>
      <c r="B109">
        <v>1.1335</v>
      </c>
      <c r="C109">
        <v>1.1656</v>
      </c>
      <c r="D109">
        <v>1.0913999999999999</v>
      </c>
      <c r="E109">
        <v>1.1413</v>
      </c>
      <c r="F109">
        <v>573654581</v>
      </c>
      <c r="G109">
        <v>1.1413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0.34501347708894947</v>
      </c>
      <c r="Q109">
        <f t="shared" ref="Q109" si="521">F109*P109</f>
        <v>197918561.63881442</v>
      </c>
      <c r="R109">
        <f t="shared" ref="R109" si="522">R110+Q109</f>
        <v>28812310647.972473</v>
      </c>
      <c r="S109">
        <f t="shared" ref="S109" si="523">R109/100000</f>
        <v>288123.10647972475</v>
      </c>
      <c r="T109">
        <f t="shared" ref="T109" si="524">S109/1000</f>
        <v>288.12310647972475</v>
      </c>
    </row>
    <row r="110" spans="1:20" x14ac:dyDescent="0.25">
      <c r="A110" s="5">
        <v>44483</v>
      </c>
      <c r="B110">
        <v>1.1276999999999999</v>
      </c>
      <c r="C110">
        <v>1.1599999999999999</v>
      </c>
      <c r="D110">
        <v>1.1173999999999999</v>
      </c>
      <c r="E110">
        <v>1.1335999999999999</v>
      </c>
      <c r="F110">
        <v>353714419</v>
      </c>
      <c r="G110">
        <v>1.1335999999999999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-0.23943661971830971</v>
      </c>
      <c r="Q110">
        <f t="shared" ref="Q110" si="526">F110*P110</f>
        <v>-84692184.830985859</v>
      </c>
      <c r="R110">
        <f t="shared" ref="R110" si="527">R111+Q110</f>
        <v>28614392086.33366</v>
      </c>
      <c r="S110">
        <f t="shared" ref="S110" si="528">R110/100000</f>
        <v>286143.92086333659</v>
      </c>
      <c r="T110">
        <f t="shared" ref="T110" si="529">S110/1000</f>
        <v>286.14392086333658</v>
      </c>
    </row>
    <row r="111" spans="1:20" x14ac:dyDescent="0.25">
      <c r="A111" s="5">
        <v>44482</v>
      </c>
      <c r="B111">
        <v>1.1016999999999999</v>
      </c>
      <c r="C111">
        <v>1.1387</v>
      </c>
      <c r="D111">
        <v>1.075</v>
      </c>
      <c r="E111">
        <v>1.1274999999999999</v>
      </c>
      <c r="F111">
        <v>403291632</v>
      </c>
      <c r="G111">
        <v>1.1274999999999999</v>
      </c>
      <c r="L111" t="s">
        <v>7</v>
      </c>
      <c r="M111" t="s">
        <v>8</v>
      </c>
      <c r="N111" t="s">
        <v>8</v>
      </c>
      <c r="P111">
        <f t="shared" ref="P111" si="530">IF(C111=D111,0,((E111-D111)-(C111-E111))/(C111-D111))</f>
        <v>0.64835164835164572</v>
      </c>
      <c r="Q111">
        <f t="shared" ref="Q111" si="531">F111*P111</f>
        <v>261474794.37362531</v>
      </c>
      <c r="R111">
        <f t="shared" ref="R111" si="532">R112+Q111</f>
        <v>28699084271.164646</v>
      </c>
      <c r="S111">
        <f t="shared" ref="S111" si="533">R111/100000</f>
        <v>286990.84271164646</v>
      </c>
      <c r="T111">
        <f t="shared" ref="T111" si="534">S111/1000</f>
        <v>286.99084271164645</v>
      </c>
    </row>
    <row r="112" spans="1:20" x14ac:dyDescent="0.25">
      <c r="A112" s="5">
        <v>44481</v>
      </c>
      <c r="B112">
        <v>1.1363000000000001</v>
      </c>
      <c r="C112">
        <v>1.1364000000000001</v>
      </c>
      <c r="D112">
        <v>1.0633999999999999</v>
      </c>
      <c r="E112">
        <v>1.1017999999999999</v>
      </c>
      <c r="F112">
        <v>455399313</v>
      </c>
      <c r="G112">
        <v>1.1017999999999999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5.2054794520545129E-2</v>
      </c>
      <c r="Q112">
        <f t="shared" ref="Q112" si="536">F112*P112</f>
        <v>23705717.663012415</v>
      </c>
      <c r="R112">
        <f t="shared" ref="R112" si="537">R113+Q112</f>
        <v>28437609476.791019</v>
      </c>
      <c r="S112">
        <f t="shared" ref="S112" si="538">R112/100000</f>
        <v>284376.0947679102</v>
      </c>
      <c r="T112">
        <f t="shared" ref="T112" si="539">S112/1000</f>
        <v>284.37609476791022</v>
      </c>
    </row>
    <row r="113" spans="1:20" x14ac:dyDescent="0.25">
      <c r="A113" s="5">
        <v>44480</v>
      </c>
      <c r="B113">
        <v>1.1352</v>
      </c>
      <c r="C113">
        <v>1.1819999999999999</v>
      </c>
      <c r="D113">
        <v>1.1016999999999999</v>
      </c>
      <c r="E113">
        <v>1.1364000000000001</v>
      </c>
      <c r="F113">
        <v>429676031</v>
      </c>
      <c r="G113">
        <v>1.1364000000000001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-0.13574097135740576</v>
      </c>
      <c r="Q113">
        <f t="shared" ref="Q113" si="541">F113*P113</f>
        <v>-58324641.816934787</v>
      </c>
      <c r="R113">
        <f t="shared" ref="R113" si="542">R114+Q113</f>
        <v>28413903759.128006</v>
      </c>
      <c r="S113">
        <f t="shared" ref="S113" si="543">R113/100000</f>
        <v>284139.03759128007</v>
      </c>
      <c r="T113">
        <f t="shared" ref="T113" si="544">S113/1000</f>
        <v>284.13903759128004</v>
      </c>
    </row>
    <row r="114" spans="1:20" x14ac:dyDescent="0.25">
      <c r="A114" s="5">
        <v>44479</v>
      </c>
      <c r="B114">
        <v>1.1604000000000001</v>
      </c>
      <c r="C114">
        <v>1.23</v>
      </c>
      <c r="D114">
        <v>1.1262000000000001</v>
      </c>
      <c r="E114">
        <v>1.1352</v>
      </c>
      <c r="F114">
        <v>647048690</v>
      </c>
      <c r="G114">
        <v>1.1352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-0.8265895953757243</v>
      </c>
      <c r="Q114">
        <f t="shared" ref="Q114" si="546">F114*P114</f>
        <v>-534843714.85549247</v>
      </c>
      <c r="R114">
        <f t="shared" ref="R114" si="547">R115+Q114</f>
        <v>28472228400.944942</v>
      </c>
      <c r="S114">
        <f t="shared" ref="S114" si="548">R114/100000</f>
        <v>284722.28400944942</v>
      </c>
      <c r="T114">
        <f t="shared" ref="T114" si="549">S114/1000</f>
        <v>284.72228400944942</v>
      </c>
    </row>
    <row r="115" spans="1:20" x14ac:dyDescent="0.25">
      <c r="A115" s="5">
        <v>44478</v>
      </c>
      <c r="B115">
        <v>1.0636000000000001</v>
      </c>
      <c r="C115">
        <v>1.2089000000000001</v>
      </c>
      <c r="D115">
        <v>1.0565</v>
      </c>
      <c r="E115">
        <v>1.1604000000000001</v>
      </c>
      <c r="F115">
        <v>678027224.72000003</v>
      </c>
      <c r="G115">
        <v>1.1604000000000001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0.36351706036745463</v>
      </c>
      <c r="Q115">
        <f t="shared" ref="Q115" si="551">F115*P115</f>
        <v>246474463.57931799</v>
      </c>
      <c r="R115">
        <f t="shared" ref="R115" si="552">R116+Q115</f>
        <v>29007072115.800434</v>
      </c>
      <c r="S115">
        <f t="shared" ref="S115" si="553">R115/100000</f>
        <v>290070.72115800437</v>
      </c>
      <c r="T115">
        <f t="shared" ref="T115" si="554">S115/1000</f>
        <v>290.07072115800435</v>
      </c>
    </row>
    <row r="116" spans="1:20" x14ac:dyDescent="0.25">
      <c r="A116" s="5">
        <v>44477</v>
      </c>
      <c r="B116">
        <v>1.0677000000000001</v>
      </c>
      <c r="C116">
        <v>1.0927</v>
      </c>
      <c r="D116">
        <v>1.0539000000000001</v>
      </c>
      <c r="E116">
        <v>1.0636000000000001</v>
      </c>
      <c r="F116">
        <v>335486636</v>
      </c>
      <c r="G116">
        <v>1.0636000000000001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-0.49999999999999711</v>
      </c>
      <c r="Q116">
        <f t="shared" ref="Q116" si="556">F116*P116</f>
        <v>-167743317.99999905</v>
      </c>
      <c r="R116">
        <f t="shared" ref="R116" si="557">R117+Q116</f>
        <v>28760597652.221115</v>
      </c>
      <c r="S116">
        <f t="shared" ref="S116" si="558">R116/100000</f>
        <v>287605.97652221116</v>
      </c>
      <c r="T116">
        <f t="shared" ref="T116" si="559">S116/1000</f>
        <v>287.60597652221117</v>
      </c>
    </row>
    <row r="117" spans="1:20" x14ac:dyDescent="0.25">
      <c r="A117" s="5">
        <v>44476</v>
      </c>
      <c r="B117">
        <v>1.0766</v>
      </c>
      <c r="C117">
        <v>1.0942000000000001</v>
      </c>
      <c r="D117">
        <v>1.0423</v>
      </c>
      <c r="E117">
        <v>1.0678000000000001</v>
      </c>
      <c r="F117">
        <v>410868906</v>
      </c>
      <c r="G117">
        <v>1.0678000000000001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-1.7341040462425818E-2</v>
      </c>
      <c r="Q117">
        <f t="shared" ref="Q117" si="561">F117*P117</f>
        <v>-7124894.3236986306</v>
      </c>
      <c r="R117">
        <f t="shared" ref="R117" si="562">R118+Q117</f>
        <v>28928340970.221115</v>
      </c>
      <c r="S117">
        <f t="shared" ref="S117" si="563">R117/100000</f>
        <v>289283.40970221115</v>
      </c>
      <c r="T117">
        <f t="shared" ref="T117" si="564">S117/1000</f>
        <v>289.28340970221115</v>
      </c>
    </row>
    <row r="118" spans="1:20" x14ac:dyDescent="0.25">
      <c r="A118" s="5">
        <v>44475</v>
      </c>
      <c r="B118">
        <v>1.0840000000000001</v>
      </c>
      <c r="C118">
        <v>1.1081000000000001</v>
      </c>
      <c r="D118">
        <v>1.0170999999999999</v>
      </c>
      <c r="E118">
        <v>1.0765</v>
      </c>
      <c r="F118">
        <v>509214129</v>
      </c>
      <c r="G118">
        <v>1.0765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0.30549450549450535</v>
      </c>
      <c r="Q118">
        <f t="shared" ref="Q118" si="566">F118*P118</f>
        <v>155562118.52967027</v>
      </c>
      <c r="R118">
        <f t="shared" ref="R118" si="567">R119+Q118</f>
        <v>28935465864.544815</v>
      </c>
      <c r="S118">
        <f t="shared" ref="S118" si="568">R118/100000</f>
        <v>289354.65864544816</v>
      </c>
      <c r="T118">
        <f t="shared" ref="T118" si="569">S118/1000</f>
        <v>289.35465864544818</v>
      </c>
    </row>
    <row r="119" spans="1:20" x14ac:dyDescent="0.25">
      <c r="A119" s="5">
        <v>44474</v>
      </c>
      <c r="B119">
        <v>1.0428999999999999</v>
      </c>
      <c r="C119">
        <v>1.0880000000000001</v>
      </c>
      <c r="D119">
        <v>1.038</v>
      </c>
      <c r="E119">
        <v>1.0839000000000001</v>
      </c>
      <c r="F119">
        <v>429469278</v>
      </c>
      <c r="G119">
        <v>1.0839000000000001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0.83600000000000041</v>
      </c>
      <c r="Q119">
        <f t="shared" ref="Q119" si="571">F119*P119</f>
        <v>359036316.40800017</v>
      </c>
      <c r="R119">
        <f t="shared" ref="R119" si="572">R120+Q119</f>
        <v>28779903746.015144</v>
      </c>
      <c r="S119">
        <f t="shared" ref="S119" si="573">R119/100000</f>
        <v>287799.03746015142</v>
      </c>
      <c r="T119">
        <f t="shared" ref="T119" si="574">S119/1000</f>
        <v>287.7990374601514</v>
      </c>
    </row>
    <row r="120" spans="1:20" x14ac:dyDescent="0.25">
      <c r="A120" s="5">
        <v>44473</v>
      </c>
      <c r="B120">
        <v>1.0551999999999999</v>
      </c>
      <c r="C120">
        <v>1.0596000000000001</v>
      </c>
      <c r="D120">
        <v>1.0059</v>
      </c>
      <c r="E120">
        <v>1.0584</v>
      </c>
      <c r="F120">
        <v>403466686</v>
      </c>
      <c r="G120">
        <v>1.0584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0.95530726256982912</v>
      </c>
      <c r="Q120">
        <f t="shared" ref="Q120" si="576">F120*P120</f>
        <v>385434655.34078079</v>
      </c>
      <c r="R120">
        <f t="shared" ref="R120" si="577">R121+Q120</f>
        <v>28420867429.607143</v>
      </c>
      <c r="S120">
        <f t="shared" ref="S120" si="578">R120/100000</f>
        <v>284208.67429607146</v>
      </c>
      <c r="T120">
        <f t="shared" ref="T120" si="579">S120/1000</f>
        <v>284.20867429607148</v>
      </c>
    </row>
    <row r="121" spans="1:20" x14ac:dyDescent="0.25">
      <c r="A121" s="5">
        <v>44472</v>
      </c>
      <c r="B121">
        <v>1.0359</v>
      </c>
      <c r="C121">
        <v>1.0884</v>
      </c>
      <c r="D121">
        <v>1.0209999999999999</v>
      </c>
      <c r="E121">
        <v>1.0531999999999999</v>
      </c>
      <c r="F121">
        <v>406755280</v>
      </c>
      <c r="G121">
        <v>1.0531999999999999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-4.4510385756678164E-2</v>
      </c>
      <c r="Q121">
        <f t="shared" ref="Q121" si="581">F121*P121</f>
        <v>-18104834.421365637</v>
      </c>
      <c r="R121">
        <f t="shared" ref="R121" si="582">R122+Q121</f>
        <v>28035432774.266361</v>
      </c>
      <c r="S121">
        <f t="shared" ref="S121" si="583">R121/100000</f>
        <v>280354.32774266362</v>
      </c>
      <c r="T121">
        <f t="shared" ref="T121" si="584">S121/1000</f>
        <v>280.3543277426636</v>
      </c>
    </row>
    <row r="122" spans="1:20" x14ac:dyDescent="0.25">
      <c r="A122" s="5">
        <v>44471</v>
      </c>
      <c r="B122">
        <v>1.0422</v>
      </c>
      <c r="C122">
        <v>1.0732999999999999</v>
      </c>
      <c r="D122">
        <v>1.0079</v>
      </c>
      <c r="E122">
        <v>1.0359</v>
      </c>
      <c r="F122">
        <v>398398944</v>
      </c>
      <c r="G122">
        <v>1.0359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-0.14373088685015087</v>
      </c>
      <c r="Q122">
        <f t="shared" ref="Q122" si="586">F122*P122</f>
        <v>-57262233.541283593</v>
      </c>
      <c r="R122">
        <f t="shared" ref="R122" si="587">R123+Q122</f>
        <v>28053537608.687725</v>
      </c>
      <c r="S122">
        <f t="shared" ref="S122" si="588">R122/100000</f>
        <v>280535.37608687725</v>
      </c>
      <c r="T122">
        <f t="shared" ref="T122" si="589">S122/1000</f>
        <v>280.53537608687725</v>
      </c>
    </row>
    <row r="123" spans="1:20" x14ac:dyDescent="0.25">
      <c r="A123" s="5">
        <v>44470</v>
      </c>
      <c r="B123">
        <v>0.95350000000000001</v>
      </c>
      <c r="C123">
        <v>1.0694999999999999</v>
      </c>
      <c r="D123">
        <v>0.94430000000000003</v>
      </c>
      <c r="E123">
        <v>1.0422</v>
      </c>
      <c r="F123">
        <v>644378881</v>
      </c>
      <c r="G123">
        <v>1.0422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0.56389776357827626</v>
      </c>
      <c r="Q123">
        <f t="shared" ref="Q123" si="591">F123*P123</f>
        <v>363363809.89297223</v>
      </c>
      <c r="R123">
        <f t="shared" ref="R123" si="592">R124+Q123</f>
        <v>28110799842.229008</v>
      </c>
      <c r="S123">
        <f t="shared" ref="S123" si="593">R123/100000</f>
        <v>281107.99842229008</v>
      </c>
      <c r="T123">
        <f t="shared" ref="T123" si="594">S123/1000</f>
        <v>281.10799842229011</v>
      </c>
    </row>
    <row r="124" spans="1:20" x14ac:dyDescent="0.25">
      <c r="A124" s="5">
        <v>44469</v>
      </c>
      <c r="B124">
        <v>0.92659999999999998</v>
      </c>
      <c r="C124">
        <v>0.96399999999999997</v>
      </c>
      <c r="D124">
        <v>0.92169999999999996</v>
      </c>
      <c r="E124">
        <v>0.95330000000000004</v>
      </c>
      <c r="F124">
        <v>332911904</v>
      </c>
      <c r="G124">
        <v>0.95330000000000004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0.4940898345153697</v>
      </c>
      <c r="Q124">
        <f t="shared" ref="Q124" si="596">F124*P124</f>
        <v>164488387.55555665</v>
      </c>
      <c r="R124">
        <f t="shared" ref="R124" si="597">R125+Q124</f>
        <v>27747436032.336037</v>
      </c>
      <c r="S124">
        <f t="shared" ref="S124" si="598">R124/100000</f>
        <v>277474.36032336036</v>
      </c>
      <c r="T124">
        <f t="shared" ref="T124" si="599">S124/1000</f>
        <v>277.47436032336037</v>
      </c>
    </row>
    <row r="125" spans="1:20" x14ac:dyDescent="0.25">
      <c r="A125" s="5">
        <v>44468</v>
      </c>
      <c r="B125">
        <v>0.89280000000000004</v>
      </c>
      <c r="C125">
        <v>0.99409999999999998</v>
      </c>
      <c r="D125">
        <v>0.8861</v>
      </c>
      <c r="E125">
        <v>0.92679999999999996</v>
      </c>
      <c r="F125">
        <v>459660796</v>
      </c>
      <c r="G125">
        <v>0.92679999999999996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-0.24629629629629696</v>
      </c>
      <c r="Q125">
        <f t="shared" ref="Q125" si="601">F125*P125</f>
        <v>-113212751.6074077</v>
      </c>
      <c r="R125">
        <f t="shared" ref="R125" si="602">R126+Q125</f>
        <v>27582947644.780479</v>
      </c>
      <c r="S125">
        <f t="shared" ref="S125" si="603">R125/100000</f>
        <v>275829.47644780477</v>
      </c>
      <c r="T125">
        <f t="shared" ref="T125" si="604">S125/1000</f>
        <v>275.82947644780478</v>
      </c>
    </row>
    <row r="126" spans="1:20" x14ac:dyDescent="0.25">
      <c r="A126" s="5">
        <v>44467</v>
      </c>
      <c r="B126">
        <v>0.92169999999999996</v>
      </c>
      <c r="C126">
        <v>0.94310000000000005</v>
      </c>
      <c r="D126">
        <v>0.89029999999999998</v>
      </c>
      <c r="E126">
        <v>0.89280000000000004</v>
      </c>
      <c r="F126">
        <v>313521537</v>
      </c>
      <c r="G126">
        <v>0.89280000000000004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-0.90530303030302828</v>
      </c>
      <c r="Q126">
        <f t="shared" ref="Q126" si="606">F126*P126</f>
        <v>-283831997.51136303</v>
      </c>
      <c r="R126">
        <f t="shared" ref="R126" si="607">R127+Q126</f>
        <v>27696160396.387886</v>
      </c>
      <c r="S126">
        <f t="shared" ref="S126" si="608">R126/100000</f>
        <v>276961.60396387888</v>
      </c>
      <c r="T126">
        <f t="shared" ref="T126" si="609">S126/1000</f>
        <v>276.96160396387887</v>
      </c>
    </row>
    <row r="127" spans="1:20" x14ac:dyDescent="0.25">
      <c r="A127" s="5">
        <v>44466</v>
      </c>
      <c r="B127">
        <v>0.94359999999999999</v>
      </c>
      <c r="C127">
        <v>0.98180000000000001</v>
      </c>
      <c r="D127">
        <v>0.9194</v>
      </c>
      <c r="E127">
        <v>0.92179999999999995</v>
      </c>
      <c r="F127">
        <v>350234819</v>
      </c>
      <c r="G127">
        <v>0.92179999999999995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-0.92307692307692446</v>
      </c>
      <c r="Q127">
        <f t="shared" ref="Q127" si="611">F127*P127</f>
        <v>-323293679.07692355</v>
      </c>
      <c r="R127">
        <f t="shared" ref="R127" si="612">R128+Q127</f>
        <v>27979992393.89925</v>
      </c>
      <c r="S127">
        <f t="shared" ref="S127" si="613">R127/100000</f>
        <v>279799.92393899249</v>
      </c>
      <c r="T127">
        <f t="shared" ref="T127" si="614">S127/1000</f>
        <v>279.79992393899249</v>
      </c>
    </row>
    <row r="128" spans="1:20" x14ac:dyDescent="0.25">
      <c r="A128" s="5">
        <v>44465</v>
      </c>
      <c r="B128">
        <v>0.93989999999999996</v>
      </c>
      <c r="C128">
        <v>0.95669999999999999</v>
      </c>
      <c r="D128">
        <v>0.89149999999999996</v>
      </c>
      <c r="E128">
        <v>0.94359999999999999</v>
      </c>
      <c r="F128">
        <v>384081774</v>
      </c>
      <c r="G128">
        <v>0.94359999999999999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0.5981595092024542</v>
      </c>
      <c r="Q128">
        <f t="shared" ref="Q128" si="616">F128*P128</f>
        <v>229742165.42944792</v>
      </c>
      <c r="R128">
        <f t="shared" ref="R128" si="617">R129+Q128</f>
        <v>28303286072.976173</v>
      </c>
      <c r="S128">
        <f t="shared" ref="S128" si="618">R128/100000</f>
        <v>283032.86072976171</v>
      </c>
      <c r="T128">
        <f t="shared" ref="T128" si="619">S128/1000</f>
        <v>283.03286072976169</v>
      </c>
    </row>
    <row r="129" spans="1:20" x14ac:dyDescent="0.25">
      <c r="A129" s="5">
        <v>44464</v>
      </c>
      <c r="B129">
        <v>0.94420000000000004</v>
      </c>
      <c r="C129">
        <v>0.9577</v>
      </c>
      <c r="D129">
        <v>0.9163</v>
      </c>
      <c r="E129">
        <v>0.94</v>
      </c>
      <c r="F129">
        <v>347043937</v>
      </c>
      <c r="G129">
        <v>0.94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0.14492753623188154</v>
      </c>
      <c r="Q129">
        <f t="shared" ref="Q129" si="621">F129*P129</f>
        <v>50296222.753622316</v>
      </c>
      <c r="R129">
        <f t="shared" ref="R129" si="622">R130+Q129</f>
        <v>28073543907.546726</v>
      </c>
      <c r="S129">
        <f t="shared" ref="S129" si="623">R129/100000</f>
        <v>280735.43907546723</v>
      </c>
      <c r="T129">
        <f t="shared" ref="T129" si="624">S129/1000</f>
        <v>280.73543907546724</v>
      </c>
    </row>
    <row r="130" spans="1:20" x14ac:dyDescent="0.25">
      <c r="A130" s="5">
        <v>44463</v>
      </c>
      <c r="B130">
        <v>1.0016</v>
      </c>
      <c r="C130">
        <v>1.0026999999999999</v>
      </c>
      <c r="D130">
        <v>0.88580000000000003</v>
      </c>
      <c r="E130">
        <v>0.94399999999999995</v>
      </c>
      <c r="F130">
        <v>605329486</v>
      </c>
      <c r="G130">
        <v>0.94399999999999995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-4.2771599657832025E-3</v>
      </c>
      <c r="Q130">
        <f t="shared" ref="Q130" si="626">F130*P130</f>
        <v>-2589091.0436273236</v>
      </c>
      <c r="R130">
        <f t="shared" ref="R130" si="627">R131+Q130</f>
        <v>28023247684.793102</v>
      </c>
      <c r="S130">
        <f t="shared" ref="S130" si="628">R130/100000</f>
        <v>280232.47684793104</v>
      </c>
      <c r="T130">
        <f t="shared" ref="T130" si="629">S130/1000</f>
        <v>280.23247684793103</v>
      </c>
    </row>
    <row r="131" spans="1:20" x14ac:dyDescent="0.25">
      <c r="A131" s="5">
        <v>44462</v>
      </c>
      <c r="B131">
        <v>1.0033000000000001</v>
      </c>
      <c r="C131">
        <v>1.0169999999999999</v>
      </c>
      <c r="D131">
        <v>0.96760000000000002</v>
      </c>
      <c r="E131">
        <v>1.0016</v>
      </c>
      <c r="F131">
        <v>409673892</v>
      </c>
      <c r="G131">
        <v>1.0016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0.37651821862348611</v>
      </c>
      <c r="Q131">
        <f t="shared" ref="Q131" si="631">F131*P131</f>
        <v>154249684.03239045</v>
      </c>
      <c r="R131">
        <f t="shared" ref="R131" si="632">R132+Q131</f>
        <v>28025836775.836731</v>
      </c>
      <c r="S131">
        <f t="shared" ref="S131" si="633">R131/100000</f>
        <v>280258.36775836733</v>
      </c>
      <c r="T131">
        <f t="shared" ref="T131" si="634">S131/1000</f>
        <v>280.25836775836734</v>
      </c>
    </row>
    <row r="132" spans="1:20" x14ac:dyDescent="0.25">
      <c r="A132" s="5">
        <v>44461</v>
      </c>
      <c r="B132">
        <v>0.874</v>
      </c>
      <c r="C132">
        <v>1.0094000000000001</v>
      </c>
      <c r="D132">
        <v>0.8679</v>
      </c>
      <c r="E132">
        <v>1.0033000000000001</v>
      </c>
      <c r="F132">
        <v>606417695</v>
      </c>
      <c r="G132">
        <v>1.0033000000000001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0.91378091872791534</v>
      </c>
      <c r="Q132">
        <f t="shared" ref="Q132" si="636">F132*P132</f>
        <v>554132918.46996474</v>
      </c>
      <c r="R132">
        <f t="shared" ref="R132" si="637">R133+Q132</f>
        <v>27871587091.80434</v>
      </c>
      <c r="S132">
        <f t="shared" ref="S132" si="638">R132/100000</f>
        <v>278715.87091804342</v>
      </c>
      <c r="T132">
        <f t="shared" ref="T132" si="639">S132/1000</f>
        <v>278.71587091804344</v>
      </c>
    </row>
    <row r="133" spans="1:20" x14ac:dyDescent="0.25">
      <c r="A133" s="5">
        <v>44460</v>
      </c>
      <c r="B133">
        <v>0.92159999999999997</v>
      </c>
      <c r="C133">
        <v>0.95930000000000004</v>
      </c>
      <c r="D133">
        <v>0.85819999999999996</v>
      </c>
      <c r="E133">
        <v>0.87429999999999997</v>
      </c>
      <c r="F133">
        <v>632313366.80999994</v>
      </c>
      <c r="G133">
        <v>0.87429999999999997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-0.68150346191889233</v>
      </c>
      <c r="Q133">
        <f t="shared" ref="Q133" si="641">F133*P133</f>
        <v>-430923748.49860537</v>
      </c>
      <c r="R133">
        <f t="shared" ref="R133" si="642">R134+Q133</f>
        <v>27317454173.334377</v>
      </c>
      <c r="S133">
        <f t="shared" ref="S133" si="643">R133/100000</f>
        <v>273174.54173334379</v>
      </c>
      <c r="T133">
        <f t="shared" ref="T133" si="644">S133/1000</f>
        <v>273.1745417333438</v>
      </c>
    </row>
    <row r="134" spans="1:20" x14ac:dyDescent="0.25">
      <c r="A134" s="5">
        <v>44459</v>
      </c>
      <c r="B134">
        <v>1.0483</v>
      </c>
      <c r="C134">
        <v>1.0497000000000001</v>
      </c>
      <c r="D134">
        <v>0.94620000000000004</v>
      </c>
      <c r="E134">
        <v>0.95840000000000003</v>
      </c>
      <c r="F134">
        <v>327131253.37</v>
      </c>
      <c r="G134">
        <v>0.95840000000000003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-0.76425120772946886</v>
      </c>
      <c r="Q134">
        <f t="shared" ref="Q134" si="646">F134*P134</f>
        <v>-250010455.47407737</v>
      </c>
      <c r="R134">
        <f t="shared" ref="R134" si="647">R135+Q134</f>
        <v>27748377921.832981</v>
      </c>
      <c r="S134">
        <f t="shared" ref="S134" si="648">R134/100000</f>
        <v>277483.77921832982</v>
      </c>
      <c r="T134">
        <f t="shared" ref="T134" si="649">S134/1000</f>
        <v>277.4837792183298</v>
      </c>
    </row>
    <row r="135" spans="1:20" x14ac:dyDescent="0.25">
      <c r="A135" s="5">
        <v>44458</v>
      </c>
      <c r="B135">
        <v>1.0751999999999999</v>
      </c>
      <c r="C135">
        <v>1.0837000000000001</v>
      </c>
      <c r="D135">
        <v>1.0383</v>
      </c>
      <c r="E135">
        <v>1.0483</v>
      </c>
      <c r="F135">
        <v>211015299</v>
      </c>
      <c r="G135">
        <v>1.0483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-0.5594713656387672</v>
      </c>
      <c r="Q135">
        <f t="shared" ref="Q135" si="651">F135*P135</f>
        <v>-118057017.50220279</v>
      </c>
      <c r="R135">
        <f t="shared" ref="R135" si="652">R136+Q135</f>
        <v>27998388377.30706</v>
      </c>
      <c r="S135">
        <f t="shared" ref="S135" si="653">R135/100000</f>
        <v>279983.88377307059</v>
      </c>
      <c r="T135">
        <f t="shared" ref="T135" si="654">S135/1000</f>
        <v>279.9838837730706</v>
      </c>
    </row>
    <row r="136" spans="1:20" x14ac:dyDescent="0.25">
      <c r="A136" s="5">
        <v>44457</v>
      </c>
      <c r="B136">
        <v>1.0663</v>
      </c>
      <c r="C136">
        <v>1.0952</v>
      </c>
      <c r="D136">
        <v>1.0562</v>
      </c>
      <c r="E136">
        <v>1.0750999999999999</v>
      </c>
      <c r="F136">
        <v>195352031</v>
      </c>
      <c r="G136">
        <v>1.0750999999999999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-3.0769230769233134E-2</v>
      </c>
      <c r="Q136">
        <f t="shared" ref="Q136" si="656">F136*P136</f>
        <v>-6010831.7230773848</v>
      </c>
      <c r="R136">
        <f t="shared" ref="R136" si="657">R137+Q136</f>
        <v>28116445394.809261</v>
      </c>
      <c r="S136">
        <f t="shared" ref="S136" si="658">R136/100000</f>
        <v>281164.45394809259</v>
      </c>
      <c r="T136">
        <f t="shared" ref="T136" si="659">S136/1000</f>
        <v>281.16445394809261</v>
      </c>
    </row>
    <row r="137" spans="1:20" x14ac:dyDescent="0.25">
      <c r="A137" s="5">
        <v>44456</v>
      </c>
      <c r="B137">
        <v>1.0903</v>
      </c>
      <c r="C137">
        <v>1.1025</v>
      </c>
      <c r="D137">
        <v>1.0508999999999999</v>
      </c>
      <c r="E137">
        <v>1.0661</v>
      </c>
      <c r="F137">
        <v>297933223</v>
      </c>
      <c r="G137">
        <v>1.0661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-0.41085271317829164</v>
      </c>
      <c r="Q137">
        <f t="shared" ref="Q137" si="661">F137*P137</f>
        <v>-122406673.015503</v>
      </c>
      <c r="R137">
        <f t="shared" ref="R137" si="662">R138+Q137</f>
        <v>28122456226.532337</v>
      </c>
      <c r="S137">
        <f t="shared" ref="S137" si="663">R137/100000</f>
        <v>281224.56226532336</v>
      </c>
      <c r="T137">
        <f t="shared" ref="T137" si="664">S137/1000</f>
        <v>281.22456226532336</v>
      </c>
    </row>
    <row r="138" spans="1:20" x14ac:dyDescent="0.25">
      <c r="A138" s="5">
        <v>44455</v>
      </c>
      <c r="B138">
        <v>1.1207</v>
      </c>
      <c r="C138">
        <v>1.1299999999999999</v>
      </c>
      <c r="D138">
        <v>1.0662</v>
      </c>
      <c r="E138">
        <v>1.0902000000000001</v>
      </c>
      <c r="F138">
        <v>302954441</v>
      </c>
      <c r="G138">
        <v>1.0902000000000001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-0.24764890282131427</v>
      </c>
      <c r="Q138">
        <f t="shared" ref="Q138" si="666">F138*P138</f>
        <v>-75026334.918494582</v>
      </c>
      <c r="R138">
        <f t="shared" ref="R138" si="667">R139+Q138</f>
        <v>28244862899.54784</v>
      </c>
      <c r="S138">
        <f t="shared" ref="S138" si="668">R138/100000</f>
        <v>282448.62899547839</v>
      </c>
      <c r="T138">
        <f t="shared" ref="T138" si="669">S138/1000</f>
        <v>282.44862899547837</v>
      </c>
    </row>
    <row r="139" spans="1:20" x14ac:dyDescent="0.25">
      <c r="A139" s="5">
        <v>44454</v>
      </c>
      <c r="B139">
        <v>1.0962000000000001</v>
      </c>
      <c r="C139">
        <v>1.1299999999999999</v>
      </c>
      <c r="D139">
        <v>1.0784</v>
      </c>
      <c r="E139">
        <v>1.1207</v>
      </c>
      <c r="F139">
        <v>289063987</v>
      </c>
      <c r="G139">
        <v>1.1207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0.63953488372093459</v>
      </c>
      <c r="Q139">
        <f t="shared" ref="Q139" si="671">F139*P139</f>
        <v>184866503.31395474</v>
      </c>
      <c r="R139">
        <f t="shared" ref="R139" si="672">R140+Q139</f>
        <v>28319889234.466335</v>
      </c>
      <c r="S139">
        <f t="shared" ref="S139" si="673">R139/100000</f>
        <v>283198.89234466333</v>
      </c>
      <c r="T139">
        <f t="shared" ref="T139" si="674">S139/1000</f>
        <v>283.19889234466331</v>
      </c>
    </row>
    <row r="140" spans="1:20" x14ac:dyDescent="0.25">
      <c r="A140" s="5">
        <v>44453</v>
      </c>
      <c r="B140">
        <v>1.0644</v>
      </c>
      <c r="C140">
        <v>1.0978000000000001</v>
      </c>
      <c r="D140">
        <v>1.0566</v>
      </c>
      <c r="E140">
        <v>1.0963000000000001</v>
      </c>
      <c r="F140">
        <v>275908113</v>
      </c>
      <c r="G140">
        <v>1.0963000000000001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0.92718446601941495</v>
      </c>
      <c r="Q140">
        <f t="shared" ref="Q140" si="676">F140*P140</f>
        <v>255817716.4223294</v>
      </c>
      <c r="R140">
        <f t="shared" ref="R140" si="677">R141+Q140</f>
        <v>28135022731.152382</v>
      </c>
      <c r="S140">
        <f t="shared" ref="S140" si="678">R140/100000</f>
        <v>281350.22731152381</v>
      </c>
      <c r="T140">
        <f t="shared" ref="T140" si="679">S140/1000</f>
        <v>281.35022731152378</v>
      </c>
    </row>
    <row r="141" spans="1:20" x14ac:dyDescent="0.25">
      <c r="A141" s="5">
        <v>44452</v>
      </c>
      <c r="B141">
        <v>1.1181000000000001</v>
      </c>
      <c r="C141">
        <v>1.1266</v>
      </c>
      <c r="D141">
        <v>1.0249999999999999</v>
      </c>
      <c r="E141">
        <v>1.0643</v>
      </c>
      <c r="F141">
        <v>510682363</v>
      </c>
      <c r="G141">
        <v>1.0643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-0.22637795275590433</v>
      </c>
      <c r="Q141">
        <f t="shared" ref="Q141" si="681">F141*P141</f>
        <v>-115607227.84448759</v>
      </c>
      <c r="R141">
        <f t="shared" ref="R141" si="682">R142+Q141</f>
        <v>27879205014.730053</v>
      </c>
      <c r="S141">
        <f t="shared" ref="S141" si="683">R141/100000</f>
        <v>278792.05014730053</v>
      </c>
      <c r="T141">
        <f t="shared" ref="T141" si="684">S141/1000</f>
        <v>278.79205014730053</v>
      </c>
    </row>
    <row r="142" spans="1:20" x14ac:dyDescent="0.25">
      <c r="A142" s="5">
        <v>44451</v>
      </c>
      <c r="B142">
        <v>1.0788</v>
      </c>
      <c r="C142">
        <v>1.1275999999999999</v>
      </c>
      <c r="D142">
        <v>1.0576000000000001</v>
      </c>
      <c r="E142">
        <v>1.1181000000000001</v>
      </c>
      <c r="F142">
        <v>324049191</v>
      </c>
      <c r="G142">
        <v>1.1181000000000001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0.72857142857143242</v>
      </c>
      <c r="Q142">
        <f t="shared" ref="Q142" si="686">F142*P142</f>
        <v>236092982.01428697</v>
      </c>
      <c r="R142">
        <f t="shared" ref="R142" si="687">R143+Q142</f>
        <v>27994812242.574539</v>
      </c>
      <c r="S142">
        <f t="shared" ref="S142" si="688">R142/100000</f>
        <v>279948.12242574542</v>
      </c>
      <c r="T142">
        <f t="shared" ref="T142" si="689">S142/1000</f>
        <v>279.9481224257454</v>
      </c>
    </row>
    <row r="143" spans="1:20" x14ac:dyDescent="0.25">
      <c r="A143" s="5">
        <v>44450</v>
      </c>
      <c r="B143">
        <v>1.0551999999999999</v>
      </c>
      <c r="C143">
        <v>1.1200000000000001</v>
      </c>
      <c r="D143">
        <v>1.0503</v>
      </c>
      <c r="E143">
        <v>1.0787</v>
      </c>
      <c r="F143">
        <v>336502704</v>
      </c>
      <c r="G143">
        <v>1.0787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-0.18507890961262721</v>
      </c>
      <c r="Q143">
        <f t="shared" ref="Q143" si="691">F143*P143</f>
        <v>-62279553.538020648</v>
      </c>
      <c r="R143">
        <f t="shared" ref="R143" si="692">R144+Q143</f>
        <v>27758719260.560253</v>
      </c>
      <c r="S143">
        <f t="shared" ref="S143" si="693">R143/100000</f>
        <v>277587.19260560255</v>
      </c>
      <c r="T143">
        <f t="shared" ref="T143" si="694">S143/1000</f>
        <v>277.58719260560258</v>
      </c>
    </row>
    <row r="144" spans="1:20" x14ac:dyDescent="0.25">
      <c r="A144" s="5">
        <v>44449</v>
      </c>
      <c r="B144">
        <v>1.0868</v>
      </c>
      <c r="C144">
        <v>1.2450000000000001</v>
      </c>
      <c r="D144">
        <v>1.03</v>
      </c>
      <c r="E144">
        <v>1.0551999999999999</v>
      </c>
      <c r="F144">
        <v>901671116</v>
      </c>
      <c r="G144">
        <v>1.0551999999999999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-0.76558139534883829</v>
      </c>
      <c r="Q144">
        <f t="shared" ref="Q144" si="696">F144*P144</f>
        <v>-690302631.13302422</v>
      </c>
      <c r="R144">
        <f t="shared" ref="R144" si="697">R145+Q144</f>
        <v>27820998814.098274</v>
      </c>
      <c r="S144">
        <f t="shared" ref="S144" si="698">R144/100000</f>
        <v>278209.98814098275</v>
      </c>
      <c r="T144">
        <f t="shared" ref="T144" si="699">S144/1000</f>
        <v>278.20998814098277</v>
      </c>
    </row>
    <row r="145" spans="1:20" x14ac:dyDescent="0.25">
      <c r="A145" s="5">
        <v>44448</v>
      </c>
      <c r="B145">
        <v>1.0999000000000001</v>
      </c>
      <c r="C145">
        <v>1.1376999999999999</v>
      </c>
      <c r="D145">
        <v>1.0619000000000001</v>
      </c>
      <c r="E145">
        <v>1.0868</v>
      </c>
      <c r="F145">
        <v>604426508</v>
      </c>
      <c r="G145">
        <v>1.0868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-0.34300791556728322</v>
      </c>
      <c r="Q145">
        <f t="shared" ref="Q145" si="701">F145*P145</f>
        <v>-207323076.62269184</v>
      </c>
      <c r="R145">
        <f t="shared" ref="R145" si="702">R146+Q145</f>
        <v>28511301445.231297</v>
      </c>
      <c r="S145">
        <f t="shared" ref="S145" si="703">R145/100000</f>
        <v>285113.01445231296</v>
      </c>
      <c r="T145">
        <f t="shared" ref="T145" si="704">S145/1000</f>
        <v>285.11301445231294</v>
      </c>
    </row>
    <row r="146" spans="1:20" x14ac:dyDescent="0.25">
      <c r="A146" s="5">
        <v>44447</v>
      </c>
      <c r="B146">
        <v>1.129</v>
      </c>
      <c r="C146">
        <v>1.1479999999999999</v>
      </c>
      <c r="D146">
        <v>1.0133000000000001</v>
      </c>
      <c r="E146">
        <v>1.0998000000000001</v>
      </c>
      <c r="F146">
        <v>794455994</v>
      </c>
      <c r="G146">
        <v>1.0998000000000001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0.28433556050482756</v>
      </c>
      <c r="Q146">
        <f t="shared" ref="Q146" si="706">F146*P146</f>
        <v>225892090.35040992</v>
      </c>
      <c r="R146">
        <f t="shared" ref="R146" si="707">R147+Q146</f>
        <v>28718624521.853989</v>
      </c>
      <c r="S146">
        <f t="shared" ref="S146" si="708">R146/100000</f>
        <v>287186.2452185399</v>
      </c>
      <c r="T146">
        <f t="shared" ref="T146" si="709">S146/1000</f>
        <v>287.18624521853991</v>
      </c>
    </row>
    <row r="147" spans="1:20" x14ac:dyDescent="0.25">
      <c r="A147" s="5">
        <v>44446</v>
      </c>
      <c r="B147">
        <v>1.3894</v>
      </c>
      <c r="C147">
        <v>1.3922000000000001</v>
      </c>
      <c r="D147">
        <v>0.95240000000000002</v>
      </c>
      <c r="E147">
        <v>1.1292</v>
      </c>
      <c r="F147">
        <v>1297978123.8900001</v>
      </c>
      <c r="G147">
        <v>1.1292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-0.19599818099136004</v>
      </c>
      <c r="Q147">
        <f t="shared" ref="Q147" si="711">F147*P147</f>
        <v>-254401351.24901819</v>
      </c>
      <c r="R147">
        <f t="shared" ref="R147" si="712">R148+Q147</f>
        <v>28492732431.503578</v>
      </c>
      <c r="S147">
        <f t="shared" ref="S147" si="713">R147/100000</f>
        <v>284927.32431503577</v>
      </c>
      <c r="T147">
        <f t="shared" ref="T147" si="714">S147/1000</f>
        <v>284.92732431503578</v>
      </c>
    </row>
    <row r="148" spans="1:20" x14ac:dyDescent="0.25">
      <c r="A148" s="5">
        <v>44445</v>
      </c>
      <c r="B148">
        <v>1.3075000000000001</v>
      </c>
      <c r="C148">
        <v>1.4151</v>
      </c>
      <c r="D148">
        <v>1.3065</v>
      </c>
      <c r="E148">
        <v>1.3894</v>
      </c>
      <c r="F148">
        <v>710855257.91999996</v>
      </c>
      <c r="G148">
        <v>1.3894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0.52670349907918879</v>
      </c>
      <c r="Q148">
        <f t="shared" ref="Q148" si="716">F148*P148</f>
        <v>374409951.68530321</v>
      </c>
      <c r="R148">
        <f t="shared" ref="R148" si="717">R149+Q148</f>
        <v>28747133782.752598</v>
      </c>
      <c r="S148">
        <f t="shared" ref="S148" si="718">R148/100000</f>
        <v>287471.33782752597</v>
      </c>
      <c r="T148">
        <f t="shared" ref="T148" si="719">S148/1000</f>
        <v>287.47133782752599</v>
      </c>
    </row>
    <row r="149" spans="1:20" x14ac:dyDescent="0.25">
      <c r="A149" s="5">
        <v>44444</v>
      </c>
      <c r="B149">
        <v>1.2547999999999999</v>
      </c>
      <c r="C149">
        <v>1.3125</v>
      </c>
      <c r="D149">
        <v>1.2361</v>
      </c>
      <c r="E149">
        <v>1.3076000000000001</v>
      </c>
      <c r="F149">
        <v>335187953</v>
      </c>
      <c r="G149">
        <v>1.3076000000000001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0.87172774869110203</v>
      </c>
      <c r="Q149">
        <f t="shared" ref="Q149" si="721">F149*P149</f>
        <v>292192639.65706891</v>
      </c>
      <c r="R149">
        <f t="shared" ref="R149" si="722">R150+Q149</f>
        <v>28372723831.067295</v>
      </c>
      <c r="S149">
        <f t="shared" ref="S149" si="723">R149/100000</f>
        <v>283727.23831067292</v>
      </c>
      <c r="T149">
        <f t="shared" ref="T149" si="724">S149/1000</f>
        <v>283.72723831067293</v>
      </c>
    </row>
    <row r="150" spans="1:20" x14ac:dyDescent="0.25">
      <c r="A150" s="5">
        <v>44443</v>
      </c>
      <c r="B150">
        <v>1.2906</v>
      </c>
      <c r="C150">
        <v>1.2971999999999999</v>
      </c>
      <c r="D150">
        <v>1.2352000000000001</v>
      </c>
      <c r="E150">
        <v>1.2547999999999999</v>
      </c>
      <c r="F150">
        <v>355870711</v>
      </c>
      <c r="G150">
        <v>1.2547999999999999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-0.36774193548387446</v>
      </c>
      <c r="Q150">
        <f t="shared" ref="Q150" si="726">F150*P150</f>
        <v>-130868584.04516253</v>
      </c>
      <c r="R150">
        <f t="shared" ref="R150" si="727">R151+Q150</f>
        <v>28080531191.410225</v>
      </c>
      <c r="S150">
        <f t="shared" ref="S150" si="728">R150/100000</f>
        <v>280805.31191410223</v>
      </c>
      <c r="T150">
        <f t="shared" ref="T150" si="729">S150/1000</f>
        <v>280.80531191410222</v>
      </c>
    </row>
    <row r="151" spans="1:20" x14ac:dyDescent="0.25">
      <c r="A151" s="5">
        <v>44442</v>
      </c>
      <c r="B151">
        <v>1.2533000000000001</v>
      </c>
      <c r="C151">
        <v>1.3234999999999999</v>
      </c>
      <c r="D151">
        <v>1.2189000000000001</v>
      </c>
      <c r="E151">
        <v>1.2907</v>
      </c>
      <c r="F151">
        <v>526413570.06999999</v>
      </c>
      <c r="G151">
        <v>1.2907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0.37284894837476096</v>
      </c>
      <c r="Q151">
        <f t="shared" ref="Q151" si="731">F151*P151</f>
        <v>196272746.01080304</v>
      </c>
      <c r="R151">
        <f t="shared" ref="R151" si="732">R152+Q151</f>
        <v>28211399775.455387</v>
      </c>
      <c r="S151">
        <f t="shared" ref="S151" si="733">R151/100000</f>
        <v>282113.99775455386</v>
      </c>
      <c r="T151">
        <f t="shared" ref="T151" si="734">S151/1000</f>
        <v>282.11399775455385</v>
      </c>
    </row>
    <row r="152" spans="1:20" x14ac:dyDescent="0.25">
      <c r="A152" s="5">
        <v>44441</v>
      </c>
      <c r="B152">
        <v>1.2362</v>
      </c>
      <c r="C152">
        <v>1.2949999999999999</v>
      </c>
      <c r="D152">
        <v>1.2216</v>
      </c>
      <c r="E152">
        <v>1.2533000000000001</v>
      </c>
      <c r="F152">
        <v>501596506.81999999</v>
      </c>
      <c r="G152">
        <v>1.2533000000000001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-0.13623978201634604</v>
      </c>
      <c r="Q152">
        <f t="shared" ref="Q152" si="736">F152*P152</f>
        <v>-68337398.749317423</v>
      </c>
      <c r="R152">
        <f t="shared" ref="R152" si="737">R153+Q152</f>
        <v>28015127029.444584</v>
      </c>
      <c r="S152">
        <f t="shared" ref="S152" si="738">R152/100000</f>
        <v>280151.27029444586</v>
      </c>
      <c r="T152">
        <f t="shared" ref="T152" si="739">S152/1000</f>
        <v>280.15127029444585</v>
      </c>
    </row>
    <row r="153" spans="1:20" x14ac:dyDescent="0.25">
      <c r="A153" s="5">
        <v>44440</v>
      </c>
      <c r="B153">
        <v>1.1856</v>
      </c>
      <c r="C153">
        <v>1.2383999999999999</v>
      </c>
      <c r="D153">
        <v>1.1579999999999999</v>
      </c>
      <c r="E153">
        <v>1.2362</v>
      </c>
      <c r="F153">
        <v>469917987</v>
      </c>
      <c r="G153">
        <v>1.2362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0.94527363184079649</v>
      </c>
      <c r="Q153">
        <f t="shared" ref="Q153" si="741">F153*P153</f>
        <v>444201082.23880619</v>
      </c>
      <c r="R153">
        <f t="shared" ref="R153" si="742">R154+Q153</f>
        <v>28083464428.193901</v>
      </c>
      <c r="S153">
        <f t="shared" ref="S153" si="743">R153/100000</f>
        <v>280834.64428193902</v>
      </c>
      <c r="T153">
        <f t="shared" ref="T153" si="744">S153/1000</f>
        <v>280.83464428193901</v>
      </c>
    </row>
    <row r="154" spans="1:20" x14ac:dyDescent="0.25">
      <c r="A154" s="5">
        <v>44439</v>
      </c>
      <c r="B154">
        <v>1.1005</v>
      </c>
      <c r="C154">
        <v>1.2441</v>
      </c>
      <c r="D154">
        <v>1.0907</v>
      </c>
      <c r="E154">
        <v>1.1856</v>
      </c>
      <c r="F154">
        <v>709823003.29999995</v>
      </c>
      <c r="G154">
        <v>1.1856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0.23728813559322029</v>
      </c>
      <c r="Q154">
        <f t="shared" ref="Q154" si="746">F154*P154</f>
        <v>168432577.05423725</v>
      </c>
      <c r="R154">
        <f t="shared" ref="R154" si="747">R155+Q154</f>
        <v>27639263345.955093</v>
      </c>
      <c r="S154">
        <f t="shared" ref="S154" si="748">R154/100000</f>
        <v>276392.63345955091</v>
      </c>
      <c r="T154">
        <f t="shared" ref="T154" si="749">S154/1000</f>
        <v>276.39263345955089</v>
      </c>
    </row>
    <row r="155" spans="1:20" x14ac:dyDescent="0.25">
      <c r="A155" s="5">
        <v>44438</v>
      </c>
      <c r="B155">
        <v>1.1408</v>
      </c>
      <c r="C155">
        <v>1.1488</v>
      </c>
      <c r="D155">
        <v>1.0946</v>
      </c>
      <c r="E155">
        <v>1.1002000000000001</v>
      </c>
      <c r="F155">
        <v>364996870</v>
      </c>
      <c r="G155">
        <v>1.1002000000000001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-0.79335793357933404</v>
      </c>
      <c r="Q155">
        <f t="shared" ref="Q155" si="751">F155*P155</f>
        <v>-289573162.54612482</v>
      </c>
      <c r="R155">
        <f t="shared" ref="R155" si="752">R156+Q155</f>
        <v>27470830768.900856</v>
      </c>
      <c r="S155">
        <f t="shared" ref="S155" si="753">R155/100000</f>
        <v>274708.30768900854</v>
      </c>
      <c r="T155">
        <f t="shared" ref="T155" si="754">S155/1000</f>
        <v>274.70830768900856</v>
      </c>
    </row>
    <row r="156" spans="1:20" x14ac:dyDescent="0.25">
      <c r="A156" s="5">
        <v>44437</v>
      </c>
      <c r="B156">
        <v>1.1457999999999999</v>
      </c>
      <c r="C156">
        <v>1.1682999999999999</v>
      </c>
      <c r="D156">
        <v>1.1120000000000001</v>
      </c>
      <c r="E156">
        <v>1.1408</v>
      </c>
      <c r="F156">
        <v>313294895</v>
      </c>
      <c r="G156">
        <v>1.1408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2.3090586145649798E-2</v>
      </c>
      <c r="Q156">
        <f t="shared" ref="Q156" si="756">F156*P156</f>
        <v>7234162.7619898077</v>
      </c>
      <c r="R156">
        <f t="shared" ref="R156" si="757">R157+Q156</f>
        <v>27760403931.44698</v>
      </c>
      <c r="S156">
        <f t="shared" ref="S156" si="758">R156/100000</f>
        <v>277604.03931446979</v>
      </c>
      <c r="T156">
        <f t="shared" ref="T156" si="759">S156/1000</f>
        <v>277.60403931446979</v>
      </c>
    </row>
    <row r="157" spans="1:20" x14ac:dyDescent="0.25">
      <c r="A157" s="5">
        <v>44436</v>
      </c>
      <c r="B157">
        <v>1.1918</v>
      </c>
      <c r="C157">
        <v>1.198</v>
      </c>
      <c r="D157">
        <v>1.1329</v>
      </c>
      <c r="E157">
        <v>1.1458999999999999</v>
      </c>
      <c r="F157">
        <v>314618250.82999998</v>
      </c>
      <c r="G157">
        <v>1.1458999999999999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-0.6006144393241194</v>
      </c>
      <c r="Q157">
        <f t="shared" ref="Q157" si="761">F157*P157</f>
        <v>-188964264.32339561</v>
      </c>
      <c r="R157">
        <f t="shared" ref="R157" si="762">R158+Q157</f>
        <v>27753169768.68499</v>
      </c>
      <c r="S157">
        <f t="shared" ref="S157" si="763">R157/100000</f>
        <v>277531.69768684992</v>
      </c>
      <c r="T157">
        <f t="shared" ref="T157" si="764">S157/1000</f>
        <v>277.5316976868499</v>
      </c>
    </row>
    <row r="158" spans="1:20" x14ac:dyDescent="0.25">
      <c r="A158" s="5">
        <v>44435</v>
      </c>
      <c r="B158">
        <v>1.0712999999999999</v>
      </c>
      <c r="C158">
        <v>1.1926000000000001</v>
      </c>
      <c r="D158">
        <v>1.0501</v>
      </c>
      <c r="E158">
        <v>1.1918</v>
      </c>
      <c r="F158">
        <v>565739468.35000002</v>
      </c>
      <c r="G158">
        <v>1.1918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0.98877192982455953</v>
      </c>
      <c r="Q158">
        <f t="shared" ref="Q158" si="766">F158*P158</f>
        <v>559387305.89834988</v>
      </c>
      <c r="R158">
        <f t="shared" ref="R158" si="767">R159+Q158</f>
        <v>27942134033.008385</v>
      </c>
      <c r="S158">
        <f t="shared" ref="S158" si="768">R158/100000</f>
        <v>279421.34033008385</v>
      </c>
      <c r="T158">
        <f t="shared" ref="T158" si="769">S158/1000</f>
        <v>279.42134033008386</v>
      </c>
    </row>
    <row r="159" spans="1:20" x14ac:dyDescent="0.25">
      <c r="A159" s="5">
        <v>44434</v>
      </c>
      <c r="B159">
        <v>1.1735</v>
      </c>
      <c r="C159">
        <v>1.1866000000000001</v>
      </c>
      <c r="D159">
        <v>1.0636000000000001</v>
      </c>
      <c r="E159">
        <v>1.0711999999999999</v>
      </c>
      <c r="F159">
        <v>569965192.91999996</v>
      </c>
      <c r="G159">
        <v>1.0711999999999999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-0.87642276422764509</v>
      </c>
      <c r="Q159">
        <f t="shared" ref="Q159" si="771">F159*P159</f>
        <v>-499530469.89248937</v>
      </c>
      <c r="R159">
        <f t="shared" ref="R159" si="772">R160+Q159</f>
        <v>27382746727.110035</v>
      </c>
      <c r="S159">
        <f t="shared" ref="S159" si="773">R159/100000</f>
        <v>273827.46727110032</v>
      </c>
      <c r="T159">
        <f t="shared" ref="T159" si="774">S159/1000</f>
        <v>273.82746727110032</v>
      </c>
    </row>
    <row r="160" spans="1:20" x14ac:dyDescent="0.25">
      <c r="A160" s="5">
        <v>44433</v>
      </c>
      <c r="B160">
        <v>1.1353</v>
      </c>
      <c r="C160">
        <v>1.1778999999999999</v>
      </c>
      <c r="D160">
        <v>1.1073</v>
      </c>
      <c r="E160">
        <v>1.1735</v>
      </c>
      <c r="F160">
        <v>530858362.99000001</v>
      </c>
      <c r="G160">
        <v>1.1735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0.87535410764872634</v>
      </c>
      <c r="Q160">
        <f t="shared" ref="Q160" si="776">F160*P160</f>
        <v>464689048.62297511</v>
      </c>
      <c r="R160">
        <f t="shared" ref="R160" si="777">R161+Q160</f>
        <v>27882277197.002525</v>
      </c>
      <c r="S160">
        <f t="shared" ref="S160" si="778">R160/100000</f>
        <v>278822.77197002526</v>
      </c>
      <c r="T160">
        <f t="shared" ref="T160" si="779">S160/1000</f>
        <v>278.82277197002526</v>
      </c>
    </row>
    <row r="161" spans="1:20" x14ac:dyDescent="0.25">
      <c r="A161" s="5">
        <v>44432</v>
      </c>
      <c r="B161">
        <v>1.2456</v>
      </c>
      <c r="C161">
        <v>1.2658</v>
      </c>
      <c r="D161">
        <v>1.1212</v>
      </c>
      <c r="E161">
        <v>1.1353</v>
      </c>
      <c r="F161">
        <v>637760055.92999995</v>
      </c>
      <c r="G161">
        <v>1.1353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-0.80497925311203322</v>
      </c>
      <c r="Q161">
        <f t="shared" ref="Q161" si="781">F161*P161</f>
        <v>-513383613.48721987</v>
      </c>
      <c r="R161">
        <f t="shared" ref="R161" si="782">R162+Q161</f>
        <v>27417588148.379551</v>
      </c>
      <c r="S161">
        <f t="shared" ref="S161" si="783">R161/100000</f>
        <v>274175.88148379553</v>
      </c>
      <c r="T161">
        <f t="shared" ref="T161" si="784">S161/1000</f>
        <v>274.17588148379554</v>
      </c>
    </row>
    <row r="162" spans="1:20" x14ac:dyDescent="0.25">
      <c r="A162" s="5">
        <v>44431</v>
      </c>
      <c r="B162">
        <v>1.2258</v>
      </c>
      <c r="C162">
        <v>1.3046</v>
      </c>
      <c r="D162">
        <v>1.2023999999999999</v>
      </c>
      <c r="E162">
        <v>1.2457</v>
      </c>
      <c r="F162">
        <v>661403795.74000001</v>
      </c>
      <c r="G162">
        <v>1.2457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-0.15264187866927423</v>
      </c>
      <c r="Q162">
        <f t="shared" ref="Q162" si="786">F162*P162</f>
        <v>-100957917.94074252</v>
      </c>
      <c r="R162">
        <f t="shared" ref="R162" si="787">R163+Q162</f>
        <v>27930971761.866772</v>
      </c>
      <c r="S162">
        <f t="shared" ref="S162" si="788">R162/100000</f>
        <v>279309.7176186677</v>
      </c>
      <c r="T162">
        <f t="shared" ref="T162" si="789">S162/1000</f>
        <v>279.30971761866772</v>
      </c>
    </row>
    <row r="163" spans="1:20" x14ac:dyDescent="0.25">
      <c r="A163" s="5">
        <v>44430</v>
      </c>
      <c r="B163">
        <v>1.2158</v>
      </c>
      <c r="C163">
        <v>1.242</v>
      </c>
      <c r="D163">
        <v>1.2138</v>
      </c>
      <c r="E163">
        <v>1.2388999999999999</v>
      </c>
      <c r="F163">
        <v>61492171.729999997</v>
      </c>
      <c r="G163">
        <v>1.2388999999999999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0.78014184397162389</v>
      </c>
      <c r="Q163">
        <f t="shared" ref="Q163" si="791">F163*P163</f>
        <v>47972616.243261956</v>
      </c>
      <c r="R163">
        <f t="shared" ref="R163" si="792">R164+Q163</f>
        <v>28031929679.807514</v>
      </c>
      <c r="S163">
        <f t="shared" ref="S163" si="793">R163/100000</f>
        <v>280319.29679807514</v>
      </c>
      <c r="T163">
        <f t="shared" ref="T163" si="794">S163/1000</f>
        <v>280.31929679807513</v>
      </c>
    </row>
    <row r="164" spans="1:20" x14ac:dyDescent="0.25">
      <c r="A164" s="5">
        <v>44429</v>
      </c>
      <c r="B164">
        <v>1.2628999999999999</v>
      </c>
      <c r="C164">
        <v>1.2835000000000001</v>
      </c>
      <c r="D164">
        <v>1.2</v>
      </c>
      <c r="E164">
        <v>1.2158</v>
      </c>
      <c r="F164">
        <v>394160040.57999998</v>
      </c>
      <c r="G164">
        <v>1.2158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-0.62155688622754468</v>
      </c>
      <c r="Q164">
        <f t="shared" ref="Q164" si="796">F164*P164</f>
        <v>-244992887.49822745</v>
      </c>
      <c r="R164">
        <f t="shared" ref="R164" si="797">R165+Q164</f>
        <v>27983957063.564251</v>
      </c>
      <c r="S164">
        <f t="shared" ref="S164" si="798">R164/100000</f>
        <v>279839.57063564251</v>
      </c>
      <c r="T164">
        <f t="shared" ref="T164" si="799">S164/1000</f>
        <v>279.83957063564253</v>
      </c>
    </row>
    <row r="165" spans="1:20" x14ac:dyDescent="0.25">
      <c r="A165" s="5">
        <v>44428</v>
      </c>
      <c r="B165">
        <v>1.2346999999999999</v>
      </c>
      <c r="C165">
        <v>1.2897000000000001</v>
      </c>
      <c r="D165">
        <v>1.1992</v>
      </c>
      <c r="E165">
        <v>1.2628999999999999</v>
      </c>
      <c r="F165">
        <v>594584554.00999999</v>
      </c>
      <c r="G165">
        <v>1.2628999999999999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0.40773480662983097</v>
      </c>
      <c r="Q165">
        <f t="shared" ref="Q165" si="801">F165*P165</f>
        <v>242432818.15435162</v>
      </c>
      <c r="R165">
        <f t="shared" ref="R165" si="802">R166+Q165</f>
        <v>28228949951.062477</v>
      </c>
      <c r="S165">
        <f t="shared" ref="S165" si="803">R165/100000</f>
        <v>282289.4995106248</v>
      </c>
      <c r="T165">
        <f t="shared" ref="T165" si="804">S165/1000</f>
        <v>282.28949951062481</v>
      </c>
    </row>
    <row r="166" spans="1:20" x14ac:dyDescent="0.25">
      <c r="A166" s="5">
        <v>44427</v>
      </c>
      <c r="B166">
        <v>1.143</v>
      </c>
      <c r="C166">
        <v>1.2355</v>
      </c>
      <c r="D166">
        <v>1.0894999999999999</v>
      </c>
      <c r="E166">
        <v>1.2346999999999999</v>
      </c>
      <c r="F166">
        <v>723276976.28999996</v>
      </c>
      <c r="G166">
        <v>1.2346999999999999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0.98904109589040912</v>
      </c>
      <c r="Q166">
        <f t="shared" ref="Q166" si="806">F166*P166</f>
        <v>715350653.26216304</v>
      </c>
      <c r="R166">
        <f t="shared" ref="R166" si="807">R167+Q166</f>
        <v>27986517132.908127</v>
      </c>
      <c r="S166">
        <f t="shared" ref="S166" si="808">R166/100000</f>
        <v>279865.17132908129</v>
      </c>
      <c r="T166">
        <f t="shared" ref="T166" si="809">S166/1000</f>
        <v>279.86517132908131</v>
      </c>
    </row>
    <row r="167" spans="1:20" x14ac:dyDescent="0.25">
      <c r="A167" s="5">
        <v>44426</v>
      </c>
      <c r="B167">
        <v>1.0980000000000001</v>
      </c>
      <c r="C167">
        <v>1.1962999999999999</v>
      </c>
      <c r="D167">
        <v>1.0501</v>
      </c>
      <c r="E167">
        <v>1.1431</v>
      </c>
      <c r="F167">
        <v>870414538.25999999</v>
      </c>
      <c r="G167">
        <v>1.1431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0.27222982216142333</v>
      </c>
      <c r="Q167">
        <f t="shared" ref="Q167" si="811">F167*P167</f>
        <v>236952794.95723721</v>
      </c>
      <c r="R167">
        <f t="shared" ref="R167" si="812">R168+Q167</f>
        <v>27271166479.645966</v>
      </c>
      <c r="S167">
        <f t="shared" ref="S167" si="813">R167/100000</f>
        <v>272711.66479645966</v>
      </c>
      <c r="T167">
        <f t="shared" ref="T167" si="814">S167/1000</f>
        <v>272.71166479645967</v>
      </c>
    </row>
    <row r="168" spans="1:20" x14ac:dyDescent="0.25">
      <c r="A168" s="5">
        <v>44425</v>
      </c>
      <c r="B168">
        <v>1.1855</v>
      </c>
      <c r="C168">
        <v>1.2479</v>
      </c>
      <c r="D168">
        <v>1.085</v>
      </c>
      <c r="E168">
        <v>1.0978000000000001</v>
      </c>
      <c r="F168">
        <v>893360572.36000001</v>
      </c>
      <c r="G168">
        <v>1.0978000000000001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-0.84284837323511186</v>
      </c>
      <c r="Q168">
        <f t="shared" ref="Q168" si="816">F168*P168</f>
        <v>-752967505.12601447</v>
      </c>
      <c r="R168">
        <f t="shared" ref="R168" si="817">R169+Q168</f>
        <v>27034213684.688728</v>
      </c>
      <c r="S168">
        <f t="shared" ref="S168" si="818">R168/100000</f>
        <v>270342.1368468873</v>
      </c>
      <c r="T168">
        <f t="shared" ref="T168" si="819">S168/1000</f>
        <v>270.34213684688729</v>
      </c>
    </row>
    <row r="169" spans="1:20" x14ac:dyDescent="0.25">
      <c r="A169" s="5">
        <v>44424</v>
      </c>
      <c r="B169">
        <v>1.2838000000000001</v>
      </c>
      <c r="C169">
        <v>1.3288</v>
      </c>
      <c r="D169">
        <v>1.1432</v>
      </c>
      <c r="E169">
        <v>1.1855</v>
      </c>
      <c r="F169">
        <v>912003805.45000005</v>
      </c>
      <c r="G169">
        <v>1.1855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-0.54418103448275856</v>
      </c>
      <c r="Q169">
        <f t="shared" ref="Q169" si="821">F169*P169</f>
        <v>-496295174.30199349</v>
      </c>
      <c r="R169">
        <f t="shared" ref="R169" si="822">R170+Q169</f>
        <v>27787181189.814743</v>
      </c>
      <c r="S169">
        <f t="shared" ref="S169" si="823">R169/100000</f>
        <v>277871.81189814745</v>
      </c>
      <c r="T169">
        <f t="shared" ref="T169" si="824">S169/1000</f>
        <v>277.87181189814743</v>
      </c>
    </row>
    <row r="170" spans="1:20" x14ac:dyDescent="0.25">
      <c r="A170" s="5">
        <v>44423</v>
      </c>
      <c r="B170">
        <v>1.2787999999999999</v>
      </c>
      <c r="C170">
        <v>1.35</v>
      </c>
      <c r="D170">
        <v>1.2252000000000001</v>
      </c>
      <c r="E170">
        <v>1.2839</v>
      </c>
      <c r="F170">
        <v>1155282513.71</v>
      </c>
      <c r="G170">
        <v>1.2839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-5.9294871794872368E-2</v>
      </c>
      <c r="Q170">
        <f t="shared" ref="Q170" si="826">F170*P170</f>
        <v>-68502328.537292331</v>
      </c>
      <c r="R170">
        <f t="shared" ref="R170" si="827">R171+Q170</f>
        <v>28283476364.116737</v>
      </c>
      <c r="S170">
        <f t="shared" ref="S170" si="828">R170/100000</f>
        <v>282834.76364116737</v>
      </c>
      <c r="T170">
        <f t="shared" ref="T170" si="829">S170/1000</f>
        <v>282.8347636411674</v>
      </c>
    </row>
    <row r="171" spans="1:20" x14ac:dyDescent="0.25">
      <c r="A171" s="5">
        <v>44422</v>
      </c>
      <c r="B171">
        <v>1.0901000000000001</v>
      </c>
      <c r="C171">
        <v>1.31</v>
      </c>
      <c r="D171">
        <v>1.0690999999999999</v>
      </c>
      <c r="E171">
        <v>1.2790999999999999</v>
      </c>
      <c r="F171">
        <v>1408060485.3199999</v>
      </c>
      <c r="G171">
        <v>1.2790999999999999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0.74346201743461904</v>
      </c>
      <c r="Q171">
        <f t="shared" ref="Q171" si="831">F171*P171</f>
        <v>1046839489.0859759</v>
      </c>
      <c r="R171">
        <f t="shared" ref="R171" si="832">R172+Q171</f>
        <v>28351978692.65403</v>
      </c>
      <c r="S171">
        <f t="shared" ref="S171" si="833">R171/100000</f>
        <v>283519.78692654031</v>
      </c>
      <c r="T171">
        <f t="shared" ref="T171" si="834">S171/1000</f>
        <v>283.51978692654029</v>
      </c>
    </row>
    <row r="172" spans="1:20" x14ac:dyDescent="0.25">
      <c r="A172" s="5">
        <v>44421</v>
      </c>
      <c r="B172">
        <v>0.96609999999999996</v>
      </c>
      <c r="C172">
        <v>1.0968</v>
      </c>
      <c r="D172">
        <v>0.95009999999999994</v>
      </c>
      <c r="E172">
        <v>1.0901000000000001</v>
      </c>
      <c r="F172">
        <v>674407528.30999994</v>
      </c>
      <c r="G172">
        <v>1.0901000000000001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0.90865712338105076</v>
      </c>
      <c r="Q172">
        <f t="shared" ref="Q172" si="836">F172*P172</f>
        <v>612805204.66068912</v>
      </c>
      <c r="R172">
        <f t="shared" ref="R172" si="837">R173+Q172</f>
        <v>27305139203.568054</v>
      </c>
      <c r="S172">
        <f t="shared" ref="S172" si="838">R172/100000</f>
        <v>273051.39203568053</v>
      </c>
      <c r="T172">
        <f t="shared" ref="T172" si="839">S172/1000</f>
        <v>273.05139203568052</v>
      </c>
    </row>
    <row r="173" spans="1:20" x14ac:dyDescent="0.25">
      <c r="A173" s="5">
        <v>44420</v>
      </c>
      <c r="B173">
        <v>1.0105999999999999</v>
      </c>
      <c r="C173">
        <v>1.0449999999999999</v>
      </c>
      <c r="D173">
        <v>0.92220000000000002</v>
      </c>
      <c r="E173">
        <v>0.96599999999999997</v>
      </c>
      <c r="F173">
        <v>990869466.08000004</v>
      </c>
      <c r="G173">
        <v>0.96599999999999997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-0.28664495114006544</v>
      </c>
      <c r="Q173">
        <f t="shared" ref="Q173" si="841">F173*P173</f>
        <v>-284027729.69068432</v>
      </c>
      <c r="R173">
        <f t="shared" ref="R173" si="842">R174+Q173</f>
        <v>26692333998.907364</v>
      </c>
      <c r="S173">
        <f t="shared" ref="S173" si="843">R173/100000</f>
        <v>266923.33998907363</v>
      </c>
      <c r="T173">
        <f t="shared" ref="T173" si="844">S173/1000</f>
        <v>266.92333998907361</v>
      </c>
    </row>
    <row r="174" spans="1:20" x14ac:dyDescent="0.25">
      <c r="A174" s="5">
        <v>44419</v>
      </c>
      <c r="B174">
        <v>0.85109999999999997</v>
      </c>
      <c r="C174">
        <v>1.0906</v>
      </c>
      <c r="D174">
        <v>0.84799999999999998</v>
      </c>
      <c r="E174">
        <v>1.0105</v>
      </c>
      <c r="F174">
        <v>1131344973.99</v>
      </c>
      <c r="G174">
        <v>1.0105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0.33965375103050249</v>
      </c>
      <c r="Q174">
        <f t="shared" ref="Q174" si="846">F174*P174</f>
        <v>384265564.12520981</v>
      </c>
      <c r="R174">
        <f t="shared" ref="R174" si="847">R175+Q174</f>
        <v>26976361728.598049</v>
      </c>
      <c r="S174">
        <f t="shared" ref="S174" si="848">R174/100000</f>
        <v>269763.61728598049</v>
      </c>
      <c r="T174">
        <f t="shared" ref="T174" si="849">S174/1000</f>
        <v>269.7636172859805</v>
      </c>
    </row>
    <row r="175" spans="1:20" x14ac:dyDescent="0.25">
      <c r="A175" s="5">
        <v>44418</v>
      </c>
      <c r="B175">
        <v>0.81689999999999996</v>
      </c>
      <c r="C175">
        <v>0.86219999999999997</v>
      </c>
      <c r="D175">
        <v>0.8</v>
      </c>
      <c r="E175">
        <v>0.85109999999999997</v>
      </c>
      <c r="F175">
        <v>503252613.20999998</v>
      </c>
      <c r="G175">
        <v>0.85109999999999997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0.6430868167202568</v>
      </c>
      <c r="Q175">
        <f t="shared" ref="Q175" si="851">F175*P175</f>
        <v>323635121.03536952</v>
      </c>
      <c r="R175">
        <f t="shared" ref="R175" si="852">R176+Q175</f>
        <v>26592096164.472839</v>
      </c>
      <c r="S175">
        <f t="shared" ref="S175" si="853">R175/100000</f>
        <v>265920.96164472838</v>
      </c>
      <c r="T175">
        <f t="shared" ref="T175" si="854">S175/1000</f>
        <v>265.92096164472838</v>
      </c>
    </row>
    <row r="176" spans="1:20" x14ac:dyDescent="0.25">
      <c r="A176" s="5">
        <v>44417</v>
      </c>
      <c r="B176">
        <v>0.77880000000000005</v>
      </c>
      <c r="C176">
        <v>0.82789999999999997</v>
      </c>
      <c r="D176">
        <v>0.75960000000000005</v>
      </c>
      <c r="E176">
        <v>0.81699999999999995</v>
      </c>
      <c r="F176">
        <v>474908832.07999998</v>
      </c>
      <c r="G176">
        <v>0.81699999999999995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0.68081991215226845</v>
      </c>
      <c r="Q176">
        <f t="shared" ref="Q176" si="856">F176*P176</f>
        <v>323327389.33704197</v>
      </c>
      <c r="R176">
        <f t="shared" ref="R176" si="857">R177+Q176</f>
        <v>26268461043.437469</v>
      </c>
      <c r="S176">
        <f t="shared" ref="S176" si="858">R176/100000</f>
        <v>262684.61043437471</v>
      </c>
      <c r="T176">
        <f t="shared" ref="T176" si="859">S176/1000</f>
        <v>262.68461043437469</v>
      </c>
    </row>
    <row r="177" spans="1:20" x14ac:dyDescent="0.25">
      <c r="A177" s="5">
        <v>44416</v>
      </c>
      <c r="B177">
        <v>0.81630000000000003</v>
      </c>
      <c r="C177">
        <v>0.84130000000000005</v>
      </c>
      <c r="D177">
        <v>0.77170000000000005</v>
      </c>
      <c r="E177">
        <v>0.77880000000000005</v>
      </c>
      <c r="F177">
        <v>556138875.76999998</v>
      </c>
      <c r="G177">
        <v>0.77880000000000005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-0.79597701149425304</v>
      </c>
      <c r="Q177">
        <f t="shared" ref="Q177" si="861">F177*P177</f>
        <v>-442673760.31117827</v>
      </c>
      <c r="R177">
        <f t="shared" ref="R177" si="862">R178+Q177</f>
        <v>25945133654.100426</v>
      </c>
      <c r="S177">
        <f t="shared" ref="S177" si="863">R177/100000</f>
        <v>259451.33654100425</v>
      </c>
      <c r="T177">
        <f t="shared" ref="T177" si="864">S177/1000</f>
        <v>259.45133654100425</v>
      </c>
    </row>
    <row r="178" spans="1:20" x14ac:dyDescent="0.25">
      <c r="A178" s="5">
        <v>44415</v>
      </c>
      <c r="B178">
        <v>0.74739999999999995</v>
      </c>
      <c r="C178">
        <v>0.81889999999999996</v>
      </c>
      <c r="D178">
        <v>0.74109999999999998</v>
      </c>
      <c r="E178">
        <v>0.81620000000000004</v>
      </c>
      <c r="F178">
        <v>589624594.72000003</v>
      </c>
      <c r="G178">
        <v>0.81620000000000004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0.9305912596401047</v>
      </c>
      <c r="Q178">
        <f t="shared" ref="Q178" si="866">F178*P178</f>
        <v>548699494.31527102</v>
      </c>
      <c r="R178">
        <f t="shared" ref="R178" si="867">R179+Q178</f>
        <v>26387807414.411606</v>
      </c>
      <c r="S178">
        <f t="shared" ref="S178" si="868">R178/100000</f>
        <v>263878.07414411608</v>
      </c>
      <c r="T178">
        <f t="shared" ref="T178" si="869">S178/1000</f>
        <v>263.87807414411606</v>
      </c>
    </row>
    <row r="179" spans="1:20" x14ac:dyDescent="0.25">
      <c r="A179" s="5">
        <v>44414</v>
      </c>
      <c r="B179">
        <v>0.73270000000000002</v>
      </c>
      <c r="C179">
        <v>0.753</v>
      </c>
      <c r="D179">
        <v>0.72189999999999999</v>
      </c>
      <c r="E179">
        <v>0.74739999999999995</v>
      </c>
      <c r="F179">
        <v>304988991.92000002</v>
      </c>
      <c r="G179">
        <v>0.74739999999999995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0.639871382636653</v>
      </c>
      <c r="Q179">
        <f t="shared" ref="Q179" si="871">F179*P179</f>
        <v>195153727.94880939</v>
      </c>
      <c r="R179">
        <f t="shared" ref="R179" si="872">R180+Q179</f>
        <v>25839107920.096336</v>
      </c>
      <c r="S179">
        <f t="shared" ref="S179" si="873">R179/100000</f>
        <v>258391.07920096337</v>
      </c>
      <c r="T179">
        <f t="shared" ref="T179" si="874">S179/1000</f>
        <v>258.39107920096336</v>
      </c>
    </row>
    <row r="180" spans="1:20" x14ac:dyDescent="0.25">
      <c r="A180" s="5">
        <v>44413</v>
      </c>
      <c r="B180">
        <v>0.73099999999999998</v>
      </c>
      <c r="C180">
        <v>0.7389</v>
      </c>
      <c r="D180">
        <v>0.70099999999999996</v>
      </c>
      <c r="E180">
        <v>0.73270000000000002</v>
      </c>
      <c r="F180">
        <v>331894003.58999997</v>
      </c>
      <c r="G180">
        <v>0.73270000000000002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0.67282321899736275</v>
      </c>
      <c r="Q180">
        <f t="shared" ref="Q180" si="876">F180*P180</f>
        <v>223305991.86134604</v>
      </c>
      <c r="R180">
        <f t="shared" ref="R180" si="877">R181+Q180</f>
        <v>25643954192.147526</v>
      </c>
      <c r="S180">
        <f t="shared" ref="S180" si="878">R180/100000</f>
        <v>256439.54192147526</v>
      </c>
      <c r="T180">
        <f t="shared" ref="T180" si="879">S180/1000</f>
        <v>256.43954192147527</v>
      </c>
    </row>
    <row r="181" spans="1:20" x14ac:dyDescent="0.25">
      <c r="A181" s="5">
        <v>44412</v>
      </c>
      <c r="B181">
        <v>0.71360000000000001</v>
      </c>
      <c r="C181">
        <v>0.73980000000000001</v>
      </c>
      <c r="D181">
        <v>0.69520000000000004</v>
      </c>
      <c r="E181">
        <v>0.73099999999999998</v>
      </c>
      <c r="F181">
        <v>330543019.02999997</v>
      </c>
      <c r="G181">
        <v>0.73099999999999998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0.60538116591928093</v>
      </c>
      <c r="Q181">
        <f t="shared" ref="Q181" si="881">F181*P181</f>
        <v>200104518.24686044</v>
      </c>
      <c r="R181">
        <f t="shared" ref="R181" si="882">R182+Q181</f>
        <v>25420648200.286179</v>
      </c>
      <c r="S181">
        <f t="shared" ref="S181" si="883">R181/100000</f>
        <v>254206.4820028618</v>
      </c>
      <c r="T181">
        <f t="shared" ref="T181" si="884">S181/1000</f>
        <v>254.2064820028618</v>
      </c>
    </row>
    <row r="182" spans="1:20" x14ac:dyDescent="0.25">
      <c r="A182" s="5">
        <v>44411</v>
      </c>
      <c r="B182">
        <v>0.73799999999999999</v>
      </c>
      <c r="C182">
        <v>0.745</v>
      </c>
      <c r="D182">
        <v>0.70079999999999998</v>
      </c>
      <c r="E182">
        <v>0.71360000000000001</v>
      </c>
      <c r="F182">
        <v>398158150.61000001</v>
      </c>
      <c r="G182">
        <v>0.71360000000000001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-0.42081447963800778</v>
      </c>
      <c r="Q182">
        <f t="shared" ref="Q182" si="886">F182*P182</f>
        <v>-167550714.96257868</v>
      </c>
      <c r="R182">
        <f t="shared" ref="R182" si="887">R183+Q182</f>
        <v>25220543682.039318</v>
      </c>
      <c r="S182">
        <f t="shared" ref="S182" si="888">R182/100000</f>
        <v>252205.4368203932</v>
      </c>
      <c r="T182">
        <f t="shared" ref="T182" si="889">S182/1000</f>
        <v>252.2054368203932</v>
      </c>
    </row>
    <row r="183" spans="1:20" x14ac:dyDescent="0.25">
      <c r="A183" s="5">
        <v>44410</v>
      </c>
      <c r="B183">
        <v>0.72419999999999995</v>
      </c>
      <c r="C183">
        <v>0.77400000000000002</v>
      </c>
      <c r="D183">
        <v>0.71499999999999997</v>
      </c>
      <c r="E183">
        <v>0.73799999999999999</v>
      </c>
      <c r="F183">
        <v>410656081.94</v>
      </c>
      <c r="G183">
        <v>0.73799999999999999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-0.22033898305084745</v>
      </c>
      <c r="Q183">
        <f t="shared" ref="Q183" si="891">F183*P183</f>
        <v>-90483543.478305086</v>
      </c>
      <c r="R183">
        <f t="shared" ref="R183" si="892">R184+Q183</f>
        <v>25388094397.001896</v>
      </c>
      <c r="S183">
        <f t="shared" ref="S183" si="893">R183/100000</f>
        <v>253880.94397001897</v>
      </c>
      <c r="T183">
        <f t="shared" ref="T183" si="894">S183/1000</f>
        <v>253.88094397001896</v>
      </c>
    </row>
    <row r="184" spans="1:20" x14ac:dyDescent="0.25">
      <c r="A184" s="5">
        <v>44409</v>
      </c>
      <c r="B184">
        <v>0.74609999999999999</v>
      </c>
      <c r="C184">
        <v>0.77780000000000005</v>
      </c>
      <c r="D184">
        <v>0.70420000000000005</v>
      </c>
      <c r="E184">
        <v>0.72419999999999995</v>
      </c>
      <c r="F184">
        <v>469477766.36000001</v>
      </c>
      <c r="G184">
        <v>0.72419999999999995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-0.45652173913043731</v>
      </c>
      <c r="Q184">
        <f t="shared" ref="Q184" si="896">F184*P184</f>
        <v>-214326806.38174033</v>
      </c>
      <c r="R184">
        <f t="shared" ref="R184" si="897">R185+Q184</f>
        <v>25478577940.480202</v>
      </c>
      <c r="S184">
        <f t="shared" ref="S184" si="898">R184/100000</f>
        <v>254785.77940480202</v>
      </c>
      <c r="T184">
        <f t="shared" ref="T184" si="899">S184/1000</f>
        <v>254.78577940480201</v>
      </c>
    </row>
    <row r="185" spans="1:20" x14ac:dyDescent="0.25">
      <c r="A185" s="5">
        <v>44408</v>
      </c>
      <c r="B185">
        <v>0.75219999999999998</v>
      </c>
      <c r="C185">
        <v>0.7591</v>
      </c>
      <c r="D185">
        <v>0.73670000000000002</v>
      </c>
      <c r="E185">
        <v>0.746</v>
      </c>
      <c r="F185">
        <v>377281828.25</v>
      </c>
      <c r="G185">
        <v>0.746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-0.16964285714285848</v>
      </c>
      <c r="Q185">
        <f t="shared" ref="Q185" si="901">F185*P185</f>
        <v>-64003167.292411223</v>
      </c>
      <c r="R185">
        <f t="shared" ref="R185" si="902">R186+Q185</f>
        <v>25692904746.861942</v>
      </c>
      <c r="S185">
        <f t="shared" ref="S185" si="903">R185/100000</f>
        <v>256929.04746861942</v>
      </c>
      <c r="T185">
        <f t="shared" ref="T185" si="904">S185/1000</f>
        <v>256.92904746861944</v>
      </c>
    </row>
    <row r="186" spans="1:20" x14ac:dyDescent="0.25">
      <c r="A186" s="5">
        <v>44407</v>
      </c>
      <c r="B186">
        <v>0.74880000000000002</v>
      </c>
      <c r="C186">
        <v>0.76970000000000005</v>
      </c>
      <c r="D186">
        <v>0.71150000000000002</v>
      </c>
      <c r="E186">
        <v>0.75209999999999999</v>
      </c>
      <c r="F186">
        <v>604445794.89999998</v>
      </c>
      <c r="G186">
        <v>0.75209999999999999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0.39518900343642438</v>
      </c>
      <c r="Q186">
        <f t="shared" ref="Q186" si="906">F186*P186</f>
        <v>238870331.31786835</v>
      </c>
      <c r="R186">
        <f t="shared" ref="R186" si="907">R187+Q186</f>
        <v>25756907914.154354</v>
      </c>
      <c r="S186">
        <f t="shared" ref="S186" si="908">R186/100000</f>
        <v>257569.07914154354</v>
      </c>
      <c r="T186">
        <f t="shared" ref="T186" si="909">S186/1000</f>
        <v>257.56907914154351</v>
      </c>
    </row>
    <row r="187" spans="1:20" x14ac:dyDescent="0.25">
      <c r="A187" s="5">
        <v>44406</v>
      </c>
      <c r="B187">
        <v>0.73270000000000002</v>
      </c>
      <c r="C187">
        <v>0.76649999999999996</v>
      </c>
      <c r="D187">
        <v>0.69699999999999995</v>
      </c>
      <c r="E187">
        <v>0.74880000000000002</v>
      </c>
      <c r="F187">
        <v>513356476.87</v>
      </c>
      <c r="G187">
        <v>0.74880000000000002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0.49064748201439035</v>
      </c>
      <c r="Q187">
        <f t="shared" ref="Q187" si="911">F187*P187</f>
        <v>251877062.75204411</v>
      </c>
      <c r="R187">
        <f t="shared" ref="R187" si="912">R188+Q187</f>
        <v>25518037582.836487</v>
      </c>
      <c r="S187">
        <f t="shared" ref="S187" si="913">R187/100000</f>
        <v>255180.37582836486</v>
      </c>
      <c r="T187">
        <f t="shared" ref="T187" si="914">S187/1000</f>
        <v>255.18037582836487</v>
      </c>
    </row>
    <row r="188" spans="1:20" x14ac:dyDescent="0.25">
      <c r="A188" s="5">
        <v>44405</v>
      </c>
      <c r="B188">
        <v>0.64500000000000002</v>
      </c>
      <c r="C188">
        <v>0.75490000000000002</v>
      </c>
      <c r="D188">
        <v>0.63080000000000003</v>
      </c>
      <c r="E188">
        <v>0.73270000000000002</v>
      </c>
      <c r="F188">
        <v>1172622702.04</v>
      </c>
      <c r="G188">
        <v>0.73270000000000002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0.64222401289282838</v>
      </c>
      <c r="Q188">
        <f t="shared" ref="Q188" si="916">F188*P188</f>
        <v>753086457.31336021</v>
      </c>
      <c r="R188">
        <f t="shared" ref="R188" si="917">R189+Q188</f>
        <v>25266160520.084442</v>
      </c>
      <c r="S188">
        <f t="shared" ref="S188" si="918">R188/100000</f>
        <v>252661.60520084441</v>
      </c>
      <c r="T188">
        <f t="shared" ref="T188" si="919">S188/1000</f>
        <v>252.66160520084441</v>
      </c>
    </row>
    <row r="189" spans="1:20" x14ac:dyDescent="0.25">
      <c r="A189" s="5">
        <v>44404</v>
      </c>
      <c r="B189">
        <v>0.62339999999999995</v>
      </c>
      <c r="C189">
        <v>0.65280000000000005</v>
      </c>
      <c r="D189">
        <v>0.61209999999999998</v>
      </c>
      <c r="E189">
        <v>0.64510000000000001</v>
      </c>
      <c r="F189">
        <v>427078091.94999999</v>
      </c>
      <c r="G189">
        <v>0.64510000000000001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0.62162162162162027</v>
      </c>
      <c r="Q189">
        <f t="shared" ref="Q189" si="921">F189*P189</f>
        <v>265480976.07702643</v>
      </c>
      <c r="R189">
        <f t="shared" ref="R189" si="922">R190+Q189</f>
        <v>24513074062.771084</v>
      </c>
      <c r="S189">
        <f t="shared" ref="S189" si="923">R189/100000</f>
        <v>245130.74062771082</v>
      </c>
      <c r="T189">
        <f t="shared" ref="T189" si="924">S189/1000</f>
        <v>245.13074062771082</v>
      </c>
    </row>
    <row r="190" spans="1:20" x14ac:dyDescent="0.25">
      <c r="A190" s="5">
        <v>44403</v>
      </c>
      <c r="B190">
        <v>0.6069</v>
      </c>
      <c r="C190">
        <v>0.67930000000000001</v>
      </c>
      <c r="D190">
        <v>0.6048</v>
      </c>
      <c r="E190">
        <v>0.62339999999999995</v>
      </c>
      <c r="F190">
        <v>803413949.17999995</v>
      </c>
      <c r="G190">
        <v>0.62339999999999995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-0.50067114093959875</v>
      </c>
      <c r="Q190">
        <f t="shared" ref="Q190" si="926">F190*P190</f>
        <v>-402246178.58273935</v>
      </c>
      <c r="R190">
        <f t="shared" ref="R190" si="927">R191+Q190</f>
        <v>24247593086.694057</v>
      </c>
      <c r="S190">
        <f t="shared" ref="S190" si="928">R190/100000</f>
        <v>242475.93086694059</v>
      </c>
      <c r="T190">
        <f t="shared" ref="T190" si="929">S190/1000</f>
        <v>242.47593086694059</v>
      </c>
    </row>
    <row r="191" spans="1:20" x14ac:dyDescent="0.25">
      <c r="A191" s="5">
        <v>44402</v>
      </c>
      <c r="B191">
        <v>0.60850000000000004</v>
      </c>
      <c r="C191">
        <v>0.61180000000000001</v>
      </c>
      <c r="D191">
        <v>0.59060000000000001</v>
      </c>
      <c r="E191">
        <v>0.6069</v>
      </c>
      <c r="F191">
        <v>259034501.15000001</v>
      </c>
      <c r="G191">
        <v>0.6069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0.53773584905660221</v>
      </c>
      <c r="Q191">
        <f t="shared" ref="Q191" si="931">F191*P191</f>
        <v>139292137.41084865</v>
      </c>
      <c r="R191">
        <f t="shared" ref="R191" si="932">R192+Q191</f>
        <v>24649839265.276798</v>
      </c>
      <c r="S191">
        <f t="shared" ref="S191" si="933">R191/100000</f>
        <v>246498.39265276797</v>
      </c>
      <c r="T191">
        <f t="shared" ref="T191:T197" si="934">S191/1000</f>
        <v>246.49839265276796</v>
      </c>
    </row>
    <row r="192" spans="1:20" x14ac:dyDescent="0.25">
      <c r="A192" s="5">
        <v>44401</v>
      </c>
      <c r="B192">
        <v>0.60919999999999996</v>
      </c>
      <c r="C192">
        <v>0.62050000000000005</v>
      </c>
      <c r="D192">
        <v>0.59960000000000002</v>
      </c>
      <c r="E192">
        <v>0.60850000000000004</v>
      </c>
      <c r="F192">
        <v>319684922.30000001</v>
      </c>
      <c r="G192">
        <v>0.60850000000000004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-0.14832535885167403</v>
      </c>
      <c r="Q192">
        <f t="shared" ref="Q192" si="936">F192*P192</f>
        <v>-47417380.819617033</v>
      </c>
      <c r="R192">
        <f t="shared" ref="R192" si="937">R193+Q192</f>
        <v>24510547127.865948</v>
      </c>
      <c r="S192">
        <f t="shared" ref="S192" si="938">R192/100000</f>
        <v>245105.47127865948</v>
      </c>
      <c r="T192">
        <f t="shared" si="934"/>
        <v>245.10547127865948</v>
      </c>
    </row>
    <row r="193" spans="1:20" x14ac:dyDescent="0.25">
      <c r="A193" s="5">
        <v>44400</v>
      </c>
      <c r="B193">
        <v>0.59199999999999997</v>
      </c>
      <c r="C193">
        <v>0.61009999999999998</v>
      </c>
      <c r="D193">
        <v>0.57530000000000003</v>
      </c>
      <c r="E193">
        <v>0.60909999999999997</v>
      </c>
      <c r="F193">
        <v>359561806.43000001</v>
      </c>
      <c r="G193">
        <v>0.60909999999999997</v>
      </c>
      <c r="L193" t="s">
        <v>8</v>
      </c>
      <c r="M193" t="s">
        <v>7</v>
      </c>
      <c r="N193" t="s">
        <v>8</v>
      </c>
      <c r="P193">
        <f t="shared" ref="P193" si="939">IF(C193=D193,0,((E193-D193)-(C193-E193))/(C193-D193))</f>
        <v>0.94252873563218376</v>
      </c>
      <c r="Q193">
        <f t="shared" ref="Q193" si="940">F193*P193</f>
        <v>338897334.79609191</v>
      </c>
      <c r="R193">
        <f t="shared" ref="R193" si="941">R194+Q193</f>
        <v>24557964508.685566</v>
      </c>
      <c r="S193">
        <f t="shared" ref="S193" si="942">R193/100000</f>
        <v>245579.64508685566</v>
      </c>
      <c r="T193">
        <f t="shared" si="934"/>
        <v>245.57964508685566</v>
      </c>
    </row>
    <row r="194" spans="1:20" x14ac:dyDescent="0.25">
      <c r="A194" s="5">
        <v>44399</v>
      </c>
      <c r="B194">
        <v>0.57179999999999997</v>
      </c>
      <c r="C194">
        <v>0.60329999999999995</v>
      </c>
      <c r="D194">
        <v>0.56089999999999995</v>
      </c>
      <c r="E194">
        <v>0.59199999999999997</v>
      </c>
      <c r="F194">
        <v>409238764.36000001</v>
      </c>
      <c r="G194">
        <v>0.59199999999999997</v>
      </c>
      <c r="L194" t="s">
        <v>8</v>
      </c>
      <c r="M194" t="s">
        <v>7</v>
      </c>
      <c r="N194" t="s">
        <v>8</v>
      </c>
      <c r="P194">
        <f t="shared" ref="P194" si="943">IF(C194=D194,0,((E194-D194)-(C194-E194))/(C194-D194))</f>
        <v>0.4669811320754727</v>
      </c>
      <c r="Q194">
        <f t="shared" ref="Q194" si="944">F194*P194</f>
        <v>191106781.47000042</v>
      </c>
      <c r="R194">
        <f t="shared" ref="R194" si="945">R195+Q194</f>
        <v>24219067173.889473</v>
      </c>
      <c r="S194">
        <f t="shared" ref="S194" si="946">R194/100000</f>
        <v>242190.67173889474</v>
      </c>
      <c r="T194">
        <f t="shared" si="934"/>
        <v>242.19067173889474</v>
      </c>
    </row>
    <row r="195" spans="1:20" x14ac:dyDescent="0.25">
      <c r="A195" s="5">
        <v>44398</v>
      </c>
      <c r="B195">
        <v>0.52839999999999998</v>
      </c>
      <c r="C195">
        <v>0.58399999999999996</v>
      </c>
      <c r="D195">
        <v>0.51929999999999998</v>
      </c>
      <c r="E195">
        <v>0.57189999999999996</v>
      </c>
      <c r="F195">
        <v>493423679.61000001</v>
      </c>
      <c r="G195">
        <v>0.57189999999999996</v>
      </c>
      <c r="L195" t="s">
        <v>8</v>
      </c>
      <c r="M195" t="s">
        <v>7</v>
      </c>
      <c r="N195" t="s">
        <v>8</v>
      </c>
      <c r="P195">
        <f t="shared" ref="P195" si="947">IF(C195=D195,0,((E195-D195)-(C195-E195))/(C195-D195))</f>
        <v>0.62596599690880983</v>
      </c>
      <c r="Q195">
        <f t="shared" ref="Q195" si="948">F195*P195</f>
        <v>308866445.50548685</v>
      </c>
      <c r="R195">
        <f t="shared" ref="R195" si="949">R196+Q195</f>
        <v>24027960392.419472</v>
      </c>
      <c r="S195">
        <f t="shared" ref="S195" si="950">R195/100000</f>
        <v>240279.60392419473</v>
      </c>
      <c r="T195">
        <f t="shared" si="934"/>
        <v>240.27960392419473</v>
      </c>
    </row>
    <row r="196" spans="1:20" x14ac:dyDescent="0.25">
      <c r="A196" s="5">
        <v>44397</v>
      </c>
      <c r="B196">
        <v>0.55700000000000005</v>
      </c>
      <c r="C196">
        <v>0.56989999999999996</v>
      </c>
      <c r="D196">
        <v>0.51570000000000005</v>
      </c>
      <c r="E196">
        <v>0.52839999999999998</v>
      </c>
      <c r="F196">
        <v>393704657.61000001</v>
      </c>
      <c r="G196">
        <v>0.52839999999999998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-0.53136531365313822</v>
      </c>
      <c r="Q196">
        <f t="shared" ref="Q196" si="952">F196*P196</f>
        <v>-209200998.87763906</v>
      </c>
      <c r="R196">
        <f t="shared" ref="R196" si="953">R197+Q196</f>
        <v>23719093946.913986</v>
      </c>
      <c r="S196">
        <f t="shared" ref="S196" si="954">R196/100000</f>
        <v>237190.93946913985</v>
      </c>
      <c r="T196">
        <f t="shared" si="934"/>
        <v>237.19093946913983</v>
      </c>
    </row>
    <row r="197" spans="1:20" x14ac:dyDescent="0.25">
      <c r="A197" s="5">
        <v>44396</v>
      </c>
      <c r="B197">
        <v>0.5867</v>
      </c>
      <c r="C197">
        <v>0.58889999999999998</v>
      </c>
      <c r="D197">
        <v>0.55330000000000001</v>
      </c>
      <c r="E197">
        <v>0.55700000000000005</v>
      </c>
      <c r="F197">
        <v>294780945.06999999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-0.79213483146067187</v>
      </c>
      <c r="Q197">
        <f t="shared" ref="Q197" si="956">F197*P197</f>
        <v>-233506254.24084201</v>
      </c>
      <c r="R197">
        <f t="shared" ref="R197" si="957">R198+Q197</f>
        <v>23928294945.791626</v>
      </c>
      <c r="S197">
        <f t="shared" ref="S197" si="958">R197/100000</f>
        <v>239282.94945791626</v>
      </c>
      <c r="T197">
        <f t="shared" si="934"/>
        <v>239.28294945791626</v>
      </c>
    </row>
    <row r="198" spans="1:20" x14ac:dyDescent="0.25">
      <c r="A198" s="5">
        <v>44395</v>
      </c>
      <c r="B198">
        <v>0.58220000000000005</v>
      </c>
      <c r="C198">
        <v>0.60160000000000002</v>
      </c>
      <c r="D198">
        <v>0.57099999999999995</v>
      </c>
      <c r="E198">
        <v>0.58660000000000001</v>
      </c>
      <c r="F198">
        <v>241849135.65000001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1.9607843137256324E-2</v>
      </c>
      <c r="Q198">
        <f t="shared" ref="Q198:Q261" si="960">F198*P198</f>
        <v>4742139.9147062264</v>
      </c>
      <c r="R198">
        <f t="shared" ref="R198:R261" si="961">R199+Q198</f>
        <v>24161801200.032467</v>
      </c>
      <c r="S198">
        <f t="shared" ref="S198:S261" si="962">R198/100000</f>
        <v>241618.01200032467</v>
      </c>
      <c r="T198">
        <f t="shared" ref="T198:T261" si="963">S198/1000</f>
        <v>241.61801200032468</v>
      </c>
    </row>
    <row r="199" spans="1:20" x14ac:dyDescent="0.25">
      <c r="A199" s="5">
        <v>44394</v>
      </c>
      <c r="B199">
        <v>0.58930000000000005</v>
      </c>
      <c r="C199">
        <v>0.59770000000000001</v>
      </c>
      <c r="D199">
        <v>0.56000000000000005</v>
      </c>
      <c r="E199">
        <v>0.58209999999999995</v>
      </c>
      <c r="F199">
        <v>263418042.13999999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0.17241379310344421</v>
      </c>
      <c r="Q199">
        <f t="shared" si="960"/>
        <v>45416903.817240305</v>
      </c>
      <c r="R199">
        <f t="shared" si="961"/>
        <v>24157059060.11776</v>
      </c>
      <c r="S199">
        <f t="shared" si="962"/>
        <v>241570.5906011776</v>
      </c>
      <c r="T199">
        <f t="shared" si="963"/>
        <v>241.5705906011776</v>
      </c>
    </row>
    <row r="200" spans="1:20" x14ac:dyDescent="0.25">
      <c r="A200" s="5">
        <v>44393</v>
      </c>
      <c r="B200">
        <v>0.59789999999999999</v>
      </c>
      <c r="C200">
        <v>0.62109999999999999</v>
      </c>
      <c r="D200">
        <v>0.58740000000000003</v>
      </c>
      <c r="E200">
        <v>0.58930000000000005</v>
      </c>
      <c r="F200">
        <v>282511701.88999999</v>
      </c>
      <c r="G200">
        <v>0</v>
      </c>
      <c r="L200" t="s">
        <v>8</v>
      </c>
      <c r="M200" t="s">
        <v>7</v>
      </c>
      <c r="N200" t="s">
        <v>8</v>
      </c>
      <c r="P200">
        <f t="shared" si="959"/>
        <v>-0.88724035608308516</v>
      </c>
      <c r="Q200">
        <f t="shared" si="960"/>
        <v>-250655782.98252198</v>
      </c>
      <c r="R200">
        <f t="shared" si="961"/>
        <v>24111642156.300518</v>
      </c>
      <c r="S200">
        <f t="shared" si="962"/>
        <v>241116.42156300519</v>
      </c>
      <c r="T200">
        <f t="shared" si="963"/>
        <v>241.11642156300519</v>
      </c>
    </row>
    <row r="201" spans="1:20" x14ac:dyDescent="0.25">
      <c r="A201" s="5">
        <v>44392</v>
      </c>
      <c r="B201">
        <v>0.61960000000000004</v>
      </c>
      <c r="C201">
        <v>0.62690000000000001</v>
      </c>
      <c r="D201">
        <v>0.58740000000000003</v>
      </c>
      <c r="E201">
        <v>0.59789999999999999</v>
      </c>
      <c r="F201">
        <v>339655984.05000001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-0.46835443037974889</v>
      </c>
      <c r="Q201">
        <f t="shared" si="960"/>
        <v>-159079384.93481082</v>
      </c>
      <c r="R201">
        <f t="shared" si="961"/>
        <v>24362297939.283039</v>
      </c>
      <c r="S201">
        <f t="shared" si="962"/>
        <v>243622.9793928304</v>
      </c>
      <c r="T201">
        <f t="shared" si="963"/>
        <v>243.62297939283039</v>
      </c>
    </row>
    <row r="202" spans="1:20" x14ac:dyDescent="0.25">
      <c r="A202" s="5">
        <v>44391</v>
      </c>
      <c r="B202">
        <v>0.61929999999999996</v>
      </c>
      <c r="C202">
        <v>0.625</v>
      </c>
      <c r="D202">
        <v>0.58509999999999995</v>
      </c>
      <c r="E202">
        <v>0.61970000000000003</v>
      </c>
      <c r="F202">
        <v>352306488.75999999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0.73433583959899928</v>
      </c>
      <c r="Q202">
        <f t="shared" si="960"/>
        <v>258711281.21974999</v>
      </c>
      <c r="R202">
        <f t="shared" si="961"/>
        <v>24521377324.21785</v>
      </c>
      <c r="S202">
        <f t="shared" si="962"/>
        <v>245213.77324217849</v>
      </c>
      <c r="T202">
        <f t="shared" si="963"/>
        <v>245.21377324217849</v>
      </c>
    </row>
    <row r="203" spans="1:20" x14ac:dyDescent="0.25">
      <c r="A203" s="5">
        <v>44390</v>
      </c>
      <c r="B203">
        <v>0.62880000000000003</v>
      </c>
      <c r="C203">
        <v>0.64259999999999995</v>
      </c>
      <c r="D203">
        <v>0.60860000000000003</v>
      </c>
      <c r="E203">
        <v>0.61919999999999997</v>
      </c>
      <c r="F203">
        <v>315648113.80000001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-0.376470588235296</v>
      </c>
      <c r="Q203">
        <f t="shared" si="960"/>
        <v>-118832231.07764766</v>
      </c>
      <c r="R203">
        <f t="shared" si="961"/>
        <v>24262666042.9981</v>
      </c>
      <c r="S203">
        <f t="shared" si="962"/>
        <v>242626.66042998101</v>
      </c>
      <c r="T203">
        <f t="shared" si="963"/>
        <v>242.626660429981</v>
      </c>
    </row>
    <row r="204" spans="1:20" x14ac:dyDescent="0.25">
      <c r="A204" s="5">
        <v>44389</v>
      </c>
      <c r="B204">
        <v>0.63629999999999998</v>
      </c>
      <c r="C204">
        <v>0.65749999999999997</v>
      </c>
      <c r="D204">
        <v>0.61719999999999997</v>
      </c>
      <c r="E204">
        <v>0.62880000000000003</v>
      </c>
      <c r="F204">
        <v>356848391.95999998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-0.42431761786600231</v>
      </c>
      <c r="Q204">
        <f t="shared" si="960"/>
        <v>-151417059.61578068</v>
      </c>
      <c r="R204">
        <f t="shared" si="961"/>
        <v>24381498274.075748</v>
      </c>
      <c r="S204">
        <f t="shared" si="962"/>
        <v>243814.98274075749</v>
      </c>
      <c r="T204">
        <f t="shared" si="963"/>
        <v>243.8149827407575</v>
      </c>
    </row>
    <row r="205" spans="1:20" x14ac:dyDescent="0.25">
      <c r="A205" s="5">
        <v>44388</v>
      </c>
      <c r="B205">
        <v>0.62460000000000004</v>
      </c>
      <c r="C205">
        <v>0.64490000000000003</v>
      </c>
      <c r="D205">
        <v>0.6169</v>
      </c>
      <c r="E205">
        <v>0.63639999999999997</v>
      </c>
      <c r="F205">
        <v>201320995.41999999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0.39285714285713891</v>
      </c>
      <c r="Q205">
        <f t="shared" si="960"/>
        <v>79090391.057856336</v>
      </c>
      <c r="R205">
        <f t="shared" si="961"/>
        <v>24532915333.691528</v>
      </c>
      <c r="S205">
        <f t="shared" si="962"/>
        <v>245329.15333691527</v>
      </c>
      <c r="T205">
        <f t="shared" si="963"/>
        <v>245.32915333691528</v>
      </c>
    </row>
    <row r="206" spans="1:20" x14ac:dyDescent="0.25">
      <c r="A206" s="5">
        <v>44387</v>
      </c>
      <c r="B206">
        <v>0.63690000000000002</v>
      </c>
      <c r="C206">
        <v>0.64890000000000003</v>
      </c>
      <c r="D206">
        <v>0.61199999999999999</v>
      </c>
      <c r="E206">
        <v>0.62460000000000004</v>
      </c>
      <c r="F206">
        <v>279711260.06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-0.3170731707317051</v>
      </c>
      <c r="Q206">
        <f t="shared" si="960"/>
        <v>-88688936.116584748</v>
      </c>
      <c r="R206">
        <f t="shared" si="961"/>
        <v>24453824942.633671</v>
      </c>
      <c r="S206">
        <f t="shared" si="962"/>
        <v>244538.2494263367</v>
      </c>
      <c r="T206">
        <f t="shared" si="963"/>
        <v>244.53824942633671</v>
      </c>
    </row>
    <row r="207" spans="1:20" x14ac:dyDescent="0.25">
      <c r="A207" s="5">
        <v>44386</v>
      </c>
      <c r="B207">
        <v>0.62139999999999995</v>
      </c>
      <c r="C207">
        <v>0.64570000000000005</v>
      </c>
      <c r="D207">
        <v>0.5917</v>
      </c>
      <c r="E207">
        <v>0.63690000000000002</v>
      </c>
      <c r="F207">
        <v>358836803.69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0.67407407407407327</v>
      </c>
      <c r="Q207">
        <f t="shared" si="960"/>
        <v>241882586.19103676</v>
      </c>
      <c r="R207">
        <f t="shared" si="961"/>
        <v>24542513878.750256</v>
      </c>
      <c r="S207">
        <f t="shared" si="962"/>
        <v>245425.13878750257</v>
      </c>
      <c r="T207">
        <f t="shared" si="963"/>
        <v>245.42513878750256</v>
      </c>
    </row>
    <row r="208" spans="1:20" x14ac:dyDescent="0.25">
      <c r="A208" s="5">
        <v>44385</v>
      </c>
      <c r="B208">
        <v>0.65210000000000001</v>
      </c>
      <c r="C208">
        <v>0.65449999999999997</v>
      </c>
      <c r="D208">
        <v>0.61080000000000001</v>
      </c>
      <c r="E208">
        <v>0.62150000000000005</v>
      </c>
      <c r="F208">
        <v>430925669.18000001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-0.51029748283752618</v>
      </c>
      <c r="Q208">
        <f t="shared" si="960"/>
        <v>-219900284.27263054</v>
      </c>
      <c r="R208">
        <f t="shared" si="961"/>
        <v>24300631292.559219</v>
      </c>
      <c r="S208">
        <f t="shared" si="962"/>
        <v>243006.31292559218</v>
      </c>
      <c r="T208">
        <f t="shared" si="963"/>
        <v>243.00631292559217</v>
      </c>
    </row>
    <row r="209" spans="1:20" x14ac:dyDescent="0.25">
      <c r="A209" s="5">
        <v>44384</v>
      </c>
      <c r="B209">
        <v>0.66479999999999995</v>
      </c>
      <c r="C209">
        <v>0.67400000000000004</v>
      </c>
      <c r="D209">
        <v>0.65</v>
      </c>
      <c r="E209">
        <v>0.6522</v>
      </c>
      <c r="F209">
        <v>284356433.42000002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-0.81666666666666854</v>
      </c>
      <c r="Q209">
        <f t="shared" si="960"/>
        <v>-232224420.62633389</v>
      </c>
      <c r="R209">
        <f t="shared" si="961"/>
        <v>24520531576.831848</v>
      </c>
      <c r="S209">
        <f t="shared" si="962"/>
        <v>245205.31576831848</v>
      </c>
      <c r="T209">
        <f t="shared" si="963"/>
        <v>245.20531576831848</v>
      </c>
    </row>
    <row r="210" spans="1:20" x14ac:dyDescent="0.25">
      <c r="A210" s="5">
        <v>44383</v>
      </c>
      <c r="B210">
        <v>0.65259999999999996</v>
      </c>
      <c r="C210">
        <v>0.68</v>
      </c>
      <c r="D210">
        <v>0.65110000000000001</v>
      </c>
      <c r="E210">
        <v>0.66479999999999995</v>
      </c>
      <c r="F210">
        <v>356111895.88999999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-5.1903114186856954E-2</v>
      </c>
      <c r="Q210">
        <f t="shared" si="960"/>
        <v>-18483316.395676784</v>
      </c>
      <c r="R210">
        <f t="shared" si="961"/>
        <v>24752755997.458183</v>
      </c>
      <c r="S210">
        <f t="shared" si="962"/>
        <v>247527.55997458185</v>
      </c>
      <c r="T210">
        <f t="shared" si="963"/>
        <v>247.52755997458183</v>
      </c>
    </row>
    <row r="211" spans="1:20" x14ac:dyDescent="0.25">
      <c r="A211" s="5">
        <v>44382</v>
      </c>
      <c r="B211">
        <v>0.69599999999999995</v>
      </c>
      <c r="C211">
        <v>0.69699999999999995</v>
      </c>
      <c r="D211">
        <v>0.64439999999999997</v>
      </c>
      <c r="E211">
        <v>0.65259999999999996</v>
      </c>
      <c r="F211">
        <v>407839477.88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-0.68821292775665444</v>
      </c>
      <c r="Q211">
        <f t="shared" si="960"/>
        <v>-280680401.12654012</v>
      </c>
      <c r="R211">
        <f t="shared" si="961"/>
        <v>24771239313.853859</v>
      </c>
      <c r="S211">
        <f t="shared" si="962"/>
        <v>247712.39313853858</v>
      </c>
      <c r="T211">
        <f t="shared" si="963"/>
        <v>247.71239313853857</v>
      </c>
    </row>
    <row r="212" spans="1:20" x14ac:dyDescent="0.25">
      <c r="A212" s="5">
        <v>44381</v>
      </c>
      <c r="B212">
        <v>0.67330000000000001</v>
      </c>
      <c r="C212">
        <v>0.70909999999999995</v>
      </c>
      <c r="D212">
        <v>0.66549999999999998</v>
      </c>
      <c r="E212">
        <v>0.69599999999999995</v>
      </c>
      <c r="F212">
        <v>334071078.77999997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0.39908256880733906</v>
      </c>
      <c r="Q212">
        <f t="shared" si="960"/>
        <v>133321944.28376132</v>
      </c>
      <c r="R212">
        <f t="shared" si="961"/>
        <v>25051919714.9804</v>
      </c>
      <c r="S212">
        <f t="shared" si="962"/>
        <v>250519.19714980401</v>
      </c>
      <c r="T212">
        <f t="shared" si="963"/>
        <v>250.519197149804</v>
      </c>
    </row>
    <row r="213" spans="1:20" x14ac:dyDescent="0.25">
      <c r="A213" s="5">
        <v>44380</v>
      </c>
      <c r="B213">
        <v>0.65569999999999995</v>
      </c>
      <c r="C213">
        <v>0.68489999999999995</v>
      </c>
      <c r="D213">
        <v>0.64329999999999998</v>
      </c>
      <c r="E213">
        <v>0.67320000000000002</v>
      </c>
      <c r="F213">
        <v>329367273.74000001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0.43750000000000283</v>
      </c>
      <c r="Q213">
        <f t="shared" si="960"/>
        <v>144098182.26125094</v>
      </c>
      <c r="R213">
        <f t="shared" si="961"/>
        <v>24918597770.69664</v>
      </c>
      <c r="S213">
        <f t="shared" si="962"/>
        <v>249185.9777069664</v>
      </c>
      <c r="T213">
        <f t="shared" si="963"/>
        <v>249.18597770696641</v>
      </c>
    </row>
    <row r="214" spans="1:20" x14ac:dyDescent="0.25">
      <c r="A214" s="5">
        <v>44379</v>
      </c>
      <c r="B214">
        <v>0.65920000000000001</v>
      </c>
      <c r="C214">
        <v>0.66759999999999997</v>
      </c>
      <c r="D214">
        <v>0.63290000000000002</v>
      </c>
      <c r="E214">
        <v>0.65559999999999996</v>
      </c>
      <c r="F214">
        <v>387562387.58999997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0.3083573487031685</v>
      </c>
      <c r="Q214">
        <f t="shared" si="960"/>
        <v>119507710.29432216</v>
      </c>
      <c r="R214">
        <f t="shared" si="961"/>
        <v>24774499588.43539</v>
      </c>
      <c r="S214">
        <f t="shared" si="962"/>
        <v>247744.99588435391</v>
      </c>
      <c r="T214">
        <f t="shared" si="963"/>
        <v>247.7449958843539</v>
      </c>
    </row>
    <row r="215" spans="1:20" x14ac:dyDescent="0.25">
      <c r="A215" s="5">
        <v>44378</v>
      </c>
      <c r="B215">
        <v>0.70620000000000005</v>
      </c>
      <c r="C215">
        <v>0.70640000000000003</v>
      </c>
      <c r="D215">
        <v>0.64400000000000002</v>
      </c>
      <c r="E215">
        <v>0.65910000000000002</v>
      </c>
      <c r="F215">
        <v>463328799.27999997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-0.51602564102564108</v>
      </c>
      <c r="Q215">
        <f t="shared" si="960"/>
        <v>-239089540.65410256</v>
      </c>
      <c r="R215">
        <f t="shared" si="961"/>
        <v>24654991878.141068</v>
      </c>
      <c r="S215">
        <f t="shared" si="962"/>
        <v>246549.91878141067</v>
      </c>
      <c r="T215">
        <f t="shared" si="963"/>
        <v>246.54991878141067</v>
      </c>
    </row>
    <row r="216" spans="1:20" x14ac:dyDescent="0.25">
      <c r="A216" s="5">
        <v>44377</v>
      </c>
      <c r="B216">
        <v>0.70620000000000005</v>
      </c>
      <c r="C216">
        <v>0.71450000000000002</v>
      </c>
      <c r="D216">
        <v>0.64770000000000005</v>
      </c>
      <c r="E216">
        <v>0.70630000000000004</v>
      </c>
      <c r="F216">
        <v>634287485.14999998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0.75449101796407214</v>
      </c>
      <c r="Q216">
        <f t="shared" si="960"/>
        <v>478564210.35269475</v>
      </c>
      <c r="R216">
        <f t="shared" si="961"/>
        <v>24894081418.79517</v>
      </c>
      <c r="S216">
        <f t="shared" si="962"/>
        <v>248940.81418795171</v>
      </c>
      <c r="T216">
        <f t="shared" si="963"/>
        <v>248.9408141879517</v>
      </c>
    </row>
    <row r="217" spans="1:20" x14ac:dyDescent="0.25">
      <c r="A217" s="5">
        <v>44376</v>
      </c>
      <c r="B217">
        <v>0.64439999999999997</v>
      </c>
      <c r="C217">
        <v>0.73399999999999999</v>
      </c>
      <c r="D217">
        <v>0.64170000000000005</v>
      </c>
      <c r="E217">
        <v>0.70630000000000004</v>
      </c>
      <c r="F217">
        <v>718445315.26999998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0.39978331527627375</v>
      </c>
      <c r="Q217">
        <f t="shared" si="960"/>
        <v>287222449.98334831</v>
      </c>
      <c r="R217">
        <f t="shared" si="961"/>
        <v>24415517208.442474</v>
      </c>
      <c r="S217">
        <f t="shared" si="962"/>
        <v>244155.17208442473</v>
      </c>
      <c r="T217">
        <f t="shared" si="963"/>
        <v>244.15517208442472</v>
      </c>
    </row>
    <row r="218" spans="1:20" x14ac:dyDescent="0.25">
      <c r="A218" s="5">
        <v>44375</v>
      </c>
      <c r="B218">
        <v>0.64829999999999999</v>
      </c>
      <c r="C218">
        <v>0.6583</v>
      </c>
      <c r="D218">
        <v>0.62380000000000002</v>
      </c>
      <c r="E218">
        <v>0.64439999999999997</v>
      </c>
      <c r="F218">
        <v>460033268.30000001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0.1942028985507227</v>
      </c>
      <c r="Q218">
        <f t="shared" si="960"/>
        <v>89339794.133622304</v>
      </c>
      <c r="R218">
        <f t="shared" si="961"/>
        <v>24128294758.459126</v>
      </c>
      <c r="S218">
        <f t="shared" si="962"/>
        <v>241282.94758459125</v>
      </c>
      <c r="T218">
        <f t="shared" si="963"/>
        <v>241.28294758459126</v>
      </c>
    </row>
    <row r="219" spans="1:20" x14ac:dyDescent="0.25">
      <c r="A219" s="5">
        <v>44374</v>
      </c>
      <c r="B219">
        <v>0.61629999999999996</v>
      </c>
      <c r="C219">
        <v>0.65229999999999999</v>
      </c>
      <c r="D219">
        <v>0.59630000000000005</v>
      </c>
      <c r="E219">
        <v>0.64839999999999998</v>
      </c>
      <c r="F219">
        <v>472483880.76999998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0.86071428571428499</v>
      </c>
      <c r="Q219">
        <f t="shared" si="960"/>
        <v>406673625.94846392</v>
      </c>
      <c r="R219">
        <f t="shared" si="961"/>
        <v>24038954964.325504</v>
      </c>
      <c r="S219">
        <f t="shared" si="962"/>
        <v>240389.54964325504</v>
      </c>
      <c r="T219">
        <f t="shared" si="963"/>
        <v>240.38954964325504</v>
      </c>
    </row>
    <row r="220" spans="1:20" x14ac:dyDescent="0.25">
      <c r="A220" s="5">
        <v>44373</v>
      </c>
      <c r="B220">
        <v>0.61099999999999999</v>
      </c>
      <c r="C220">
        <v>0.63290000000000002</v>
      </c>
      <c r="D220">
        <v>0.58140000000000003</v>
      </c>
      <c r="E220">
        <v>0.61619999999999997</v>
      </c>
      <c r="F220">
        <v>548990505.59000003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0.35145631067960964</v>
      </c>
      <c r="Q220">
        <f t="shared" si="960"/>
        <v>192946177.69279504</v>
      </c>
      <c r="R220">
        <f t="shared" si="961"/>
        <v>23632281338.377041</v>
      </c>
      <c r="S220">
        <f t="shared" si="962"/>
        <v>236322.81338377041</v>
      </c>
      <c r="T220">
        <f t="shared" si="963"/>
        <v>236.32281338377041</v>
      </c>
    </row>
    <row r="221" spans="1:20" x14ac:dyDescent="0.25">
      <c r="A221" s="5">
        <v>44372</v>
      </c>
      <c r="B221">
        <v>0.67310000000000003</v>
      </c>
      <c r="C221">
        <v>0.68889999999999996</v>
      </c>
      <c r="D221">
        <v>0.60189999999999999</v>
      </c>
      <c r="E221">
        <v>0.61109999999999998</v>
      </c>
      <c r="F221">
        <v>795450033.45000005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-0.78850574712643706</v>
      </c>
      <c r="Q221">
        <f t="shared" si="960"/>
        <v>-627216922.92724168</v>
      </c>
      <c r="R221">
        <f t="shared" si="961"/>
        <v>23439335160.684246</v>
      </c>
      <c r="S221">
        <f t="shared" si="962"/>
        <v>234393.35160684245</v>
      </c>
      <c r="T221">
        <f t="shared" si="963"/>
        <v>234.39335160684246</v>
      </c>
    </row>
    <row r="222" spans="1:20" x14ac:dyDescent="0.25">
      <c r="A222" s="5">
        <v>44371</v>
      </c>
      <c r="B222">
        <v>0.63829999999999998</v>
      </c>
      <c r="C222">
        <v>0.69279999999999997</v>
      </c>
      <c r="D222">
        <v>0.61629999999999996</v>
      </c>
      <c r="E222">
        <v>0.67310000000000003</v>
      </c>
      <c r="F222">
        <v>633338243.15999997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0.48496732026143957</v>
      </c>
      <c r="Q222">
        <f t="shared" si="960"/>
        <v>307148350.60439318</v>
      </c>
      <c r="R222">
        <f t="shared" si="961"/>
        <v>24066552083.611488</v>
      </c>
      <c r="S222">
        <f t="shared" si="962"/>
        <v>240665.52083611488</v>
      </c>
      <c r="T222">
        <f t="shared" si="963"/>
        <v>240.66552083611489</v>
      </c>
    </row>
    <row r="223" spans="1:20" x14ac:dyDescent="0.25">
      <c r="A223" s="5">
        <v>44370</v>
      </c>
      <c r="B223">
        <v>0.54679999999999995</v>
      </c>
      <c r="C223">
        <v>0.66549999999999998</v>
      </c>
      <c r="D223">
        <v>0.52029999999999998</v>
      </c>
      <c r="E223">
        <v>0.63829999999999998</v>
      </c>
      <c r="F223">
        <v>1167774271.6600001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0.62534435261707988</v>
      </c>
      <c r="Q223">
        <f t="shared" si="960"/>
        <v>730261045.9141047</v>
      </c>
      <c r="R223">
        <f t="shared" si="961"/>
        <v>23759403733.007095</v>
      </c>
      <c r="S223">
        <f t="shared" si="962"/>
        <v>237594.03733007095</v>
      </c>
      <c r="T223">
        <f t="shared" si="963"/>
        <v>237.59403733007096</v>
      </c>
    </row>
    <row r="224" spans="1:20" x14ac:dyDescent="0.25">
      <c r="A224" s="5">
        <v>44369</v>
      </c>
      <c r="B224">
        <v>0.60680000000000001</v>
      </c>
      <c r="C224">
        <v>0.65</v>
      </c>
      <c r="D224">
        <v>0.50900000000000001</v>
      </c>
      <c r="E224">
        <v>0.54679999999999995</v>
      </c>
      <c r="F224">
        <v>1611548012.73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-0.46382978723404339</v>
      </c>
      <c r="Q224">
        <f t="shared" si="960"/>
        <v>-747483971.8620013</v>
      </c>
      <c r="R224">
        <f t="shared" si="961"/>
        <v>23029142687.092991</v>
      </c>
      <c r="S224">
        <f t="shared" si="962"/>
        <v>230291.42687092992</v>
      </c>
      <c r="T224">
        <f t="shared" si="963"/>
        <v>230.29142687092991</v>
      </c>
    </row>
    <row r="225" spans="1:20" x14ac:dyDescent="0.25">
      <c r="A225" s="5">
        <v>44368</v>
      </c>
      <c r="B225">
        <v>0.77410000000000001</v>
      </c>
      <c r="C225">
        <v>0.78029999999999999</v>
      </c>
      <c r="D225">
        <v>0.60370000000000001</v>
      </c>
      <c r="E225">
        <v>0.60670000000000002</v>
      </c>
      <c r="F225">
        <v>1073284195.87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-0.9660249150622876</v>
      </c>
      <c r="Q225">
        <f t="shared" si="960"/>
        <v>-1036819274.1530124</v>
      </c>
      <c r="R225">
        <f t="shared" si="961"/>
        <v>23776626658.95499</v>
      </c>
      <c r="S225">
        <f t="shared" si="962"/>
        <v>237766.26658954989</v>
      </c>
      <c r="T225">
        <f t="shared" si="963"/>
        <v>237.7662665895499</v>
      </c>
    </row>
    <row r="226" spans="1:20" x14ac:dyDescent="0.25">
      <c r="A226" s="5">
        <v>44367</v>
      </c>
      <c r="B226">
        <v>0.75829999999999997</v>
      </c>
      <c r="C226">
        <v>0.78500000000000003</v>
      </c>
      <c r="D226">
        <v>0.69679999999999997</v>
      </c>
      <c r="E226">
        <v>0.77410000000000001</v>
      </c>
      <c r="F226">
        <v>589364804.51999998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0.75283446712018109</v>
      </c>
      <c r="Q226">
        <f t="shared" si="960"/>
        <v>443694138.55020386</v>
      </c>
      <c r="R226">
        <f t="shared" si="961"/>
        <v>24813445933.108002</v>
      </c>
      <c r="S226">
        <f t="shared" si="962"/>
        <v>248134.45933108003</v>
      </c>
      <c r="T226">
        <f t="shared" si="963"/>
        <v>248.13445933108002</v>
      </c>
    </row>
    <row r="227" spans="1:20" x14ac:dyDescent="0.25">
      <c r="A227" s="5">
        <v>44366</v>
      </c>
      <c r="B227">
        <v>0.79710000000000003</v>
      </c>
      <c r="C227">
        <v>0.80549999999999999</v>
      </c>
      <c r="D227">
        <v>0.75570000000000004</v>
      </c>
      <c r="E227">
        <v>0.75819999999999999</v>
      </c>
      <c r="F227">
        <v>317290687.13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-0.89959839357429927</v>
      </c>
      <c r="Q227">
        <f t="shared" si="960"/>
        <v>-285434192.43823361</v>
      </c>
      <c r="R227">
        <f t="shared" si="961"/>
        <v>24369751794.557796</v>
      </c>
      <c r="S227">
        <f t="shared" si="962"/>
        <v>243697.51794557797</v>
      </c>
      <c r="T227">
        <f t="shared" si="963"/>
        <v>243.69751794557797</v>
      </c>
    </row>
    <row r="228" spans="1:20" x14ac:dyDescent="0.25">
      <c r="A228" s="5">
        <v>44365</v>
      </c>
      <c r="B228">
        <v>0.84189999999999998</v>
      </c>
      <c r="C228">
        <v>0.84499999999999997</v>
      </c>
      <c r="D228">
        <v>0.76870000000000005</v>
      </c>
      <c r="E228">
        <v>0.79720000000000002</v>
      </c>
      <c r="F228">
        <v>389494745.88999999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-0.25294888597640897</v>
      </c>
      <c r="Q228">
        <f t="shared" si="960"/>
        <v>-98522262.066539988</v>
      </c>
      <c r="R228">
        <f t="shared" si="961"/>
        <v>24655185986.996029</v>
      </c>
      <c r="S228">
        <f t="shared" si="962"/>
        <v>246551.85986996029</v>
      </c>
      <c r="T228">
        <f t="shared" si="963"/>
        <v>246.55185986996028</v>
      </c>
    </row>
    <row r="229" spans="1:20" x14ac:dyDescent="0.25">
      <c r="A229" s="5">
        <v>44364</v>
      </c>
      <c r="B229">
        <v>0.83189999999999997</v>
      </c>
      <c r="C229">
        <v>0.86119999999999997</v>
      </c>
      <c r="D229">
        <v>0.82340000000000002</v>
      </c>
      <c r="E229">
        <v>0.84189999999999998</v>
      </c>
      <c r="F229">
        <v>315642616.20999998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-2.1164021164021801E-2</v>
      </c>
      <c r="Q229">
        <f t="shared" si="960"/>
        <v>-6680267.0097356504</v>
      </c>
      <c r="R229">
        <f t="shared" si="961"/>
        <v>24753708249.062569</v>
      </c>
      <c r="S229">
        <f t="shared" si="962"/>
        <v>247537.08249062567</v>
      </c>
      <c r="T229">
        <f t="shared" si="963"/>
        <v>247.53708249062566</v>
      </c>
    </row>
    <row r="230" spans="1:20" x14ac:dyDescent="0.25">
      <c r="A230" s="5">
        <v>44363</v>
      </c>
      <c r="B230">
        <v>0.86629999999999996</v>
      </c>
      <c r="C230">
        <v>0.87329999999999997</v>
      </c>
      <c r="D230">
        <v>0.82589999999999997</v>
      </c>
      <c r="E230">
        <v>0.83199999999999996</v>
      </c>
      <c r="F230">
        <v>380134518.73000002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-0.74261603375527452</v>
      </c>
      <c r="Q230">
        <f t="shared" si="960"/>
        <v>-282293988.59274274</v>
      </c>
      <c r="R230">
        <f t="shared" si="961"/>
        <v>24760388516.072304</v>
      </c>
      <c r="S230">
        <f t="shared" si="962"/>
        <v>247603.88516072303</v>
      </c>
      <c r="T230">
        <f t="shared" si="963"/>
        <v>247.60388516072302</v>
      </c>
    </row>
    <row r="231" spans="1:20" x14ac:dyDescent="0.25">
      <c r="A231" s="5">
        <v>44362</v>
      </c>
      <c r="B231">
        <v>0.89049999999999996</v>
      </c>
      <c r="C231">
        <v>0.90169999999999995</v>
      </c>
      <c r="D231">
        <v>0.85509999999999997</v>
      </c>
      <c r="E231">
        <v>0.86629999999999996</v>
      </c>
      <c r="F231">
        <v>367733719.97000003</v>
      </c>
      <c r="G231">
        <v>0</v>
      </c>
      <c r="L231" t="s">
        <v>7</v>
      </c>
      <c r="M231" t="s">
        <v>7</v>
      </c>
      <c r="N231" t="s">
        <v>8</v>
      </c>
      <c r="P231">
        <f t="shared" si="959"/>
        <v>-0.51931330472103032</v>
      </c>
      <c r="Q231">
        <f t="shared" si="960"/>
        <v>-190969013.37497866</v>
      </c>
      <c r="R231">
        <f t="shared" si="961"/>
        <v>25042682504.665047</v>
      </c>
      <c r="S231">
        <f t="shared" si="962"/>
        <v>250426.82504665045</v>
      </c>
      <c r="T231">
        <f t="shared" si="963"/>
        <v>250.42682504665046</v>
      </c>
    </row>
    <row r="232" spans="1:20" x14ac:dyDescent="0.25">
      <c r="A232" s="5">
        <v>44361</v>
      </c>
      <c r="B232">
        <v>0.88329999999999997</v>
      </c>
      <c r="C232">
        <v>0.93</v>
      </c>
      <c r="D232">
        <v>0.86280000000000001</v>
      </c>
      <c r="E232">
        <v>0.89059999999999995</v>
      </c>
      <c r="F232">
        <v>441724628.57999998</v>
      </c>
      <c r="G232">
        <v>0</v>
      </c>
      <c r="L232" t="s">
        <v>8</v>
      </c>
      <c r="M232" t="s">
        <v>7</v>
      </c>
      <c r="N232" t="s">
        <v>8</v>
      </c>
      <c r="P232">
        <f t="shared" si="959"/>
        <v>-0.17261904761904998</v>
      </c>
      <c r="Q232">
        <f t="shared" si="960"/>
        <v>-76250084.695358187</v>
      </c>
      <c r="R232">
        <f t="shared" si="961"/>
        <v>25233651518.040024</v>
      </c>
      <c r="S232">
        <f t="shared" si="962"/>
        <v>252336.51518040025</v>
      </c>
      <c r="T232">
        <f t="shared" si="963"/>
        <v>252.33651518040026</v>
      </c>
    </row>
    <row r="233" spans="1:20" x14ac:dyDescent="0.25">
      <c r="A233" s="5">
        <v>44360</v>
      </c>
      <c r="B233">
        <v>0.83250000000000002</v>
      </c>
      <c r="C233">
        <v>0.88829999999999998</v>
      </c>
      <c r="D233">
        <v>0.81699999999999995</v>
      </c>
      <c r="E233">
        <v>0.88319999999999999</v>
      </c>
      <c r="F233">
        <v>344882480.06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0.85694249649368892</v>
      </c>
      <c r="Q233">
        <f t="shared" si="960"/>
        <v>295544453.45955127</v>
      </c>
      <c r="R233">
        <f t="shared" si="961"/>
        <v>25309901602.735382</v>
      </c>
      <c r="S233">
        <f t="shared" si="962"/>
        <v>253099.01602735382</v>
      </c>
      <c r="T233">
        <f t="shared" si="963"/>
        <v>253.09901602735383</v>
      </c>
    </row>
    <row r="234" spans="1:20" x14ac:dyDescent="0.25">
      <c r="A234" s="5">
        <v>44359</v>
      </c>
      <c r="B234">
        <v>0.84689999999999999</v>
      </c>
      <c r="C234">
        <v>0.84789999999999999</v>
      </c>
      <c r="D234">
        <v>0.8054</v>
      </c>
      <c r="E234">
        <v>0.83260000000000001</v>
      </c>
      <c r="F234">
        <v>375425465.13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0.28000000000000064</v>
      </c>
      <c r="Q234">
        <f t="shared" si="960"/>
        <v>105119130.23640023</v>
      </c>
      <c r="R234">
        <f t="shared" si="961"/>
        <v>25014357149.275829</v>
      </c>
      <c r="S234">
        <f t="shared" si="962"/>
        <v>250143.57149275829</v>
      </c>
      <c r="T234">
        <f t="shared" si="963"/>
        <v>250.1435714927583</v>
      </c>
    </row>
    <row r="235" spans="1:20" x14ac:dyDescent="0.25">
      <c r="A235" s="5">
        <v>44358</v>
      </c>
      <c r="B235">
        <v>0.86860000000000004</v>
      </c>
      <c r="C235">
        <v>0.88</v>
      </c>
      <c r="D235">
        <v>0.83350000000000002</v>
      </c>
      <c r="E235">
        <v>0.84709999999999996</v>
      </c>
      <c r="F235">
        <v>384826199.06999999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-0.41505376344086237</v>
      </c>
      <c r="Q235">
        <f t="shared" si="960"/>
        <v>-159723562.194646</v>
      </c>
      <c r="R235">
        <f t="shared" si="961"/>
        <v>24909238019.039429</v>
      </c>
      <c r="S235">
        <f t="shared" si="962"/>
        <v>249092.38019039429</v>
      </c>
      <c r="T235">
        <f t="shared" si="963"/>
        <v>249.09238019039429</v>
      </c>
    </row>
    <row r="236" spans="1:20" x14ac:dyDescent="0.25">
      <c r="A236" s="5">
        <v>44357</v>
      </c>
      <c r="B236">
        <v>0.92179999999999995</v>
      </c>
      <c r="C236">
        <v>0.92979999999999996</v>
      </c>
      <c r="D236">
        <v>0.85219999999999996</v>
      </c>
      <c r="E236">
        <v>0.86860000000000004</v>
      </c>
      <c r="F236">
        <v>592646634.42999995</v>
      </c>
      <c r="G236">
        <v>0</v>
      </c>
      <c r="L236" t="s">
        <v>8</v>
      </c>
      <c r="M236" t="s">
        <v>7</v>
      </c>
      <c r="N236" t="s">
        <v>8</v>
      </c>
      <c r="P236">
        <f t="shared" si="959"/>
        <v>-0.57731958762886393</v>
      </c>
      <c r="Q236">
        <f t="shared" si="960"/>
        <v>-342146510.59876162</v>
      </c>
      <c r="R236">
        <f t="shared" si="961"/>
        <v>25068961581.234074</v>
      </c>
      <c r="S236">
        <f t="shared" si="962"/>
        <v>250689.61581234072</v>
      </c>
      <c r="T236">
        <f t="shared" si="963"/>
        <v>250.68961581234072</v>
      </c>
    </row>
    <row r="237" spans="1:20" x14ac:dyDescent="0.25">
      <c r="A237" s="5">
        <v>44356</v>
      </c>
      <c r="B237">
        <v>0.873</v>
      </c>
      <c r="C237">
        <v>0.92179999999999995</v>
      </c>
      <c r="D237">
        <v>0.83</v>
      </c>
      <c r="E237">
        <v>0.92179999999999995</v>
      </c>
      <c r="F237">
        <v>798994471.70000005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1</v>
      </c>
      <c r="Q237">
        <f t="shared" si="960"/>
        <v>798994471.70000005</v>
      </c>
      <c r="R237">
        <f t="shared" si="961"/>
        <v>25411108091.832836</v>
      </c>
      <c r="S237">
        <f t="shared" si="962"/>
        <v>254111.08091832837</v>
      </c>
      <c r="T237">
        <f t="shared" si="963"/>
        <v>254.11108091832838</v>
      </c>
    </row>
    <row r="238" spans="1:20" x14ac:dyDescent="0.25">
      <c r="A238" s="5">
        <v>44355</v>
      </c>
      <c r="B238">
        <v>0.8619</v>
      </c>
      <c r="C238">
        <v>0.8861</v>
      </c>
      <c r="D238">
        <v>0.78380000000000005</v>
      </c>
      <c r="E238">
        <v>0.87309999999999999</v>
      </c>
      <c r="F238">
        <v>989287175.64999998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0.74584555229716487</v>
      </c>
      <c r="Q238">
        <f t="shared" si="960"/>
        <v>737855439.90317655</v>
      </c>
      <c r="R238">
        <f t="shared" si="961"/>
        <v>24612113620.132835</v>
      </c>
      <c r="S238">
        <f t="shared" si="962"/>
        <v>246121.13620132837</v>
      </c>
      <c r="T238">
        <f t="shared" si="963"/>
        <v>246.12113620132837</v>
      </c>
    </row>
    <row r="239" spans="1:20" x14ac:dyDescent="0.25">
      <c r="A239" s="5">
        <v>44354</v>
      </c>
      <c r="B239">
        <v>0.94689999999999996</v>
      </c>
      <c r="C239">
        <v>0.97599999999999998</v>
      </c>
      <c r="D239">
        <v>0.83799999999999997</v>
      </c>
      <c r="E239">
        <v>0.86180000000000001</v>
      </c>
      <c r="F239">
        <v>673906993.46000004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-0.65507246376811534</v>
      </c>
      <c r="Q239">
        <f t="shared" si="960"/>
        <v>-441457914.55640543</v>
      </c>
      <c r="R239">
        <f t="shared" si="961"/>
        <v>23874258180.22966</v>
      </c>
      <c r="S239">
        <f t="shared" si="962"/>
        <v>238742.5818022966</v>
      </c>
      <c r="T239">
        <f t="shared" si="963"/>
        <v>238.7425818022966</v>
      </c>
    </row>
    <row r="240" spans="1:20" x14ac:dyDescent="0.25">
      <c r="A240" s="5">
        <v>44353</v>
      </c>
      <c r="B240">
        <v>0.92300000000000004</v>
      </c>
      <c r="C240">
        <v>0.94930000000000003</v>
      </c>
      <c r="D240">
        <v>0.91700000000000004</v>
      </c>
      <c r="E240">
        <v>0.94699999999999995</v>
      </c>
      <c r="F240">
        <v>395443235.74000001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0.85758513931888047</v>
      </c>
      <c r="Q240">
        <f t="shared" si="960"/>
        <v>339126242.41479683</v>
      </c>
      <c r="R240">
        <f t="shared" si="961"/>
        <v>24315716094.786064</v>
      </c>
      <c r="S240">
        <f t="shared" si="962"/>
        <v>243157.16094786066</v>
      </c>
      <c r="T240">
        <f t="shared" si="963"/>
        <v>243.15716094786066</v>
      </c>
    </row>
    <row r="241" spans="1:20" x14ac:dyDescent="0.25">
      <c r="A241" s="5">
        <v>44352</v>
      </c>
      <c r="B241">
        <v>0.96830000000000005</v>
      </c>
      <c r="C241">
        <v>0.99729999999999996</v>
      </c>
      <c r="D241">
        <v>0.8921</v>
      </c>
      <c r="E241">
        <v>0.92300000000000004</v>
      </c>
      <c r="F241">
        <v>621966894.79999995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-0.4125475285171093</v>
      </c>
      <c r="Q241">
        <f t="shared" si="960"/>
        <v>-256590905.26920089</v>
      </c>
      <c r="R241">
        <f t="shared" si="961"/>
        <v>23976589852.371269</v>
      </c>
      <c r="S241">
        <f t="shared" si="962"/>
        <v>239765.89852371271</v>
      </c>
      <c r="T241">
        <f t="shared" si="963"/>
        <v>239.76589852371271</v>
      </c>
    </row>
    <row r="242" spans="1:20" x14ac:dyDescent="0.25">
      <c r="A242" s="5">
        <v>44351</v>
      </c>
      <c r="B242">
        <v>1.0452999999999999</v>
      </c>
      <c r="C242">
        <v>1.0466</v>
      </c>
      <c r="D242">
        <v>0.91559999999999997</v>
      </c>
      <c r="E242">
        <v>0.96830000000000005</v>
      </c>
      <c r="F242">
        <v>814525376.25999999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-0.19541984732824308</v>
      </c>
      <c r="Q242">
        <f t="shared" si="960"/>
        <v>-159174424.67370895</v>
      </c>
      <c r="R242">
        <f t="shared" si="961"/>
        <v>24233180757.640469</v>
      </c>
      <c r="S242">
        <f t="shared" si="962"/>
        <v>242331.80757640468</v>
      </c>
      <c r="T242">
        <f t="shared" si="963"/>
        <v>242.33180757640469</v>
      </c>
    </row>
    <row r="243" spans="1:20" x14ac:dyDescent="0.25">
      <c r="A243" s="5">
        <v>44350</v>
      </c>
      <c r="B243">
        <v>1.0241</v>
      </c>
      <c r="C243">
        <v>1.0789</v>
      </c>
      <c r="D243">
        <v>1.0068999999999999</v>
      </c>
      <c r="E243">
        <v>1.0449999999999999</v>
      </c>
      <c r="F243">
        <v>701176435.11000001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5.8333333333333022E-2</v>
      </c>
      <c r="Q243">
        <f t="shared" si="960"/>
        <v>40901958.714749783</v>
      </c>
      <c r="R243">
        <f t="shared" si="961"/>
        <v>24392355182.314178</v>
      </c>
      <c r="S243">
        <f t="shared" si="962"/>
        <v>243923.55182314178</v>
      </c>
      <c r="T243">
        <f t="shared" si="963"/>
        <v>243.92355182314179</v>
      </c>
    </row>
    <row r="244" spans="1:20" x14ac:dyDescent="0.25">
      <c r="A244" s="5">
        <v>44349</v>
      </c>
      <c r="B244">
        <v>1.0107999999999999</v>
      </c>
      <c r="C244">
        <v>1.0498000000000001</v>
      </c>
      <c r="D244">
        <v>0.97929999999999995</v>
      </c>
      <c r="E244">
        <v>1.0241</v>
      </c>
      <c r="F244">
        <v>673790276.51999998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0.27092198581560245</v>
      </c>
      <c r="Q244">
        <f t="shared" si="960"/>
        <v>182544599.73804229</v>
      </c>
      <c r="R244">
        <f t="shared" si="961"/>
        <v>24351453223.59943</v>
      </c>
      <c r="S244">
        <f t="shared" si="962"/>
        <v>243514.53223599429</v>
      </c>
      <c r="T244">
        <f t="shared" si="963"/>
        <v>243.5145322359943</v>
      </c>
    </row>
    <row r="245" spans="1:20" x14ac:dyDescent="0.25">
      <c r="A245" s="5">
        <v>44348</v>
      </c>
      <c r="B245">
        <v>1.0408999999999999</v>
      </c>
      <c r="C245">
        <v>1.1000000000000001</v>
      </c>
      <c r="D245">
        <v>0.97419999999999995</v>
      </c>
      <c r="E245">
        <v>1.0107999999999999</v>
      </c>
      <c r="F245">
        <v>1130390772.8499999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-0.41812400635930164</v>
      </c>
      <c r="Q245">
        <f t="shared" si="960"/>
        <v>-472643518.69562924</v>
      </c>
      <c r="R245">
        <f t="shared" si="961"/>
        <v>24168908623.861389</v>
      </c>
      <c r="S245">
        <f t="shared" si="962"/>
        <v>241689.08623861391</v>
      </c>
      <c r="T245">
        <f t="shared" si="963"/>
        <v>241.6890862386139</v>
      </c>
    </row>
    <row r="246" spans="1:20" x14ac:dyDescent="0.25">
      <c r="A246" s="5">
        <v>44347</v>
      </c>
      <c r="B246">
        <v>0.90580000000000005</v>
      </c>
      <c r="C246">
        <v>1.0495000000000001</v>
      </c>
      <c r="D246">
        <v>0.87890000000000001</v>
      </c>
      <c r="E246">
        <v>1.0408999999999999</v>
      </c>
      <c r="F246">
        <v>1221688769.45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0.89917936694020917</v>
      </c>
      <c r="Q246">
        <f t="shared" si="960"/>
        <v>1098517334.3120141</v>
      </c>
      <c r="R246">
        <f t="shared" si="961"/>
        <v>24641552142.557018</v>
      </c>
      <c r="S246">
        <f t="shared" si="962"/>
        <v>246415.52142557019</v>
      </c>
      <c r="T246">
        <f t="shared" si="963"/>
        <v>246.41552142557018</v>
      </c>
    </row>
    <row r="247" spans="1:20" x14ac:dyDescent="0.25">
      <c r="A247" s="5">
        <v>44346</v>
      </c>
      <c r="B247">
        <v>0.83189999999999997</v>
      </c>
      <c r="C247">
        <v>0.93369999999999997</v>
      </c>
      <c r="D247">
        <v>0.7974</v>
      </c>
      <c r="E247">
        <v>0.90580000000000005</v>
      </c>
      <c r="F247">
        <v>837581783.29999995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0.59060895084372811</v>
      </c>
      <c r="Q247">
        <f t="shared" si="960"/>
        <v>494683298.28063178</v>
      </c>
      <c r="R247">
        <f t="shared" si="961"/>
        <v>23543034808.245003</v>
      </c>
      <c r="S247">
        <f t="shared" si="962"/>
        <v>235430.34808245001</v>
      </c>
      <c r="T247">
        <f t="shared" si="963"/>
        <v>235.43034808245002</v>
      </c>
    </row>
    <row r="248" spans="1:20" x14ac:dyDescent="0.25">
      <c r="A248" s="5">
        <v>44345</v>
      </c>
      <c r="B248">
        <v>0.89849999999999997</v>
      </c>
      <c r="C248">
        <v>0.94130000000000003</v>
      </c>
      <c r="D248">
        <v>0.79110000000000003</v>
      </c>
      <c r="E248">
        <v>0.83179999999999998</v>
      </c>
      <c r="F248">
        <v>980984330.41999996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-0.45805592543275686</v>
      </c>
      <c r="Q248">
        <f t="shared" si="960"/>
        <v>-449345685.30556643</v>
      </c>
      <c r="R248">
        <f t="shared" si="961"/>
        <v>23048351509.964371</v>
      </c>
      <c r="S248">
        <f t="shared" si="962"/>
        <v>230483.5150996437</v>
      </c>
      <c r="T248">
        <f t="shared" si="963"/>
        <v>230.48351509964371</v>
      </c>
    </row>
    <row r="249" spans="1:20" x14ac:dyDescent="0.25">
      <c r="A249" s="5">
        <v>44344</v>
      </c>
      <c r="B249">
        <v>0.97470000000000001</v>
      </c>
      <c r="C249">
        <v>0.98470000000000002</v>
      </c>
      <c r="D249">
        <v>0.84450000000000003</v>
      </c>
      <c r="E249">
        <v>0.89849999999999997</v>
      </c>
      <c r="F249">
        <v>1220369622.0599999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-0.22967189728958715</v>
      </c>
      <c r="Q249">
        <f t="shared" si="960"/>
        <v>-280284606.49309659</v>
      </c>
      <c r="R249">
        <f t="shared" si="961"/>
        <v>23497697195.269936</v>
      </c>
      <c r="S249">
        <f t="shared" si="962"/>
        <v>234976.97195269936</v>
      </c>
      <c r="T249">
        <f t="shared" si="963"/>
        <v>234.97697195269936</v>
      </c>
    </row>
    <row r="250" spans="1:20" x14ac:dyDescent="0.25">
      <c r="A250" s="5">
        <v>44343</v>
      </c>
      <c r="B250">
        <v>1.0316000000000001</v>
      </c>
      <c r="C250">
        <v>1.0423</v>
      </c>
      <c r="D250">
        <v>0.93220000000000003</v>
      </c>
      <c r="E250">
        <v>0.97470000000000001</v>
      </c>
      <c r="F250">
        <v>997129594.41999996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-0.22797456857402376</v>
      </c>
      <c r="Q250">
        <f t="shared" si="960"/>
        <v>-227320189.10029078</v>
      </c>
      <c r="R250">
        <f t="shared" si="961"/>
        <v>23777981801.763031</v>
      </c>
      <c r="S250">
        <f t="shared" si="962"/>
        <v>237779.81801763031</v>
      </c>
      <c r="T250">
        <f t="shared" si="963"/>
        <v>237.7798180176303</v>
      </c>
    </row>
    <row r="251" spans="1:20" x14ac:dyDescent="0.25">
      <c r="A251" s="5">
        <v>44342</v>
      </c>
      <c r="B251">
        <v>0.97470000000000001</v>
      </c>
      <c r="C251">
        <v>1.0698000000000001</v>
      </c>
      <c r="D251">
        <v>0.94610000000000005</v>
      </c>
      <c r="E251">
        <v>1.0316000000000001</v>
      </c>
      <c r="F251">
        <v>1160288119.6300001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0.38237671786580435</v>
      </c>
      <c r="Q251">
        <f t="shared" si="960"/>
        <v>443667162.96280521</v>
      </c>
      <c r="R251">
        <f t="shared" si="961"/>
        <v>24005301990.863323</v>
      </c>
      <c r="S251">
        <f t="shared" si="962"/>
        <v>240053.01990863323</v>
      </c>
      <c r="T251">
        <f t="shared" si="963"/>
        <v>240.05301990863322</v>
      </c>
    </row>
    <row r="252" spans="1:20" x14ac:dyDescent="0.25">
      <c r="A252" s="5">
        <v>44341</v>
      </c>
      <c r="B252">
        <v>0.99339999999999995</v>
      </c>
      <c r="C252">
        <v>1.07</v>
      </c>
      <c r="D252">
        <v>0.87909999999999999</v>
      </c>
      <c r="E252">
        <v>0.97460000000000002</v>
      </c>
      <c r="F252">
        <v>1654728049.9100001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5.238344683079568E-4</v>
      </c>
      <c r="Q252">
        <f t="shared" si="960"/>
        <v>866803.58821886708</v>
      </c>
      <c r="R252">
        <f t="shared" si="961"/>
        <v>23561634827.900517</v>
      </c>
      <c r="S252">
        <f t="shared" si="962"/>
        <v>235616.34827900518</v>
      </c>
      <c r="T252">
        <f t="shared" si="963"/>
        <v>235.61634827900517</v>
      </c>
    </row>
    <row r="253" spans="1:20" x14ac:dyDescent="0.25">
      <c r="A253" s="5">
        <v>44340</v>
      </c>
      <c r="B253">
        <v>0.78990000000000005</v>
      </c>
      <c r="C253">
        <v>0.997</v>
      </c>
      <c r="D253">
        <v>0.75370000000000004</v>
      </c>
      <c r="E253">
        <v>0.99299999999999999</v>
      </c>
      <c r="F253">
        <v>1613054853.9400001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0.96711878339498558</v>
      </c>
      <c r="Q253">
        <f t="shared" si="960"/>
        <v>1560015647.891829</v>
      </c>
      <c r="R253">
        <f t="shared" si="961"/>
        <v>23560768024.312298</v>
      </c>
      <c r="S253">
        <f t="shared" si="962"/>
        <v>235607.68024312297</v>
      </c>
      <c r="T253">
        <f t="shared" si="963"/>
        <v>235.60768024312299</v>
      </c>
    </row>
    <row r="254" spans="1:20" x14ac:dyDescent="0.25">
      <c r="A254" s="5">
        <v>44339</v>
      </c>
      <c r="B254">
        <v>0.9052</v>
      </c>
      <c r="C254">
        <v>0.96789999999999998</v>
      </c>
      <c r="D254">
        <v>0.65</v>
      </c>
      <c r="E254">
        <v>0.78979999999999995</v>
      </c>
      <c r="F254">
        <v>1976494217.2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-0.12047813777917621</v>
      </c>
      <c r="Q254">
        <f t="shared" si="960"/>
        <v>-238124342.61956662</v>
      </c>
      <c r="R254">
        <f t="shared" si="961"/>
        <v>22000752376.420467</v>
      </c>
      <c r="S254">
        <f t="shared" si="962"/>
        <v>220007.52376420467</v>
      </c>
      <c r="T254">
        <f t="shared" si="963"/>
        <v>220.00752376420468</v>
      </c>
    </row>
    <row r="255" spans="1:20" x14ac:dyDescent="0.25">
      <c r="A255" s="5">
        <v>44338</v>
      </c>
      <c r="B255">
        <v>1.0062</v>
      </c>
      <c r="C255">
        <v>1.0162</v>
      </c>
      <c r="D255">
        <v>0.81599999999999995</v>
      </c>
      <c r="E255">
        <v>0.9052</v>
      </c>
      <c r="F255">
        <v>1478148766.9100001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-0.10889110889110852</v>
      </c>
      <c r="Q255">
        <f t="shared" si="960"/>
        <v>-160957258.3348546</v>
      </c>
      <c r="R255">
        <f t="shared" si="961"/>
        <v>22238876719.040035</v>
      </c>
      <c r="S255">
        <f t="shared" si="962"/>
        <v>222388.76719040037</v>
      </c>
      <c r="T255">
        <f t="shared" si="963"/>
        <v>222.38876719040036</v>
      </c>
    </row>
    <row r="256" spans="1:20" x14ac:dyDescent="0.25">
      <c r="A256" s="5">
        <v>44337</v>
      </c>
      <c r="B256">
        <v>1.1801999999999999</v>
      </c>
      <c r="C256">
        <v>1.2194</v>
      </c>
      <c r="D256">
        <v>0.86409999999999998</v>
      </c>
      <c r="E256">
        <v>1.0062</v>
      </c>
      <c r="F256">
        <v>1813489499.1700001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-0.20011258091753459</v>
      </c>
      <c r="Q256">
        <f t="shared" si="960"/>
        <v>-362902064.14575589</v>
      </c>
      <c r="R256">
        <f t="shared" si="961"/>
        <v>22399833977.374889</v>
      </c>
      <c r="S256">
        <f t="shared" si="962"/>
        <v>223998.33977374888</v>
      </c>
      <c r="T256">
        <f t="shared" si="963"/>
        <v>223.99833977374888</v>
      </c>
    </row>
    <row r="257" spans="1:20" x14ac:dyDescent="0.25">
      <c r="A257" s="5">
        <v>44336</v>
      </c>
      <c r="B257">
        <v>1.0565</v>
      </c>
      <c r="C257">
        <v>1.2664</v>
      </c>
      <c r="D257">
        <v>0.9</v>
      </c>
      <c r="E257">
        <v>1.1795</v>
      </c>
      <c r="F257">
        <v>1974341688.46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0.52565502183406121</v>
      </c>
      <c r="Q257">
        <f t="shared" si="960"/>
        <v>1037822623.3553386</v>
      </c>
      <c r="R257">
        <f t="shared" si="961"/>
        <v>22762736041.520645</v>
      </c>
      <c r="S257">
        <f t="shared" si="962"/>
        <v>227627.36041520647</v>
      </c>
      <c r="T257">
        <f t="shared" si="963"/>
        <v>227.62736041520645</v>
      </c>
    </row>
    <row r="258" spans="1:20" x14ac:dyDescent="0.25">
      <c r="A258" s="5">
        <v>44335</v>
      </c>
      <c r="B258">
        <v>1.5892999999999999</v>
      </c>
      <c r="C258">
        <v>1.6448</v>
      </c>
      <c r="D258">
        <v>0.85</v>
      </c>
      <c r="E258">
        <v>1.0568</v>
      </c>
      <c r="F258">
        <v>3180237280.29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-0.47961751383995982</v>
      </c>
      <c r="Q258">
        <f t="shared" si="960"/>
        <v>-1525297497.7938452</v>
      </c>
      <c r="R258">
        <f t="shared" si="961"/>
        <v>21724913418.165306</v>
      </c>
      <c r="S258">
        <f t="shared" si="962"/>
        <v>217249.13418165306</v>
      </c>
      <c r="T258">
        <f t="shared" si="963"/>
        <v>217.24913418165306</v>
      </c>
    </row>
    <row r="259" spans="1:20" x14ac:dyDescent="0.25">
      <c r="A259" s="5">
        <v>44334</v>
      </c>
      <c r="B259">
        <v>1.4952000000000001</v>
      </c>
      <c r="C259">
        <v>1.7050000000000001</v>
      </c>
      <c r="D259">
        <v>1.4698</v>
      </c>
      <c r="E259">
        <v>1.5889</v>
      </c>
      <c r="F259">
        <v>1813933407.6300001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1.2755102040815862E-2</v>
      </c>
      <c r="Q259">
        <f t="shared" si="960"/>
        <v>23136905.709565487</v>
      </c>
      <c r="R259">
        <f t="shared" si="961"/>
        <v>23250210915.959152</v>
      </c>
      <c r="S259">
        <f t="shared" si="962"/>
        <v>232502.10915959152</v>
      </c>
      <c r="T259">
        <f t="shared" si="963"/>
        <v>232.50210915959153</v>
      </c>
    </row>
    <row r="260" spans="1:20" x14ac:dyDescent="0.25">
      <c r="A260" s="5">
        <v>44333</v>
      </c>
      <c r="B260">
        <v>1.4496</v>
      </c>
      <c r="C260">
        <v>1.5649999999999999</v>
      </c>
      <c r="D260">
        <v>1.3242</v>
      </c>
      <c r="E260">
        <v>1.4945999999999999</v>
      </c>
      <c r="F260">
        <v>1560737399.7</v>
      </c>
      <c r="G260">
        <v>0</v>
      </c>
      <c r="L260" t="s">
        <v>7</v>
      </c>
      <c r="M260" t="s">
        <v>8</v>
      </c>
      <c r="N260" t="s">
        <v>8</v>
      </c>
      <c r="P260">
        <f t="shared" si="959"/>
        <v>0.41528239202657768</v>
      </c>
      <c r="Q260">
        <f t="shared" si="960"/>
        <v>648146760.67275691</v>
      </c>
      <c r="R260">
        <f t="shared" si="961"/>
        <v>23227074010.249588</v>
      </c>
      <c r="S260">
        <f t="shared" si="962"/>
        <v>232270.74010249588</v>
      </c>
      <c r="T260">
        <f t="shared" si="963"/>
        <v>232.27074010249589</v>
      </c>
    </row>
    <row r="261" spans="1:20" x14ac:dyDescent="0.25">
      <c r="A261" s="5">
        <v>44332</v>
      </c>
      <c r="B261">
        <v>1.4911000000000001</v>
      </c>
      <c r="C261">
        <v>1.6131</v>
      </c>
      <c r="D261">
        <v>1.3372999999999999</v>
      </c>
      <c r="E261">
        <v>1.4496</v>
      </c>
      <c r="F261">
        <v>1498147985.6500001</v>
      </c>
      <c r="G261">
        <v>0</v>
      </c>
      <c r="L261" t="s">
        <v>8</v>
      </c>
      <c r="M261" t="s">
        <v>7</v>
      </c>
      <c r="N261" t="s">
        <v>8</v>
      </c>
      <c r="P261">
        <f t="shared" si="959"/>
        <v>-0.18564176939811422</v>
      </c>
      <c r="Q261">
        <f t="shared" si="960"/>
        <v>-278118842.87628663</v>
      </c>
      <c r="R261">
        <f t="shared" si="961"/>
        <v>22578927249.576832</v>
      </c>
      <c r="S261">
        <f t="shared" si="962"/>
        <v>225789.27249576832</v>
      </c>
      <c r="T261">
        <f t="shared" si="963"/>
        <v>225.78927249576833</v>
      </c>
    </row>
    <row r="262" spans="1:20" x14ac:dyDescent="0.25">
      <c r="A262" s="5">
        <v>44331</v>
      </c>
      <c r="B262">
        <v>1.3997999999999999</v>
      </c>
      <c r="C262">
        <v>1.5869</v>
      </c>
      <c r="D262">
        <v>1.3210999999999999</v>
      </c>
      <c r="E262">
        <v>1.4903999999999999</v>
      </c>
      <c r="F262">
        <v>1495464769.52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0.27389014296463493</v>
      </c>
      <c r="Q262">
        <f t="shared" ref="Q262:Q325" si="965">F262*P262</f>
        <v>409593059.52240759</v>
      </c>
      <c r="R262">
        <f t="shared" ref="R262:R325" si="966">R263+Q262</f>
        <v>22857046092.453117</v>
      </c>
      <c r="S262">
        <f t="shared" ref="S262:S325" si="967">R262/100000</f>
        <v>228570.46092453119</v>
      </c>
      <c r="T262">
        <f t="shared" ref="T262:T325" si="968">S262/1000</f>
        <v>228.57046092453118</v>
      </c>
    </row>
    <row r="263" spans="1:20" x14ac:dyDescent="0.25">
      <c r="A263" s="5">
        <v>44330</v>
      </c>
      <c r="B263">
        <v>1.3644000000000001</v>
      </c>
      <c r="C263">
        <v>1.4488000000000001</v>
      </c>
      <c r="D263">
        <v>1.321</v>
      </c>
      <c r="E263">
        <v>1.4</v>
      </c>
      <c r="F263">
        <v>772801586.75999999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0.2363067292644738</v>
      </c>
      <c r="Q263">
        <f t="shared" si="965"/>
        <v>182618215.33765107</v>
      </c>
      <c r="R263">
        <f t="shared" si="966"/>
        <v>22447453032.93071</v>
      </c>
      <c r="S263">
        <f t="shared" si="967"/>
        <v>224474.5303293071</v>
      </c>
      <c r="T263">
        <f t="shared" si="968"/>
        <v>224.4745303293071</v>
      </c>
    </row>
    <row r="264" spans="1:20" x14ac:dyDescent="0.25">
      <c r="A264" s="5">
        <v>44329</v>
      </c>
      <c r="B264">
        <v>1.2689999999999999</v>
      </c>
      <c r="C264">
        <v>1.389</v>
      </c>
      <c r="D264">
        <v>1.2</v>
      </c>
      <c r="E264">
        <v>1.3640000000000001</v>
      </c>
      <c r="F264">
        <v>1308704814.3699999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0.73544973544973646</v>
      </c>
      <c r="Q264">
        <f t="shared" si="965"/>
        <v>962486609.5102129</v>
      </c>
      <c r="R264">
        <f t="shared" si="966"/>
        <v>22264834817.59306</v>
      </c>
      <c r="S264">
        <f t="shared" si="967"/>
        <v>222648.34817593059</v>
      </c>
      <c r="T264">
        <f t="shared" si="968"/>
        <v>222.64834817593058</v>
      </c>
    </row>
    <row r="265" spans="1:20" x14ac:dyDescent="0.25">
      <c r="A265" s="5">
        <v>44328</v>
      </c>
      <c r="B265">
        <v>1.4787999999999999</v>
      </c>
      <c r="C265">
        <v>1.5469999999999999</v>
      </c>
      <c r="D265">
        <v>1.2350000000000001</v>
      </c>
      <c r="E265">
        <v>1.2690999999999999</v>
      </c>
      <c r="F265">
        <v>1028881609</v>
      </c>
      <c r="G265">
        <v>0</v>
      </c>
      <c r="L265" t="s">
        <v>8</v>
      </c>
      <c r="M265" t="s">
        <v>7</v>
      </c>
      <c r="N265" t="s">
        <v>8</v>
      </c>
      <c r="P265">
        <f t="shared" si="964"/>
        <v>-0.78141025641025763</v>
      </c>
      <c r="Q265">
        <f t="shared" si="965"/>
        <v>-803978641.90448844</v>
      </c>
      <c r="R265">
        <f t="shared" si="966"/>
        <v>21302348208.082848</v>
      </c>
      <c r="S265">
        <f t="shared" si="967"/>
        <v>213023.48208082849</v>
      </c>
      <c r="T265">
        <f t="shared" si="968"/>
        <v>213.02348208082847</v>
      </c>
    </row>
    <row r="266" spans="1:20" x14ac:dyDescent="0.25">
      <c r="A266" s="5">
        <v>44327</v>
      </c>
      <c r="B266">
        <v>1.391</v>
      </c>
      <c r="C266">
        <v>1.4904999999999999</v>
      </c>
      <c r="D266">
        <v>1.3554999999999999</v>
      </c>
      <c r="E266">
        <v>1.4785999999999999</v>
      </c>
      <c r="F266">
        <v>724101053.88999999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0.82370370370370338</v>
      </c>
      <c r="Q266">
        <f t="shared" si="965"/>
        <v>596444719.94494796</v>
      </c>
      <c r="R266">
        <f t="shared" si="966"/>
        <v>22106326849.987335</v>
      </c>
      <c r="S266">
        <f t="shared" si="967"/>
        <v>221063.26849987335</v>
      </c>
      <c r="T266">
        <f t="shared" si="968"/>
        <v>221.06326849987335</v>
      </c>
    </row>
    <row r="267" spans="1:20" x14ac:dyDescent="0.25">
      <c r="A267" s="5">
        <v>44326</v>
      </c>
      <c r="B267">
        <v>1.5343</v>
      </c>
      <c r="C267">
        <v>1.627</v>
      </c>
      <c r="D267">
        <v>1.214</v>
      </c>
      <c r="E267">
        <v>1.3906000000000001</v>
      </c>
      <c r="F267">
        <v>1154086820.05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-0.14479418886198511</v>
      </c>
      <c r="Q267">
        <f t="shared" si="965"/>
        <v>-167105064.98544753</v>
      </c>
      <c r="R267">
        <f t="shared" si="966"/>
        <v>21509882130.042389</v>
      </c>
      <c r="S267">
        <f t="shared" si="967"/>
        <v>215098.82130042388</v>
      </c>
      <c r="T267">
        <f t="shared" si="968"/>
        <v>215.09882130042388</v>
      </c>
    </row>
    <row r="268" spans="1:20" x14ac:dyDescent="0.25">
      <c r="A268" s="5">
        <v>44325</v>
      </c>
      <c r="B268">
        <v>1.5610999999999999</v>
      </c>
      <c r="C268">
        <v>1.5968</v>
      </c>
      <c r="D268">
        <v>1.4249000000000001</v>
      </c>
      <c r="E268">
        <v>1.5345</v>
      </c>
      <c r="F268">
        <v>726954201.32000005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0.27515997673065684</v>
      </c>
      <c r="Q268">
        <f t="shared" si="965"/>
        <v>200028701.11946446</v>
      </c>
      <c r="R268">
        <f t="shared" si="966"/>
        <v>21676987195.027836</v>
      </c>
      <c r="S268">
        <f t="shared" si="967"/>
        <v>216769.87195027835</v>
      </c>
      <c r="T268">
        <f t="shared" si="968"/>
        <v>216.76987195027834</v>
      </c>
    </row>
    <row r="269" spans="1:20" x14ac:dyDescent="0.25">
      <c r="A269" s="5">
        <v>44324</v>
      </c>
      <c r="B269">
        <v>1.5794999999999999</v>
      </c>
      <c r="C269">
        <v>1.6276999999999999</v>
      </c>
      <c r="D269">
        <v>1.5404</v>
      </c>
      <c r="E269">
        <v>1.5610999999999999</v>
      </c>
      <c r="F269">
        <v>514586255.38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-0.52577319587628968</v>
      </c>
      <c r="Q269">
        <f t="shared" si="965"/>
        <v>-270555660.04515517</v>
      </c>
      <c r="R269">
        <f t="shared" si="966"/>
        <v>21476958493.908371</v>
      </c>
      <c r="S269">
        <f t="shared" si="967"/>
        <v>214769.5849390837</v>
      </c>
      <c r="T269">
        <f t="shared" si="968"/>
        <v>214.7695849390837</v>
      </c>
    </row>
    <row r="270" spans="1:20" x14ac:dyDescent="0.25">
      <c r="A270" s="5">
        <v>44323</v>
      </c>
      <c r="B270">
        <v>1.6028</v>
      </c>
      <c r="C270">
        <v>1.6950000000000001</v>
      </c>
      <c r="D270">
        <v>1.5049999999999999</v>
      </c>
      <c r="E270">
        <v>1.5792999999999999</v>
      </c>
      <c r="F270">
        <v>894697893.66999996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-0.21789473684210561</v>
      </c>
      <c r="Q270">
        <f t="shared" si="965"/>
        <v>-194949962.09441084</v>
      </c>
      <c r="R270">
        <f t="shared" si="966"/>
        <v>21747514153.953526</v>
      </c>
      <c r="S270">
        <f t="shared" si="967"/>
        <v>217475.14153953525</v>
      </c>
      <c r="T270">
        <f t="shared" si="968"/>
        <v>217.47514153953526</v>
      </c>
    </row>
    <row r="271" spans="1:20" x14ac:dyDescent="0.25">
      <c r="A271" s="5">
        <v>44322</v>
      </c>
      <c r="B271">
        <v>1.6136999999999999</v>
      </c>
      <c r="C271">
        <v>1.7658</v>
      </c>
      <c r="D271">
        <v>1.5209999999999999</v>
      </c>
      <c r="E271">
        <v>1.6028</v>
      </c>
      <c r="F271">
        <v>1507415092.6099999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-0.33169934640522836</v>
      </c>
      <c r="Q271">
        <f t="shared" si="965"/>
        <v>-500008600.98011374</v>
      </c>
      <c r="R271">
        <f t="shared" si="966"/>
        <v>21942464116.047935</v>
      </c>
      <c r="S271">
        <f t="shared" si="967"/>
        <v>219424.64116047937</v>
      </c>
      <c r="T271">
        <f t="shared" si="968"/>
        <v>219.42464116047938</v>
      </c>
    </row>
    <row r="272" spans="1:20" x14ac:dyDescent="0.25">
      <c r="A272" s="5">
        <v>44321</v>
      </c>
      <c r="B272">
        <v>1.3877999999999999</v>
      </c>
      <c r="C272">
        <v>1.6240000000000001</v>
      </c>
      <c r="D272">
        <v>1.3660000000000001</v>
      </c>
      <c r="E272">
        <v>1.6133</v>
      </c>
      <c r="F272">
        <v>1261641294.96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0.91705426356589026</v>
      </c>
      <c r="Q272">
        <f t="shared" si="965"/>
        <v>1156993528.6338589</v>
      </c>
      <c r="R272">
        <f t="shared" si="966"/>
        <v>22442472717.028049</v>
      </c>
      <c r="S272">
        <f t="shared" si="967"/>
        <v>224424.7271702805</v>
      </c>
      <c r="T272">
        <f t="shared" si="968"/>
        <v>224.42472717028051</v>
      </c>
    </row>
    <row r="273" spans="1:20" x14ac:dyDescent="0.25">
      <c r="A273" s="5">
        <v>44320</v>
      </c>
      <c r="B273">
        <v>1.5546</v>
      </c>
      <c r="C273">
        <v>1.5580000000000001</v>
      </c>
      <c r="D273">
        <v>1.32</v>
      </c>
      <c r="E273">
        <v>1.3876999999999999</v>
      </c>
      <c r="F273">
        <v>1375223308.72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-0.43109243697479099</v>
      </c>
      <c r="Q273">
        <f t="shared" si="965"/>
        <v>-592848367.54064012</v>
      </c>
      <c r="R273">
        <f t="shared" si="966"/>
        <v>21285479188.394192</v>
      </c>
      <c r="S273">
        <f t="shared" si="967"/>
        <v>212854.79188394191</v>
      </c>
      <c r="T273">
        <f t="shared" si="968"/>
        <v>212.85479188394191</v>
      </c>
    </row>
    <row r="274" spans="1:20" x14ac:dyDescent="0.25">
      <c r="A274" s="5">
        <v>44319</v>
      </c>
      <c r="B274">
        <v>1.5605</v>
      </c>
      <c r="C274">
        <v>1.6215999999999999</v>
      </c>
      <c r="D274">
        <v>1.47</v>
      </c>
      <c r="E274">
        <v>1.5546</v>
      </c>
      <c r="F274">
        <v>670988111.67999995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0.11609498680738829</v>
      </c>
      <c r="Q274">
        <f t="shared" si="965"/>
        <v>77898355.973403975</v>
      </c>
      <c r="R274">
        <f t="shared" si="966"/>
        <v>21878327555.934834</v>
      </c>
      <c r="S274">
        <f t="shared" si="967"/>
        <v>218783.27555934835</v>
      </c>
      <c r="T274">
        <f t="shared" si="968"/>
        <v>218.78327555934834</v>
      </c>
    </row>
    <row r="275" spans="1:20" x14ac:dyDescent="0.25">
      <c r="A275" s="5">
        <v>44318</v>
      </c>
      <c r="B275">
        <v>1.651</v>
      </c>
      <c r="C275">
        <v>1.6579999999999999</v>
      </c>
      <c r="D275">
        <v>1.5249999999999999</v>
      </c>
      <c r="E275">
        <v>1.5605</v>
      </c>
      <c r="F275">
        <v>602425194.38999999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-0.46616541353383328</v>
      </c>
      <c r="Q275">
        <f t="shared" si="965"/>
        <v>-280829789.86601424</v>
      </c>
      <c r="R275">
        <f t="shared" si="966"/>
        <v>21800429199.96143</v>
      </c>
      <c r="S275">
        <f t="shared" si="967"/>
        <v>218004.2919996143</v>
      </c>
      <c r="T275">
        <f t="shared" si="968"/>
        <v>218.00429199961431</v>
      </c>
    </row>
    <row r="276" spans="1:20" x14ac:dyDescent="0.25">
      <c r="A276" s="5">
        <v>44317</v>
      </c>
      <c r="B276">
        <v>1.5989</v>
      </c>
      <c r="C276">
        <v>1.6666000000000001</v>
      </c>
      <c r="D276">
        <v>1.5226</v>
      </c>
      <c r="E276">
        <v>1.651</v>
      </c>
      <c r="F276">
        <v>701328204.71000004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0.78333333333333277</v>
      </c>
      <c r="Q276">
        <f t="shared" si="965"/>
        <v>549373760.35616624</v>
      </c>
      <c r="R276">
        <f t="shared" si="966"/>
        <v>22081258989.827442</v>
      </c>
      <c r="S276">
        <f t="shared" si="967"/>
        <v>220812.58989827443</v>
      </c>
      <c r="T276">
        <f t="shared" si="968"/>
        <v>220.81258989827444</v>
      </c>
    </row>
    <row r="277" spans="1:20" x14ac:dyDescent="0.25">
      <c r="A277" s="5">
        <v>44316</v>
      </c>
      <c r="B277">
        <v>1.3977999999999999</v>
      </c>
      <c r="C277">
        <v>1.6396999999999999</v>
      </c>
      <c r="D277">
        <v>1.3745000000000001</v>
      </c>
      <c r="E277">
        <v>1.5988</v>
      </c>
      <c r="F277">
        <v>1429394131.02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0.69155354449472128</v>
      </c>
      <c r="Q277">
        <f t="shared" si="965"/>
        <v>988502577.78683305</v>
      </c>
      <c r="R277">
        <f t="shared" si="966"/>
        <v>21531885229.471275</v>
      </c>
      <c r="S277">
        <f t="shared" si="967"/>
        <v>215318.85229471276</v>
      </c>
      <c r="T277">
        <f t="shared" si="968"/>
        <v>215.31885229471277</v>
      </c>
    </row>
    <row r="278" spans="1:20" x14ac:dyDescent="0.25">
      <c r="A278" s="5">
        <v>44315</v>
      </c>
      <c r="B278">
        <v>1.3575999999999999</v>
      </c>
      <c r="C278">
        <v>1.42</v>
      </c>
      <c r="D278">
        <v>1.3263</v>
      </c>
      <c r="E278">
        <v>1.3977999999999999</v>
      </c>
      <c r="F278">
        <v>824625421.08000004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0.52614727854855881</v>
      </c>
      <c r="Q278">
        <f t="shared" si="965"/>
        <v>433874421.12320137</v>
      </c>
      <c r="R278">
        <f t="shared" si="966"/>
        <v>20543382651.684441</v>
      </c>
      <c r="S278">
        <f t="shared" si="967"/>
        <v>205433.82651684442</v>
      </c>
      <c r="T278">
        <f t="shared" si="968"/>
        <v>205.43382651684442</v>
      </c>
    </row>
    <row r="279" spans="1:20" x14ac:dyDescent="0.25">
      <c r="A279" s="5">
        <v>44314</v>
      </c>
      <c r="B279">
        <v>1.4016999999999999</v>
      </c>
      <c r="C279">
        <v>1.4492</v>
      </c>
      <c r="D279">
        <v>1.2814000000000001</v>
      </c>
      <c r="E279">
        <v>1.3575999999999999</v>
      </c>
      <c r="F279">
        <v>1092879174.1700001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-9.1775923718714583E-2</v>
      </c>
      <c r="Q279">
        <f t="shared" si="965"/>
        <v>-100299995.72239771</v>
      </c>
      <c r="R279">
        <f t="shared" si="966"/>
        <v>20109508230.561241</v>
      </c>
      <c r="S279">
        <f t="shared" si="967"/>
        <v>201095.08230561242</v>
      </c>
      <c r="T279">
        <f t="shared" si="968"/>
        <v>201.09508230561241</v>
      </c>
    </row>
    <row r="280" spans="1:20" x14ac:dyDescent="0.25">
      <c r="A280" s="5">
        <v>44313</v>
      </c>
      <c r="B280">
        <v>1.3629</v>
      </c>
      <c r="C280">
        <v>1.462</v>
      </c>
      <c r="D280">
        <v>1.3284</v>
      </c>
      <c r="E280">
        <v>1.4016999999999999</v>
      </c>
      <c r="F280">
        <v>1510880106.8199999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9.7305389221556182E-2</v>
      </c>
      <c r="Q280">
        <f t="shared" si="965"/>
        <v>147016776.86122647</v>
      </c>
      <c r="R280">
        <f t="shared" si="966"/>
        <v>20209808226.283638</v>
      </c>
      <c r="S280">
        <f t="shared" si="967"/>
        <v>202098.08226283637</v>
      </c>
      <c r="T280">
        <f t="shared" si="968"/>
        <v>202.09808226283636</v>
      </c>
    </row>
    <row r="281" spans="1:20" x14ac:dyDescent="0.25">
      <c r="A281" s="5">
        <v>44312</v>
      </c>
      <c r="B281">
        <v>1.0353000000000001</v>
      </c>
      <c r="C281">
        <v>1.375</v>
      </c>
      <c r="D281">
        <v>1.0133000000000001</v>
      </c>
      <c r="E281">
        <v>1.3629</v>
      </c>
      <c r="F281">
        <v>1871916062.9300001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0.93309372408072988</v>
      </c>
      <c r="Q281">
        <f t="shared" si="965"/>
        <v>1746673130.3258917</v>
      </c>
      <c r="R281">
        <f t="shared" si="966"/>
        <v>20062791449.422413</v>
      </c>
      <c r="S281">
        <f t="shared" si="967"/>
        <v>200627.91449422413</v>
      </c>
      <c r="T281">
        <f t="shared" si="968"/>
        <v>200.62791449422411</v>
      </c>
    </row>
    <row r="282" spans="1:20" x14ac:dyDescent="0.25">
      <c r="A282" s="5">
        <v>44311</v>
      </c>
      <c r="B282">
        <v>1.0497099999999999</v>
      </c>
      <c r="C282">
        <v>1.1559999999999999</v>
      </c>
      <c r="D282">
        <v>0.94179999999999997</v>
      </c>
      <c r="E282">
        <v>1.0350999999999999</v>
      </c>
      <c r="F282">
        <v>1026066203.52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-0.12885154061624685</v>
      </c>
      <c r="Q282">
        <f t="shared" si="965"/>
        <v>-132210211.09781548</v>
      </c>
      <c r="R282">
        <f t="shared" si="966"/>
        <v>18316118319.096519</v>
      </c>
      <c r="S282">
        <f t="shared" si="967"/>
        <v>183161.18319096518</v>
      </c>
      <c r="T282">
        <f t="shared" si="968"/>
        <v>183.16118319096518</v>
      </c>
    </row>
    <row r="283" spans="1:20" x14ac:dyDescent="0.25">
      <c r="A283" s="5">
        <v>44310</v>
      </c>
      <c r="B283">
        <v>1.1701900000000001</v>
      </c>
      <c r="C283">
        <v>1.1719999999999999</v>
      </c>
      <c r="D283">
        <v>1.01753</v>
      </c>
      <c r="E283">
        <v>1.04833</v>
      </c>
      <c r="F283">
        <v>1120813592.2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-0.60121706480222747</v>
      </c>
      <c r="Q283">
        <f t="shared" si="965"/>
        <v>-673852258.09292483</v>
      </c>
      <c r="R283">
        <f t="shared" si="966"/>
        <v>18448328530.194336</v>
      </c>
      <c r="S283">
        <f t="shared" si="967"/>
        <v>184483.28530194337</v>
      </c>
      <c r="T283">
        <f t="shared" si="968"/>
        <v>184.48328530194337</v>
      </c>
    </row>
    <row r="284" spans="1:20" x14ac:dyDescent="0.25">
      <c r="A284" s="5">
        <v>44309</v>
      </c>
      <c r="B284">
        <v>1.15489</v>
      </c>
      <c r="C284">
        <v>1.1972400000000001</v>
      </c>
      <c r="D284">
        <v>0.88600999999999996</v>
      </c>
      <c r="E284">
        <v>1.17073</v>
      </c>
      <c r="F284">
        <v>2651341963.5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0.82964367188253041</v>
      </c>
      <c r="Q284">
        <f t="shared" si="965"/>
        <v>2199669082.0143781</v>
      </c>
      <c r="R284">
        <f t="shared" si="966"/>
        <v>19122180788.287262</v>
      </c>
      <c r="S284">
        <f t="shared" si="967"/>
        <v>191221.80788287261</v>
      </c>
      <c r="T284">
        <f t="shared" si="968"/>
        <v>191.22180788287261</v>
      </c>
    </row>
    <row r="285" spans="1:20" x14ac:dyDescent="0.25">
      <c r="A285" s="5">
        <v>44308</v>
      </c>
      <c r="B285">
        <v>1.2910999999999999</v>
      </c>
      <c r="C285">
        <v>1.41947</v>
      </c>
      <c r="D285">
        <v>1.0859000000000001</v>
      </c>
      <c r="E285">
        <v>1.15489</v>
      </c>
      <c r="F285">
        <v>1771540957.5999999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-0.58635368888089512</v>
      </c>
      <c r="Q285">
        <f t="shared" si="965"/>
        <v>-1038749575.4923533</v>
      </c>
      <c r="R285">
        <f t="shared" si="966"/>
        <v>16922511706.272882</v>
      </c>
      <c r="S285">
        <f t="shared" si="967"/>
        <v>169225.11706272882</v>
      </c>
      <c r="T285">
        <f t="shared" si="968"/>
        <v>169.22511706272883</v>
      </c>
    </row>
    <row r="286" spans="1:20" x14ac:dyDescent="0.25">
      <c r="A286" s="5">
        <v>44307</v>
      </c>
      <c r="B286">
        <v>1.385</v>
      </c>
      <c r="C286">
        <v>1.4644999999999999</v>
      </c>
      <c r="D286">
        <v>1.27545</v>
      </c>
      <c r="E286">
        <v>1.29097</v>
      </c>
      <c r="F286">
        <v>1301403506.4000001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-0.83581063210790818</v>
      </c>
      <c r="Q286">
        <f t="shared" si="965"/>
        <v>-1087726887.3116322</v>
      </c>
      <c r="R286">
        <f t="shared" si="966"/>
        <v>17961261281.765236</v>
      </c>
      <c r="S286">
        <f t="shared" si="967"/>
        <v>179612.61281765235</v>
      </c>
      <c r="T286">
        <f t="shared" si="968"/>
        <v>179.61261281765235</v>
      </c>
    </row>
    <row r="287" spans="1:20" x14ac:dyDescent="0.25">
      <c r="A287" s="5">
        <v>44306</v>
      </c>
      <c r="B287">
        <v>1.30941</v>
      </c>
      <c r="C287">
        <v>1.4479599999999999</v>
      </c>
      <c r="D287">
        <v>1.18</v>
      </c>
      <c r="E287">
        <v>1.3850100000000001</v>
      </c>
      <c r="F287">
        <v>1522196293.5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0.53015375429168643</v>
      </c>
      <c r="Q287">
        <f t="shared" si="965"/>
        <v>806998079.76791477</v>
      </c>
      <c r="R287">
        <f t="shared" si="966"/>
        <v>19048988169.07687</v>
      </c>
      <c r="S287">
        <f t="shared" si="967"/>
        <v>190489.8816907687</v>
      </c>
      <c r="T287">
        <f t="shared" si="968"/>
        <v>190.4898816907687</v>
      </c>
    </row>
    <row r="288" spans="1:20" x14ac:dyDescent="0.25">
      <c r="A288" s="5">
        <v>44305</v>
      </c>
      <c r="B288">
        <v>1.4079699999999999</v>
      </c>
      <c r="C288">
        <v>1.5339</v>
      </c>
      <c r="D288">
        <v>1.2509999999999999</v>
      </c>
      <c r="E288">
        <v>1.30945</v>
      </c>
      <c r="F288">
        <v>1608073829.4000001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-0.58677978084128612</v>
      </c>
      <c r="Q288">
        <f t="shared" si="965"/>
        <v>-943585209.19193983</v>
      </c>
      <c r="R288">
        <f t="shared" si="966"/>
        <v>18241990089.308956</v>
      </c>
      <c r="S288">
        <f t="shared" si="967"/>
        <v>182419.90089308957</v>
      </c>
      <c r="T288">
        <f t="shared" si="968"/>
        <v>182.41990089308956</v>
      </c>
    </row>
    <row r="289" spans="1:20" x14ac:dyDescent="0.25">
      <c r="A289" s="5">
        <v>44304</v>
      </c>
      <c r="B289">
        <v>1.5398799999999999</v>
      </c>
      <c r="C289">
        <v>1.5650500000000001</v>
      </c>
      <c r="D289">
        <v>1.1599999999999999</v>
      </c>
      <c r="E289">
        <v>1.4079699999999999</v>
      </c>
      <c r="F289">
        <v>2048345301.5999999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0.2243920503641523</v>
      </c>
      <c r="Q289">
        <f t="shared" si="965"/>
        <v>459632402.07980192</v>
      </c>
      <c r="R289">
        <f t="shared" si="966"/>
        <v>19185575298.500896</v>
      </c>
      <c r="S289">
        <f t="shared" si="967"/>
        <v>191855.75298500896</v>
      </c>
      <c r="T289">
        <f t="shared" si="968"/>
        <v>191.85575298500896</v>
      </c>
    </row>
    <row r="290" spans="1:20" x14ac:dyDescent="0.25">
      <c r="A290" s="5">
        <v>44303</v>
      </c>
      <c r="B290">
        <v>1.5480499999999999</v>
      </c>
      <c r="C290">
        <v>1.74163</v>
      </c>
      <c r="D290">
        <v>1.5299100000000001</v>
      </c>
      <c r="E290">
        <v>1.5389600000000001</v>
      </c>
      <c r="F290">
        <v>1108826379.5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-0.9145097298318533</v>
      </c>
      <c r="Q290">
        <f t="shared" si="965"/>
        <v>-1014032512.7469771</v>
      </c>
      <c r="R290">
        <f t="shared" si="966"/>
        <v>18725942896.421093</v>
      </c>
      <c r="S290">
        <f t="shared" si="967"/>
        <v>187259.42896421094</v>
      </c>
      <c r="T290">
        <f t="shared" si="968"/>
        <v>187.25942896421094</v>
      </c>
    </row>
    <row r="291" spans="1:20" x14ac:dyDescent="0.25">
      <c r="A291" s="5">
        <v>44302</v>
      </c>
      <c r="B291">
        <v>1.7578100000000001</v>
      </c>
      <c r="C291">
        <v>1.8104100000000001</v>
      </c>
      <c r="D291">
        <v>1.42</v>
      </c>
      <c r="E291">
        <v>1.5480499999999999</v>
      </c>
      <c r="F291">
        <v>1805450664.8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-0.34402295023180784</v>
      </c>
      <c r="Q291">
        <f t="shared" si="965"/>
        <v>-621116464.20247471</v>
      </c>
      <c r="R291">
        <f t="shared" si="966"/>
        <v>19739975409.168072</v>
      </c>
      <c r="S291">
        <f t="shared" si="967"/>
        <v>197399.75409168072</v>
      </c>
      <c r="T291">
        <f t="shared" si="968"/>
        <v>197.39975409168071</v>
      </c>
    </row>
    <row r="292" spans="1:20" x14ac:dyDescent="0.25">
      <c r="A292" s="5">
        <v>44301</v>
      </c>
      <c r="B292">
        <v>1.83396</v>
      </c>
      <c r="C292">
        <v>1.885</v>
      </c>
      <c r="D292">
        <v>1.6524300000000001</v>
      </c>
      <c r="E292">
        <v>1.7578100000000001</v>
      </c>
      <c r="F292">
        <v>1124377879.5999999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-9.3778217310916678E-2</v>
      </c>
      <c r="Q292">
        <f t="shared" si="965"/>
        <v>-105442153.13271651</v>
      </c>
      <c r="R292">
        <f t="shared" si="966"/>
        <v>20361091873.370548</v>
      </c>
      <c r="S292">
        <f t="shared" si="967"/>
        <v>203610.91873370548</v>
      </c>
      <c r="T292">
        <f t="shared" si="968"/>
        <v>203.61091873370549</v>
      </c>
    </row>
    <row r="293" spans="1:20" x14ac:dyDescent="0.25">
      <c r="A293" s="5">
        <v>44300</v>
      </c>
      <c r="B293">
        <v>1.7960700000000001</v>
      </c>
      <c r="C293">
        <v>1.96689</v>
      </c>
      <c r="D293">
        <v>1.5600099999999999</v>
      </c>
      <c r="E293">
        <v>1.8346800000000001</v>
      </c>
      <c r="F293">
        <v>2119704174.5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0.35012780180888764</v>
      </c>
      <c r="Q293">
        <f t="shared" si="965"/>
        <v>742167363.10280776</v>
      </c>
      <c r="R293">
        <f t="shared" si="966"/>
        <v>20466534026.503265</v>
      </c>
      <c r="S293">
        <f t="shared" si="967"/>
        <v>204665.34026503266</v>
      </c>
      <c r="T293">
        <f t="shared" si="968"/>
        <v>204.66534026503265</v>
      </c>
    </row>
    <row r="294" spans="1:20" x14ac:dyDescent="0.25">
      <c r="A294" s="5">
        <v>44299</v>
      </c>
      <c r="B294">
        <v>1.4684999999999999</v>
      </c>
      <c r="C294">
        <v>1.8888799999999999</v>
      </c>
      <c r="D294">
        <v>1.41778</v>
      </c>
      <c r="E294">
        <v>1.7961100000000001</v>
      </c>
      <c r="F294">
        <v>2515240116.4200001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0.60615580556145265</v>
      </c>
      <c r="Q294">
        <f t="shared" si="965"/>
        <v>1524627398.9490471</v>
      </c>
      <c r="R294">
        <f t="shared" si="966"/>
        <v>19724366663.400459</v>
      </c>
      <c r="S294">
        <f t="shared" si="967"/>
        <v>197243.66663400459</v>
      </c>
      <c r="T294">
        <f t="shared" si="968"/>
        <v>197.2436666340046</v>
      </c>
    </row>
    <row r="295" spans="1:20" x14ac:dyDescent="0.25">
      <c r="A295" s="5">
        <v>44298</v>
      </c>
      <c r="B295">
        <v>1.35118</v>
      </c>
      <c r="C295">
        <v>1.4750000000000001</v>
      </c>
      <c r="D295">
        <v>1.3180400000000001</v>
      </c>
      <c r="E295">
        <v>1.4684299999999999</v>
      </c>
      <c r="F295">
        <v>1129501823.8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0.91628440366972241</v>
      </c>
      <c r="Q295">
        <f t="shared" si="965"/>
        <v>1034944905.0644468</v>
      </c>
      <c r="R295">
        <f t="shared" si="966"/>
        <v>18199739264.451412</v>
      </c>
      <c r="S295">
        <f t="shared" si="967"/>
        <v>181997.39264451413</v>
      </c>
      <c r="T295">
        <f t="shared" si="968"/>
        <v>181.99739264451412</v>
      </c>
    </row>
    <row r="296" spans="1:20" x14ac:dyDescent="0.25">
      <c r="A296" s="5">
        <v>44297</v>
      </c>
      <c r="B296">
        <v>1.37215</v>
      </c>
      <c r="C296">
        <v>1.5</v>
      </c>
      <c r="D296">
        <v>1.3049999999999999</v>
      </c>
      <c r="E296">
        <v>1.35118</v>
      </c>
      <c r="F296">
        <v>1972667902.4000001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-0.52635897435897339</v>
      </c>
      <c r="Q296">
        <f t="shared" si="965"/>
        <v>-1038331453.8581314</v>
      </c>
      <c r="R296">
        <f t="shared" si="966"/>
        <v>17164794359.386967</v>
      </c>
      <c r="S296">
        <f t="shared" si="967"/>
        <v>171647.94359386966</v>
      </c>
      <c r="T296">
        <f t="shared" si="968"/>
        <v>171.64794359386966</v>
      </c>
    </row>
    <row r="297" spans="1:20" x14ac:dyDescent="0.25">
      <c r="A297" s="5">
        <v>44296</v>
      </c>
      <c r="B297">
        <v>1.0175399999999999</v>
      </c>
      <c r="C297">
        <v>1.399</v>
      </c>
      <c r="D297">
        <v>1.00617</v>
      </c>
      <c r="E297">
        <v>1.3728</v>
      </c>
      <c r="F297">
        <v>2713439019.6799998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0.86660896571035817</v>
      </c>
      <c r="Q297">
        <f t="shared" si="965"/>
        <v>2351490582.3630128</v>
      </c>
      <c r="R297">
        <f t="shared" si="966"/>
        <v>18203125813.245098</v>
      </c>
      <c r="S297">
        <f t="shared" si="967"/>
        <v>182031.25813245098</v>
      </c>
      <c r="T297">
        <f t="shared" si="968"/>
        <v>182.03125813245097</v>
      </c>
    </row>
    <row r="298" spans="1:20" x14ac:dyDescent="0.25">
      <c r="A298" s="5">
        <v>44295</v>
      </c>
      <c r="B298">
        <v>1.0557099999999999</v>
      </c>
      <c r="C298">
        <v>1.0849</v>
      </c>
      <c r="D298">
        <v>0.98080000000000001</v>
      </c>
      <c r="E298">
        <v>1.0172099999999999</v>
      </c>
      <c r="F298">
        <v>964539570.10000002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-0.30048030739673481</v>
      </c>
      <c r="Q298">
        <f t="shared" si="965"/>
        <v>-289825146.51996243</v>
      </c>
      <c r="R298">
        <f t="shared" si="966"/>
        <v>15851635230.882084</v>
      </c>
      <c r="S298">
        <f t="shared" si="967"/>
        <v>158516.35230882085</v>
      </c>
      <c r="T298">
        <f t="shared" si="968"/>
        <v>158.51635230882084</v>
      </c>
    </row>
    <row r="299" spans="1:20" x14ac:dyDescent="0.25">
      <c r="A299" s="5">
        <v>44294</v>
      </c>
      <c r="B299">
        <v>0.91544000000000003</v>
      </c>
      <c r="C299">
        <v>1.07294</v>
      </c>
      <c r="D299">
        <v>0.90127999999999997</v>
      </c>
      <c r="E299">
        <v>1.05599</v>
      </c>
      <c r="F299">
        <v>1232242484.4000001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0.80251660258650803</v>
      </c>
      <c r="Q299">
        <f t="shared" si="965"/>
        <v>988895052.14344621</v>
      </c>
      <c r="R299">
        <f t="shared" si="966"/>
        <v>16141460377.402046</v>
      </c>
      <c r="S299">
        <f t="shared" si="967"/>
        <v>161414.60377402045</v>
      </c>
      <c r="T299">
        <f t="shared" si="968"/>
        <v>161.41460377402043</v>
      </c>
    </row>
    <row r="300" spans="1:20" x14ac:dyDescent="0.25">
      <c r="A300" s="5">
        <v>44293</v>
      </c>
      <c r="B300">
        <v>1.09666</v>
      </c>
      <c r="C300">
        <v>1.1088199999999999</v>
      </c>
      <c r="D300">
        <v>0.85599999999999998</v>
      </c>
      <c r="E300">
        <v>0.91542000000000001</v>
      </c>
      <c r="F300">
        <v>2128341583.9000001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-0.52994225140416074</v>
      </c>
      <c r="Q300">
        <f t="shared" si="965"/>
        <v>-1127898130.7290635</v>
      </c>
      <c r="R300">
        <f t="shared" si="966"/>
        <v>15152565325.2586</v>
      </c>
      <c r="S300">
        <f t="shared" si="967"/>
        <v>151525.65325258599</v>
      </c>
      <c r="T300">
        <f t="shared" si="968"/>
        <v>151.52565325258598</v>
      </c>
    </row>
    <row r="301" spans="1:20" x14ac:dyDescent="0.25">
      <c r="A301" s="5">
        <v>44292</v>
      </c>
      <c r="B301">
        <v>0.91583999999999999</v>
      </c>
      <c r="C301">
        <v>1.119</v>
      </c>
      <c r="D301">
        <v>0.79310000000000003</v>
      </c>
      <c r="E301">
        <v>1.09663</v>
      </c>
      <c r="F301">
        <v>4053245753.0900002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0.86271862534519794</v>
      </c>
      <c r="Q301">
        <f t="shared" si="965"/>
        <v>3496810604.2920666</v>
      </c>
      <c r="R301">
        <f t="shared" si="966"/>
        <v>16280463455.987663</v>
      </c>
      <c r="S301">
        <f t="shared" si="967"/>
        <v>162804.63455987663</v>
      </c>
      <c r="T301">
        <f t="shared" si="968"/>
        <v>162.80463455987663</v>
      </c>
    </row>
    <row r="302" spans="1:20" x14ac:dyDescent="0.25">
      <c r="A302" s="5">
        <v>44291</v>
      </c>
      <c r="B302">
        <v>0.63500999999999996</v>
      </c>
      <c r="C302">
        <v>0.93998999999999999</v>
      </c>
      <c r="D302">
        <v>0.61939999999999995</v>
      </c>
      <c r="E302">
        <v>0.91583999999999999</v>
      </c>
      <c r="F302">
        <v>3325470561.4699998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0.84934027886085028</v>
      </c>
      <c r="Q302">
        <f t="shared" si="965"/>
        <v>2824456094.0224781</v>
      </c>
      <c r="R302">
        <f t="shared" si="966"/>
        <v>12783652851.695597</v>
      </c>
      <c r="S302">
        <f t="shared" si="967"/>
        <v>127836.52851695596</v>
      </c>
      <c r="T302">
        <f t="shared" si="968"/>
        <v>127.83652851695597</v>
      </c>
    </row>
    <row r="303" spans="1:20" x14ac:dyDescent="0.25">
      <c r="A303" s="5">
        <v>44290</v>
      </c>
      <c r="B303">
        <v>0.57835999999999999</v>
      </c>
      <c r="C303">
        <v>0.63599000000000006</v>
      </c>
      <c r="D303">
        <v>0.56591000000000002</v>
      </c>
      <c r="E303">
        <v>0.63500000000000001</v>
      </c>
      <c r="F303">
        <v>664457346.20000005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0.97174657534246445</v>
      </c>
      <c r="Q303">
        <f t="shared" si="965"/>
        <v>645684150.63099229</v>
      </c>
      <c r="R303">
        <f t="shared" si="966"/>
        <v>9959196757.6731186</v>
      </c>
      <c r="S303">
        <f t="shared" si="967"/>
        <v>99591.967576731186</v>
      </c>
      <c r="T303">
        <f t="shared" si="968"/>
        <v>99.591967576731179</v>
      </c>
    </row>
    <row r="304" spans="1:20" x14ac:dyDescent="0.25">
      <c r="A304" s="5">
        <v>44289</v>
      </c>
      <c r="B304">
        <v>0.60701000000000005</v>
      </c>
      <c r="C304">
        <v>0.64261999999999997</v>
      </c>
      <c r="D304">
        <v>0.57299999999999995</v>
      </c>
      <c r="E304">
        <v>0.57830999999999999</v>
      </c>
      <c r="F304">
        <v>991064844.79999995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-0.84745762711864303</v>
      </c>
      <c r="Q304">
        <f t="shared" si="965"/>
        <v>-839885461.69491422</v>
      </c>
      <c r="R304">
        <f t="shared" si="966"/>
        <v>9313512607.0421257</v>
      </c>
      <c r="S304">
        <f t="shared" si="967"/>
        <v>93135.126070421262</v>
      </c>
      <c r="T304">
        <f t="shared" si="968"/>
        <v>93.135126070421265</v>
      </c>
    </row>
    <row r="305" spans="1:20" x14ac:dyDescent="0.25">
      <c r="A305" s="5">
        <v>44288</v>
      </c>
      <c r="B305">
        <v>0.57060999999999995</v>
      </c>
      <c r="C305">
        <v>0.61</v>
      </c>
      <c r="D305">
        <v>0.56521999999999994</v>
      </c>
      <c r="E305">
        <v>0.60701000000000005</v>
      </c>
      <c r="F305">
        <v>800475396.39999998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0.86645824028584484</v>
      </c>
      <c r="Q305">
        <f t="shared" si="965"/>
        <v>693578503.35685813</v>
      </c>
      <c r="R305">
        <f t="shared" si="966"/>
        <v>10153398068.73704</v>
      </c>
      <c r="S305">
        <f t="shared" si="967"/>
        <v>101533.98068737039</v>
      </c>
      <c r="T305">
        <f t="shared" si="968"/>
        <v>101.53398068737039</v>
      </c>
    </row>
    <row r="306" spans="1:20" x14ac:dyDescent="0.25">
      <c r="A306" s="5">
        <v>44287</v>
      </c>
      <c r="B306">
        <v>0.56979999999999997</v>
      </c>
      <c r="C306">
        <v>0.59555000000000002</v>
      </c>
      <c r="D306">
        <v>0.54864000000000002</v>
      </c>
      <c r="E306">
        <v>0.57086999999999999</v>
      </c>
      <c r="F306">
        <v>710919375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-5.2227670006396568E-2</v>
      </c>
      <c r="Q306">
        <f t="shared" si="965"/>
        <v>-37129662.518653691</v>
      </c>
      <c r="R306">
        <f t="shared" si="966"/>
        <v>9459819565.3801823</v>
      </c>
      <c r="S306">
        <f t="shared" si="967"/>
        <v>94598.195653801828</v>
      </c>
      <c r="T306">
        <f t="shared" si="968"/>
        <v>94.598195653801824</v>
      </c>
    </row>
    <row r="307" spans="1:20" x14ac:dyDescent="0.25">
      <c r="A307" s="5">
        <v>44286</v>
      </c>
      <c r="B307">
        <v>0.56206999999999996</v>
      </c>
      <c r="C307">
        <v>0.57682</v>
      </c>
      <c r="D307">
        <v>0.52624000000000004</v>
      </c>
      <c r="E307">
        <v>0.56981999999999999</v>
      </c>
      <c r="F307">
        <v>666984204.29999995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0.72321075523922451</v>
      </c>
      <c r="Q307">
        <f t="shared" si="965"/>
        <v>482370150.1244362</v>
      </c>
      <c r="R307">
        <f t="shared" si="966"/>
        <v>9496949227.8988361</v>
      </c>
      <c r="S307">
        <f t="shared" si="967"/>
        <v>94969.492278988357</v>
      </c>
      <c r="T307">
        <f t="shared" si="968"/>
        <v>94.969492278988355</v>
      </c>
    </row>
    <row r="308" spans="1:20" x14ac:dyDescent="0.25">
      <c r="A308" s="5">
        <v>44285</v>
      </c>
      <c r="B308">
        <v>0.56528</v>
      </c>
      <c r="C308">
        <v>0.58799999999999997</v>
      </c>
      <c r="D308">
        <v>0.55903000000000003</v>
      </c>
      <c r="E308">
        <v>0.56210000000000004</v>
      </c>
      <c r="F308">
        <v>574769642.5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-0.78805661028650165</v>
      </c>
      <c r="Q308">
        <f t="shared" si="965"/>
        <v>-452951016.16413438</v>
      </c>
      <c r="R308">
        <f t="shared" si="966"/>
        <v>9014579077.7744007</v>
      </c>
      <c r="S308">
        <f t="shared" si="967"/>
        <v>90145.790777744012</v>
      </c>
      <c r="T308">
        <f t="shared" si="968"/>
        <v>90.145790777744011</v>
      </c>
    </row>
    <row r="309" spans="1:20" x14ac:dyDescent="0.25">
      <c r="A309" s="5">
        <v>44284</v>
      </c>
      <c r="B309">
        <v>0.54549999999999998</v>
      </c>
      <c r="C309">
        <v>0.57081999999999999</v>
      </c>
      <c r="D309">
        <v>0.54317000000000004</v>
      </c>
      <c r="E309">
        <v>0.56537999999999999</v>
      </c>
      <c r="F309">
        <v>534252547.30000001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0.60650994575045136</v>
      </c>
      <c r="Q309">
        <f t="shared" si="965"/>
        <v>324029483.47996348</v>
      </c>
      <c r="R309">
        <f t="shared" si="966"/>
        <v>9467530093.9385357</v>
      </c>
      <c r="S309">
        <f t="shared" si="967"/>
        <v>94675.300939385357</v>
      </c>
      <c r="T309">
        <f t="shared" si="968"/>
        <v>94.675300939385352</v>
      </c>
    </row>
    <row r="310" spans="1:20" x14ac:dyDescent="0.25">
      <c r="A310" s="5">
        <v>44283</v>
      </c>
      <c r="B310">
        <v>0.54735</v>
      </c>
      <c r="C310">
        <v>0.56074999999999997</v>
      </c>
      <c r="D310">
        <v>0.53878999999999999</v>
      </c>
      <c r="E310">
        <v>0.54552</v>
      </c>
      <c r="F310">
        <v>341522011.5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-0.38706739526411477</v>
      </c>
      <c r="Q310">
        <f t="shared" si="965"/>
        <v>-132192035.41666605</v>
      </c>
      <c r="R310">
        <f t="shared" si="966"/>
        <v>9143500610.4585724</v>
      </c>
      <c r="S310">
        <f t="shared" si="967"/>
        <v>91435.006104585729</v>
      </c>
      <c r="T310">
        <f t="shared" si="968"/>
        <v>91.435006104585725</v>
      </c>
    </row>
    <row r="311" spans="1:20" x14ac:dyDescent="0.25">
      <c r="A311" s="5">
        <v>44282</v>
      </c>
      <c r="B311">
        <v>0.56347999999999998</v>
      </c>
      <c r="C311">
        <v>0.57464000000000004</v>
      </c>
      <c r="D311">
        <v>0.53420000000000001</v>
      </c>
      <c r="E311">
        <v>0.54752000000000001</v>
      </c>
      <c r="F311">
        <v>455498717.69999999</v>
      </c>
      <c r="G311">
        <v>0</v>
      </c>
      <c r="L311" t="s">
        <v>7</v>
      </c>
      <c r="M311" t="s">
        <v>8</v>
      </c>
      <c r="N311" t="s">
        <v>8</v>
      </c>
      <c r="P311">
        <f t="shared" si="964"/>
        <v>-0.34124629080118751</v>
      </c>
      <c r="Q311">
        <f t="shared" si="965"/>
        <v>-155437247.87982222</v>
      </c>
      <c r="R311">
        <f t="shared" si="966"/>
        <v>9275692645.8752384</v>
      </c>
      <c r="S311">
        <f t="shared" si="967"/>
        <v>92756.926458752379</v>
      </c>
      <c r="T311">
        <f t="shared" si="968"/>
        <v>92.756926458752375</v>
      </c>
    </row>
    <row r="312" spans="1:20" x14ac:dyDescent="0.25">
      <c r="A312" s="5">
        <v>44281</v>
      </c>
      <c r="B312">
        <v>0.51034000000000002</v>
      </c>
      <c r="C312">
        <v>0.57689000000000001</v>
      </c>
      <c r="D312">
        <v>0.50999000000000005</v>
      </c>
      <c r="E312">
        <v>0.56357000000000002</v>
      </c>
      <c r="F312">
        <v>737749968.5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0.601793721973094</v>
      </c>
      <c r="Q312">
        <f t="shared" si="965"/>
        <v>443973299.42914784</v>
      </c>
      <c r="R312">
        <f t="shared" si="966"/>
        <v>9431129893.7550602</v>
      </c>
      <c r="S312">
        <f t="shared" si="967"/>
        <v>94311.2989375506</v>
      </c>
      <c r="T312">
        <f t="shared" si="968"/>
        <v>94.311298937550603</v>
      </c>
    </row>
    <row r="313" spans="1:20" x14ac:dyDescent="0.25">
      <c r="A313" s="5">
        <v>44280</v>
      </c>
      <c r="B313">
        <v>0.48021999999999998</v>
      </c>
      <c r="C313">
        <v>0.52480000000000004</v>
      </c>
      <c r="D313">
        <v>0.45400000000000001</v>
      </c>
      <c r="E313">
        <v>0.51058000000000003</v>
      </c>
      <c r="F313">
        <v>914285330.60000002</v>
      </c>
      <c r="G313">
        <v>0</v>
      </c>
      <c r="L313" t="s">
        <v>8</v>
      </c>
      <c r="M313" t="s">
        <v>7</v>
      </c>
      <c r="N313" t="s">
        <v>8</v>
      </c>
      <c r="P313">
        <f t="shared" si="964"/>
        <v>0.59830508474576261</v>
      </c>
      <c r="Q313">
        <f t="shared" si="965"/>
        <v>547021562.20644057</v>
      </c>
      <c r="R313">
        <f t="shared" si="966"/>
        <v>8987156594.3259125</v>
      </c>
      <c r="S313">
        <f t="shared" si="967"/>
        <v>89871.56594325912</v>
      </c>
      <c r="T313">
        <f t="shared" si="968"/>
        <v>89.871565943259114</v>
      </c>
    </row>
    <row r="314" spans="1:20" x14ac:dyDescent="0.25">
      <c r="A314" s="5">
        <v>44279</v>
      </c>
      <c r="B314">
        <v>0.54944999999999999</v>
      </c>
      <c r="C314">
        <v>0.56301999999999996</v>
      </c>
      <c r="D314">
        <v>0.45212000000000002</v>
      </c>
      <c r="E314">
        <v>0.48021000000000003</v>
      </c>
      <c r="F314">
        <v>894167588.10000002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-0.49341749323715028</v>
      </c>
      <c r="Q314">
        <f t="shared" si="965"/>
        <v>-441197929.85421073</v>
      </c>
      <c r="R314">
        <f t="shared" si="966"/>
        <v>8440135032.1194715</v>
      </c>
      <c r="S314">
        <f t="shared" si="967"/>
        <v>84401.35032119471</v>
      </c>
      <c r="T314">
        <f t="shared" si="968"/>
        <v>84.401350321194712</v>
      </c>
    </row>
    <row r="315" spans="1:20" x14ac:dyDescent="0.25">
      <c r="A315" s="5">
        <v>44278</v>
      </c>
      <c r="B315">
        <v>0.54403000000000001</v>
      </c>
      <c r="C315">
        <v>0.59638000000000002</v>
      </c>
      <c r="D315">
        <v>0.53779999999999994</v>
      </c>
      <c r="E315">
        <v>0.54979999999999996</v>
      </c>
      <c r="F315">
        <v>1094151403.3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-0.59030385797200424</v>
      </c>
      <c r="Q315">
        <f t="shared" si="965"/>
        <v>-645881794.57347226</v>
      </c>
      <c r="R315">
        <f t="shared" si="966"/>
        <v>8881332961.9736824</v>
      </c>
      <c r="S315">
        <f t="shared" si="967"/>
        <v>88813.329619736818</v>
      </c>
      <c r="T315">
        <f t="shared" si="968"/>
        <v>88.81332961973682</v>
      </c>
    </row>
    <row r="316" spans="1:20" x14ac:dyDescent="0.25">
      <c r="A316" s="5">
        <v>44277</v>
      </c>
      <c r="B316">
        <v>0.51661000000000001</v>
      </c>
      <c r="C316">
        <v>0.6</v>
      </c>
      <c r="D316">
        <v>0.50082000000000004</v>
      </c>
      <c r="E316">
        <v>0.54410000000000003</v>
      </c>
      <c r="F316">
        <v>1648699048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-0.12724339584593641</v>
      </c>
      <c r="Q316">
        <f t="shared" si="965"/>
        <v>-209786065.59548253</v>
      </c>
      <c r="R316">
        <f t="shared" si="966"/>
        <v>9527214756.5471554</v>
      </c>
      <c r="S316">
        <f t="shared" si="967"/>
        <v>95272.147565471547</v>
      </c>
      <c r="T316">
        <f t="shared" si="968"/>
        <v>95.272147565471542</v>
      </c>
    </row>
    <row r="317" spans="1:20" x14ac:dyDescent="0.25">
      <c r="A317" s="5">
        <v>44276</v>
      </c>
      <c r="B317">
        <v>0.52583999999999997</v>
      </c>
      <c r="C317">
        <v>0.54691000000000001</v>
      </c>
      <c r="D317">
        <v>0.49508000000000002</v>
      </c>
      <c r="E317">
        <v>0.51651000000000002</v>
      </c>
      <c r="F317">
        <v>879573341.29999995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-0.17306579201234767</v>
      </c>
      <c r="Q317">
        <f t="shared" si="965"/>
        <v>-152224056.94503149</v>
      </c>
      <c r="R317">
        <f t="shared" si="966"/>
        <v>9737000822.1426373</v>
      </c>
      <c r="S317">
        <f t="shared" si="967"/>
        <v>97370.008221426368</v>
      </c>
      <c r="T317">
        <f t="shared" si="968"/>
        <v>97.370008221426374</v>
      </c>
    </row>
    <row r="318" spans="1:20" x14ac:dyDescent="0.25">
      <c r="A318" s="5">
        <v>44275</v>
      </c>
      <c r="B318">
        <v>0.46650000000000003</v>
      </c>
      <c r="C318">
        <v>0.54998999999999998</v>
      </c>
      <c r="D318">
        <v>0.46423999999999999</v>
      </c>
      <c r="E318">
        <v>0.52612999999999999</v>
      </c>
      <c r="F318">
        <v>1164006494.7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0.44349854227405261</v>
      </c>
      <c r="Q318">
        <f t="shared" si="965"/>
        <v>516235183.59697974</v>
      </c>
      <c r="R318">
        <f t="shared" si="966"/>
        <v>9889224879.0876694</v>
      </c>
      <c r="S318">
        <f t="shared" si="967"/>
        <v>98892.248790876693</v>
      </c>
      <c r="T318">
        <f t="shared" si="968"/>
        <v>98.892248790876693</v>
      </c>
    </row>
    <row r="319" spans="1:20" x14ac:dyDescent="0.25">
      <c r="A319" s="5">
        <v>44274</v>
      </c>
      <c r="B319">
        <v>0.46899000000000002</v>
      </c>
      <c r="C319">
        <v>0.47536</v>
      </c>
      <c r="D319">
        <v>0.45848</v>
      </c>
      <c r="E319">
        <v>0.46650999999999998</v>
      </c>
      <c r="F319">
        <v>336947303.5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-4.8578199052135229E-2</v>
      </c>
      <c r="Q319">
        <f t="shared" si="965"/>
        <v>-16368293.179503221</v>
      </c>
      <c r="R319">
        <f t="shared" si="966"/>
        <v>9372989695.4906902</v>
      </c>
      <c r="S319">
        <f t="shared" si="967"/>
        <v>93729.896954906901</v>
      </c>
      <c r="T319">
        <f t="shared" si="968"/>
        <v>93.729896954906906</v>
      </c>
    </row>
    <row r="320" spans="1:20" x14ac:dyDescent="0.25">
      <c r="A320" s="5">
        <v>44273</v>
      </c>
      <c r="B320">
        <v>0.46993000000000001</v>
      </c>
      <c r="C320">
        <v>0.49049999999999999</v>
      </c>
      <c r="D320">
        <v>0.46557999999999999</v>
      </c>
      <c r="E320">
        <v>0.46893000000000001</v>
      </c>
      <c r="F320">
        <v>555296456.60000002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-0.73113964686998234</v>
      </c>
      <c r="Q320">
        <f t="shared" si="965"/>
        <v>-405999255.1866765</v>
      </c>
      <c r="R320">
        <f t="shared" si="966"/>
        <v>9389357988.6701927</v>
      </c>
      <c r="S320">
        <f t="shared" si="967"/>
        <v>93893.579886701933</v>
      </c>
      <c r="T320">
        <f t="shared" si="968"/>
        <v>93.893579886701929</v>
      </c>
    </row>
    <row r="321" spans="1:20" x14ac:dyDescent="0.25">
      <c r="A321" s="5">
        <v>44272</v>
      </c>
      <c r="B321">
        <v>0.46037</v>
      </c>
      <c r="C321">
        <v>0.48244999999999999</v>
      </c>
      <c r="D321">
        <v>0.45317000000000002</v>
      </c>
      <c r="E321">
        <v>0.4698</v>
      </c>
      <c r="F321">
        <v>564997453.70000005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0.13592896174863345</v>
      </c>
      <c r="Q321">
        <f t="shared" si="965"/>
        <v>76799517.2720626</v>
      </c>
      <c r="R321">
        <f t="shared" si="966"/>
        <v>9795357243.8568687</v>
      </c>
      <c r="S321">
        <f t="shared" si="967"/>
        <v>97953.572438568692</v>
      </c>
      <c r="T321">
        <f t="shared" si="968"/>
        <v>97.953572438568685</v>
      </c>
    </row>
    <row r="322" spans="1:20" x14ac:dyDescent="0.25">
      <c r="A322" s="5">
        <v>44271</v>
      </c>
      <c r="B322">
        <v>0.43565999999999999</v>
      </c>
      <c r="C322">
        <v>0.52220999999999995</v>
      </c>
      <c r="D322">
        <v>0.42723</v>
      </c>
      <c r="E322">
        <v>0.46023999999999998</v>
      </c>
      <c r="F322">
        <v>1446818353.8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-0.30490629606232889</v>
      </c>
      <c r="Q322">
        <f t="shared" si="965"/>
        <v>-441144025.3321541</v>
      </c>
      <c r="R322">
        <f t="shared" si="966"/>
        <v>9718557726.5848064</v>
      </c>
      <c r="S322">
        <f t="shared" si="967"/>
        <v>97185.577265848071</v>
      </c>
      <c r="T322">
        <f t="shared" si="968"/>
        <v>97.185577265848067</v>
      </c>
    </row>
    <row r="323" spans="1:20" x14ac:dyDescent="0.25">
      <c r="A323" s="5">
        <v>44270</v>
      </c>
      <c r="B323">
        <v>0.439</v>
      </c>
      <c r="C323">
        <v>0.44814999999999999</v>
      </c>
      <c r="D323">
        <v>0.42268</v>
      </c>
      <c r="E323">
        <v>0.43574000000000002</v>
      </c>
      <c r="F323">
        <v>531041051.89999998</v>
      </c>
      <c r="G323">
        <v>0</v>
      </c>
      <c r="L323" t="s">
        <v>7</v>
      </c>
      <c r="M323" t="s">
        <v>8</v>
      </c>
      <c r="N323" t="s">
        <v>7</v>
      </c>
      <c r="P323">
        <f t="shared" si="964"/>
        <v>2.5520219866511176E-2</v>
      </c>
      <c r="Q323">
        <f t="shared" si="965"/>
        <v>13552284.402631372</v>
      </c>
      <c r="R323">
        <f t="shared" si="966"/>
        <v>10159701751.91696</v>
      </c>
      <c r="S323">
        <f t="shared" si="967"/>
        <v>101597.0175191696</v>
      </c>
      <c r="T323">
        <f t="shared" si="968"/>
        <v>101.5970175191696</v>
      </c>
    </row>
    <row r="324" spans="1:20" x14ac:dyDescent="0.25">
      <c r="A324" s="5">
        <v>44269</v>
      </c>
      <c r="B324">
        <v>0.45785999999999999</v>
      </c>
      <c r="C324">
        <v>0.46155000000000002</v>
      </c>
      <c r="D324">
        <v>0.43857000000000002</v>
      </c>
      <c r="E324">
        <v>0.43905</v>
      </c>
      <c r="F324">
        <v>415693265.60000002</v>
      </c>
      <c r="G324">
        <v>0</v>
      </c>
      <c r="L324" t="s">
        <v>8</v>
      </c>
      <c r="M324" t="s">
        <v>8</v>
      </c>
      <c r="N324" t="s">
        <v>7</v>
      </c>
      <c r="P324">
        <f t="shared" si="964"/>
        <v>-0.95822454308094163</v>
      </c>
      <c r="Q324">
        <f t="shared" si="965"/>
        <v>-398327489.49138451</v>
      </c>
      <c r="R324">
        <f t="shared" si="966"/>
        <v>10146149467.514328</v>
      </c>
      <c r="S324">
        <f t="shared" si="967"/>
        <v>101461.49467514329</v>
      </c>
      <c r="T324">
        <f t="shared" si="968"/>
        <v>101.46149467514329</v>
      </c>
    </row>
    <row r="325" spans="1:20" x14ac:dyDescent="0.25">
      <c r="A325" s="5">
        <v>44268</v>
      </c>
      <c r="B325">
        <v>0.43934000000000001</v>
      </c>
      <c r="C325">
        <v>0.46645999999999999</v>
      </c>
      <c r="D325">
        <v>0.43204999999999999</v>
      </c>
      <c r="E325">
        <v>0.45787</v>
      </c>
      <c r="F325">
        <v>547809975.20000005</v>
      </c>
      <c r="G325">
        <v>0</v>
      </c>
      <c r="L325" t="s">
        <v>8</v>
      </c>
      <c r="M325" t="s">
        <v>8</v>
      </c>
      <c r="N325" t="s">
        <v>7</v>
      </c>
      <c r="P325">
        <f t="shared" si="964"/>
        <v>0.50072653298459824</v>
      </c>
      <c r="Q325">
        <f t="shared" si="965"/>
        <v>274302989.61627477</v>
      </c>
      <c r="R325">
        <f t="shared" si="966"/>
        <v>10544476957.005713</v>
      </c>
      <c r="S325">
        <f t="shared" si="967"/>
        <v>105444.76957005712</v>
      </c>
      <c r="T325">
        <f t="shared" si="968"/>
        <v>105.44476957005712</v>
      </c>
    </row>
    <row r="326" spans="1:20" x14ac:dyDescent="0.25">
      <c r="A326" s="5">
        <v>44267</v>
      </c>
      <c r="B326">
        <v>0.45186999999999999</v>
      </c>
      <c r="C326">
        <v>0.46488000000000002</v>
      </c>
      <c r="D326">
        <v>0.42204999999999998</v>
      </c>
      <c r="E326">
        <v>0.43934000000000001</v>
      </c>
      <c r="F326">
        <v>665250842.70000005</v>
      </c>
      <c r="G326">
        <v>0</v>
      </c>
      <c r="L326" t="s">
        <v>7</v>
      </c>
      <c r="M326" t="s">
        <v>8</v>
      </c>
      <c r="N326" t="s">
        <v>7</v>
      </c>
      <c r="P326">
        <f t="shared" ref="P326:P389" si="969">IF(C326=D326,0,((E326-D326)-(C326-E326))/(C326-D326))</f>
        <v>-0.19262199392948803</v>
      </c>
      <c r="Q326">
        <f t="shared" ref="Q326:Q389" si="970">F326*P326</f>
        <v>-128141943.7841462</v>
      </c>
      <c r="R326">
        <f t="shared" ref="R326:R389" si="971">R327+Q326</f>
        <v>10270173967.389439</v>
      </c>
      <c r="S326">
        <f t="shared" ref="S326:S389" si="972">R326/100000</f>
        <v>102701.73967389439</v>
      </c>
      <c r="T326">
        <f t="shared" ref="T326:T389" si="973">S326/1000</f>
        <v>102.70173967389439</v>
      </c>
    </row>
    <row r="327" spans="1:20" x14ac:dyDescent="0.25">
      <c r="A327" s="5">
        <v>44266</v>
      </c>
      <c r="B327">
        <v>0.4617</v>
      </c>
      <c r="C327">
        <v>0.46427000000000002</v>
      </c>
      <c r="D327">
        <v>0.44058000000000003</v>
      </c>
      <c r="E327">
        <v>0.45186999999999999</v>
      </c>
      <c r="F327">
        <v>535040848.19999999</v>
      </c>
      <c r="G327">
        <v>0</v>
      </c>
      <c r="L327" t="s">
        <v>7</v>
      </c>
      <c r="M327" t="s">
        <v>8</v>
      </c>
      <c r="N327" t="s">
        <v>7</v>
      </c>
      <c r="P327">
        <f t="shared" si="969"/>
        <v>-4.685521317011633E-2</v>
      </c>
      <c r="Q327">
        <f t="shared" si="970"/>
        <v>-25069452.997130852</v>
      </c>
      <c r="R327">
        <f t="shared" si="971"/>
        <v>10398315911.173584</v>
      </c>
      <c r="S327">
        <f t="shared" si="972"/>
        <v>103983.15911173583</v>
      </c>
      <c r="T327">
        <f t="shared" si="973"/>
        <v>103.98315911173583</v>
      </c>
    </row>
    <row r="328" spans="1:20" x14ac:dyDescent="0.25">
      <c r="A328" s="5">
        <v>44265</v>
      </c>
      <c r="B328">
        <v>0.48481000000000002</v>
      </c>
      <c r="C328">
        <v>0.48870000000000002</v>
      </c>
      <c r="D328">
        <v>0.45450000000000002</v>
      </c>
      <c r="E328">
        <v>0.46155000000000002</v>
      </c>
      <c r="F328">
        <v>597205849.70000005</v>
      </c>
      <c r="G328">
        <v>0</v>
      </c>
      <c r="L328" t="s">
        <v>8</v>
      </c>
      <c r="M328" t="s">
        <v>8</v>
      </c>
      <c r="N328" t="s">
        <v>7</v>
      </c>
      <c r="P328">
        <f t="shared" si="969"/>
        <v>-0.58771929824561409</v>
      </c>
      <c r="Q328">
        <f t="shared" si="970"/>
        <v>-350989402.89385968</v>
      </c>
      <c r="R328">
        <f t="shared" si="971"/>
        <v>10423385364.170715</v>
      </c>
      <c r="S328">
        <f t="shared" si="972"/>
        <v>104233.85364170716</v>
      </c>
      <c r="T328">
        <f t="shared" si="973"/>
        <v>104.23385364170716</v>
      </c>
    </row>
    <row r="329" spans="1:20" x14ac:dyDescent="0.25">
      <c r="A329" s="5">
        <v>44264</v>
      </c>
      <c r="B329">
        <v>0.47413</v>
      </c>
      <c r="C329">
        <v>0.48736000000000002</v>
      </c>
      <c r="D329">
        <v>0.47099999999999997</v>
      </c>
      <c r="E329">
        <v>0.4849</v>
      </c>
      <c r="F329">
        <v>495494329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0.69926650366748022</v>
      </c>
      <c r="Q329">
        <f t="shared" si="970"/>
        <v>346482587.02689415</v>
      </c>
      <c r="R329">
        <f t="shared" si="971"/>
        <v>10774374767.064575</v>
      </c>
      <c r="S329">
        <f t="shared" si="972"/>
        <v>107743.74767064575</v>
      </c>
      <c r="T329">
        <f t="shared" si="973"/>
        <v>107.74374767064575</v>
      </c>
    </row>
    <row r="330" spans="1:20" x14ac:dyDescent="0.25">
      <c r="A330" s="5">
        <v>44263</v>
      </c>
      <c r="B330">
        <v>0.46578999999999998</v>
      </c>
      <c r="C330">
        <v>0.48987000000000003</v>
      </c>
      <c r="D330">
        <v>0.45505000000000001</v>
      </c>
      <c r="E330">
        <v>0.47411999999999999</v>
      </c>
      <c r="F330">
        <v>680852595.89999998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9.5347501435954413E-2</v>
      </c>
      <c r="Q330">
        <f t="shared" si="970"/>
        <v>64917593.865248539</v>
      </c>
      <c r="R330">
        <f t="shared" si="971"/>
        <v>10427892180.037682</v>
      </c>
      <c r="S330">
        <f t="shared" si="972"/>
        <v>104278.92180037682</v>
      </c>
      <c r="T330">
        <f t="shared" si="973"/>
        <v>104.27892180037682</v>
      </c>
    </row>
    <row r="331" spans="1:20" x14ac:dyDescent="0.25">
      <c r="A331" s="5">
        <v>44262</v>
      </c>
      <c r="B331">
        <v>0.46292</v>
      </c>
      <c r="C331">
        <v>0.46889999999999998</v>
      </c>
      <c r="D331">
        <v>0.45640999999999998</v>
      </c>
      <c r="E331">
        <v>0.46557999999999999</v>
      </c>
      <c r="F331">
        <v>325973214.89999998</v>
      </c>
      <c r="G331">
        <v>0</v>
      </c>
      <c r="L331" t="s">
        <v>7</v>
      </c>
      <c r="M331" t="s">
        <v>8</v>
      </c>
      <c r="N331" t="s">
        <v>7</v>
      </c>
      <c r="P331">
        <f t="shared" si="969"/>
        <v>0.46837469975980955</v>
      </c>
      <c r="Q331">
        <f t="shared" si="970"/>
        <v>152677606.65852737</v>
      </c>
      <c r="R331">
        <f t="shared" si="971"/>
        <v>10362974586.172434</v>
      </c>
      <c r="S331">
        <f t="shared" si="972"/>
        <v>103629.74586172434</v>
      </c>
      <c r="T331">
        <f t="shared" si="973"/>
        <v>103.62974586172434</v>
      </c>
    </row>
    <row r="332" spans="1:20" x14ac:dyDescent="0.25">
      <c r="A332" s="5">
        <v>44261</v>
      </c>
      <c r="B332">
        <v>0.45440999999999998</v>
      </c>
      <c r="C332">
        <v>0.47649999999999998</v>
      </c>
      <c r="D332">
        <v>0.44901000000000002</v>
      </c>
      <c r="E332">
        <v>0.46284999999999998</v>
      </c>
      <c r="F332">
        <v>365972027.5</v>
      </c>
      <c r="G332">
        <v>0</v>
      </c>
      <c r="L332" t="s">
        <v>7</v>
      </c>
      <c r="M332" t="s">
        <v>8</v>
      </c>
      <c r="N332" t="s">
        <v>7</v>
      </c>
      <c r="P332">
        <f t="shared" si="969"/>
        <v>6.9116042197151055E-3</v>
      </c>
      <c r="Q332">
        <f t="shared" si="970"/>
        <v>2529453.8095666924</v>
      </c>
      <c r="R332">
        <f t="shared" si="971"/>
        <v>10210296979.513906</v>
      </c>
      <c r="S332">
        <f t="shared" si="972"/>
        <v>102102.96979513907</v>
      </c>
      <c r="T332">
        <f t="shared" si="973"/>
        <v>102.10296979513907</v>
      </c>
    </row>
    <row r="333" spans="1:20" x14ac:dyDescent="0.25">
      <c r="A333" s="5">
        <v>44260</v>
      </c>
      <c r="B333">
        <v>0.48120000000000002</v>
      </c>
      <c r="C333">
        <v>0.48487999999999998</v>
      </c>
      <c r="D333">
        <v>0.44574999999999998</v>
      </c>
      <c r="E333">
        <v>0.45456999999999997</v>
      </c>
      <c r="F333">
        <v>751282004.70000005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-0.54919499105545644</v>
      </c>
      <c r="Q333">
        <f t="shared" si="970"/>
        <v>-412600313.8513419</v>
      </c>
      <c r="R333">
        <f t="shared" si="971"/>
        <v>10207767525.70434</v>
      </c>
      <c r="S333">
        <f t="shared" si="972"/>
        <v>102077.6752570434</v>
      </c>
      <c r="T333">
        <f t="shared" si="973"/>
        <v>102.07767525704341</v>
      </c>
    </row>
    <row r="334" spans="1:20" x14ac:dyDescent="0.25">
      <c r="A334" s="5">
        <v>44259</v>
      </c>
      <c r="B334">
        <v>0.44840999999999998</v>
      </c>
      <c r="C334">
        <v>0.49448999999999999</v>
      </c>
      <c r="D334">
        <v>0.43411</v>
      </c>
      <c r="E334">
        <v>0.48096</v>
      </c>
      <c r="F334">
        <v>1244989352</v>
      </c>
      <c r="G334">
        <v>0</v>
      </c>
      <c r="L334" t="s">
        <v>8</v>
      </c>
      <c r="M334" t="s">
        <v>8</v>
      </c>
      <c r="N334" t="s">
        <v>7</v>
      </c>
      <c r="P334">
        <f t="shared" si="969"/>
        <v>0.55183835707187845</v>
      </c>
      <c r="Q334">
        <f t="shared" si="970"/>
        <v>687032878.57966256</v>
      </c>
      <c r="R334">
        <f t="shared" si="971"/>
        <v>10620367839.555681</v>
      </c>
      <c r="S334">
        <f t="shared" si="972"/>
        <v>106203.67839555681</v>
      </c>
      <c r="T334">
        <f t="shared" si="973"/>
        <v>106.20367839555681</v>
      </c>
    </row>
    <row r="335" spans="1:20" x14ac:dyDescent="0.25">
      <c r="A335" s="5">
        <v>44258</v>
      </c>
      <c r="B335">
        <v>0.43572</v>
      </c>
      <c r="C335">
        <v>0.46869</v>
      </c>
      <c r="D335">
        <v>0.43010999999999999</v>
      </c>
      <c r="E335">
        <v>0.44846000000000003</v>
      </c>
      <c r="F335">
        <v>642007609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-4.8729911871434349E-2</v>
      </c>
      <c r="Q335">
        <f t="shared" si="970"/>
        <v>-31284974.207360283</v>
      </c>
      <c r="R335">
        <f t="shared" si="971"/>
        <v>9933334960.9760189</v>
      </c>
      <c r="S335">
        <f t="shared" si="972"/>
        <v>99333.349609760189</v>
      </c>
      <c r="T335">
        <f t="shared" si="973"/>
        <v>99.333349609760191</v>
      </c>
    </row>
    <row r="336" spans="1:20" x14ac:dyDescent="0.25">
      <c r="A336" s="5">
        <v>44257</v>
      </c>
      <c r="B336">
        <v>0.44536999999999999</v>
      </c>
      <c r="C336">
        <v>0.45532</v>
      </c>
      <c r="D336">
        <v>0.42159000000000002</v>
      </c>
      <c r="E336">
        <v>0.43569999999999998</v>
      </c>
      <c r="F336">
        <v>645438020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-0.16335606285206267</v>
      </c>
      <c r="Q336">
        <f t="shared" si="970"/>
        <v>-105436213.76223087</v>
      </c>
      <c r="R336">
        <f t="shared" si="971"/>
        <v>9964619935.1833801</v>
      </c>
      <c r="S336">
        <f t="shared" si="972"/>
        <v>99646.199351833799</v>
      </c>
      <c r="T336">
        <f t="shared" si="973"/>
        <v>99.646199351833801</v>
      </c>
    </row>
    <row r="337" spans="1:20" x14ac:dyDescent="0.25">
      <c r="A337" s="5">
        <v>44256</v>
      </c>
      <c r="B337">
        <v>0.41570000000000001</v>
      </c>
      <c r="C337">
        <v>0.45400000000000001</v>
      </c>
      <c r="D337">
        <v>0.41206999999999999</v>
      </c>
      <c r="E337">
        <v>0.44536999999999999</v>
      </c>
      <c r="F337">
        <v>600649056.60000002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0.58836155497257225</v>
      </c>
      <c r="Q337">
        <f t="shared" si="970"/>
        <v>353398812.93398458</v>
      </c>
      <c r="R337">
        <f t="shared" si="971"/>
        <v>10070056148.94561</v>
      </c>
      <c r="S337">
        <f t="shared" si="972"/>
        <v>100700.5614894561</v>
      </c>
      <c r="T337">
        <f t="shared" si="973"/>
        <v>100.70056148945611</v>
      </c>
    </row>
    <row r="338" spans="1:20" x14ac:dyDescent="0.25">
      <c r="A338" s="5">
        <v>44255</v>
      </c>
      <c r="B338">
        <v>0.43586000000000003</v>
      </c>
      <c r="C338">
        <v>0.43875999999999998</v>
      </c>
      <c r="D338">
        <v>0.39267999999999997</v>
      </c>
      <c r="E338">
        <v>0.41565000000000002</v>
      </c>
      <c r="F338">
        <v>674797992.79999995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-3.0381944444426638E-3</v>
      </c>
      <c r="Q338">
        <f t="shared" si="970"/>
        <v>-2050167.5128460205</v>
      </c>
      <c r="R338">
        <f t="shared" si="971"/>
        <v>9716657336.0116253</v>
      </c>
      <c r="S338">
        <f t="shared" si="972"/>
        <v>97166.57336011625</v>
      </c>
      <c r="T338">
        <f t="shared" si="973"/>
        <v>97.166573360116246</v>
      </c>
    </row>
    <row r="339" spans="1:20" x14ac:dyDescent="0.25">
      <c r="A339" s="5">
        <v>44254</v>
      </c>
      <c r="B339">
        <v>0.42793999999999999</v>
      </c>
      <c r="C339">
        <v>0.45945000000000003</v>
      </c>
      <c r="D339">
        <v>0.42681000000000002</v>
      </c>
      <c r="E339">
        <v>0.43589</v>
      </c>
      <c r="F339">
        <v>612147484.79999995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-0.44362745098039363</v>
      </c>
      <c r="Q339">
        <f t="shared" si="970"/>
        <v>-271565428.30588323</v>
      </c>
      <c r="R339">
        <f t="shared" si="971"/>
        <v>9718707503.5244713</v>
      </c>
      <c r="S339">
        <f t="shared" si="972"/>
        <v>97187.075035244707</v>
      </c>
      <c r="T339">
        <f t="shared" si="973"/>
        <v>97.187075035244703</v>
      </c>
    </row>
    <row r="340" spans="1:20" x14ac:dyDescent="0.25">
      <c r="A340" s="5">
        <v>44253</v>
      </c>
      <c r="B340">
        <v>0.43598999999999999</v>
      </c>
      <c r="C340">
        <v>0.45067000000000002</v>
      </c>
      <c r="D340">
        <v>0.41110999999999998</v>
      </c>
      <c r="E340">
        <v>0.42787999999999998</v>
      </c>
      <c r="F340">
        <v>908467259.5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-0.15217391304347874</v>
      </c>
      <c r="Q340">
        <f t="shared" si="970"/>
        <v>-138245017.75000045</v>
      </c>
      <c r="R340">
        <f t="shared" si="971"/>
        <v>9990272931.8303547</v>
      </c>
      <c r="S340">
        <f t="shared" si="972"/>
        <v>99902.729318303551</v>
      </c>
      <c r="T340">
        <f t="shared" si="973"/>
        <v>99.902729318303557</v>
      </c>
    </row>
    <row r="341" spans="1:20" x14ac:dyDescent="0.25">
      <c r="A341" s="5">
        <v>44252</v>
      </c>
      <c r="B341">
        <v>0.46864</v>
      </c>
      <c r="C341">
        <v>0.48232999999999998</v>
      </c>
      <c r="D341">
        <v>0.4244</v>
      </c>
      <c r="E341">
        <v>0.43601000000000001</v>
      </c>
      <c r="F341">
        <v>709823716.20000005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-0.59917141377524552</v>
      </c>
      <c r="Q341">
        <f t="shared" si="970"/>
        <v>-425306079.56675267</v>
      </c>
      <c r="R341">
        <f t="shared" si="971"/>
        <v>10128517949.580355</v>
      </c>
      <c r="S341">
        <f t="shared" si="972"/>
        <v>101285.17949580355</v>
      </c>
      <c r="T341">
        <f t="shared" si="973"/>
        <v>101.28517949580355</v>
      </c>
    </row>
    <row r="342" spans="1:20" x14ac:dyDescent="0.25">
      <c r="A342" s="5">
        <v>44251</v>
      </c>
      <c r="B342">
        <v>0.4758</v>
      </c>
      <c r="C342">
        <v>0.49998999999999999</v>
      </c>
      <c r="D342">
        <v>0.45119999999999999</v>
      </c>
      <c r="E342">
        <v>0.46860000000000002</v>
      </c>
      <c r="F342">
        <v>984714285.39999998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-0.28673908587825264</v>
      </c>
      <c r="Q342">
        <f t="shared" si="970"/>
        <v>-282356074.04685277</v>
      </c>
      <c r="R342">
        <f t="shared" si="971"/>
        <v>10553824029.147108</v>
      </c>
      <c r="S342">
        <f t="shared" si="972"/>
        <v>105538.24029147108</v>
      </c>
      <c r="T342">
        <f t="shared" si="973"/>
        <v>105.53824029147108</v>
      </c>
    </row>
    <row r="343" spans="1:20" x14ac:dyDescent="0.25">
      <c r="A343" s="5">
        <v>44250</v>
      </c>
      <c r="B343">
        <v>0.56637000000000004</v>
      </c>
      <c r="C343">
        <v>0.57172000000000001</v>
      </c>
      <c r="D343">
        <v>0.36499999999999999</v>
      </c>
      <c r="E343">
        <v>0.47578999999999999</v>
      </c>
      <c r="F343">
        <v>2563543339.5999999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7.1884674922600533E-2</v>
      </c>
      <c r="Q343">
        <f t="shared" si="970"/>
        <v>184279479.61714375</v>
      </c>
      <c r="R343">
        <f t="shared" si="971"/>
        <v>10836180103.19396</v>
      </c>
      <c r="S343">
        <f t="shared" si="972"/>
        <v>108361.8010319396</v>
      </c>
      <c r="T343">
        <f t="shared" si="973"/>
        <v>108.36180103193959</v>
      </c>
    </row>
    <row r="344" spans="1:20" x14ac:dyDescent="0.25">
      <c r="A344" s="5">
        <v>44249</v>
      </c>
      <c r="B344">
        <v>0.54468000000000005</v>
      </c>
      <c r="C344">
        <v>0.65154999999999996</v>
      </c>
      <c r="D344">
        <v>0.51</v>
      </c>
      <c r="E344">
        <v>0.56645999999999996</v>
      </c>
      <c r="F344">
        <v>3572076523.4000001</v>
      </c>
      <c r="G344">
        <v>0</v>
      </c>
      <c r="L344" t="s">
        <v>8</v>
      </c>
      <c r="M344" t="s">
        <v>8</v>
      </c>
      <c r="N344" t="s">
        <v>8</v>
      </c>
      <c r="P344">
        <f t="shared" si="969"/>
        <v>-0.20226068527022292</v>
      </c>
      <c r="Q344">
        <f t="shared" si="970"/>
        <v>-722490645.46055949</v>
      </c>
      <c r="R344">
        <f t="shared" si="971"/>
        <v>10651900623.576817</v>
      </c>
      <c r="S344">
        <f t="shared" si="972"/>
        <v>106519.00623576816</v>
      </c>
      <c r="T344">
        <f t="shared" si="973"/>
        <v>106.51900623576816</v>
      </c>
    </row>
    <row r="345" spans="1:20" x14ac:dyDescent="0.25">
      <c r="A345" s="5">
        <v>44248</v>
      </c>
      <c r="B345">
        <v>0.51149999999999995</v>
      </c>
      <c r="C345">
        <v>0.55857999999999997</v>
      </c>
      <c r="D345">
        <v>0.50310999999999995</v>
      </c>
      <c r="E345">
        <v>0.54468000000000005</v>
      </c>
      <c r="F345">
        <v>1017475385.1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0.49882819542095158</v>
      </c>
      <c r="Q345">
        <f t="shared" si="970"/>
        <v>507545410.23467076</v>
      </c>
      <c r="R345">
        <f t="shared" si="971"/>
        <v>11374391269.037376</v>
      </c>
      <c r="S345">
        <f t="shared" si="972"/>
        <v>113743.91269037376</v>
      </c>
      <c r="T345">
        <f t="shared" si="973"/>
        <v>113.74391269037376</v>
      </c>
    </row>
    <row r="346" spans="1:20" x14ac:dyDescent="0.25">
      <c r="A346" s="5">
        <v>44247</v>
      </c>
      <c r="B346">
        <v>0.56477999999999995</v>
      </c>
      <c r="C346">
        <v>0.58235000000000003</v>
      </c>
      <c r="D346">
        <v>0.47231000000000001</v>
      </c>
      <c r="E346">
        <v>0.51166999999999996</v>
      </c>
      <c r="F346">
        <v>1247480282.2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-0.28462377317339255</v>
      </c>
      <c r="Q346">
        <f t="shared" si="970"/>
        <v>-355062544.87917256</v>
      </c>
      <c r="R346">
        <f t="shared" si="971"/>
        <v>10866845858.802706</v>
      </c>
      <c r="S346">
        <f t="shared" si="972"/>
        <v>108668.45858802706</v>
      </c>
      <c r="T346">
        <f t="shared" si="973"/>
        <v>108.66845858802706</v>
      </c>
    </row>
    <row r="347" spans="1:20" x14ac:dyDescent="0.25">
      <c r="A347" s="5">
        <v>44246</v>
      </c>
      <c r="B347">
        <v>0.53217000000000003</v>
      </c>
      <c r="C347">
        <v>0.58194999999999997</v>
      </c>
      <c r="D347">
        <v>0.5131</v>
      </c>
      <c r="E347">
        <v>0.56464999999999999</v>
      </c>
      <c r="F347">
        <v>1130348604.3</v>
      </c>
      <c r="G347">
        <v>0</v>
      </c>
      <c r="L347" t="s">
        <v>8</v>
      </c>
      <c r="M347" t="s">
        <v>7</v>
      </c>
      <c r="N347" t="s">
        <v>8</v>
      </c>
      <c r="P347">
        <f t="shared" si="969"/>
        <v>0.49745824255628207</v>
      </c>
      <c r="Q347">
        <f t="shared" si="970"/>
        <v>562301230.17102432</v>
      </c>
      <c r="R347">
        <f t="shared" si="971"/>
        <v>11221908403.681879</v>
      </c>
      <c r="S347">
        <f t="shared" si="972"/>
        <v>112219.08403681879</v>
      </c>
      <c r="T347">
        <f t="shared" si="973"/>
        <v>112.2190840368188</v>
      </c>
    </row>
    <row r="348" spans="1:20" x14ac:dyDescent="0.25">
      <c r="A348" s="5">
        <v>44245</v>
      </c>
      <c r="B348">
        <v>0.53459999999999996</v>
      </c>
      <c r="C348">
        <v>0.55994999999999995</v>
      </c>
      <c r="D348">
        <v>0.51900999999999997</v>
      </c>
      <c r="E348">
        <v>0.53203999999999996</v>
      </c>
      <c r="F348">
        <v>761631484.10000002</v>
      </c>
      <c r="G348">
        <v>0</v>
      </c>
      <c r="L348" t="s">
        <v>7</v>
      </c>
      <c r="M348" t="s">
        <v>7</v>
      </c>
      <c r="N348" t="s">
        <v>8</v>
      </c>
      <c r="P348">
        <f t="shared" si="969"/>
        <v>-0.36345872007816349</v>
      </c>
      <c r="Q348">
        <f t="shared" si="970"/>
        <v>-276821604.38221812</v>
      </c>
      <c r="R348">
        <f t="shared" si="971"/>
        <v>10659607173.510855</v>
      </c>
      <c r="S348">
        <f t="shared" si="972"/>
        <v>106596.07173510855</v>
      </c>
      <c r="T348">
        <f t="shared" si="973"/>
        <v>106.59607173510855</v>
      </c>
    </row>
    <row r="349" spans="1:20" x14ac:dyDescent="0.25">
      <c r="A349" s="5">
        <v>44244</v>
      </c>
      <c r="B349">
        <v>0.51980000000000004</v>
      </c>
      <c r="C349">
        <v>0.55750999999999995</v>
      </c>
      <c r="D349">
        <v>0.49336000000000002</v>
      </c>
      <c r="E349">
        <v>0.53466999999999998</v>
      </c>
      <c r="F349">
        <v>908599648.5</v>
      </c>
      <c r="G349">
        <v>0</v>
      </c>
      <c r="L349" t="s">
        <v>8</v>
      </c>
      <c r="M349" t="s">
        <v>7</v>
      </c>
      <c r="N349" t="s">
        <v>8</v>
      </c>
      <c r="P349">
        <f t="shared" si="969"/>
        <v>0.28791893998441165</v>
      </c>
      <c r="Q349">
        <f t="shared" si="970"/>
        <v>261603047.66632903</v>
      </c>
      <c r="R349">
        <f t="shared" si="971"/>
        <v>10936428777.893072</v>
      </c>
      <c r="S349">
        <f t="shared" si="972"/>
        <v>109364.28777893072</v>
      </c>
      <c r="T349">
        <f t="shared" si="973"/>
        <v>109.36428777893073</v>
      </c>
    </row>
    <row r="350" spans="1:20" x14ac:dyDescent="0.25">
      <c r="A350" s="5">
        <v>44243</v>
      </c>
      <c r="B350">
        <v>0.54986999999999997</v>
      </c>
      <c r="C350">
        <v>0.58004999999999995</v>
      </c>
      <c r="D350">
        <v>0.48110999999999998</v>
      </c>
      <c r="E350">
        <v>0.51995000000000002</v>
      </c>
      <c r="F350">
        <v>1153641290.0999999</v>
      </c>
      <c r="G350">
        <v>0</v>
      </c>
      <c r="L350" t="s">
        <v>7</v>
      </c>
      <c r="M350" t="s">
        <v>7</v>
      </c>
      <c r="N350" t="s">
        <v>8</v>
      </c>
      <c r="P350">
        <f t="shared" si="969"/>
        <v>-0.21487770365878206</v>
      </c>
      <c r="Q350">
        <f t="shared" si="970"/>
        <v>-247891791.2626428</v>
      </c>
      <c r="R350">
        <f t="shared" si="971"/>
        <v>10674825730.226744</v>
      </c>
      <c r="S350">
        <f t="shared" si="972"/>
        <v>106748.25730226743</v>
      </c>
      <c r="T350">
        <f t="shared" si="973"/>
        <v>106.74825730226743</v>
      </c>
    </row>
    <row r="351" spans="1:20" x14ac:dyDescent="0.25">
      <c r="A351" s="5">
        <v>44242</v>
      </c>
      <c r="B351">
        <v>0.59216999999999997</v>
      </c>
      <c r="C351">
        <v>0.60429999999999995</v>
      </c>
      <c r="D351">
        <v>0.50890999999999997</v>
      </c>
      <c r="E351">
        <v>0.54976000000000003</v>
      </c>
      <c r="F351">
        <v>1222510382.9000001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-0.14351609183352418</v>
      </c>
      <c r="Q351">
        <f t="shared" si="970"/>
        <v>-175449912.37971321</v>
      </c>
      <c r="R351">
        <f t="shared" si="971"/>
        <v>10922717521.489386</v>
      </c>
      <c r="S351">
        <f t="shared" si="972"/>
        <v>109227.17521489385</v>
      </c>
      <c r="T351">
        <f t="shared" si="973"/>
        <v>109.22717521489385</v>
      </c>
    </row>
    <row r="352" spans="1:20" x14ac:dyDescent="0.25">
      <c r="A352" s="5">
        <v>44241</v>
      </c>
      <c r="B352">
        <v>0.63309000000000004</v>
      </c>
      <c r="C352">
        <v>0.63980999999999999</v>
      </c>
      <c r="D352">
        <v>0.56111</v>
      </c>
      <c r="E352">
        <v>0.59211000000000003</v>
      </c>
      <c r="F352">
        <v>1010016902.3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-0.21219822109275652</v>
      </c>
      <c r="Q352">
        <f t="shared" si="970"/>
        <v>-214323789.94167644</v>
      </c>
      <c r="R352">
        <f t="shared" si="971"/>
        <v>11098167433.869099</v>
      </c>
      <c r="S352">
        <f t="shared" si="972"/>
        <v>110981.67433869098</v>
      </c>
      <c r="T352">
        <f t="shared" si="973"/>
        <v>110.98167433869098</v>
      </c>
    </row>
    <row r="353" spans="1:20" x14ac:dyDescent="0.25">
      <c r="A353" s="5">
        <v>44240</v>
      </c>
      <c r="B353">
        <v>0.60899999999999999</v>
      </c>
      <c r="C353">
        <v>0.64244000000000001</v>
      </c>
      <c r="D353">
        <v>0.54305999999999999</v>
      </c>
      <c r="E353">
        <v>0.63309000000000004</v>
      </c>
      <c r="F353">
        <v>1595483419.3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0.81183336687462337</v>
      </c>
      <c r="Q353">
        <f t="shared" si="970"/>
        <v>1295266676.0829554</v>
      </c>
      <c r="R353">
        <f t="shared" si="971"/>
        <v>11312491223.810776</v>
      </c>
      <c r="S353">
        <f t="shared" si="972"/>
        <v>113124.91223810776</v>
      </c>
      <c r="T353">
        <f t="shared" si="973"/>
        <v>113.12491223810777</v>
      </c>
    </row>
    <row r="354" spans="1:20" x14ac:dyDescent="0.25">
      <c r="A354" s="5">
        <v>44239</v>
      </c>
      <c r="B354">
        <v>0.52824000000000004</v>
      </c>
      <c r="C354">
        <v>0.61921999999999999</v>
      </c>
      <c r="D354">
        <v>0.51871</v>
      </c>
      <c r="E354">
        <v>0.60899999999999999</v>
      </c>
      <c r="F354">
        <v>1672053608.3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0.79663715053228523</v>
      </c>
      <c r="Q354">
        <f t="shared" si="970"/>
        <v>1332020022.0533378</v>
      </c>
      <c r="R354">
        <f t="shared" si="971"/>
        <v>10017224547.727819</v>
      </c>
      <c r="S354">
        <f t="shared" si="972"/>
        <v>100172.24547727819</v>
      </c>
      <c r="T354">
        <f t="shared" si="973"/>
        <v>100.1722454772782</v>
      </c>
    </row>
    <row r="355" spans="1:20" x14ac:dyDescent="0.25">
      <c r="A355" s="5">
        <v>44238</v>
      </c>
      <c r="B355">
        <v>0.50422</v>
      </c>
      <c r="C355">
        <v>0.53544999999999998</v>
      </c>
      <c r="D355">
        <v>0.49981999999999999</v>
      </c>
      <c r="E355">
        <v>0.52805999999999997</v>
      </c>
      <c r="F355">
        <v>961402272.20000005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0.5851810272242487</v>
      </c>
      <c r="Q355">
        <f t="shared" si="970"/>
        <v>562594369.22172284</v>
      </c>
      <c r="R355">
        <f t="shared" si="971"/>
        <v>8685204525.6744823</v>
      </c>
      <c r="S355">
        <f t="shared" si="972"/>
        <v>86852.045256744823</v>
      </c>
      <c r="T355">
        <f t="shared" si="973"/>
        <v>86.852045256744816</v>
      </c>
    </row>
    <row r="356" spans="1:20" x14ac:dyDescent="0.25">
      <c r="A356" s="5">
        <v>44237</v>
      </c>
      <c r="B356">
        <v>0.47637000000000002</v>
      </c>
      <c r="C356">
        <v>0.54224000000000006</v>
      </c>
      <c r="D356">
        <v>0.45</v>
      </c>
      <c r="E356">
        <v>0.50429000000000002</v>
      </c>
      <c r="F356">
        <v>2024774430.5999999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0.17714657415437943</v>
      </c>
      <c r="Q356">
        <f t="shared" si="970"/>
        <v>358681853.81617427</v>
      </c>
      <c r="R356">
        <f t="shared" si="971"/>
        <v>8122610156.4527588</v>
      </c>
      <c r="S356">
        <f t="shared" si="972"/>
        <v>81226.101564527591</v>
      </c>
      <c r="T356">
        <f t="shared" si="973"/>
        <v>81.226101564527596</v>
      </c>
    </row>
    <row r="357" spans="1:20" x14ac:dyDescent="0.25">
      <c r="A357" s="5">
        <v>44236</v>
      </c>
      <c r="B357">
        <v>0.45097999999999999</v>
      </c>
      <c r="C357">
        <v>0.49</v>
      </c>
      <c r="D357">
        <v>0.44901000000000002</v>
      </c>
      <c r="E357">
        <v>0.47636000000000001</v>
      </c>
      <c r="F357">
        <v>1273716203.3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0.3344718223957065</v>
      </c>
      <c r="Q357">
        <f t="shared" si="970"/>
        <v>426022179.73269117</v>
      </c>
      <c r="R357">
        <f t="shared" si="971"/>
        <v>7763928302.6365843</v>
      </c>
      <c r="S357">
        <f t="shared" si="972"/>
        <v>77639.28302636584</v>
      </c>
      <c r="T357">
        <f t="shared" si="973"/>
        <v>77.639283026365845</v>
      </c>
    </row>
    <row r="358" spans="1:20" x14ac:dyDescent="0.25">
      <c r="A358" s="5">
        <v>44235</v>
      </c>
      <c r="B358">
        <v>0.41848000000000002</v>
      </c>
      <c r="C358">
        <v>0.46920000000000001</v>
      </c>
      <c r="D358">
        <v>0.41249999999999998</v>
      </c>
      <c r="E358">
        <v>0.45099</v>
      </c>
      <c r="F358">
        <v>1149266957.3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0.35767195767195786</v>
      </c>
      <c r="Q358">
        <f t="shared" si="970"/>
        <v>411060562.50518537</v>
      </c>
      <c r="R358">
        <f t="shared" si="971"/>
        <v>7337906122.9038935</v>
      </c>
      <c r="S358">
        <f t="shared" si="972"/>
        <v>73379.06122903894</v>
      </c>
      <c r="T358">
        <f t="shared" si="973"/>
        <v>73.379061229038939</v>
      </c>
    </row>
    <row r="359" spans="1:20" x14ac:dyDescent="0.25">
      <c r="A359" s="5">
        <v>44234</v>
      </c>
      <c r="B359">
        <v>0.44307000000000002</v>
      </c>
      <c r="C359">
        <v>0.45089000000000001</v>
      </c>
      <c r="D359">
        <v>0.39123000000000002</v>
      </c>
      <c r="E359">
        <v>0.41848999999999997</v>
      </c>
      <c r="F359">
        <v>1141620049.0999999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-8.6154877639961269E-2</v>
      </c>
      <c r="Q359">
        <f t="shared" si="970"/>
        <v>-98356135.64153707</v>
      </c>
      <c r="R359">
        <f t="shared" si="971"/>
        <v>6926845560.3987083</v>
      </c>
      <c r="S359">
        <f t="shared" si="972"/>
        <v>69268.45560398708</v>
      </c>
      <c r="T359">
        <f t="shared" si="973"/>
        <v>69.268455603987078</v>
      </c>
    </row>
    <row r="360" spans="1:20" x14ac:dyDescent="0.25">
      <c r="A360" s="5">
        <v>44233</v>
      </c>
      <c r="B360">
        <v>0.45195000000000002</v>
      </c>
      <c r="C360">
        <v>0.45688000000000001</v>
      </c>
      <c r="D360">
        <v>0.42</v>
      </c>
      <c r="E360">
        <v>0.44307000000000002</v>
      </c>
      <c r="F360">
        <v>875771045.89999998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0.25108459869848265</v>
      </c>
      <c r="Q360">
        <f t="shared" si="970"/>
        <v>219892621.61155194</v>
      </c>
      <c r="R360">
        <f t="shared" si="971"/>
        <v>7025201696.0402451</v>
      </c>
      <c r="S360">
        <f t="shared" si="972"/>
        <v>70252.016960402456</v>
      </c>
      <c r="T360">
        <f t="shared" si="973"/>
        <v>70.252016960402457</v>
      </c>
    </row>
    <row r="361" spans="1:20" x14ac:dyDescent="0.25">
      <c r="A361" s="5">
        <v>44232</v>
      </c>
      <c r="B361">
        <v>0.44535000000000002</v>
      </c>
      <c r="C361">
        <v>0.47221999999999997</v>
      </c>
      <c r="D361">
        <v>0.42409999999999998</v>
      </c>
      <c r="E361">
        <v>0.45218999999999998</v>
      </c>
      <c r="F361">
        <v>1545115910.3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0.1674979218620119</v>
      </c>
      <c r="Q361">
        <f t="shared" si="970"/>
        <v>258803704.01118079</v>
      </c>
      <c r="R361">
        <f t="shared" si="971"/>
        <v>6805309074.4286928</v>
      </c>
      <c r="S361">
        <f t="shared" si="972"/>
        <v>68053.090744286921</v>
      </c>
      <c r="T361">
        <f t="shared" si="973"/>
        <v>68.053090744286919</v>
      </c>
    </row>
    <row r="362" spans="1:20" x14ac:dyDescent="0.25">
      <c r="A362" s="5">
        <v>44231</v>
      </c>
      <c r="B362">
        <v>0.39721000000000001</v>
      </c>
      <c r="C362">
        <v>0.48159000000000002</v>
      </c>
      <c r="D362">
        <v>0.37885000000000002</v>
      </c>
      <c r="E362">
        <v>0.44545000000000001</v>
      </c>
      <c r="F362">
        <v>2283530912.5999999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0.29647654272921925</v>
      </c>
      <c r="Q362">
        <f t="shared" si="970"/>
        <v>677013350.18294692</v>
      </c>
      <c r="R362">
        <f t="shared" si="971"/>
        <v>6546505370.4175119</v>
      </c>
      <c r="S362">
        <f t="shared" si="972"/>
        <v>65465.053704175116</v>
      </c>
      <c r="T362">
        <f t="shared" si="973"/>
        <v>65.465053704175119</v>
      </c>
    </row>
    <row r="363" spans="1:20" x14ac:dyDescent="0.25">
      <c r="A363" s="5">
        <v>44230</v>
      </c>
      <c r="B363">
        <v>0.37253999999999998</v>
      </c>
      <c r="C363">
        <v>0.41899999999999998</v>
      </c>
      <c r="D363">
        <v>0.37253999999999998</v>
      </c>
      <c r="E363">
        <v>0.39721000000000001</v>
      </c>
      <c r="F363">
        <v>1388316884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6.198880757641087E-2</v>
      </c>
      <c r="Q363">
        <f t="shared" si="970"/>
        <v>86060108.177358329</v>
      </c>
      <c r="R363">
        <f t="shared" si="971"/>
        <v>5869492020.2345648</v>
      </c>
      <c r="S363">
        <f t="shared" si="972"/>
        <v>58694.920202345646</v>
      </c>
      <c r="T363">
        <f t="shared" si="973"/>
        <v>58.694920202345642</v>
      </c>
    </row>
    <row r="364" spans="1:20" x14ac:dyDescent="0.25">
      <c r="A364" s="5">
        <v>44229</v>
      </c>
      <c r="B364">
        <v>0.37123</v>
      </c>
      <c r="C364">
        <v>0.41122999999999998</v>
      </c>
      <c r="D364">
        <v>0.34010000000000001</v>
      </c>
      <c r="E364">
        <v>0.37253999999999998</v>
      </c>
      <c r="F364">
        <v>2091912007.8</v>
      </c>
      <c r="G364">
        <v>0</v>
      </c>
      <c r="L364" t="s">
        <v>7</v>
      </c>
      <c r="M364" t="s">
        <v>7</v>
      </c>
      <c r="N364" t="s">
        <v>7</v>
      </c>
      <c r="P364">
        <f t="shared" si="969"/>
        <v>-8.7867285252355348E-2</v>
      </c>
      <c r="Q364">
        <f t="shared" si="970"/>
        <v>-183810629.11219001</v>
      </c>
      <c r="R364">
        <f t="shared" si="971"/>
        <v>5783431912.0572062</v>
      </c>
      <c r="S364">
        <f t="shared" si="972"/>
        <v>57834.319120572065</v>
      </c>
      <c r="T364">
        <f t="shared" si="973"/>
        <v>57.834319120572061</v>
      </c>
    </row>
    <row r="365" spans="1:20" x14ac:dyDescent="0.25">
      <c r="A365" s="5">
        <v>44228</v>
      </c>
      <c r="B365">
        <v>0.49515999999999999</v>
      </c>
      <c r="C365">
        <v>0.755</v>
      </c>
      <c r="D365">
        <v>0.35927999999999999</v>
      </c>
      <c r="E365">
        <v>0.37106</v>
      </c>
      <c r="F365">
        <v>8608358082.6000004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-0.94046295360355803</v>
      </c>
      <c r="Q365">
        <f t="shared" si="970"/>
        <v>-8095841868.0390577</v>
      </c>
      <c r="R365">
        <f t="shared" si="971"/>
        <v>5967242541.1693964</v>
      </c>
      <c r="S365">
        <f t="shared" si="972"/>
        <v>59672.425411693963</v>
      </c>
      <c r="T365">
        <f t="shared" si="973"/>
        <v>59.672425411693965</v>
      </c>
    </row>
    <row r="366" spans="1:20" x14ac:dyDescent="0.25">
      <c r="A366" s="5">
        <v>44227</v>
      </c>
      <c r="B366">
        <v>0.44368999999999997</v>
      </c>
      <c r="C366">
        <v>0.51</v>
      </c>
      <c r="D366">
        <v>0.38500000000000001</v>
      </c>
      <c r="E366">
        <v>0.49507000000000001</v>
      </c>
      <c r="F366">
        <v>4524657686.8000002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0.76112000000000002</v>
      </c>
      <c r="Q366">
        <f t="shared" si="970"/>
        <v>3443807458.5772161</v>
      </c>
      <c r="R366">
        <f t="shared" si="971"/>
        <v>14063084409.208454</v>
      </c>
      <c r="S366">
        <f t="shared" si="972"/>
        <v>140630.84409208453</v>
      </c>
      <c r="T366">
        <f t="shared" si="973"/>
        <v>140.63084409208454</v>
      </c>
    </row>
    <row r="367" spans="1:20" x14ac:dyDescent="0.25">
      <c r="A367" s="5">
        <v>44226</v>
      </c>
      <c r="B367">
        <v>0.28289999999999998</v>
      </c>
      <c r="C367">
        <v>0.51780000000000004</v>
      </c>
      <c r="D367">
        <v>0.27800000000000002</v>
      </c>
      <c r="E367">
        <v>0.44372</v>
      </c>
      <c r="F367">
        <v>5872830448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0.3821517931609672</v>
      </c>
      <c r="Q367">
        <f t="shared" si="970"/>
        <v>2244312686.6335263</v>
      </c>
      <c r="R367">
        <f t="shared" si="971"/>
        <v>10619276950.631237</v>
      </c>
      <c r="S367">
        <f t="shared" si="972"/>
        <v>106192.76950631237</v>
      </c>
      <c r="T367">
        <f t="shared" si="973"/>
        <v>106.19276950631237</v>
      </c>
    </row>
    <row r="368" spans="1:20" x14ac:dyDescent="0.25">
      <c r="A368" s="5">
        <v>44225</v>
      </c>
      <c r="B368">
        <v>0.26412999999999998</v>
      </c>
      <c r="C368">
        <v>0.31724000000000002</v>
      </c>
      <c r="D368">
        <v>0.25914999999999999</v>
      </c>
      <c r="E368">
        <v>0.28289999999999998</v>
      </c>
      <c r="F368">
        <v>1695844598.8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-0.18230332243071162</v>
      </c>
      <c r="Q368">
        <f t="shared" si="970"/>
        <v>-309158104.68741721</v>
      </c>
      <c r="R368">
        <f t="shared" si="971"/>
        <v>8374964263.9977102</v>
      </c>
      <c r="S368">
        <f t="shared" si="972"/>
        <v>83749.642639977101</v>
      </c>
      <c r="T368">
        <f t="shared" si="973"/>
        <v>83.749642639977097</v>
      </c>
    </row>
    <row r="369" spans="1:20" x14ac:dyDescent="0.25">
      <c r="A369" s="5">
        <v>44224</v>
      </c>
      <c r="B369">
        <v>0.25058000000000002</v>
      </c>
      <c r="C369">
        <v>0.27</v>
      </c>
      <c r="D369">
        <v>0.24698999999999999</v>
      </c>
      <c r="E369">
        <v>0.26407000000000003</v>
      </c>
      <c r="F369">
        <v>496218434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0.48457192524989284</v>
      </c>
      <c r="Q369">
        <f t="shared" si="970"/>
        <v>240453521.9078669</v>
      </c>
      <c r="R369">
        <f t="shared" si="971"/>
        <v>8684122368.6851273</v>
      </c>
      <c r="S369">
        <f t="shared" si="972"/>
        <v>86841.22368685127</v>
      </c>
      <c r="T369">
        <f t="shared" si="973"/>
        <v>86.841223686851265</v>
      </c>
    </row>
    <row r="370" spans="1:20" x14ac:dyDescent="0.25">
      <c r="A370" s="5">
        <v>44223</v>
      </c>
      <c r="B370">
        <v>0.26837</v>
      </c>
      <c r="C370">
        <v>0.26871</v>
      </c>
      <c r="D370">
        <v>0.24388000000000001</v>
      </c>
      <c r="E370">
        <v>0.25039</v>
      </c>
      <c r="F370">
        <v>468085255.10000002</v>
      </c>
      <c r="G370">
        <v>0</v>
      </c>
      <c r="L370" t="s">
        <v>7</v>
      </c>
      <c r="M370" t="s">
        <v>8</v>
      </c>
      <c r="N370" t="s">
        <v>7</v>
      </c>
      <c r="P370">
        <f t="shared" si="969"/>
        <v>-0.47563431333064921</v>
      </c>
      <c r="Q370">
        <f t="shared" si="970"/>
        <v>-222637408.88969028</v>
      </c>
      <c r="R370">
        <f t="shared" si="971"/>
        <v>8443668846.7772598</v>
      </c>
      <c r="S370">
        <f t="shared" si="972"/>
        <v>84436.688467772605</v>
      </c>
      <c r="T370">
        <f t="shared" si="973"/>
        <v>84.436688467772598</v>
      </c>
    </row>
    <row r="371" spans="1:20" x14ac:dyDescent="0.25">
      <c r="A371" s="5">
        <v>44222</v>
      </c>
      <c r="B371">
        <v>0.26751000000000003</v>
      </c>
      <c r="C371">
        <v>0.27095000000000002</v>
      </c>
      <c r="D371">
        <v>0.25800000000000001</v>
      </c>
      <c r="E371">
        <v>0.26834000000000002</v>
      </c>
      <c r="F371">
        <v>383692292.10000002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0.59691119691119721</v>
      </c>
      <c r="Q371">
        <f t="shared" si="970"/>
        <v>229030225.3230117</v>
      </c>
      <c r="R371">
        <f t="shared" si="971"/>
        <v>8666306255.6669502</v>
      </c>
      <c r="S371">
        <f t="shared" si="972"/>
        <v>86663.062556669509</v>
      </c>
      <c r="T371">
        <f t="shared" si="973"/>
        <v>86.663062556669516</v>
      </c>
    </row>
    <row r="372" spans="1:20" x14ac:dyDescent="0.25">
      <c r="A372" s="5">
        <v>44221</v>
      </c>
      <c r="B372">
        <v>0.27334999999999998</v>
      </c>
      <c r="C372">
        <v>0.28499999999999998</v>
      </c>
      <c r="D372">
        <v>0.26679000000000003</v>
      </c>
      <c r="E372">
        <v>0.26756999999999997</v>
      </c>
      <c r="F372">
        <v>483145818.39999998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-0.91433278418451958</v>
      </c>
      <c r="Q372">
        <f t="shared" si="970"/>
        <v>-441756061.30478024</v>
      </c>
      <c r="R372">
        <f t="shared" si="971"/>
        <v>8437276030.3439379</v>
      </c>
      <c r="S372">
        <f t="shared" si="972"/>
        <v>84372.760303439383</v>
      </c>
      <c r="T372">
        <f t="shared" si="973"/>
        <v>84.372760303439378</v>
      </c>
    </row>
    <row r="373" spans="1:20" x14ac:dyDescent="0.25">
      <c r="A373" s="5">
        <v>44220</v>
      </c>
      <c r="B373">
        <v>0.27168999999999999</v>
      </c>
      <c r="C373">
        <v>0.27798</v>
      </c>
      <c r="D373">
        <v>0.26804</v>
      </c>
      <c r="E373">
        <v>0.27339000000000002</v>
      </c>
      <c r="F373">
        <v>353391385.89999998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7.6458752515094375E-2</v>
      </c>
      <c r="Q373">
        <f t="shared" si="970"/>
        <v>27019864.515494309</v>
      </c>
      <c r="R373">
        <f t="shared" si="971"/>
        <v>8879032091.6487179</v>
      </c>
      <c r="S373">
        <f t="shared" si="972"/>
        <v>88790.320916487181</v>
      </c>
      <c r="T373">
        <f t="shared" si="973"/>
        <v>88.790320916487175</v>
      </c>
    </row>
    <row r="374" spans="1:20" x14ac:dyDescent="0.25">
      <c r="A374" s="5">
        <v>44219</v>
      </c>
      <c r="B374">
        <v>0.27216000000000001</v>
      </c>
      <c r="C374">
        <v>0.28355999999999998</v>
      </c>
      <c r="D374">
        <v>0.26545000000000002</v>
      </c>
      <c r="E374">
        <v>0.27167000000000002</v>
      </c>
      <c r="F374">
        <v>446546595.39999998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-0.31308669243511683</v>
      </c>
      <c r="Q374">
        <f t="shared" si="970"/>
        <v>-139807796.57194835</v>
      </c>
      <c r="R374">
        <f t="shared" si="971"/>
        <v>8852012227.1332245</v>
      </c>
      <c r="S374">
        <f t="shared" si="972"/>
        <v>88520.12227133225</v>
      </c>
      <c r="T374">
        <f t="shared" si="973"/>
        <v>88.520122271332255</v>
      </c>
    </row>
    <row r="375" spans="1:20" x14ac:dyDescent="0.25">
      <c r="A375" s="5">
        <v>44218</v>
      </c>
      <c r="B375">
        <v>0.26785999999999999</v>
      </c>
      <c r="C375">
        <v>0.27826000000000001</v>
      </c>
      <c r="D375">
        <v>0.24021000000000001</v>
      </c>
      <c r="E375">
        <v>0.27217000000000002</v>
      </c>
      <c r="F375">
        <v>799861140.29999995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0.67989487516425839</v>
      </c>
      <c r="Q375">
        <f t="shared" si="970"/>
        <v>543821490.13300979</v>
      </c>
      <c r="R375">
        <f t="shared" si="971"/>
        <v>8991820023.7051735</v>
      </c>
      <c r="S375">
        <f t="shared" si="972"/>
        <v>89918.200237051729</v>
      </c>
      <c r="T375">
        <f t="shared" si="973"/>
        <v>89.918200237051735</v>
      </c>
    </row>
    <row r="376" spans="1:20" x14ac:dyDescent="0.25">
      <c r="A376" s="5">
        <v>44217</v>
      </c>
      <c r="B376">
        <v>0.29553000000000001</v>
      </c>
      <c r="C376">
        <v>0.30797000000000002</v>
      </c>
      <c r="D376">
        <v>0.25991999999999998</v>
      </c>
      <c r="E376">
        <v>0.26801999999999998</v>
      </c>
      <c r="F376">
        <v>908284050.20000005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-0.6628511966701357</v>
      </c>
      <c r="Q376">
        <f t="shared" si="970"/>
        <v>-602057169.59146762</v>
      </c>
      <c r="R376">
        <f t="shared" si="971"/>
        <v>8447998533.5721636</v>
      </c>
      <c r="S376">
        <f t="shared" si="972"/>
        <v>84479.985335721634</v>
      </c>
      <c r="T376">
        <f t="shared" si="973"/>
        <v>84.479985335721636</v>
      </c>
    </row>
    <row r="377" spans="1:20" x14ac:dyDescent="0.25">
      <c r="A377" s="5">
        <v>44216</v>
      </c>
      <c r="B377">
        <v>0.29394999999999999</v>
      </c>
      <c r="C377">
        <v>0.31184000000000001</v>
      </c>
      <c r="D377">
        <v>0.28000000000000003</v>
      </c>
      <c r="E377">
        <v>0.29538999999999999</v>
      </c>
      <c r="F377">
        <v>850365454.5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-3.3291457286434095E-2</v>
      </c>
      <c r="Q377">
        <f t="shared" si="970"/>
        <v>-28309905.206345867</v>
      </c>
      <c r="R377">
        <f t="shared" si="971"/>
        <v>9050055703.1636314</v>
      </c>
      <c r="S377">
        <f t="shared" si="972"/>
        <v>90500.557031636316</v>
      </c>
      <c r="T377">
        <f t="shared" si="973"/>
        <v>90.500557031636319</v>
      </c>
    </row>
    <row r="378" spans="1:20" x14ac:dyDescent="0.25">
      <c r="A378" s="5">
        <v>44215</v>
      </c>
      <c r="B378">
        <v>0.28528999999999999</v>
      </c>
      <c r="C378">
        <v>0.33</v>
      </c>
      <c r="D378">
        <v>0.28395999999999999</v>
      </c>
      <c r="E378">
        <v>0.29396</v>
      </c>
      <c r="F378">
        <v>1267033309.5999999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-0.56559513466550815</v>
      </c>
      <c r="Q378">
        <f t="shared" si="970"/>
        <v>-716627875.36889637</v>
      </c>
      <c r="R378">
        <f t="shared" si="971"/>
        <v>9078365608.369978</v>
      </c>
      <c r="S378">
        <f t="shared" si="972"/>
        <v>90783.656083699781</v>
      </c>
      <c r="T378">
        <f t="shared" si="973"/>
        <v>90.783656083699782</v>
      </c>
    </row>
    <row r="379" spans="1:20" x14ac:dyDescent="0.25">
      <c r="A379" s="5">
        <v>44214</v>
      </c>
      <c r="B379">
        <v>0.27740999999999999</v>
      </c>
      <c r="C379">
        <v>0.28875000000000001</v>
      </c>
      <c r="D379">
        <v>0.27144000000000001</v>
      </c>
      <c r="E379">
        <v>0.28527999999999998</v>
      </c>
      <c r="F379">
        <v>536544377.10000002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0.59907567879837897</v>
      </c>
      <c r="Q379">
        <f t="shared" si="970"/>
        <v>321430686.91663593</v>
      </c>
      <c r="R379">
        <f t="shared" si="971"/>
        <v>9794993483.7388744</v>
      </c>
      <c r="S379">
        <f t="shared" si="972"/>
        <v>97949.934837388748</v>
      </c>
      <c r="T379">
        <f t="shared" si="973"/>
        <v>97.949934837388753</v>
      </c>
    </row>
    <row r="380" spans="1:20" x14ac:dyDescent="0.25">
      <c r="A380" s="5">
        <v>44213</v>
      </c>
      <c r="B380">
        <v>0.2792</v>
      </c>
      <c r="C380">
        <v>0.28571999999999997</v>
      </c>
      <c r="D380">
        <v>0.26845999999999998</v>
      </c>
      <c r="E380">
        <v>0.27745999999999998</v>
      </c>
      <c r="F380">
        <v>543053977.79999995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4.2873696407880565E-2</v>
      </c>
      <c r="Q380">
        <f t="shared" si="970"/>
        <v>23282731.377289109</v>
      </c>
      <c r="R380">
        <f t="shared" si="971"/>
        <v>9473562796.8222389</v>
      </c>
      <c r="S380">
        <f t="shared" si="972"/>
        <v>94735.627968222383</v>
      </c>
      <c r="T380">
        <f t="shared" si="973"/>
        <v>94.735627968222389</v>
      </c>
    </row>
    <row r="381" spans="1:20" x14ac:dyDescent="0.25">
      <c r="A381" s="5">
        <v>44212</v>
      </c>
      <c r="B381">
        <v>0.27987000000000001</v>
      </c>
      <c r="C381">
        <v>0.29665999999999998</v>
      </c>
      <c r="D381">
        <v>0.27503</v>
      </c>
      <c r="E381">
        <v>0.27923999999999999</v>
      </c>
      <c r="F381">
        <v>749907244.39999998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-0.61072584373555294</v>
      </c>
      <c r="Q381">
        <f t="shared" si="970"/>
        <v>-457987734.5595935</v>
      </c>
      <c r="R381">
        <f t="shared" si="971"/>
        <v>9450280065.4449501</v>
      </c>
      <c r="S381">
        <f t="shared" si="972"/>
        <v>94502.8006544495</v>
      </c>
      <c r="T381">
        <f t="shared" si="973"/>
        <v>94.502800654449501</v>
      </c>
    </row>
    <row r="382" spans="1:20" x14ac:dyDescent="0.25">
      <c r="A382" s="5">
        <v>44211</v>
      </c>
      <c r="B382">
        <v>0.29648000000000002</v>
      </c>
      <c r="C382">
        <v>0.30336999999999997</v>
      </c>
      <c r="D382">
        <v>0.26100000000000001</v>
      </c>
      <c r="E382">
        <v>0.27990999999999999</v>
      </c>
      <c r="F382">
        <v>844991903.5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-0.10738730233655894</v>
      </c>
      <c r="Q382">
        <f t="shared" si="970"/>
        <v>-90741401.01309894</v>
      </c>
      <c r="R382">
        <f t="shared" si="971"/>
        <v>9908267800.0045433</v>
      </c>
      <c r="S382">
        <f t="shared" si="972"/>
        <v>99082.678000045431</v>
      </c>
      <c r="T382">
        <f t="shared" si="973"/>
        <v>99.082678000045433</v>
      </c>
    </row>
    <row r="383" spans="1:20" x14ac:dyDescent="0.25">
      <c r="A383" s="5">
        <v>44210</v>
      </c>
      <c r="B383">
        <v>0.30570000000000003</v>
      </c>
      <c r="C383">
        <v>0.309</v>
      </c>
      <c r="D383">
        <v>0.28333999999999998</v>
      </c>
      <c r="E383">
        <v>0.29642000000000002</v>
      </c>
      <c r="F383">
        <v>887903603.5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1.9485580670306143E-2</v>
      </c>
      <c r="Q383">
        <f t="shared" si="970"/>
        <v>17301317.29345477</v>
      </c>
      <c r="R383">
        <f t="shared" si="971"/>
        <v>9999009201.017643</v>
      </c>
      <c r="S383">
        <f t="shared" si="972"/>
        <v>99990.092010176435</v>
      </c>
      <c r="T383">
        <f t="shared" si="973"/>
        <v>99.99009201017644</v>
      </c>
    </row>
    <row r="384" spans="1:20" x14ac:dyDescent="0.25">
      <c r="A384" s="5">
        <v>44209</v>
      </c>
      <c r="B384">
        <v>0.29241</v>
      </c>
      <c r="C384">
        <v>0.31</v>
      </c>
      <c r="D384">
        <v>0.2848</v>
      </c>
      <c r="E384">
        <v>0.30581999999999998</v>
      </c>
      <c r="F384">
        <v>764981853.89999998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0.66825396825396688</v>
      </c>
      <c r="Q384">
        <f t="shared" si="970"/>
        <v>511202159.51095134</v>
      </c>
      <c r="R384">
        <f t="shared" si="971"/>
        <v>9981707883.7241879</v>
      </c>
      <c r="S384">
        <f t="shared" si="972"/>
        <v>99817.078837241876</v>
      </c>
      <c r="T384">
        <f t="shared" si="973"/>
        <v>99.81707883724188</v>
      </c>
    </row>
    <row r="385" spans="1:20" x14ac:dyDescent="0.25">
      <c r="A385" s="5">
        <v>44208</v>
      </c>
      <c r="B385">
        <v>0.28742000000000001</v>
      </c>
      <c r="C385">
        <v>0.31002999999999997</v>
      </c>
      <c r="D385">
        <v>0.27743000000000001</v>
      </c>
      <c r="E385">
        <v>0.29254000000000002</v>
      </c>
      <c r="F385">
        <v>1100343591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-7.300613496932333E-2</v>
      </c>
      <c r="Q385">
        <f t="shared" si="970"/>
        <v>-80331832.717175901</v>
      </c>
      <c r="R385">
        <f t="shared" si="971"/>
        <v>9470505724.2132359</v>
      </c>
      <c r="S385">
        <f t="shared" si="972"/>
        <v>94705.05724213236</v>
      </c>
      <c r="T385">
        <f t="shared" si="973"/>
        <v>94.705057242132355</v>
      </c>
    </row>
    <row r="386" spans="1:20" x14ac:dyDescent="0.25">
      <c r="A386" s="5">
        <v>44207</v>
      </c>
      <c r="B386">
        <v>0.31486999999999998</v>
      </c>
      <c r="C386">
        <v>0.31627</v>
      </c>
      <c r="D386">
        <v>0.25342999999999999</v>
      </c>
      <c r="E386">
        <v>0.28743000000000002</v>
      </c>
      <c r="F386">
        <v>1963655151.8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8.2113303628263093E-2</v>
      </c>
      <c r="Q386">
        <f t="shared" si="970"/>
        <v>161242211.70095646</v>
      </c>
      <c r="R386">
        <f t="shared" si="971"/>
        <v>9550837556.9304123</v>
      </c>
      <c r="S386">
        <f t="shared" si="972"/>
        <v>95508.375569304117</v>
      </c>
      <c r="T386">
        <f t="shared" si="973"/>
        <v>95.508375569304121</v>
      </c>
    </row>
    <row r="387" spans="1:20" x14ac:dyDescent="0.25">
      <c r="A387" s="5">
        <v>44206</v>
      </c>
      <c r="B387">
        <v>0.32418999999999998</v>
      </c>
      <c r="C387">
        <v>0.36799999999999999</v>
      </c>
      <c r="D387">
        <v>0.28708</v>
      </c>
      <c r="E387">
        <v>0.31491000000000002</v>
      </c>
      <c r="F387">
        <v>1717325406.4000001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-0.31216015818091886</v>
      </c>
      <c r="Q387">
        <f t="shared" si="970"/>
        <v>-536080570.50993478</v>
      </c>
      <c r="R387">
        <f t="shared" si="971"/>
        <v>9389595345.2294559</v>
      </c>
      <c r="S387">
        <f t="shared" si="972"/>
        <v>93895.953452294561</v>
      </c>
      <c r="T387">
        <f t="shared" si="973"/>
        <v>93.895953452294563</v>
      </c>
    </row>
    <row r="388" spans="1:20" x14ac:dyDescent="0.25">
      <c r="A388" s="5">
        <v>44205</v>
      </c>
      <c r="B388">
        <v>0.32049</v>
      </c>
      <c r="C388">
        <v>0.33950000000000002</v>
      </c>
      <c r="D388">
        <v>0.30523</v>
      </c>
      <c r="E388">
        <v>0.32418999999999998</v>
      </c>
      <c r="F388">
        <v>1177910308.9000001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0.10650714911000667</v>
      </c>
      <c r="Q388">
        <f t="shared" si="970"/>
        <v>125455868.90822633</v>
      </c>
      <c r="R388">
        <f t="shared" si="971"/>
        <v>9925675915.7393913</v>
      </c>
      <c r="S388">
        <f t="shared" si="972"/>
        <v>99256.759157393913</v>
      </c>
      <c r="T388">
        <f t="shared" si="973"/>
        <v>99.256759157393915</v>
      </c>
    </row>
    <row r="389" spans="1:20" x14ac:dyDescent="0.25">
      <c r="A389" s="5">
        <v>44204</v>
      </c>
      <c r="B389">
        <v>0.32389000000000001</v>
      </c>
      <c r="C389">
        <v>0.34670000000000001</v>
      </c>
      <c r="D389">
        <v>0.28487000000000001</v>
      </c>
      <c r="E389">
        <v>0.32031999999999999</v>
      </c>
      <c r="F389">
        <v>2029015562.5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0.14669254407245622</v>
      </c>
      <c r="Q389">
        <f t="shared" si="970"/>
        <v>297641454.8257308</v>
      </c>
      <c r="R389">
        <f t="shared" si="971"/>
        <v>9800220046.8311653</v>
      </c>
      <c r="S389">
        <f t="shared" si="972"/>
        <v>98002.200468311654</v>
      </c>
      <c r="T389">
        <f t="shared" si="973"/>
        <v>98.002200468311656</v>
      </c>
    </row>
    <row r="390" spans="1:20" x14ac:dyDescent="0.25">
      <c r="A390" s="5">
        <v>44203</v>
      </c>
      <c r="B390">
        <v>0.24856</v>
      </c>
      <c r="C390">
        <v>0.37</v>
      </c>
      <c r="D390">
        <v>0.24529999999999999</v>
      </c>
      <c r="E390">
        <v>0.32389000000000001</v>
      </c>
      <c r="F390">
        <v>3863585524.3000002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0.26046511627907004</v>
      </c>
      <c r="Q390">
        <f t="shared" ref="Q390:Q453" si="975">F390*P390</f>
        <v>1006329252.8409313</v>
      </c>
      <c r="R390">
        <f t="shared" ref="R390:R453" si="976">R391+Q390</f>
        <v>9502578592.005434</v>
      </c>
      <c r="S390">
        <f t="shared" ref="S390:S453" si="977">R390/100000</f>
        <v>95025.785920054346</v>
      </c>
      <c r="T390">
        <f t="shared" ref="T390:T453" si="978">S390/1000</f>
        <v>95.025785920054346</v>
      </c>
    </row>
    <row r="391" spans="1:20" x14ac:dyDescent="0.25">
      <c r="A391" s="5">
        <v>44202</v>
      </c>
      <c r="B391">
        <v>0.22577</v>
      </c>
      <c r="C391">
        <v>0.27450000000000002</v>
      </c>
      <c r="D391">
        <v>0.22139</v>
      </c>
      <c r="E391">
        <v>0.24854000000000001</v>
      </c>
      <c r="F391">
        <v>1776262975.4000001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2.2406326492185956E-2</v>
      </c>
      <c r="Q391">
        <f t="shared" si="975"/>
        <v>39799528.162794076</v>
      </c>
      <c r="R391">
        <f t="shared" si="976"/>
        <v>8496249339.1645031</v>
      </c>
      <c r="S391">
        <f t="shared" si="977"/>
        <v>84962.493391645025</v>
      </c>
      <c r="T391">
        <f t="shared" si="978"/>
        <v>84.962493391645026</v>
      </c>
    </row>
    <row r="392" spans="1:20" x14ac:dyDescent="0.25">
      <c r="A392" s="5">
        <v>44201</v>
      </c>
      <c r="B392">
        <v>0.23568</v>
      </c>
      <c r="C392">
        <v>0.24268999999999999</v>
      </c>
      <c r="D392">
        <v>0.21773999999999999</v>
      </c>
      <c r="E392">
        <v>0.22572999999999999</v>
      </c>
      <c r="F392">
        <v>1184439077.0999999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-0.35951903807615254</v>
      </c>
      <c r="Q392">
        <f t="shared" si="975"/>
        <v>-425828397.65879786</v>
      </c>
      <c r="R392">
        <f t="shared" si="976"/>
        <v>8456449811.001709</v>
      </c>
      <c r="S392">
        <f t="shared" si="977"/>
        <v>84564.498110017084</v>
      </c>
      <c r="T392">
        <f t="shared" si="978"/>
        <v>84.564498110017084</v>
      </c>
    </row>
    <row r="393" spans="1:20" x14ac:dyDescent="0.25">
      <c r="A393" s="5">
        <v>44200</v>
      </c>
      <c r="B393">
        <v>0.22539999999999999</v>
      </c>
      <c r="C393">
        <v>0.26090999999999998</v>
      </c>
      <c r="D393">
        <v>0.218</v>
      </c>
      <c r="E393">
        <v>0.23565</v>
      </c>
      <c r="F393">
        <v>1518296110.4000001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-0.17734793754369568</v>
      </c>
      <c r="Q393">
        <f t="shared" si="975"/>
        <v>-269266683.7600553</v>
      </c>
      <c r="R393">
        <f t="shared" si="976"/>
        <v>8882278208.6605072</v>
      </c>
      <c r="S393">
        <f t="shared" si="977"/>
        <v>88822.782086605075</v>
      </c>
      <c r="T393">
        <f t="shared" si="978"/>
        <v>88.822782086605073</v>
      </c>
    </row>
    <row r="394" spans="1:20" x14ac:dyDescent="0.25">
      <c r="A394" s="5">
        <v>44199</v>
      </c>
      <c r="B394">
        <v>0.22064</v>
      </c>
      <c r="C394">
        <v>0.23852000000000001</v>
      </c>
      <c r="D394">
        <v>0.215</v>
      </c>
      <c r="E394">
        <v>0.22539999999999999</v>
      </c>
      <c r="F394">
        <v>1178158964.4000001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-0.11564625850340249</v>
      </c>
      <c r="Q394">
        <f t="shared" si="975"/>
        <v>-136249676.15510339</v>
      </c>
      <c r="R394">
        <f t="shared" si="976"/>
        <v>9151544892.4205627</v>
      </c>
      <c r="S394">
        <f t="shared" si="977"/>
        <v>91515.44892420563</v>
      </c>
      <c r="T394">
        <f t="shared" si="978"/>
        <v>91.515448924205629</v>
      </c>
    </row>
    <row r="395" spans="1:20" x14ac:dyDescent="0.25">
      <c r="A395" s="5">
        <v>44198</v>
      </c>
      <c r="B395">
        <v>0.2374</v>
      </c>
      <c r="C395">
        <v>0.23823</v>
      </c>
      <c r="D395">
        <v>0.21084</v>
      </c>
      <c r="E395">
        <v>0.22064</v>
      </c>
      <c r="F395">
        <v>1134029208.3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-0.28441036874771786</v>
      </c>
      <c r="Q395">
        <f t="shared" si="975"/>
        <v>-322529665.30328554</v>
      </c>
      <c r="R395">
        <f t="shared" si="976"/>
        <v>9287794568.5756664</v>
      </c>
      <c r="S395">
        <f t="shared" si="977"/>
        <v>92877.945685756669</v>
      </c>
      <c r="T395">
        <f t="shared" si="978"/>
        <v>92.877945685756671</v>
      </c>
    </row>
    <row r="396" spans="1:20" x14ac:dyDescent="0.25">
      <c r="A396" s="5">
        <v>44197</v>
      </c>
      <c r="B396">
        <v>0.21953</v>
      </c>
      <c r="C396">
        <v>0.25</v>
      </c>
      <c r="D396">
        <v>0.216</v>
      </c>
      <c r="E396">
        <v>0.23746</v>
      </c>
      <c r="F396">
        <v>1490489727.4000001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0.2623529411764709</v>
      </c>
      <c r="Q396">
        <f t="shared" si="975"/>
        <v>391034363.7767064</v>
      </c>
      <c r="R396">
        <f t="shared" si="976"/>
        <v>9610324233.878952</v>
      </c>
      <c r="S396">
        <f t="shared" si="977"/>
        <v>96103.242338789525</v>
      </c>
      <c r="T396">
        <f t="shared" si="978"/>
        <v>96.103242338789528</v>
      </c>
    </row>
    <row r="397" spans="1:20" x14ac:dyDescent="0.25">
      <c r="A397" s="5">
        <v>44196</v>
      </c>
      <c r="B397">
        <v>0.21132999999999999</v>
      </c>
      <c r="C397">
        <v>0.22949</v>
      </c>
      <c r="D397">
        <v>0.20521</v>
      </c>
      <c r="E397">
        <v>0.21959000000000001</v>
      </c>
      <c r="F397">
        <v>1391876889.9000001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0.18451400329489343</v>
      </c>
      <c r="Q397">
        <f t="shared" si="975"/>
        <v>256820777.04909462</v>
      </c>
      <c r="R397">
        <f t="shared" si="976"/>
        <v>9219289870.1022453</v>
      </c>
      <c r="S397">
        <f t="shared" si="977"/>
        <v>92192.898701022452</v>
      </c>
      <c r="T397">
        <f t="shared" si="978"/>
        <v>92.192898701022457</v>
      </c>
    </row>
    <row r="398" spans="1:20" x14ac:dyDescent="0.25">
      <c r="A398" s="5">
        <v>44195</v>
      </c>
      <c r="B398">
        <v>0.22142000000000001</v>
      </c>
      <c r="C398">
        <v>0.23665</v>
      </c>
      <c r="D398">
        <v>0.19186</v>
      </c>
      <c r="E398">
        <v>0.21138000000000001</v>
      </c>
      <c r="F398">
        <v>2578637039.0999999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-0.12837686983701668</v>
      </c>
      <c r="Q398">
        <f t="shared" si="975"/>
        <v>-331037351.52545077</v>
      </c>
      <c r="R398">
        <f t="shared" si="976"/>
        <v>8962469093.0531502</v>
      </c>
      <c r="S398">
        <f t="shared" si="977"/>
        <v>89624.690930531506</v>
      </c>
      <c r="T398">
        <f t="shared" si="978"/>
        <v>89.6246909305315</v>
      </c>
    </row>
    <row r="399" spans="1:20" x14ac:dyDescent="0.25">
      <c r="A399" s="5">
        <v>44194</v>
      </c>
      <c r="B399">
        <v>0.24832000000000001</v>
      </c>
      <c r="C399">
        <v>0.25167</v>
      </c>
      <c r="D399">
        <v>0.17351</v>
      </c>
      <c r="E399">
        <v>0.22142000000000001</v>
      </c>
      <c r="F399">
        <v>4215576309.1999998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0.2259467758444218</v>
      </c>
      <c r="Q399">
        <f t="shared" si="975"/>
        <v>952495875.38986731</v>
      </c>
      <c r="R399">
        <f t="shared" si="976"/>
        <v>9293506444.5786018</v>
      </c>
      <c r="S399">
        <f t="shared" si="977"/>
        <v>92935.064445786018</v>
      </c>
      <c r="T399">
        <f t="shared" si="978"/>
        <v>92.935064445786011</v>
      </c>
    </row>
    <row r="400" spans="1:20" x14ac:dyDescent="0.25">
      <c r="A400" s="5">
        <v>44193</v>
      </c>
      <c r="B400">
        <v>0.28400999999999998</v>
      </c>
      <c r="C400">
        <v>0.31</v>
      </c>
      <c r="D400">
        <v>0.2341</v>
      </c>
      <c r="E400">
        <v>0.24845</v>
      </c>
      <c r="F400">
        <v>1547274302.2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-0.62187088274044788</v>
      </c>
      <c r="Q400">
        <f t="shared" si="975"/>
        <v>-962204836.15072453</v>
      </c>
      <c r="R400">
        <f t="shared" si="976"/>
        <v>8341010569.1887341</v>
      </c>
      <c r="S400">
        <f t="shared" si="977"/>
        <v>83410.105691887336</v>
      </c>
      <c r="T400">
        <f t="shared" si="978"/>
        <v>83.410105691887338</v>
      </c>
    </row>
    <row r="401" spans="1:20" x14ac:dyDescent="0.25">
      <c r="A401" s="5">
        <v>44192</v>
      </c>
      <c r="B401">
        <v>0.29483999999999999</v>
      </c>
      <c r="C401">
        <v>0.312</v>
      </c>
      <c r="D401">
        <v>0.26600000000000001</v>
      </c>
      <c r="E401">
        <v>0.28406999999999999</v>
      </c>
      <c r="F401">
        <v>1453625832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-0.21434782608695735</v>
      </c>
      <c r="Q401">
        <f t="shared" si="975"/>
        <v>-311581537.0330447</v>
      </c>
      <c r="R401">
        <f t="shared" si="976"/>
        <v>9303215405.3394585</v>
      </c>
      <c r="S401">
        <f t="shared" si="977"/>
        <v>93032.154053394581</v>
      </c>
      <c r="T401">
        <f t="shared" si="978"/>
        <v>93.032154053394578</v>
      </c>
    </row>
    <row r="402" spans="1:20" x14ac:dyDescent="0.25">
      <c r="A402" s="5">
        <v>44191</v>
      </c>
      <c r="B402">
        <v>0.31790000000000002</v>
      </c>
      <c r="C402">
        <v>0.32723000000000002</v>
      </c>
      <c r="D402">
        <v>0.28303</v>
      </c>
      <c r="E402">
        <v>0.29481000000000002</v>
      </c>
      <c r="F402">
        <v>1685723998.7</v>
      </c>
      <c r="G402">
        <v>0</v>
      </c>
      <c r="L402" t="s">
        <v>7</v>
      </c>
      <c r="M402" t="s">
        <v>8</v>
      </c>
      <c r="N402" t="s">
        <v>8</v>
      </c>
      <c r="P402">
        <f t="shared" si="974"/>
        <v>-0.46696832579185482</v>
      </c>
      <c r="Q402">
        <f t="shared" si="975"/>
        <v>-787179713.42008984</v>
      </c>
      <c r="R402">
        <f t="shared" si="976"/>
        <v>9614796942.3725033</v>
      </c>
      <c r="S402">
        <f t="shared" si="977"/>
        <v>96147.969423725037</v>
      </c>
      <c r="T402">
        <f t="shared" si="978"/>
        <v>96.14796942372503</v>
      </c>
    </row>
    <row r="403" spans="1:20" x14ac:dyDescent="0.25">
      <c r="A403" s="5">
        <v>44190</v>
      </c>
      <c r="B403">
        <v>0.33865000000000001</v>
      </c>
      <c r="C403">
        <v>0.38550000000000001</v>
      </c>
      <c r="D403">
        <v>0.2797</v>
      </c>
      <c r="E403">
        <v>0.31768000000000002</v>
      </c>
      <c r="F403">
        <v>3342216004</v>
      </c>
      <c r="G403">
        <v>0</v>
      </c>
      <c r="L403" t="s">
        <v>8</v>
      </c>
      <c r="M403" t="s">
        <v>7</v>
      </c>
      <c r="N403" t="s">
        <v>8</v>
      </c>
      <c r="P403">
        <f t="shared" si="974"/>
        <v>-0.28204158790170109</v>
      </c>
      <c r="Q403">
        <f t="shared" si="975"/>
        <v>-942643908.87863815</v>
      </c>
      <c r="R403">
        <f t="shared" si="976"/>
        <v>10401976655.792593</v>
      </c>
      <c r="S403">
        <f t="shared" si="977"/>
        <v>104019.76655792593</v>
      </c>
      <c r="T403">
        <f t="shared" si="978"/>
        <v>104.01976655792593</v>
      </c>
    </row>
    <row r="404" spans="1:20" x14ac:dyDescent="0.25">
      <c r="A404" s="5">
        <v>44189</v>
      </c>
      <c r="B404">
        <v>0.26050000000000001</v>
      </c>
      <c r="C404">
        <v>0.37780000000000002</v>
      </c>
      <c r="D404">
        <v>0.24002999999999999</v>
      </c>
      <c r="E404">
        <v>0.33862999999999999</v>
      </c>
      <c r="F404">
        <v>3822010234.6999998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0.43137112578935866</v>
      </c>
      <c r="Q404">
        <f t="shared" si="975"/>
        <v>1648704857.7209897</v>
      </c>
      <c r="R404">
        <f t="shared" si="976"/>
        <v>11344620564.67123</v>
      </c>
      <c r="S404">
        <f t="shared" si="977"/>
        <v>113446.2056467123</v>
      </c>
      <c r="T404">
        <f t="shared" si="978"/>
        <v>113.4462056467123</v>
      </c>
    </row>
    <row r="405" spans="1:20" x14ac:dyDescent="0.25">
      <c r="A405" s="5">
        <v>44188</v>
      </c>
      <c r="B405">
        <v>0.44635999999999998</v>
      </c>
      <c r="C405">
        <v>0.44841999999999999</v>
      </c>
      <c r="D405">
        <v>0.21163999999999999</v>
      </c>
      <c r="E405">
        <v>0.26050000000000001</v>
      </c>
      <c r="F405">
        <v>4553848887.3999996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-0.58729622434327211</v>
      </c>
      <c r="Q405">
        <f t="shared" si="975"/>
        <v>-2674458257.7998304</v>
      </c>
      <c r="R405">
        <f t="shared" si="976"/>
        <v>9695915706.9502411</v>
      </c>
      <c r="S405">
        <f t="shared" si="977"/>
        <v>96959.157069502413</v>
      </c>
      <c r="T405">
        <f t="shared" si="978"/>
        <v>96.95915706950241</v>
      </c>
    </row>
    <row r="406" spans="1:20" x14ac:dyDescent="0.25">
      <c r="A406" s="5">
        <v>44187</v>
      </c>
      <c r="B406">
        <v>0.51468999999999998</v>
      </c>
      <c r="C406">
        <v>0.52212999999999998</v>
      </c>
      <c r="D406">
        <v>0.40215000000000001</v>
      </c>
      <c r="E406">
        <v>0.44641999999999998</v>
      </c>
      <c r="F406">
        <v>1509931701.2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-0.26204367394565786</v>
      </c>
      <c r="Q406">
        <f t="shared" si="975"/>
        <v>-395668050.38946533</v>
      </c>
      <c r="R406">
        <f t="shared" si="976"/>
        <v>12370373964.750071</v>
      </c>
      <c r="S406">
        <f t="shared" si="977"/>
        <v>123703.73964750071</v>
      </c>
      <c r="T406">
        <f t="shared" si="978"/>
        <v>123.70373964750071</v>
      </c>
    </row>
    <row r="407" spans="1:20" x14ac:dyDescent="0.25">
      <c r="A407" s="5">
        <v>44186</v>
      </c>
      <c r="B407">
        <v>0.55576000000000003</v>
      </c>
      <c r="C407">
        <v>0.56935000000000002</v>
      </c>
      <c r="D407">
        <v>0.49825000000000003</v>
      </c>
      <c r="E407">
        <v>0.51444999999999996</v>
      </c>
      <c r="F407">
        <v>593235772.10000002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-0.54430379746835622</v>
      </c>
      <c r="Q407">
        <f t="shared" si="975"/>
        <v>-322900483.54810232</v>
      </c>
      <c r="R407">
        <f t="shared" si="976"/>
        <v>12766042015.139536</v>
      </c>
      <c r="S407">
        <f t="shared" si="977"/>
        <v>127660.42015139536</v>
      </c>
      <c r="T407">
        <f t="shared" si="978"/>
        <v>127.66042015139536</v>
      </c>
    </row>
    <row r="408" spans="1:20" x14ac:dyDescent="0.25">
      <c r="A408" s="5">
        <v>44185</v>
      </c>
      <c r="B408">
        <v>0.57691999999999999</v>
      </c>
      <c r="C408">
        <v>0.58657999999999999</v>
      </c>
      <c r="D408">
        <v>0.52869999999999995</v>
      </c>
      <c r="E408">
        <v>0.55586000000000002</v>
      </c>
      <c r="F408">
        <v>544352722.10000002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-6.1506565307530993E-2</v>
      </c>
      <c r="Q408">
        <f t="shared" si="975"/>
        <v>-33481266.25217592</v>
      </c>
      <c r="R408">
        <f t="shared" si="976"/>
        <v>13088942498.687637</v>
      </c>
      <c r="S408">
        <f t="shared" si="977"/>
        <v>130889.42498687637</v>
      </c>
      <c r="T408">
        <f t="shared" si="978"/>
        <v>130.88942498687638</v>
      </c>
    </row>
    <row r="409" spans="1:20" x14ac:dyDescent="0.25">
      <c r="A409" s="5">
        <v>44184</v>
      </c>
      <c r="B409">
        <v>0.58335000000000004</v>
      </c>
      <c r="C409">
        <v>0.60377000000000003</v>
      </c>
      <c r="D409">
        <v>0.56588000000000005</v>
      </c>
      <c r="E409">
        <v>0.57665999999999995</v>
      </c>
      <c r="F409">
        <v>614731783.60000002</v>
      </c>
      <c r="G409">
        <v>0</v>
      </c>
      <c r="L409" t="s">
        <v>8</v>
      </c>
      <c r="M409" t="s">
        <v>7</v>
      </c>
      <c r="N409" t="s">
        <v>8</v>
      </c>
      <c r="P409">
        <f t="shared" si="974"/>
        <v>-0.43098442860913661</v>
      </c>
      <c r="Q409">
        <f t="shared" si="975"/>
        <v>-264939826.50272143</v>
      </c>
      <c r="R409">
        <f t="shared" si="976"/>
        <v>13122423764.939814</v>
      </c>
      <c r="S409">
        <f t="shared" si="977"/>
        <v>131224.23764939813</v>
      </c>
      <c r="T409">
        <f t="shared" si="978"/>
        <v>131.22423764939813</v>
      </c>
    </row>
    <row r="410" spans="1:20" x14ac:dyDescent="0.25">
      <c r="A410" s="5">
        <v>44183</v>
      </c>
      <c r="B410">
        <v>0.57684999999999997</v>
      </c>
      <c r="C410">
        <v>0.61346000000000001</v>
      </c>
      <c r="D410">
        <v>0.55101</v>
      </c>
      <c r="E410">
        <v>0.58337000000000006</v>
      </c>
      <c r="F410">
        <v>970255895.5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3.6349079263412409E-2</v>
      </c>
      <c r="Q410">
        <f t="shared" si="975"/>
        <v>35267908.45132269</v>
      </c>
      <c r="R410">
        <f t="shared" si="976"/>
        <v>13387363591.442535</v>
      </c>
      <c r="S410">
        <f t="shared" si="977"/>
        <v>133873.63591442537</v>
      </c>
      <c r="T410">
        <f t="shared" si="978"/>
        <v>133.87363591442536</v>
      </c>
    </row>
    <row r="411" spans="1:20" x14ac:dyDescent="0.25">
      <c r="A411" s="5">
        <v>44182</v>
      </c>
      <c r="B411">
        <v>0.56938</v>
      </c>
      <c r="C411">
        <v>0.65851999999999999</v>
      </c>
      <c r="D411">
        <v>0.53580000000000005</v>
      </c>
      <c r="E411">
        <v>0.57689999999999997</v>
      </c>
      <c r="F411">
        <v>1801379927.5999999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-0.33018252933507275</v>
      </c>
      <c r="Q411">
        <f t="shared" si="975"/>
        <v>-594784180.78839815</v>
      </c>
      <c r="R411">
        <f t="shared" si="976"/>
        <v>13352095682.991213</v>
      </c>
      <c r="S411">
        <f t="shared" si="977"/>
        <v>133520.95682991212</v>
      </c>
      <c r="T411">
        <f t="shared" si="978"/>
        <v>133.52095682991211</v>
      </c>
    </row>
    <row r="412" spans="1:20" x14ac:dyDescent="0.25">
      <c r="A412" s="5">
        <v>44181</v>
      </c>
      <c r="B412">
        <v>0.46793000000000001</v>
      </c>
      <c r="C412">
        <v>0.57477</v>
      </c>
      <c r="D412">
        <v>0.43722</v>
      </c>
      <c r="E412">
        <v>0.56940999999999997</v>
      </c>
      <c r="F412">
        <v>1249912571.2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0.92206470374409255</v>
      </c>
      <c r="Q412">
        <f t="shared" si="975"/>
        <v>1152500264.6695449</v>
      </c>
      <c r="R412">
        <f t="shared" si="976"/>
        <v>13946879863.779612</v>
      </c>
      <c r="S412">
        <f t="shared" si="977"/>
        <v>139468.79863779611</v>
      </c>
      <c r="T412">
        <f t="shared" si="978"/>
        <v>139.46879863779611</v>
      </c>
    </row>
    <row r="413" spans="1:20" x14ac:dyDescent="0.25">
      <c r="A413" s="5">
        <v>44180</v>
      </c>
      <c r="B413">
        <v>0.49736999999999998</v>
      </c>
      <c r="C413">
        <v>0.50714999999999999</v>
      </c>
      <c r="D413">
        <v>0.46433000000000002</v>
      </c>
      <c r="E413">
        <v>0.46793000000000001</v>
      </c>
      <c r="F413">
        <v>514053464.10000002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-0.83185427370387699</v>
      </c>
      <c r="Q413">
        <f t="shared" si="975"/>
        <v>-427617571.02386755</v>
      </c>
      <c r="R413">
        <f t="shared" si="976"/>
        <v>12794379599.110067</v>
      </c>
      <c r="S413">
        <f t="shared" si="977"/>
        <v>127943.79599110068</v>
      </c>
      <c r="T413">
        <f t="shared" si="978"/>
        <v>127.94379599110067</v>
      </c>
    </row>
    <row r="414" spans="1:20" x14ac:dyDescent="0.25">
      <c r="A414" s="5">
        <v>44179</v>
      </c>
      <c r="B414">
        <v>0.51366000000000001</v>
      </c>
      <c r="C414">
        <v>0.51851999999999998</v>
      </c>
      <c r="D414">
        <v>0.48901</v>
      </c>
      <c r="E414">
        <v>0.49740000000000001</v>
      </c>
      <c r="F414">
        <v>375701995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-0.43137919349373</v>
      </c>
      <c r="Q414">
        <f t="shared" si="975"/>
        <v>-162070023.59708539</v>
      </c>
      <c r="R414">
        <f t="shared" si="976"/>
        <v>13221997170.133934</v>
      </c>
      <c r="S414">
        <f t="shared" si="977"/>
        <v>132219.97170133935</v>
      </c>
      <c r="T414">
        <f t="shared" si="978"/>
        <v>132.21997170133935</v>
      </c>
    </row>
    <row r="415" spans="1:20" x14ac:dyDescent="0.25">
      <c r="A415" s="5">
        <v>44178</v>
      </c>
      <c r="B415">
        <v>0.50658000000000003</v>
      </c>
      <c r="C415">
        <v>0.52780000000000005</v>
      </c>
      <c r="D415">
        <v>0.48549999999999999</v>
      </c>
      <c r="E415">
        <v>0.51365000000000005</v>
      </c>
      <c r="F415">
        <v>602985171.89999998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0.33096926713948105</v>
      </c>
      <c r="Q415">
        <f t="shared" si="975"/>
        <v>199569560.43971699</v>
      </c>
      <c r="R415">
        <f t="shared" si="976"/>
        <v>13384067193.73102</v>
      </c>
      <c r="S415">
        <f t="shared" si="977"/>
        <v>133840.6719373102</v>
      </c>
      <c r="T415">
        <f t="shared" si="978"/>
        <v>133.84067193731019</v>
      </c>
    </row>
    <row r="416" spans="1:20" x14ac:dyDescent="0.25">
      <c r="A416" s="5">
        <v>44177</v>
      </c>
      <c r="B416">
        <v>0.54847000000000001</v>
      </c>
      <c r="C416">
        <v>0.55101999999999995</v>
      </c>
      <c r="D416">
        <v>0.48520999999999997</v>
      </c>
      <c r="E416">
        <v>0.50658000000000003</v>
      </c>
      <c r="F416">
        <v>997933196.60000002</v>
      </c>
      <c r="G416">
        <v>0</v>
      </c>
      <c r="L416" t="s">
        <v>7</v>
      </c>
      <c r="M416" t="s">
        <v>7</v>
      </c>
      <c r="N416" t="s">
        <v>8</v>
      </c>
      <c r="P416">
        <f t="shared" si="974"/>
        <v>-0.35055462695638773</v>
      </c>
      <c r="Q416">
        <f t="shared" si="975"/>
        <v>-349830099.46150851</v>
      </c>
      <c r="R416">
        <f t="shared" si="976"/>
        <v>13184497633.291304</v>
      </c>
      <c r="S416">
        <f t="shared" si="977"/>
        <v>131844.97633291304</v>
      </c>
      <c r="T416">
        <f t="shared" si="978"/>
        <v>131.84497633291303</v>
      </c>
    </row>
    <row r="417" spans="1:20" x14ac:dyDescent="0.25">
      <c r="A417" s="5">
        <v>44176</v>
      </c>
      <c r="B417">
        <v>0.57267000000000001</v>
      </c>
      <c r="C417">
        <v>0.58696999999999999</v>
      </c>
      <c r="D417">
        <v>0.52593999999999996</v>
      </c>
      <c r="E417">
        <v>0.54944999999999999</v>
      </c>
      <c r="F417">
        <v>952325951.70000005</v>
      </c>
      <c r="G417">
        <v>0</v>
      </c>
      <c r="L417" t="s">
        <v>7</v>
      </c>
      <c r="M417" t="s">
        <v>8</v>
      </c>
      <c r="N417" t="s">
        <v>8</v>
      </c>
      <c r="P417">
        <f t="shared" si="974"/>
        <v>-0.22955923316401705</v>
      </c>
      <c r="Q417">
        <f t="shared" si="975"/>
        <v>-218615215.19444475</v>
      </c>
      <c r="R417">
        <f t="shared" si="976"/>
        <v>13534327732.752811</v>
      </c>
      <c r="S417">
        <f t="shared" si="977"/>
        <v>135343.27732752811</v>
      </c>
      <c r="T417">
        <f t="shared" si="978"/>
        <v>135.34327732752811</v>
      </c>
    </row>
    <row r="418" spans="1:20" x14ac:dyDescent="0.25">
      <c r="A418" s="5">
        <v>44175</v>
      </c>
      <c r="B418">
        <v>0.58284000000000002</v>
      </c>
      <c r="C418">
        <v>0.58848</v>
      </c>
      <c r="D418">
        <v>0.55318000000000001</v>
      </c>
      <c r="E418">
        <v>0.57267000000000001</v>
      </c>
      <c r="F418">
        <v>558676539.10000002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0.10424929178470302</v>
      </c>
      <c r="Q418">
        <f t="shared" si="975"/>
        <v>58241633.53790395</v>
      </c>
      <c r="R418">
        <f t="shared" si="976"/>
        <v>13752942947.947256</v>
      </c>
      <c r="S418">
        <f t="shared" si="977"/>
        <v>137529.42947947257</v>
      </c>
      <c r="T418">
        <f t="shared" si="978"/>
        <v>137.52942947947258</v>
      </c>
    </row>
    <row r="419" spans="1:20" x14ac:dyDescent="0.25">
      <c r="A419" s="5">
        <v>44174</v>
      </c>
      <c r="B419">
        <v>0.55896999999999997</v>
      </c>
      <c r="C419">
        <v>0.60543999999999998</v>
      </c>
      <c r="D419">
        <v>0.50383</v>
      </c>
      <c r="E419">
        <v>0.58265</v>
      </c>
      <c r="F419">
        <v>927273510.29999995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0.55142210412361026</v>
      </c>
      <c r="Q419">
        <f t="shared" si="975"/>
        <v>511319110.14771217</v>
      </c>
      <c r="R419">
        <f t="shared" si="976"/>
        <v>13694701314.409351</v>
      </c>
      <c r="S419">
        <f t="shared" si="977"/>
        <v>136947.01314409351</v>
      </c>
      <c r="T419">
        <f t="shared" si="978"/>
        <v>136.94701314409352</v>
      </c>
    </row>
    <row r="420" spans="1:20" x14ac:dyDescent="0.25">
      <c r="A420" s="5">
        <v>44173</v>
      </c>
      <c r="B420">
        <v>0.60821999999999998</v>
      </c>
      <c r="C420">
        <v>0.61048000000000002</v>
      </c>
      <c r="D420">
        <v>0.55000000000000004</v>
      </c>
      <c r="E420">
        <v>0.55889999999999995</v>
      </c>
      <c r="F420">
        <v>500942717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-0.70568783068783358</v>
      </c>
      <c r="Q420">
        <f t="shared" si="975"/>
        <v>-353509179.25859934</v>
      </c>
      <c r="R420">
        <f t="shared" si="976"/>
        <v>13183382204.261639</v>
      </c>
      <c r="S420">
        <f t="shared" si="977"/>
        <v>131833.82204261638</v>
      </c>
      <c r="T420">
        <f t="shared" si="978"/>
        <v>131.83382204261636</v>
      </c>
    </row>
    <row r="421" spans="1:20" x14ac:dyDescent="0.25">
      <c r="A421" s="5">
        <v>44172</v>
      </c>
      <c r="B421">
        <v>0.62095999999999996</v>
      </c>
      <c r="C421">
        <v>0.624</v>
      </c>
      <c r="D421">
        <v>0.59084000000000003</v>
      </c>
      <c r="E421">
        <v>0.60818000000000005</v>
      </c>
      <c r="F421">
        <v>386644252.10000002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4.5838359469242411E-2</v>
      </c>
      <c r="Q421">
        <f t="shared" si="975"/>
        <v>17723138.214476187</v>
      </c>
      <c r="R421">
        <f t="shared" si="976"/>
        <v>13536891383.520239</v>
      </c>
      <c r="S421">
        <f t="shared" si="977"/>
        <v>135368.9138352024</v>
      </c>
      <c r="T421">
        <f t="shared" si="978"/>
        <v>135.36891383520239</v>
      </c>
    </row>
    <row r="422" spans="1:20" x14ac:dyDescent="0.25">
      <c r="A422" s="5">
        <v>44171</v>
      </c>
      <c r="B422">
        <v>0.58516000000000001</v>
      </c>
      <c r="C422">
        <v>0.62800999999999996</v>
      </c>
      <c r="D422">
        <v>0.57906999999999997</v>
      </c>
      <c r="E422">
        <v>0.62107000000000001</v>
      </c>
      <c r="F422">
        <v>639023167.70000005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0.71638741315897225</v>
      </c>
      <c r="Q422">
        <f t="shared" si="975"/>
        <v>457788154.05725515</v>
      </c>
      <c r="R422">
        <f t="shared" si="976"/>
        <v>13519168245.305763</v>
      </c>
      <c r="S422">
        <f t="shared" si="977"/>
        <v>135191.68245305764</v>
      </c>
      <c r="T422">
        <f t="shared" si="978"/>
        <v>135.19168245305764</v>
      </c>
    </row>
    <row r="423" spans="1:20" x14ac:dyDescent="0.25">
      <c r="A423" s="5">
        <v>44170</v>
      </c>
      <c r="B423">
        <v>0.55354999999999999</v>
      </c>
      <c r="C423">
        <v>0.59628000000000003</v>
      </c>
      <c r="D423">
        <v>0.54832999999999998</v>
      </c>
      <c r="E423">
        <v>0.58516999999999997</v>
      </c>
      <c r="F423">
        <v>432888774.10000002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0.53660062565171829</v>
      </c>
      <c r="Q423">
        <f t="shared" si="975"/>
        <v>232288387.01966536</v>
      </c>
      <c r="R423">
        <f t="shared" si="976"/>
        <v>13061380091.248508</v>
      </c>
      <c r="S423">
        <f t="shared" si="977"/>
        <v>130613.80091248508</v>
      </c>
      <c r="T423">
        <f t="shared" si="978"/>
        <v>130.61380091248509</v>
      </c>
    </row>
    <row r="424" spans="1:20" x14ac:dyDescent="0.25">
      <c r="A424" s="5">
        <v>44169</v>
      </c>
      <c r="B424">
        <v>0.63046000000000002</v>
      </c>
      <c r="C424">
        <v>0.63419999999999999</v>
      </c>
      <c r="D424">
        <v>0.54252999999999996</v>
      </c>
      <c r="E424">
        <v>0.55367</v>
      </c>
      <c r="F424">
        <v>662141348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-0.75695429257117841</v>
      </c>
      <c r="Q424">
        <f t="shared" si="975"/>
        <v>-501210735.65746647</v>
      </c>
      <c r="R424">
        <f t="shared" si="976"/>
        <v>12829091704.228844</v>
      </c>
      <c r="S424">
        <f t="shared" si="977"/>
        <v>128290.91704228843</v>
      </c>
      <c r="T424">
        <f t="shared" si="978"/>
        <v>128.29091704228844</v>
      </c>
    </row>
    <row r="425" spans="1:20" x14ac:dyDescent="0.25">
      <c r="A425" s="5">
        <v>44168</v>
      </c>
      <c r="B425">
        <v>0.62968999999999997</v>
      </c>
      <c r="C425">
        <v>0.64180000000000004</v>
      </c>
      <c r="D425">
        <v>0.6149</v>
      </c>
      <c r="E425">
        <v>0.63046000000000002</v>
      </c>
      <c r="F425">
        <v>392655662.89999998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0.15687732342007421</v>
      </c>
      <c r="Q425">
        <f t="shared" si="975"/>
        <v>61598769.421486929</v>
      </c>
      <c r="R425">
        <f t="shared" si="976"/>
        <v>13330302439.886311</v>
      </c>
      <c r="S425">
        <f t="shared" si="977"/>
        <v>133303.02439886311</v>
      </c>
      <c r="T425">
        <f t="shared" si="978"/>
        <v>133.3030243988631</v>
      </c>
    </row>
    <row r="426" spans="1:20" x14ac:dyDescent="0.25">
      <c r="A426" s="5">
        <v>44167</v>
      </c>
      <c r="B426">
        <v>0.61129999999999995</v>
      </c>
      <c r="C426">
        <v>0.63680000000000003</v>
      </c>
      <c r="D426">
        <v>0.59455000000000002</v>
      </c>
      <c r="E426">
        <v>0.62971999999999995</v>
      </c>
      <c r="F426">
        <v>593876086.79999995</v>
      </c>
      <c r="G426">
        <v>0</v>
      </c>
      <c r="L426" t="s">
        <v>8</v>
      </c>
      <c r="M426" t="s">
        <v>7</v>
      </c>
      <c r="N426" t="s">
        <v>8</v>
      </c>
      <c r="P426">
        <f t="shared" si="974"/>
        <v>0.66485207100591315</v>
      </c>
      <c r="Q426">
        <f t="shared" si="975"/>
        <v>394839746.2298674</v>
      </c>
      <c r="R426">
        <f t="shared" si="976"/>
        <v>13268703670.464823</v>
      </c>
      <c r="S426">
        <f t="shared" si="977"/>
        <v>132687.03670464823</v>
      </c>
      <c r="T426">
        <f t="shared" si="978"/>
        <v>132.68703670464822</v>
      </c>
    </row>
    <row r="427" spans="1:20" x14ac:dyDescent="0.25">
      <c r="A427" s="5">
        <v>44166</v>
      </c>
      <c r="B427">
        <v>0.66378000000000004</v>
      </c>
      <c r="C427">
        <v>0.68100000000000005</v>
      </c>
      <c r="D427">
        <v>0.56401000000000001</v>
      </c>
      <c r="E427">
        <v>0.61087999999999998</v>
      </c>
      <c r="F427">
        <v>1075049125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-0.19873493460979652</v>
      </c>
      <c r="Q427">
        <f t="shared" si="975"/>
        <v>-213649817.55919397</v>
      </c>
      <c r="R427">
        <f t="shared" si="976"/>
        <v>12873863924.234955</v>
      </c>
      <c r="S427">
        <f t="shared" si="977"/>
        <v>128738.63924234954</v>
      </c>
      <c r="T427">
        <f t="shared" si="978"/>
        <v>128.73863924234954</v>
      </c>
    </row>
    <row r="428" spans="1:20" x14ac:dyDescent="0.25">
      <c r="A428" s="5">
        <v>44165</v>
      </c>
      <c r="B428">
        <v>0.60543000000000002</v>
      </c>
      <c r="C428">
        <v>0.67910000000000004</v>
      </c>
      <c r="D428">
        <v>0.59880999999999995</v>
      </c>
      <c r="E428">
        <v>0.66417000000000004</v>
      </c>
      <c r="F428">
        <v>1178919882.3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0.62809814422717691</v>
      </c>
      <c r="Q428">
        <f t="shared" si="975"/>
        <v>740477390.26515186</v>
      </c>
      <c r="R428">
        <f t="shared" si="976"/>
        <v>13087513741.794149</v>
      </c>
      <c r="S428">
        <f t="shared" si="977"/>
        <v>130875.1374179415</v>
      </c>
      <c r="T428">
        <f t="shared" si="978"/>
        <v>130.87513741794149</v>
      </c>
    </row>
    <row r="429" spans="1:20" x14ac:dyDescent="0.25">
      <c r="A429" s="5">
        <v>44164</v>
      </c>
      <c r="B429">
        <v>0.62573000000000001</v>
      </c>
      <c r="C429">
        <v>0.63700000000000001</v>
      </c>
      <c r="D429">
        <v>0.58284999999999998</v>
      </c>
      <c r="E429">
        <v>0.60543000000000002</v>
      </c>
      <c r="F429">
        <v>857628664.79999995</v>
      </c>
      <c r="G429">
        <v>0</v>
      </c>
      <c r="L429" t="s">
        <v>7</v>
      </c>
      <c r="M429" t="s">
        <v>8</v>
      </c>
      <c r="N429" t="s">
        <v>8</v>
      </c>
      <c r="P429">
        <f t="shared" si="974"/>
        <v>-0.16602031394275046</v>
      </c>
      <c r="Q429">
        <f t="shared" si="975"/>
        <v>-142383780.17639789</v>
      </c>
      <c r="R429">
        <f t="shared" si="976"/>
        <v>12347036351.528997</v>
      </c>
      <c r="S429">
        <f t="shared" si="977"/>
        <v>123470.36351528998</v>
      </c>
      <c r="T429">
        <f t="shared" si="978"/>
        <v>123.47036351528997</v>
      </c>
    </row>
    <row r="430" spans="1:20" x14ac:dyDescent="0.25">
      <c r="A430" s="5">
        <v>44163</v>
      </c>
      <c r="B430">
        <v>0.5625</v>
      </c>
      <c r="C430">
        <v>0.64888000000000001</v>
      </c>
      <c r="D430">
        <v>0.53869999999999996</v>
      </c>
      <c r="E430">
        <v>0.62578999999999996</v>
      </c>
      <c r="F430">
        <v>1276241318.5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0.58086767108368043</v>
      </c>
      <c r="Q430">
        <f t="shared" si="975"/>
        <v>741327322.41786063</v>
      </c>
      <c r="R430">
        <f t="shared" si="976"/>
        <v>12489420131.705395</v>
      </c>
      <c r="S430">
        <f t="shared" si="977"/>
        <v>124894.20131705394</v>
      </c>
      <c r="T430">
        <f t="shared" si="978"/>
        <v>124.89420131705394</v>
      </c>
    </row>
    <row r="431" spans="1:20" x14ac:dyDescent="0.25">
      <c r="A431" s="5">
        <v>44162</v>
      </c>
      <c r="B431">
        <v>0.53649000000000002</v>
      </c>
      <c r="C431">
        <v>0.58669000000000004</v>
      </c>
      <c r="D431">
        <v>0.50344999999999995</v>
      </c>
      <c r="E431">
        <v>0.56230000000000002</v>
      </c>
      <c r="F431">
        <v>1241200699.5999999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0.41398366170110534</v>
      </c>
      <c r="Q431">
        <f t="shared" si="975"/>
        <v>513836810.52638161</v>
      </c>
      <c r="R431">
        <f t="shared" si="976"/>
        <v>11748092809.287535</v>
      </c>
      <c r="S431">
        <f t="shared" si="977"/>
        <v>117480.92809287534</v>
      </c>
      <c r="T431">
        <f t="shared" si="978"/>
        <v>117.48092809287535</v>
      </c>
    </row>
    <row r="432" spans="1:20" x14ac:dyDescent="0.25">
      <c r="A432" s="5">
        <v>44161</v>
      </c>
      <c r="B432">
        <v>0.63024000000000002</v>
      </c>
      <c r="C432">
        <v>0.65200000000000002</v>
      </c>
      <c r="D432">
        <v>0.45600000000000002</v>
      </c>
      <c r="E432">
        <v>0.53654000000000002</v>
      </c>
      <c r="F432">
        <v>2334291327.1999998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-0.17816326530612248</v>
      </c>
      <c r="Q432">
        <f t="shared" si="975"/>
        <v>-415884965.02971429</v>
      </c>
      <c r="R432">
        <f t="shared" si="976"/>
        <v>11234255998.761152</v>
      </c>
      <c r="S432">
        <f t="shared" si="977"/>
        <v>112342.55998761152</v>
      </c>
      <c r="T432">
        <f t="shared" si="978"/>
        <v>112.34255998761151</v>
      </c>
    </row>
    <row r="433" spans="1:20" x14ac:dyDescent="0.25">
      <c r="A433" s="5">
        <v>44160</v>
      </c>
      <c r="B433">
        <v>0.69399</v>
      </c>
      <c r="C433">
        <v>0.72499999999999998</v>
      </c>
      <c r="D433">
        <v>0.58404999999999996</v>
      </c>
      <c r="E433">
        <v>0.63022</v>
      </c>
      <c r="F433">
        <v>1690578550.2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-0.34487406881872951</v>
      </c>
      <c r="Q433">
        <f t="shared" si="975"/>
        <v>-583036703.2651428</v>
      </c>
      <c r="R433">
        <f t="shared" si="976"/>
        <v>11650140963.790867</v>
      </c>
      <c r="S433">
        <f t="shared" si="977"/>
        <v>116501.40963790867</v>
      </c>
      <c r="T433">
        <f t="shared" si="978"/>
        <v>116.50140963790867</v>
      </c>
    </row>
    <row r="434" spans="1:20" x14ac:dyDescent="0.25">
      <c r="A434" s="5">
        <v>44159</v>
      </c>
      <c r="B434">
        <v>0.61561999999999995</v>
      </c>
      <c r="C434">
        <v>0.78068000000000004</v>
      </c>
      <c r="D434">
        <v>0.56777</v>
      </c>
      <c r="E434">
        <v>0.69399999999999995</v>
      </c>
      <c r="F434">
        <v>2884741162.0999999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0.1857592409938465</v>
      </c>
      <c r="Q434">
        <f t="shared" si="975"/>
        <v>535867328.7354027</v>
      </c>
      <c r="R434">
        <f t="shared" si="976"/>
        <v>12233177667.056009</v>
      </c>
      <c r="S434">
        <f t="shared" si="977"/>
        <v>122331.7766705601</v>
      </c>
      <c r="T434">
        <f t="shared" si="978"/>
        <v>122.33177667056009</v>
      </c>
    </row>
    <row r="435" spans="1:20" x14ac:dyDescent="0.25">
      <c r="A435" s="5">
        <v>44158</v>
      </c>
      <c r="B435">
        <v>0.44591999999999998</v>
      </c>
      <c r="C435">
        <v>0.61983999999999995</v>
      </c>
      <c r="D435">
        <v>0.43231999999999998</v>
      </c>
      <c r="E435">
        <v>0.61578999999999995</v>
      </c>
      <c r="F435">
        <v>1851054399.5999999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0.95680460750853247</v>
      </c>
      <c r="Q435">
        <f t="shared" si="975"/>
        <v>1771097378.2862201</v>
      </c>
      <c r="R435">
        <f t="shared" si="976"/>
        <v>11697310338.320606</v>
      </c>
      <c r="S435">
        <f t="shared" si="977"/>
        <v>116973.10338320606</v>
      </c>
      <c r="T435">
        <f t="shared" si="978"/>
        <v>116.97310338320607</v>
      </c>
    </row>
    <row r="436" spans="1:20" x14ac:dyDescent="0.25">
      <c r="A436" s="5">
        <v>44157</v>
      </c>
      <c r="B436">
        <v>0.46283000000000002</v>
      </c>
      <c r="C436">
        <v>0.49658999999999998</v>
      </c>
      <c r="D436">
        <v>0.40155000000000002</v>
      </c>
      <c r="E436">
        <v>0.44611000000000001</v>
      </c>
      <c r="F436">
        <v>1873986909.8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-6.2289562289562117E-2</v>
      </c>
      <c r="Q436">
        <f t="shared" si="975"/>
        <v>-116729824.34781112</v>
      </c>
      <c r="R436">
        <f t="shared" si="976"/>
        <v>9926212960.0343857</v>
      </c>
      <c r="S436">
        <f t="shared" si="977"/>
        <v>99262.129600343862</v>
      </c>
      <c r="T436">
        <f t="shared" si="978"/>
        <v>99.262129600343869</v>
      </c>
    </row>
    <row r="437" spans="1:20" x14ac:dyDescent="0.25">
      <c r="A437" s="5">
        <v>44156</v>
      </c>
      <c r="B437">
        <v>0.32993</v>
      </c>
      <c r="C437">
        <v>0.46949999999999997</v>
      </c>
      <c r="D437">
        <v>0.32929000000000003</v>
      </c>
      <c r="E437">
        <v>0.46283000000000002</v>
      </c>
      <c r="F437">
        <v>1667089858.0999999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0.90485700021396542</v>
      </c>
      <c r="Q437">
        <f t="shared" si="975"/>
        <v>1508477928.0874913</v>
      </c>
      <c r="R437">
        <f t="shared" si="976"/>
        <v>10042942784.382196</v>
      </c>
      <c r="S437">
        <f t="shared" si="977"/>
        <v>100429.42784382196</v>
      </c>
      <c r="T437">
        <f t="shared" si="978"/>
        <v>100.42942784382197</v>
      </c>
    </row>
    <row r="438" spans="1:20" x14ac:dyDescent="0.25">
      <c r="A438" s="5">
        <v>44155</v>
      </c>
      <c r="B438">
        <v>0.30356</v>
      </c>
      <c r="C438">
        <v>0.33090999999999998</v>
      </c>
      <c r="D438">
        <v>0.29679</v>
      </c>
      <c r="E438">
        <v>0.32990999999999998</v>
      </c>
      <c r="F438">
        <v>484828433.30000001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0.94138335287221564</v>
      </c>
      <c r="Q438">
        <f t="shared" si="975"/>
        <v>456409416.10773736</v>
      </c>
      <c r="R438">
        <f t="shared" si="976"/>
        <v>8534464856.2947054</v>
      </c>
      <c r="S438">
        <f t="shared" si="977"/>
        <v>85344.648562947055</v>
      </c>
      <c r="T438">
        <f t="shared" si="978"/>
        <v>85.344648562947057</v>
      </c>
    </row>
    <row r="439" spans="1:20" x14ac:dyDescent="0.25">
      <c r="A439" s="5">
        <v>44154</v>
      </c>
      <c r="B439">
        <v>0.29332999999999998</v>
      </c>
      <c r="C439">
        <v>0.30658999999999997</v>
      </c>
      <c r="D439">
        <v>0.28399999999999997</v>
      </c>
      <c r="E439">
        <v>0.30358000000000002</v>
      </c>
      <c r="F439">
        <v>361076482.19999999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0.73351040283311575</v>
      </c>
      <c r="Q439">
        <f t="shared" si="975"/>
        <v>264853355.91208634</v>
      </c>
      <c r="R439">
        <f t="shared" si="976"/>
        <v>8078055440.1869678</v>
      </c>
      <c r="S439">
        <f t="shared" si="977"/>
        <v>80780.554401869682</v>
      </c>
      <c r="T439">
        <f t="shared" si="978"/>
        <v>80.780554401869679</v>
      </c>
    </row>
    <row r="440" spans="1:20" x14ac:dyDescent="0.25">
      <c r="A440" s="5">
        <v>44153</v>
      </c>
      <c r="B440">
        <v>0.30247000000000002</v>
      </c>
      <c r="C440">
        <v>0.30818000000000001</v>
      </c>
      <c r="D440">
        <v>0.28055000000000002</v>
      </c>
      <c r="E440">
        <v>0.29335</v>
      </c>
      <c r="F440">
        <v>488657752.69999999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-7.3470865001810812E-2</v>
      </c>
      <c r="Q440">
        <f t="shared" si="975"/>
        <v>-35902107.780709952</v>
      </c>
      <c r="R440">
        <f t="shared" si="976"/>
        <v>7813202084.2748814</v>
      </c>
      <c r="S440">
        <f t="shared" si="977"/>
        <v>78132.020842748811</v>
      </c>
      <c r="T440">
        <f t="shared" si="978"/>
        <v>78.132020842748815</v>
      </c>
    </row>
    <row r="441" spans="1:20" x14ac:dyDescent="0.25">
      <c r="A441" s="5">
        <v>44152</v>
      </c>
      <c r="B441">
        <v>0.28814000000000001</v>
      </c>
      <c r="C441">
        <v>0.30499999999999999</v>
      </c>
      <c r="D441">
        <v>0.28721999999999998</v>
      </c>
      <c r="E441">
        <v>0.30247000000000002</v>
      </c>
      <c r="F441">
        <v>529073040.69999999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0.71541057367829308</v>
      </c>
      <c r="Q441">
        <f t="shared" si="975"/>
        <v>378504447.56490588</v>
      </c>
      <c r="R441">
        <f t="shared" si="976"/>
        <v>7849104192.0555916</v>
      </c>
      <c r="S441">
        <f t="shared" si="977"/>
        <v>78491.041920555916</v>
      </c>
      <c r="T441">
        <f t="shared" si="978"/>
        <v>78.491041920555915</v>
      </c>
    </row>
    <row r="442" spans="1:20" x14ac:dyDescent="0.25">
      <c r="A442" s="5">
        <v>44151</v>
      </c>
      <c r="B442">
        <v>0.26956999999999998</v>
      </c>
      <c r="C442">
        <v>0.28998000000000002</v>
      </c>
      <c r="D442">
        <v>0.26737</v>
      </c>
      <c r="E442">
        <v>0.28813</v>
      </c>
      <c r="F442">
        <v>321242912.30000001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0.83635559486952527</v>
      </c>
      <c r="Q442">
        <f t="shared" si="975"/>
        <v>268673307.01428527</v>
      </c>
      <c r="R442">
        <f t="shared" si="976"/>
        <v>7470599744.4906855</v>
      </c>
      <c r="S442">
        <f t="shared" si="977"/>
        <v>74705.997444906854</v>
      </c>
      <c r="T442">
        <f t="shared" si="978"/>
        <v>74.705997444906856</v>
      </c>
    </row>
    <row r="443" spans="1:20" x14ac:dyDescent="0.25">
      <c r="A443" s="5">
        <v>44150</v>
      </c>
      <c r="B443">
        <v>0.26828999999999997</v>
      </c>
      <c r="C443">
        <v>0.27677000000000002</v>
      </c>
      <c r="D443">
        <v>0.26405000000000001</v>
      </c>
      <c r="E443">
        <v>0.26954</v>
      </c>
      <c r="F443">
        <v>224828544.80000001</v>
      </c>
      <c r="G443">
        <v>0</v>
      </c>
      <c r="L443" t="s">
        <v>8</v>
      </c>
      <c r="M443" t="s">
        <v>8</v>
      </c>
      <c r="N443" t="s">
        <v>7</v>
      </c>
      <c r="P443">
        <f t="shared" si="974"/>
        <v>-0.13679245283019009</v>
      </c>
      <c r="Q443">
        <f t="shared" si="975"/>
        <v>-30754848.109434281</v>
      </c>
      <c r="R443">
        <f t="shared" si="976"/>
        <v>7201926437.4764004</v>
      </c>
      <c r="S443">
        <f t="shared" si="977"/>
        <v>72019.26437476401</v>
      </c>
      <c r="T443">
        <f t="shared" si="978"/>
        <v>72.019264374764006</v>
      </c>
    </row>
    <row r="444" spans="1:20" x14ac:dyDescent="0.25">
      <c r="A444" s="5">
        <v>44149</v>
      </c>
      <c r="B444">
        <v>0.26587</v>
      </c>
      <c r="C444">
        <v>0.2777</v>
      </c>
      <c r="D444">
        <v>0.26128000000000001</v>
      </c>
      <c r="E444">
        <v>0.26823999999999998</v>
      </c>
      <c r="F444">
        <v>319194414.60000002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-0.15225334957369424</v>
      </c>
      <c r="Q444">
        <f t="shared" si="975"/>
        <v>-48598418.788064495</v>
      </c>
      <c r="R444">
        <f t="shared" si="976"/>
        <v>7232681285.5858345</v>
      </c>
      <c r="S444">
        <f t="shared" si="977"/>
        <v>72326.812855858341</v>
      </c>
      <c r="T444">
        <f t="shared" si="978"/>
        <v>72.326812855858336</v>
      </c>
    </row>
    <row r="445" spans="1:20" x14ac:dyDescent="0.25">
      <c r="A445" s="5">
        <v>44148</v>
      </c>
      <c r="B445">
        <v>0.25490000000000002</v>
      </c>
      <c r="C445">
        <v>0.26590000000000003</v>
      </c>
      <c r="D445">
        <v>0.2535</v>
      </c>
      <c r="E445">
        <v>0.26590000000000003</v>
      </c>
      <c r="F445">
        <v>193021203.09999999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1</v>
      </c>
      <c r="Q445">
        <f t="shared" si="975"/>
        <v>193021203.09999999</v>
      </c>
      <c r="R445">
        <f t="shared" si="976"/>
        <v>7281279704.3738995</v>
      </c>
      <c r="S445">
        <f t="shared" si="977"/>
        <v>72812.797043738989</v>
      </c>
      <c r="T445">
        <f t="shared" si="978"/>
        <v>72.812797043738982</v>
      </c>
    </row>
    <row r="446" spans="1:20" x14ac:dyDescent="0.25">
      <c r="A446" s="5">
        <v>44147</v>
      </c>
      <c r="B446">
        <v>0.25580999999999998</v>
      </c>
      <c r="C446">
        <v>0.25818000000000002</v>
      </c>
      <c r="D446">
        <v>0.2525</v>
      </c>
      <c r="E446">
        <v>0.25490000000000002</v>
      </c>
      <c r="F446">
        <v>139776053.69999999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-0.15492957746478681</v>
      </c>
      <c r="Q446">
        <f t="shared" si="975"/>
        <v>-21655444.93943635</v>
      </c>
      <c r="R446">
        <f t="shared" si="976"/>
        <v>7088258501.2738991</v>
      </c>
      <c r="S446">
        <f t="shared" si="977"/>
        <v>70882.585012738986</v>
      </c>
      <c r="T446">
        <f t="shared" si="978"/>
        <v>70.882585012738986</v>
      </c>
    </row>
    <row r="447" spans="1:20" x14ac:dyDescent="0.25">
      <c r="A447" s="5">
        <v>44146</v>
      </c>
      <c r="B447">
        <v>0.25379000000000002</v>
      </c>
      <c r="C447">
        <v>0.26</v>
      </c>
      <c r="D447">
        <v>0.25208999999999998</v>
      </c>
      <c r="E447">
        <v>0.25580999999999998</v>
      </c>
      <c r="F447">
        <v>155421758.59999999</v>
      </c>
      <c r="G447">
        <v>0</v>
      </c>
      <c r="L447" t="s">
        <v>7</v>
      </c>
      <c r="M447" t="s">
        <v>8</v>
      </c>
      <c r="N447" t="s">
        <v>7</v>
      </c>
      <c r="P447">
        <f t="shared" si="974"/>
        <v>-5.9418457648549215E-2</v>
      </c>
      <c r="Q447">
        <f t="shared" si="975"/>
        <v>-9234921.1810371391</v>
      </c>
      <c r="R447">
        <f t="shared" si="976"/>
        <v>7109913946.213335</v>
      </c>
      <c r="S447">
        <f t="shared" si="977"/>
        <v>71099.139462133346</v>
      </c>
      <c r="T447">
        <f t="shared" si="978"/>
        <v>71.099139462133351</v>
      </c>
    </row>
    <row r="448" spans="1:20" x14ac:dyDescent="0.25">
      <c r="A448" s="5">
        <v>44145</v>
      </c>
      <c r="B448">
        <v>0.25058000000000002</v>
      </c>
      <c r="C448">
        <v>0.26500000000000001</v>
      </c>
      <c r="D448">
        <v>0.24806</v>
      </c>
      <c r="E448">
        <v>0.25380000000000003</v>
      </c>
      <c r="F448">
        <v>250018160.40000001</v>
      </c>
      <c r="G448">
        <v>0</v>
      </c>
      <c r="L448" t="s">
        <v>7</v>
      </c>
      <c r="M448" t="s">
        <v>8</v>
      </c>
      <c r="N448" t="s">
        <v>7</v>
      </c>
      <c r="P448">
        <f t="shared" si="974"/>
        <v>-0.32231404958677456</v>
      </c>
      <c r="Q448">
        <f t="shared" si="975"/>
        <v>-80584365.748759761</v>
      </c>
      <c r="R448">
        <f t="shared" si="976"/>
        <v>7119148867.394372</v>
      </c>
      <c r="S448">
        <f t="shared" si="977"/>
        <v>71191.488673943721</v>
      </c>
      <c r="T448">
        <f t="shared" si="978"/>
        <v>71.191488673943724</v>
      </c>
    </row>
    <row r="449" spans="1:20" x14ac:dyDescent="0.25">
      <c r="A449" s="5">
        <v>44144</v>
      </c>
      <c r="B449">
        <v>0.25368000000000002</v>
      </c>
      <c r="C449">
        <v>0.25619999999999998</v>
      </c>
      <c r="D449">
        <v>0.24557000000000001</v>
      </c>
      <c r="E449">
        <v>0.25058999999999998</v>
      </c>
      <c r="F449">
        <v>161129039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-5.550329256820663E-2</v>
      </c>
      <c r="Q449">
        <f t="shared" si="975"/>
        <v>-8943192.1928509772</v>
      </c>
      <c r="R449">
        <f t="shared" si="976"/>
        <v>7199733233.1431322</v>
      </c>
      <c r="S449">
        <f t="shared" si="977"/>
        <v>71997.332331431317</v>
      </c>
      <c r="T449">
        <f t="shared" si="978"/>
        <v>71.997332331431323</v>
      </c>
    </row>
    <row r="450" spans="1:20" x14ac:dyDescent="0.25">
      <c r="A450" s="5">
        <v>44143</v>
      </c>
      <c r="B450">
        <v>0.24912999999999999</v>
      </c>
      <c r="C450">
        <v>0.25701000000000002</v>
      </c>
      <c r="D450">
        <v>0.24723999999999999</v>
      </c>
      <c r="E450">
        <v>0.25374000000000002</v>
      </c>
      <c r="F450">
        <v>119757768.59999999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0.330603889457526</v>
      </c>
      <c r="Q450">
        <f t="shared" si="975"/>
        <v>39592384.091914378</v>
      </c>
      <c r="R450">
        <f t="shared" si="976"/>
        <v>7208676425.3359833</v>
      </c>
      <c r="S450">
        <f t="shared" si="977"/>
        <v>72086.764253359826</v>
      </c>
      <c r="T450">
        <f t="shared" si="978"/>
        <v>72.086764253359831</v>
      </c>
    </row>
    <row r="451" spans="1:20" x14ac:dyDescent="0.25">
      <c r="A451" s="5">
        <v>44142</v>
      </c>
      <c r="B451">
        <v>0.2586</v>
      </c>
      <c r="C451">
        <v>0.26733000000000001</v>
      </c>
      <c r="D451">
        <v>0.24418999999999999</v>
      </c>
      <c r="E451">
        <v>0.24909999999999999</v>
      </c>
      <c r="F451">
        <v>263707018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-0.57562662057044134</v>
      </c>
      <c r="Q451">
        <f t="shared" si="975"/>
        <v>-151796779.59204856</v>
      </c>
      <c r="R451">
        <f t="shared" si="976"/>
        <v>7169084041.2440691</v>
      </c>
      <c r="S451">
        <f t="shared" si="977"/>
        <v>71690.840412440695</v>
      </c>
      <c r="T451">
        <f t="shared" si="978"/>
        <v>71.690840412440693</v>
      </c>
    </row>
    <row r="452" spans="1:20" x14ac:dyDescent="0.25">
      <c r="A452" s="5">
        <v>44141</v>
      </c>
      <c r="B452">
        <v>0.24568999999999999</v>
      </c>
      <c r="C452">
        <v>0.26140000000000002</v>
      </c>
      <c r="D452">
        <v>0.24507999999999999</v>
      </c>
      <c r="E452">
        <v>0.25863000000000003</v>
      </c>
      <c r="F452">
        <v>289253502.69999999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0.66053921568627572</v>
      </c>
      <c r="Q452">
        <f t="shared" si="975"/>
        <v>191063281.80796602</v>
      </c>
      <c r="R452">
        <f t="shared" si="976"/>
        <v>7320880820.8361177</v>
      </c>
      <c r="S452">
        <f t="shared" si="977"/>
        <v>73208.808208361181</v>
      </c>
      <c r="T452">
        <f t="shared" si="978"/>
        <v>73.208808208361177</v>
      </c>
    </row>
    <row r="453" spans="1:20" x14ac:dyDescent="0.25">
      <c r="A453" s="5">
        <v>44140</v>
      </c>
      <c r="B453">
        <v>0.23759</v>
      </c>
      <c r="C453">
        <v>0.24743000000000001</v>
      </c>
      <c r="D453">
        <v>0.23712</v>
      </c>
      <c r="E453">
        <v>0.24560999999999999</v>
      </c>
      <c r="F453">
        <v>220616913.30000001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0.6469447138700265</v>
      </c>
      <c r="Q453">
        <f t="shared" si="975"/>
        <v>142726945.84975696</v>
      </c>
      <c r="R453">
        <f t="shared" si="976"/>
        <v>7129817539.0281515</v>
      </c>
      <c r="S453">
        <f t="shared" si="977"/>
        <v>71298.175390281511</v>
      </c>
      <c r="T453">
        <f t="shared" si="978"/>
        <v>71.298175390281514</v>
      </c>
    </row>
    <row r="454" spans="1:20" x14ac:dyDescent="0.25">
      <c r="A454" s="5">
        <v>44139</v>
      </c>
      <c r="B454">
        <v>0.23960000000000001</v>
      </c>
      <c r="C454">
        <v>0.24045</v>
      </c>
      <c r="D454">
        <v>0.23213</v>
      </c>
      <c r="E454">
        <v>0.23758000000000001</v>
      </c>
      <c r="F454">
        <v>175258053.09999999</v>
      </c>
      <c r="G454">
        <v>0</v>
      </c>
      <c r="L454" t="s">
        <v>7</v>
      </c>
      <c r="M454" t="s">
        <v>8</v>
      </c>
      <c r="N454" t="s">
        <v>7</v>
      </c>
      <c r="P454">
        <f t="shared" ref="P454:P517" si="979">IF(C454=D454,0,((E454-D454)-(C454-E454))/(C454-D454))</f>
        <v>0.3100961538461573</v>
      </c>
      <c r="Q454">
        <f t="shared" ref="Q454:Q517" si="980">F454*P454</f>
        <v>54346848.196875602</v>
      </c>
      <c r="R454">
        <f t="shared" ref="R454:R517" si="981">R455+Q454</f>
        <v>6987090593.1783943</v>
      </c>
      <c r="S454">
        <f t="shared" ref="S454:S517" si="982">R454/100000</f>
        <v>69870.905931783942</v>
      </c>
      <c r="T454">
        <f t="shared" ref="T454:T517" si="983">S454/1000</f>
        <v>69.870905931783938</v>
      </c>
    </row>
    <row r="455" spans="1:20" x14ac:dyDescent="0.25">
      <c r="A455" s="5">
        <v>44138</v>
      </c>
      <c r="B455">
        <v>0.23526</v>
      </c>
      <c r="C455">
        <v>0.24424999999999999</v>
      </c>
      <c r="D455">
        <v>0.22772000000000001</v>
      </c>
      <c r="E455">
        <v>0.23960000000000001</v>
      </c>
      <c r="F455">
        <v>213624345.80000001</v>
      </c>
      <c r="G455">
        <v>0</v>
      </c>
      <c r="L455" t="s">
        <v>7</v>
      </c>
      <c r="M455" t="s">
        <v>8</v>
      </c>
      <c r="N455" t="s">
        <v>7</v>
      </c>
      <c r="P455">
        <f t="shared" si="979"/>
        <v>0.43738656987295943</v>
      </c>
      <c r="Q455">
        <f t="shared" si="980"/>
        <v>93436419.85081695</v>
      </c>
      <c r="R455">
        <f t="shared" si="981"/>
        <v>6932743744.9815187</v>
      </c>
      <c r="S455">
        <f t="shared" si="982"/>
        <v>69327.437449815188</v>
      </c>
      <c r="T455">
        <f t="shared" si="983"/>
        <v>69.327437449815193</v>
      </c>
    </row>
    <row r="456" spans="1:20" x14ac:dyDescent="0.25">
      <c r="A456" s="5">
        <v>44137</v>
      </c>
      <c r="B456">
        <v>0.23999000000000001</v>
      </c>
      <c r="C456">
        <v>0.2452</v>
      </c>
      <c r="D456">
        <v>0.23264000000000001</v>
      </c>
      <c r="E456">
        <v>0.23522999999999999</v>
      </c>
      <c r="F456">
        <v>130300920.09999999</v>
      </c>
      <c r="G456">
        <v>0</v>
      </c>
      <c r="L456" t="s">
        <v>8</v>
      </c>
      <c r="M456" t="s">
        <v>8</v>
      </c>
      <c r="N456" t="s">
        <v>7</v>
      </c>
      <c r="P456">
        <f t="shared" si="979"/>
        <v>-0.58757961783439749</v>
      </c>
      <c r="Q456">
        <f t="shared" si="980"/>
        <v>-76562164.835828364</v>
      </c>
      <c r="R456">
        <f t="shared" si="981"/>
        <v>6839307325.130702</v>
      </c>
      <c r="S456">
        <f t="shared" si="982"/>
        <v>68393.073251307025</v>
      </c>
      <c r="T456">
        <f t="shared" si="983"/>
        <v>68.39307325130703</v>
      </c>
    </row>
    <row r="457" spans="1:20" x14ac:dyDescent="0.25">
      <c r="A457" s="5">
        <v>44136</v>
      </c>
      <c r="B457">
        <v>0.23960000000000001</v>
      </c>
      <c r="C457">
        <v>0.24138000000000001</v>
      </c>
      <c r="D457">
        <v>0.23648</v>
      </c>
      <c r="E457">
        <v>0.23999000000000001</v>
      </c>
      <c r="F457">
        <v>64775047.600000001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0.43265306122449065</v>
      </c>
      <c r="Q457">
        <f t="shared" si="980"/>
        <v>28025122.635102097</v>
      </c>
      <c r="R457">
        <f t="shared" si="981"/>
        <v>6915869489.9665308</v>
      </c>
      <c r="S457">
        <f t="shared" si="982"/>
        <v>69158.694899665308</v>
      </c>
      <c r="T457">
        <f t="shared" si="983"/>
        <v>69.158694899665306</v>
      </c>
    </row>
    <row r="458" spans="1:20" x14ac:dyDescent="0.25">
      <c r="A458" s="5">
        <v>44135</v>
      </c>
      <c r="B458">
        <v>0.23905999999999999</v>
      </c>
      <c r="C458">
        <v>0.24351</v>
      </c>
      <c r="D458">
        <v>0.23743</v>
      </c>
      <c r="E458">
        <v>0.23968</v>
      </c>
      <c r="F458">
        <v>84576060.900000006</v>
      </c>
      <c r="G458">
        <v>0</v>
      </c>
      <c r="L458" t="s">
        <v>7</v>
      </c>
      <c r="M458" t="s">
        <v>8</v>
      </c>
      <c r="N458" t="s">
        <v>7</v>
      </c>
      <c r="P458">
        <f t="shared" si="979"/>
        <v>-0.25986842105263119</v>
      </c>
      <c r="Q458">
        <f t="shared" si="980"/>
        <v>-21978647.404934179</v>
      </c>
      <c r="R458">
        <f t="shared" si="981"/>
        <v>6887844367.3314285</v>
      </c>
      <c r="S458">
        <f t="shared" si="982"/>
        <v>68878.443673314279</v>
      </c>
      <c r="T458">
        <f t="shared" si="983"/>
        <v>68.87844367331428</v>
      </c>
    </row>
    <row r="459" spans="1:20" x14ac:dyDescent="0.25">
      <c r="A459" s="5">
        <v>44134</v>
      </c>
      <c r="B459">
        <v>0.24232000000000001</v>
      </c>
      <c r="C459">
        <v>0.24401999999999999</v>
      </c>
      <c r="D459">
        <v>0.23057</v>
      </c>
      <c r="E459">
        <v>0.23905000000000001</v>
      </c>
      <c r="F459">
        <v>133423159.8</v>
      </c>
      <c r="G459">
        <v>0</v>
      </c>
      <c r="L459" t="s">
        <v>7</v>
      </c>
      <c r="M459" t="s">
        <v>8</v>
      </c>
      <c r="N459" t="s">
        <v>7</v>
      </c>
      <c r="P459">
        <f t="shared" si="979"/>
        <v>0.26096654275093262</v>
      </c>
      <c r="Q459">
        <f t="shared" si="980"/>
        <v>34818980.735911213</v>
      </c>
      <c r="R459">
        <f t="shared" si="981"/>
        <v>6909823014.7363625</v>
      </c>
      <c r="S459">
        <f t="shared" si="982"/>
        <v>69098.230147363618</v>
      </c>
      <c r="T459">
        <f t="shared" si="983"/>
        <v>69.098230147363623</v>
      </c>
    </row>
    <row r="460" spans="1:20" x14ac:dyDescent="0.25">
      <c r="A460" s="5">
        <v>44133</v>
      </c>
      <c r="B460">
        <v>0.24540000000000001</v>
      </c>
      <c r="C460">
        <v>0.24701999999999999</v>
      </c>
      <c r="D460">
        <v>0.23960000000000001</v>
      </c>
      <c r="E460">
        <v>0.24238999999999999</v>
      </c>
      <c r="F460">
        <v>127858202.59999999</v>
      </c>
      <c r="G460">
        <v>0</v>
      </c>
      <c r="L460" t="s">
        <v>7</v>
      </c>
      <c r="M460" t="s">
        <v>8</v>
      </c>
      <c r="N460" t="s">
        <v>7</v>
      </c>
      <c r="P460">
        <f t="shared" si="979"/>
        <v>-0.24797843665768365</v>
      </c>
      <c r="Q460">
        <f t="shared" si="980"/>
        <v>-31706077.194609381</v>
      </c>
      <c r="R460">
        <f t="shared" si="981"/>
        <v>6875004034.0004511</v>
      </c>
      <c r="S460">
        <f t="shared" si="982"/>
        <v>68750.040340004518</v>
      </c>
      <c r="T460">
        <f t="shared" si="983"/>
        <v>68.750040340004517</v>
      </c>
    </row>
    <row r="461" spans="1:20" x14ac:dyDescent="0.25">
      <c r="A461" s="5">
        <v>44132</v>
      </c>
      <c r="B461">
        <v>0.25273000000000001</v>
      </c>
      <c r="C461">
        <v>0.25666</v>
      </c>
      <c r="D461">
        <v>0.24440000000000001</v>
      </c>
      <c r="E461">
        <v>0.24540000000000001</v>
      </c>
      <c r="F461">
        <v>152758067.19999999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-0.83686786296900462</v>
      </c>
      <c r="Q461">
        <f t="shared" si="980"/>
        <v>-127838317.24893959</v>
      </c>
      <c r="R461">
        <f t="shared" si="981"/>
        <v>6906710111.1950607</v>
      </c>
      <c r="S461">
        <f t="shared" si="982"/>
        <v>69067.1011119506</v>
      </c>
      <c r="T461">
        <f t="shared" si="983"/>
        <v>69.067101111950606</v>
      </c>
    </row>
    <row r="462" spans="1:20" x14ac:dyDescent="0.25">
      <c r="A462" s="5">
        <v>44131</v>
      </c>
      <c r="B462">
        <v>0.24811</v>
      </c>
      <c r="C462">
        <v>0.25397999999999998</v>
      </c>
      <c r="D462">
        <v>0.24743000000000001</v>
      </c>
      <c r="E462">
        <v>0.25273000000000001</v>
      </c>
      <c r="F462">
        <v>125197460.40000001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0.61832061068702948</v>
      </c>
      <c r="Q462">
        <f t="shared" si="980"/>
        <v>77412170.170993194</v>
      </c>
      <c r="R462">
        <f t="shared" si="981"/>
        <v>7034548428.4440002</v>
      </c>
      <c r="S462">
        <f t="shared" si="982"/>
        <v>70345.484284439997</v>
      </c>
      <c r="T462">
        <f t="shared" si="983"/>
        <v>70.345484284439991</v>
      </c>
    </row>
    <row r="463" spans="1:20" x14ac:dyDescent="0.25">
      <c r="A463" s="5">
        <v>44130</v>
      </c>
      <c r="B463">
        <v>0.25313000000000002</v>
      </c>
      <c r="C463">
        <v>0.2591</v>
      </c>
      <c r="D463">
        <v>0.24340999999999999</v>
      </c>
      <c r="E463">
        <v>0.24809999999999999</v>
      </c>
      <c r="F463">
        <v>153008505.90000001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-0.40216698534098189</v>
      </c>
      <c r="Q463">
        <f t="shared" si="980"/>
        <v>-61534969.549330845</v>
      </c>
      <c r="R463">
        <f t="shared" si="981"/>
        <v>6957136258.2730074</v>
      </c>
      <c r="S463">
        <f t="shared" si="982"/>
        <v>69571.362582730071</v>
      </c>
      <c r="T463">
        <f t="shared" si="983"/>
        <v>69.571362582730075</v>
      </c>
    </row>
    <row r="464" spans="1:20" x14ac:dyDescent="0.25">
      <c r="A464" s="5">
        <v>44129</v>
      </c>
      <c r="B464">
        <v>0.25619999999999998</v>
      </c>
      <c r="C464">
        <v>0.25713999999999998</v>
      </c>
      <c r="D464">
        <v>0.25105</v>
      </c>
      <c r="E464">
        <v>0.25313000000000002</v>
      </c>
      <c r="F464">
        <v>70096933.799999997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-0.3169129720853755</v>
      </c>
      <c r="Q464">
        <f t="shared" si="980"/>
        <v>-22214627.624629814</v>
      </c>
      <c r="R464">
        <f t="shared" si="981"/>
        <v>7018671227.8223381</v>
      </c>
      <c r="S464">
        <f t="shared" si="982"/>
        <v>70186.712278223378</v>
      </c>
      <c r="T464">
        <f t="shared" si="983"/>
        <v>70.186712278223382</v>
      </c>
    </row>
    <row r="465" spans="1:20" x14ac:dyDescent="0.25">
      <c r="A465" s="5">
        <v>44128</v>
      </c>
      <c r="B465">
        <v>0.25472</v>
      </c>
      <c r="C465">
        <v>0.25763000000000003</v>
      </c>
      <c r="D465">
        <v>0.25252999999999998</v>
      </c>
      <c r="E465">
        <v>0.25619999999999998</v>
      </c>
      <c r="F465">
        <v>71861131.799999997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0.43921568627449858</v>
      </c>
      <c r="Q465">
        <f t="shared" si="980"/>
        <v>31562536.319999192</v>
      </c>
      <c r="R465">
        <f t="shared" si="981"/>
        <v>7040885855.4469681</v>
      </c>
      <c r="S465">
        <f t="shared" si="982"/>
        <v>70408.858554469683</v>
      </c>
      <c r="T465">
        <f t="shared" si="983"/>
        <v>70.408858554469688</v>
      </c>
    </row>
    <row r="466" spans="1:20" x14ac:dyDescent="0.25">
      <c r="A466" s="5">
        <v>44127</v>
      </c>
      <c r="B466">
        <v>0.25702999999999998</v>
      </c>
      <c r="C466">
        <v>0.25921</v>
      </c>
      <c r="D466">
        <v>0.25004999999999999</v>
      </c>
      <c r="E466">
        <v>0.25470999999999999</v>
      </c>
      <c r="F466">
        <v>145732428.5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1.7467248908296228E-2</v>
      </c>
      <c r="Q466">
        <f t="shared" si="980"/>
        <v>2545544.6026199833</v>
      </c>
      <c r="R466">
        <f t="shared" si="981"/>
        <v>7009323319.1269693</v>
      </c>
      <c r="S466">
        <f t="shared" si="982"/>
        <v>70093.233191269697</v>
      </c>
      <c r="T466">
        <f t="shared" si="983"/>
        <v>70.093233191269704</v>
      </c>
    </row>
    <row r="467" spans="1:20" x14ac:dyDescent="0.25">
      <c r="A467" s="5">
        <v>44126</v>
      </c>
      <c r="B467">
        <v>0.25080000000000002</v>
      </c>
      <c r="C467">
        <v>0.26357000000000003</v>
      </c>
      <c r="D467">
        <v>0.25076999999999999</v>
      </c>
      <c r="E467">
        <v>0.25708999999999999</v>
      </c>
      <c r="F467">
        <v>262479836.09999999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-1.2500000000003795E-2</v>
      </c>
      <c r="Q467">
        <f t="shared" si="980"/>
        <v>-3280997.951250996</v>
      </c>
      <c r="R467">
        <f t="shared" si="981"/>
        <v>7006777774.5243492</v>
      </c>
      <c r="S467">
        <f t="shared" si="982"/>
        <v>70067.777745243497</v>
      </c>
      <c r="T467">
        <f t="shared" si="983"/>
        <v>70.06777774524349</v>
      </c>
    </row>
    <row r="468" spans="1:20" x14ac:dyDescent="0.25">
      <c r="A468" s="5">
        <v>44125</v>
      </c>
      <c r="B468">
        <v>0.24324000000000001</v>
      </c>
      <c r="C468">
        <v>0.25555</v>
      </c>
      <c r="D468">
        <v>0.24249000000000001</v>
      </c>
      <c r="E468">
        <v>0.25087999999999999</v>
      </c>
      <c r="F468">
        <v>213403919.30000001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0.28483920367534277</v>
      </c>
      <c r="Q468">
        <f t="shared" si="980"/>
        <v>60785802.434609115</v>
      </c>
      <c r="R468">
        <f t="shared" si="981"/>
        <v>7010058772.4756002</v>
      </c>
      <c r="S468">
        <f t="shared" si="982"/>
        <v>70100.587724755998</v>
      </c>
      <c r="T468">
        <f t="shared" si="983"/>
        <v>70.100587724755997</v>
      </c>
    </row>
    <row r="469" spans="1:20" x14ac:dyDescent="0.25">
      <c r="A469" s="5">
        <v>44124</v>
      </c>
      <c r="B469">
        <v>0.24557000000000001</v>
      </c>
      <c r="C469">
        <v>0.25039</v>
      </c>
      <c r="D469">
        <v>0.24110000000000001</v>
      </c>
      <c r="E469">
        <v>0.24321999999999999</v>
      </c>
      <c r="F469">
        <v>142586108.19999999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-0.54359526372443823</v>
      </c>
      <c r="Q469">
        <f t="shared" si="980"/>
        <v>-77509133.090420276</v>
      </c>
      <c r="R469">
        <f t="shared" si="981"/>
        <v>6949272970.0409908</v>
      </c>
      <c r="S469">
        <f t="shared" si="982"/>
        <v>69492.729700409909</v>
      </c>
      <c r="T469">
        <f t="shared" si="983"/>
        <v>69.49272970040991</v>
      </c>
    </row>
    <row r="470" spans="1:20" x14ac:dyDescent="0.25">
      <c r="A470" s="5">
        <v>44123</v>
      </c>
      <c r="B470">
        <v>0.2422</v>
      </c>
      <c r="C470">
        <v>0.24945000000000001</v>
      </c>
      <c r="D470">
        <v>0.24010999999999999</v>
      </c>
      <c r="E470">
        <v>0.24557999999999999</v>
      </c>
      <c r="F470">
        <v>144261234.69999999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0.17130620985010575</v>
      </c>
      <c r="Q470">
        <f t="shared" si="980"/>
        <v>24712845.344753556</v>
      </c>
      <c r="R470">
        <f t="shared" si="981"/>
        <v>7026782103.1314116</v>
      </c>
      <c r="S470">
        <f t="shared" si="982"/>
        <v>70267.821031314117</v>
      </c>
      <c r="T470">
        <f t="shared" si="983"/>
        <v>70.267821031314114</v>
      </c>
    </row>
    <row r="471" spans="1:20" x14ac:dyDescent="0.25">
      <c r="A471" s="5">
        <v>44122</v>
      </c>
      <c r="B471">
        <v>0.24059</v>
      </c>
      <c r="C471">
        <v>0.24362</v>
      </c>
      <c r="D471">
        <v>0.24005000000000001</v>
      </c>
      <c r="E471">
        <v>0.24221000000000001</v>
      </c>
      <c r="F471">
        <v>59622713.200000003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0.21008403361344616</v>
      </c>
      <c r="Q471">
        <f t="shared" si="980"/>
        <v>12525780.084033661</v>
      </c>
      <c r="R471">
        <f t="shared" si="981"/>
        <v>7002069257.7866583</v>
      </c>
      <c r="S471">
        <f t="shared" si="982"/>
        <v>70020.69257786659</v>
      </c>
      <c r="T471">
        <f t="shared" si="983"/>
        <v>70.020692577866583</v>
      </c>
    </row>
    <row r="472" spans="1:20" x14ac:dyDescent="0.25">
      <c r="A472" s="5">
        <v>44121</v>
      </c>
      <c r="B472">
        <v>0.24013999999999999</v>
      </c>
      <c r="C472">
        <v>0.24329000000000001</v>
      </c>
      <c r="D472">
        <v>0.23852999999999999</v>
      </c>
      <c r="E472">
        <v>0.24057000000000001</v>
      </c>
      <c r="F472">
        <v>76204228.700000003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-0.14285714285713952</v>
      </c>
      <c r="Q472">
        <f t="shared" si="980"/>
        <v>-10886318.385714032</v>
      </c>
      <c r="R472">
        <f t="shared" si="981"/>
        <v>6989543477.7026243</v>
      </c>
      <c r="S472">
        <f t="shared" si="982"/>
        <v>69895.434777026239</v>
      </c>
      <c r="T472">
        <f t="shared" si="983"/>
        <v>69.895434777026239</v>
      </c>
    </row>
    <row r="473" spans="1:20" x14ac:dyDescent="0.25">
      <c r="A473" s="5">
        <v>44120</v>
      </c>
      <c r="B473">
        <v>0.24584</v>
      </c>
      <c r="C473">
        <v>0.24787000000000001</v>
      </c>
      <c r="D473">
        <v>0.23749999999999999</v>
      </c>
      <c r="E473">
        <v>0.24010999999999999</v>
      </c>
      <c r="F473">
        <v>149640393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-0.49662487945998135</v>
      </c>
      <c r="Q473">
        <f t="shared" si="980"/>
        <v>-74315142.135969236</v>
      </c>
      <c r="R473">
        <f t="shared" si="981"/>
        <v>7000429796.0883379</v>
      </c>
      <c r="S473">
        <f t="shared" si="982"/>
        <v>70004.297960883385</v>
      </c>
      <c r="T473">
        <f t="shared" si="983"/>
        <v>70.004297960883392</v>
      </c>
    </row>
    <row r="474" spans="1:20" x14ac:dyDescent="0.25">
      <c r="A474" s="5">
        <v>44119</v>
      </c>
      <c r="B474">
        <v>0.24906</v>
      </c>
      <c r="C474">
        <v>0.25013999999999997</v>
      </c>
      <c r="D474">
        <v>0.24287</v>
      </c>
      <c r="E474">
        <v>0.24596000000000001</v>
      </c>
      <c r="F474">
        <v>157801611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-0.14993122420907243</v>
      </c>
      <c r="Q474">
        <f t="shared" si="980"/>
        <v>-23659388.719393831</v>
      </c>
      <c r="R474">
        <f t="shared" si="981"/>
        <v>7074744938.2243071</v>
      </c>
      <c r="S474">
        <f t="shared" si="982"/>
        <v>70747.449382243067</v>
      </c>
      <c r="T474">
        <f t="shared" si="983"/>
        <v>70.747449382243062</v>
      </c>
    </row>
    <row r="475" spans="1:20" x14ac:dyDescent="0.25">
      <c r="A475" s="5">
        <v>44118</v>
      </c>
      <c r="B475">
        <v>0.25657999999999997</v>
      </c>
      <c r="C475">
        <v>0.25840000000000002</v>
      </c>
      <c r="D475">
        <v>0.24593000000000001</v>
      </c>
      <c r="E475">
        <v>0.24906</v>
      </c>
      <c r="F475">
        <v>200090976.69999999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-0.4979951884522868</v>
      </c>
      <c r="Q475">
        <f t="shared" si="980"/>
        <v>-99644343.649318621</v>
      </c>
      <c r="R475">
        <f t="shared" si="981"/>
        <v>7098404326.9437008</v>
      </c>
      <c r="S475">
        <f t="shared" si="982"/>
        <v>70984.04326943701</v>
      </c>
      <c r="T475">
        <f t="shared" si="983"/>
        <v>70.984043269437009</v>
      </c>
    </row>
    <row r="476" spans="1:20" x14ac:dyDescent="0.25">
      <c r="A476" s="5">
        <v>44117</v>
      </c>
      <c r="B476">
        <v>0.25602000000000003</v>
      </c>
      <c r="C476">
        <v>0.25996999999999998</v>
      </c>
      <c r="D476">
        <v>0.25267000000000001</v>
      </c>
      <c r="E476">
        <v>0.25650000000000001</v>
      </c>
      <c r="F476">
        <v>232496747.40000001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4.9315068493154562E-2</v>
      </c>
      <c r="Q476">
        <f t="shared" si="980"/>
        <v>11465593.022466656</v>
      </c>
      <c r="R476">
        <f t="shared" si="981"/>
        <v>7198048670.5930195</v>
      </c>
      <c r="S476">
        <f t="shared" si="982"/>
        <v>71980.486705930191</v>
      </c>
      <c r="T476">
        <f t="shared" si="983"/>
        <v>71.98048670593019</v>
      </c>
    </row>
    <row r="477" spans="1:20" x14ac:dyDescent="0.25">
      <c r="A477" s="5">
        <v>44116</v>
      </c>
      <c r="B477">
        <v>0.25545000000000001</v>
      </c>
      <c r="C477">
        <v>0.25825999999999999</v>
      </c>
      <c r="D477">
        <v>0.24732000000000001</v>
      </c>
      <c r="E477">
        <v>0.25602999999999998</v>
      </c>
      <c r="F477">
        <v>225658413.59999999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0.59232175502741968</v>
      </c>
      <c r="Q477">
        <f t="shared" si="980"/>
        <v>133662387.58025534</v>
      </c>
      <c r="R477">
        <f t="shared" si="981"/>
        <v>7186583077.5705528</v>
      </c>
      <c r="S477">
        <f t="shared" si="982"/>
        <v>71865.83077570553</v>
      </c>
      <c r="T477">
        <f t="shared" si="983"/>
        <v>71.865830775705533</v>
      </c>
    </row>
    <row r="478" spans="1:20" x14ac:dyDescent="0.25">
      <c r="A478" s="5">
        <v>44115</v>
      </c>
      <c r="B478">
        <v>0.25401000000000001</v>
      </c>
      <c r="C478">
        <v>0.25841999999999998</v>
      </c>
      <c r="D478">
        <v>0.25320999999999999</v>
      </c>
      <c r="E478">
        <v>0.25544</v>
      </c>
      <c r="F478">
        <v>129208149.40000001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-0.14395393474087792</v>
      </c>
      <c r="Q478">
        <f t="shared" si="980"/>
        <v>-18600021.506717205</v>
      </c>
      <c r="R478">
        <f t="shared" si="981"/>
        <v>7052920689.9902973</v>
      </c>
      <c r="S478">
        <f t="shared" si="982"/>
        <v>70529.206899902973</v>
      </c>
      <c r="T478">
        <f t="shared" si="983"/>
        <v>70.529206899902974</v>
      </c>
    </row>
    <row r="479" spans="1:20" x14ac:dyDescent="0.25">
      <c r="A479" s="5">
        <v>44114</v>
      </c>
      <c r="B479">
        <v>0.25292999999999999</v>
      </c>
      <c r="C479">
        <v>0.26071</v>
      </c>
      <c r="D479">
        <v>0.25264999999999999</v>
      </c>
      <c r="E479">
        <v>0.25402000000000002</v>
      </c>
      <c r="F479">
        <v>165954957.19999999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-0.66004962779155441</v>
      </c>
      <c r="Q479">
        <f t="shared" si="980"/>
        <v>-109538507.73002334</v>
      </c>
      <c r="R479">
        <f t="shared" si="981"/>
        <v>7071520711.497015</v>
      </c>
      <c r="S479">
        <f t="shared" si="982"/>
        <v>70715.207114970151</v>
      </c>
      <c r="T479">
        <f t="shared" si="983"/>
        <v>70.715207114970156</v>
      </c>
    </row>
    <row r="480" spans="1:20" x14ac:dyDescent="0.25">
      <c r="A480" s="5">
        <v>44113</v>
      </c>
      <c r="B480">
        <v>0.25141000000000002</v>
      </c>
      <c r="C480">
        <v>0.25664999999999999</v>
      </c>
      <c r="D480">
        <v>0.24934999999999999</v>
      </c>
      <c r="E480">
        <v>0.25292999999999999</v>
      </c>
      <c r="F480">
        <v>192476557.59999999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-1.9178082191780989E-2</v>
      </c>
      <c r="Q480">
        <f t="shared" si="980"/>
        <v>-3691331.2416438679</v>
      </c>
      <c r="R480">
        <f t="shared" si="981"/>
        <v>7181059219.2270384</v>
      </c>
      <c r="S480">
        <f t="shared" si="982"/>
        <v>71810.592192270386</v>
      </c>
      <c r="T480">
        <f t="shared" si="983"/>
        <v>71.810592192270391</v>
      </c>
    </row>
    <row r="481" spans="1:20" x14ac:dyDescent="0.25">
      <c r="A481" s="5">
        <v>44112</v>
      </c>
      <c r="B481">
        <v>0.24870999999999999</v>
      </c>
      <c r="C481">
        <v>0.25296999999999997</v>
      </c>
      <c r="D481">
        <v>0.24206</v>
      </c>
      <c r="E481">
        <v>0.25141000000000002</v>
      </c>
      <c r="F481">
        <v>197900153.09999999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0.71402383134739622</v>
      </c>
      <c r="Q481">
        <f t="shared" si="980"/>
        <v>141305425.54069829</v>
      </c>
      <c r="R481">
        <f t="shared" si="981"/>
        <v>7184750550.4686823</v>
      </c>
      <c r="S481">
        <f t="shared" si="982"/>
        <v>71847.505504686822</v>
      </c>
      <c r="T481">
        <f t="shared" si="983"/>
        <v>71.847505504686822</v>
      </c>
    </row>
    <row r="482" spans="1:20" x14ac:dyDescent="0.25">
      <c r="A482" s="5">
        <v>44111</v>
      </c>
      <c r="B482">
        <v>0.24549000000000001</v>
      </c>
      <c r="C482">
        <v>0.25141000000000002</v>
      </c>
      <c r="D482">
        <v>0.24077000000000001</v>
      </c>
      <c r="E482">
        <v>0.2487</v>
      </c>
      <c r="F482">
        <v>177097434.19999999</v>
      </c>
      <c r="G482">
        <v>0</v>
      </c>
      <c r="L482" t="s">
        <v>8</v>
      </c>
      <c r="M482" t="s">
        <v>8</v>
      </c>
      <c r="N482" t="s">
        <v>7</v>
      </c>
      <c r="P482">
        <f t="shared" si="979"/>
        <v>0.49060150375939565</v>
      </c>
      <c r="Q482">
        <f t="shared" si="980"/>
        <v>86884267.530450612</v>
      </c>
      <c r="R482">
        <f t="shared" si="981"/>
        <v>7043445124.9279842</v>
      </c>
      <c r="S482">
        <f t="shared" si="982"/>
        <v>70434.451249279839</v>
      </c>
      <c r="T482">
        <f t="shared" si="983"/>
        <v>70.434451249279832</v>
      </c>
    </row>
    <row r="483" spans="1:20" x14ac:dyDescent="0.25">
      <c r="A483" s="5">
        <v>44110</v>
      </c>
      <c r="B483">
        <v>0.25034000000000001</v>
      </c>
      <c r="C483">
        <v>0.25931999999999999</v>
      </c>
      <c r="D483">
        <v>0.24021000000000001</v>
      </c>
      <c r="E483">
        <v>0.24545</v>
      </c>
      <c r="F483">
        <v>378003616.39999998</v>
      </c>
      <c r="G483">
        <v>0</v>
      </c>
      <c r="L483" t="s">
        <v>8</v>
      </c>
      <c r="M483" t="s">
        <v>8</v>
      </c>
      <c r="N483" t="s">
        <v>7</v>
      </c>
      <c r="P483">
        <f t="shared" si="979"/>
        <v>-0.45159602302459467</v>
      </c>
      <c r="Q483">
        <f t="shared" si="980"/>
        <v>-170704929.85515445</v>
      </c>
      <c r="R483">
        <f t="shared" si="981"/>
        <v>6956560857.3975334</v>
      </c>
      <c r="S483">
        <f t="shared" si="982"/>
        <v>69565.608573975333</v>
      </c>
      <c r="T483">
        <f t="shared" si="983"/>
        <v>69.565608573975339</v>
      </c>
    </row>
    <row r="484" spans="1:20" x14ac:dyDescent="0.25">
      <c r="A484" s="5">
        <v>44109</v>
      </c>
      <c r="B484">
        <v>0.24793999999999999</v>
      </c>
      <c r="C484">
        <v>0.25441999999999998</v>
      </c>
      <c r="D484">
        <v>0.24628</v>
      </c>
      <c r="E484">
        <v>0.25030000000000002</v>
      </c>
      <c r="F484">
        <v>228844024.40000001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-1.2285012285004141E-2</v>
      </c>
      <c r="Q484">
        <f t="shared" si="980"/>
        <v>-2811351.6511037876</v>
      </c>
      <c r="R484">
        <f t="shared" si="981"/>
        <v>7127265787.2526875</v>
      </c>
      <c r="S484">
        <f t="shared" si="982"/>
        <v>71272.657872526877</v>
      </c>
      <c r="T484">
        <f t="shared" si="983"/>
        <v>71.272657872526878</v>
      </c>
    </row>
    <row r="485" spans="1:20" x14ac:dyDescent="0.25">
      <c r="A485" s="5">
        <v>44108</v>
      </c>
      <c r="B485">
        <v>0.23274</v>
      </c>
      <c r="C485">
        <v>0.25024000000000002</v>
      </c>
      <c r="D485">
        <v>0.23158999999999999</v>
      </c>
      <c r="E485">
        <v>0.24793999999999999</v>
      </c>
      <c r="F485">
        <v>157014929.5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0.75335120643431408</v>
      </c>
      <c r="Q485">
        <f t="shared" si="980"/>
        <v>118287386.56702377</v>
      </c>
      <c r="R485">
        <f t="shared" si="981"/>
        <v>7130077138.9037914</v>
      </c>
      <c r="S485">
        <f t="shared" si="982"/>
        <v>71300.771389037909</v>
      </c>
      <c r="T485">
        <f t="shared" si="983"/>
        <v>71.300771389037905</v>
      </c>
    </row>
    <row r="486" spans="1:20" x14ac:dyDescent="0.25">
      <c r="A486" s="5">
        <v>44107</v>
      </c>
      <c r="B486">
        <v>0.23386999999999999</v>
      </c>
      <c r="C486">
        <v>0.23499</v>
      </c>
      <c r="D486">
        <v>0.23254</v>
      </c>
      <c r="E486">
        <v>0.23272999999999999</v>
      </c>
      <c r="F486">
        <v>59902666.5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-0.84489795918367749</v>
      </c>
      <c r="Q486">
        <f t="shared" si="980"/>
        <v>-50611640.675510444</v>
      </c>
      <c r="R486">
        <f t="shared" si="981"/>
        <v>7011789752.3367672</v>
      </c>
      <c r="S486">
        <f t="shared" si="982"/>
        <v>70117.897523367676</v>
      </c>
      <c r="T486">
        <f t="shared" si="983"/>
        <v>70.117897523367674</v>
      </c>
    </row>
    <row r="487" spans="1:20" x14ac:dyDescent="0.25">
      <c r="A487" s="5">
        <v>44106</v>
      </c>
      <c r="B487">
        <v>0.23813000000000001</v>
      </c>
      <c r="C487">
        <v>0.23937</v>
      </c>
      <c r="D487">
        <v>0.22828999999999999</v>
      </c>
      <c r="E487">
        <v>0.23386000000000001</v>
      </c>
      <c r="F487">
        <v>146884020.30000001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5.4151624548765534E-3</v>
      </c>
      <c r="Q487">
        <f t="shared" si="980"/>
        <v>795400.83194988559</v>
      </c>
      <c r="R487">
        <f t="shared" si="981"/>
        <v>7062401393.0122776</v>
      </c>
      <c r="S487">
        <f t="shared" si="982"/>
        <v>70624.013930122775</v>
      </c>
      <c r="T487">
        <f t="shared" si="983"/>
        <v>70.624013930122771</v>
      </c>
    </row>
    <row r="488" spans="1:20" x14ac:dyDescent="0.25">
      <c r="A488" s="5">
        <v>44105</v>
      </c>
      <c r="B488">
        <v>0.24171999999999999</v>
      </c>
      <c r="C488">
        <v>0.24451999999999999</v>
      </c>
      <c r="D488">
        <v>0.23372000000000001</v>
      </c>
      <c r="E488">
        <v>0.23819000000000001</v>
      </c>
      <c r="F488">
        <v>127335773.7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-0.17222222222222008</v>
      </c>
      <c r="Q488">
        <f t="shared" si="980"/>
        <v>-21930049.914999727</v>
      </c>
      <c r="R488">
        <f t="shared" si="981"/>
        <v>7061605992.1803274</v>
      </c>
      <c r="S488">
        <f t="shared" si="982"/>
        <v>70616.059921803273</v>
      </c>
      <c r="T488">
        <f t="shared" si="983"/>
        <v>70.61605992180327</v>
      </c>
    </row>
    <row r="489" spans="1:20" x14ac:dyDescent="0.25">
      <c r="A489" s="5">
        <v>44104</v>
      </c>
      <c r="B489">
        <v>0.24285999999999999</v>
      </c>
      <c r="C489">
        <v>0.24288999999999999</v>
      </c>
      <c r="D489">
        <v>0.23749999999999999</v>
      </c>
      <c r="E489">
        <v>0.24171000000000001</v>
      </c>
      <c r="F489">
        <v>101266167.8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0.56215213358071048</v>
      </c>
      <c r="Q489">
        <f t="shared" si="980"/>
        <v>56926992.288312241</v>
      </c>
      <c r="R489">
        <f t="shared" si="981"/>
        <v>7083536042.0953274</v>
      </c>
      <c r="S489">
        <f t="shared" si="982"/>
        <v>70835.360420953279</v>
      </c>
      <c r="T489">
        <f t="shared" si="983"/>
        <v>70.835360420953279</v>
      </c>
    </row>
    <row r="490" spans="1:20" x14ac:dyDescent="0.25">
      <c r="A490" s="5">
        <v>44103</v>
      </c>
      <c r="B490">
        <v>0.24110000000000001</v>
      </c>
      <c r="C490">
        <v>0.24662000000000001</v>
      </c>
      <c r="D490">
        <v>0.23830000000000001</v>
      </c>
      <c r="E490">
        <v>0.24285000000000001</v>
      </c>
      <c r="F490">
        <v>109204653.3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9.3750000000000416E-2</v>
      </c>
      <c r="Q490">
        <f t="shared" si="980"/>
        <v>10237936.246875046</v>
      </c>
      <c r="R490">
        <f t="shared" si="981"/>
        <v>7026609049.8070154</v>
      </c>
      <c r="S490">
        <f t="shared" si="982"/>
        <v>70266.09049807016</v>
      </c>
      <c r="T490">
        <f t="shared" si="983"/>
        <v>70.266090498070156</v>
      </c>
    </row>
    <row r="491" spans="1:20" x14ac:dyDescent="0.25">
      <c r="A491" s="5">
        <v>44102</v>
      </c>
      <c r="B491">
        <v>0.24329000000000001</v>
      </c>
      <c r="C491">
        <v>0.24851000000000001</v>
      </c>
      <c r="D491">
        <v>0.23979</v>
      </c>
      <c r="E491">
        <v>0.24107000000000001</v>
      </c>
      <c r="F491">
        <v>121590934.40000001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-0.70642201834862328</v>
      </c>
      <c r="Q491">
        <f t="shared" si="980"/>
        <v>-85894513.291743055</v>
      </c>
      <c r="R491">
        <f t="shared" si="981"/>
        <v>7016371113.5601406</v>
      </c>
      <c r="S491">
        <f t="shared" si="982"/>
        <v>70163.711135601407</v>
      </c>
      <c r="T491">
        <f t="shared" si="983"/>
        <v>70.163711135601403</v>
      </c>
    </row>
    <row r="492" spans="1:20" x14ac:dyDescent="0.25">
      <c r="A492" s="5">
        <v>44101</v>
      </c>
      <c r="B492">
        <v>0.24146999999999999</v>
      </c>
      <c r="C492">
        <v>0.24474000000000001</v>
      </c>
      <c r="D492">
        <v>0.23729</v>
      </c>
      <c r="E492">
        <v>0.24334</v>
      </c>
      <c r="F492">
        <v>91772023.900000006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0.62416107382550068</v>
      </c>
      <c r="Q492">
        <f t="shared" si="980"/>
        <v>57280524.984563515</v>
      </c>
      <c r="R492">
        <f t="shared" si="981"/>
        <v>7102265626.8518839</v>
      </c>
      <c r="S492">
        <f t="shared" si="982"/>
        <v>71022.65626851884</v>
      </c>
      <c r="T492">
        <f t="shared" si="983"/>
        <v>71.022656268518844</v>
      </c>
    </row>
    <row r="493" spans="1:20" x14ac:dyDescent="0.25">
      <c r="A493" s="5">
        <v>44100</v>
      </c>
      <c r="B493">
        <v>0.24154</v>
      </c>
      <c r="C493">
        <v>0.24568000000000001</v>
      </c>
      <c r="D493">
        <v>0.23763999999999999</v>
      </c>
      <c r="E493">
        <v>0.24152999999999999</v>
      </c>
      <c r="F493">
        <v>113365429.59999999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-3.2338308457712635E-2</v>
      </c>
      <c r="Q493">
        <f t="shared" si="980"/>
        <v>-3666046.2308459063</v>
      </c>
      <c r="R493">
        <f t="shared" si="981"/>
        <v>7044985101.8673201</v>
      </c>
      <c r="S493">
        <f t="shared" si="982"/>
        <v>70449.851018673202</v>
      </c>
      <c r="T493">
        <f t="shared" si="983"/>
        <v>70.449851018673201</v>
      </c>
    </row>
    <row r="494" spans="1:20" x14ac:dyDescent="0.25">
      <c r="A494" s="5">
        <v>44099</v>
      </c>
      <c r="B494">
        <v>0.23277</v>
      </c>
      <c r="C494">
        <v>0.24476999999999999</v>
      </c>
      <c r="D494">
        <v>0.22950000000000001</v>
      </c>
      <c r="E494">
        <v>0.24154</v>
      </c>
      <c r="F494">
        <v>146717481.09999999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0.57694826457105597</v>
      </c>
      <c r="Q494">
        <f t="shared" si="980"/>
        <v>84648396.1028817</v>
      </c>
      <c r="R494">
        <f t="shared" si="981"/>
        <v>7048651148.0981655</v>
      </c>
      <c r="S494">
        <f t="shared" si="982"/>
        <v>70486.511480981659</v>
      </c>
      <c r="T494">
        <f t="shared" si="983"/>
        <v>70.486511480981662</v>
      </c>
    </row>
    <row r="495" spans="1:20" x14ac:dyDescent="0.25">
      <c r="A495" s="5">
        <v>44098</v>
      </c>
      <c r="B495">
        <v>0.22164</v>
      </c>
      <c r="C495">
        <v>0.23401</v>
      </c>
      <c r="D495">
        <v>0.21944</v>
      </c>
      <c r="E495">
        <v>0.23275999999999999</v>
      </c>
      <c r="F495">
        <v>173682650.69999999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0.828414550446122</v>
      </c>
      <c r="Q495">
        <f t="shared" si="980"/>
        <v>143881234.99993134</v>
      </c>
      <c r="R495">
        <f t="shared" si="981"/>
        <v>6964002751.9952841</v>
      </c>
      <c r="S495">
        <f t="shared" si="982"/>
        <v>69640.027519952841</v>
      </c>
      <c r="T495">
        <f t="shared" si="983"/>
        <v>69.640027519952838</v>
      </c>
    </row>
    <row r="496" spans="1:20" x14ac:dyDescent="0.25">
      <c r="A496" s="5">
        <v>44097</v>
      </c>
      <c r="B496">
        <v>0.23300999999999999</v>
      </c>
      <c r="C496">
        <v>0.23519999999999999</v>
      </c>
      <c r="D496">
        <v>0.22017</v>
      </c>
      <c r="E496">
        <v>0.22164</v>
      </c>
      <c r="F496">
        <v>148246113.40000001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-0.8043912175648702</v>
      </c>
      <c r="Q496">
        <f t="shared" si="980"/>
        <v>-119247871.65708582</v>
      </c>
      <c r="R496">
        <f t="shared" si="981"/>
        <v>6820121516.9953527</v>
      </c>
      <c r="S496">
        <f t="shared" si="982"/>
        <v>68201.215169953532</v>
      </c>
      <c r="T496">
        <f t="shared" si="983"/>
        <v>68.201215169953528</v>
      </c>
    </row>
    <row r="497" spans="1:20" x14ac:dyDescent="0.25">
      <c r="A497" s="5">
        <v>44096</v>
      </c>
      <c r="B497">
        <v>0.23104</v>
      </c>
      <c r="C497">
        <v>0.23458999999999999</v>
      </c>
      <c r="D497">
        <v>0.22916</v>
      </c>
      <c r="E497">
        <v>0.23302</v>
      </c>
      <c r="F497">
        <v>113084575.2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0.42173112338858532</v>
      </c>
      <c r="Q497">
        <f t="shared" si="980"/>
        <v>47691284.937016957</v>
      </c>
      <c r="R497">
        <f t="shared" si="981"/>
        <v>6939369388.6524382</v>
      </c>
      <c r="S497">
        <f t="shared" si="982"/>
        <v>69393.693886524386</v>
      </c>
      <c r="T497">
        <f t="shared" si="983"/>
        <v>69.393693886524389</v>
      </c>
    </row>
    <row r="498" spans="1:20" x14ac:dyDescent="0.25">
      <c r="A498" s="5">
        <v>44095</v>
      </c>
      <c r="B498">
        <v>0.24657000000000001</v>
      </c>
      <c r="C498">
        <v>0.24809</v>
      </c>
      <c r="D498">
        <v>0.22914999999999999</v>
      </c>
      <c r="E498">
        <v>0.23102</v>
      </c>
      <c r="F498">
        <v>232559544.30000001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-0.80253431890179416</v>
      </c>
      <c r="Q498">
        <f t="shared" si="980"/>
        <v>-186637015.48891214</v>
      </c>
      <c r="R498">
        <f t="shared" si="981"/>
        <v>6891678103.7154217</v>
      </c>
      <c r="S498">
        <f t="shared" si="982"/>
        <v>68916.781037154215</v>
      </c>
      <c r="T498">
        <f t="shared" si="983"/>
        <v>68.916781037154209</v>
      </c>
    </row>
    <row r="499" spans="1:20" x14ac:dyDescent="0.25">
      <c r="A499" s="5">
        <v>44094</v>
      </c>
      <c r="B499">
        <v>0.25112000000000001</v>
      </c>
      <c r="C499">
        <v>0.25124999999999997</v>
      </c>
      <c r="D499">
        <v>0.24229999999999999</v>
      </c>
      <c r="E499">
        <v>0.24651999999999999</v>
      </c>
      <c r="F499">
        <v>100830684.40000001</v>
      </c>
      <c r="G499">
        <v>0</v>
      </c>
      <c r="L499" t="s">
        <v>8</v>
      </c>
      <c r="M499" t="s">
        <v>7</v>
      </c>
      <c r="N499" t="s">
        <v>7</v>
      </c>
      <c r="P499">
        <f t="shared" si="979"/>
        <v>-5.6983240223461844E-2</v>
      </c>
      <c r="Q499">
        <f t="shared" si="980"/>
        <v>-5745659.1110612666</v>
      </c>
      <c r="R499">
        <f t="shared" si="981"/>
        <v>7078315119.2043343</v>
      </c>
      <c r="S499">
        <f t="shared" si="982"/>
        <v>70783.15119204334</v>
      </c>
      <c r="T499">
        <f t="shared" si="983"/>
        <v>70.783151192043334</v>
      </c>
    </row>
    <row r="500" spans="1:20" x14ac:dyDescent="0.25">
      <c r="A500" s="5">
        <v>44093</v>
      </c>
      <c r="B500">
        <v>0.25064999999999998</v>
      </c>
      <c r="C500">
        <v>0.25496999999999997</v>
      </c>
      <c r="D500">
        <v>0.24732999999999999</v>
      </c>
      <c r="E500">
        <v>0.25112000000000001</v>
      </c>
      <c r="F500">
        <v>94380999.099999994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-7.8534031413546E-3</v>
      </c>
      <c r="Q500">
        <f t="shared" si="980"/>
        <v>-741212.03481612564</v>
      </c>
      <c r="R500">
        <f t="shared" si="981"/>
        <v>7084060778.3153954</v>
      </c>
      <c r="S500">
        <f t="shared" si="982"/>
        <v>70840.607783153959</v>
      </c>
      <c r="T500">
        <f t="shared" si="983"/>
        <v>70.840607783153956</v>
      </c>
    </row>
    <row r="501" spans="1:20" x14ac:dyDescent="0.25">
      <c r="A501" s="5">
        <v>44092</v>
      </c>
      <c r="B501">
        <v>0.25208000000000003</v>
      </c>
      <c r="C501">
        <v>0.25522</v>
      </c>
      <c r="D501">
        <v>0.24629999999999999</v>
      </c>
      <c r="E501">
        <v>0.25064999999999998</v>
      </c>
      <c r="F501">
        <v>123918267.59999999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-2.4663677130047697E-2</v>
      </c>
      <c r="Q501">
        <f t="shared" si="980"/>
        <v>-3056280.1426012502</v>
      </c>
      <c r="R501">
        <f t="shared" si="981"/>
        <v>7084801990.3502111</v>
      </c>
      <c r="S501">
        <f t="shared" si="982"/>
        <v>70848.019903502107</v>
      </c>
      <c r="T501">
        <f t="shared" si="983"/>
        <v>70.848019903502106</v>
      </c>
    </row>
    <row r="502" spans="1:20" x14ac:dyDescent="0.25">
      <c r="A502" s="5">
        <v>44091</v>
      </c>
      <c r="B502">
        <v>0.24682000000000001</v>
      </c>
      <c r="C502">
        <v>0.2586</v>
      </c>
      <c r="D502">
        <v>0.24601000000000001</v>
      </c>
      <c r="E502">
        <v>0.25213999999999998</v>
      </c>
      <c r="F502">
        <v>195903905.09999999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-2.6211278792696802E-2</v>
      </c>
      <c r="Q502">
        <f t="shared" si="980"/>
        <v>-5134891.8731541168</v>
      </c>
      <c r="R502">
        <f t="shared" si="981"/>
        <v>7087858270.4928122</v>
      </c>
      <c r="S502">
        <f t="shared" si="982"/>
        <v>70878.582704928122</v>
      </c>
      <c r="T502">
        <f t="shared" si="983"/>
        <v>70.878582704928121</v>
      </c>
    </row>
    <row r="503" spans="1:20" x14ac:dyDescent="0.25">
      <c r="A503" s="5">
        <v>44090</v>
      </c>
      <c r="B503">
        <v>0.24331</v>
      </c>
      <c r="C503">
        <v>0.25117</v>
      </c>
      <c r="D503">
        <v>0.2341</v>
      </c>
      <c r="E503">
        <v>0.24686</v>
      </c>
      <c r="F503">
        <v>155437121.5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0.49502050380784912</v>
      </c>
      <c r="Q503">
        <f t="shared" si="980"/>
        <v>76944562.195371851</v>
      </c>
      <c r="R503">
        <f t="shared" si="981"/>
        <v>7092993162.3659658</v>
      </c>
      <c r="S503">
        <f t="shared" si="982"/>
        <v>70929.931623659664</v>
      </c>
      <c r="T503">
        <f t="shared" si="983"/>
        <v>70.92993162365967</v>
      </c>
    </row>
    <row r="504" spans="1:20" x14ac:dyDescent="0.25">
      <c r="A504" s="5">
        <v>44089</v>
      </c>
      <c r="B504">
        <v>0.24562</v>
      </c>
      <c r="C504">
        <v>0.24940000000000001</v>
      </c>
      <c r="D504">
        <v>0.24224999999999999</v>
      </c>
      <c r="E504">
        <v>0.24331</v>
      </c>
      <c r="F504">
        <v>123397806.3</v>
      </c>
      <c r="G504">
        <v>0</v>
      </c>
      <c r="L504" t="s">
        <v>8</v>
      </c>
      <c r="M504" t="s">
        <v>7</v>
      </c>
      <c r="N504" t="s">
        <v>7</v>
      </c>
      <c r="P504">
        <f t="shared" si="979"/>
        <v>-0.70349650349650272</v>
      </c>
      <c r="Q504">
        <f t="shared" si="980"/>
        <v>-86809925.271188721</v>
      </c>
      <c r="R504">
        <f t="shared" si="981"/>
        <v>7016048600.1705942</v>
      </c>
      <c r="S504">
        <f t="shared" si="982"/>
        <v>70160.48600170594</v>
      </c>
      <c r="T504">
        <f t="shared" si="983"/>
        <v>70.160486001705934</v>
      </c>
    </row>
    <row r="505" spans="1:20" x14ac:dyDescent="0.25">
      <c r="A505" s="5">
        <v>44088</v>
      </c>
      <c r="B505">
        <v>0.24213999999999999</v>
      </c>
      <c r="C505">
        <v>0.24840000000000001</v>
      </c>
      <c r="D505">
        <v>0.23901</v>
      </c>
      <c r="E505">
        <v>0.24564</v>
      </c>
      <c r="F505">
        <v>128679809.90000001</v>
      </c>
      <c r="G505">
        <v>0</v>
      </c>
      <c r="L505" t="s">
        <v>8</v>
      </c>
      <c r="M505" t="s">
        <v>7</v>
      </c>
      <c r="N505" t="s">
        <v>7</v>
      </c>
      <c r="P505">
        <f t="shared" si="979"/>
        <v>0.41214057507987012</v>
      </c>
      <c r="Q505">
        <f t="shared" si="980"/>
        <v>53034170.853354365</v>
      </c>
      <c r="R505">
        <f t="shared" si="981"/>
        <v>7102858525.441783</v>
      </c>
      <c r="S505">
        <f t="shared" si="982"/>
        <v>71028.585254417834</v>
      </c>
      <c r="T505">
        <f t="shared" si="983"/>
        <v>71.028585254417834</v>
      </c>
    </row>
    <row r="506" spans="1:20" x14ac:dyDescent="0.25">
      <c r="A506" s="5">
        <v>44087</v>
      </c>
      <c r="B506">
        <v>0.24748999999999999</v>
      </c>
      <c r="C506">
        <v>0.2535</v>
      </c>
      <c r="D506">
        <v>0.23757</v>
      </c>
      <c r="E506">
        <v>0.24218000000000001</v>
      </c>
      <c r="F506">
        <v>134508183.69999999</v>
      </c>
      <c r="G506">
        <v>0</v>
      </c>
      <c r="L506" t="s">
        <v>8</v>
      </c>
      <c r="M506" t="s">
        <v>7</v>
      </c>
      <c r="N506" t="s">
        <v>7</v>
      </c>
      <c r="P506">
        <f t="shared" si="979"/>
        <v>-0.42121782799748864</v>
      </c>
      <c r="Q506">
        <f t="shared" si="980"/>
        <v>-56657244.986001201</v>
      </c>
      <c r="R506">
        <f t="shared" si="981"/>
        <v>7049824354.5884285</v>
      </c>
      <c r="S506">
        <f t="shared" si="982"/>
        <v>70498.243545884281</v>
      </c>
      <c r="T506">
        <f t="shared" si="983"/>
        <v>70.498243545884279</v>
      </c>
    </row>
    <row r="507" spans="1:20" x14ac:dyDescent="0.25">
      <c r="A507" s="5">
        <v>44086</v>
      </c>
      <c r="B507">
        <v>0.24252000000000001</v>
      </c>
      <c r="C507">
        <v>0.24879000000000001</v>
      </c>
      <c r="D507">
        <v>0.24018999999999999</v>
      </c>
      <c r="E507">
        <v>0.24751999999999999</v>
      </c>
      <c r="F507">
        <v>90026751.200000003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0.70465116279069362</v>
      </c>
      <c r="Q507">
        <f t="shared" si="980"/>
        <v>63437454.915348478</v>
      </c>
      <c r="R507">
        <f t="shared" si="981"/>
        <v>7106481599.5744295</v>
      </c>
      <c r="S507">
        <f t="shared" si="982"/>
        <v>71064.815995744299</v>
      </c>
      <c r="T507">
        <f t="shared" si="983"/>
        <v>71.064815995744297</v>
      </c>
    </row>
    <row r="508" spans="1:20" x14ac:dyDescent="0.25">
      <c r="A508" s="5">
        <v>44085</v>
      </c>
      <c r="B508">
        <v>0.24302000000000001</v>
      </c>
      <c r="C508">
        <v>0.24440000000000001</v>
      </c>
      <c r="D508">
        <v>0.23683000000000001</v>
      </c>
      <c r="E508">
        <v>0.24252000000000001</v>
      </c>
      <c r="F508">
        <v>102995486.8</v>
      </c>
      <c r="G508">
        <v>0</v>
      </c>
      <c r="L508" t="s">
        <v>8</v>
      </c>
      <c r="M508" t="s">
        <v>7</v>
      </c>
      <c r="N508" t="s">
        <v>7</v>
      </c>
      <c r="P508">
        <f t="shared" si="979"/>
        <v>0.50330250990753123</v>
      </c>
      <c r="Q508">
        <f t="shared" si="980"/>
        <v>51837887.015588</v>
      </c>
      <c r="R508">
        <f t="shared" si="981"/>
        <v>7043044144.6590815</v>
      </c>
      <c r="S508">
        <f t="shared" si="982"/>
        <v>70430.441446590819</v>
      </c>
      <c r="T508">
        <f t="shared" si="983"/>
        <v>70.43044144659082</v>
      </c>
    </row>
    <row r="509" spans="1:20" x14ac:dyDescent="0.25">
      <c r="A509" s="5">
        <v>44084</v>
      </c>
      <c r="B509">
        <v>0.23899999999999999</v>
      </c>
      <c r="C509">
        <v>0.24870999999999999</v>
      </c>
      <c r="D509">
        <v>0.23877999999999999</v>
      </c>
      <c r="E509">
        <v>0.24302000000000001</v>
      </c>
      <c r="F509">
        <v>150794017.69999999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-0.14602215508559438</v>
      </c>
      <c r="Q509">
        <f t="shared" si="980"/>
        <v>-22019267.438569263</v>
      </c>
      <c r="R509">
        <f t="shared" si="981"/>
        <v>6991206257.6434937</v>
      </c>
      <c r="S509">
        <f t="shared" si="982"/>
        <v>69912.062576434939</v>
      </c>
      <c r="T509">
        <f t="shared" si="983"/>
        <v>69.912062576434934</v>
      </c>
    </row>
    <row r="510" spans="1:20" x14ac:dyDescent="0.25">
      <c r="A510" s="5">
        <v>44083</v>
      </c>
      <c r="B510">
        <v>0.23658000000000001</v>
      </c>
      <c r="C510">
        <v>0.24278</v>
      </c>
      <c r="D510">
        <v>0.23302999999999999</v>
      </c>
      <c r="E510">
        <v>0.23901</v>
      </c>
      <c r="F510">
        <v>120931648.7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0.22666666666666827</v>
      </c>
      <c r="Q510">
        <f t="shared" si="980"/>
        <v>27411173.705333527</v>
      </c>
      <c r="R510">
        <f t="shared" si="981"/>
        <v>7013225525.0820627</v>
      </c>
      <c r="S510">
        <f t="shared" si="982"/>
        <v>70132.255250820628</v>
      </c>
      <c r="T510">
        <f t="shared" si="983"/>
        <v>70.132255250820634</v>
      </c>
    </row>
    <row r="511" spans="1:20" x14ac:dyDescent="0.25">
      <c r="A511" s="5">
        <v>44082</v>
      </c>
      <c r="B511">
        <v>0.24202000000000001</v>
      </c>
      <c r="C511">
        <v>0.24365000000000001</v>
      </c>
      <c r="D511">
        <v>0.23119999999999999</v>
      </c>
      <c r="E511">
        <v>0.23657</v>
      </c>
      <c r="F511">
        <v>185386436.09999999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-0.13734939759036041</v>
      </c>
      <c r="Q511">
        <f t="shared" si="980"/>
        <v>-25462715.319758844</v>
      </c>
      <c r="R511">
        <f t="shared" si="981"/>
        <v>6985814351.376729</v>
      </c>
      <c r="S511">
        <f t="shared" si="982"/>
        <v>69858.143513767296</v>
      </c>
      <c r="T511">
        <f t="shared" si="983"/>
        <v>69.858143513767303</v>
      </c>
    </row>
    <row r="512" spans="1:20" x14ac:dyDescent="0.25">
      <c r="A512" s="5">
        <v>44081</v>
      </c>
      <c r="B512">
        <v>0.23987</v>
      </c>
      <c r="C512">
        <v>0.24292</v>
      </c>
      <c r="D512">
        <v>0.22961999999999999</v>
      </c>
      <c r="E512">
        <v>0.24198</v>
      </c>
      <c r="F512">
        <v>217149074.30000001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0.85864661654135399</v>
      </c>
      <c r="Q512">
        <f t="shared" si="980"/>
        <v>186454317.93278208</v>
      </c>
      <c r="R512">
        <f t="shared" si="981"/>
        <v>7011277066.6964874</v>
      </c>
      <c r="S512">
        <f t="shared" si="982"/>
        <v>70112.770666964876</v>
      </c>
      <c r="T512">
        <f t="shared" si="983"/>
        <v>70.112770666964877</v>
      </c>
    </row>
    <row r="513" spans="1:20" x14ac:dyDescent="0.25">
      <c r="A513" s="5">
        <v>44080</v>
      </c>
      <c r="B513">
        <v>0.23737</v>
      </c>
      <c r="C513">
        <v>0.24357999999999999</v>
      </c>
      <c r="D513">
        <v>0.22936999999999999</v>
      </c>
      <c r="E513">
        <v>0.23985999999999999</v>
      </c>
      <c r="F513">
        <v>245971020.19999999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0.47642505277973246</v>
      </c>
      <c r="Q513">
        <f t="shared" si="980"/>
        <v>117186756.28106964</v>
      </c>
      <c r="R513">
        <f t="shared" si="981"/>
        <v>6824822748.7637053</v>
      </c>
      <c r="S513">
        <f t="shared" si="982"/>
        <v>68248.22748763705</v>
      </c>
      <c r="T513">
        <f t="shared" si="983"/>
        <v>68.248227487637052</v>
      </c>
    </row>
    <row r="514" spans="1:20" x14ac:dyDescent="0.25">
      <c r="A514" s="5">
        <v>44079</v>
      </c>
      <c r="B514">
        <v>0.25385000000000002</v>
      </c>
      <c r="C514">
        <v>0.25951000000000002</v>
      </c>
      <c r="D514">
        <v>0.23100000000000001</v>
      </c>
      <c r="E514">
        <v>0.23738000000000001</v>
      </c>
      <c r="F514">
        <v>343014820.30000001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-0.55243774114345878</v>
      </c>
      <c r="Q514">
        <f t="shared" si="980"/>
        <v>-189494332.50526145</v>
      </c>
      <c r="R514">
        <f t="shared" si="981"/>
        <v>6707635992.4826355</v>
      </c>
      <c r="S514">
        <f t="shared" si="982"/>
        <v>67076.359924826349</v>
      </c>
      <c r="T514">
        <f t="shared" si="983"/>
        <v>67.076359924826349</v>
      </c>
    </row>
    <row r="515" spans="1:20" x14ac:dyDescent="0.25">
      <c r="A515" s="5">
        <v>44078</v>
      </c>
      <c r="B515">
        <v>0.24404000000000001</v>
      </c>
      <c r="C515">
        <v>0.26582</v>
      </c>
      <c r="D515">
        <v>0.24012</v>
      </c>
      <c r="E515">
        <v>0.25385000000000002</v>
      </c>
      <c r="F515">
        <v>347276927.60000002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6.8482490272375074E-2</v>
      </c>
      <c r="Q515">
        <f t="shared" si="980"/>
        <v>23782388.816187304</v>
      </c>
      <c r="R515">
        <f t="shared" si="981"/>
        <v>6897130324.9878969</v>
      </c>
      <c r="S515">
        <f t="shared" si="982"/>
        <v>68971.303249878969</v>
      </c>
      <c r="T515">
        <f t="shared" si="983"/>
        <v>68.971303249878972</v>
      </c>
    </row>
    <row r="516" spans="1:20" x14ac:dyDescent="0.25">
      <c r="A516" s="5">
        <v>44077</v>
      </c>
      <c r="B516">
        <v>0.27594000000000002</v>
      </c>
      <c r="C516">
        <v>0.27650000000000002</v>
      </c>
      <c r="D516">
        <v>0.23799999999999999</v>
      </c>
      <c r="E516">
        <v>0.24409</v>
      </c>
      <c r="F516">
        <v>375303316.19999999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-0.68363636363636326</v>
      </c>
      <c r="Q516">
        <f t="shared" si="980"/>
        <v>-256570994.34763622</v>
      </c>
      <c r="R516">
        <f t="shared" si="981"/>
        <v>6873347936.17171</v>
      </c>
      <c r="S516">
        <f t="shared" si="982"/>
        <v>68733.479361717094</v>
      </c>
      <c r="T516">
        <f t="shared" si="983"/>
        <v>68.733479361717087</v>
      </c>
    </row>
    <row r="517" spans="1:20" x14ac:dyDescent="0.25">
      <c r="A517" s="5">
        <v>44076</v>
      </c>
      <c r="B517">
        <v>0.29515000000000002</v>
      </c>
      <c r="C517">
        <v>0.30399999999999999</v>
      </c>
      <c r="D517">
        <v>0.26219999999999999</v>
      </c>
      <c r="E517">
        <v>0.27594999999999997</v>
      </c>
      <c r="F517">
        <v>367857288.89999998</v>
      </c>
      <c r="G517">
        <v>0</v>
      </c>
      <c r="L517" t="s">
        <v>7</v>
      </c>
      <c r="M517" t="s">
        <v>8</v>
      </c>
      <c r="N517" t="s">
        <v>8</v>
      </c>
      <c r="P517">
        <f t="shared" si="979"/>
        <v>-0.34210526315789552</v>
      </c>
      <c r="Q517">
        <f t="shared" si="980"/>
        <v>-125845914.6236845</v>
      </c>
      <c r="R517">
        <f t="shared" si="981"/>
        <v>7129918930.5193462</v>
      </c>
      <c r="S517">
        <f t="shared" si="982"/>
        <v>71299.18930519346</v>
      </c>
      <c r="T517">
        <f t="shared" si="983"/>
        <v>71.299189305193465</v>
      </c>
    </row>
    <row r="518" spans="1:20" x14ac:dyDescent="0.25">
      <c r="A518" s="5">
        <v>44075</v>
      </c>
      <c r="B518">
        <v>0.28115000000000001</v>
      </c>
      <c r="C518">
        <v>0.29883999999999999</v>
      </c>
      <c r="D518">
        <v>0.27573999999999999</v>
      </c>
      <c r="E518">
        <v>0.29520999999999997</v>
      </c>
      <c r="F518">
        <v>292160051.60000002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0.68571428571428394</v>
      </c>
      <c r="Q518">
        <f t="shared" ref="Q518:Q581" si="985">F518*P518</f>
        <v>200338321.09714237</v>
      </c>
      <c r="R518">
        <f t="shared" ref="R518:R581" si="986">R519+Q518</f>
        <v>7255764845.1430311</v>
      </c>
      <c r="S518">
        <f t="shared" ref="S518:S581" si="987">R518/100000</f>
        <v>72557.648451430316</v>
      </c>
      <c r="T518">
        <f t="shared" ref="T518:T581" si="988">S518/1000</f>
        <v>72.55764845143031</v>
      </c>
    </row>
    <row r="519" spans="1:20" x14ac:dyDescent="0.25">
      <c r="A519" s="5">
        <v>44074</v>
      </c>
      <c r="B519">
        <v>0.28301999999999999</v>
      </c>
      <c r="C519">
        <v>0.28449999999999998</v>
      </c>
      <c r="D519">
        <v>0.27804000000000001</v>
      </c>
      <c r="E519">
        <v>0.28115000000000001</v>
      </c>
      <c r="F519">
        <v>164541572.90000001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-3.7151702786372094E-2</v>
      </c>
      <c r="Q519">
        <f t="shared" si="985"/>
        <v>-6112999.6123829773</v>
      </c>
      <c r="R519">
        <f t="shared" si="986"/>
        <v>7055426524.0458889</v>
      </c>
      <c r="S519">
        <f t="shared" si="987"/>
        <v>70554.265240458888</v>
      </c>
      <c r="T519">
        <f t="shared" si="988"/>
        <v>70.554265240458889</v>
      </c>
    </row>
    <row r="520" spans="1:20" x14ac:dyDescent="0.25">
      <c r="A520" s="5">
        <v>44073</v>
      </c>
      <c r="B520">
        <v>0.27374999999999999</v>
      </c>
      <c r="C520">
        <v>0.28388999999999998</v>
      </c>
      <c r="D520">
        <v>0.27374999999999999</v>
      </c>
      <c r="E520">
        <v>0.28301999999999999</v>
      </c>
      <c r="F520">
        <v>157541548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0.82840236686390856</v>
      </c>
      <c r="Q520">
        <f t="shared" si="985"/>
        <v>130507791.24260406</v>
      </c>
      <c r="R520">
        <f t="shared" si="986"/>
        <v>7061539523.6582718</v>
      </c>
      <c r="S520">
        <f t="shared" si="987"/>
        <v>70615.395236582714</v>
      </c>
      <c r="T520">
        <f t="shared" si="988"/>
        <v>70.615395236582714</v>
      </c>
    </row>
    <row r="521" spans="1:20" x14ac:dyDescent="0.25">
      <c r="A521" s="5">
        <v>44072</v>
      </c>
      <c r="B521">
        <v>0.27166000000000001</v>
      </c>
      <c r="C521">
        <v>0.27684999999999998</v>
      </c>
      <c r="D521">
        <v>0.26865</v>
      </c>
      <c r="E521">
        <v>0.27379999999999999</v>
      </c>
      <c r="F521">
        <v>120917456.40000001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0.2560975609756091</v>
      </c>
      <c r="Q521">
        <f t="shared" si="985"/>
        <v>30966665.663414557</v>
      </c>
      <c r="R521">
        <f t="shared" si="986"/>
        <v>6931031732.4156675</v>
      </c>
      <c r="S521">
        <f t="shared" si="987"/>
        <v>69310.317324156669</v>
      </c>
      <c r="T521">
        <f t="shared" si="988"/>
        <v>69.310317324156671</v>
      </c>
    </row>
    <row r="522" spans="1:20" x14ac:dyDescent="0.25">
      <c r="A522" s="5">
        <v>44071</v>
      </c>
      <c r="B522">
        <v>0.26478000000000002</v>
      </c>
      <c r="C522">
        <v>0.2732</v>
      </c>
      <c r="D522">
        <v>0.26</v>
      </c>
      <c r="E522">
        <v>0.27173999999999998</v>
      </c>
      <c r="F522">
        <v>161315866.69999999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0.77878787878787603</v>
      </c>
      <c r="Q522">
        <f t="shared" si="985"/>
        <v>125630841.64212076</v>
      </c>
      <c r="R522">
        <f t="shared" si="986"/>
        <v>6900065066.7522526</v>
      </c>
      <c r="S522">
        <f t="shared" si="987"/>
        <v>69000.650667522525</v>
      </c>
      <c r="T522">
        <f t="shared" si="988"/>
        <v>69.000650667522521</v>
      </c>
    </row>
    <row r="523" spans="1:20" x14ac:dyDescent="0.25">
      <c r="A523" s="5">
        <v>44070</v>
      </c>
      <c r="B523">
        <v>0.27644999999999997</v>
      </c>
      <c r="C523">
        <v>0.27833000000000002</v>
      </c>
      <c r="D523">
        <v>0.25452999999999998</v>
      </c>
      <c r="E523">
        <v>0.26468999999999998</v>
      </c>
      <c r="F523">
        <v>271350415.89999998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-0.14621848739495935</v>
      </c>
      <c r="Q523">
        <f t="shared" si="985"/>
        <v>-39676447.366891123</v>
      </c>
      <c r="R523">
        <f t="shared" si="986"/>
        <v>6774434225.1101322</v>
      </c>
      <c r="S523">
        <f t="shared" si="987"/>
        <v>67744.34225110132</v>
      </c>
      <c r="T523">
        <f t="shared" si="988"/>
        <v>67.744342251101315</v>
      </c>
    </row>
    <row r="524" spans="1:20" x14ac:dyDescent="0.25">
      <c r="A524" s="5">
        <v>44069</v>
      </c>
      <c r="B524">
        <v>0.27628000000000003</v>
      </c>
      <c r="C524">
        <v>0.28077999999999997</v>
      </c>
      <c r="D524">
        <v>0.27389999999999998</v>
      </c>
      <c r="E524">
        <v>0.27653</v>
      </c>
      <c r="F524">
        <v>153029000.5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-0.2354651162790633</v>
      </c>
      <c r="Q524">
        <f t="shared" si="985"/>
        <v>-36032991.396801338</v>
      </c>
      <c r="R524">
        <f t="shared" si="986"/>
        <v>6814110672.4770231</v>
      </c>
      <c r="S524">
        <f t="shared" si="987"/>
        <v>68141.10672477023</v>
      </c>
      <c r="T524">
        <f t="shared" si="988"/>
        <v>68.141106724770225</v>
      </c>
    </row>
    <row r="525" spans="1:20" x14ac:dyDescent="0.25">
      <c r="A525" s="5">
        <v>44068</v>
      </c>
      <c r="B525">
        <v>0.28839999999999999</v>
      </c>
      <c r="C525">
        <v>0.28959000000000001</v>
      </c>
      <c r="D525">
        <v>0.27</v>
      </c>
      <c r="E525">
        <v>0.27625</v>
      </c>
      <c r="F525">
        <v>234190707.5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-0.36191934660541308</v>
      </c>
      <c r="Q525">
        <f t="shared" si="985"/>
        <v>-84758147.839459419</v>
      </c>
      <c r="R525">
        <f t="shared" si="986"/>
        <v>6850143663.8738241</v>
      </c>
      <c r="S525">
        <f t="shared" si="987"/>
        <v>68501.436638738247</v>
      </c>
      <c r="T525">
        <f t="shared" si="988"/>
        <v>68.501436638738241</v>
      </c>
    </row>
    <row r="526" spans="1:20" x14ac:dyDescent="0.25">
      <c r="A526" s="5">
        <v>44067</v>
      </c>
      <c r="B526">
        <v>0.2848</v>
      </c>
      <c r="C526">
        <v>0.29199999999999998</v>
      </c>
      <c r="D526">
        <v>0.28223999999999999</v>
      </c>
      <c r="E526">
        <v>0.28839999999999999</v>
      </c>
      <c r="F526">
        <v>163849857.19999999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0.26229508196721407</v>
      </c>
      <c r="Q526">
        <f t="shared" si="985"/>
        <v>42977011.724590316</v>
      </c>
      <c r="R526">
        <f t="shared" si="986"/>
        <v>6934901811.7132835</v>
      </c>
      <c r="S526">
        <f t="shared" si="987"/>
        <v>69349.01811713283</v>
      </c>
      <c r="T526">
        <f t="shared" si="988"/>
        <v>69.349018117132829</v>
      </c>
    </row>
    <row r="527" spans="1:20" x14ac:dyDescent="0.25">
      <c r="A527" s="5">
        <v>44066</v>
      </c>
      <c r="B527">
        <v>0.28588999999999998</v>
      </c>
      <c r="C527">
        <v>0.28808</v>
      </c>
      <c r="D527">
        <v>0.27698</v>
      </c>
      <c r="E527">
        <v>0.2848</v>
      </c>
      <c r="F527">
        <v>147758018.40000001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0.409009009009008</v>
      </c>
      <c r="Q527">
        <f t="shared" si="985"/>
        <v>60434360.678918771</v>
      </c>
      <c r="R527">
        <f t="shared" si="986"/>
        <v>6891924799.9886932</v>
      </c>
      <c r="S527">
        <f t="shared" si="987"/>
        <v>68919.247999886938</v>
      </c>
      <c r="T527">
        <f t="shared" si="988"/>
        <v>68.919247999886935</v>
      </c>
    </row>
    <row r="528" spans="1:20" x14ac:dyDescent="0.25">
      <c r="A528" s="5">
        <v>44065</v>
      </c>
      <c r="B528">
        <v>0.27934999999999999</v>
      </c>
      <c r="C528">
        <v>0.28663</v>
      </c>
      <c r="D528">
        <v>0.27329999999999999</v>
      </c>
      <c r="E528">
        <v>0.28592000000000001</v>
      </c>
      <c r="F528">
        <v>200686126.80000001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0.89347336834208735</v>
      </c>
      <c r="Q528">
        <f t="shared" si="985"/>
        <v>179307709.69152325</v>
      </c>
      <c r="R528">
        <f t="shared" si="986"/>
        <v>6831490439.3097744</v>
      </c>
      <c r="S528">
        <f t="shared" si="987"/>
        <v>68314.90439309775</v>
      </c>
      <c r="T528">
        <f t="shared" si="988"/>
        <v>68.314904393097748</v>
      </c>
    </row>
    <row r="529" spans="1:20" x14ac:dyDescent="0.25">
      <c r="A529" s="5">
        <v>44064</v>
      </c>
      <c r="B529">
        <v>0.29216999999999999</v>
      </c>
      <c r="C529">
        <v>0.29585</v>
      </c>
      <c r="D529">
        <v>0.27671000000000001</v>
      </c>
      <c r="E529">
        <v>0.27933000000000002</v>
      </c>
      <c r="F529">
        <v>295142831.10000002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-0.72622779519331115</v>
      </c>
      <c r="Q529">
        <f t="shared" si="985"/>
        <v>-214340927.49686486</v>
      </c>
      <c r="R529">
        <f t="shared" si="986"/>
        <v>6652182729.6182508</v>
      </c>
      <c r="S529">
        <f t="shared" si="987"/>
        <v>66521.827296182513</v>
      </c>
      <c r="T529">
        <f t="shared" si="988"/>
        <v>66.521827296182508</v>
      </c>
    </row>
    <row r="530" spans="1:20" x14ac:dyDescent="0.25">
      <c r="A530" s="5">
        <v>44063</v>
      </c>
      <c r="B530">
        <v>0.28969</v>
      </c>
      <c r="C530">
        <v>0.29465000000000002</v>
      </c>
      <c r="D530">
        <v>0.28431000000000001</v>
      </c>
      <c r="E530">
        <v>0.29218</v>
      </c>
      <c r="F530">
        <v>217335773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0.52224371373307077</v>
      </c>
      <c r="Q530">
        <f t="shared" si="985"/>
        <v>113502241.21856765</v>
      </c>
      <c r="R530">
        <f t="shared" si="986"/>
        <v>6866523657.1151161</v>
      </c>
      <c r="S530">
        <f t="shared" si="987"/>
        <v>68665.236571151167</v>
      </c>
      <c r="T530">
        <f t="shared" si="988"/>
        <v>68.665236571151169</v>
      </c>
    </row>
    <row r="531" spans="1:20" x14ac:dyDescent="0.25">
      <c r="A531" s="5">
        <v>44062</v>
      </c>
      <c r="B531">
        <v>0.30249999999999999</v>
      </c>
      <c r="C531">
        <v>0.30615999999999999</v>
      </c>
      <c r="D531">
        <v>0.27809</v>
      </c>
      <c r="E531">
        <v>0.28975000000000001</v>
      </c>
      <c r="F531">
        <v>390658603.19999999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-0.1692198076237969</v>
      </c>
      <c r="Q531">
        <f t="shared" si="985"/>
        <v>-66107173.680085205</v>
      </c>
      <c r="R531">
        <f t="shared" si="986"/>
        <v>6753021415.8965483</v>
      </c>
      <c r="S531">
        <f t="shared" si="987"/>
        <v>67530.214158965478</v>
      </c>
      <c r="T531">
        <f t="shared" si="988"/>
        <v>67.530214158965478</v>
      </c>
    </row>
    <row r="532" spans="1:20" x14ac:dyDescent="0.25">
      <c r="A532" s="5">
        <v>44061</v>
      </c>
      <c r="B532">
        <v>0.31535000000000002</v>
      </c>
      <c r="C532">
        <v>0.32156000000000001</v>
      </c>
      <c r="D532">
        <v>0.29614000000000001</v>
      </c>
      <c r="E532">
        <v>0.30251</v>
      </c>
      <c r="F532">
        <v>406775389.69999999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-0.49881982690794752</v>
      </c>
      <c r="Q532">
        <f t="shared" si="985"/>
        <v>-202907629.48056689</v>
      </c>
      <c r="R532">
        <f t="shared" si="986"/>
        <v>6819128589.5766335</v>
      </c>
      <c r="S532">
        <f t="shared" si="987"/>
        <v>68191.285895766341</v>
      </c>
      <c r="T532">
        <f t="shared" si="988"/>
        <v>68.191285895766342</v>
      </c>
    </row>
    <row r="533" spans="1:20" x14ac:dyDescent="0.25">
      <c r="A533" s="5">
        <v>44060</v>
      </c>
      <c r="B533">
        <v>0.30459999999999998</v>
      </c>
      <c r="C533">
        <v>0.32689000000000001</v>
      </c>
      <c r="D533">
        <v>0.29702000000000001</v>
      </c>
      <c r="E533">
        <v>0.31539</v>
      </c>
      <c r="F533">
        <v>598471473.5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0.22999665215935672</v>
      </c>
      <c r="Q533">
        <f t="shared" si="985"/>
        <v>137646435.31787717</v>
      </c>
      <c r="R533">
        <f t="shared" si="986"/>
        <v>7022036219.0572004</v>
      </c>
      <c r="S533">
        <f t="shared" si="987"/>
        <v>70220.362190572007</v>
      </c>
      <c r="T533">
        <f t="shared" si="988"/>
        <v>70.220362190572004</v>
      </c>
    </row>
    <row r="534" spans="1:20" x14ac:dyDescent="0.25">
      <c r="A534" s="5">
        <v>44059</v>
      </c>
      <c r="B534">
        <v>0.2989</v>
      </c>
      <c r="C534">
        <v>0.30480000000000002</v>
      </c>
      <c r="D534">
        <v>0.29186000000000001</v>
      </c>
      <c r="E534">
        <v>0.30454999999999999</v>
      </c>
      <c r="F534">
        <v>272817352.5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0.96136012364760004</v>
      </c>
      <c r="Q534">
        <f t="shared" si="985"/>
        <v>262275723.73261088</v>
      </c>
      <c r="R534">
        <f t="shared" si="986"/>
        <v>6884389783.7393236</v>
      </c>
      <c r="S534">
        <f t="shared" si="987"/>
        <v>68843.897837393233</v>
      </c>
      <c r="T534">
        <f t="shared" si="988"/>
        <v>68.843897837393229</v>
      </c>
    </row>
    <row r="535" spans="1:20" x14ac:dyDescent="0.25">
      <c r="A535" s="5">
        <v>44058</v>
      </c>
      <c r="B535">
        <v>0.29994999999999999</v>
      </c>
      <c r="C535">
        <v>0.30536999999999997</v>
      </c>
      <c r="D535">
        <v>0.29070000000000001</v>
      </c>
      <c r="E535">
        <v>0.29883999999999999</v>
      </c>
      <c r="F535">
        <v>323612283.19999999</v>
      </c>
      <c r="G535">
        <v>0</v>
      </c>
      <c r="L535" t="s">
        <v>8</v>
      </c>
      <c r="M535" t="s">
        <v>7</v>
      </c>
      <c r="N535" t="s">
        <v>8</v>
      </c>
      <c r="P535">
        <f t="shared" si="984"/>
        <v>0.10974778459441067</v>
      </c>
      <c r="Q535">
        <f t="shared" si="985"/>
        <v>35515731.148739025</v>
      </c>
      <c r="R535">
        <f t="shared" si="986"/>
        <v>6622114060.0067129</v>
      </c>
      <c r="S535">
        <f t="shared" si="987"/>
        <v>66221.140600067127</v>
      </c>
      <c r="T535">
        <f t="shared" si="988"/>
        <v>66.22114060006713</v>
      </c>
    </row>
    <row r="536" spans="1:20" x14ac:dyDescent="0.25">
      <c r="A536" s="5">
        <v>44057</v>
      </c>
      <c r="B536">
        <v>0.29420000000000002</v>
      </c>
      <c r="C536">
        <v>0.30730000000000002</v>
      </c>
      <c r="D536">
        <v>0.28917999999999999</v>
      </c>
      <c r="E536">
        <v>0.29994999999999999</v>
      </c>
      <c r="F536">
        <v>419013955.80000001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0.18874172185430318</v>
      </c>
      <c r="Q536">
        <f t="shared" si="985"/>
        <v>79085415.498674884</v>
      </c>
      <c r="R536">
        <f t="shared" si="986"/>
        <v>6586598328.8579741</v>
      </c>
      <c r="S536">
        <f t="shared" si="987"/>
        <v>65865.983288579737</v>
      </c>
      <c r="T536">
        <f t="shared" si="988"/>
        <v>65.865983288579741</v>
      </c>
    </row>
    <row r="537" spans="1:20" x14ac:dyDescent="0.25">
      <c r="A537" s="5">
        <v>44056</v>
      </c>
      <c r="B537">
        <v>0.28233000000000003</v>
      </c>
      <c r="C537">
        <v>0.29560999999999998</v>
      </c>
      <c r="D537">
        <v>0.27243000000000001</v>
      </c>
      <c r="E537">
        <v>0.29420000000000002</v>
      </c>
      <c r="F537">
        <v>343559052.19999999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0.8783433994823151</v>
      </c>
      <c r="Q537">
        <f t="shared" si="985"/>
        <v>301762825.83227015</v>
      </c>
      <c r="R537">
        <f t="shared" si="986"/>
        <v>6507512913.3592987</v>
      </c>
      <c r="S537">
        <f t="shared" si="987"/>
        <v>65075.129133592985</v>
      </c>
      <c r="T537">
        <f t="shared" si="988"/>
        <v>65.075129133592981</v>
      </c>
    </row>
    <row r="538" spans="1:20" x14ac:dyDescent="0.25">
      <c r="A538" s="5">
        <v>44055</v>
      </c>
      <c r="B538">
        <v>0.28308</v>
      </c>
      <c r="C538">
        <v>0.28737000000000001</v>
      </c>
      <c r="D538">
        <v>0.27139000000000002</v>
      </c>
      <c r="E538">
        <v>0.28233000000000003</v>
      </c>
      <c r="F538">
        <v>301659248.80000001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0.36921151439299238</v>
      </c>
      <c r="Q538">
        <f t="shared" si="985"/>
        <v>111376068.08010048</v>
      </c>
      <c r="R538">
        <f t="shared" si="986"/>
        <v>6205750087.527029</v>
      </c>
      <c r="S538">
        <f t="shared" si="987"/>
        <v>62057.500875270292</v>
      </c>
      <c r="T538">
        <f t="shared" si="988"/>
        <v>62.057500875270293</v>
      </c>
    </row>
    <row r="539" spans="1:20" x14ac:dyDescent="0.25">
      <c r="A539" s="5">
        <v>44054</v>
      </c>
      <c r="B539">
        <v>0.29468</v>
      </c>
      <c r="C539">
        <v>0.30736000000000002</v>
      </c>
      <c r="D539">
        <v>0.26727000000000001</v>
      </c>
      <c r="E539">
        <v>0.28310000000000002</v>
      </c>
      <c r="F539">
        <v>454328410</v>
      </c>
      <c r="G539">
        <v>0</v>
      </c>
      <c r="L539" t="s">
        <v>8</v>
      </c>
      <c r="M539" t="s">
        <v>7</v>
      </c>
      <c r="N539" t="s">
        <v>8</v>
      </c>
      <c r="P539">
        <f t="shared" si="984"/>
        <v>-0.21027687702668971</v>
      </c>
      <c r="Q539">
        <f t="shared" si="985"/>
        <v>-95534759.199301466</v>
      </c>
      <c r="R539">
        <f t="shared" si="986"/>
        <v>6094374019.446929</v>
      </c>
      <c r="S539">
        <f t="shared" si="987"/>
        <v>60943.74019446929</v>
      </c>
      <c r="T539">
        <f t="shared" si="988"/>
        <v>60.943740194469292</v>
      </c>
    </row>
    <row r="540" spans="1:20" x14ac:dyDescent="0.25">
      <c r="A540" s="5">
        <v>44053</v>
      </c>
      <c r="B540">
        <v>0.28792000000000001</v>
      </c>
      <c r="C540">
        <v>0.30008000000000001</v>
      </c>
      <c r="D540">
        <v>0.28300999999999998</v>
      </c>
      <c r="E540">
        <v>0.29469000000000001</v>
      </c>
      <c r="F540">
        <v>357730182</v>
      </c>
      <c r="G540">
        <v>0</v>
      </c>
      <c r="L540" t="s">
        <v>8</v>
      </c>
      <c r="M540" t="s">
        <v>7</v>
      </c>
      <c r="N540" t="s">
        <v>8</v>
      </c>
      <c r="P540">
        <f t="shared" si="984"/>
        <v>0.36848271821909823</v>
      </c>
      <c r="Q540">
        <f t="shared" si="985"/>
        <v>131817389.85237272</v>
      </c>
      <c r="R540">
        <f t="shared" si="986"/>
        <v>6189908778.6462307</v>
      </c>
      <c r="S540">
        <f t="shared" si="987"/>
        <v>61899.087786462303</v>
      </c>
      <c r="T540">
        <f t="shared" si="988"/>
        <v>61.899087786462303</v>
      </c>
    </row>
    <row r="541" spans="1:20" x14ac:dyDescent="0.25">
      <c r="A541" s="5">
        <v>44052</v>
      </c>
      <c r="B541">
        <v>0.29532000000000003</v>
      </c>
      <c r="C541">
        <v>0.29838999999999999</v>
      </c>
      <c r="D541">
        <v>0.28215000000000001</v>
      </c>
      <c r="E541">
        <v>0.28789999999999999</v>
      </c>
      <c r="F541">
        <v>194741043.19999999</v>
      </c>
      <c r="G541">
        <v>0</v>
      </c>
      <c r="L541" t="s">
        <v>7</v>
      </c>
      <c r="M541" t="s">
        <v>7</v>
      </c>
      <c r="N541" t="s">
        <v>8</v>
      </c>
      <c r="P541">
        <f t="shared" si="984"/>
        <v>-0.29187192118226779</v>
      </c>
      <c r="Q541">
        <f t="shared" si="985"/>
        <v>-56839442.411823004</v>
      </c>
      <c r="R541">
        <f t="shared" si="986"/>
        <v>6058091388.7938576</v>
      </c>
      <c r="S541">
        <f t="shared" si="987"/>
        <v>60580.913887938579</v>
      </c>
      <c r="T541">
        <f t="shared" si="988"/>
        <v>60.580913887938578</v>
      </c>
    </row>
    <row r="542" spans="1:20" x14ac:dyDescent="0.25">
      <c r="A542" s="5">
        <v>44051</v>
      </c>
      <c r="B542">
        <v>0.29443999999999998</v>
      </c>
      <c r="C542">
        <v>0.29870000000000002</v>
      </c>
      <c r="D542">
        <v>0.2898</v>
      </c>
      <c r="E542">
        <v>0.29526999999999998</v>
      </c>
      <c r="F542">
        <v>180632239.19999999</v>
      </c>
      <c r="G542">
        <v>0</v>
      </c>
      <c r="L542" t="s">
        <v>7</v>
      </c>
      <c r="M542" t="s">
        <v>7</v>
      </c>
      <c r="N542" t="s">
        <v>8</v>
      </c>
      <c r="P542">
        <f t="shared" si="984"/>
        <v>0.22921348314605913</v>
      </c>
      <c r="Q542">
        <f t="shared" si="985"/>
        <v>41403344.715504117</v>
      </c>
      <c r="R542">
        <f t="shared" si="986"/>
        <v>6114930831.2056808</v>
      </c>
      <c r="S542">
        <f t="shared" si="987"/>
        <v>61149.308312056812</v>
      </c>
      <c r="T542">
        <f t="shared" si="988"/>
        <v>61.14930831205681</v>
      </c>
    </row>
    <row r="543" spans="1:20" x14ac:dyDescent="0.25">
      <c r="A543" s="5">
        <v>44050</v>
      </c>
      <c r="B543">
        <v>0.30309000000000003</v>
      </c>
      <c r="C543">
        <v>0.31036999999999998</v>
      </c>
      <c r="D543">
        <v>0.27936</v>
      </c>
      <c r="E543">
        <v>0.29437000000000002</v>
      </c>
      <c r="F543">
        <v>350058017.30000001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-3.1925185424054689E-2</v>
      </c>
      <c r="Q543">
        <f t="shared" si="985"/>
        <v>-11175667.111479444</v>
      </c>
      <c r="R543">
        <f t="shared" si="986"/>
        <v>6073527486.4901772</v>
      </c>
      <c r="S543">
        <f t="shared" si="987"/>
        <v>60735.274864901774</v>
      </c>
      <c r="T543">
        <f t="shared" si="988"/>
        <v>60.735274864901776</v>
      </c>
    </row>
    <row r="544" spans="1:20" x14ac:dyDescent="0.25">
      <c r="A544" s="5">
        <v>44049</v>
      </c>
      <c r="B544">
        <v>0.30232999999999999</v>
      </c>
      <c r="C544">
        <v>0.31125999999999998</v>
      </c>
      <c r="D544">
        <v>0.29721999999999998</v>
      </c>
      <c r="E544">
        <v>0.30310999999999999</v>
      </c>
      <c r="F544">
        <v>315511639.89999998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-0.16096866096865989</v>
      </c>
      <c r="Q544">
        <f t="shared" si="985"/>
        <v>-50787486.194729</v>
      </c>
      <c r="R544">
        <f t="shared" si="986"/>
        <v>6084703153.6016569</v>
      </c>
      <c r="S544">
        <f t="shared" si="987"/>
        <v>60847.03153601657</v>
      </c>
      <c r="T544">
        <f t="shared" si="988"/>
        <v>60.847031536016573</v>
      </c>
    </row>
    <row r="545" spans="1:20" x14ac:dyDescent="0.25">
      <c r="A545" s="5">
        <v>44048</v>
      </c>
      <c r="B545">
        <v>0.30137000000000003</v>
      </c>
      <c r="C545">
        <v>0.30813000000000001</v>
      </c>
      <c r="D545">
        <v>0.2908</v>
      </c>
      <c r="E545">
        <v>0.30227999999999999</v>
      </c>
      <c r="F545">
        <v>377922454.80000001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0.32487016733987101</v>
      </c>
      <c r="Q545">
        <f t="shared" si="985"/>
        <v>122775731.13237084</v>
      </c>
      <c r="R545">
        <f t="shared" si="986"/>
        <v>6135490639.7963858</v>
      </c>
      <c r="S545">
        <f t="shared" si="987"/>
        <v>61354.906397963859</v>
      </c>
      <c r="T545">
        <f t="shared" si="988"/>
        <v>61.354906397963859</v>
      </c>
    </row>
    <row r="546" spans="1:20" x14ac:dyDescent="0.25">
      <c r="A546" s="5">
        <v>44047</v>
      </c>
      <c r="B546">
        <v>0.31008000000000002</v>
      </c>
      <c r="C546">
        <v>0.31925999999999999</v>
      </c>
      <c r="D546">
        <v>0.29038000000000003</v>
      </c>
      <c r="E546">
        <v>0.30137999999999998</v>
      </c>
      <c r="F546">
        <v>523509311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-0.23822714681440657</v>
      </c>
      <c r="Q546">
        <f t="shared" si="985"/>
        <v>-124714129.49030583</v>
      </c>
      <c r="R546">
        <f t="shared" si="986"/>
        <v>6012714908.6640148</v>
      </c>
      <c r="S546">
        <f t="shared" si="987"/>
        <v>60127.149086640151</v>
      </c>
      <c r="T546">
        <f t="shared" si="988"/>
        <v>60.127149086640152</v>
      </c>
    </row>
    <row r="547" spans="1:20" x14ac:dyDescent="0.25">
      <c r="A547" s="5">
        <v>44046</v>
      </c>
      <c r="B547">
        <v>0.28809000000000001</v>
      </c>
      <c r="C547">
        <v>0.31999</v>
      </c>
      <c r="D547">
        <v>0.28356999999999999</v>
      </c>
      <c r="E547">
        <v>0.31015999999999999</v>
      </c>
      <c r="F547">
        <v>661998402.39999998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0.46018671059857202</v>
      </c>
      <c r="Q547">
        <f t="shared" si="985"/>
        <v>304642867.22196579</v>
      </c>
      <c r="R547">
        <f t="shared" si="986"/>
        <v>6137429038.1543207</v>
      </c>
      <c r="S547">
        <f t="shared" si="987"/>
        <v>61374.290381543207</v>
      </c>
      <c r="T547">
        <f t="shared" si="988"/>
        <v>61.374290381543204</v>
      </c>
    </row>
    <row r="548" spans="1:20" x14ac:dyDescent="0.25">
      <c r="A548" s="5">
        <v>44045</v>
      </c>
      <c r="B548">
        <v>0.29088999999999998</v>
      </c>
      <c r="C548">
        <v>0.32628000000000001</v>
      </c>
      <c r="D548">
        <v>0.24759999999999999</v>
      </c>
      <c r="E548">
        <v>0.28803000000000001</v>
      </c>
      <c r="F548">
        <v>1089709098.7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2.7707168276563478E-2</v>
      </c>
      <c r="Q548">
        <f t="shared" si="985"/>
        <v>30192753.370183222</v>
      </c>
      <c r="R548">
        <f t="shared" si="986"/>
        <v>5832786170.9323549</v>
      </c>
      <c r="S548">
        <f t="shared" si="987"/>
        <v>58327.861709323552</v>
      </c>
      <c r="T548">
        <f t="shared" si="988"/>
        <v>58.32786170932355</v>
      </c>
    </row>
    <row r="549" spans="1:20" x14ac:dyDescent="0.25">
      <c r="A549" s="5">
        <v>44044</v>
      </c>
      <c r="B549">
        <v>0.25938</v>
      </c>
      <c r="C549">
        <v>0.29738999999999999</v>
      </c>
      <c r="D549">
        <v>0.25557000000000002</v>
      </c>
      <c r="E549">
        <v>0.29088999999999998</v>
      </c>
      <c r="F549">
        <v>698526256.70000005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0.68914395026303155</v>
      </c>
      <c r="Q549">
        <f t="shared" si="985"/>
        <v>481385143.90468645</v>
      </c>
      <c r="R549">
        <f t="shared" si="986"/>
        <v>5802593417.5621719</v>
      </c>
      <c r="S549">
        <f t="shared" si="987"/>
        <v>58025.934175621718</v>
      </c>
      <c r="T549">
        <f t="shared" si="988"/>
        <v>58.025934175621721</v>
      </c>
    </row>
    <row r="550" spans="1:20" x14ac:dyDescent="0.25">
      <c r="A550" s="5">
        <v>44043</v>
      </c>
      <c r="B550">
        <v>0.24407000000000001</v>
      </c>
      <c r="C550">
        <v>0.26041999999999998</v>
      </c>
      <c r="D550">
        <v>0.24157999999999999</v>
      </c>
      <c r="E550">
        <v>0.25939000000000001</v>
      </c>
      <c r="F550">
        <v>295712939.10000002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0.89065817409766712</v>
      </c>
      <c r="Q550">
        <f t="shared" si="985"/>
        <v>263379146.39586064</v>
      </c>
      <c r="R550">
        <f t="shared" si="986"/>
        <v>5321208273.657486</v>
      </c>
      <c r="S550">
        <f t="shared" si="987"/>
        <v>53212.082736574863</v>
      </c>
      <c r="T550">
        <f t="shared" si="988"/>
        <v>53.212082736574864</v>
      </c>
    </row>
    <row r="551" spans="1:20" x14ac:dyDescent="0.25">
      <c r="A551" s="5">
        <v>44042</v>
      </c>
      <c r="B551">
        <v>0.24323</v>
      </c>
      <c r="C551">
        <v>0.24954000000000001</v>
      </c>
      <c r="D551">
        <v>0.23300000000000001</v>
      </c>
      <c r="E551">
        <v>0.24407999999999999</v>
      </c>
      <c r="F551">
        <v>339560922.19999999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0.33978234582829253</v>
      </c>
      <c r="Q551">
        <f t="shared" si="985"/>
        <v>115376806.69673432</v>
      </c>
      <c r="R551">
        <f t="shared" si="986"/>
        <v>5057829127.2616253</v>
      </c>
      <c r="S551">
        <f t="shared" si="987"/>
        <v>50578.291272616254</v>
      </c>
      <c r="T551">
        <f t="shared" si="988"/>
        <v>50.578291272616255</v>
      </c>
    </row>
    <row r="552" spans="1:20" x14ac:dyDescent="0.25">
      <c r="A552" s="5">
        <v>44041</v>
      </c>
      <c r="B552">
        <v>0.23030999999999999</v>
      </c>
      <c r="C552">
        <v>0.25</v>
      </c>
      <c r="D552">
        <v>0.22919</v>
      </c>
      <c r="E552">
        <v>0.24326999999999999</v>
      </c>
      <c r="F552">
        <v>423604274.80000001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0.35319557904853288</v>
      </c>
      <c r="Q552">
        <f t="shared" si="985"/>
        <v>149615157.12541986</v>
      </c>
      <c r="R552">
        <f t="shared" si="986"/>
        <v>4942452320.5648909</v>
      </c>
      <c r="S552">
        <f t="shared" si="987"/>
        <v>49424.523205648911</v>
      </c>
      <c r="T552">
        <f t="shared" si="988"/>
        <v>49.42452320564891</v>
      </c>
    </row>
    <row r="553" spans="1:20" x14ac:dyDescent="0.25">
      <c r="A553" s="5">
        <v>44040</v>
      </c>
      <c r="B553">
        <v>0.22445000000000001</v>
      </c>
      <c r="C553">
        <v>0.23476</v>
      </c>
      <c r="D553">
        <v>0.217</v>
      </c>
      <c r="E553">
        <v>0.23028999999999999</v>
      </c>
      <c r="F553">
        <v>348097855.60000002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0.49662162162162138</v>
      </c>
      <c r="Q553">
        <f t="shared" si="985"/>
        <v>172872921.53108102</v>
      </c>
      <c r="R553">
        <f t="shared" si="986"/>
        <v>4792837163.4394712</v>
      </c>
      <c r="S553">
        <f t="shared" si="987"/>
        <v>47928.371634394709</v>
      </c>
      <c r="T553">
        <f t="shared" si="988"/>
        <v>47.928371634394708</v>
      </c>
    </row>
    <row r="554" spans="1:20" x14ac:dyDescent="0.25">
      <c r="A554" s="5">
        <v>44039</v>
      </c>
      <c r="B554">
        <v>0.21528</v>
      </c>
      <c r="C554">
        <v>0.23</v>
      </c>
      <c r="D554">
        <v>0.20860999999999999</v>
      </c>
      <c r="E554">
        <v>0.22437000000000001</v>
      </c>
      <c r="F554">
        <v>358365289.19999999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0.47358578775128651</v>
      </c>
      <c r="Q554">
        <f t="shared" si="985"/>
        <v>169716707.78849959</v>
      </c>
      <c r="R554">
        <f t="shared" si="986"/>
        <v>4619964241.90839</v>
      </c>
      <c r="S554">
        <f t="shared" si="987"/>
        <v>46199.642419083902</v>
      </c>
      <c r="T554">
        <f t="shared" si="988"/>
        <v>46.199642419083901</v>
      </c>
    </row>
    <row r="555" spans="1:20" x14ac:dyDescent="0.25">
      <c r="A555" s="5">
        <v>44038</v>
      </c>
      <c r="B555">
        <v>0.21462000000000001</v>
      </c>
      <c r="C555">
        <v>0.22499</v>
      </c>
      <c r="D555">
        <v>0.21254999999999999</v>
      </c>
      <c r="E555">
        <v>0.21532000000000001</v>
      </c>
      <c r="F555">
        <v>277074358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-0.55466237942121854</v>
      </c>
      <c r="Q555">
        <f t="shared" si="985"/>
        <v>-153682722.68488654</v>
      </c>
      <c r="R555">
        <f t="shared" si="986"/>
        <v>4450247534.1198902</v>
      </c>
      <c r="S555">
        <f t="shared" si="987"/>
        <v>44502.4753411989</v>
      </c>
      <c r="T555">
        <f t="shared" si="988"/>
        <v>44.502475341198902</v>
      </c>
    </row>
    <row r="556" spans="1:20" x14ac:dyDescent="0.25">
      <c r="A556" s="5">
        <v>44037</v>
      </c>
      <c r="B556">
        <v>0.20393</v>
      </c>
      <c r="C556">
        <v>0.21756</v>
      </c>
      <c r="D556">
        <v>0.20349999999999999</v>
      </c>
      <c r="E556">
        <v>0.21462999999999999</v>
      </c>
      <c r="F556">
        <v>237958032.69999999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0.58321479374110774</v>
      </c>
      <c r="Q556">
        <f t="shared" si="985"/>
        <v>138780644.96017027</v>
      </c>
      <c r="R556">
        <f t="shared" si="986"/>
        <v>4603930256.8047771</v>
      </c>
      <c r="S556">
        <f t="shared" si="987"/>
        <v>46039.302568047773</v>
      </c>
      <c r="T556">
        <f t="shared" si="988"/>
        <v>46.039302568047773</v>
      </c>
    </row>
    <row r="557" spans="1:20" x14ac:dyDescent="0.25">
      <c r="A557" s="5">
        <v>44036</v>
      </c>
      <c r="B557">
        <v>0.20846999999999999</v>
      </c>
      <c r="C557">
        <v>0.20855000000000001</v>
      </c>
      <c r="D557">
        <v>0.20188999999999999</v>
      </c>
      <c r="E557">
        <v>0.20391999999999999</v>
      </c>
      <c r="F557">
        <v>162043579.90000001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-0.39039039039039164</v>
      </c>
      <c r="Q557">
        <f t="shared" si="985"/>
        <v>-63260256.417417623</v>
      </c>
      <c r="R557">
        <f t="shared" si="986"/>
        <v>4465149611.8446064</v>
      </c>
      <c r="S557">
        <f t="shared" si="987"/>
        <v>44651.496118446063</v>
      </c>
      <c r="T557">
        <f t="shared" si="988"/>
        <v>44.651496118446062</v>
      </c>
    </row>
    <row r="558" spans="1:20" x14ac:dyDescent="0.25">
      <c r="A558" s="5">
        <v>44035</v>
      </c>
      <c r="B558">
        <v>0.20351</v>
      </c>
      <c r="C558">
        <v>0.21584</v>
      </c>
      <c r="D558">
        <v>0.20141999999999999</v>
      </c>
      <c r="E558">
        <v>0.20851</v>
      </c>
      <c r="F558">
        <v>231892970.40000001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-1.6643550624132451E-2</v>
      </c>
      <c r="Q558">
        <f t="shared" si="985"/>
        <v>-3859522.3922328479</v>
      </c>
      <c r="R558">
        <f t="shared" si="986"/>
        <v>4528409868.2620239</v>
      </c>
      <c r="S558">
        <f t="shared" si="987"/>
        <v>45284.098682620242</v>
      </c>
      <c r="T558">
        <f t="shared" si="988"/>
        <v>45.28409868262024</v>
      </c>
    </row>
    <row r="559" spans="1:20" x14ac:dyDescent="0.25">
      <c r="A559" s="5">
        <v>44034</v>
      </c>
      <c r="B559">
        <v>0.19946</v>
      </c>
      <c r="C559">
        <v>0.20441000000000001</v>
      </c>
      <c r="D559">
        <v>0.19600000000000001</v>
      </c>
      <c r="E559">
        <v>0.20347999999999999</v>
      </c>
      <c r="F559">
        <v>127274412.3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0.77883472057074576</v>
      </c>
      <c r="Q559">
        <f t="shared" si="985"/>
        <v>99125731.339476392</v>
      </c>
      <c r="R559">
        <f t="shared" si="986"/>
        <v>4532269390.6542568</v>
      </c>
      <c r="S559">
        <f t="shared" si="987"/>
        <v>45322.693906542569</v>
      </c>
      <c r="T559">
        <f t="shared" si="988"/>
        <v>45.322693906542568</v>
      </c>
    </row>
    <row r="560" spans="1:20" x14ac:dyDescent="0.25">
      <c r="A560" s="5">
        <v>44033</v>
      </c>
      <c r="B560">
        <v>0.19464999999999999</v>
      </c>
      <c r="C560">
        <v>0.20100000000000001</v>
      </c>
      <c r="D560">
        <v>0.19386</v>
      </c>
      <c r="E560">
        <v>0.19949</v>
      </c>
      <c r="F560">
        <v>116436628.09999999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0.57703081232492726</v>
      </c>
      <c r="Q560">
        <f t="shared" si="985"/>
        <v>67187522.096918449</v>
      </c>
      <c r="R560">
        <f t="shared" si="986"/>
        <v>4433143659.3147802</v>
      </c>
      <c r="S560">
        <f t="shared" si="987"/>
        <v>44331.436593147802</v>
      </c>
      <c r="T560">
        <f t="shared" si="988"/>
        <v>44.331436593147799</v>
      </c>
    </row>
    <row r="561" spans="1:104" x14ac:dyDescent="0.25">
      <c r="A561" s="5">
        <v>44032</v>
      </c>
      <c r="B561">
        <v>0.19961000000000001</v>
      </c>
      <c r="C561">
        <v>0.20019000000000001</v>
      </c>
      <c r="D561">
        <v>0.19194</v>
      </c>
      <c r="E561">
        <v>0.19464999999999999</v>
      </c>
      <c r="F561">
        <v>114187102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-0.34303030303030602</v>
      </c>
      <c r="Q561">
        <f t="shared" si="985"/>
        <v>-39169636.201212466</v>
      </c>
      <c r="R561">
        <f t="shared" si="986"/>
        <v>4365956137.2178621</v>
      </c>
      <c r="S561">
        <f t="shared" si="987"/>
        <v>43659.561372178621</v>
      </c>
      <c r="T561">
        <f t="shared" si="988"/>
        <v>43.659561372178622</v>
      </c>
      <c r="CZ561" t="s">
        <v>7</v>
      </c>
    </row>
    <row r="562" spans="1:104" x14ac:dyDescent="0.25">
      <c r="A562" s="5">
        <v>44031</v>
      </c>
      <c r="B562">
        <v>0.19989000000000001</v>
      </c>
      <c r="C562">
        <v>0.20205000000000001</v>
      </c>
      <c r="D562">
        <v>0.19574</v>
      </c>
      <c r="E562">
        <v>0.19955999999999999</v>
      </c>
      <c r="F562">
        <v>117946275.3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0.21077654516639746</v>
      </c>
      <c r="Q562">
        <f t="shared" si="985"/>
        <v>24860308.4229788</v>
      </c>
      <c r="R562">
        <f t="shared" si="986"/>
        <v>4405125773.419075</v>
      </c>
      <c r="S562">
        <f t="shared" si="987"/>
        <v>44051.257734190753</v>
      </c>
      <c r="T562">
        <f t="shared" si="988"/>
        <v>44.051257734190756</v>
      </c>
      <c r="CZ562" t="s">
        <v>7</v>
      </c>
    </row>
    <row r="563" spans="1:104" x14ac:dyDescent="0.25">
      <c r="A563" s="5">
        <v>44030</v>
      </c>
      <c r="B563">
        <v>0.19441</v>
      </c>
      <c r="C563">
        <v>0.20202999999999999</v>
      </c>
      <c r="D563">
        <v>0.19392000000000001</v>
      </c>
      <c r="E563">
        <v>0.19989999999999999</v>
      </c>
      <c r="F563">
        <v>125668578.90000001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0.47472256473489549</v>
      </c>
      <c r="Q563">
        <f t="shared" si="985"/>
        <v>59657710.081997573</v>
      </c>
      <c r="R563">
        <f t="shared" si="986"/>
        <v>4380265464.9960966</v>
      </c>
      <c r="S563">
        <f t="shared" si="987"/>
        <v>43802.654649960969</v>
      </c>
      <c r="T563">
        <f t="shared" si="988"/>
        <v>43.802654649960971</v>
      </c>
      <c r="CZ563" t="s">
        <v>7</v>
      </c>
    </row>
    <row r="564" spans="1:104" x14ac:dyDescent="0.25">
      <c r="A564" s="5">
        <v>44029</v>
      </c>
      <c r="B564">
        <v>0.19447</v>
      </c>
      <c r="C564">
        <v>0.19824</v>
      </c>
      <c r="D564">
        <v>0.19125</v>
      </c>
      <c r="E564">
        <v>0.19439999999999999</v>
      </c>
      <c r="F564">
        <v>119390267.7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-9.871244635193481E-2</v>
      </c>
      <c r="Q564">
        <f t="shared" si="985"/>
        <v>-11785305.395279385</v>
      </c>
      <c r="R564">
        <f t="shared" si="986"/>
        <v>4320607754.9140987</v>
      </c>
      <c r="S564">
        <f t="shared" si="987"/>
        <v>43206.077549140988</v>
      </c>
      <c r="T564">
        <f t="shared" si="988"/>
        <v>43.206077549140986</v>
      </c>
    </row>
    <row r="565" spans="1:104" x14ac:dyDescent="0.25">
      <c r="A565" s="5">
        <v>44028</v>
      </c>
      <c r="B565">
        <v>0.19722000000000001</v>
      </c>
      <c r="C565">
        <v>0.19756000000000001</v>
      </c>
      <c r="D565">
        <v>0.18822</v>
      </c>
      <c r="E565">
        <v>0.19444</v>
      </c>
      <c r="F565">
        <v>154403446.09999999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0.33190578158458101</v>
      </c>
      <c r="Q565">
        <f t="shared" si="985"/>
        <v>51247396.457173221</v>
      </c>
      <c r="R565">
        <f t="shared" si="986"/>
        <v>4332393060.3093777</v>
      </c>
      <c r="S565">
        <f t="shared" si="987"/>
        <v>43323.930603093773</v>
      </c>
      <c r="T565">
        <f t="shared" si="988"/>
        <v>43.323930603093771</v>
      </c>
    </row>
    <row r="566" spans="1:104" x14ac:dyDescent="0.25">
      <c r="A566" s="5">
        <v>44027</v>
      </c>
      <c r="B566">
        <v>0.19908000000000001</v>
      </c>
      <c r="C566">
        <v>0.19989999999999999</v>
      </c>
      <c r="D566">
        <v>0.19635</v>
      </c>
      <c r="E566">
        <v>0.19721</v>
      </c>
      <c r="F566">
        <v>97567941.799999997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-0.51549295774647874</v>
      </c>
      <c r="Q566">
        <f t="shared" si="985"/>
        <v>-50295586.899718292</v>
      </c>
      <c r="R566">
        <f t="shared" si="986"/>
        <v>4281145663.8522043</v>
      </c>
      <c r="S566">
        <f t="shared" si="987"/>
        <v>42811.456638522046</v>
      </c>
      <c r="T566">
        <f t="shared" si="988"/>
        <v>42.811456638522046</v>
      </c>
    </row>
    <row r="567" spans="1:104" x14ac:dyDescent="0.25">
      <c r="A567" s="5">
        <v>44026</v>
      </c>
      <c r="B567">
        <v>0.19866</v>
      </c>
      <c r="C567">
        <v>0.19978000000000001</v>
      </c>
      <c r="D567">
        <v>0.19500000000000001</v>
      </c>
      <c r="E567">
        <v>0.19908999999999999</v>
      </c>
      <c r="F567">
        <v>126120726.2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0.71129707112969753</v>
      </c>
      <c r="Q567">
        <f t="shared" si="985"/>
        <v>89709303.154810503</v>
      </c>
      <c r="R567">
        <f t="shared" si="986"/>
        <v>4331441250.7519226</v>
      </c>
      <c r="S567">
        <f t="shared" si="987"/>
        <v>43314.412507519228</v>
      </c>
      <c r="T567">
        <f t="shared" si="988"/>
        <v>43.314412507519229</v>
      </c>
    </row>
    <row r="568" spans="1:104" x14ac:dyDescent="0.25">
      <c r="A568" s="5">
        <v>44025</v>
      </c>
      <c r="B568">
        <v>0.20122000000000001</v>
      </c>
      <c r="C568">
        <v>0.20660000000000001</v>
      </c>
      <c r="D568">
        <v>0.191</v>
      </c>
      <c r="E568">
        <v>0.19867000000000001</v>
      </c>
      <c r="F568">
        <v>210692216.40000001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-1.6666666666665539E-2</v>
      </c>
      <c r="Q568">
        <f t="shared" si="985"/>
        <v>-3511536.9399997625</v>
      </c>
      <c r="R568">
        <f t="shared" si="986"/>
        <v>4241731947.5971117</v>
      </c>
      <c r="S568">
        <f t="shared" si="987"/>
        <v>42417.319475971119</v>
      </c>
      <c r="T568">
        <f t="shared" si="988"/>
        <v>42.417319475971119</v>
      </c>
    </row>
    <row r="569" spans="1:104" x14ac:dyDescent="0.25">
      <c r="A569" s="5">
        <v>44024</v>
      </c>
      <c r="B569">
        <v>0.20111999999999999</v>
      </c>
      <c r="C569">
        <v>0.20401</v>
      </c>
      <c r="D569">
        <v>0.19758000000000001</v>
      </c>
      <c r="E569">
        <v>0.20127999999999999</v>
      </c>
      <c r="F569">
        <v>123496702.09999999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0.1508553654743347</v>
      </c>
      <c r="Q569">
        <f t="shared" si="985"/>
        <v>18630140.130170535</v>
      </c>
      <c r="R569">
        <f t="shared" si="986"/>
        <v>4245243484.5371113</v>
      </c>
      <c r="S569">
        <f t="shared" si="987"/>
        <v>42452.434845371114</v>
      </c>
      <c r="T569">
        <f t="shared" si="988"/>
        <v>42.452434845371116</v>
      </c>
    </row>
    <row r="570" spans="1:104" x14ac:dyDescent="0.25">
      <c r="A570" s="5">
        <v>44023</v>
      </c>
      <c r="B570">
        <v>0.19905999999999999</v>
      </c>
      <c r="C570">
        <v>0.20482</v>
      </c>
      <c r="D570">
        <v>0.19792000000000001</v>
      </c>
      <c r="E570">
        <v>0.2011</v>
      </c>
      <c r="F570">
        <v>171252017.59999999</v>
      </c>
      <c r="G570">
        <v>0</v>
      </c>
      <c r="L570" t="s">
        <v>7</v>
      </c>
      <c r="M570" t="s">
        <v>8</v>
      </c>
      <c r="N570" t="s">
        <v>8</v>
      </c>
      <c r="P570">
        <f t="shared" si="984"/>
        <v>-7.8260869565219354E-2</v>
      </c>
      <c r="Q570">
        <f t="shared" si="985"/>
        <v>-13402331.812174249</v>
      </c>
      <c r="R570">
        <f t="shared" si="986"/>
        <v>4226613344.4069409</v>
      </c>
      <c r="S570">
        <f t="shared" si="987"/>
        <v>42266.133444069412</v>
      </c>
      <c r="T570">
        <f t="shared" si="988"/>
        <v>42.266133444069411</v>
      </c>
    </row>
    <row r="571" spans="1:104" x14ac:dyDescent="0.25">
      <c r="A571" s="5">
        <v>44022</v>
      </c>
      <c r="B571">
        <v>0.20263</v>
      </c>
      <c r="C571">
        <v>0.20272000000000001</v>
      </c>
      <c r="D571">
        <v>0.19252</v>
      </c>
      <c r="E571">
        <v>0.19908999999999999</v>
      </c>
      <c r="F571">
        <v>212898090.09999999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0.28823529411764376</v>
      </c>
      <c r="Q571">
        <f t="shared" si="985"/>
        <v>61364743.617058121</v>
      </c>
      <c r="R571">
        <f t="shared" si="986"/>
        <v>4240015676.2191153</v>
      </c>
      <c r="S571">
        <f t="shared" si="987"/>
        <v>42400.156762191153</v>
      </c>
      <c r="T571">
        <f t="shared" si="988"/>
        <v>42.400156762191152</v>
      </c>
    </row>
    <row r="572" spans="1:104" x14ac:dyDescent="0.25">
      <c r="A572" s="5">
        <v>44021</v>
      </c>
      <c r="B572">
        <v>0.20544000000000001</v>
      </c>
      <c r="C572">
        <v>0.21185999999999999</v>
      </c>
      <c r="D572">
        <v>0.19667000000000001</v>
      </c>
      <c r="E572">
        <v>0.20263</v>
      </c>
      <c r="F572">
        <v>366287583.80000001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-0.21527320605661615</v>
      </c>
      <c r="Q572">
        <f t="shared" si="985"/>
        <v>-78851902.503357455</v>
      </c>
      <c r="R572">
        <f t="shared" si="986"/>
        <v>4178650932.602057</v>
      </c>
      <c r="S572">
        <f t="shared" si="987"/>
        <v>41786.509326020569</v>
      </c>
      <c r="T572">
        <f t="shared" si="988"/>
        <v>41.786509326020571</v>
      </c>
    </row>
    <row r="573" spans="1:104" x14ac:dyDescent="0.25">
      <c r="A573" s="5">
        <v>44020</v>
      </c>
      <c r="B573">
        <v>0.18507999999999999</v>
      </c>
      <c r="C573">
        <v>0.20669000000000001</v>
      </c>
      <c r="D573">
        <v>0.18382000000000001</v>
      </c>
      <c r="E573">
        <v>0.20551</v>
      </c>
      <c r="F573">
        <v>340558574.10000002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0.89680804547441939</v>
      </c>
      <c r="Q573">
        <f t="shared" si="985"/>
        <v>305415669.20817626</v>
      </c>
      <c r="R573">
        <f t="shared" si="986"/>
        <v>4257502835.1054144</v>
      </c>
      <c r="S573">
        <f t="shared" si="987"/>
        <v>42575.028351054141</v>
      </c>
      <c r="T573">
        <f t="shared" si="988"/>
        <v>42.575028351054144</v>
      </c>
    </row>
    <row r="574" spans="1:104" x14ac:dyDescent="0.25">
      <c r="A574" s="5">
        <v>44019</v>
      </c>
      <c r="B574">
        <v>0.18876000000000001</v>
      </c>
      <c r="C574">
        <v>0.18969</v>
      </c>
      <c r="D574">
        <v>0.18312</v>
      </c>
      <c r="E574">
        <v>0.18507999999999999</v>
      </c>
      <c r="F574">
        <v>119136986.09999999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-0.40334855403348807</v>
      </c>
      <c r="Q574">
        <f t="shared" si="985"/>
        <v>-48053731.075342767</v>
      </c>
      <c r="R574">
        <f t="shared" si="986"/>
        <v>3952087165.8972383</v>
      </c>
      <c r="S574">
        <f t="shared" si="987"/>
        <v>39520.871658972384</v>
      </c>
      <c r="T574">
        <f t="shared" si="988"/>
        <v>39.520871658972382</v>
      </c>
    </row>
    <row r="575" spans="1:104" x14ac:dyDescent="0.25">
      <c r="A575" s="5">
        <v>44018</v>
      </c>
      <c r="B575">
        <v>0.17691000000000001</v>
      </c>
      <c r="C575">
        <v>0.18934000000000001</v>
      </c>
      <c r="D575">
        <v>0.17644000000000001</v>
      </c>
      <c r="E575">
        <v>0.18875</v>
      </c>
      <c r="F575">
        <v>180480180.59999999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0.90852713178294453</v>
      </c>
      <c r="Q575">
        <f t="shared" si="985"/>
        <v>163971140.82418582</v>
      </c>
      <c r="R575">
        <f t="shared" si="986"/>
        <v>4000140896.9725809</v>
      </c>
      <c r="S575">
        <f t="shared" si="987"/>
        <v>40001.40896972581</v>
      </c>
      <c r="T575">
        <f t="shared" si="988"/>
        <v>40.001408969725809</v>
      </c>
    </row>
    <row r="576" spans="1:104" x14ac:dyDescent="0.25">
      <c r="A576" s="5">
        <v>44017</v>
      </c>
      <c r="B576">
        <v>0.17810000000000001</v>
      </c>
      <c r="C576">
        <v>0.17879999999999999</v>
      </c>
      <c r="D576">
        <v>0.17372000000000001</v>
      </c>
      <c r="E576">
        <v>0.17695</v>
      </c>
      <c r="F576">
        <v>109028272.5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0.27165354330708652</v>
      </c>
      <c r="Q576">
        <f t="shared" si="985"/>
        <v>29617916.54527558</v>
      </c>
      <c r="R576">
        <f t="shared" si="986"/>
        <v>3836169756.1483951</v>
      </c>
      <c r="S576">
        <f t="shared" si="987"/>
        <v>38361.697561483954</v>
      </c>
      <c r="T576">
        <f t="shared" si="988"/>
        <v>38.36169756148395</v>
      </c>
    </row>
    <row r="577" spans="1:20" x14ac:dyDescent="0.25">
      <c r="A577" s="5">
        <v>44016</v>
      </c>
      <c r="B577">
        <v>0.17618</v>
      </c>
      <c r="C577">
        <v>0.17963999999999999</v>
      </c>
      <c r="D577">
        <v>0.17593</v>
      </c>
      <c r="E577">
        <v>0.17807999999999999</v>
      </c>
      <c r="F577">
        <v>101070772.2</v>
      </c>
      <c r="G577">
        <v>0</v>
      </c>
      <c r="L577" t="s">
        <v>7</v>
      </c>
      <c r="M577" t="s">
        <v>7</v>
      </c>
      <c r="N577" t="s">
        <v>8</v>
      </c>
      <c r="P577">
        <f t="shared" si="984"/>
        <v>0.15902964959568217</v>
      </c>
      <c r="Q577">
        <f t="shared" si="985"/>
        <v>16073249.487331014</v>
      </c>
      <c r="R577">
        <f t="shared" si="986"/>
        <v>3806551839.6031194</v>
      </c>
      <c r="S577">
        <f t="shared" si="987"/>
        <v>38065.518396031192</v>
      </c>
      <c r="T577">
        <f t="shared" si="988"/>
        <v>38.065518396031194</v>
      </c>
    </row>
    <row r="578" spans="1:20" x14ac:dyDescent="0.25">
      <c r="A578" s="5">
        <v>44015</v>
      </c>
      <c r="B578">
        <v>0.17476</v>
      </c>
      <c r="C578">
        <v>0.17865</v>
      </c>
      <c r="D578">
        <v>0.17430000000000001</v>
      </c>
      <c r="E578">
        <v>0.1762</v>
      </c>
      <c r="F578">
        <v>93559429.799999997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-0.12643678160920083</v>
      </c>
      <c r="Q578">
        <f t="shared" si="985"/>
        <v>-11829353.193103956</v>
      </c>
      <c r="R578">
        <f t="shared" si="986"/>
        <v>3790478590.1157885</v>
      </c>
      <c r="S578">
        <f t="shared" si="987"/>
        <v>37904.785901157884</v>
      </c>
      <c r="T578">
        <f t="shared" si="988"/>
        <v>37.904785901157886</v>
      </c>
    </row>
    <row r="579" spans="1:20" x14ac:dyDescent="0.25">
      <c r="A579" s="5">
        <v>44014</v>
      </c>
      <c r="B579">
        <v>0.17645</v>
      </c>
      <c r="C579">
        <v>0.1777</v>
      </c>
      <c r="D579">
        <v>0.17199999999999999</v>
      </c>
      <c r="E579">
        <v>0.17477000000000001</v>
      </c>
      <c r="F579">
        <v>109348977.7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-2.8070175438590427E-2</v>
      </c>
      <c r="Q579">
        <f t="shared" si="985"/>
        <v>-3069444.9880695124</v>
      </c>
      <c r="R579">
        <f t="shared" si="986"/>
        <v>3802307943.3088923</v>
      </c>
      <c r="S579">
        <f t="shared" si="987"/>
        <v>38023.079433088926</v>
      </c>
      <c r="T579">
        <f t="shared" si="988"/>
        <v>38.023079433088924</v>
      </c>
    </row>
    <row r="580" spans="1:20" x14ac:dyDescent="0.25">
      <c r="A580" s="5">
        <v>44013</v>
      </c>
      <c r="B580">
        <v>0.17533000000000001</v>
      </c>
      <c r="C580">
        <v>0.17813999999999999</v>
      </c>
      <c r="D580">
        <v>0.17373</v>
      </c>
      <c r="E580">
        <v>0.17646999999999999</v>
      </c>
      <c r="F580">
        <v>96697381.799999997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0.24263038548752569</v>
      </c>
      <c r="Q580">
        <f t="shared" si="985"/>
        <v>23461723.021768451</v>
      </c>
      <c r="R580">
        <f t="shared" si="986"/>
        <v>3805377388.2969618</v>
      </c>
      <c r="S580">
        <f t="shared" si="987"/>
        <v>38053.773882969617</v>
      </c>
      <c r="T580">
        <f t="shared" si="988"/>
        <v>38.053773882969615</v>
      </c>
    </row>
    <row r="581" spans="1:20" x14ac:dyDescent="0.25">
      <c r="A581" s="5">
        <v>44012</v>
      </c>
      <c r="B581">
        <v>0.17737</v>
      </c>
      <c r="C581">
        <v>0.17774999999999999</v>
      </c>
      <c r="D581">
        <v>0.17487</v>
      </c>
      <c r="E581">
        <v>0.17533000000000001</v>
      </c>
      <c r="F581">
        <v>63769127</v>
      </c>
      <c r="G581">
        <v>0</v>
      </c>
      <c r="L581" t="s">
        <v>7</v>
      </c>
      <c r="M581" t="s">
        <v>7</v>
      </c>
      <c r="N581" t="s">
        <v>8</v>
      </c>
      <c r="P581">
        <f t="shared" si="984"/>
        <v>-0.68055555555554381</v>
      </c>
      <c r="Q581">
        <f t="shared" si="985"/>
        <v>-43398433.652777031</v>
      </c>
      <c r="R581">
        <f t="shared" si="986"/>
        <v>3781915665.2751932</v>
      </c>
      <c r="S581">
        <f t="shared" si="987"/>
        <v>37819.156652751932</v>
      </c>
      <c r="T581">
        <f t="shared" si="988"/>
        <v>37.819156652751929</v>
      </c>
    </row>
    <row r="582" spans="1:20" x14ac:dyDescent="0.25">
      <c r="A582" s="5">
        <v>44011</v>
      </c>
      <c r="B582">
        <v>0.17693999999999999</v>
      </c>
      <c r="C582">
        <v>0.17938999999999999</v>
      </c>
      <c r="D582">
        <v>0.17487</v>
      </c>
      <c r="E582">
        <v>0.17726</v>
      </c>
      <c r="F582">
        <v>108091794.8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5.752212389380762E-2</v>
      </c>
      <c r="Q582">
        <f t="shared" ref="Q582:Q645" si="990">F582*P582</f>
        <v>6217669.6123896297</v>
      </c>
      <c r="R582">
        <f t="shared" ref="R582:R645" si="991">R583+Q582</f>
        <v>3825314098.9279704</v>
      </c>
      <c r="S582">
        <f t="shared" ref="S582:S645" si="992">R582/100000</f>
        <v>38253.140989279702</v>
      </c>
      <c r="T582">
        <f t="shared" ref="T582:T645" si="993">S582/1000</f>
        <v>38.2531409892797</v>
      </c>
    </row>
    <row r="583" spans="1:20" x14ac:dyDescent="0.25">
      <c r="A583" s="5">
        <v>44010</v>
      </c>
      <c r="B583">
        <v>0.17510000000000001</v>
      </c>
      <c r="C583">
        <v>0.17982999999999999</v>
      </c>
      <c r="D583">
        <v>0.17337</v>
      </c>
      <c r="E583">
        <v>0.17693</v>
      </c>
      <c r="F583">
        <v>79916984.599999994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0.10216718266254216</v>
      </c>
      <c r="Q583">
        <f t="shared" si="990"/>
        <v>8164893.1634677676</v>
      </c>
      <c r="R583">
        <f t="shared" si="991"/>
        <v>3819096429.3155808</v>
      </c>
      <c r="S583">
        <f t="shared" si="992"/>
        <v>38190.964293155812</v>
      </c>
      <c r="T583">
        <f t="shared" si="993"/>
        <v>38.190964293155815</v>
      </c>
    </row>
    <row r="584" spans="1:20" x14ac:dyDescent="0.25">
      <c r="A584" s="5">
        <v>44009</v>
      </c>
      <c r="B584">
        <v>0.18246999999999999</v>
      </c>
      <c r="C584">
        <v>0.1835</v>
      </c>
      <c r="D584">
        <v>0.16900000000000001</v>
      </c>
      <c r="E584">
        <v>0.17509</v>
      </c>
      <c r="F584">
        <v>100119859.40000001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-0.16000000000000131</v>
      </c>
      <c r="Q584">
        <f t="shared" si="990"/>
        <v>-16019177.504000131</v>
      </c>
      <c r="R584">
        <f t="shared" si="991"/>
        <v>3810931536.152113</v>
      </c>
      <c r="S584">
        <f t="shared" si="992"/>
        <v>38109.315361521127</v>
      </c>
      <c r="T584">
        <f t="shared" si="993"/>
        <v>38.109315361521126</v>
      </c>
    </row>
    <row r="585" spans="1:20" x14ac:dyDescent="0.25">
      <c r="A585" s="5">
        <v>44008</v>
      </c>
      <c r="B585">
        <v>0.18156</v>
      </c>
      <c r="C585">
        <v>0.18694</v>
      </c>
      <c r="D585">
        <v>0.17848</v>
      </c>
      <c r="E585">
        <v>0.18249000000000001</v>
      </c>
      <c r="F585">
        <v>134171894.09999999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-5.2009456264771686E-2</v>
      </c>
      <c r="Q585">
        <f t="shared" si="990"/>
        <v>-6978207.2581555275</v>
      </c>
      <c r="R585">
        <f t="shared" si="991"/>
        <v>3826950713.6561131</v>
      </c>
      <c r="S585">
        <f t="shared" si="992"/>
        <v>38269.507136561129</v>
      </c>
      <c r="T585">
        <f t="shared" si="993"/>
        <v>38.269507136561131</v>
      </c>
    </row>
    <row r="586" spans="1:20" x14ac:dyDescent="0.25">
      <c r="A586" s="5">
        <v>44007</v>
      </c>
      <c r="B586">
        <v>0.18343999999999999</v>
      </c>
      <c r="C586">
        <v>0.18414</v>
      </c>
      <c r="D586">
        <v>0.17849000000000001</v>
      </c>
      <c r="E586">
        <v>0.18156</v>
      </c>
      <c r="F586">
        <v>83471401.799999997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8.6725663716812645E-2</v>
      </c>
      <c r="Q586">
        <f t="shared" si="990"/>
        <v>7239112.7224777499</v>
      </c>
      <c r="R586">
        <f t="shared" si="991"/>
        <v>3833928920.9142685</v>
      </c>
      <c r="S586">
        <f t="shared" si="992"/>
        <v>38339.289209142684</v>
      </c>
      <c r="T586">
        <f t="shared" si="993"/>
        <v>38.339289209142684</v>
      </c>
    </row>
    <row r="587" spans="1:20" x14ac:dyDescent="0.25">
      <c r="A587" s="5">
        <v>44006</v>
      </c>
      <c r="B587">
        <v>0.18889</v>
      </c>
      <c r="C587">
        <v>0.19016</v>
      </c>
      <c r="D587">
        <v>0.1799</v>
      </c>
      <c r="E587">
        <v>0.18348</v>
      </c>
      <c r="F587">
        <v>99814387.299999997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-0.30214424951266999</v>
      </c>
      <c r="Q587">
        <f t="shared" si="990"/>
        <v>-30158343.141325478</v>
      </c>
      <c r="R587">
        <f t="shared" si="991"/>
        <v>3826689808.1917906</v>
      </c>
      <c r="S587">
        <f t="shared" si="992"/>
        <v>38266.898081917905</v>
      </c>
      <c r="T587">
        <f t="shared" si="993"/>
        <v>38.266898081917908</v>
      </c>
    </row>
    <row r="588" spans="1:20" x14ac:dyDescent="0.25">
      <c r="A588" s="5">
        <v>44005</v>
      </c>
      <c r="B588">
        <v>0.18933</v>
      </c>
      <c r="C588">
        <v>0.19042000000000001</v>
      </c>
      <c r="D588">
        <v>0.18831000000000001</v>
      </c>
      <c r="E588">
        <v>0.18889</v>
      </c>
      <c r="F588">
        <v>80442337.299999997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-0.45023696682464742</v>
      </c>
      <c r="Q588">
        <f t="shared" si="990"/>
        <v>-36218113.9502372</v>
      </c>
      <c r="R588">
        <f t="shared" si="991"/>
        <v>3856848151.3331161</v>
      </c>
      <c r="S588">
        <f t="shared" si="992"/>
        <v>38568.481513331164</v>
      </c>
      <c r="T588">
        <f t="shared" si="993"/>
        <v>38.568481513331164</v>
      </c>
    </row>
    <row r="589" spans="1:20" x14ac:dyDescent="0.25">
      <c r="A589" s="5">
        <v>44004</v>
      </c>
      <c r="B589">
        <v>0.18601999999999999</v>
      </c>
      <c r="C589">
        <v>0.19051000000000001</v>
      </c>
      <c r="D589">
        <v>0.18568999999999999</v>
      </c>
      <c r="E589">
        <v>0.18928</v>
      </c>
      <c r="F589">
        <v>121678902.8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0.48962655601659583</v>
      </c>
      <c r="Q589">
        <f t="shared" si="990"/>
        <v>59577222.117842115</v>
      </c>
      <c r="R589">
        <f t="shared" si="991"/>
        <v>3893066265.2833533</v>
      </c>
      <c r="S589">
        <f t="shared" si="992"/>
        <v>38930.662652833533</v>
      </c>
      <c r="T589">
        <f t="shared" si="993"/>
        <v>38.930662652833533</v>
      </c>
    </row>
    <row r="590" spans="1:20" x14ac:dyDescent="0.25">
      <c r="A590" s="5">
        <v>44003</v>
      </c>
      <c r="B590">
        <v>0.18793000000000001</v>
      </c>
      <c r="C590">
        <v>0.18848000000000001</v>
      </c>
      <c r="D590">
        <v>0.18565000000000001</v>
      </c>
      <c r="E590">
        <v>0.18601999999999999</v>
      </c>
      <c r="F590">
        <v>66591992.600000001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-0.73851590106008369</v>
      </c>
      <c r="Q590">
        <f t="shared" si="990"/>
        <v>-49179245.418375425</v>
      </c>
      <c r="R590">
        <f t="shared" si="991"/>
        <v>3833489043.1655111</v>
      </c>
      <c r="S590">
        <f t="shared" si="992"/>
        <v>38334.890431655112</v>
      </c>
      <c r="T590">
        <f t="shared" si="993"/>
        <v>38.334890431655111</v>
      </c>
    </row>
    <row r="591" spans="1:20" x14ac:dyDescent="0.25">
      <c r="A591" s="5">
        <v>44002</v>
      </c>
      <c r="B591">
        <v>0.18723999999999999</v>
      </c>
      <c r="C591">
        <v>0.18897</v>
      </c>
      <c r="D591">
        <v>0.18487999999999999</v>
      </c>
      <c r="E591">
        <v>0.18792</v>
      </c>
      <c r="F591">
        <v>65244804.200000003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0.48655256723716739</v>
      </c>
      <c r="Q591">
        <f t="shared" si="990"/>
        <v>31745026.982396323</v>
      </c>
      <c r="R591">
        <f t="shared" si="991"/>
        <v>3882668288.5838866</v>
      </c>
      <c r="S591">
        <f t="shared" si="992"/>
        <v>38826.682885838869</v>
      </c>
      <c r="T591">
        <f t="shared" si="993"/>
        <v>38.826682885838871</v>
      </c>
    </row>
    <row r="592" spans="1:20" x14ac:dyDescent="0.25">
      <c r="A592" s="5">
        <v>44001</v>
      </c>
      <c r="B592">
        <v>0.18975</v>
      </c>
      <c r="C592">
        <v>0.19036</v>
      </c>
      <c r="D592">
        <v>0.18658</v>
      </c>
      <c r="E592">
        <v>0.18722</v>
      </c>
      <c r="F592">
        <v>101395871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-0.66137566137566095</v>
      </c>
      <c r="Q592">
        <f t="shared" si="990"/>
        <v>-67060761.243386202</v>
      </c>
      <c r="R592">
        <f t="shared" si="991"/>
        <v>3850923261.6014905</v>
      </c>
      <c r="S592">
        <f t="shared" si="992"/>
        <v>38509.232616014902</v>
      </c>
      <c r="T592">
        <f t="shared" si="993"/>
        <v>38.509232616014906</v>
      </c>
    </row>
    <row r="593" spans="1:20" x14ac:dyDescent="0.25">
      <c r="A593" s="5">
        <v>44000</v>
      </c>
      <c r="B593">
        <v>0.19314999999999999</v>
      </c>
      <c r="C593">
        <v>0.19325000000000001</v>
      </c>
      <c r="D593">
        <v>0.18801999999999999</v>
      </c>
      <c r="E593">
        <v>0.18975</v>
      </c>
      <c r="F593">
        <v>83020048.799999997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-0.3384321223709349</v>
      </c>
      <c r="Q593">
        <f t="shared" si="990"/>
        <v>-28096651.314722586</v>
      </c>
      <c r="R593">
        <f t="shared" si="991"/>
        <v>3917984022.8448768</v>
      </c>
      <c r="S593">
        <f t="shared" si="992"/>
        <v>39179.840228448767</v>
      </c>
      <c r="T593">
        <f t="shared" si="993"/>
        <v>39.179840228448768</v>
      </c>
    </row>
    <row r="594" spans="1:20" x14ac:dyDescent="0.25">
      <c r="A594" s="5">
        <v>43999</v>
      </c>
      <c r="B594">
        <v>0.19236</v>
      </c>
      <c r="C594">
        <v>0.19894999999999999</v>
      </c>
      <c r="D594">
        <v>0.18845999999999999</v>
      </c>
      <c r="E594">
        <v>0.19314999999999999</v>
      </c>
      <c r="F594">
        <v>143789678.40000001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-0.10581506196377502</v>
      </c>
      <c r="Q594">
        <f t="shared" si="990"/>
        <v>-15215113.729647283</v>
      </c>
      <c r="R594">
        <f t="shared" si="991"/>
        <v>3946080674.1595993</v>
      </c>
      <c r="S594">
        <f t="shared" si="992"/>
        <v>39460.806741595996</v>
      </c>
      <c r="T594">
        <f t="shared" si="993"/>
        <v>39.460806741595995</v>
      </c>
    </row>
    <row r="595" spans="1:20" x14ac:dyDescent="0.25">
      <c r="A595" s="5">
        <v>43998</v>
      </c>
      <c r="B595">
        <v>0.19238</v>
      </c>
      <c r="C595">
        <v>0.19403999999999999</v>
      </c>
      <c r="D595">
        <v>0.19006999999999999</v>
      </c>
      <c r="E595">
        <v>0.19238</v>
      </c>
      <c r="F595">
        <v>76442039.799999997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0.16372795969773588</v>
      </c>
      <c r="Q595">
        <f t="shared" si="990"/>
        <v>12515699.211587122</v>
      </c>
      <c r="R595">
        <f t="shared" si="991"/>
        <v>3961295787.8892465</v>
      </c>
      <c r="S595">
        <f t="shared" si="992"/>
        <v>39612.957878892463</v>
      </c>
      <c r="T595">
        <f t="shared" si="993"/>
        <v>39.612957878892466</v>
      </c>
    </row>
    <row r="596" spans="1:20" x14ac:dyDescent="0.25">
      <c r="A596" s="5">
        <v>43997</v>
      </c>
      <c r="B596">
        <v>0.19022</v>
      </c>
      <c r="C596">
        <v>0.19344</v>
      </c>
      <c r="D596">
        <v>0.18201999999999999</v>
      </c>
      <c r="E596">
        <v>0.19238</v>
      </c>
      <c r="F596">
        <v>130419971.5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0.81436077057793277</v>
      </c>
      <c r="Q596">
        <f t="shared" si="990"/>
        <v>106208908.48949203</v>
      </c>
      <c r="R596">
        <f t="shared" si="991"/>
        <v>3948780088.6776595</v>
      </c>
      <c r="S596">
        <f t="shared" si="992"/>
        <v>39487.800886776597</v>
      </c>
      <c r="T596">
        <f t="shared" si="993"/>
        <v>39.487800886776597</v>
      </c>
    </row>
    <row r="597" spans="1:20" x14ac:dyDescent="0.25">
      <c r="A597" s="5">
        <v>43996</v>
      </c>
      <c r="B597">
        <v>0.19238</v>
      </c>
      <c r="C597">
        <v>0.19248999999999999</v>
      </c>
      <c r="D597">
        <v>0.18870000000000001</v>
      </c>
      <c r="E597">
        <v>0.19022</v>
      </c>
      <c r="F597">
        <v>58429094.700000003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-0.19788918205804831</v>
      </c>
      <c r="Q597">
        <f t="shared" si="990"/>
        <v>-11562485.758575246</v>
      </c>
      <c r="R597">
        <f t="shared" si="991"/>
        <v>3842571180.1881676</v>
      </c>
      <c r="S597">
        <f t="shared" si="992"/>
        <v>38425.711801881676</v>
      </c>
      <c r="T597">
        <f t="shared" si="993"/>
        <v>38.425711801881675</v>
      </c>
    </row>
    <row r="598" spans="1:20" x14ac:dyDescent="0.25">
      <c r="A598" s="5">
        <v>43995</v>
      </c>
      <c r="B598">
        <v>0.19308</v>
      </c>
      <c r="C598">
        <v>0.19378999999999999</v>
      </c>
      <c r="D598">
        <v>0.19076000000000001</v>
      </c>
      <c r="E598">
        <v>0.19234000000000001</v>
      </c>
      <c r="F598">
        <v>63292600.899999999</v>
      </c>
      <c r="G598">
        <v>0</v>
      </c>
      <c r="L598" t="s">
        <v>7</v>
      </c>
      <c r="M598" t="s">
        <v>8</v>
      </c>
      <c r="N598" t="s">
        <v>8</v>
      </c>
      <c r="P598">
        <f t="shared" si="989"/>
        <v>4.2904290429049495E-2</v>
      </c>
      <c r="Q598">
        <f t="shared" si="990"/>
        <v>2715524.1310235192</v>
      </c>
      <c r="R598">
        <f t="shared" si="991"/>
        <v>3854133665.946743</v>
      </c>
      <c r="S598">
        <f t="shared" si="992"/>
        <v>38541.33665946743</v>
      </c>
      <c r="T598">
        <f t="shared" si="993"/>
        <v>38.541336659467433</v>
      </c>
    </row>
    <row r="599" spans="1:20" x14ac:dyDescent="0.25">
      <c r="A599" s="5">
        <v>43994</v>
      </c>
      <c r="B599">
        <v>0.18823000000000001</v>
      </c>
      <c r="C599">
        <v>0.19505</v>
      </c>
      <c r="D599">
        <v>0.18690000000000001</v>
      </c>
      <c r="E599">
        <v>0.19306999999999999</v>
      </c>
      <c r="F599">
        <v>75546910.5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0.5141104294478499</v>
      </c>
      <c r="Q599">
        <f t="shared" si="990"/>
        <v>38839454.600613281</v>
      </c>
      <c r="R599">
        <f t="shared" si="991"/>
        <v>3851418141.8157196</v>
      </c>
      <c r="S599">
        <f t="shared" si="992"/>
        <v>38514.181418157197</v>
      </c>
      <c r="T599">
        <f t="shared" si="993"/>
        <v>38.5141814181572</v>
      </c>
    </row>
    <row r="600" spans="1:20" x14ac:dyDescent="0.25">
      <c r="A600" s="5">
        <v>43993</v>
      </c>
      <c r="B600">
        <v>0.20266000000000001</v>
      </c>
      <c r="C600">
        <v>0.2036</v>
      </c>
      <c r="D600">
        <v>0.18459999999999999</v>
      </c>
      <c r="E600">
        <v>0.18817</v>
      </c>
      <c r="F600">
        <v>132263967.7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-0.62421052631578799</v>
      </c>
      <c r="Q600">
        <f t="shared" si="990"/>
        <v>-82560560.890631393</v>
      </c>
      <c r="R600">
        <f t="shared" si="991"/>
        <v>3812578687.2151065</v>
      </c>
      <c r="S600">
        <f t="shared" si="992"/>
        <v>38125.786872151068</v>
      </c>
      <c r="T600">
        <f t="shared" si="993"/>
        <v>38.125786872151068</v>
      </c>
    </row>
    <row r="601" spans="1:20" x14ac:dyDescent="0.25">
      <c r="A601" s="5">
        <v>43992</v>
      </c>
      <c r="B601">
        <v>0.20135</v>
      </c>
      <c r="C601">
        <v>0.20388000000000001</v>
      </c>
      <c r="D601">
        <v>0.19850000000000001</v>
      </c>
      <c r="E601">
        <v>0.20266000000000001</v>
      </c>
      <c r="F601">
        <v>75706855.200000003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0.54646840148698894</v>
      </c>
      <c r="Q601">
        <f t="shared" si="990"/>
        <v>41371404.142750941</v>
      </c>
      <c r="R601">
        <f t="shared" si="991"/>
        <v>3895139248.1057377</v>
      </c>
      <c r="S601">
        <f t="shared" si="992"/>
        <v>38951.392481057374</v>
      </c>
      <c r="T601">
        <f t="shared" si="993"/>
        <v>38.951392481057376</v>
      </c>
    </row>
    <row r="602" spans="1:20" x14ac:dyDescent="0.25">
      <c r="A602" s="5">
        <v>43991</v>
      </c>
      <c r="B602">
        <v>0.20405999999999999</v>
      </c>
      <c r="C602">
        <v>0.20527999999999999</v>
      </c>
      <c r="D602">
        <v>0.2</v>
      </c>
      <c r="E602">
        <v>0.20127</v>
      </c>
      <c r="F602">
        <v>81665800.900000006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-0.51893939393939459</v>
      </c>
      <c r="Q602">
        <f t="shared" si="990"/>
        <v>-42379601.224621266</v>
      </c>
      <c r="R602">
        <f t="shared" si="991"/>
        <v>3853767843.9629869</v>
      </c>
      <c r="S602">
        <f t="shared" si="992"/>
        <v>38537.678439629868</v>
      </c>
      <c r="T602">
        <f t="shared" si="993"/>
        <v>38.537678439629865</v>
      </c>
    </row>
    <row r="603" spans="1:20" x14ac:dyDescent="0.25">
      <c r="A603" s="5">
        <v>43990</v>
      </c>
      <c r="B603">
        <v>0.20327000000000001</v>
      </c>
      <c r="C603">
        <v>0.20444000000000001</v>
      </c>
      <c r="D603">
        <v>0.20116000000000001</v>
      </c>
      <c r="E603">
        <v>0.20402999999999999</v>
      </c>
      <c r="F603">
        <v>63036054.200000003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0.74999999999998734</v>
      </c>
      <c r="Q603">
        <f t="shared" si="990"/>
        <v>47277040.649999201</v>
      </c>
      <c r="R603">
        <f t="shared" si="991"/>
        <v>3896147445.1876082</v>
      </c>
      <c r="S603">
        <f t="shared" si="992"/>
        <v>38961.474451876085</v>
      </c>
      <c r="T603">
        <f t="shared" si="993"/>
        <v>38.961474451876086</v>
      </c>
    </row>
    <row r="604" spans="1:20" x14ac:dyDescent="0.25">
      <c r="A604" s="5">
        <v>43989</v>
      </c>
      <c r="B604">
        <v>0.2036</v>
      </c>
      <c r="C604">
        <v>0.20496</v>
      </c>
      <c r="D604">
        <v>0.19839000000000001</v>
      </c>
      <c r="E604">
        <v>0.20329</v>
      </c>
      <c r="F604">
        <v>93329744.200000003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0.49162861491628412</v>
      </c>
      <c r="Q604">
        <f t="shared" si="990"/>
        <v>45883572.871537104</v>
      </c>
      <c r="R604">
        <f t="shared" si="991"/>
        <v>3848870404.5376091</v>
      </c>
      <c r="S604">
        <f t="shared" si="992"/>
        <v>38488.704045376093</v>
      </c>
      <c r="T604">
        <f t="shared" si="993"/>
        <v>38.488704045376096</v>
      </c>
    </row>
    <row r="605" spans="1:20" x14ac:dyDescent="0.25">
      <c r="A605" s="5">
        <v>43988</v>
      </c>
      <c r="B605">
        <v>0.20274</v>
      </c>
      <c r="C605">
        <v>0.20483999999999999</v>
      </c>
      <c r="D605">
        <v>0.20125000000000001</v>
      </c>
      <c r="E605">
        <v>0.20361000000000001</v>
      </c>
      <c r="F605">
        <v>79279154.799999997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0.31476323119777871</v>
      </c>
      <c r="Q605">
        <f t="shared" si="990"/>
        <v>24954162.931476887</v>
      </c>
      <c r="R605">
        <f t="shared" si="991"/>
        <v>3802986831.6660719</v>
      </c>
      <c r="S605">
        <f t="shared" si="992"/>
        <v>38029.868316660722</v>
      </c>
      <c r="T605">
        <f t="shared" si="993"/>
        <v>38.029868316660725</v>
      </c>
    </row>
    <row r="606" spans="1:20" x14ac:dyDescent="0.25">
      <c r="A606" s="5">
        <v>43987</v>
      </c>
      <c r="B606">
        <v>0.20432</v>
      </c>
      <c r="C606">
        <v>0.20585000000000001</v>
      </c>
      <c r="D606">
        <v>0.20129</v>
      </c>
      <c r="E606">
        <v>0.20274</v>
      </c>
      <c r="F606">
        <v>98700901.5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-0.36403508771929644</v>
      </c>
      <c r="Q606">
        <f t="shared" si="990"/>
        <v>-35930591.335526139</v>
      </c>
      <c r="R606">
        <f t="shared" si="991"/>
        <v>3778032668.7345948</v>
      </c>
      <c r="S606">
        <f t="shared" si="992"/>
        <v>37780.326687345951</v>
      </c>
      <c r="T606">
        <f t="shared" si="993"/>
        <v>37.780326687345948</v>
      </c>
    </row>
    <row r="607" spans="1:20" x14ac:dyDescent="0.25">
      <c r="A607" s="5">
        <v>43986</v>
      </c>
      <c r="B607">
        <v>0.20413000000000001</v>
      </c>
      <c r="C607">
        <v>0.20724000000000001</v>
      </c>
      <c r="D607">
        <v>0.19957</v>
      </c>
      <c r="E607">
        <v>0.20427000000000001</v>
      </c>
      <c r="F607">
        <v>126378226.8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0.22555410691004002</v>
      </c>
      <c r="Q607">
        <f t="shared" si="990"/>
        <v>28505128.078748483</v>
      </c>
      <c r="R607">
        <f t="shared" si="991"/>
        <v>3813963260.0701208</v>
      </c>
      <c r="S607">
        <f t="shared" si="992"/>
        <v>38139.63260070121</v>
      </c>
      <c r="T607">
        <f t="shared" si="993"/>
        <v>38.139632600701212</v>
      </c>
    </row>
    <row r="608" spans="1:20" x14ac:dyDescent="0.25">
      <c r="A608" s="5">
        <v>43985</v>
      </c>
      <c r="B608">
        <v>0.20294000000000001</v>
      </c>
      <c r="C608">
        <v>0.20487</v>
      </c>
      <c r="D608">
        <v>0.20080000000000001</v>
      </c>
      <c r="E608">
        <v>0.2041</v>
      </c>
      <c r="F608">
        <v>102410983.8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0.62162162162162415</v>
      </c>
      <c r="Q608">
        <f t="shared" si="990"/>
        <v>63660881.82162188</v>
      </c>
      <c r="R608">
        <f t="shared" si="991"/>
        <v>3785458131.9913721</v>
      </c>
      <c r="S608">
        <f t="shared" si="992"/>
        <v>37854.581319913719</v>
      </c>
      <c r="T608">
        <f t="shared" si="993"/>
        <v>37.85458131991372</v>
      </c>
    </row>
    <row r="609" spans="1:20" x14ac:dyDescent="0.25">
      <c r="A609" s="5">
        <v>43984</v>
      </c>
      <c r="B609">
        <v>0.21093000000000001</v>
      </c>
      <c r="C609">
        <v>0.2147</v>
      </c>
      <c r="D609">
        <v>0.1961</v>
      </c>
      <c r="E609">
        <v>0.20301</v>
      </c>
      <c r="F609">
        <v>203819088.30000001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-0.25698924731182821</v>
      </c>
      <c r="Q609">
        <f t="shared" si="990"/>
        <v>-52379314.090000056</v>
      </c>
      <c r="R609">
        <f t="shared" si="991"/>
        <v>3721797250.1697502</v>
      </c>
      <c r="S609">
        <f t="shared" si="992"/>
        <v>37217.972501697499</v>
      </c>
      <c r="T609">
        <f t="shared" si="993"/>
        <v>37.217972501697496</v>
      </c>
    </row>
    <row r="610" spans="1:20" x14ac:dyDescent="0.25">
      <c r="A610" s="5">
        <v>43983</v>
      </c>
      <c r="B610">
        <v>0.20241000000000001</v>
      </c>
      <c r="C610">
        <v>0.21268000000000001</v>
      </c>
      <c r="D610">
        <v>0.20111999999999999</v>
      </c>
      <c r="E610">
        <v>0.21099999999999999</v>
      </c>
      <c r="F610">
        <v>157851522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0.70934256055363099</v>
      </c>
      <c r="Q610">
        <f t="shared" si="990"/>
        <v>111970802.80276781</v>
      </c>
      <c r="R610">
        <f t="shared" si="991"/>
        <v>3774176564.2597504</v>
      </c>
      <c r="S610">
        <f t="shared" si="992"/>
        <v>37741.7656425975</v>
      </c>
      <c r="T610">
        <f t="shared" si="993"/>
        <v>37.7417656425975</v>
      </c>
    </row>
    <row r="611" spans="1:20" x14ac:dyDescent="0.25">
      <c r="A611" s="5">
        <v>43982</v>
      </c>
      <c r="B611">
        <v>0.20699999999999999</v>
      </c>
      <c r="C611">
        <v>0.21356</v>
      </c>
      <c r="D611">
        <v>0.20025999999999999</v>
      </c>
      <c r="E611">
        <v>0.20244999999999999</v>
      </c>
      <c r="F611">
        <v>180118253.59999999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-0.67067669172932387</v>
      </c>
      <c r="Q611">
        <f t="shared" si="990"/>
        <v>-120801114.44451137</v>
      </c>
      <c r="R611">
        <f t="shared" si="991"/>
        <v>3662205761.4569826</v>
      </c>
      <c r="S611">
        <f t="shared" si="992"/>
        <v>36622.057614569829</v>
      </c>
      <c r="T611">
        <f t="shared" si="993"/>
        <v>36.622057614569826</v>
      </c>
    </row>
    <row r="612" spans="1:20" x14ac:dyDescent="0.25">
      <c r="A612" s="5">
        <v>43981</v>
      </c>
      <c r="B612">
        <v>0.19761999999999999</v>
      </c>
      <c r="C612">
        <v>0.20799999999999999</v>
      </c>
      <c r="D612">
        <v>0.19596</v>
      </c>
      <c r="E612">
        <v>0.20701</v>
      </c>
      <c r="F612">
        <v>155426836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0.8355481727574765</v>
      </c>
      <c r="Q612">
        <f t="shared" si="990"/>
        <v>129866608.81727597</v>
      </c>
      <c r="R612">
        <f t="shared" si="991"/>
        <v>3783006875.901494</v>
      </c>
      <c r="S612">
        <f t="shared" si="992"/>
        <v>37830.068759014939</v>
      </c>
      <c r="T612">
        <f t="shared" si="993"/>
        <v>37.830068759014942</v>
      </c>
    </row>
    <row r="613" spans="1:20" x14ac:dyDescent="0.25">
      <c r="A613" s="5">
        <v>43980</v>
      </c>
      <c r="B613">
        <v>0.20052</v>
      </c>
      <c r="C613">
        <v>0.20291999999999999</v>
      </c>
      <c r="D613">
        <v>0.19622000000000001</v>
      </c>
      <c r="E613">
        <v>0.19758999999999999</v>
      </c>
      <c r="F613">
        <v>98632638.400000006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-0.59104477611940731</v>
      </c>
      <c r="Q613">
        <f t="shared" si="990"/>
        <v>-58296305.681194462</v>
      </c>
      <c r="R613">
        <f t="shared" si="991"/>
        <v>3653140267.084218</v>
      </c>
      <c r="S613">
        <f t="shared" si="992"/>
        <v>36531.402670842181</v>
      </c>
      <c r="T613">
        <f t="shared" si="993"/>
        <v>36.531402670842184</v>
      </c>
    </row>
    <row r="614" spans="1:20" x14ac:dyDescent="0.25">
      <c r="A614" s="5">
        <v>43979</v>
      </c>
      <c r="B614">
        <v>0.19792000000000001</v>
      </c>
      <c r="C614">
        <v>0.20094999999999999</v>
      </c>
      <c r="D614">
        <v>0.19502</v>
      </c>
      <c r="E614">
        <v>0.20052</v>
      </c>
      <c r="F614">
        <v>110627844.2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0.8549747048903924</v>
      </c>
      <c r="Q614">
        <f t="shared" si="990"/>
        <v>94584008.447555318</v>
      </c>
      <c r="R614">
        <f t="shared" si="991"/>
        <v>3711436572.7654123</v>
      </c>
      <c r="S614">
        <f t="shared" si="992"/>
        <v>37114.36572765412</v>
      </c>
      <c r="T614">
        <f t="shared" si="993"/>
        <v>37.114365727654118</v>
      </c>
    </row>
    <row r="615" spans="1:20" x14ac:dyDescent="0.25">
      <c r="A615" s="5">
        <v>43978</v>
      </c>
      <c r="B615">
        <v>0.19370999999999999</v>
      </c>
      <c r="C615">
        <v>0.20047999999999999</v>
      </c>
      <c r="D615">
        <v>0.19355</v>
      </c>
      <c r="E615">
        <v>0.19791</v>
      </c>
      <c r="F615">
        <v>99410860.400000006</v>
      </c>
      <c r="G615">
        <v>0</v>
      </c>
      <c r="L615" t="s">
        <v>8</v>
      </c>
      <c r="M615" t="s">
        <v>7</v>
      </c>
      <c r="N615" t="s">
        <v>8</v>
      </c>
      <c r="P615">
        <f t="shared" si="989"/>
        <v>0.25829725829726058</v>
      </c>
      <c r="Q615">
        <f t="shared" si="990"/>
        <v>25677552.686291713</v>
      </c>
      <c r="R615">
        <f t="shared" si="991"/>
        <v>3616852564.3178568</v>
      </c>
      <c r="S615">
        <f t="shared" si="992"/>
        <v>36168.525643178567</v>
      </c>
      <c r="T615">
        <f t="shared" si="993"/>
        <v>36.168525643178569</v>
      </c>
    </row>
    <row r="616" spans="1:20" x14ac:dyDescent="0.25">
      <c r="A616" s="5">
        <v>43977</v>
      </c>
      <c r="B616">
        <v>0.19622000000000001</v>
      </c>
      <c r="C616">
        <v>0.19694999999999999</v>
      </c>
      <c r="D616">
        <v>0.19139</v>
      </c>
      <c r="E616">
        <v>0.19372</v>
      </c>
      <c r="F616">
        <v>91454592.200000003</v>
      </c>
      <c r="G616">
        <v>0</v>
      </c>
      <c r="L616" t="s">
        <v>8</v>
      </c>
      <c r="M616" t="s">
        <v>7</v>
      </c>
      <c r="N616" t="s">
        <v>8</v>
      </c>
      <c r="P616">
        <f t="shared" si="989"/>
        <v>-0.16187050359711999</v>
      </c>
      <c r="Q616">
        <f t="shared" si="990"/>
        <v>-14803800.895683242</v>
      </c>
      <c r="R616">
        <f t="shared" si="991"/>
        <v>3591175011.6315651</v>
      </c>
      <c r="S616">
        <f t="shared" si="992"/>
        <v>35911.750116315648</v>
      </c>
      <c r="T616">
        <f t="shared" si="993"/>
        <v>35.911750116315652</v>
      </c>
    </row>
    <row r="617" spans="1:20" x14ac:dyDescent="0.25">
      <c r="A617" s="5">
        <v>43976</v>
      </c>
      <c r="B617">
        <v>0.19263</v>
      </c>
      <c r="C617">
        <v>0.19719</v>
      </c>
      <c r="D617">
        <v>0.18972</v>
      </c>
      <c r="E617">
        <v>0.19622000000000001</v>
      </c>
      <c r="F617">
        <v>96947010.799999997</v>
      </c>
      <c r="G617">
        <v>0</v>
      </c>
      <c r="L617" t="s">
        <v>8</v>
      </c>
      <c r="M617" t="s">
        <v>7</v>
      </c>
      <c r="N617" t="s">
        <v>8</v>
      </c>
      <c r="P617">
        <f t="shared" si="989"/>
        <v>0.74029451137884927</v>
      </c>
      <c r="Q617">
        <f t="shared" si="990"/>
        <v>71769339.989826024</v>
      </c>
      <c r="R617">
        <f t="shared" si="991"/>
        <v>3605978812.5272484</v>
      </c>
      <c r="S617">
        <f t="shared" si="992"/>
        <v>36059.788125272484</v>
      </c>
      <c r="T617">
        <f t="shared" si="993"/>
        <v>36.059788125272483</v>
      </c>
    </row>
    <row r="618" spans="1:20" x14ac:dyDescent="0.25">
      <c r="A618" s="5">
        <v>43975</v>
      </c>
      <c r="B618">
        <v>0.19883000000000001</v>
      </c>
      <c r="C618">
        <v>0.20122000000000001</v>
      </c>
      <c r="D618">
        <v>0.19222</v>
      </c>
      <c r="E618">
        <v>0.19256000000000001</v>
      </c>
      <c r="F618">
        <v>88708243.700000003</v>
      </c>
      <c r="G618">
        <v>0</v>
      </c>
      <c r="L618" t="s">
        <v>8</v>
      </c>
      <c r="M618" t="s">
        <v>7</v>
      </c>
      <c r="N618" t="s">
        <v>8</v>
      </c>
      <c r="P618">
        <f t="shared" si="989"/>
        <v>-0.92444444444444296</v>
      </c>
      <c r="Q618">
        <f t="shared" si="990"/>
        <v>-82005843.06488876</v>
      </c>
      <c r="R618">
        <f t="shared" si="991"/>
        <v>3534209472.5374222</v>
      </c>
      <c r="S618">
        <f t="shared" si="992"/>
        <v>35342.09472537422</v>
      </c>
      <c r="T618">
        <f t="shared" si="993"/>
        <v>35.342094725374217</v>
      </c>
    </row>
    <row r="619" spans="1:20" x14ac:dyDescent="0.25">
      <c r="A619" s="5">
        <v>43974</v>
      </c>
      <c r="B619">
        <v>0.20032</v>
      </c>
      <c r="C619">
        <v>0.20216000000000001</v>
      </c>
      <c r="D619">
        <v>0.19792999999999999</v>
      </c>
      <c r="E619">
        <v>0.19883000000000001</v>
      </c>
      <c r="F619">
        <v>88342183.599999994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-0.57446808510637848</v>
      </c>
      <c r="Q619">
        <f t="shared" si="990"/>
        <v>-50749765.046808109</v>
      </c>
      <c r="R619">
        <f t="shared" si="991"/>
        <v>3616215315.6023111</v>
      </c>
      <c r="S619">
        <f t="shared" si="992"/>
        <v>36162.153156023109</v>
      </c>
      <c r="T619">
        <f t="shared" si="993"/>
        <v>36.162153156023109</v>
      </c>
    </row>
    <row r="620" spans="1:20" x14ac:dyDescent="0.25">
      <c r="A620" s="5">
        <v>43973</v>
      </c>
      <c r="B620">
        <v>0.19434000000000001</v>
      </c>
      <c r="C620">
        <v>0.20250000000000001</v>
      </c>
      <c r="D620">
        <v>0.19212000000000001</v>
      </c>
      <c r="E620">
        <v>0.20033999999999999</v>
      </c>
      <c r="F620">
        <v>134747810.59999999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0.58381502890172965</v>
      </c>
      <c r="Q620">
        <f t="shared" si="990"/>
        <v>78667796.939883783</v>
      </c>
      <c r="R620">
        <f t="shared" si="991"/>
        <v>3666965080.6491194</v>
      </c>
      <c r="S620">
        <f t="shared" si="992"/>
        <v>36669.65080649119</v>
      </c>
      <c r="T620">
        <f t="shared" si="993"/>
        <v>36.669650806491191</v>
      </c>
    </row>
    <row r="621" spans="1:20" x14ac:dyDescent="0.25">
      <c r="A621" s="5">
        <v>43972</v>
      </c>
      <c r="B621">
        <v>0.20177999999999999</v>
      </c>
      <c r="C621">
        <v>0.20305000000000001</v>
      </c>
      <c r="D621">
        <v>0.18928</v>
      </c>
      <c r="E621">
        <v>0.19434000000000001</v>
      </c>
      <c r="F621">
        <v>119870681.59999999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-0.26506899055918559</v>
      </c>
      <c r="Q621">
        <f t="shared" si="990"/>
        <v>-31774000.569353539</v>
      </c>
      <c r="R621">
        <f t="shared" si="991"/>
        <v>3588297283.7092357</v>
      </c>
      <c r="S621">
        <f t="shared" si="992"/>
        <v>35882.972837092355</v>
      </c>
      <c r="T621">
        <f t="shared" si="993"/>
        <v>35.882972837092353</v>
      </c>
    </row>
    <row r="622" spans="1:20" x14ac:dyDescent="0.25">
      <c r="A622" s="5">
        <v>43971</v>
      </c>
      <c r="B622">
        <v>0.20485999999999999</v>
      </c>
      <c r="C622">
        <v>0.20624000000000001</v>
      </c>
      <c r="D622">
        <v>0.19750000000000001</v>
      </c>
      <c r="E622">
        <v>0.20179</v>
      </c>
      <c r="F622">
        <v>106603358.09999999</v>
      </c>
      <c r="G622">
        <v>0</v>
      </c>
      <c r="L622" t="s">
        <v>8</v>
      </c>
      <c r="M622" t="s">
        <v>7</v>
      </c>
      <c r="N622" t="s">
        <v>8</v>
      </c>
      <c r="P622">
        <f t="shared" si="989"/>
        <v>-1.8306636155608843E-2</v>
      </c>
      <c r="Q622">
        <f t="shared" si="990"/>
        <v>-1951548.8897027767</v>
      </c>
      <c r="R622">
        <f t="shared" si="991"/>
        <v>3620071284.2785892</v>
      </c>
      <c r="S622">
        <f t="shared" si="992"/>
        <v>36200.712842785892</v>
      </c>
      <c r="T622">
        <f t="shared" si="993"/>
        <v>36.20071284278589</v>
      </c>
    </row>
    <row r="623" spans="1:20" x14ac:dyDescent="0.25">
      <c r="A623" s="5">
        <v>43970</v>
      </c>
      <c r="B623">
        <v>0.20537</v>
      </c>
      <c r="C623">
        <v>0.20668</v>
      </c>
      <c r="D623">
        <v>0.20086999999999999</v>
      </c>
      <c r="E623">
        <v>0.20496</v>
      </c>
      <c r="F623">
        <v>99600289</v>
      </c>
      <c r="G623">
        <v>0</v>
      </c>
      <c r="L623" t="s">
        <v>8</v>
      </c>
      <c r="M623" t="s">
        <v>7</v>
      </c>
      <c r="N623" t="s">
        <v>8</v>
      </c>
      <c r="P623">
        <f t="shared" si="989"/>
        <v>0.40791738382099951</v>
      </c>
      <c r="Q623">
        <f t="shared" si="990"/>
        <v>40628689.316695474</v>
      </c>
      <c r="R623">
        <f t="shared" si="991"/>
        <v>3622022833.168292</v>
      </c>
      <c r="S623">
        <f t="shared" si="992"/>
        <v>36220.22833168292</v>
      </c>
      <c r="T623">
        <f t="shared" si="993"/>
        <v>36.220228331682918</v>
      </c>
    </row>
    <row r="624" spans="1:20" x14ac:dyDescent="0.25">
      <c r="A624" s="5">
        <v>43969</v>
      </c>
      <c r="B624">
        <v>0.20132</v>
      </c>
      <c r="C624">
        <v>0.20805000000000001</v>
      </c>
      <c r="D624">
        <v>0.20069999999999999</v>
      </c>
      <c r="E624">
        <v>0.20543</v>
      </c>
      <c r="F624">
        <v>129797461.7</v>
      </c>
      <c r="G624">
        <v>0</v>
      </c>
      <c r="L624" t="s">
        <v>8</v>
      </c>
      <c r="M624" t="s">
        <v>7</v>
      </c>
      <c r="N624" t="s">
        <v>8</v>
      </c>
      <c r="P624">
        <f t="shared" si="989"/>
        <v>0.28707482993197198</v>
      </c>
      <c r="Q624">
        <f t="shared" si="990"/>
        <v>37261584.243129149</v>
      </c>
      <c r="R624">
        <f t="shared" si="991"/>
        <v>3581394143.8515964</v>
      </c>
      <c r="S624">
        <f t="shared" si="992"/>
        <v>35813.941438515962</v>
      </c>
      <c r="T624">
        <f t="shared" si="993"/>
        <v>35.813941438515961</v>
      </c>
    </row>
    <row r="625" spans="1:20" x14ac:dyDescent="0.25">
      <c r="A625" s="5">
        <v>43968</v>
      </c>
      <c r="B625">
        <v>0.19969000000000001</v>
      </c>
      <c r="C625">
        <v>0.20465</v>
      </c>
      <c r="D625">
        <v>0.19889000000000001</v>
      </c>
      <c r="E625">
        <v>0.20130999999999999</v>
      </c>
      <c r="F625">
        <v>85924995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-0.15972222222222812</v>
      </c>
      <c r="Q625">
        <f t="shared" si="990"/>
        <v>-13724131.145833841</v>
      </c>
      <c r="R625">
        <f t="shared" si="991"/>
        <v>3544132559.6084671</v>
      </c>
      <c r="S625">
        <f t="shared" si="992"/>
        <v>35441.325596084673</v>
      </c>
      <c r="T625">
        <f t="shared" si="993"/>
        <v>35.441325596084674</v>
      </c>
    </row>
    <row r="626" spans="1:20" x14ac:dyDescent="0.25">
      <c r="A626" s="5">
        <v>43967</v>
      </c>
      <c r="B626">
        <v>0.19818</v>
      </c>
      <c r="C626">
        <v>0.20250000000000001</v>
      </c>
      <c r="D626">
        <v>0.19664000000000001</v>
      </c>
      <c r="E626">
        <v>0.19969000000000001</v>
      </c>
      <c r="F626">
        <v>94327453</v>
      </c>
      <c r="G626">
        <v>0</v>
      </c>
      <c r="L626" t="s">
        <v>8</v>
      </c>
      <c r="M626" t="s">
        <v>7</v>
      </c>
      <c r="N626" t="s">
        <v>8</v>
      </c>
      <c r="P626">
        <f t="shared" si="989"/>
        <v>4.0955631399315712E-2</v>
      </c>
      <c r="Q626">
        <f t="shared" si="990"/>
        <v>3863240.395904277</v>
      </c>
      <c r="R626">
        <f t="shared" si="991"/>
        <v>3557856690.7543011</v>
      </c>
      <c r="S626">
        <f t="shared" si="992"/>
        <v>35578.566907543012</v>
      </c>
      <c r="T626">
        <f t="shared" si="993"/>
        <v>35.578566907543014</v>
      </c>
    </row>
    <row r="627" spans="1:20" x14ac:dyDescent="0.25">
      <c r="A627" s="5">
        <v>43966</v>
      </c>
      <c r="B627">
        <v>0.20379</v>
      </c>
      <c r="C627">
        <v>0.20466999999999999</v>
      </c>
      <c r="D627">
        <v>0.19505</v>
      </c>
      <c r="E627">
        <v>0.19818</v>
      </c>
      <c r="F627">
        <v>142260472.90000001</v>
      </c>
      <c r="G627">
        <v>0</v>
      </c>
      <c r="L627" t="s">
        <v>8</v>
      </c>
      <c r="M627" t="s">
        <v>7</v>
      </c>
      <c r="N627" t="s">
        <v>8</v>
      </c>
      <c r="P627">
        <f t="shared" si="989"/>
        <v>-0.34927234927234985</v>
      </c>
      <c r="Q627">
        <f t="shared" si="990"/>
        <v>-49687649.578378461</v>
      </c>
      <c r="R627">
        <f t="shared" si="991"/>
        <v>3553993450.358397</v>
      </c>
      <c r="S627">
        <f t="shared" si="992"/>
        <v>35539.934503583972</v>
      </c>
      <c r="T627">
        <f t="shared" si="993"/>
        <v>35.539934503583972</v>
      </c>
    </row>
    <row r="628" spans="1:20" x14ac:dyDescent="0.25">
      <c r="A628" s="5">
        <v>43965</v>
      </c>
      <c r="B628">
        <v>0.20175999999999999</v>
      </c>
      <c r="C628">
        <v>0.20635999999999999</v>
      </c>
      <c r="D628">
        <v>0.19838</v>
      </c>
      <c r="E628">
        <v>0.20386000000000001</v>
      </c>
      <c r="F628">
        <v>123608208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0.37343358395990511</v>
      </c>
      <c r="Q628">
        <f t="shared" si="990"/>
        <v>46159456.120301418</v>
      </c>
      <c r="R628">
        <f t="shared" si="991"/>
        <v>3603681099.9367757</v>
      </c>
      <c r="S628">
        <f t="shared" si="992"/>
        <v>36036.810999367757</v>
      </c>
      <c r="T628">
        <f t="shared" si="993"/>
        <v>36.036810999367759</v>
      </c>
    </row>
    <row r="629" spans="1:20" x14ac:dyDescent="0.25">
      <c r="A629" s="5">
        <v>43964</v>
      </c>
      <c r="B629">
        <v>0.1971</v>
      </c>
      <c r="C629">
        <v>0.20429</v>
      </c>
      <c r="D629">
        <v>0.19564000000000001</v>
      </c>
      <c r="E629">
        <v>0.20177</v>
      </c>
      <c r="F629">
        <v>95212470.099999994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0.41734104046242843</v>
      </c>
      <c r="Q629">
        <f t="shared" si="990"/>
        <v>39736071.336531855</v>
      </c>
      <c r="R629">
        <f t="shared" si="991"/>
        <v>3557521643.8164744</v>
      </c>
      <c r="S629">
        <f t="shared" si="992"/>
        <v>35575.216438164745</v>
      </c>
      <c r="T629">
        <f t="shared" si="993"/>
        <v>35.575216438164745</v>
      </c>
    </row>
    <row r="630" spans="1:20" x14ac:dyDescent="0.25">
      <c r="A630" s="5">
        <v>43963</v>
      </c>
      <c r="B630">
        <v>0.19253999999999999</v>
      </c>
      <c r="C630">
        <v>0.2001</v>
      </c>
      <c r="D630">
        <v>0.19128000000000001</v>
      </c>
      <c r="E630">
        <v>0.19711000000000001</v>
      </c>
      <c r="F630">
        <v>120759033.7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0.32199546485260894</v>
      </c>
      <c r="Q630">
        <f t="shared" si="990"/>
        <v>38883861.191383369</v>
      </c>
      <c r="R630">
        <f t="shared" si="991"/>
        <v>3517785572.4799428</v>
      </c>
      <c r="S630">
        <f t="shared" si="992"/>
        <v>35177.855724799425</v>
      </c>
      <c r="T630">
        <f t="shared" si="993"/>
        <v>35.177855724799421</v>
      </c>
    </row>
    <row r="631" spans="1:20" x14ac:dyDescent="0.25">
      <c r="A631" s="5">
        <v>43962</v>
      </c>
      <c r="B631">
        <v>0.19708000000000001</v>
      </c>
      <c r="C631">
        <v>0.20030999999999999</v>
      </c>
      <c r="D631">
        <v>0.184</v>
      </c>
      <c r="E631">
        <v>0.19253999999999999</v>
      </c>
      <c r="F631">
        <v>188926069.19999999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4.7210300429184143E-2</v>
      </c>
      <c r="Q631">
        <f t="shared" si="990"/>
        <v>8919256.4858368319</v>
      </c>
      <c r="R631">
        <f t="shared" si="991"/>
        <v>3478901711.2885594</v>
      </c>
      <c r="S631">
        <f t="shared" si="992"/>
        <v>34789.017112885595</v>
      </c>
      <c r="T631">
        <f t="shared" si="993"/>
        <v>34.789017112885595</v>
      </c>
    </row>
    <row r="632" spans="1:20" x14ac:dyDescent="0.25">
      <c r="A632" s="5">
        <v>43961</v>
      </c>
      <c r="B632">
        <v>0.21642</v>
      </c>
      <c r="C632">
        <v>0.21651000000000001</v>
      </c>
      <c r="D632">
        <v>0.17799999999999999</v>
      </c>
      <c r="E632">
        <v>0.19702</v>
      </c>
      <c r="F632">
        <v>310627388.10000002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-1.2204622176058114E-2</v>
      </c>
      <c r="Q632">
        <f t="shared" si="990"/>
        <v>-3791089.9092962705</v>
      </c>
      <c r="R632">
        <f t="shared" si="991"/>
        <v>3469982454.8027225</v>
      </c>
      <c r="S632">
        <f t="shared" si="992"/>
        <v>34699.824548027223</v>
      </c>
      <c r="T632">
        <f t="shared" si="993"/>
        <v>34.699824548027223</v>
      </c>
    </row>
    <row r="633" spans="1:20" x14ac:dyDescent="0.25">
      <c r="A633" s="5">
        <v>43960</v>
      </c>
      <c r="B633">
        <v>0.21865000000000001</v>
      </c>
      <c r="C633">
        <v>0.22500000000000001</v>
      </c>
      <c r="D633">
        <v>0.21554000000000001</v>
      </c>
      <c r="E633">
        <v>0.21642</v>
      </c>
      <c r="F633">
        <v>159019230.09999999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-0.81395348837209469</v>
      </c>
      <c r="Q633">
        <f t="shared" si="990"/>
        <v>-129434257.0581398</v>
      </c>
      <c r="R633">
        <f t="shared" si="991"/>
        <v>3473773544.7120185</v>
      </c>
      <c r="S633">
        <f t="shared" si="992"/>
        <v>34737.735447120183</v>
      </c>
      <c r="T633">
        <f t="shared" si="993"/>
        <v>34.737735447120187</v>
      </c>
    </row>
    <row r="634" spans="1:20" x14ac:dyDescent="0.25">
      <c r="A634" s="5">
        <v>43959</v>
      </c>
      <c r="B634">
        <v>0.21859999999999999</v>
      </c>
      <c r="C634">
        <v>0.22198999999999999</v>
      </c>
      <c r="D634">
        <v>0.21423</v>
      </c>
      <c r="E634">
        <v>0.21865000000000001</v>
      </c>
      <c r="F634">
        <v>133922204.40000001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0.13917525773196224</v>
      </c>
      <c r="Q634">
        <f t="shared" si="990"/>
        <v>18638657.31340253</v>
      </c>
      <c r="R634">
        <f t="shared" si="991"/>
        <v>3603207801.7701583</v>
      </c>
      <c r="S634">
        <f t="shared" si="992"/>
        <v>36032.078017701584</v>
      </c>
      <c r="T634">
        <f t="shared" si="993"/>
        <v>36.032078017701586</v>
      </c>
    </row>
    <row r="635" spans="1:20" x14ac:dyDescent="0.25">
      <c r="A635" s="5">
        <v>43958</v>
      </c>
      <c r="B635">
        <v>0.21171999999999999</v>
      </c>
      <c r="C635">
        <v>0.22109999999999999</v>
      </c>
      <c r="D635">
        <v>0.20934</v>
      </c>
      <c r="E635">
        <v>0.21862000000000001</v>
      </c>
      <c r="F635">
        <v>175859218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0.57823129251700955</v>
      </c>
      <c r="Q635">
        <f t="shared" si="990"/>
        <v>101687302.92517056</v>
      </c>
      <c r="R635">
        <f t="shared" si="991"/>
        <v>3584569144.4567556</v>
      </c>
      <c r="S635">
        <f t="shared" si="992"/>
        <v>35845.691444567557</v>
      </c>
      <c r="T635">
        <f t="shared" si="993"/>
        <v>35.845691444567557</v>
      </c>
    </row>
    <row r="636" spans="1:20" x14ac:dyDescent="0.25">
      <c r="A636" s="5">
        <v>43957</v>
      </c>
      <c r="B636">
        <v>0.21687999999999999</v>
      </c>
      <c r="C636">
        <v>0.22239999999999999</v>
      </c>
      <c r="D636">
        <v>0.21029</v>
      </c>
      <c r="E636">
        <v>0.21157999999999999</v>
      </c>
      <c r="F636">
        <v>131362572.40000001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-0.78695293146160405</v>
      </c>
      <c r="Q636">
        <f t="shared" si="990"/>
        <v>-103376161.4345172</v>
      </c>
      <c r="R636">
        <f t="shared" si="991"/>
        <v>3482881841.5315852</v>
      </c>
      <c r="S636">
        <f t="shared" si="992"/>
        <v>34828.818415315851</v>
      </c>
      <c r="T636">
        <f t="shared" si="993"/>
        <v>34.828818415315851</v>
      </c>
    </row>
    <row r="637" spans="1:20" x14ac:dyDescent="0.25">
      <c r="A637" s="5">
        <v>43956</v>
      </c>
      <c r="B637">
        <v>0.21776999999999999</v>
      </c>
      <c r="C637">
        <v>0.22212999999999999</v>
      </c>
      <c r="D637">
        <v>0.21315999999999999</v>
      </c>
      <c r="E637">
        <v>0.21687999999999999</v>
      </c>
      <c r="F637">
        <v>106925948.7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-0.17056856187291</v>
      </c>
      <c r="Q637">
        <f t="shared" si="990"/>
        <v>-18238205.296655551</v>
      </c>
      <c r="R637">
        <f t="shared" si="991"/>
        <v>3586258002.9661026</v>
      </c>
      <c r="S637">
        <f t="shared" si="992"/>
        <v>35862.580029661025</v>
      </c>
      <c r="T637">
        <f t="shared" si="993"/>
        <v>35.862580029661025</v>
      </c>
    </row>
    <row r="638" spans="1:20" x14ac:dyDescent="0.25">
      <c r="A638" s="5">
        <v>43955</v>
      </c>
      <c r="B638">
        <v>0.21936</v>
      </c>
      <c r="C638">
        <v>0.22056999999999999</v>
      </c>
      <c r="D638">
        <v>0.20713000000000001</v>
      </c>
      <c r="E638">
        <v>0.21776000000000001</v>
      </c>
      <c r="F638">
        <v>166756745.30000001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0.58184523809524058</v>
      </c>
      <c r="Q638">
        <f t="shared" si="990"/>
        <v>97026618.173065901</v>
      </c>
      <c r="R638">
        <f t="shared" si="991"/>
        <v>3604496208.2627583</v>
      </c>
      <c r="S638">
        <f t="shared" si="992"/>
        <v>36044.962082627586</v>
      </c>
      <c r="T638">
        <f t="shared" si="993"/>
        <v>36.044962082627585</v>
      </c>
    </row>
    <row r="639" spans="1:20" x14ac:dyDescent="0.25">
      <c r="A639" s="5">
        <v>43954</v>
      </c>
      <c r="B639">
        <v>0.22377</v>
      </c>
      <c r="C639">
        <v>0.22667000000000001</v>
      </c>
      <c r="D639">
        <v>0.21540000000000001</v>
      </c>
      <c r="E639">
        <v>0.21936</v>
      </c>
      <c r="F639">
        <v>111226961.59999999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-0.29724933451641694</v>
      </c>
      <c r="Q639">
        <f t="shared" si="990"/>
        <v>-33062140.315883059</v>
      </c>
      <c r="R639">
        <f t="shared" si="991"/>
        <v>3507469590.0896921</v>
      </c>
      <c r="S639">
        <f t="shared" si="992"/>
        <v>35074.695900896921</v>
      </c>
      <c r="T639">
        <f t="shared" si="993"/>
        <v>35.07469590089692</v>
      </c>
    </row>
    <row r="640" spans="1:20" x14ac:dyDescent="0.25">
      <c r="A640" s="5">
        <v>43953</v>
      </c>
      <c r="B640">
        <v>0.21784999999999999</v>
      </c>
      <c r="C640">
        <v>0.22575000000000001</v>
      </c>
      <c r="D640">
        <v>0.21534</v>
      </c>
      <c r="E640">
        <v>0.22369</v>
      </c>
      <c r="F640">
        <v>119932182.7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0.60422670509125731</v>
      </c>
      <c r="Q640">
        <f t="shared" si="990"/>
        <v>72466227.587223694</v>
      </c>
      <c r="R640">
        <f t="shared" si="991"/>
        <v>3540531730.4055753</v>
      </c>
      <c r="S640">
        <f t="shared" si="992"/>
        <v>35405.317304055752</v>
      </c>
      <c r="T640">
        <f t="shared" si="993"/>
        <v>35.40531730405575</v>
      </c>
    </row>
    <row r="641" spans="1:20" x14ac:dyDescent="0.25">
      <c r="A641" s="5">
        <v>43952</v>
      </c>
      <c r="B641">
        <v>0.21135000000000001</v>
      </c>
      <c r="C641">
        <v>0.22417999999999999</v>
      </c>
      <c r="D641">
        <v>0.21117</v>
      </c>
      <c r="E641">
        <v>0.21786</v>
      </c>
      <c r="F641">
        <v>160339801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2.843966179861717E-2</v>
      </c>
      <c r="Q641">
        <f t="shared" si="990"/>
        <v>4560009.7132975794</v>
      </c>
      <c r="R641">
        <f t="shared" si="991"/>
        <v>3468065502.8183517</v>
      </c>
      <c r="S641">
        <f t="shared" si="992"/>
        <v>34680.655028183515</v>
      </c>
      <c r="T641">
        <f t="shared" si="993"/>
        <v>34.680655028183516</v>
      </c>
    </row>
    <row r="642" spans="1:20" x14ac:dyDescent="0.25">
      <c r="A642" s="5">
        <v>43951</v>
      </c>
      <c r="B642">
        <v>0.22644</v>
      </c>
      <c r="C642">
        <v>0.2359</v>
      </c>
      <c r="D642">
        <v>0.20816000000000001</v>
      </c>
      <c r="E642">
        <v>0.21135000000000001</v>
      </c>
      <c r="F642">
        <v>314088335.10000002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-0.77000720980533521</v>
      </c>
      <c r="Q642">
        <f t="shared" si="990"/>
        <v>-241850282.54275414</v>
      </c>
      <c r="R642">
        <f t="shared" si="991"/>
        <v>3463505493.1050544</v>
      </c>
      <c r="S642">
        <f t="shared" si="992"/>
        <v>34635.054931050545</v>
      </c>
      <c r="T642">
        <f t="shared" si="993"/>
        <v>34.635054931050547</v>
      </c>
    </row>
    <row r="643" spans="1:20" x14ac:dyDescent="0.25">
      <c r="A643" s="5">
        <v>43950</v>
      </c>
      <c r="B643">
        <v>0.21415000000000001</v>
      </c>
      <c r="C643">
        <v>0.23075000000000001</v>
      </c>
      <c r="D643">
        <v>0.20981</v>
      </c>
      <c r="E643">
        <v>0.22647999999999999</v>
      </c>
      <c r="F643">
        <v>292096742.30000001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0.59216809933142112</v>
      </c>
      <c r="Q643">
        <f t="shared" si="990"/>
        <v>172970372.70869091</v>
      </c>
      <c r="R643">
        <f t="shared" si="991"/>
        <v>3705355775.6478086</v>
      </c>
      <c r="S643">
        <f t="shared" si="992"/>
        <v>37053.557756478083</v>
      </c>
      <c r="T643">
        <f t="shared" si="993"/>
        <v>37.053557756478085</v>
      </c>
    </row>
    <row r="644" spans="1:20" x14ac:dyDescent="0.25">
      <c r="A644" s="5">
        <v>43949</v>
      </c>
      <c r="B644">
        <v>0.19750000000000001</v>
      </c>
      <c r="C644">
        <v>0.21806</v>
      </c>
      <c r="D644">
        <v>0.19459000000000001</v>
      </c>
      <c r="E644">
        <v>0.21415999999999999</v>
      </c>
      <c r="F644">
        <v>244843302.09999999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0.66766084363016476</v>
      </c>
      <c r="Q644">
        <f t="shared" si="990"/>
        <v>163472285.6372813</v>
      </c>
      <c r="R644">
        <f t="shared" si="991"/>
        <v>3532385402.9391174</v>
      </c>
      <c r="S644">
        <f t="shared" si="992"/>
        <v>35323.854029391172</v>
      </c>
      <c r="T644">
        <f t="shared" si="993"/>
        <v>35.323854029391171</v>
      </c>
    </row>
    <row r="645" spans="1:20" x14ac:dyDescent="0.25">
      <c r="A645" s="5">
        <v>43948</v>
      </c>
      <c r="B645">
        <v>0.19620000000000001</v>
      </c>
      <c r="C645">
        <v>0.19979</v>
      </c>
      <c r="D645">
        <v>0.19406999999999999</v>
      </c>
      <c r="E645">
        <v>0.19747000000000001</v>
      </c>
      <c r="F645">
        <v>104536714.3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0.18881118881119316</v>
      </c>
      <c r="Q645">
        <f t="shared" si="990"/>
        <v>19737701.301399056</v>
      </c>
      <c r="R645">
        <f t="shared" si="991"/>
        <v>3368913117.301836</v>
      </c>
      <c r="S645">
        <f t="shared" si="992"/>
        <v>33689.131173018359</v>
      </c>
      <c r="T645">
        <f t="shared" si="993"/>
        <v>33.68913117301836</v>
      </c>
    </row>
    <row r="646" spans="1:20" x14ac:dyDescent="0.25">
      <c r="A646" s="5">
        <v>43947</v>
      </c>
      <c r="B646">
        <v>0.19414000000000001</v>
      </c>
      <c r="C646">
        <v>0.19775000000000001</v>
      </c>
      <c r="D646">
        <v>0.19133</v>
      </c>
      <c r="E646">
        <v>0.19617999999999999</v>
      </c>
      <c r="F646">
        <v>93225699.400000006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0.51090342679127299</v>
      </c>
      <c r="Q646">
        <f t="shared" ref="Q646:Q709" si="995">F646*P646</f>
        <v>47629329.288473122</v>
      </c>
      <c r="R646">
        <f t="shared" ref="R646:R709" si="996">R647+Q646</f>
        <v>3349175416.0004368</v>
      </c>
      <c r="S646">
        <f t="shared" ref="S646:S709" si="997">R646/100000</f>
        <v>33491.75416000437</v>
      </c>
      <c r="T646">
        <f t="shared" ref="T646:T709" si="998">S646/1000</f>
        <v>33.491754160004369</v>
      </c>
    </row>
    <row r="647" spans="1:20" x14ac:dyDescent="0.25">
      <c r="A647" s="5">
        <v>43946</v>
      </c>
      <c r="B647">
        <v>0.19327</v>
      </c>
      <c r="C647">
        <v>0.19775999999999999</v>
      </c>
      <c r="D647">
        <v>0.19159999999999999</v>
      </c>
      <c r="E647">
        <v>0.19417999999999999</v>
      </c>
      <c r="F647">
        <v>78779257.099999994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-0.1623376623376625</v>
      </c>
      <c r="Q647">
        <f t="shared" si="995"/>
        <v>-12788840.4383117</v>
      </c>
      <c r="R647">
        <f t="shared" si="996"/>
        <v>3301546086.7119637</v>
      </c>
      <c r="S647">
        <f t="shared" si="997"/>
        <v>33015.46086711964</v>
      </c>
      <c r="T647">
        <f t="shared" si="998"/>
        <v>33.015460867119643</v>
      </c>
    </row>
    <row r="648" spans="1:20" x14ac:dyDescent="0.25">
      <c r="A648" s="5">
        <v>43945</v>
      </c>
      <c r="B648">
        <v>0.19261</v>
      </c>
      <c r="C648">
        <v>0.19694999999999999</v>
      </c>
      <c r="D648">
        <v>0.19197</v>
      </c>
      <c r="E648">
        <v>0.19325000000000001</v>
      </c>
      <c r="F648">
        <v>113830925.09999999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-0.48594377510039866</v>
      </c>
      <c r="Q648">
        <f t="shared" si="995"/>
        <v>-55315429.466264725</v>
      </c>
      <c r="R648">
        <f t="shared" si="996"/>
        <v>3314334927.1502752</v>
      </c>
      <c r="S648">
        <f t="shared" si="997"/>
        <v>33143.349271502753</v>
      </c>
      <c r="T648">
        <f t="shared" si="998"/>
        <v>33.14334927150275</v>
      </c>
    </row>
    <row r="649" spans="1:20" x14ac:dyDescent="0.25">
      <c r="A649" s="5">
        <v>43944</v>
      </c>
      <c r="B649">
        <v>0.18803</v>
      </c>
      <c r="C649">
        <v>0.19950999999999999</v>
      </c>
      <c r="D649">
        <v>0.18557999999999999</v>
      </c>
      <c r="E649">
        <v>0.19259999999999999</v>
      </c>
      <c r="F649">
        <v>179113808.30000001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7.896625987078177E-3</v>
      </c>
      <c r="Q649">
        <f t="shared" si="995"/>
        <v>1414394.7532663189</v>
      </c>
      <c r="R649">
        <f t="shared" si="996"/>
        <v>3369650356.61654</v>
      </c>
      <c r="S649">
        <f t="shared" si="997"/>
        <v>33696.503566165396</v>
      </c>
      <c r="T649">
        <f t="shared" si="998"/>
        <v>33.696503566165397</v>
      </c>
    </row>
    <row r="650" spans="1:20" x14ac:dyDescent="0.25">
      <c r="A650" s="5">
        <v>43943</v>
      </c>
      <c r="B650">
        <v>0.18342</v>
      </c>
      <c r="C650">
        <v>0.18964</v>
      </c>
      <c r="D650">
        <v>0.18201999999999999</v>
      </c>
      <c r="E650">
        <v>0.18804000000000001</v>
      </c>
      <c r="F650">
        <v>93916879.299999997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0.58005249343832366</v>
      </c>
      <c r="Q650">
        <f t="shared" si="995"/>
        <v>54476720.013911083</v>
      </c>
      <c r="R650">
        <f t="shared" si="996"/>
        <v>3368235961.8632736</v>
      </c>
      <c r="S650">
        <f t="shared" si="997"/>
        <v>33682.359618632734</v>
      </c>
      <c r="T650">
        <f t="shared" si="998"/>
        <v>33.682359618632731</v>
      </c>
    </row>
    <row r="651" spans="1:20" x14ac:dyDescent="0.25">
      <c r="A651" s="5">
        <v>43942</v>
      </c>
      <c r="B651">
        <v>0.18146999999999999</v>
      </c>
      <c r="C651">
        <v>0.18637000000000001</v>
      </c>
      <c r="D651">
        <v>0.18109</v>
      </c>
      <c r="E651">
        <v>0.18340999999999999</v>
      </c>
      <c r="F651">
        <v>111773322.90000001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-0.12121212121212663</v>
      </c>
      <c r="Q651">
        <f t="shared" si="995"/>
        <v>-13548281.56363697</v>
      </c>
      <c r="R651">
        <f t="shared" si="996"/>
        <v>3313759241.8493624</v>
      </c>
      <c r="S651">
        <f t="shared" si="997"/>
        <v>33137.592418493623</v>
      </c>
      <c r="T651">
        <f t="shared" si="998"/>
        <v>33.137592418493625</v>
      </c>
    </row>
    <row r="652" spans="1:20" x14ac:dyDescent="0.25">
      <c r="A652" s="5">
        <v>43941</v>
      </c>
      <c r="B652">
        <v>0.18892</v>
      </c>
      <c r="C652">
        <v>0.19453000000000001</v>
      </c>
      <c r="D652">
        <v>0.17821000000000001</v>
      </c>
      <c r="E652">
        <v>0.18151</v>
      </c>
      <c r="F652">
        <v>174028243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-0.59558823529411797</v>
      </c>
      <c r="Q652">
        <f t="shared" si="995"/>
        <v>-103649174.13970594</v>
      </c>
      <c r="R652">
        <f t="shared" si="996"/>
        <v>3327307523.4129992</v>
      </c>
      <c r="S652">
        <f t="shared" si="997"/>
        <v>33273.075234129989</v>
      </c>
      <c r="T652">
        <f t="shared" si="998"/>
        <v>33.27307523412999</v>
      </c>
    </row>
    <row r="653" spans="1:20" x14ac:dyDescent="0.25">
      <c r="A653" s="5">
        <v>43940</v>
      </c>
      <c r="B653">
        <v>0.19539000000000001</v>
      </c>
      <c r="C653">
        <v>0.19638</v>
      </c>
      <c r="D653">
        <v>0.18772</v>
      </c>
      <c r="E653">
        <v>0.18901000000000001</v>
      </c>
      <c r="F653">
        <v>89989794.299999997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-0.70207852193995079</v>
      </c>
      <c r="Q653">
        <f t="shared" si="995"/>
        <v>-63179901.771824203</v>
      </c>
      <c r="R653">
        <f t="shared" si="996"/>
        <v>3430956697.5527053</v>
      </c>
      <c r="S653">
        <f t="shared" si="997"/>
        <v>34309.56697552705</v>
      </c>
      <c r="T653">
        <f t="shared" si="998"/>
        <v>34.309566975527048</v>
      </c>
    </row>
    <row r="654" spans="1:20" x14ac:dyDescent="0.25">
      <c r="A654" s="5">
        <v>43939</v>
      </c>
      <c r="B654">
        <v>0.18862999999999999</v>
      </c>
      <c r="C654">
        <v>0.19714999999999999</v>
      </c>
      <c r="D654">
        <v>0.18837999999999999</v>
      </c>
      <c r="E654">
        <v>0.19544</v>
      </c>
      <c r="F654">
        <v>113765553.3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0.61003420752565807</v>
      </c>
      <c r="Q654">
        <f t="shared" si="995"/>
        <v>69400879.151083514</v>
      </c>
      <c r="R654">
        <f t="shared" si="996"/>
        <v>3494136599.3245296</v>
      </c>
      <c r="S654">
        <f t="shared" si="997"/>
        <v>34941.365993245294</v>
      </c>
      <c r="T654">
        <f t="shared" si="998"/>
        <v>34.941365993245292</v>
      </c>
    </row>
    <row r="655" spans="1:20" x14ac:dyDescent="0.25">
      <c r="A655" s="5">
        <v>43938</v>
      </c>
      <c r="B655">
        <v>0.1905</v>
      </c>
      <c r="C655">
        <v>0.19184999999999999</v>
      </c>
      <c r="D655">
        <v>0.18618000000000001</v>
      </c>
      <c r="E655">
        <v>0.18862999999999999</v>
      </c>
      <c r="F655">
        <v>91976842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-0.13580246913580657</v>
      </c>
      <c r="Q655">
        <f t="shared" si="995"/>
        <v>-12490682.246913956</v>
      </c>
      <c r="R655">
        <f t="shared" si="996"/>
        <v>3424735720.1734462</v>
      </c>
      <c r="S655">
        <f t="shared" si="997"/>
        <v>34247.357201734463</v>
      </c>
      <c r="T655">
        <f t="shared" si="998"/>
        <v>34.247357201734467</v>
      </c>
    </row>
    <row r="656" spans="1:20" x14ac:dyDescent="0.25">
      <c r="A656" s="5">
        <v>43937</v>
      </c>
      <c r="B656">
        <v>0.18049999999999999</v>
      </c>
      <c r="C656">
        <v>0.19399</v>
      </c>
      <c r="D656">
        <v>0.17399999999999999</v>
      </c>
      <c r="E656">
        <v>0.19053</v>
      </c>
      <c r="F656">
        <v>220290862.90000001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0.65382691345672939</v>
      </c>
      <c r="Q656">
        <f t="shared" si="995"/>
        <v>144032094.95262656</v>
      </c>
      <c r="R656">
        <f t="shared" si="996"/>
        <v>3437226402.4203601</v>
      </c>
      <c r="S656">
        <f t="shared" si="997"/>
        <v>34372.2640242036</v>
      </c>
      <c r="T656">
        <f t="shared" si="998"/>
        <v>34.372264024203602</v>
      </c>
    </row>
    <row r="657" spans="1:20" x14ac:dyDescent="0.25">
      <c r="A657" s="5">
        <v>43936</v>
      </c>
      <c r="B657">
        <v>0.18604999999999999</v>
      </c>
      <c r="C657">
        <v>0.18973000000000001</v>
      </c>
      <c r="D657">
        <v>0.18</v>
      </c>
      <c r="E657">
        <v>0.18049999999999999</v>
      </c>
      <c r="F657">
        <v>121466630.09999999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-0.89722507708119226</v>
      </c>
      <c r="Q657">
        <f t="shared" si="995"/>
        <v>-108982906.55426516</v>
      </c>
      <c r="R657">
        <f t="shared" si="996"/>
        <v>3293194307.4677334</v>
      </c>
      <c r="S657">
        <f t="shared" si="997"/>
        <v>32931.943074677336</v>
      </c>
      <c r="T657">
        <f t="shared" si="998"/>
        <v>32.931943074677335</v>
      </c>
    </row>
    <row r="658" spans="1:20" x14ac:dyDescent="0.25">
      <c r="A658" s="5">
        <v>43935</v>
      </c>
      <c r="B658">
        <v>0.18764</v>
      </c>
      <c r="C658">
        <v>0.18931000000000001</v>
      </c>
      <c r="D658">
        <v>0.18312999999999999</v>
      </c>
      <c r="E658">
        <v>0.18612999999999999</v>
      </c>
      <c r="F658">
        <v>93684121.099999994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-2.9126213592235103E-2</v>
      </c>
      <c r="Q658">
        <f t="shared" si="995"/>
        <v>-2728663.7213594192</v>
      </c>
      <c r="R658">
        <f t="shared" si="996"/>
        <v>3402177214.0219984</v>
      </c>
      <c r="S658">
        <f t="shared" si="997"/>
        <v>34021.772140219982</v>
      </c>
      <c r="T658">
        <f t="shared" si="998"/>
        <v>34.02177214021998</v>
      </c>
    </row>
    <row r="659" spans="1:20" x14ac:dyDescent="0.25">
      <c r="A659" s="5">
        <v>43934</v>
      </c>
      <c r="B659">
        <v>0.18931999999999999</v>
      </c>
      <c r="C659">
        <v>0.18947</v>
      </c>
      <c r="D659">
        <v>0.18010999999999999</v>
      </c>
      <c r="E659">
        <v>0.18762999999999999</v>
      </c>
      <c r="F659">
        <v>158956441.40000001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0.60683760683760535</v>
      </c>
      <c r="Q659">
        <f t="shared" si="995"/>
        <v>96460746.490598053</v>
      </c>
      <c r="R659">
        <f t="shared" si="996"/>
        <v>3404905877.7433577</v>
      </c>
      <c r="S659">
        <f t="shared" si="997"/>
        <v>34049.05877743358</v>
      </c>
      <c r="T659">
        <f t="shared" si="998"/>
        <v>34.049058777433579</v>
      </c>
    </row>
    <row r="660" spans="1:20" x14ac:dyDescent="0.25">
      <c r="A660" s="5">
        <v>43933</v>
      </c>
      <c r="B660">
        <v>0.18848000000000001</v>
      </c>
      <c r="C660">
        <v>0.19567000000000001</v>
      </c>
      <c r="D660">
        <v>0.18615999999999999</v>
      </c>
      <c r="E660">
        <v>0.18939</v>
      </c>
      <c r="F660">
        <v>129786730.40000001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-0.32071503680336394</v>
      </c>
      <c r="Q660">
        <f t="shared" si="995"/>
        <v>-41624556.016824275</v>
      </c>
      <c r="R660">
        <f t="shared" si="996"/>
        <v>3308445131.2527595</v>
      </c>
      <c r="S660">
        <f t="shared" si="997"/>
        <v>33084.451312527592</v>
      </c>
      <c r="T660">
        <f t="shared" si="998"/>
        <v>33.084451312527591</v>
      </c>
    </row>
    <row r="661" spans="1:20" x14ac:dyDescent="0.25">
      <c r="A661" s="5">
        <v>43932</v>
      </c>
      <c r="B661">
        <v>0.18759999999999999</v>
      </c>
      <c r="C661">
        <v>0.19213</v>
      </c>
      <c r="D661">
        <v>0.185</v>
      </c>
      <c r="E661">
        <v>0.1885</v>
      </c>
      <c r="F661">
        <v>100598265.90000001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-1.8232819074332579E-2</v>
      </c>
      <c r="Q661">
        <f t="shared" si="995"/>
        <v>-1834189.9813463008</v>
      </c>
      <c r="R661">
        <f t="shared" si="996"/>
        <v>3350069687.2695837</v>
      </c>
      <c r="S661">
        <f t="shared" si="997"/>
        <v>33500.696872695837</v>
      </c>
      <c r="T661">
        <f t="shared" si="998"/>
        <v>33.500696872695833</v>
      </c>
    </row>
    <row r="662" spans="1:20" x14ac:dyDescent="0.25">
      <c r="A662" s="5">
        <v>43931</v>
      </c>
      <c r="B662">
        <v>0.19825999999999999</v>
      </c>
      <c r="C662">
        <v>0.19872000000000001</v>
      </c>
      <c r="D662">
        <v>0.18118999999999999</v>
      </c>
      <c r="E662">
        <v>0.18758</v>
      </c>
      <c r="F662">
        <v>160752187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-0.27096406160867081</v>
      </c>
      <c r="Q662">
        <f t="shared" si="995"/>
        <v>-43558065.501996569</v>
      </c>
      <c r="R662">
        <f t="shared" si="996"/>
        <v>3351903877.2509298</v>
      </c>
      <c r="S662">
        <f t="shared" si="997"/>
        <v>33519.038772509295</v>
      </c>
      <c r="T662">
        <f t="shared" si="998"/>
        <v>33.519038772509298</v>
      </c>
    </row>
    <row r="663" spans="1:20" x14ac:dyDescent="0.25">
      <c r="A663" s="5">
        <v>43930</v>
      </c>
      <c r="B663">
        <v>0.20191999999999999</v>
      </c>
      <c r="C663">
        <v>0.20230999999999999</v>
      </c>
      <c r="D663">
        <v>0.1938</v>
      </c>
      <c r="E663">
        <v>0.19828999999999999</v>
      </c>
      <c r="F663">
        <v>104421253.8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5.5229142185663778E-2</v>
      </c>
      <c r="Q663">
        <f t="shared" si="995"/>
        <v>5767096.2733254842</v>
      </c>
      <c r="R663">
        <f t="shared" si="996"/>
        <v>3395461942.7529263</v>
      </c>
      <c r="S663">
        <f t="shared" si="997"/>
        <v>33954.619427529266</v>
      </c>
      <c r="T663">
        <f t="shared" si="998"/>
        <v>33.954619427529266</v>
      </c>
    </row>
    <row r="664" spans="1:20" x14ac:dyDescent="0.25">
      <c r="A664" s="5">
        <v>43929</v>
      </c>
      <c r="B664">
        <v>0.19283</v>
      </c>
      <c r="C664">
        <v>0.20294000000000001</v>
      </c>
      <c r="D664">
        <v>0.19155</v>
      </c>
      <c r="E664">
        <v>0.20191999999999999</v>
      </c>
      <c r="F664">
        <v>154841655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0.82089552238805619</v>
      </c>
      <c r="Q664">
        <f t="shared" si="995"/>
        <v>127108821.26865618</v>
      </c>
      <c r="R664">
        <f t="shared" si="996"/>
        <v>3389694846.4796009</v>
      </c>
      <c r="S664">
        <f t="shared" si="997"/>
        <v>33896.948464796013</v>
      </c>
      <c r="T664">
        <f t="shared" si="998"/>
        <v>33.896948464796012</v>
      </c>
    </row>
    <row r="665" spans="1:20" x14ac:dyDescent="0.25">
      <c r="A665" s="5">
        <v>43928</v>
      </c>
      <c r="B665">
        <v>0.19800000000000001</v>
      </c>
      <c r="C665">
        <v>0.20519000000000001</v>
      </c>
      <c r="D665">
        <v>0.18986</v>
      </c>
      <c r="E665">
        <v>0.19284999999999999</v>
      </c>
      <c r="F665">
        <v>271460619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-0.60991519895629609</v>
      </c>
      <c r="Q665">
        <f t="shared" si="995"/>
        <v>-165567957.44618428</v>
      </c>
      <c r="R665">
        <f t="shared" si="996"/>
        <v>3262586025.2109447</v>
      </c>
      <c r="S665">
        <f t="shared" si="997"/>
        <v>32625.860252109447</v>
      </c>
      <c r="T665">
        <f t="shared" si="998"/>
        <v>32.625860252109447</v>
      </c>
    </row>
    <row r="666" spans="1:20" x14ac:dyDescent="0.25">
      <c r="A666" s="5">
        <v>43927</v>
      </c>
      <c r="B666">
        <v>0.17927000000000001</v>
      </c>
      <c r="C666">
        <v>0.19833999999999999</v>
      </c>
      <c r="D666">
        <v>0.17917</v>
      </c>
      <c r="E666">
        <v>0.19803000000000001</v>
      </c>
      <c r="F666">
        <v>225433233.40000001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0.96765779864371648</v>
      </c>
      <c r="Q666">
        <f t="shared" si="995"/>
        <v>218142226.37297913</v>
      </c>
      <c r="R666">
        <f t="shared" si="996"/>
        <v>3428153982.6571288</v>
      </c>
      <c r="S666">
        <f t="shared" si="997"/>
        <v>34281.539826571287</v>
      </c>
      <c r="T666">
        <f t="shared" si="998"/>
        <v>34.28153982657129</v>
      </c>
    </row>
    <row r="667" spans="1:20" x14ac:dyDescent="0.25">
      <c r="A667" s="5">
        <v>43926</v>
      </c>
      <c r="B667">
        <v>0.18114</v>
      </c>
      <c r="C667">
        <v>0.18206</v>
      </c>
      <c r="D667">
        <v>0.17627000000000001</v>
      </c>
      <c r="E667">
        <v>0.17924999999999999</v>
      </c>
      <c r="F667">
        <v>83641306.299999997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2.9360967184797242E-2</v>
      </c>
      <c r="Q667">
        <f t="shared" si="995"/>
        <v>2455789.6495678746</v>
      </c>
      <c r="R667">
        <f t="shared" si="996"/>
        <v>3210011756.2841496</v>
      </c>
      <c r="S667">
        <f t="shared" si="997"/>
        <v>32100.117562841497</v>
      </c>
      <c r="T667">
        <f t="shared" si="998"/>
        <v>32.100117562841497</v>
      </c>
    </row>
    <row r="668" spans="1:20" x14ac:dyDescent="0.25">
      <c r="A668" s="5">
        <v>43925</v>
      </c>
      <c r="B668">
        <v>0.17956</v>
      </c>
      <c r="C668">
        <v>0.18365000000000001</v>
      </c>
      <c r="D668">
        <v>0.1777</v>
      </c>
      <c r="E668">
        <v>0.18114</v>
      </c>
      <c r="F668">
        <v>117148787.3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0.15630252100840078</v>
      </c>
      <c r="Q668">
        <f t="shared" si="995"/>
        <v>18310650.788066924</v>
      </c>
      <c r="R668">
        <f t="shared" si="996"/>
        <v>3207555966.6345816</v>
      </c>
      <c r="S668">
        <f t="shared" si="997"/>
        <v>32075.559666345816</v>
      </c>
      <c r="T668">
        <f t="shared" si="998"/>
        <v>32.075559666345818</v>
      </c>
    </row>
    <row r="669" spans="1:20" x14ac:dyDescent="0.25">
      <c r="A669" s="5">
        <v>43924</v>
      </c>
      <c r="B669">
        <v>0.17827999999999999</v>
      </c>
      <c r="C669">
        <v>0.18276999999999999</v>
      </c>
      <c r="D669">
        <v>0.17568</v>
      </c>
      <c r="E669">
        <v>0.17957000000000001</v>
      </c>
      <c r="F669">
        <v>170663444.5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9.7320169252471847E-2</v>
      </c>
      <c r="Q669">
        <f t="shared" si="995"/>
        <v>16608995.303949835</v>
      </c>
      <c r="R669">
        <f t="shared" si="996"/>
        <v>3189245315.8465147</v>
      </c>
      <c r="S669">
        <f t="shared" si="997"/>
        <v>31892.453158465149</v>
      </c>
      <c r="T669">
        <f t="shared" si="998"/>
        <v>31.892453158465148</v>
      </c>
    </row>
    <row r="670" spans="1:20" x14ac:dyDescent="0.25">
      <c r="A670" s="5">
        <v>43923</v>
      </c>
      <c r="B670">
        <v>0.17496999999999999</v>
      </c>
      <c r="C670">
        <v>0.1865</v>
      </c>
      <c r="D670">
        <v>0.17383999999999999</v>
      </c>
      <c r="E670">
        <v>0.17827999999999999</v>
      </c>
      <c r="F670">
        <v>223398206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-0.29857819905213301</v>
      </c>
      <c r="Q670">
        <f t="shared" si="995"/>
        <v>-66701834.018957414</v>
      </c>
      <c r="R670">
        <f t="shared" si="996"/>
        <v>3172636320.5425649</v>
      </c>
      <c r="S670">
        <f t="shared" si="997"/>
        <v>31726.363205425649</v>
      </c>
      <c r="T670">
        <f t="shared" si="998"/>
        <v>31.726363205425649</v>
      </c>
    </row>
    <row r="671" spans="1:20" x14ac:dyDescent="0.25">
      <c r="A671" s="5">
        <v>43922</v>
      </c>
      <c r="B671">
        <v>0.17358999999999999</v>
      </c>
      <c r="C671">
        <v>0.17630000000000001</v>
      </c>
      <c r="D671">
        <v>0.16783000000000001</v>
      </c>
      <c r="E671">
        <v>0.17494000000000001</v>
      </c>
      <c r="F671">
        <v>184017110.90000001</v>
      </c>
      <c r="G671">
        <v>0</v>
      </c>
      <c r="L671" t="s">
        <v>8</v>
      </c>
      <c r="M671" t="s">
        <v>8</v>
      </c>
      <c r="N671" t="s">
        <v>8</v>
      </c>
      <c r="P671">
        <f t="shared" si="994"/>
        <v>0.67886658795749721</v>
      </c>
      <c r="Q671">
        <f t="shared" si="995"/>
        <v>124923068.20247938</v>
      </c>
      <c r="R671">
        <f t="shared" si="996"/>
        <v>3239338154.5615225</v>
      </c>
      <c r="S671">
        <f t="shared" si="997"/>
        <v>32393.381545615226</v>
      </c>
      <c r="T671">
        <f t="shared" si="998"/>
        <v>32.393381545615227</v>
      </c>
    </row>
    <row r="672" spans="1:20" x14ac:dyDescent="0.25">
      <c r="A672" s="5">
        <v>43921</v>
      </c>
      <c r="B672">
        <v>0.17108999999999999</v>
      </c>
      <c r="C672">
        <v>0.17788999999999999</v>
      </c>
      <c r="D672">
        <v>0.17044000000000001</v>
      </c>
      <c r="E672">
        <v>0.17352999999999999</v>
      </c>
      <c r="F672">
        <v>158613778.59999999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-0.1704697986577213</v>
      </c>
      <c r="Q672">
        <f t="shared" si="995"/>
        <v>-27038858.902282383</v>
      </c>
      <c r="R672">
        <f t="shared" si="996"/>
        <v>3114415086.3590431</v>
      </c>
      <c r="S672">
        <f t="shared" si="997"/>
        <v>31144.150863590432</v>
      </c>
      <c r="T672">
        <f t="shared" si="998"/>
        <v>31.144150863590433</v>
      </c>
    </row>
    <row r="673" spans="1:20" x14ac:dyDescent="0.25">
      <c r="A673" s="5">
        <v>43920</v>
      </c>
      <c r="B673">
        <v>0.16278999999999999</v>
      </c>
      <c r="C673">
        <v>0.17546</v>
      </c>
      <c r="D673">
        <v>0.16242000000000001</v>
      </c>
      <c r="E673">
        <v>0.17111999999999999</v>
      </c>
      <c r="F673">
        <v>181804091.30000001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0.33435582822085708</v>
      </c>
      <c r="Q673">
        <f t="shared" si="995"/>
        <v>60787257.520551823</v>
      </c>
      <c r="R673">
        <f t="shared" si="996"/>
        <v>3141453945.2613254</v>
      </c>
      <c r="S673">
        <f t="shared" si="997"/>
        <v>31414.539452613255</v>
      </c>
      <c r="T673">
        <f t="shared" si="998"/>
        <v>31.414539452613255</v>
      </c>
    </row>
    <row r="674" spans="1:20" x14ac:dyDescent="0.25">
      <c r="A674" s="5">
        <v>43919</v>
      </c>
      <c r="B674">
        <v>0.1754</v>
      </c>
      <c r="C674">
        <v>0.1767</v>
      </c>
      <c r="D674">
        <v>0.16184000000000001</v>
      </c>
      <c r="E674">
        <v>0.16278000000000001</v>
      </c>
      <c r="F674">
        <v>187119450.09999999</v>
      </c>
      <c r="G674">
        <v>0</v>
      </c>
      <c r="L674" t="s">
        <v>7</v>
      </c>
      <c r="M674" t="s">
        <v>8</v>
      </c>
      <c r="N674" t="s">
        <v>8</v>
      </c>
      <c r="P674">
        <f t="shared" si="994"/>
        <v>-0.87348586810228834</v>
      </c>
      <c r="Q674">
        <f t="shared" si="995"/>
        <v>-163446195.30942133</v>
      </c>
      <c r="R674">
        <f t="shared" si="996"/>
        <v>3080666687.7407737</v>
      </c>
      <c r="S674">
        <f t="shared" si="997"/>
        <v>30806.666877407737</v>
      </c>
      <c r="T674">
        <f t="shared" si="998"/>
        <v>30.806666877407736</v>
      </c>
    </row>
    <row r="675" spans="1:20" x14ac:dyDescent="0.25">
      <c r="A675" s="5">
        <v>43918</v>
      </c>
      <c r="B675">
        <v>0.17271</v>
      </c>
      <c r="C675">
        <v>0.17984</v>
      </c>
      <c r="D675">
        <v>0.16636999999999999</v>
      </c>
      <c r="E675">
        <v>0.17543</v>
      </c>
      <c r="F675">
        <v>308477933.89999998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0.34521158129176033</v>
      </c>
      <c r="Q675">
        <f t="shared" si="995"/>
        <v>106490155.35523412</v>
      </c>
      <c r="R675">
        <f t="shared" si="996"/>
        <v>3244112883.0501952</v>
      </c>
      <c r="S675">
        <f t="shared" si="997"/>
        <v>32441.128830501952</v>
      </c>
      <c r="T675">
        <f t="shared" si="998"/>
        <v>32.441128830501953</v>
      </c>
    </row>
    <row r="676" spans="1:20" x14ac:dyDescent="0.25">
      <c r="A676" s="5">
        <v>43917</v>
      </c>
      <c r="B676">
        <v>0.17591000000000001</v>
      </c>
      <c r="C676">
        <v>0.18723999999999999</v>
      </c>
      <c r="D676">
        <v>0.16936000000000001</v>
      </c>
      <c r="E676">
        <v>0.17269000000000001</v>
      </c>
      <c r="F676">
        <v>316147728.39999998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-0.62751677852348953</v>
      </c>
      <c r="Q676">
        <f t="shared" si="995"/>
        <v>-198388004.06308711</v>
      </c>
      <c r="R676">
        <f t="shared" si="996"/>
        <v>3137622727.6949611</v>
      </c>
      <c r="S676">
        <f t="shared" si="997"/>
        <v>31376.227276949612</v>
      </c>
      <c r="T676">
        <f t="shared" si="998"/>
        <v>31.376227276949614</v>
      </c>
    </row>
    <row r="677" spans="1:20" x14ac:dyDescent="0.25">
      <c r="A677" s="5">
        <v>43916</v>
      </c>
      <c r="B677">
        <v>0.16170000000000001</v>
      </c>
      <c r="C677">
        <v>0.17741999999999999</v>
      </c>
      <c r="D677">
        <v>0.15984000000000001</v>
      </c>
      <c r="E677">
        <v>0.17593</v>
      </c>
      <c r="F677">
        <v>206023274.90000001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0.83048919226393714</v>
      </c>
      <c r="Q677">
        <f t="shared" si="995"/>
        <v>171100103.15927207</v>
      </c>
      <c r="R677">
        <f t="shared" si="996"/>
        <v>3336010731.7580481</v>
      </c>
      <c r="S677">
        <f t="shared" si="997"/>
        <v>33360.107317580478</v>
      </c>
      <c r="T677">
        <f t="shared" si="998"/>
        <v>33.360107317580479</v>
      </c>
    </row>
    <row r="678" spans="1:20" x14ac:dyDescent="0.25">
      <c r="A678" s="5">
        <v>43915</v>
      </c>
      <c r="B678">
        <v>0.16228999999999999</v>
      </c>
      <c r="C678">
        <v>0.16524</v>
      </c>
      <c r="D678">
        <v>0.15667</v>
      </c>
      <c r="E678">
        <v>0.16167999999999999</v>
      </c>
      <c r="F678">
        <v>200584719.19999999</v>
      </c>
      <c r="G678">
        <v>0</v>
      </c>
      <c r="L678" t="s">
        <v>8</v>
      </c>
      <c r="M678" t="s">
        <v>7</v>
      </c>
      <c r="N678" t="s">
        <v>8</v>
      </c>
      <c r="P678">
        <f t="shared" si="994"/>
        <v>0.16919486581096616</v>
      </c>
      <c r="Q678">
        <f t="shared" si="995"/>
        <v>33937904.648774326</v>
      </c>
      <c r="R678">
        <f t="shared" si="996"/>
        <v>3164910628.5987759</v>
      </c>
      <c r="S678">
        <f t="shared" si="997"/>
        <v>31649.10628598776</v>
      </c>
      <c r="T678">
        <f t="shared" si="998"/>
        <v>31.649106285987759</v>
      </c>
    </row>
    <row r="679" spans="1:20" x14ac:dyDescent="0.25">
      <c r="A679" s="5">
        <v>43914</v>
      </c>
      <c r="B679">
        <v>0.15853</v>
      </c>
      <c r="C679">
        <v>0.16386999999999999</v>
      </c>
      <c r="D679">
        <v>0.15689</v>
      </c>
      <c r="E679">
        <v>0.16225000000000001</v>
      </c>
      <c r="F679">
        <v>250519379.80000001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0.53581661891117882</v>
      </c>
      <c r="Q679">
        <f t="shared" si="995"/>
        <v>134232447.05616146</v>
      </c>
      <c r="R679">
        <f t="shared" si="996"/>
        <v>3130972723.9500017</v>
      </c>
      <c r="S679">
        <f t="shared" si="997"/>
        <v>31309.727239500018</v>
      </c>
      <c r="T679">
        <f t="shared" si="998"/>
        <v>31.309727239500017</v>
      </c>
    </row>
    <row r="680" spans="1:20" x14ac:dyDescent="0.25">
      <c r="A680" s="5">
        <v>43913</v>
      </c>
      <c r="B680">
        <v>0.14774000000000001</v>
      </c>
      <c r="C680">
        <v>0.16163</v>
      </c>
      <c r="D680">
        <v>0.14471999999999999</v>
      </c>
      <c r="E680">
        <v>0.15853999999999999</v>
      </c>
      <c r="F680">
        <v>282036084.30000001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0.63453577764636215</v>
      </c>
      <c r="Q680">
        <f t="shared" si="995"/>
        <v>178961986.07563546</v>
      </c>
      <c r="R680">
        <f t="shared" si="996"/>
        <v>2996740276.8938403</v>
      </c>
      <c r="S680">
        <f t="shared" si="997"/>
        <v>29967.402768938402</v>
      </c>
      <c r="T680">
        <f t="shared" si="998"/>
        <v>29.967402768938403</v>
      </c>
    </row>
    <row r="681" spans="1:20" x14ac:dyDescent="0.25">
      <c r="A681" s="5">
        <v>43912</v>
      </c>
      <c r="B681">
        <v>0.15798000000000001</v>
      </c>
      <c r="C681">
        <v>0.16178000000000001</v>
      </c>
      <c r="D681">
        <v>0.14610999999999999</v>
      </c>
      <c r="E681">
        <v>0.14776</v>
      </c>
      <c r="F681">
        <v>221088260.90000001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-0.78940650925334899</v>
      </c>
      <c r="Q681">
        <f t="shared" si="995"/>
        <v>-174528512.27396268</v>
      </c>
      <c r="R681">
        <f t="shared" si="996"/>
        <v>2817778290.8182049</v>
      </c>
      <c r="S681">
        <f t="shared" si="997"/>
        <v>28177.782908182049</v>
      </c>
      <c r="T681">
        <f t="shared" si="998"/>
        <v>28.177782908182049</v>
      </c>
    </row>
    <row r="682" spans="1:20" x14ac:dyDescent="0.25">
      <c r="A682" s="5">
        <v>43911</v>
      </c>
      <c r="B682">
        <v>0.15705</v>
      </c>
      <c r="C682">
        <v>0.16195999999999999</v>
      </c>
      <c r="D682">
        <v>0.15156</v>
      </c>
      <c r="E682">
        <v>0.15797</v>
      </c>
      <c r="F682">
        <v>270014080</v>
      </c>
      <c r="G682">
        <v>0</v>
      </c>
      <c r="L682" t="s">
        <v>8</v>
      </c>
      <c r="M682" t="s">
        <v>8</v>
      </c>
      <c r="N682" t="s">
        <v>8</v>
      </c>
      <c r="P682">
        <f t="shared" si="994"/>
        <v>0.23269230769230839</v>
      </c>
      <c r="Q682">
        <f t="shared" si="995"/>
        <v>62830199.38461557</v>
      </c>
      <c r="R682">
        <f t="shared" si="996"/>
        <v>2992306803.0921674</v>
      </c>
      <c r="S682">
        <f t="shared" si="997"/>
        <v>29923.068030921673</v>
      </c>
      <c r="T682">
        <f t="shared" si="998"/>
        <v>29.923068030921673</v>
      </c>
    </row>
    <row r="683" spans="1:20" x14ac:dyDescent="0.25">
      <c r="A683" s="5">
        <v>43910</v>
      </c>
      <c r="B683">
        <v>0.16458</v>
      </c>
      <c r="C683">
        <v>0.17499999999999999</v>
      </c>
      <c r="D683">
        <v>0.14504</v>
      </c>
      <c r="E683">
        <v>0.15695000000000001</v>
      </c>
      <c r="F683">
        <v>511513197.80000001</v>
      </c>
      <c r="G683">
        <v>0</v>
      </c>
      <c r="L683" t="s">
        <v>7</v>
      </c>
      <c r="M683" t="s">
        <v>8</v>
      </c>
      <c r="N683" t="s">
        <v>8</v>
      </c>
      <c r="P683">
        <f t="shared" si="994"/>
        <v>-0.2049399198931903</v>
      </c>
      <c r="Q683">
        <f t="shared" si="995"/>
        <v>-104829473.7814416</v>
      </c>
      <c r="R683">
        <f t="shared" si="996"/>
        <v>2929476603.707552</v>
      </c>
      <c r="S683">
        <f t="shared" si="997"/>
        <v>29294.766037075518</v>
      </c>
      <c r="T683">
        <f t="shared" si="998"/>
        <v>29.294766037075519</v>
      </c>
    </row>
    <row r="684" spans="1:20" x14ac:dyDescent="0.25">
      <c r="A684" s="5">
        <v>43909</v>
      </c>
      <c r="B684">
        <v>0.14749000000000001</v>
      </c>
      <c r="C684">
        <v>0.17257</v>
      </c>
      <c r="D684">
        <v>0.14427999999999999</v>
      </c>
      <c r="E684">
        <v>0.1646</v>
      </c>
      <c r="F684">
        <v>357277613.5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0.43655001767408963</v>
      </c>
      <c r="Q684">
        <f t="shared" si="995"/>
        <v>155969548.48798156</v>
      </c>
      <c r="R684">
        <f t="shared" si="996"/>
        <v>3034306077.4889936</v>
      </c>
      <c r="S684">
        <f t="shared" si="997"/>
        <v>30343.060774889935</v>
      </c>
      <c r="T684">
        <f t="shared" si="998"/>
        <v>30.343060774889935</v>
      </c>
    </row>
    <row r="685" spans="1:20" x14ac:dyDescent="0.25">
      <c r="A685" s="5">
        <v>43908</v>
      </c>
      <c r="B685">
        <v>0.14691000000000001</v>
      </c>
      <c r="C685">
        <v>0.14938000000000001</v>
      </c>
      <c r="D685">
        <v>0.14001</v>
      </c>
      <c r="E685">
        <v>0.14760000000000001</v>
      </c>
      <c r="F685">
        <v>233087384.90000001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0.62006403415154743</v>
      </c>
      <c r="Q685">
        <f t="shared" si="995"/>
        <v>144529104.19092849</v>
      </c>
      <c r="R685">
        <f t="shared" si="996"/>
        <v>2878336529.0010123</v>
      </c>
      <c r="S685">
        <f t="shared" si="997"/>
        <v>28783.365290010122</v>
      </c>
      <c r="T685">
        <f t="shared" si="998"/>
        <v>28.783365290010121</v>
      </c>
    </row>
    <row r="686" spans="1:20" x14ac:dyDescent="0.25">
      <c r="A686" s="5">
        <v>43907</v>
      </c>
      <c r="B686">
        <v>0.1411</v>
      </c>
      <c r="C686">
        <v>0.15190000000000001</v>
      </c>
      <c r="D686">
        <v>0.13961999999999999</v>
      </c>
      <c r="E686">
        <v>0.14693999999999999</v>
      </c>
      <c r="F686">
        <v>317550005.39999998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0.19218241042345038</v>
      </c>
      <c r="Q686">
        <f t="shared" si="995"/>
        <v>61027525.467751682</v>
      </c>
      <c r="R686">
        <f t="shared" si="996"/>
        <v>2733807424.8100839</v>
      </c>
      <c r="S686">
        <f t="shared" si="997"/>
        <v>27338.074248100838</v>
      </c>
      <c r="T686">
        <f t="shared" si="998"/>
        <v>27.338074248100838</v>
      </c>
    </row>
    <row r="687" spans="1:20" x14ac:dyDescent="0.25">
      <c r="A687" s="5">
        <v>43906</v>
      </c>
      <c r="B687">
        <v>0.15306</v>
      </c>
      <c r="C687">
        <v>0.15337999999999999</v>
      </c>
      <c r="D687">
        <v>0.12814999999999999</v>
      </c>
      <c r="E687">
        <v>0.14102000000000001</v>
      </c>
      <c r="F687">
        <v>534401535.89999998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2.0214030915578208E-2</v>
      </c>
      <c r="Q687">
        <f t="shared" si="995"/>
        <v>10802409.168015078</v>
      </c>
      <c r="R687">
        <f t="shared" si="996"/>
        <v>2672779899.3423324</v>
      </c>
      <c r="S687">
        <f t="shared" si="997"/>
        <v>26727.798993423323</v>
      </c>
      <c r="T687">
        <f t="shared" si="998"/>
        <v>26.727798993423324</v>
      </c>
    </row>
    <row r="688" spans="1:20" x14ac:dyDescent="0.25">
      <c r="A688" s="5">
        <v>43905</v>
      </c>
      <c r="B688">
        <v>0.1459</v>
      </c>
      <c r="C688">
        <v>0.16422</v>
      </c>
      <c r="D688">
        <v>0.14449000000000001</v>
      </c>
      <c r="E688">
        <v>0.15307999999999999</v>
      </c>
      <c r="F688">
        <v>292888161.19999999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-0.12924480486568804</v>
      </c>
      <c r="Q688">
        <f t="shared" si="995"/>
        <v>-37854273.24176418</v>
      </c>
      <c r="R688">
        <f t="shared" si="996"/>
        <v>2661977490.1743174</v>
      </c>
      <c r="S688">
        <f t="shared" si="997"/>
        <v>26619.774901743174</v>
      </c>
      <c r="T688">
        <f t="shared" si="998"/>
        <v>26.619774901743174</v>
      </c>
    </row>
    <row r="689" spans="1:20" x14ac:dyDescent="0.25">
      <c r="A689" s="5">
        <v>43904</v>
      </c>
      <c r="B689">
        <v>0.15875</v>
      </c>
      <c r="C689">
        <v>0.161</v>
      </c>
      <c r="D689">
        <v>0.14351</v>
      </c>
      <c r="E689">
        <v>0.14588000000000001</v>
      </c>
      <c r="F689">
        <v>317354167.39999998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-0.72898799313893536</v>
      </c>
      <c r="Q689">
        <f t="shared" si="995"/>
        <v>-231347377.60720372</v>
      </c>
      <c r="R689">
        <f t="shared" si="996"/>
        <v>2699831763.4160814</v>
      </c>
      <c r="S689">
        <f t="shared" si="997"/>
        <v>26998.317634160816</v>
      </c>
      <c r="T689">
        <f t="shared" si="998"/>
        <v>26.998317634160816</v>
      </c>
    </row>
    <row r="690" spans="1:20" x14ac:dyDescent="0.25">
      <c r="A690" s="5">
        <v>43903</v>
      </c>
      <c r="B690">
        <v>0.13536000000000001</v>
      </c>
      <c r="C690">
        <v>0.16614000000000001</v>
      </c>
      <c r="D690">
        <v>0.10129000000000001</v>
      </c>
      <c r="E690">
        <v>0.15872</v>
      </c>
      <c r="F690">
        <v>1234550066.8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0.77116422513492644</v>
      </c>
      <c r="Q690">
        <f t="shared" si="995"/>
        <v>952040845.65409362</v>
      </c>
      <c r="R690">
        <f t="shared" si="996"/>
        <v>2931179141.0232854</v>
      </c>
      <c r="S690">
        <f t="shared" si="997"/>
        <v>29311.791410232854</v>
      </c>
      <c r="T690">
        <f t="shared" si="998"/>
        <v>29.311791410232853</v>
      </c>
    </row>
    <row r="691" spans="1:20" x14ac:dyDescent="0.25">
      <c r="A691" s="5">
        <v>43902</v>
      </c>
      <c r="B691">
        <v>0.20824000000000001</v>
      </c>
      <c r="C691">
        <v>0.20988000000000001</v>
      </c>
      <c r="D691">
        <v>0.12798000000000001</v>
      </c>
      <c r="E691">
        <v>0.13549</v>
      </c>
      <c r="F691">
        <v>771225355.39999998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-0.81660561660561692</v>
      </c>
      <c r="Q691">
        <f t="shared" si="995"/>
        <v>-629786956.88830304</v>
      </c>
      <c r="R691">
        <f t="shared" si="996"/>
        <v>1979138295.3691919</v>
      </c>
      <c r="S691">
        <f t="shared" si="997"/>
        <v>19791.382953691918</v>
      </c>
      <c r="T691">
        <f t="shared" si="998"/>
        <v>19.791382953691919</v>
      </c>
    </row>
    <row r="692" spans="1:20" x14ac:dyDescent="0.25">
      <c r="A692" s="5">
        <v>43901</v>
      </c>
      <c r="B692">
        <v>0.21181</v>
      </c>
      <c r="C692">
        <v>0.21379999999999999</v>
      </c>
      <c r="D692">
        <v>0.19900000000000001</v>
      </c>
      <c r="E692">
        <v>0.20813000000000001</v>
      </c>
      <c r="F692">
        <v>178652631.5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0.23378378378378536</v>
      </c>
      <c r="Q692">
        <f t="shared" si="995"/>
        <v>41766088.17500028</v>
      </c>
      <c r="R692">
        <f t="shared" si="996"/>
        <v>2608925252.2574949</v>
      </c>
      <c r="S692">
        <f t="shared" si="997"/>
        <v>26089.252522574949</v>
      </c>
      <c r="T692">
        <f t="shared" si="998"/>
        <v>26.089252522574949</v>
      </c>
    </row>
    <row r="693" spans="1:20" x14ac:dyDescent="0.25">
      <c r="A693" s="5">
        <v>43900</v>
      </c>
      <c r="B693">
        <v>0.20946000000000001</v>
      </c>
      <c r="C693">
        <v>0.21567</v>
      </c>
      <c r="D693">
        <v>0.19979</v>
      </c>
      <c r="E693">
        <v>0.21185000000000001</v>
      </c>
      <c r="F693">
        <v>182259714.80000001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0.5188916876574321</v>
      </c>
      <c r="Q693">
        <f t="shared" si="995"/>
        <v>94573051.004534259</v>
      </c>
      <c r="R693">
        <f t="shared" si="996"/>
        <v>2567159164.0824947</v>
      </c>
      <c r="S693">
        <f t="shared" si="997"/>
        <v>25671.591640824947</v>
      </c>
      <c r="T693">
        <f t="shared" si="998"/>
        <v>25.671591640824946</v>
      </c>
    </row>
    <row r="694" spans="1:20" x14ac:dyDescent="0.25">
      <c r="A694" s="5">
        <v>43899</v>
      </c>
      <c r="B694">
        <v>0.20387</v>
      </c>
      <c r="C694">
        <v>0.21149999999999999</v>
      </c>
      <c r="D694">
        <v>0.19786999999999999</v>
      </c>
      <c r="E694">
        <v>0.20952000000000001</v>
      </c>
      <c r="F694">
        <v>288610509.39999998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0.70946441672780902</v>
      </c>
      <c r="Q694">
        <f t="shared" si="995"/>
        <v>204758886.71298683</v>
      </c>
      <c r="R694">
        <f t="shared" si="996"/>
        <v>2472586113.0779605</v>
      </c>
      <c r="S694">
        <f t="shared" si="997"/>
        <v>24725.861130779605</v>
      </c>
      <c r="T694">
        <f t="shared" si="998"/>
        <v>24.725861130779606</v>
      </c>
    </row>
    <row r="695" spans="1:20" x14ac:dyDescent="0.25">
      <c r="A695" s="5">
        <v>43898</v>
      </c>
      <c r="B695">
        <v>0.23624000000000001</v>
      </c>
      <c r="C695">
        <v>0.23624000000000001</v>
      </c>
      <c r="D695">
        <v>0.2</v>
      </c>
      <c r="E695">
        <v>0.20385</v>
      </c>
      <c r="F695">
        <v>271417418.60000002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-0.78752759381898496</v>
      </c>
      <c r="Q695">
        <f t="shared" si="995"/>
        <v>-213748706.59061822</v>
      </c>
      <c r="R695">
        <f t="shared" si="996"/>
        <v>2267827226.3649735</v>
      </c>
      <c r="S695">
        <f t="shared" si="997"/>
        <v>22678.272263649735</v>
      </c>
      <c r="T695">
        <f t="shared" si="998"/>
        <v>22.678272263649735</v>
      </c>
    </row>
    <row r="696" spans="1:20" x14ac:dyDescent="0.25">
      <c r="A696" s="5">
        <v>43897</v>
      </c>
      <c r="B696">
        <v>0.24475</v>
      </c>
      <c r="C696">
        <v>0.245</v>
      </c>
      <c r="D696">
        <v>0.23499999999999999</v>
      </c>
      <c r="E696">
        <v>0.23622000000000001</v>
      </c>
      <c r="F696">
        <v>95845464.200000003</v>
      </c>
      <c r="G696">
        <v>0</v>
      </c>
      <c r="L696" t="s">
        <v>8</v>
      </c>
      <c r="M696" t="s">
        <v>7</v>
      </c>
      <c r="N696" t="s">
        <v>7</v>
      </c>
      <c r="P696">
        <f t="shared" si="994"/>
        <v>-0.7559999999999949</v>
      </c>
      <c r="Q696">
        <f t="shared" si="995"/>
        <v>-72459170.935199514</v>
      </c>
      <c r="R696">
        <f t="shared" si="996"/>
        <v>2481575932.9555917</v>
      </c>
      <c r="S696">
        <f t="shared" si="997"/>
        <v>24815.759329555916</v>
      </c>
      <c r="T696">
        <f t="shared" si="998"/>
        <v>24.815759329555917</v>
      </c>
    </row>
    <row r="697" spans="1:20" x14ac:dyDescent="0.25">
      <c r="A697" s="5">
        <v>43896</v>
      </c>
      <c r="B697">
        <v>0.23907</v>
      </c>
      <c r="C697">
        <v>0.24629000000000001</v>
      </c>
      <c r="D697">
        <v>0.23804</v>
      </c>
      <c r="E697">
        <v>0.24476999999999999</v>
      </c>
      <c r="F697">
        <v>116563269.59999999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0.6315151515151467</v>
      </c>
      <c r="Q697">
        <f t="shared" si="995"/>
        <v>73611470.862544894</v>
      </c>
      <c r="R697">
        <f t="shared" si="996"/>
        <v>2554035103.8907914</v>
      </c>
      <c r="S697">
        <f t="shared" si="997"/>
        <v>25540.351038907913</v>
      </c>
      <c r="T697">
        <f t="shared" si="998"/>
        <v>25.540351038907914</v>
      </c>
    </row>
    <row r="698" spans="1:20" x14ac:dyDescent="0.25">
      <c r="A698" s="5">
        <v>43895</v>
      </c>
      <c r="B698">
        <v>0.23449</v>
      </c>
      <c r="C698">
        <v>0.2432</v>
      </c>
      <c r="D698">
        <v>0.23449</v>
      </c>
      <c r="E698">
        <v>0.23909</v>
      </c>
      <c r="F698">
        <v>130944711.90000001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5.625717566015967E-2</v>
      </c>
      <c r="Q698">
        <f t="shared" si="995"/>
        <v>7366579.6591273006</v>
      </c>
      <c r="R698">
        <f t="shared" si="996"/>
        <v>2480423633.0282464</v>
      </c>
      <c r="S698">
        <f t="shared" si="997"/>
        <v>24804.236330282463</v>
      </c>
      <c r="T698">
        <f t="shared" si="998"/>
        <v>24.804236330282464</v>
      </c>
    </row>
    <row r="699" spans="1:20" x14ac:dyDescent="0.25">
      <c r="A699" s="5">
        <v>43894</v>
      </c>
      <c r="B699">
        <v>0.23433000000000001</v>
      </c>
      <c r="C699">
        <v>0.23838999999999999</v>
      </c>
      <c r="D699">
        <v>0.23</v>
      </c>
      <c r="E699">
        <v>0.23452999999999999</v>
      </c>
      <c r="F699">
        <v>92570643.5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7.9856972586409739E-2</v>
      </c>
      <c r="Q699">
        <f t="shared" si="995"/>
        <v>7392411.3402858088</v>
      </c>
      <c r="R699">
        <f t="shared" si="996"/>
        <v>2473057053.3691192</v>
      </c>
      <c r="S699">
        <f t="shared" si="997"/>
        <v>24730.570533691192</v>
      </c>
      <c r="T699">
        <f t="shared" si="998"/>
        <v>24.730570533691193</v>
      </c>
    </row>
    <row r="700" spans="1:20" x14ac:dyDescent="0.25">
      <c r="A700" s="5">
        <v>43893</v>
      </c>
      <c r="B700">
        <v>0.23968</v>
      </c>
      <c r="C700">
        <v>0.2397</v>
      </c>
      <c r="D700">
        <v>0.22942000000000001</v>
      </c>
      <c r="E700">
        <v>0.23427999999999999</v>
      </c>
      <c r="F700">
        <v>130633902.5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-5.4474708171209495E-2</v>
      </c>
      <c r="Q700">
        <f t="shared" si="995"/>
        <v>-7116243.7159537347</v>
      </c>
      <c r="R700">
        <f t="shared" si="996"/>
        <v>2465664642.0288334</v>
      </c>
      <c r="S700">
        <f t="shared" si="997"/>
        <v>24656.646420288333</v>
      </c>
      <c r="T700">
        <f t="shared" si="998"/>
        <v>24.656646420288332</v>
      </c>
    </row>
    <row r="701" spans="1:20" x14ac:dyDescent="0.25">
      <c r="A701" s="5">
        <v>43892</v>
      </c>
      <c r="B701">
        <v>0.22699</v>
      </c>
      <c r="C701">
        <v>0.24149000000000001</v>
      </c>
      <c r="D701">
        <v>0.22581999999999999</v>
      </c>
      <c r="E701">
        <v>0.23957999999999999</v>
      </c>
      <c r="F701">
        <v>138299654.59999999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0.75622208040842109</v>
      </c>
      <c r="Q701">
        <f t="shared" si="995"/>
        <v>104585252.52137806</v>
      </c>
      <c r="R701">
        <f t="shared" si="996"/>
        <v>2472780885.7447872</v>
      </c>
      <c r="S701">
        <f t="shared" si="997"/>
        <v>24727.808857447872</v>
      </c>
      <c r="T701">
        <f t="shared" si="998"/>
        <v>24.727808857447872</v>
      </c>
    </row>
    <row r="702" spans="1:20" x14ac:dyDescent="0.25">
      <c r="A702" s="5">
        <v>43891</v>
      </c>
      <c r="B702">
        <v>0.22897000000000001</v>
      </c>
      <c r="C702">
        <v>0.23607</v>
      </c>
      <c r="D702">
        <v>0.22428000000000001</v>
      </c>
      <c r="E702">
        <v>0.22696</v>
      </c>
      <c r="F702">
        <v>125219316.2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-0.54537743850721132</v>
      </c>
      <c r="Q702">
        <f t="shared" si="995"/>
        <v>-68291789.920780554</v>
      </c>
      <c r="R702">
        <f t="shared" si="996"/>
        <v>2368195633.2234092</v>
      </c>
      <c r="S702">
        <f t="shared" si="997"/>
        <v>23681.956332234091</v>
      </c>
      <c r="T702">
        <f t="shared" si="998"/>
        <v>23.68195633223409</v>
      </c>
    </row>
    <row r="703" spans="1:20" x14ac:dyDescent="0.25">
      <c r="A703" s="5">
        <v>43890</v>
      </c>
      <c r="B703">
        <v>0.23658000000000001</v>
      </c>
      <c r="C703">
        <v>0.24243999999999999</v>
      </c>
      <c r="D703">
        <v>0.22869999999999999</v>
      </c>
      <c r="E703">
        <v>0.22892000000000001</v>
      </c>
      <c r="F703">
        <v>104602134.2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-0.96797671033478516</v>
      </c>
      <c r="Q703">
        <f t="shared" si="995"/>
        <v>-101252429.75691372</v>
      </c>
      <c r="R703">
        <f t="shared" si="996"/>
        <v>2436487423.1441898</v>
      </c>
      <c r="S703">
        <f t="shared" si="997"/>
        <v>24364.8742314419</v>
      </c>
      <c r="T703">
        <f t="shared" si="998"/>
        <v>24.364874231441899</v>
      </c>
    </row>
    <row r="704" spans="1:20" x14ac:dyDescent="0.25">
      <c r="A704" s="5">
        <v>43889</v>
      </c>
      <c r="B704">
        <v>0.23854</v>
      </c>
      <c r="C704">
        <v>0.24399999999999999</v>
      </c>
      <c r="D704">
        <v>0.22850000000000001</v>
      </c>
      <c r="E704">
        <v>0.23663000000000001</v>
      </c>
      <c r="F704">
        <v>190843431.69999999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4.9032258064516859E-2</v>
      </c>
      <c r="Q704">
        <f t="shared" si="995"/>
        <v>9357484.3930323962</v>
      </c>
      <c r="R704">
        <f t="shared" si="996"/>
        <v>2537739852.9011035</v>
      </c>
      <c r="S704">
        <f t="shared" si="997"/>
        <v>25377.398529011036</v>
      </c>
      <c r="T704">
        <f t="shared" si="998"/>
        <v>25.377398529011035</v>
      </c>
    </row>
    <row r="705" spans="1:20" x14ac:dyDescent="0.25">
      <c r="A705" s="5">
        <v>43888</v>
      </c>
      <c r="B705">
        <v>0.22917000000000001</v>
      </c>
      <c r="C705">
        <v>0.24722</v>
      </c>
      <c r="D705">
        <v>0.22363</v>
      </c>
      <c r="E705">
        <v>0.23849999999999999</v>
      </c>
      <c r="F705">
        <v>250168249.90000001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0.26070368800339078</v>
      </c>
      <c r="Q705">
        <f t="shared" si="995"/>
        <v>65219785.370283894</v>
      </c>
      <c r="R705">
        <f t="shared" si="996"/>
        <v>2528382368.5080709</v>
      </c>
      <c r="S705">
        <f t="shared" si="997"/>
        <v>25283.823685080708</v>
      </c>
      <c r="T705">
        <f t="shared" si="998"/>
        <v>25.283823685080709</v>
      </c>
    </row>
    <row r="706" spans="1:20" x14ac:dyDescent="0.25">
      <c r="A706" s="5">
        <v>43887</v>
      </c>
      <c r="B706">
        <v>0.25218000000000002</v>
      </c>
      <c r="C706">
        <v>0.25512000000000001</v>
      </c>
      <c r="D706">
        <v>0.22270999999999999</v>
      </c>
      <c r="E706">
        <v>0.22914999999999999</v>
      </c>
      <c r="F706">
        <v>366105232.89999998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-0.60259179265658769</v>
      </c>
      <c r="Q706">
        <f t="shared" si="995"/>
        <v>-220612008.59416854</v>
      </c>
      <c r="R706">
        <f t="shared" si="996"/>
        <v>2463162583.1377869</v>
      </c>
      <c r="S706">
        <f t="shared" si="997"/>
        <v>24631.625831377867</v>
      </c>
      <c r="T706">
        <f t="shared" si="998"/>
        <v>24.631625831377868</v>
      </c>
    </row>
    <row r="707" spans="1:20" x14ac:dyDescent="0.25">
      <c r="A707" s="5">
        <v>43886</v>
      </c>
      <c r="B707">
        <v>0.27029999999999998</v>
      </c>
      <c r="C707">
        <v>0.27100000000000002</v>
      </c>
      <c r="D707">
        <v>0.251</v>
      </c>
      <c r="E707">
        <v>0.25208999999999998</v>
      </c>
      <c r="F707">
        <v>209531989.30000001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-0.89100000000000212</v>
      </c>
      <c r="Q707">
        <f t="shared" si="995"/>
        <v>-186693002.46630046</v>
      </c>
      <c r="R707">
        <f t="shared" si="996"/>
        <v>2683774591.7319555</v>
      </c>
      <c r="S707">
        <f t="shared" si="997"/>
        <v>26837.745917319557</v>
      </c>
      <c r="T707">
        <f t="shared" si="998"/>
        <v>26.837745917319555</v>
      </c>
    </row>
    <row r="708" spans="1:20" x14ac:dyDescent="0.25">
      <c r="A708" s="5">
        <v>43885</v>
      </c>
      <c r="B708">
        <v>0.28298000000000001</v>
      </c>
      <c r="C708">
        <v>0.28425</v>
      </c>
      <c r="D708">
        <v>0.26401000000000002</v>
      </c>
      <c r="E708">
        <v>0.27039999999999997</v>
      </c>
      <c r="F708">
        <v>184354129.69999999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-0.36857707509881843</v>
      </c>
      <c r="Q708">
        <f t="shared" si="995"/>
        <v>-67948705.907214209</v>
      </c>
      <c r="R708">
        <f t="shared" si="996"/>
        <v>2870467594.198256</v>
      </c>
      <c r="S708">
        <f t="shared" si="997"/>
        <v>28704.675941982561</v>
      </c>
      <c r="T708">
        <f t="shared" si="998"/>
        <v>28.704675941982561</v>
      </c>
    </row>
    <row r="709" spans="1:20" x14ac:dyDescent="0.25">
      <c r="A709" s="5">
        <v>43884</v>
      </c>
      <c r="B709">
        <v>0.27461999999999998</v>
      </c>
      <c r="C709">
        <v>0.28466999999999998</v>
      </c>
      <c r="D709">
        <v>0.27461999999999998</v>
      </c>
      <c r="E709">
        <v>0.28298000000000001</v>
      </c>
      <c r="F709">
        <v>134020545.90000001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0.66368159203980726</v>
      </c>
      <c r="Q709">
        <f t="shared" si="995"/>
        <v>88946969.268956065</v>
      </c>
      <c r="R709">
        <f t="shared" si="996"/>
        <v>2938416300.1054702</v>
      </c>
      <c r="S709">
        <f t="shared" si="997"/>
        <v>29384.163001054701</v>
      </c>
      <c r="T709">
        <f t="shared" si="998"/>
        <v>29.384163001054702</v>
      </c>
    </row>
    <row r="710" spans="1:20" x14ac:dyDescent="0.25">
      <c r="A710" s="5">
        <v>43883</v>
      </c>
      <c r="B710">
        <v>0.27423999999999998</v>
      </c>
      <c r="C710">
        <v>0.27850000000000003</v>
      </c>
      <c r="D710">
        <v>0.27</v>
      </c>
      <c r="E710">
        <v>0.27467999999999998</v>
      </c>
      <c r="F710">
        <v>107040364.2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0.10117647058822536</v>
      </c>
      <c r="Q710">
        <f t="shared" ref="Q710:Q766" si="1000">F710*P710</f>
        <v>10829966.260234231</v>
      </c>
      <c r="R710">
        <f t="shared" ref="R710:R766" si="1001">R711+Q710</f>
        <v>2849469330.836514</v>
      </c>
      <c r="S710">
        <f t="shared" ref="S710:S766" si="1002">R710/100000</f>
        <v>28494.693308365138</v>
      </c>
      <c r="T710">
        <f t="shared" ref="T710:T766" si="1003">S710/1000</f>
        <v>28.494693308365139</v>
      </c>
    </row>
    <row r="711" spans="1:20" x14ac:dyDescent="0.25">
      <c r="A711" s="5">
        <v>43882</v>
      </c>
      <c r="B711">
        <v>0.27094000000000001</v>
      </c>
      <c r="C711">
        <v>0.27898000000000001</v>
      </c>
      <c r="D711">
        <v>0.26779999999999998</v>
      </c>
      <c r="E711">
        <v>0.27417999999999998</v>
      </c>
      <c r="F711">
        <v>175945123.90000001</v>
      </c>
      <c r="G711">
        <v>0</v>
      </c>
      <c r="L711" t="s">
        <v>7</v>
      </c>
      <c r="M711" t="s">
        <v>7</v>
      </c>
      <c r="N711" t="s">
        <v>8</v>
      </c>
      <c r="P711">
        <f t="shared" si="999"/>
        <v>0.14132379248658022</v>
      </c>
      <c r="Q711">
        <f t="shared" si="1000"/>
        <v>24865232.179069247</v>
      </c>
      <c r="R711">
        <f t="shared" si="1001"/>
        <v>2838639364.5762796</v>
      </c>
      <c r="S711">
        <f t="shared" si="1002"/>
        <v>28386.393645762797</v>
      </c>
      <c r="T711">
        <f t="shared" si="1003"/>
        <v>28.386393645762798</v>
      </c>
    </row>
    <row r="712" spans="1:20" x14ac:dyDescent="0.25">
      <c r="A712" s="5">
        <v>43881</v>
      </c>
      <c r="B712">
        <v>0.27466000000000002</v>
      </c>
      <c r="C712">
        <v>0.28167999999999999</v>
      </c>
      <c r="D712">
        <v>0.26108999999999999</v>
      </c>
      <c r="E712">
        <v>0.27089999999999997</v>
      </c>
      <c r="F712">
        <v>270623144.60000002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-4.7110247693056169E-2</v>
      </c>
      <c r="Q712">
        <f t="shared" si="1000"/>
        <v>-12749123.373579757</v>
      </c>
      <c r="R712">
        <f t="shared" si="1001"/>
        <v>2813774132.3972106</v>
      </c>
      <c r="S712">
        <f t="shared" si="1002"/>
        <v>28137.741323972106</v>
      </c>
      <c r="T712">
        <f t="shared" si="1003"/>
        <v>28.137741323972108</v>
      </c>
    </row>
    <row r="713" spans="1:20" x14ac:dyDescent="0.25">
      <c r="A713" s="5">
        <v>43880</v>
      </c>
      <c r="B713">
        <v>0.29833999999999999</v>
      </c>
      <c r="C713">
        <v>0.30776999999999999</v>
      </c>
      <c r="D713">
        <v>0.27006999999999998</v>
      </c>
      <c r="E713">
        <v>0.27466000000000002</v>
      </c>
      <c r="F713">
        <v>219950638.90000001</v>
      </c>
      <c r="G713">
        <v>0</v>
      </c>
      <c r="L713" t="s">
        <v>8</v>
      </c>
      <c r="M713" t="s">
        <v>7</v>
      </c>
      <c r="N713" t="s">
        <v>8</v>
      </c>
      <c r="P713">
        <f t="shared" si="999"/>
        <v>-0.75649867374005109</v>
      </c>
      <c r="Q713">
        <f t="shared" si="1000"/>
        <v>-166392366.61612689</v>
      </c>
      <c r="R713">
        <f t="shared" si="1001"/>
        <v>2826523255.7707906</v>
      </c>
      <c r="S713">
        <f t="shared" si="1002"/>
        <v>28265.232557707906</v>
      </c>
      <c r="T713">
        <f t="shared" si="1003"/>
        <v>28.265232557707908</v>
      </c>
    </row>
    <row r="714" spans="1:20" x14ac:dyDescent="0.25">
      <c r="A714" s="5">
        <v>43879</v>
      </c>
      <c r="B714">
        <v>0.28741</v>
      </c>
      <c r="C714">
        <v>0.30273</v>
      </c>
      <c r="D714">
        <v>0.27473999999999998</v>
      </c>
      <c r="E714">
        <v>0.29826999999999998</v>
      </c>
      <c r="F714">
        <v>296854594.30000001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0.68131475526973795</v>
      </c>
      <c r="Q714">
        <f t="shared" si="1000"/>
        <v>202251415.26620185</v>
      </c>
      <c r="R714">
        <f t="shared" si="1001"/>
        <v>2992915622.3869176</v>
      </c>
      <c r="S714">
        <f t="shared" si="1002"/>
        <v>29929.156223869177</v>
      </c>
      <c r="T714">
        <f t="shared" si="1003"/>
        <v>29.929156223869178</v>
      </c>
    </row>
    <row r="715" spans="1:20" x14ac:dyDescent="0.25">
      <c r="A715" s="5">
        <v>43878</v>
      </c>
      <c r="B715">
        <v>0.29248000000000002</v>
      </c>
      <c r="C715">
        <v>0.29510999999999998</v>
      </c>
      <c r="D715">
        <v>0.26821</v>
      </c>
      <c r="E715">
        <v>0.28736</v>
      </c>
      <c r="F715">
        <v>354803561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0.42379182156133938</v>
      </c>
      <c r="Q715">
        <f t="shared" si="1000"/>
        <v>150362847.4126398</v>
      </c>
      <c r="R715">
        <f t="shared" si="1001"/>
        <v>2790664207.1207156</v>
      </c>
      <c r="S715">
        <f t="shared" si="1002"/>
        <v>27906.642071207156</v>
      </c>
      <c r="T715">
        <f t="shared" si="1003"/>
        <v>27.906642071207155</v>
      </c>
    </row>
    <row r="716" spans="1:20" x14ac:dyDescent="0.25">
      <c r="A716" s="5">
        <v>43877</v>
      </c>
      <c r="B716">
        <v>0.30729000000000001</v>
      </c>
      <c r="C716">
        <v>0.31891999999999998</v>
      </c>
      <c r="D716">
        <v>0.27</v>
      </c>
      <c r="E716">
        <v>0.29224</v>
      </c>
      <c r="F716">
        <v>381819181.69999999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-9.0760425183973897E-2</v>
      </c>
      <c r="Q716">
        <f t="shared" si="1000"/>
        <v>-34654071.274488986</v>
      </c>
      <c r="R716">
        <f t="shared" si="1001"/>
        <v>2640301359.708076</v>
      </c>
      <c r="S716">
        <f t="shared" si="1002"/>
        <v>26403.013597080761</v>
      </c>
      <c r="T716">
        <f t="shared" si="1003"/>
        <v>26.403013597080761</v>
      </c>
    </row>
    <row r="717" spans="1:20" x14ac:dyDescent="0.25">
      <c r="A717" s="5">
        <v>43876</v>
      </c>
      <c r="B717">
        <v>0.33584999999999998</v>
      </c>
      <c r="C717">
        <v>0.34676000000000001</v>
      </c>
      <c r="D717">
        <v>0.29549999999999998</v>
      </c>
      <c r="E717">
        <v>0.30729000000000001</v>
      </c>
      <c r="F717">
        <v>397053085.5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-0.53999219664455655</v>
      </c>
      <c r="Q717">
        <f t="shared" si="1000"/>
        <v>-214405567.82364392</v>
      </c>
      <c r="R717">
        <f t="shared" si="1001"/>
        <v>2674955430.9825649</v>
      </c>
      <c r="S717">
        <f t="shared" si="1002"/>
        <v>26749.554309825649</v>
      </c>
      <c r="T717">
        <f t="shared" si="1003"/>
        <v>26.749554309825648</v>
      </c>
    </row>
    <row r="718" spans="1:20" x14ac:dyDescent="0.25">
      <c r="A718" s="5">
        <v>43875</v>
      </c>
      <c r="B718">
        <v>0.32718000000000003</v>
      </c>
      <c r="C718">
        <v>0.33942</v>
      </c>
      <c r="D718">
        <v>0.31040000000000001</v>
      </c>
      <c r="E718">
        <v>0.33594000000000002</v>
      </c>
      <c r="F718">
        <v>348251076.60000002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0.76016540317022852</v>
      </c>
      <c r="Q718">
        <f t="shared" si="1000"/>
        <v>264728420.04810515</v>
      </c>
      <c r="R718">
        <f t="shared" si="1001"/>
        <v>2889360998.8062086</v>
      </c>
      <c r="S718">
        <f t="shared" si="1002"/>
        <v>28893.609988062086</v>
      </c>
      <c r="T718">
        <f t="shared" si="1003"/>
        <v>28.893609988062085</v>
      </c>
    </row>
    <row r="719" spans="1:20" x14ac:dyDescent="0.25">
      <c r="A719" s="5">
        <v>43874</v>
      </c>
      <c r="B719">
        <v>0.30426999999999998</v>
      </c>
      <c r="C719">
        <v>0.34</v>
      </c>
      <c r="D719">
        <v>0.3</v>
      </c>
      <c r="E719">
        <v>0.32708999999999999</v>
      </c>
      <c r="F719">
        <v>684720941.89999998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0.35449999999999893</v>
      </c>
      <c r="Q719">
        <f t="shared" si="1000"/>
        <v>242733573.90354925</v>
      </c>
      <c r="R719">
        <f t="shared" si="1001"/>
        <v>2624632578.7581034</v>
      </c>
      <c r="S719">
        <f t="shared" si="1002"/>
        <v>26246.325787581034</v>
      </c>
      <c r="T719">
        <f t="shared" si="1003"/>
        <v>26.246325787581036</v>
      </c>
    </row>
    <row r="720" spans="1:20" x14ac:dyDescent="0.25">
      <c r="A720" s="5">
        <v>43873</v>
      </c>
      <c r="B720">
        <v>0.28092</v>
      </c>
      <c r="C720">
        <v>0.309</v>
      </c>
      <c r="D720">
        <v>0.28090999999999999</v>
      </c>
      <c r="E720">
        <v>0.30426999999999998</v>
      </c>
      <c r="F720">
        <v>358543825.10000002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0.66322534709861081</v>
      </c>
      <c r="Q720">
        <f t="shared" si="1000"/>
        <v>237795352.85201111</v>
      </c>
      <c r="R720">
        <f t="shared" si="1001"/>
        <v>2381899004.8545542</v>
      </c>
      <c r="S720">
        <f t="shared" si="1002"/>
        <v>23818.99004854554</v>
      </c>
      <c r="T720">
        <f t="shared" si="1003"/>
        <v>23.81899004854554</v>
      </c>
    </row>
    <row r="721" spans="1:20" x14ac:dyDescent="0.25">
      <c r="A721" s="5">
        <v>43872</v>
      </c>
      <c r="B721">
        <v>0.27342</v>
      </c>
      <c r="C721">
        <v>0.28349999999999997</v>
      </c>
      <c r="D721">
        <v>0.26738000000000001</v>
      </c>
      <c r="E721">
        <v>0.28100000000000003</v>
      </c>
      <c r="F721">
        <v>150202084.80000001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0.68982630272953449</v>
      </c>
      <c r="Q721">
        <f t="shared" si="1000"/>
        <v>103613348.81985202</v>
      </c>
      <c r="R721">
        <f t="shared" si="1001"/>
        <v>2144103652.002543</v>
      </c>
      <c r="S721">
        <f t="shared" si="1002"/>
        <v>21441.036520025431</v>
      </c>
      <c r="T721">
        <f t="shared" si="1003"/>
        <v>21.441036520025431</v>
      </c>
    </row>
    <row r="722" spans="1:20" x14ac:dyDescent="0.25">
      <c r="A722" s="5">
        <v>43871</v>
      </c>
      <c r="B722">
        <v>0.28255000000000002</v>
      </c>
      <c r="C722">
        <v>0.28322000000000003</v>
      </c>
      <c r="D722">
        <v>0.26729999999999998</v>
      </c>
      <c r="E722">
        <v>0.27338000000000001</v>
      </c>
      <c r="F722">
        <v>142780388.90000001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-0.23618090452261148</v>
      </c>
      <c r="Q722">
        <f t="shared" si="1000"/>
        <v>-33722001.398492239</v>
      </c>
      <c r="R722">
        <f t="shared" si="1001"/>
        <v>2040490303.1826909</v>
      </c>
      <c r="S722">
        <f t="shared" si="1002"/>
        <v>20404.903031826907</v>
      </c>
      <c r="T722">
        <f t="shared" si="1003"/>
        <v>20.404903031826908</v>
      </c>
    </row>
    <row r="723" spans="1:20" x14ac:dyDescent="0.25">
      <c r="A723" s="5">
        <v>43870</v>
      </c>
      <c r="B723">
        <v>0.27731</v>
      </c>
      <c r="C723">
        <v>0.28924</v>
      </c>
      <c r="D723">
        <v>0.27622000000000002</v>
      </c>
      <c r="E723">
        <v>0.28256999999999999</v>
      </c>
      <c r="F723">
        <v>151863434.09999999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-2.4577572964673045E-2</v>
      </c>
      <c r="Q723">
        <f t="shared" si="1000"/>
        <v>-3732434.6322585666</v>
      </c>
      <c r="R723">
        <f t="shared" si="1001"/>
        <v>2074212304.5811832</v>
      </c>
      <c r="S723">
        <f t="shared" si="1002"/>
        <v>20742.123045811833</v>
      </c>
      <c r="T723">
        <f t="shared" si="1003"/>
        <v>20.742123045811834</v>
      </c>
    </row>
    <row r="724" spans="1:20" x14ac:dyDescent="0.25">
      <c r="A724" s="5">
        <v>43869</v>
      </c>
      <c r="B724">
        <v>0.27950999999999998</v>
      </c>
      <c r="C724">
        <v>0.28222999999999998</v>
      </c>
      <c r="D724">
        <v>0.2636</v>
      </c>
      <c r="E724">
        <v>0.27734999999999999</v>
      </c>
      <c r="F724">
        <v>164832911.09999999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0.47611379495437461</v>
      </c>
      <c r="Q724">
        <f t="shared" si="1000"/>
        <v>78479222.837198064</v>
      </c>
      <c r="R724">
        <f t="shared" si="1001"/>
        <v>2077944739.2134418</v>
      </c>
      <c r="S724">
        <f t="shared" si="1002"/>
        <v>20779.447392134418</v>
      </c>
      <c r="T724">
        <f t="shared" si="1003"/>
        <v>20.779447392134418</v>
      </c>
    </row>
    <row r="725" spans="1:20" x14ac:dyDescent="0.25">
      <c r="A725" s="5">
        <v>43868</v>
      </c>
      <c r="B725">
        <v>0.28325</v>
      </c>
      <c r="C725">
        <v>0.28832000000000002</v>
      </c>
      <c r="D725">
        <v>0.27766000000000002</v>
      </c>
      <c r="E725">
        <v>0.27953</v>
      </c>
      <c r="F725">
        <v>158743853.5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-0.64915572232645735</v>
      </c>
      <c r="Q725">
        <f t="shared" si="1000"/>
        <v>-103049480.88367783</v>
      </c>
      <c r="R725">
        <f t="shared" si="1001"/>
        <v>1999465516.3762438</v>
      </c>
      <c r="S725">
        <f t="shared" si="1002"/>
        <v>19994.65516376244</v>
      </c>
      <c r="T725">
        <f t="shared" si="1003"/>
        <v>19.994655163762438</v>
      </c>
    </row>
    <row r="726" spans="1:20" x14ac:dyDescent="0.25">
      <c r="A726" s="5">
        <v>43867</v>
      </c>
      <c r="B726">
        <v>0.27782000000000001</v>
      </c>
      <c r="C726">
        <v>0.28855999999999998</v>
      </c>
      <c r="D726">
        <v>0.26778000000000002</v>
      </c>
      <c r="E726">
        <v>0.28325</v>
      </c>
      <c r="F726">
        <v>274932947.30000001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0.48893166506256108</v>
      </c>
      <c r="Q726">
        <f t="shared" si="1000"/>
        <v>134423423.70394635</v>
      </c>
      <c r="R726">
        <f t="shared" si="1001"/>
        <v>2102514997.2599216</v>
      </c>
      <c r="S726">
        <f t="shared" si="1002"/>
        <v>21025.149972599214</v>
      </c>
      <c r="T726">
        <f t="shared" si="1003"/>
        <v>21.025149972599216</v>
      </c>
    </row>
    <row r="727" spans="1:20" x14ac:dyDescent="0.25">
      <c r="A727" s="5">
        <v>43866</v>
      </c>
      <c r="B727">
        <v>0.26741999999999999</v>
      </c>
      <c r="C727">
        <v>0.28239999999999998</v>
      </c>
      <c r="D727">
        <v>0.26737</v>
      </c>
      <c r="E727">
        <v>0.27773999999999999</v>
      </c>
      <c r="F727">
        <v>309852829.80000001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0.379906852960745</v>
      </c>
      <c r="Q727">
        <f t="shared" si="1000"/>
        <v>117715213.45029935</v>
      </c>
      <c r="R727">
        <f t="shared" si="1001"/>
        <v>1968091573.5559752</v>
      </c>
      <c r="S727">
        <f t="shared" si="1002"/>
        <v>19680.915735559753</v>
      </c>
      <c r="T727">
        <f t="shared" si="1003"/>
        <v>19.680915735559754</v>
      </c>
    </row>
    <row r="728" spans="1:20" x14ac:dyDescent="0.25">
      <c r="A728" s="5">
        <v>43865</v>
      </c>
      <c r="B728">
        <v>0.25446999999999997</v>
      </c>
      <c r="C728">
        <v>0.27100000000000002</v>
      </c>
      <c r="D728">
        <v>0.24751999999999999</v>
      </c>
      <c r="E728">
        <v>0.26737</v>
      </c>
      <c r="F728">
        <v>273001224.89999998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0.69080068143100359</v>
      </c>
      <c r="Q728">
        <f t="shared" si="1000"/>
        <v>188589432.19241863</v>
      </c>
      <c r="R728">
        <f t="shared" si="1001"/>
        <v>1850376360.1056759</v>
      </c>
      <c r="S728">
        <f t="shared" si="1002"/>
        <v>18503.763601056758</v>
      </c>
      <c r="T728">
        <f t="shared" si="1003"/>
        <v>18.503763601056757</v>
      </c>
    </row>
    <row r="729" spans="1:20" x14ac:dyDescent="0.25">
      <c r="A729" s="5">
        <v>43864</v>
      </c>
      <c r="B729">
        <v>0.25094</v>
      </c>
      <c r="C729">
        <v>0.25950000000000001</v>
      </c>
      <c r="D729">
        <v>0.24678</v>
      </c>
      <c r="E729">
        <v>0.25452999999999998</v>
      </c>
      <c r="F729">
        <v>168166882.09999999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0.2185534591194927</v>
      </c>
      <c r="Q729">
        <f t="shared" si="1000"/>
        <v>36753453.792294897</v>
      </c>
      <c r="R729">
        <f t="shared" si="1001"/>
        <v>1661786927.9132574</v>
      </c>
      <c r="S729">
        <f t="shared" si="1002"/>
        <v>16617.869279132574</v>
      </c>
      <c r="T729">
        <f t="shared" si="1003"/>
        <v>16.617869279132574</v>
      </c>
    </row>
    <row r="730" spans="1:20" x14ac:dyDescent="0.25">
      <c r="A730" s="5">
        <v>43863</v>
      </c>
      <c r="B730">
        <v>0.24146000000000001</v>
      </c>
      <c r="C730">
        <v>0.26162999999999997</v>
      </c>
      <c r="D730">
        <v>0.23549999999999999</v>
      </c>
      <c r="E730">
        <v>0.25092999999999999</v>
      </c>
      <c r="F730">
        <v>220101966.80000001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0.18101798698813679</v>
      </c>
      <c r="Q730">
        <f t="shared" si="1000"/>
        <v>39842414.962265715</v>
      </c>
      <c r="R730">
        <f t="shared" si="1001"/>
        <v>1625033474.1209624</v>
      </c>
      <c r="S730">
        <f t="shared" si="1002"/>
        <v>16250.334741209625</v>
      </c>
      <c r="T730">
        <f t="shared" si="1003"/>
        <v>16.250334741209624</v>
      </c>
    </row>
    <row r="731" spans="1:20" x14ac:dyDescent="0.25">
      <c r="A731" s="5">
        <v>43862</v>
      </c>
      <c r="B731">
        <v>0.23946999999999999</v>
      </c>
      <c r="C731">
        <v>0.24304000000000001</v>
      </c>
      <c r="D731">
        <v>0.23683999999999999</v>
      </c>
      <c r="E731">
        <v>0.24141000000000001</v>
      </c>
      <c r="F731">
        <v>78963550.599999994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0.47419354838710009</v>
      </c>
      <c r="Q731">
        <f t="shared" si="1000"/>
        <v>37444006.252258323</v>
      </c>
      <c r="R731">
        <f t="shared" si="1001"/>
        <v>1585191059.1586967</v>
      </c>
      <c r="S731">
        <f t="shared" si="1002"/>
        <v>15851.910591586966</v>
      </c>
      <c r="T731">
        <f t="shared" si="1003"/>
        <v>15.851910591586966</v>
      </c>
    </row>
    <row r="732" spans="1:20" x14ac:dyDescent="0.25">
      <c r="A732" s="5">
        <v>43861</v>
      </c>
      <c r="B732">
        <v>0.24376</v>
      </c>
      <c r="C732">
        <v>0.24485999999999999</v>
      </c>
      <c r="D732">
        <v>0.23350000000000001</v>
      </c>
      <c r="E732">
        <v>0.23946000000000001</v>
      </c>
      <c r="F732">
        <v>122494224.8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4.9295774647887841E-2</v>
      </c>
      <c r="Q732">
        <f t="shared" si="1000"/>
        <v>6038447.7014085138</v>
      </c>
      <c r="R732">
        <f t="shared" si="1001"/>
        <v>1547747052.9064384</v>
      </c>
      <c r="S732">
        <f t="shared" si="1002"/>
        <v>15477.470529064383</v>
      </c>
      <c r="T732">
        <f t="shared" si="1003"/>
        <v>15.477470529064384</v>
      </c>
    </row>
    <row r="733" spans="1:20" x14ac:dyDescent="0.25">
      <c r="A733" s="5">
        <v>43860</v>
      </c>
      <c r="B733">
        <v>0.23538000000000001</v>
      </c>
      <c r="C733">
        <v>0.24668999999999999</v>
      </c>
      <c r="D733">
        <v>0.23055999999999999</v>
      </c>
      <c r="E733">
        <v>0.24376</v>
      </c>
      <c r="F733">
        <v>162144624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0.63670179789212811</v>
      </c>
      <c r="Q733">
        <f t="shared" si="1000"/>
        <v>103237773.6193431</v>
      </c>
      <c r="R733">
        <f t="shared" si="1001"/>
        <v>1541708605.2050297</v>
      </c>
      <c r="S733">
        <f t="shared" si="1002"/>
        <v>15417.086052050297</v>
      </c>
      <c r="T733">
        <f t="shared" si="1003"/>
        <v>15.417086052050298</v>
      </c>
    </row>
    <row r="734" spans="1:20" x14ac:dyDescent="0.25">
      <c r="A734" s="5">
        <v>43859</v>
      </c>
      <c r="B734">
        <v>0.23912</v>
      </c>
      <c r="C734">
        <v>0.24196999999999999</v>
      </c>
      <c r="D734">
        <v>0.23425000000000001</v>
      </c>
      <c r="E734">
        <v>0.23538999999999999</v>
      </c>
      <c r="F734">
        <v>114643264.7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-0.70466321243523888</v>
      </c>
      <c r="Q734">
        <f t="shared" si="1000"/>
        <v>-80784891.187565431</v>
      </c>
      <c r="R734">
        <f t="shared" si="1001"/>
        <v>1438470831.5856867</v>
      </c>
      <c r="S734">
        <f t="shared" si="1002"/>
        <v>14384.708315856868</v>
      </c>
      <c r="T734">
        <f t="shared" si="1003"/>
        <v>14.384708315856868</v>
      </c>
    </row>
    <row r="735" spans="1:20" x14ac:dyDescent="0.25">
      <c r="A735" s="5">
        <v>43858</v>
      </c>
      <c r="B735">
        <v>0.23078000000000001</v>
      </c>
      <c r="C735">
        <v>0.24162</v>
      </c>
      <c r="D735">
        <v>0.23077</v>
      </c>
      <c r="E735">
        <v>0.23905999999999999</v>
      </c>
      <c r="F735">
        <v>157599522.5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0.52811059907833968</v>
      </c>
      <c r="Q735">
        <f t="shared" si="1000"/>
        <v>83229978.241935268</v>
      </c>
      <c r="R735">
        <f t="shared" si="1001"/>
        <v>1519255722.773252</v>
      </c>
      <c r="S735">
        <f t="shared" si="1002"/>
        <v>15192.557227732521</v>
      </c>
      <c r="T735">
        <f t="shared" si="1003"/>
        <v>15.192557227732522</v>
      </c>
    </row>
    <row r="736" spans="1:20" x14ac:dyDescent="0.25">
      <c r="A736" s="5">
        <v>43857</v>
      </c>
      <c r="B736">
        <v>0.23121</v>
      </c>
      <c r="C736">
        <v>0.23393</v>
      </c>
      <c r="D736">
        <v>0.2263</v>
      </c>
      <c r="E736">
        <v>0.23077</v>
      </c>
      <c r="F736">
        <v>102966534.5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0.17169069462647524</v>
      </c>
      <c r="Q736">
        <f t="shared" si="1000"/>
        <v>17678395.831585929</v>
      </c>
      <c r="R736">
        <f t="shared" si="1001"/>
        <v>1436025744.5313168</v>
      </c>
      <c r="S736">
        <f t="shared" si="1002"/>
        <v>14360.257445313167</v>
      </c>
      <c r="T736">
        <f t="shared" si="1003"/>
        <v>14.360257445313167</v>
      </c>
    </row>
    <row r="737" spans="1:20" x14ac:dyDescent="0.25">
      <c r="A737" s="5">
        <v>43856</v>
      </c>
      <c r="B737">
        <v>0.21945999999999999</v>
      </c>
      <c r="C737">
        <v>0.23275999999999999</v>
      </c>
      <c r="D737">
        <v>0.218</v>
      </c>
      <c r="E737">
        <v>0.23130999999999999</v>
      </c>
      <c r="F737">
        <v>79796120</v>
      </c>
      <c r="G737">
        <v>0</v>
      </c>
      <c r="L737" t="s">
        <v>8</v>
      </c>
      <c r="M737" t="s">
        <v>8</v>
      </c>
      <c r="N737" t="s">
        <v>8</v>
      </c>
      <c r="P737">
        <f t="shared" si="999"/>
        <v>0.80352303523035129</v>
      </c>
      <c r="Q737">
        <f t="shared" si="1000"/>
        <v>64118020.542005338</v>
      </c>
      <c r="R737">
        <f t="shared" si="1001"/>
        <v>1418347348.6997309</v>
      </c>
      <c r="S737">
        <f t="shared" si="1002"/>
        <v>14183.473486997309</v>
      </c>
      <c r="T737">
        <f t="shared" si="1003"/>
        <v>14.183473486997309</v>
      </c>
    </row>
    <row r="738" spans="1:20" x14ac:dyDescent="0.25">
      <c r="A738" s="5">
        <v>43855</v>
      </c>
      <c r="B738">
        <v>0.22219</v>
      </c>
      <c r="C738">
        <v>0.22270999999999999</v>
      </c>
      <c r="D738">
        <v>0.21662000000000001</v>
      </c>
      <c r="E738">
        <v>0.21945999999999999</v>
      </c>
      <c r="F738">
        <v>56806347</v>
      </c>
      <c r="G738">
        <v>0</v>
      </c>
      <c r="L738" t="s">
        <v>7</v>
      </c>
      <c r="M738" t="s">
        <v>8</v>
      </c>
      <c r="N738" t="s">
        <v>8</v>
      </c>
      <c r="P738">
        <f t="shared" si="999"/>
        <v>-6.7323481116588257E-2</v>
      </c>
      <c r="Q738">
        <f t="shared" si="1000"/>
        <v>-3824401.0295568602</v>
      </c>
      <c r="R738">
        <f t="shared" si="1001"/>
        <v>1354229328.1577256</v>
      </c>
      <c r="S738">
        <f t="shared" si="1002"/>
        <v>13542.293281577256</v>
      </c>
      <c r="T738">
        <f t="shared" si="1003"/>
        <v>13.542293281577257</v>
      </c>
    </row>
    <row r="739" spans="1:20" x14ac:dyDescent="0.25">
      <c r="A739" s="5">
        <v>43854</v>
      </c>
      <c r="B739">
        <v>0.22584000000000001</v>
      </c>
      <c r="C739">
        <v>0.2263</v>
      </c>
      <c r="D739">
        <v>0.21378</v>
      </c>
      <c r="E739">
        <v>0.22222</v>
      </c>
      <c r="F739">
        <v>121855078.5</v>
      </c>
      <c r="G739">
        <v>0</v>
      </c>
      <c r="L739" t="s">
        <v>7</v>
      </c>
      <c r="M739" t="s">
        <v>8</v>
      </c>
      <c r="N739" t="s">
        <v>8</v>
      </c>
      <c r="P739">
        <f t="shared" si="999"/>
        <v>0.34824281150159758</v>
      </c>
      <c r="Q739">
        <f t="shared" si="1000"/>
        <v>42435155.13258788</v>
      </c>
      <c r="R739">
        <f t="shared" si="1001"/>
        <v>1358053729.1872823</v>
      </c>
      <c r="S739">
        <f t="shared" si="1002"/>
        <v>13580.537291872823</v>
      </c>
      <c r="T739">
        <f t="shared" si="1003"/>
        <v>13.580537291872822</v>
      </c>
    </row>
    <row r="740" spans="1:20" x14ac:dyDescent="0.25">
      <c r="A740" s="5">
        <v>43853</v>
      </c>
      <c r="B740">
        <v>0.23733000000000001</v>
      </c>
      <c r="C740">
        <v>0.23746</v>
      </c>
      <c r="D740">
        <v>0.22123000000000001</v>
      </c>
      <c r="E740">
        <v>0.22586000000000001</v>
      </c>
      <c r="F740">
        <v>105762250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-0.42945163277880505</v>
      </c>
      <c r="Q740">
        <f t="shared" si="1000"/>
        <v>-45419770.948860176</v>
      </c>
      <c r="R740">
        <f t="shared" si="1001"/>
        <v>1315618574.0546944</v>
      </c>
      <c r="S740">
        <f t="shared" si="1002"/>
        <v>13156.185740546944</v>
      </c>
      <c r="T740">
        <f t="shared" si="1003"/>
        <v>13.156185740546944</v>
      </c>
    </row>
    <row r="741" spans="1:20" x14ac:dyDescent="0.25">
      <c r="A741" s="5">
        <v>43852</v>
      </c>
      <c r="B741">
        <v>0.23738000000000001</v>
      </c>
      <c r="C741">
        <v>0.23996000000000001</v>
      </c>
      <c r="D741">
        <v>0.23213</v>
      </c>
      <c r="E741">
        <v>0.23733000000000001</v>
      </c>
      <c r="F741">
        <v>84725853.400000006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0.32822477650064052</v>
      </c>
      <c r="Q741">
        <f t="shared" si="1000"/>
        <v>27809124.296041038</v>
      </c>
      <c r="R741">
        <f t="shared" si="1001"/>
        <v>1361038345.0035546</v>
      </c>
      <c r="S741">
        <f t="shared" si="1002"/>
        <v>13610.383450035546</v>
      </c>
      <c r="T741">
        <f t="shared" si="1003"/>
        <v>13.610383450035545</v>
      </c>
    </row>
    <row r="742" spans="1:20" x14ac:dyDescent="0.25">
      <c r="A742" s="5">
        <v>43851</v>
      </c>
      <c r="B742">
        <v>0.23313999999999999</v>
      </c>
      <c r="C742">
        <v>0.24199999999999999</v>
      </c>
      <c r="D742">
        <v>0.23</v>
      </c>
      <c r="E742">
        <v>0.23726</v>
      </c>
      <c r="F742">
        <v>111913129.90000001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0.20999999999999983</v>
      </c>
      <c r="Q742">
        <f t="shared" si="1000"/>
        <v>23501757.278999981</v>
      </c>
      <c r="R742">
        <f t="shared" si="1001"/>
        <v>1333229220.7075136</v>
      </c>
      <c r="S742">
        <f t="shared" si="1002"/>
        <v>13332.292207075136</v>
      </c>
      <c r="T742">
        <f t="shared" si="1003"/>
        <v>13.332292207075136</v>
      </c>
    </row>
    <row r="743" spans="1:20" x14ac:dyDescent="0.25">
      <c r="A743" s="5">
        <v>43850</v>
      </c>
      <c r="B743">
        <v>0.23554</v>
      </c>
      <c r="C743">
        <v>0.23672000000000001</v>
      </c>
      <c r="D743">
        <v>0.22414999999999999</v>
      </c>
      <c r="E743">
        <v>0.23313999999999999</v>
      </c>
      <c r="F743">
        <v>115112776.40000001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0.43038981702465867</v>
      </c>
      <c r="Q743">
        <f t="shared" si="1000"/>
        <v>49543366.771996446</v>
      </c>
      <c r="R743">
        <f t="shared" si="1001"/>
        <v>1309727463.4285135</v>
      </c>
      <c r="S743">
        <f t="shared" si="1002"/>
        <v>13097.274634285135</v>
      </c>
      <c r="T743">
        <f t="shared" si="1003"/>
        <v>13.097274634285135</v>
      </c>
    </row>
    <row r="744" spans="1:20" x14ac:dyDescent="0.25">
      <c r="A744" s="5">
        <v>43849</v>
      </c>
      <c r="B744">
        <v>0.24357000000000001</v>
      </c>
      <c r="C744">
        <v>0.25174999999999997</v>
      </c>
      <c r="D744">
        <v>0.22700000000000001</v>
      </c>
      <c r="E744">
        <v>0.23558000000000001</v>
      </c>
      <c r="F744">
        <v>180887717.90000001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-0.30666666666666537</v>
      </c>
      <c r="Q744">
        <f t="shared" si="1000"/>
        <v>-55472233.489333101</v>
      </c>
      <c r="R744">
        <f t="shared" si="1001"/>
        <v>1260184096.656517</v>
      </c>
      <c r="S744">
        <f t="shared" si="1002"/>
        <v>12601.840966565171</v>
      </c>
      <c r="T744">
        <f t="shared" si="1003"/>
        <v>12.60184096656517</v>
      </c>
    </row>
    <row r="745" spans="1:20" x14ac:dyDescent="0.25">
      <c r="A745" s="5">
        <v>43848</v>
      </c>
      <c r="B745">
        <v>0.23921999999999999</v>
      </c>
      <c r="C745">
        <v>0.25456000000000001</v>
      </c>
      <c r="D745">
        <v>0.23183000000000001</v>
      </c>
      <c r="E745">
        <v>0.24357000000000001</v>
      </c>
      <c r="F745">
        <v>206939203.80000001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3.2996040475143013E-2</v>
      </c>
      <c r="Q745">
        <f t="shared" si="1000"/>
        <v>6828174.3444786686</v>
      </c>
      <c r="R745">
        <f t="shared" si="1001"/>
        <v>1315656330.1458502</v>
      </c>
      <c r="S745">
        <f t="shared" si="1002"/>
        <v>13156.563301458502</v>
      </c>
      <c r="T745">
        <f t="shared" si="1003"/>
        <v>13.156563301458501</v>
      </c>
    </row>
    <row r="746" spans="1:20" x14ac:dyDescent="0.25">
      <c r="A746" s="5">
        <v>43847</v>
      </c>
      <c r="B746">
        <v>0.22899</v>
      </c>
      <c r="C746">
        <v>0.24453</v>
      </c>
      <c r="D746">
        <v>0.22659000000000001</v>
      </c>
      <c r="E746">
        <v>0.23921000000000001</v>
      </c>
      <c r="F746">
        <v>214368960.69999999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0.40691192865105952</v>
      </c>
      <c r="Q746">
        <f t="shared" si="1000"/>
        <v>87229287.241360173</v>
      </c>
      <c r="R746">
        <f t="shared" si="1001"/>
        <v>1308828155.8013716</v>
      </c>
      <c r="S746">
        <f t="shared" si="1002"/>
        <v>13088.281558013716</v>
      </c>
      <c r="T746">
        <f t="shared" si="1003"/>
        <v>13.088281558013716</v>
      </c>
    </row>
    <row r="747" spans="1:20" x14ac:dyDescent="0.25">
      <c r="A747" s="5">
        <v>43846</v>
      </c>
      <c r="B747">
        <v>0.23366999999999999</v>
      </c>
      <c r="C747">
        <v>0.23501</v>
      </c>
      <c r="D747">
        <v>0.2223</v>
      </c>
      <c r="E747">
        <v>0.22900000000000001</v>
      </c>
      <c r="F747">
        <v>140095581.90000001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5.4287962234462944E-2</v>
      </c>
      <c r="Q747">
        <f t="shared" si="1000"/>
        <v>7605503.6594023108</v>
      </c>
      <c r="R747">
        <f t="shared" si="1001"/>
        <v>1221598868.5600114</v>
      </c>
      <c r="S747">
        <f t="shared" si="1002"/>
        <v>12215.988685600114</v>
      </c>
      <c r="T747">
        <f t="shared" si="1003"/>
        <v>12.215988685600115</v>
      </c>
    </row>
    <row r="748" spans="1:20" x14ac:dyDescent="0.25">
      <c r="A748" s="5">
        <v>43845</v>
      </c>
      <c r="B748">
        <v>0.23455000000000001</v>
      </c>
      <c r="C748">
        <v>0.24356</v>
      </c>
      <c r="D748">
        <v>0.2263</v>
      </c>
      <c r="E748">
        <v>0.23366999999999999</v>
      </c>
      <c r="F748">
        <v>237606461.80000001</v>
      </c>
      <c r="G748">
        <v>0</v>
      </c>
      <c r="L748" t="s">
        <v>7</v>
      </c>
      <c r="M748" t="s">
        <v>8</v>
      </c>
      <c r="N748" t="s">
        <v>8</v>
      </c>
      <c r="P748">
        <f t="shared" si="999"/>
        <v>-0.14600231749710443</v>
      </c>
      <c r="Q748">
        <f t="shared" si="1000"/>
        <v>-34691094.075087219</v>
      </c>
      <c r="R748">
        <f t="shared" si="1001"/>
        <v>1213993364.900609</v>
      </c>
      <c r="S748">
        <f t="shared" si="1002"/>
        <v>12139.93364900609</v>
      </c>
      <c r="T748">
        <f t="shared" si="1003"/>
        <v>12.139933649006091</v>
      </c>
    </row>
    <row r="749" spans="1:20" x14ac:dyDescent="0.25">
      <c r="A749" s="5">
        <v>43844</v>
      </c>
      <c r="B749">
        <v>0.21134</v>
      </c>
      <c r="C749">
        <v>0.24526000000000001</v>
      </c>
      <c r="D749">
        <v>0.21134</v>
      </c>
      <c r="E749">
        <v>0.23463999999999999</v>
      </c>
      <c r="F749">
        <v>301142541.5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0.37382075471698017</v>
      </c>
      <c r="Q749">
        <f t="shared" si="1000"/>
        <v>112573332.14091952</v>
      </c>
      <c r="R749">
        <f t="shared" si="1001"/>
        <v>1248684458.9756963</v>
      </c>
      <c r="S749">
        <f t="shared" si="1002"/>
        <v>12486.844589756964</v>
      </c>
      <c r="T749">
        <f t="shared" si="1003"/>
        <v>12.486844589756963</v>
      </c>
    </row>
    <row r="750" spans="1:20" x14ac:dyDescent="0.25">
      <c r="A750" s="5">
        <v>43843</v>
      </c>
      <c r="B750">
        <v>0.21536</v>
      </c>
      <c r="C750">
        <v>0.21560000000000001</v>
      </c>
      <c r="D750">
        <v>0.20960000000000001</v>
      </c>
      <c r="E750">
        <v>0.21134</v>
      </c>
      <c r="F750">
        <v>50959156.799999997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-0.42000000000000332</v>
      </c>
      <c r="Q750">
        <f t="shared" si="1000"/>
        <v>-21402845.856000166</v>
      </c>
      <c r="R750">
        <f t="shared" si="1001"/>
        <v>1136111126.8347769</v>
      </c>
      <c r="S750">
        <f t="shared" si="1002"/>
        <v>11361.11126834777</v>
      </c>
      <c r="T750">
        <f t="shared" si="1003"/>
        <v>11.36111126834777</v>
      </c>
    </row>
    <row r="751" spans="1:20" x14ac:dyDescent="0.25">
      <c r="A751" s="5">
        <v>43842</v>
      </c>
      <c r="B751">
        <v>0.21121000000000001</v>
      </c>
      <c r="C751">
        <v>0.21712999999999999</v>
      </c>
      <c r="D751">
        <v>0.20941000000000001</v>
      </c>
      <c r="E751">
        <v>0.21539</v>
      </c>
      <c r="F751">
        <v>70711714.400000006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0.54922279792746198</v>
      </c>
      <c r="Q751">
        <f t="shared" si="1000"/>
        <v>38836485.62901561</v>
      </c>
      <c r="R751">
        <f t="shared" si="1001"/>
        <v>1157513972.6907771</v>
      </c>
      <c r="S751">
        <f t="shared" si="1002"/>
        <v>11575.13972690777</v>
      </c>
      <c r="T751">
        <f t="shared" si="1003"/>
        <v>11.57513972690777</v>
      </c>
    </row>
    <row r="752" spans="1:20" x14ac:dyDescent="0.25">
      <c r="A752" s="5">
        <v>43841</v>
      </c>
      <c r="B752">
        <v>0.21276999999999999</v>
      </c>
      <c r="C752">
        <v>0.21994</v>
      </c>
      <c r="D752">
        <v>0.20852000000000001</v>
      </c>
      <c r="E752">
        <v>0.21121000000000001</v>
      </c>
      <c r="F752">
        <v>119237732.2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-0.52889667250437811</v>
      </c>
      <c r="Q752">
        <f t="shared" si="1000"/>
        <v>-63064439.797548145</v>
      </c>
      <c r="R752">
        <f t="shared" si="1001"/>
        <v>1118677487.0617614</v>
      </c>
      <c r="S752">
        <f t="shared" si="1002"/>
        <v>11186.774870617613</v>
      </c>
      <c r="T752">
        <f t="shared" si="1003"/>
        <v>11.186774870617613</v>
      </c>
    </row>
    <row r="753" spans="1:20" x14ac:dyDescent="0.25">
      <c r="A753" s="5">
        <v>43840</v>
      </c>
      <c r="B753">
        <v>0.20374999999999999</v>
      </c>
      <c r="C753">
        <v>0.21318000000000001</v>
      </c>
      <c r="D753">
        <v>0.20022999999999999</v>
      </c>
      <c r="E753">
        <v>0.21284</v>
      </c>
      <c r="F753">
        <v>145223181.5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0.94749034749034644</v>
      </c>
      <c r="Q753">
        <f t="shared" si="1000"/>
        <v>137597562.70308864</v>
      </c>
      <c r="R753">
        <f t="shared" si="1001"/>
        <v>1181741926.8593094</v>
      </c>
      <c r="S753">
        <f t="shared" si="1002"/>
        <v>11817.419268593094</v>
      </c>
      <c r="T753">
        <f t="shared" si="1003"/>
        <v>11.817419268593094</v>
      </c>
    </row>
    <row r="754" spans="1:20" x14ac:dyDescent="0.25">
      <c r="A754" s="5">
        <v>43839</v>
      </c>
      <c r="B754">
        <v>0.20749999999999999</v>
      </c>
      <c r="C754">
        <v>0.20877000000000001</v>
      </c>
      <c r="D754">
        <v>0.20125999999999999</v>
      </c>
      <c r="E754">
        <v>0.20372999999999999</v>
      </c>
      <c r="F754">
        <v>75492140.5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-0.34221038615179905</v>
      </c>
      <c r="Q754">
        <f t="shared" si="1000"/>
        <v>-25834194.551930867</v>
      </c>
      <c r="R754">
        <f t="shared" si="1001"/>
        <v>1044144364.1562208</v>
      </c>
      <c r="S754">
        <f t="shared" si="1002"/>
        <v>10441.443641562208</v>
      </c>
      <c r="T754">
        <f t="shared" si="1003"/>
        <v>10.441443641562207</v>
      </c>
    </row>
    <row r="755" spans="1:20" x14ac:dyDescent="0.25">
      <c r="A755" s="5">
        <v>43838</v>
      </c>
      <c r="B755">
        <v>0.21334</v>
      </c>
      <c r="C755">
        <v>0.21836</v>
      </c>
      <c r="D755">
        <v>0.20311000000000001</v>
      </c>
      <c r="E755">
        <v>0.20749999999999999</v>
      </c>
      <c r="F755">
        <v>148861801.30000001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-0.42426229508196966</v>
      </c>
      <c r="Q755">
        <f t="shared" si="1000"/>
        <v>-63156449.469574139</v>
      </c>
      <c r="R755">
        <f t="shared" si="1001"/>
        <v>1069978558.7081517</v>
      </c>
      <c r="S755">
        <f t="shared" si="1002"/>
        <v>10699.785587081516</v>
      </c>
      <c r="T755">
        <f t="shared" si="1003"/>
        <v>10.699785587081516</v>
      </c>
    </row>
    <row r="756" spans="1:20" x14ac:dyDescent="0.25">
      <c r="A756" s="5">
        <v>43837</v>
      </c>
      <c r="B756">
        <v>0.22309999999999999</v>
      </c>
      <c r="C756">
        <v>0.22550000000000001</v>
      </c>
      <c r="D756">
        <v>0.20702000000000001</v>
      </c>
      <c r="E756">
        <v>0.21335000000000001</v>
      </c>
      <c r="F756">
        <v>206449580.59999999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-0.31493506493506457</v>
      </c>
      <c r="Q756">
        <f t="shared" si="1000"/>
        <v>-65018212.072077848</v>
      </c>
      <c r="R756">
        <f t="shared" si="1001"/>
        <v>1133135008.1777258</v>
      </c>
      <c r="S756">
        <f t="shared" si="1002"/>
        <v>11331.350081777258</v>
      </c>
      <c r="T756">
        <f t="shared" si="1003"/>
        <v>11.331350081777257</v>
      </c>
    </row>
    <row r="757" spans="1:20" x14ac:dyDescent="0.25">
      <c r="A757" s="5">
        <v>43836</v>
      </c>
      <c r="B757">
        <v>0.19453000000000001</v>
      </c>
      <c r="C757">
        <v>0.22395999999999999</v>
      </c>
      <c r="D757">
        <v>0.19420999999999999</v>
      </c>
      <c r="E757">
        <v>0.22309999999999999</v>
      </c>
      <c r="F757">
        <v>234157239.19999999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0.94218487394957984</v>
      </c>
      <c r="Q757">
        <f t="shared" si="1000"/>
        <v>220619408.90003359</v>
      </c>
      <c r="R757">
        <f t="shared" si="1001"/>
        <v>1198153220.2498035</v>
      </c>
      <c r="S757">
        <f t="shared" si="1002"/>
        <v>11981.532202498036</v>
      </c>
      <c r="T757">
        <f t="shared" si="1003"/>
        <v>11.981532202498036</v>
      </c>
    </row>
    <row r="758" spans="1:20" x14ac:dyDescent="0.25">
      <c r="A758" s="5">
        <v>43835</v>
      </c>
      <c r="B758">
        <v>0.19305</v>
      </c>
      <c r="C758">
        <v>0.19722000000000001</v>
      </c>
      <c r="D758">
        <v>0.19288</v>
      </c>
      <c r="E758">
        <v>0.19453000000000001</v>
      </c>
      <c r="F758">
        <v>54356477.700000003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-0.239631336405526</v>
      </c>
      <c r="Q758">
        <f t="shared" si="1000"/>
        <v>-13025515.393548174</v>
      </c>
      <c r="R758">
        <f t="shared" si="1001"/>
        <v>977533811.34977007</v>
      </c>
      <c r="S758">
        <f t="shared" si="1002"/>
        <v>9775.3381134977008</v>
      </c>
      <c r="T758">
        <f t="shared" si="1003"/>
        <v>9.7753381134977015</v>
      </c>
    </row>
    <row r="759" spans="1:20" x14ac:dyDescent="0.25">
      <c r="A759" s="5">
        <v>43834</v>
      </c>
      <c r="B759">
        <v>0.19331000000000001</v>
      </c>
      <c r="C759">
        <v>0.19363</v>
      </c>
      <c r="D759">
        <v>0.19119</v>
      </c>
      <c r="E759">
        <v>0.19305</v>
      </c>
      <c r="F759">
        <v>34239655.399999999</v>
      </c>
      <c r="G759">
        <v>0</v>
      </c>
      <c r="L759" t="s">
        <v>7</v>
      </c>
      <c r="M759" t="s">
        <v>7</v>
      </c>
      <c r="N759" t="s">
        <v>7</v>
      </c>
      <c r="P759">
        <f t="shared" si="999"/>
        <v>0.52459016393442814</v>
      </c>
      <c r="Q759">
        <f t="shared" si="1000"/>
        <v>17961786.439344328</v>
      </c>
      <c r="R759">
        <f t="shared" si="1001"/>
        <v>990559326.7433182</v>
      </c>
      <c r="S759">
        <f t="shared" si="1002"/>
        <v>9905.5932674331816</v>
      </c>
      <c r="T759">
        <f t="shared" si="1003"/>
        <v>9.905593267433181</v>
      </c>
    </row>
    <row r="760" spans="1:20" x14ac:dyDescent="0.25">
      <c r="A760" s="5">
        <v>43833</v>
      </c>
      <c r="B760">
        <v>0.1875</v>
      </c>
      <c r="C760">
        <v>0.19395000000000001</v>
      </c>
      <c r="D760">
        <v>0.1845</v>
      </c>
      <c r="E760">
        <v>0.19338</v>
      </c>
      <c r="F760">
        <v>70390779.299999997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0.87936507936507635</v>
      </c>
      <c r="Q760">
        <f t="shared" si="1000"/>
        <v>61899193.225714073</v>
      </c>
      <c r="R760">
        <f t="shared" si="1001"/>
        <v>972597540.30397391</v>
      </c>
      <c r="S760">
        <f t="shared" si="1002"/>
        <v>9725.9754030397398</v>
      </c>
      <c r="T760">
        <f t="shared" si="1003"/>
        <v>9.7259754030397403</v>
      </c>
    </row>
    <row r="761" spans="1:20" x14ac:dyDescent="0.25">
      <c r="A761" s="5">
        <v>43832</v>
      </c>
      <c r="B761">
        <v>0.19303999999999999</v>
      </c>
      <c r="C761">
        <v>0.19303999999999999</v>
      </c>
      <c r="D761">
        <v>0.18507999999999999</v>
      </c>
      <c r="E761">
        <v>0.1875</v>
      </c>
      <c r="F761">
        <v>47912105.600000001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-0.39195979899497313</v>
      </c>
      <c r="Q761">
        <f t="shared" si="1000"/>
        <v>-18779619.280401926</v>
      </c>
      <c r="R761">
        <f t="shared" si="1001"/>
        <v>910698347.07825983</v>
      </c>
      <c r="S761">
        <f t="shared" si="1002"/>
        <v>9106.9834707825976</v>
      </c>
      <c r="T761">
        <f t="shared" si="1003"/>
        <v>9.1069834707825983</v>
      </c>
    </row>
    <row r="762" spans="1:20" x14ac:dyDescent="0.25">
      <c r="A762" s="5">
        <v>43831</v>
      </c>
      <c r="B762">
        <v>0.19284999999999999</v>
      </c>
      <c r="C762">
        <v>0.19525999999999999</v>
      </c>
      <c r="D762">
        <v>0.19219</v>
      </c>
      <c r="E762">
        <v>0.19305</v>
      </c>
      <c r="F762">
        <v>29773022.600000001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-0.43973941368078007</v>
      </c>
      <c r="Q762">
        <f t="shared" si="1000"/>
        <v>-13092371.501628615</v>
      </c>
      <c r="R762">
        <f t="shared" si="1001"/>
        <v>929477966.35866177</v>
      </c>
      <c r="S762">
        <f t="shared" si="1002"/>
        <v>9294.779663586618</v>
      </c>
      <c r="T762">
        <f t="shared" si="1003"/>
        <v>9.2947796635866187</v>
      </c>
    </row>
    <row r="763" spans="1:20" x14ac:dyDescent="0.25">
      <c r="A763" s="5">
        <v>43830</v>
      </c>
      <c r="B763">
        <v>0.19327</v>
      </c>
      <c r="C763">
        <v>0.19422</v>
      </c>
      <c r="D763">
        <v>0.18987999999999999</v>
      </c>
      <c r="E763">
        <v>0.19295000000000001</v>
      </c>
      <c r="F763">
        <v>40610029.299999997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0.41474654377880632</v>
      </c>
      <c r="Q763">
        <f t="shared" si="1000"/>
        <v>16842869.294931058</v>
      </c>
      <c r="R763">
        <f t="shared" si="1001"/>
        <v>942570337.86029041</v>
      </c>
      <c r="S763">
        <f t="shared" si="1002"/>
        <v>9425.7033786029042</v>
      </c>
      <c r="T763">
        <f t="shared" si="1003"/>
        <v>9.4257033786029041</v>
      </c>
    </row>
    <row r="764" spans="1:20" x14ac:dyDescent="0.25">
      <c r="A764" s="5">
        <v>43829</v>
      </c>
      <c r="B764">
        <v>0.19650999999999999</v>
      </c>
      <c r="C764">
        <v>0.19789999999999999</v>
      </c>
      <c r="D764">
        <v>0.19206000000000001</v>
      </c>
      <c r="E764">
        <v>0.19325999999999999</v>
      </c>
      <c r="F764">
        <v>41924910.399999999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-0.58904109589041709</v>
      </c>
      <c r="Q764">
        <f t="shared" si="1000"/>
        <v>-24695495.167123545</v>
      </c>
      <c r="R764">
        <f t="shared" si="1001"/>
        <v>925727468.56535935</v>
      </c>
      <c r="S764">
        <f t="shared" si="1002"/>
        <v>9257.2746856535941</v>
      </c>
      <c r="T764">
        <f t="shared" si="1003"/>
        <v>9.257274685653595</v>
      </c>
    </row>
    <row r="765" spans="1:20" x14ac:dyDescent="0.25">
      <c r="A765" s="5">
        <v>43828</v>
      </c>
      <c r="B765">
        <v>0.19320999999999999</v>
      </c>
      <c r="C765">
        <v>0.19850000000000001</v>
      </c>
      <c r="D765">
        <v>0.1908</v>
      </c>
      <c r="E765">
        <v>0.19653000000000001</v>
      </c>
      <c r="F765">
        <v>49069370.299999997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0.48831168831168925</v>
      </c>
      <c r="Q765">
        <f t="shared" si="1000"/>
        <v>23961147.05558446</v>
      </c>
      <c r="R765">
        <f t="shared" si="1001"/>
        <v>950422963.73248291</v>
      </c>
      <c r="S765">
        <f t="shared" si="1002"/>
        <v>9504.2296373248282</v>
      </c>
      <c r="T765">
        <f t="shared" si="1003"/>
        <v>9.5042296373248281</v>
      </c>
    </row>
    <row r="766" spans="1:20" x14ac:dyDescent="0.25">
      <c r="A766" s="5">
        <v>43827</v>
      </c>
      <c r="B766">
        <v>0.19003</v>
      </c>
      <c r="C766">
        <v>0.19469</v>
      </c>
      <c r="D766">
        <v>0.18969</v>
      </c>
      <c r="E766">
        <v>0.19320000000000001</v>
      </c>
      <c r="F766">
        <v>36743672.899999999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0.40400000000000402</v>
      </c>
      <c r="Q766">
        <f t="shared" si="1000"/>
        <v>14844443.851600148</v>
      </c>
      <c r="R766">
        <f t="shared" si="1001"/>
        <v>926461816.67689848</v>
      </c>
      <c r="S766">
        <f t="shared" si="1002"/>
        <v>9264.6181667689852</v>
      </c>
      <c r="T766">
        <f t="shared" si="1003"/>
        <v>9.2646181667689849</v>
      </c>
    </row>
    <row r="767" spans="1:20" x14ac:dyDescent="0.25">
      <c r="A767" s="5">
        <v>43826</v>
      </c>
      <c r="B767">
        <v>0.18923999999999999</v>
      </c>
      <c r="C767">
        <v>0.19015000000000001</v>
      </c>
      <c r="D767">
        <v>0.18479999999999999</v>
      </c>
      <c r="E767">
        <v>0.19003</v>
      </c>
      <c r="F767">
        <v>34971243.799999997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0.95514018691588465</v>
      </c>
      <c r="Q767">
        <f t="shared" ref="Q767:Q830" si="1005">F767*P767</f>
        <v>33402440.339812968</v>
      </c>
      <c r="R767">
        <f t="shared" ref="R767:R830" si="1006">R768+Q767</f>
        <v>911617372.82529831</v>
      </c>
      <c r="S767">
        <f t="shared" ref="S767:S830" si="1007">R767/100000</f>
        <v>9116.173728252983</v>
      </c>
      <c r="T767">
        <f t="shared" ref="T767:T830" si="1008">S767/1000</f>
        <v>9.1161737282529831</v>
      </c>
    </row>
    <row r="768" spans="1:20" x14ac:dyDescent="0.25">
      <c r="A768" s="5">
        <v>43825</v>
      </c>
      <c r="B768">
        <v>0.18864</v>
      </c>
      <c r="C768">
        <v>0.19409999999999999</v>
      </c>
      <c r="D768">
        <v>0.18722</v>
      </c>
      <c r="E768">
        <v>0.18923000000000001</v>
      </c>
      <c r="F768">
        <v>46612594.5</v>
      </c>
      <c r="G768">
        <v>0</v>
      </c>
      <c r="L768" t="s">
        <v>8</v>
      </c>
      <c r="M768" t="s">
        <v>7</v>
      </c>
      <c r="N768" t="s">
        <v>7</v>
      </c>
      <c r="P768">
        <f t="shared" si="1004"/>
        <v>-0.415697674418601</v>
      </c>
      <c r="Q768">
        <f t="shared" si="1005"/>
        <v>-19376747.13226727</v>
      </c>
      <c r="R768">
        <f t="shared" si="1006"/>
        <v>878214932.48548532</v>
      </c>
      <c r="S768">
        <f t="shared" si="1007"/>
        <v>8782.1493248548541</v>
      </c>
      <c r="T768">
        <f t="shared" si="1008"/>
        <v>8.7821493248548546</v>
      </c>
    </row>
    <row r="769" spans="1:20" x14ac:dyDescent="0.25">
      <c r="A769" s="5">
        <v>43824</v>
      </c>
      <c r="B769">
        <v>0.19069</v>
      </c>
      <c r="C769">
        <v>0.19137000000000001</v>
      </c>
      <c r="D769">
        <v>0.18633</v>
      </c>
      <c r="E769">
        <v>0.18851999999999999</v>
      </c>
      <c r="F769">
        <v>39672557.200000003</v>
      </c>
      <c r="G769">
        <v>0</v>
      </c>
      <c r="L769" t="s">
        <v>8</v>
      </c>
      <c r="M769" t="s">
        <v>7</v>
      </c>
      <c r="N769" t="s">
        <v>7</v>
      </c>
      <c r="P769">
        <f t="shared" si="1004"/>
        <v>-0.13095238095238482</v>
      </c>
      <c r="Q769">
        <f t="shared" si="1005"/>
        <v>-5195215.8238096777</v>
      </c>
      <c r="R769">
        <f t="shared" si="1006"/>
        <v>897591679.61775255</v>
      </c>
      <c r="S769">
        <f t="shared" si="1007"/>
        <v>8975.9167961775256</v>
      </c>
      <c r="T769">
        <f t="shared" si="1008"/>
        <v>8.9759167961775255</v>
      </c>
    </row>
    <row r="770" spans="1:20" x14ac:dyDescent="0.25">
      <c r="A770" s="5">
        <v>43823</v>
      </c>
      <c r="B770">
        <v>0.18958</v>
      </c>
      <c r="C770">
        <v>0.19413</v>
      </c>
      <c r="D770">
        <v>0.18745000000000001</v>
      </c>
      <c r="E770">
        <v>0.19077</v>
      </c>
      <c r="F770">
        <v>66325389.399999999</v>
      </c>
      <c r="G770">
        <v>0</v>
      </c>
      <c r="L770" t="s">
        <v>8</v>
      </c>
      <c r="M770" t="s">
        <v>7</v>
      </c>
      <c r="N770" t="s">
        <v>7</v>
      </c>
      <c r="P770">
        <f t="shared" si="1004"/>
        <v>-5.9880239520976493E-3</v>
      </c>
      <c r="Q770">
        <f t="shared" si="1005"/>
        <v>-397158.02035940351</v>
      </c>
      <c r="R770">
        <f t="shared" si="1006"/>
        <v>902786895.44156218</v>
      </c>
      <c r="S770">
        <f t="shared" si="1007"/>
        <v>9027.8689544156223</v>
      </c>
      <c r="T770">
        <f t="shared" si="1008"/>
        <v>9.0278689544156219</v>
      </c>
    </row>
    <row r="771" spans="1:20" x14ac:dyDescent="0.25">
      <c r="A771" s="5">
        <v>43822</v>
      </c>
      <c r="B771">
        <v>0.19650000000000001</v>
      </c>
      <c r="C771">
        <v>0.19974</v>
      </c>
      <c r="D771">
        <v>0.18809000000000001</v>
      </c>
      <c r="E771">
        <v>0.18953</v>
      </c>
      <c r="F771">
        <v>94859486.599999994</v>
      </c>
      <c r="G771">
        <v>0</v>
      </c>
      <c r="L771" t="s">
        <v>8</v>
      </c>
      <c r="M771" t="s">
        <v>7</v>
      </c>
      <c r="N771" t="s">
        <v>7</v>
      </c>
      <c r="P771">
        <f t="shared" si="1004"/>
        <v>-0.75278969957081587</v>
      </c>
      <c r="Q771">
        <f t="shared" si="1005"/>
        <v>-71409244.419055834</v>
      </c>
      <c r="R771">
        <f t="shared" si="1006"/>
        <v>903184053.46192157</v>
      </c>
      <c r="S771">
        <f t="shared" si="1007"/>
        <v>9031.8405346192158</v>
      </c>
      <c r="T771">
        <f t="shared" si="1008"/>
        <v>9.0318405346192154</v>
      </c>
    </row>
    <row r="772" spans="1:20" x14ac:dyDescent="0.25">
      <c r="A772" s="5">
        <v>43821</v>
      </c>
      <c r="B772">
        <v>0.19134000000000001</v>
      </c>
      <c r="C772">
        <v>0.19664999999999999</v>
      </c>
      <c r="D772">
        <v>0.19045000000000001</v>
      </c>
      <c r="E772">
        <v>0.19649</v>
      </c>
      <c r="F772">
        <v>53300985.100000001</v>
      </c>
      <c r="G772">
        <v>0</v>
      </c>
      <c r="L772" t="s">
        <v>8</v>
      </c>
      <c r="M772" t="s">
        <v>7</v>
      </c>
      <c r="N772" t="s">
        <v>7</v>
      </c>
      <c r="P772">
        <f t="shared" si="1004"/>
        <v>0.94838709677419553</v>
      </c>
      <c r="Q772">
        <f t="shared" si="1005"/>
        <v>50549966.514193654</v>
      </c>
      <c r="R772">
        <f t="shared" si="1006"/>
        <v>974593297.88097739</v>
      </c>
      <c r="S772">
        <f t="shared" si="1007"/>
        <v>9745.9329788097748</v>
      </c>
      <c r="T772">
        <f t="shared" si="1008"/>
        <v>9.7459329788097744</v>
      </c>
    </row>
    <row r="773" spans="1:20" x14ac:dyDescent="0.25">
      <c r="A773" s="5">
        <v>43820</v>
      </c>
      <c r="B773">
        <v>0.19508</v>
      </c>
      <c r="C773">
        <v>0.19617000000000001</v>
      </c>
      <c r="D773">
        <v>0.18992999999999999</v>
      </c>
      <c r="E773">
        <v>0.19142999999999999</v>
      </c>
      <c r="F773">
        <v>57760061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-0.51923076923077061</v>
      </c>
      <c r="Q773">
        <f t="shared" si="1005"/>
        <v>-29990800.903846234</v>
      </c>
      <c r="R773">
        <f t="shared" si="1006"/>
        <v>924043331.36678374</v>
      </c>
      <c r="S773">
        <f t="shared" si="1007"/>
        <v>9240.4333136678379</v>
      </c>
      <c r="T773">
        <f t="shared" si="1008"/>
        <v>9.2404333136678378</v>
      </c>
    </row>
    <row r="774" spans="1:20" x14ac:dyDescent="0.25">
      <c r="A774" s="5">
        <v>43819</v>
      </c>
      <c r="B774">
        <v>0.18779999999999999</v>
      </c>
      <c r="C774">
        <v>0.19786999999999999</v>
      </c>
      <c r="D774">
        <v>0.18368999999999999</v>
      </c>
      <c r="E774">
        <v>0.19520999999999999</v>
      </c>
      <c r="F774">
        <v>142835629.80000001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0.62482369534555771</v>
      </c>
      <c r="Q774">
        <f t="shared" si="1005"/>
        <v>89247086.038646072</v>
      </c>
      <c r="R774">
        <f t="shared" si="1006"/>
        <v>954034132.27063</v>
      </c>
      <c r="S774">
        <f t="shared" si="1007"/>
        <v>9540.3413227062993</v>
      </c>
      <c r="T774">
        <f t="shared" si="1008"/>
        <v>9.5403413227062988</v>
      </c>
    </row>
    <row r="775" spans="1:20" x14ac:dyDescent="0.25">
      <c r="A775" s="5">
        <v>43818</v>
      </c>
      <c r="B775">
        <v>0.19572999999999999</v>
      </c>
      <c r="C775">
        <v>0.19706000000000001</v>
      </c>
      <c r="D775">
        <v>0.18447</v>
      </c>
      <c r="E775">
        <v>0.18779999999999999</v>
      </c>
      <c r="F775">
        <v>89497528.299999997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-0.47100873709293173</v>
      </c>
      <c r="Q775">
        <f t="shared" si="1005"/>
        <v>-42154117.777521916</v>
      </c>
      <c r="R775">
        <f t="shared" si="1006"/>
        <v>864787046.2319839</v>
      </c>
      <c r="S775">
        <f t="shared" si="1007"/>
        <v>8647.8704623198391</v>
      </c>
      <c r="T775">
        <f t="shared" si="1008"/>
        <v>8.6478704623198386</v>
      </c>
    </row>
    <row r="776" spans="1:20" x14ac:dyDescent="0.25">
      <c r="A776" s="5">
        <v>43817</v>
      </c>
      <c r="B776">
        <v>0.18310000000000001</v>
      </c>
      <c r="C776">
        <v>0.2</v>
      </c>
      <c r="D776">
        <v>0.17499999999999999</v>
      </c>
      <c r="E776">
        <v>0.19572999999999999</v>
      </c>
      <c r="F776">
        <v>208259366.69999999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0.65839999999999843</v>
      </c>
      <c r="Q776">
        <f t="shared" si="1005"/>
        <v>137117967.03527966</v>
      </c>
      <c r="R776">
        <f t="shared" si="1006"/>
        <v>906941164.00950587</v>
      </c>
      <c r="S776">
        <f t="shared" si="1007"/>
        <v>9069.4116400950588</v>
      </c>
      <c r="T776">
        <f t="shared" si="1008"/>
        <v>9.0694116400950584</v>
      </c>
    </row>
    <row r="777" spans="1:20" x14ac:dyDescent="0.25">
      <c r="A777" s="5">
        <v>43816</v>
      </c>
      <c r="B777">
        <v>0.20547000000000001</v>
      </c>
      <c r="C777">
        <v>0.20568</v>
      </c>
      <c r="D777">
        <v>0.17754</v>
      </c>
      <c r="E777">
        <v>0.18310000000000001</v>
      </c>
      <c r="F777">
        <v>262505370.5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-0.60483297796730562</v>
      </c>
      <c r="Q777">
        <f t="shared" si="1005"/>
        <v>-158771904.97192588</v>
      </c>
      <c r="R777">
        <f t="shared" si="1006"/>
        <v>769823196.97422624</v>
      </c>
      <c r="S777">
        <f t="shared" si="1007"/>
        <v>7698.2319697422627</v>
      </c>
      <c r="T777">
        <f t="shared" si="1008"/>
        <v>7.6982319697422623</v>
      </c>
    </row>
    <row r="778" spans="1:20" x14ac:dyDescent="0.25">
      <c r="A778" s="5">
        <v>43815</v>
      </c>
      <c r="B778">
        <v>0.21734999999999999</v>
      </c>
      <c r="C778">
        <v>0.21747</v>
      </c>
      <c r="D778">
        <v>0.20200000000000001</v>
      </c>
      <c r="E778">
        <v>0.20549999999999999</v>
      </c>
      <c r="F778">
        <v>86445966.400000006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-0.54751131221719729</v>
      </c>
      <c r="Q778">
        <f t="shared" si="1005"/>
        <v>-47330144.49954775</v>
      </c>
      <c r="R778">
        <f t="shared" si="1006"/>
        <v>928595101.94615209</v>
      </c>
      <c r="S778">
        <f t="shared" si="1007"/>
        <v>9285.9510194615214</v>
      </c>
      <c r="T778">
        <f t="shared" si="1008"/>
        <v>9.2859510194615211</v>
      </c>
    </row>
    <row r="779" spans="1:20" x14ac:dyDescent="0.25">
      <c r="A779" s="5">
        <v>43814</v>
      </c>
      <c r="B779">
        <v>0.21604999999999999</v>
      </c>
      <c r="C779">
        <v>0.21939</v>
      </c>
      <c r="D779">
        <v>0.21462999999999999</v>
      </c>
      <c r="E779">
        <v>0.21734999999999999</v>
      </c>
      <c r="F779">
        <v>26223163.5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0.14285714285713952</v>
      </c>
      <c r="Q779">
        <f t="shared" si="1005"/>
        <v>3746166.2142856265</v>
      </c>
      <c r="R779">
        <f t="shared" si="1006"/>
        <v>975925246.44569981</v>
      </c>
      <c r="S779">
        <f t="shared" si="1007"/>
        <v>9759.2524644569985</v>
      </c>
      <c r="T779">
        <f t="shared" si="1008"/>
        <v>9.7592524644569991</v>
      </c>
    </row>
    <row r="780" spans="1:20" x14ac:dyDescent="0.25">
      <c r="A780" s="5">
        <v>43813</v>
      </c>
      <c r="B780">
        <v>0.22055</v>
      </c>
      <c r="C780">
        <v>0.22086</v>
      </c>
      <c r="D780">
        <v>0.21462999999999999</v>
      </c>
      <c r="E780">
        <v>0.21604999999999999</v>
      </c>
      <c r="F780">
        <v>31455442.100000001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-0.54414125200642005</v>
      </c>
      <c r="Q780">
        <f t="shared" si="1005"/>
        <v>-17116203.646709457</v>
      </c>
      <c r="R780">
        <f t="shared" si="1006"/>
        <v>972179080.2314142</v>
      </c>
      <c r="S780">
        <f t="shared" si="1007"/>
        <v>9721.7908023141426</v>
      </c>
      <c r="T780">
        <f t="shared" si="1008"/>
        <v>9.7217908023141426</v>
      </c>
    </row>
    <row r="781" spans="1:20" x14ac:dyDescent="0.25">
      <c r="A781" s="5">
        <v>43812</v>
      </c>
      <c r="B781">
        <v>0.21837000000000001</v>
      </c>
      <c r="C781">
        <v>0.22073999999999999</v>
      </c>
      <c r="D781">
        <v>0.21537000000000001</v>
      </c>
      <c r="E781">
        <v>0.22054000000000001</v>
      </c>
      <c r="F781">
        <v>51935733.100000001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0.92551210428306196</v>
      </c>
      <c r="Q781">
        <f t="shared" si="1005"/>
        <v>48067149.628864475</v>
      </c>
      <c r="R781">
        <f t="shared" si="1006"/>
        <v>989295283.87812364</v>
      </c>
      <c r="S781">
        <f t="shared" si="1007"/>
        <v>9892.952838781237</v>
      </c>
      <c r="T781">
        <f t="shared" si="1008"/>
        <v>9.8929528387812375</v>
      </c>
    </row>
    <row r="782" spans="1:20" x14ac:dyDescent="0.25">
      <c r="A782" s="5">
        <v>43811</v>
      </c>
      <c r="B782">
        <v>0.22103</v>
      </c>
      <c r="C782">
        <v>0.22322</v>
      </c>
      <c r="D782">
        <v>0.21640000000000001</v>
      </c>
      <c r="E782">
        <v>0.21837000000000001</v>
      </c>
      <c r="F782">
        <v>49354032.600000001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-0.42228739002932503</v>
      </c>
      <c r="Q782">
        <f t="shared" si="1005"/>
        <v>-20841585.614076223</v>
      </c>
      <c r="R782">
        <f t="shared" si="1006"/>
        <v>941228134.24925911</v>
      </c>
      <c r="S782">
        <f t="shared" si="1007"/>
        <v>9412.2813424925916</v>
      </c>
      <c r="T782">
        <f t="shared" si="1008"/>
        <v>9.4122813424925909</v>
      </c>
    </row>
    <row r="783" spans="1:20" x14ac:dyDescent="0.25">
      <c r="A783" s="5">
        <v>43810</v>
      </c>
      <c r="B783">
        <v>0.22256000000000001</v>
      </c>
      <c r="C783">
        <v>0.22364999999999999</v>
      </c>
      <c r="D783">
        <v>0.21973000000000001</v>
      </c>
      <c r="E783">
        <v>0.22092999999999999</v>
      </c>
      <c r="F783">
        <v>26282978.300000001</v>
      </c>
      <c r="G783">
        <v>0</v>
      </c>
      <c r="L783" t="s">
        <v>8</v>
      </c>
      <c r="M783" t="s">
        <v>7</v>
      </c>
      <c r="N783" t="s">
        <v>7</v>
      </c>
      <c r="P783">
        <f t="shared" si="1004"/>
        <v>-0.38775510204082386</v>
      </c>
      <c r="Q783">
        <f t="shared" si="1005"/>
        <v>-10191358.932653259</v>
      </c>
      <c r="R783">
        <f t="shared" si="1006"/>
        <v>962069719.86333537</v>
      </c>
      <c r="S783">
        <f t="shared" si="1007"/>
        <v>9620.6971986333538</v>
      </c>
      <c r="T783">
        <f t="shared" si="1008"/>
        <v>9.6206971986333532</v>
      </c>
    </row>
    <row r="784" spans="1:20" x14ac:dyDescent="0.25">
      <c r="A784" s="5">
        <v>43809</v>
      </c>
      <c r="B784">
        <v>0.22434999999999999</v>
      </c>
      <c r="C784">
        <v>0.22559999999999999</v>
      </c>
      <c r="D784">
        <v>0.21894</v>
      </c>
      <c r="E784">
        <v>0.22256000000000001</v>
      </c>
      <c r="F784">
        <v>44719099.899999999</v>
      </c>
      <c r="G784">
        <v>0</v>
      </c>
      <c r="L784" t="s">
        <v>8</v>
      </c>
      <c r="M784" t="s">
        <v>7</v>
      </c>
      <c r="N784" t="s">
        <v>7</v>
      </c>
      <c r="P784">
        <f t="shared" si="1004"/>
        <v>8.7087087087090842E-2</v>
      </c>
      <c r="Q784">
        <f t="shared" si="1005"/>
        <v>3894456.1474476154</v>
      </c>
      <c r="R784">
        <f t="shared" si="1006"/>
        <v>972261078.79598868</v>
      </c>
      <c r="S784">
        <f t="shared" si="1007"/>
        <v>9722.6107879598876</v>
      </c>
      <c r="T784">
        <f t="shared" si="1008"/>
        <v>9.7226107879598871</v>
      </c>
    </row>
    <row r="785" spans="1:20" x14ac:dyDescent="0.25">
      <c r="A785" s="5">
        <v>43808</v>
      </c>
      <c r="B785">
        <v>0.22913</v>
      </c>
      <c r="C785">
        <v>0.23083000000000001</v>
      </c>
      <c r="D785">
        <v>0.22112999999999999</v>
      </c>
      <c r="E785">
        <v>0.22445000000000001</v>
      </c>
      <c r="F785">
        <v>53369564.5</v>
      </c>
      <c r="G785">
        <v>0</v>
      </c>
      <c r="L785" t="s">
        <v>8</v>
      </c>
      <c r="M785" t="s">
        <v>7</v>
      </c>
      <c r="N785" t="s">
        <v>7</v>
      </c>
      <c r="P785">
        <f t="shared" si="1004"/>
        <v>-0.31546391752577063</v>
      </c>
      <c r="Q785">
        <f t="shared" si="1005"/>
        <v>-16836171.893814296</v>
      </c>
      <c r="R785">
        <f t="shared" si="1006"/>
        <v>968366622.64854109</v>
      </c>
      <c r="S785">
        <f t="shared" si="1007"/>
        <v>9683.6662264854112</v>
      </c>
      <c r="T785">
        <f t="shared" si="1008"/>
        <v>9.6836662264854105</v>
      </c>
    </row>
    <row r="786" spans="1:20" x14ac:dyDescent="0.25">
      <c r="A786" s="5">
        <v>43807</v>
      </c>
      <c r="B786">
        <v>0.22702</v>
      </c>
      <c r="C786">
        <v>0.23200000000000001</v>
      </c>
      <c r="D786">
        <v>0.22370000000000001</v>
      </c>
      <c r="E786">
        <v>0.22908999999999999</v>
      </c>
      <c r="F786">
        <v>54256414.200000003</v>
      </c>
      <c r="G786">
        <v>0</v>
      </c>
      <c r="L786" t="s">
        <v>8</v>
      </c>
      <c r="M786" t="s">
        <v>7</v>
      </c>
      <c r="N786" t="s">
        <v>7</v>
      </c>
      <c r="P786">
        <f t="shared" si="1004"/>
        <v>0.29879518072288602</v>
      </c>
      <c r="Q786">
        <f t="shared" si="1005"/>
        <v>16211555.086264761</v>
      </c>
      <c r="R786">
        <f t="shared" si="1006"/>
        <v>985202794.54235542</v>
      </c>
      <c r="S786">
        <f t="shared" si="1007"/>
        <v>9852.0279454235533</v>
      </c>
      <c r="T786">
        <f t="shared" si="1008"/>
        <v>9.8520279454235542</v>
      </c>
    </row>
    <row r="787" spans="1:20" x14ac:dyDescent="0.25">
      <c r="A787" s="5">
        <v>43806</v>
      </c>
      <c r="B787">
        <v>0.22553999999999999</v>
      </c>
      <c r="C787">
        <v>0.22800000000000001</v>
      </c>
      <c r="D787">
        <v>0.22281000000000001</v>
      </c>
      <c r="E787">
        <v>0.22699</v>
      </c>
      <c r="F787">
        <v>46945345.799999997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0.61078998073217305</v>
      </c>
      <c r="Q787">
        <f t="shared" si="1005"/>
        <v>28673746.856647201</v>
      </c>
      <c r="R787">
        <f t="shared" si="1006"/>
        <v>968991239.45609069</v>
      </c>
      <c r="S787">
        <f t="shared" si="1007"/>
        <v>9689.9123945609063</v>
      </c>
      <c r="T787">
        <f t="shared" si="1008"/>
        <v>9.6899123945609063</v>
      </c>
    </row>
    <row r="788" spans="1:20" x14ac:dyDescent="0.25">
      <c r="A788" s="5">
        <v>43805</v>
      </c>
      <c r="B788">
        <v>0.22117999999999999</v>
      </c>
      <c r="C788">
        <v>0.2268</v>
      </c>
      <c r="D788">
        <v>0.21909999999999999</v>
      </c>
      <c r="E788">
        <v>0.22545999999999999</v>
      </c>
      <c r="F788">
        <v>72738701.200000003</v>
      </c>
      <c r="G788">
        <v>0</v>
      </c>
      <c r="L788" t="s">
        <v>8</v>
      </c>
      <c r="M788" t="s">
        <v>7</v>
      </c>
      <c r="N788" t="s">
        <v>7</v>
      </c>
      <c r="P788">
        <f t="shared" si="1004"/>
        <v>0.6519480519480505</v>
      </c>
      <c r="Q788">
        <f t="shared" si="1005"/>
        <v>47421854.548571326</v>
      </c>
      <c r="R788">
        <f t="shared" si="1006"/>
        <v>940317492.59944344</v>
      </c>
      <c r="S788">
        <f t="shared" si="1007"/>
        <v>9403.1749259944336</v>
      </c>
      <c r="T788">
        <f t="shared" si="1008"/>
        <v>9.4031749259944331</v>
      </c>
    </row>
    <row r="789" spans="1:20" x14ac:dyDescent="0.25">
      <c r="A789" s="5">
        <v>43804</v>
      </c>
      <c r="B789">
        <v>0.21398</v>
      </c>
      <c r="C789">
        <v>0.22620000000000001</v>
      </c>
      <c r="D789">
        <v>0.21199999999999999</v>
      </c>
      <c r="E789">
        <v>0.22117999999999999</v>
      </c>
      <c r="F789">
        <v>93382862.700000003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0.29295774647887068</v>
      </c>
      <c r="Q789">
        <f t="shared" si="1005"/>
        <v>27357233.01633779</v>
      </c>
      <c r="R789">
        <f t="shared" si="1006"/>
        <v>892895638.05087209</v>
      </c>
      <c r="S789">
        <f t="shared" si="1007"/>
        <v>8928.95638050872</v>
      </c>
      <c r="T789">
        <f t="shared" si="1008"/>
        <v>8.9289563805087209</v>
      </c>
    </row>
    <row r="790" spans="1:20" x14ac:dyDescent="0.25">
      <c r="A790" s="5">
        <v>43803</v>
      </c>
      <c r="B790">
        <v>0.2195</v>
      </c>
      <c r="C790">
        <v>0.22491</v>
      </c>
      <c r="D790">
        <v>0.20952000000000001</v>
      </c>
      <c r="E790">
        <v>0.21390000000000001</v>
      </c>
      <c r="F790">
        <v>110743259.90000001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-0.43079922027290463</v>
      </c>
      <c r="Q790">
        <f t="shared" si="1005"/>
        <v>-47708110.015399627</v>
      </c>
      <c r="R790">
        <f t="shared" si="1006"/>
        <v>865538405.03453434</v>
      </c>
      <c r="S790">
        <f t="shared" si="1007"/>
        <v>8655.384050345343</v>
      </c>
      <c r="T790">
        <f t="shared" si="1008"/>
        <v>8.6553840503453436</v>
      </c>
    </row>
    <row r="791" spans="1:20" x14ac:dyDescent="0.25">
      <c r="A791" s="5">
        <v>43802</v>
      </c>
      <c r="B791">
        <v>0.21904000000000001</v>
      </c>
      <c r="C791">
        <v>0.22181999999999999</v>
      </c>
      <c r="D791">
        <v>0.21779999999999999</v>
      </c>
      <c r="E791">
        <v>0.21951000000000001</v>
      </c>
      <c r="F791">
        <v>34655745.600000001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-0.14925373134327422</v>
      </c>
      <c r="Q791">
        <f t="shared" si="1005"/>
        <v>-5172499.3432832574</v>
      </c>
      <c r="R791">
        <f t="shared" si="1006"/>
        <v>913246515.04993391</v>
      </c>
      <c r="S791">
        <f t="shared" si="1007"/>
        <v>9132.4651504993399</v>
      </c>
      <c r="T791">
        <f t="shared" si="1008"/>
        <v>9.132465150499339</v>
      </c>
    </row>
    <row r="792" spans="1:20" x14ac:dyDescent="0.25">
      <c r="A792" s="5">
        <v>43801</v>
      </c>
      <c r="B792">
        <v>0.22470999999999999</v>
      </c>
      <c r="C792">
        <v>0.22622999999999999</v>
      </c>
      <c r="D792">
        <v>0.21731</v>
      </c>
      <c r="E792">
        <v>0.21914</v>
      </c>
      <c r="F792">
        <v>65856138.899999999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-0.58968609865470811</v>
      </c>
      <c r="Q792">
        <f t="shared" si="1005"/>
        <v>-38834449.620403558</v>
      </c>
      <c r="R792">
        <f t="shared" si="1006"/>
        <v>918419014.39321721</v>
      </c>
      <c r="S792">
        <f t="shared" si="1007"/>
        <v>9184.1901439321718</v>
      </c>
      <c r="T792">
        <f t="shared" si="1008"/>
        <v>9.184190143932172</v>
      </c>
    </row>
    <row r="793" spans="1:20" x14ac:dyDescent="0.25">
      <c r="A793" s="5">
        <v>43800</v>
      </c>
      <c r="B793">
        <v>0.22549</v>
      </c>
      <c r="C793">
        <v>0.22550000000000001</v>
      </c>
      <c r="D793">
        <v>0.21859999999999999</v>
      </c>
      <c r="E793">
        <v>0.22477</v>
      </c>
      <c r="F793">
        <v>61721844.700000003</v>
      </c>
      <c r="G793">
        <v>0</v>
      </c>
      <c r="L793" t="s">
        <v>8</v>
      </c>
      <c r="M793" t="s">
        <v>7</v>
      </c>
      <c r="N793" t="s">
        <v>7</v>
      </c>
      <c r="P793">
        <f t="shared" si="1004"/>
        <v>0.78840579710144731</v>
      </c>
      <c r="Q793">
        <f t="shared" si="1005"/>
        <v>48661860.169275247</v>
      </c>
      <c r="R793">
        <f t="shared" si="1006"/>
        <v>957253464.01362073</v>
      </c>
      <c r="S793">
        <f t="shared" si="1007"/>
        <v>9572.5346401362076</v>
      </c>
      <c r="T793">
        <f t="shared" si="1008"/>
        <v>9.5725346401362081</v>
      </c>
    </row>
    <row r="794" spans="1:20" x14ac:dyDescent="0.25">
      <c r="A794" s="5">
        <v>43799</v>
      </c>
      <c r="B794">
        <v>0.22997000000000001</v>
      </c>
      <c r="C794">
        <v>0.23191999999999999</v>
      </c>
      <c r="D794">
        <v>0.22353999999999999</v>
      </c>
      <c r="E794">
        <v>0.22550000000000001</v>
      </c>
      <c r="F794">
        <v>48634883</v>
      </c>
      <c r="G794">
        <v>0</v>
      </c>
      <c r="L794" t="s">
        <v>8</v>
      </c>
      <c r="M794" t="s">
        <v>7</v>
      </c>
      <c r="N794" t="s">
        <v>7</v>
      </c>
      <c r="P794">
        <f t="shared" si="1004"/>
        <v>-0.53221957040572376</v>
      </c>
      <c r="Q794">
        <f t="shared" si="1005"/>
        <v>-25884436.536992639</v>
      </c>
      <c r="R794">
        <f t="shared" si="1006"/>
        <v>908591603.84434545</v>
      </c>
      <c r="S794">
        <f t="shared" si="1007"/>
        <v>9085.9160384434545</v>
      </c>
      <c r="T794">
        <f t="shared" si="1008"/>
        <v>9.0859160384434539</v>
      </c>
    </row>
    <row r="795" spans="1:20" x14ac:dyDescent="0.25">
      <c r="A795" s="5">
        <v>43798</v>
      </c>
      <c r="B795">
        <v>0.22312000000000001</v>
      </c>
      <c r="C795">
        <v>0.23229</v>
      </c>
      <c r="D795">
        <v>0.22245000000000001</v>
      </c>
      <c r="E795">
        <v>0.22997999999999999</v>
      </c>
      <c r="F795">
        <v>59986942.5</v>
      </c>
      <c r="G795">
        <v>0</v>
      </c>
      <c r="L795" t="s">
        <v>8</v>
      </c>
      <c r="M795" t="s">
        <v>7</v>
      </c>
      <c r="N795" t="s">
        <v>7</v>
      </c>
      <c r="P795">
        <f t="shared" si="1004"/>
        <v>0.53048780487804692</v>
      </c>
      <c r="Q795">
        <f t="shared" si="1005"/>
        <v>31822341.448170621</v>
      </c>
      <c r="R795">
        <f t="shared" si="1006"/>
        <v>934476040.38133812</v>
      </c>
      <c r="S795">
        <f t="shared" si="1007"/>
        <v>9344.7604038133813</v>
      </c>
      <c r="T795">
        <f t="shared" si="1008"/>
        <v>9.3447604038133818</v>
      </c>
    </row>
    <row r="796" spans="1:20" x14ac:dyDescent="0.25">
      <c r="A796" s="5">
        <v>43797</v>
      </c>
      <c r="B796">
        <v>0.22408</v>
      </c>
      <c r="C796">
        <v>0.22946</v>
      </c>
      <c r="D796">
        <v>0.22245999999999999</v>
      </c>
      <c r="E796">
        <v>0.22313</v>
      </c>
      <c r="F796">
        <v>58823779.600000001</v>
      </c>
      <c r="G796">
        <v>0</v>
      </c>
      <c r="L796" t="s">
        <v>8</v>
      </c>
      <c r="M796" t="s">
        <v>7</v>
      </c>
      <c r="N796" t="s">
        <v>7</v>
      </c>
      <c r="P796">
        <f t="shared" si="1004"/>
        <v>-0.80857142857142761</v>
      </c>
      <c r="Q796">
        <f t="shared" si="1005"/>
        <v>-47563227.505142801</v>
      </c>
      <c r="R796">
        <f t="shared" si="1006"/>
        <v>902653698.93316746</v>
      </c>
      <c r="S796">
        <f t="shared" si="1007"/>
        <v>9026.5369893316747</v>
      </c>
      <c r="T796">
        <f t="shared" si="1008"/>
        <v>9.0265369893316745</v>
      </c>
    </row>
    <row r="797" spans="1:20" x14ac:dyDescent="0.25">
      <c r="A797" s="5">
        <v>43796</v>
      </c>
      <c r="B797">
        <v>0.22054000000000001</v>
      </c>
      <c r="C797">
        <v>0.22950000000000001</v>
      </c>
      <c r="D797">
        <v>0.21259</v>
      </c>
      <c r="E797">
        <v>0.224</v>
      </c>
      <c r="F797">
        <v>119843833.40000001</v>
      </c>
      <c r="G797">
        <v>0</v>
      </c>
      <c r="L797" t="s">
        <v>8</v>
      </c>
      <c r="M797" t="s">
        <v>7</v>
      </c>
      <c r="N797" t="s">
        <v>7</v>
      </c>
      <c r="P797">
        <f t="shared" si="1004"/>
        <v>0.34949733885274958</v>
      </c>
      <c r="Q797">
        <f t="shared" si="1005"/>
        <v>41885100.851212271</v>
      </c>
      <c r="R797">
        <f t="shared" si="1006"/>
        <v>950216926.43831027</v>
      </c>
      <c r="S797">
        <f t="shared" si="1007"/>
        <v>9502.1692643831029</v>
      </c>
      <c r="T797">
        <f t="shared" si="1008"/>
        <v>9.5021692643831024</v>
      </c>
    </row>
    <row r="798" spans="1:20" x14ac:dyDescent="0.25">
      <c r="A798" s="5">
        <v>43795</v>
      </c>
      <c r="B798">
        <v>0.21729999999999999</v>
      </c>
      <c r="C798">
        <v>0.22189999999999999</v>
      </c>
      <c r="D798">
        <v>0.21326999999999999</v>
      </c>
      <c r="E798">
        <v>0.22059999999999999</v>
      </c>
      <c r="F798">
        <v>87574733.700000003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0.69872537659328027</v>
      </c>
      <c r="Q798">
        <f t="shared" si="1005"/>
        <v>61190688.784588732</v>
      </c>
      <c r="R798">
        <f t="shared" si="1006"/>
        <v>908331825.587098</v>
      </c>
      <c r="S798">
        <f t="shared" si="1007"/>
        <v>9083.3182558709796</v>
      </c>
      <c r="T798">
        <f t="shared" si="1008"/>
        <v>9.0833182558709797</v>
      </c>
    </row>
    <row r="799" spans="1:20" x14ac:dyDescent="0.25">
      <c r="A799" s="5">
        <v>43794</v>
      </c>
      <c r="B799">
        <v>0.22011</v>
      </c>
      <c r="C799">
        <v>0.22500000000000001</v>
      </c>
      <c r="D799">
        <v>0.20013</v>
      </c>
      <c r="E799">
        <v>0.21731</v>
      </c>
      <c r="F799">
        <v>227026861.80000001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0.38158423803779645</v>
      </c>
      <c r="Q799">
        <f t="shared" si="1005"/>
        <v>86629872.074065119</v>
      </c>
      <c r="R799">
        <f t="shared" si="1006"/>
        <v>847141136.80250931</v>
      </c>
      <c r="S799">
        <f t="shared" si="1007"/>
        <v>8471.4113680250939</v>
      </c>
      <c r="T799">
        <f t="shared" si="1008"/>
        <v>8.4714113680250946</v>
      </c>
    </row>
    <row r="800" spans="1:20" x14ac:dyDescent="0.25">
      <c r="A800" s="5">
        <v>43793</v>
      </c>
      <c r="B800">
        <v>0.23408999999999999</v>
      </c>
      <c r="C800">
        <v>0.23466000000000001</v>
      </c>
      <c r="D800">
        <v>0.21829000000000001</v>
      </c>
      <c r="E800">
        <v>0.21989</v>
      </c>
      <c r="F800">
        <v>95589320.700000003</v>
      </c>
      <c r="G800">
        <v>0</v>
      </c>
      <c r="L800" t="s">
        <v>7</v>
      </c>
      <c r="M800" t="s">
        <v>7</v>
      </c>
      <c r="N800" t="s">
        <v>8</v>
      </c>
      <c r="P800">
        <f t="shared" si="1004"/>
        <v>-0.80452046426389845</v>
      </c>
      <c r="Q800">
        <f t="shared" si="1005"/>
        <v>-76903564.668234676</v>
      </c>
      <c r="R800">
        <f t="shared" si="1006"/>
        <v>760511264.72844422</v>
      </c>
      <c r="S800">
        <f t="shared" si="1007"/>
        <v>7605.1126472844426</v>
      </c>
      <c r="T800">
        <f t="shared" si="1008"/>
        <v>7.6051126472844421</v>
      </c>
    </row>
    <row r="801" spans="1:20" x14ac:dyDescent="0.25">
      <c r="A801" s="5">
        <v>43792</v>
      </c>
      <c r="B801">
        <v>0.23003999999999999</v>
      </c>
      <c r="C801">
        <v>0.23541000000000001</v>
      </c>
      <c r="D801">
        <v>0.22525999999999999</v>
      </c>
      <c r="E801">
        <v>0.23407</v>
      </c>
      <c r="F801">
        <v>86883225.5</v>
      </c>
      <c r="G801">
        <v>0</v>
      </c>
      <c r="L801" t="s">
        <v>7</v>
      </c>
      <c r="M801" t="s">
        <v>7</v>
      </c>
      <c r="N801" t="s">
        <v>8</v>
      </c>
      <c r="P801">
        <f t="shared" si="1004"/>
        <v>0.73596059113300394</v>
      </c>
      <c r="Q801">
        <f t="shared" si="1005"/>
        <v>63942629.99852208</v>
      </c>
      <c r="R801">
        <f t="shared" si="1006"/>
        <v>837414829.39667892</v>
      </c>
      <c r="S801">
        <f t="shared" si="1007"/>
        <v>8374.1482939667894</v>
      </c>
      <c r="T801">
        <f t="shared" si="1008"/>
        <v>8.3741482939667886</v>
      </c>
    </row>
    <row r="802" spans="1:20" x14ac:dyDescent="0.25">
      <c r="A802" s="5">
        <v>43791</v>
      </c>
      <c r="B802">
        <v>0.24345</v>
      </c>
      <c r="C802">
        <v>0.24590000000000001</v>
      </c>
      <c r="D802">
        <v>0.22122</v>
      </c>
      <c r="E802">
        <v>0.23</v>
      </c>
      <c r="F802">
        <v>176993164.59999999</v>
      </c>
      <c r="G802">
        <v>0</v>
      </c>
      <c r="L802" t="s">
        <v>7</v>
      </c>
      <c r="M802" t="s">
        <v>7</v>
      </c>
      <c r="N802" t="s">
        <v>8</v>
      </c>
      <c r="P802">
        <f t="shared" si="1004"/>
        <v>-0.28849270664505611</v>
      </c>
      <c r="Q802">
        <f t="shared" si="1005"/>
        <v>-51061237.113127925</v>
      </c>
      <c r="R802">
        <f t="shared" si="1006"/>
        <v>773472199.39815688</v>
      </c>
      <c r="S802">
        <f t="shared" si="1007"/>
        <v>7734.7219939815686</v>
      </c>
      <c r="T802">
        <f t="shared" si="1008"/>
        <v>7.7347219939815686</v>
      </c>
    </row>
    <row r="803" spans="1:20" x14ac:dyDescent="0.25">
      <c r="A803" s="5">
        <v>43790</v>
      </c>
      <c r="B803">
        <v>0.25022</v>
      </c>
      <c r="C803">
        <v>0.25348999999999999</v>
      </c>
      <c r="D803">
        <v>0.23613000000000001</v>
      </c>
      <c r="E803">
        <v>0.24345</v>
      </c>
      <c r="F803">
        <v>113065484.5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-0.15668202764976971</v>
      </c>
      <c r="Q803">
        <f t="shared" si="1005"/>
        <v>-17715329.368663609</v>
      </c>
      <c r="R803">
        <f t="shared" si="1006"/>
        <v>824533436.51128483</v>
      </c>
      <c r="S803">
        <f t="shared" si="1007"/>
        <v>8245.3343651128489</v>
      </c>
      <c r="T803">
        <f t="shared" si="1008"/>
        <v>8.2453343651128481</v>
      </c>
    </row>
    <row r="804" spans="1:20" x14ac:dyDescent="0.25">
      <c r="A804" s="5">
        <v>43789</v>
      </c>
      <c r="B804">
        <v>0.25397999999999998</v>
      </c>
      <c r="C804">
        <v>0.25861000000000001</v>
      </c>
      <c r="D804">
        <v>0.24809</v>
      </c>
      <c r="E804">
        <v>0.25013999999999997</v>
      </c>
      <c r="F804">
        <v>78924129.299999997</v>
      </c>
      <c r="G804">
        <v>0</v>
      </c>
      <c r="L804" t="s">
        <v>7</v>
      </c>
      <c r="M804" t="s">
        <v>7</v>
      </c>
      <c r="N804" t="s">
        <v>8</v>
      </c>
      <c r="P804">
        <f t="shared" si="1004"/>
        <v>-0.61026615969582354</v>
      </c>
      <c r="Q804">
        <f t="shared" si="1005"/>
        <v>-48164725.295247622</v>
      </c>
      <c r="R804">
        <f t="shared" si="1006"/>
        <v>842248765.87994838</v>
      </c>
      <c r="S804">
        <f t="shared" si="1007"/>
        <v>8422.4876587994841</v>
      </c>
      <c r="T804">
        <f t="shared" si="1008"/>
        <v>8.4224876587994846</v>
      </c>
    </row>
    <row r="805" spans="1:20" x14ac:dyDescent="0.25">
      <c r="A805" s="5">
        <v>43788</v>
      </c>
      <c r="B805">
        <v>0.25174000000000002</v>
      </c>
      <c r="C805">
        <v>0.25653999999999999</v>
      </c>
      <c r="D805">
        <v>0.24299999999999999</v>
      </c>
      <c r="E805">
        <v>0.25397999999999998</v>
      </c>
      <c r="F805">
        <v>87899568.299999997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0.62186115214180093</v>
      </c>
      <c r="Q805">
        <f t="shared" si="1005"/>
        <v>54661326.815804921</v>
      </c>
      <c r="R805">
        <f t="shared" si="1006"/>
        <v>890413491.17519605</v>
      </c>
      <c r="S805">
        <f t="shared" si="1007"/>
        <v>8904.1349117519603</v>
      </c>
      <c r="T805">
        <f t="shared" si="1008"/>
        <v>8.9041349117519601</v>
      </c>
    </row>
    <row r="806" spans="1:20" x14ac:dyDescent="0.25">
      <c r="A806" s="5">
        <v>43787</v>
      </c>
      <c r="B806">
        <v>0.26316000000000001</v>
      </c>
      <c r="C806">
        <v>0.26318000000000003</v>
      </c>
      <c r="D806">
        <v>0.24110000000000001</v>
      </c>
      <c r="E806">
        <v>0.25179000000000001</v>
      </c>
      <c r="F806">
        <v>99156396.099999994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-3.1702898550724896E-2</v>
      </c>
      <c r="Q806">
        <f t="shared" si="1005"/>
        <v>-3143545.1662137937</v>
      </c>
      <c r="R806">
        <f t="shared" si="1006"/>
        <v>835752164.35939109</v>
      </c>
      <c r="S806">
        <f t="shared" si="1007"/>
        <v>8357.521643593911</v>
      </c>
      <c r="T806">
        <f t="shared" si="1008"/>
        <v>8.3575216435939108</v>
      </c>
    </row>
    <row r="807" spans="1:20" x14ac:dyDescent="0.25">
      <c r="A807" s="5">
        <v>43786</v>
      </c>
      <c r="B807">
        <v>0.26219999999999999</v>
      </c>
      <c r="C807">
        <v>0.26600000000000001</v>
      </c>
      <c r="D807">
        <v>0.25890999999999997</v>
      </c>
      <c r="E807">
        <v>0.26311000000000001</v>
      </c>
      <c r="F807">
        <v>52073288.399999999</v>
      </c>
      <c r="G807">
        <v>0</v>
      </c>
      <c r="L807" t="s">
        <v>7</v>
      </c>
      <c r="M807" t="s">
        <v>7</v>
      </c>
      <c r="N807" t="s">
        <v>8</v>
      </c>
      <c r="P807">
        <f t="shared" si="1004"/>
        <v>0.18476727785613906</v>
      </c>
      <c r="Q807">
        <f t="shared" si="1005"/>
        <v>9621439.7466856632</v>
      </c>
      <c r="R807">
        <f t="shared" si="1006"/>
        <v>838895709.52560484</v>
      </c>
      <c r="S807">
        <f t="shared" si="1007"/>
        <v>8388.957095256048</v>
      </c>
      <c r="T807">
        <f t="shared" si="1008"/>
        <v>8.3889570952560479</v>
      </c>
    </row>
    <row r="808" spans="1:20" x14ac:dyDescent="0.25">
      <c r="A808" s="5">
        <v>43785</v>
      </c>
      <c r="B808">
        <v>0.26069999999999999</v>
      </c>
      <c r="C808">
        <v>0.26444000000000001</v>
      </c>
      <c r="D808">
        <v>0.25911000000000001</v>
      </c>
      <c r="E808">
        <v>0.26218000000000002</v>
      </c>
      <c r="F808">
        <v>52279882</v>
      </c>
      <c r="G808">
        <v>0</v>
      </c>
      <c r="L808" t="s">
        <v>7</v>
      </c>
      <c r="M808" t="s">
        <v>7</v>
      </c>
      <c r="N808" t="s">
        <v>8</v>
      </c>
      <c r="P808">
        <f t="shared" si="1004"/>
        <v>0.15196998123828007</v>
      </c>
      <c r="Q808">
        <f t="shared" si="1005"/>
        <v>7944972.6866794955</v>
      </c>
      <c r="R808">
        <f t="shared" si="1006"/>
        <v>829274269.77891922</v>
      </c>
      <c r="S808">
        <f t="shared" si="1007"/>
        <v>8292.7426977891919</v>
      </c>
      <c r="T808">
        <f t="shared" si="1008"/>
        <v>8.2927426977891923</v>
      </c>
    </row>
    <row r="809" spans="1:20" x14ac:dyDescent="0.25">
      <c r="A809" s="5">
        <v>43784</v>
      </c>
      <c r="B809">
        <v>0.26795000000000002</v>
      </c>
      <c r="C809">
        <v>0.26951999999999998</v>
      </c>
      <c r="D809">
        <v>0.25302999999999998</v>
      </c>
      <c r="E809">
        <v>0.26068999999999998</v>
      </c>
      <c r="F809">
        <v>111865363.40000001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-7.0952092177077264E-2</v>
      </c>
      <c r="Q809">
        <f t="shared" si="1005"/>
        <v>-7937081.5753790457</v>
      </c>
      <c r="R809">
        <f t="shared" si="1006"/>
        <v>821329297.09223974</v>
      </c>
      <c r="S809">
        <f t="shared" si="1007"/>
        <v>8213.2929709223972</v>
      </c>
      <c r="T809">
        <f t="shared" si="1008"/>
        <v>8.2132929709223976</v>
      </c>
    </row>
    <row r="810" spans="1:20" x14ac:dyDescent="0.25">
      <c r="A810" s="5">
        <v>43783</v>
      </c>
      <c r="B810">
        <v>0.27206999999999998</v>
      </c>
      <c r="C810">
        <v>0.27294000000000002</v>
      </c>
      <c r="D810">
        <v>0.26354</v>
      </c>
      <c r="E810">
        <v>0.26795000000000002</v>
      </c>
      <c r="F810">
        <v>72326033.599999994</v>
      </c>
      <c r="G810">
        <v>0</v>
      </c>
      <c r="L810" t="s">
        <v>7</v>
      </c>
      <c r="M810" t="s">
        <v>7</v>
      </c>
      <c r="N810" t="s">
        <v>8</v>
      </c>
      <c r="P810">
        <f t="shared" si="1004"/>
        <v>-6.1702127659571088E-2</v>
      </c>
      <c r="Q810">
        <f t="shared" si="1005"/>
        <v>-4462670.1582976272</v>
      </c>
      <c r="R810">
        <f t="shared" si="1006"/>
        <v>829266378.66761875</v>
      </c>
      <c r="S810">
        <f t="shared" si="1007"/>
        <v>8292.6637866761866</v>
      </c>
      <c r="T810">
        <f t="shared" si="1008"/>
        <v>8.2926637866761865</v>
      </c>
    </row>
    <row r="811" spans="1:20" x14ac:dyDescent="0.25">
      <c r="A811" s="5">
        <v>43782</v>
      </c>
      <c r="B811">
        <v>0.27223999999999998</v>
      </c>
      <c r="C811">
        <v>0.27562999999999999</v>
      </c>
      <c r="D811">
        <v>0.27012999999999998</v>
      </c>
      <c r="E811">
        <v>0.27201999999999998</v>
      </c>
      <c r="F811">
        <v>52680673.100000001</v>
      </c>
      <c r="G811">
        <v>0</v>
      </c>
      <c r="L811" t="s">
        <v>7</v>
      </c>
      <c r="M811" t="s">
        <v>7</v>
      </c>
      <c r="N811" t="s">
        <v>8</v>
      </c>
      <c r="P811">
        <f t="shared" si="1004"/>
        <v>-0.3127272727272723</v>
      </c>
      <c r="Q811">
        <f t="shared" si="1005"/>
        <v>-16474683.223999977</v>
      </c>
      <c r="R811">
        <f t="shared" si="1006"/>
        <v>833729048.82591641</v>
      </c>
      <c r="S811">
        <f t="shared" si="1007"/>
        <v>8337.2904882591647</v>
      </c>
      <c r="T811">
        <f t="shared" si="1008"/>
        <v>8.3372904882591641</v>
      </c>
    </row>
    <row r="812" spans="1:20" x14ac:dyDescent="0.25">
      <c r="A812" s="5">
        <v>43781</v>
      </c>
      <c r="B812">
        <v>0.27422999999999997</v>
      </c>
      <c r="C812">
        <v>0.27640999999999999</v>
      </c>
      <c r="D812">
        <v>0.2676</v>
      </c>
      <c r="E812">
        <v>0.27222000000000002</v>
      </c>
      <c r="F812">
        <v>77851651.400000006</v>
      </c>
      <c r="G812">
        <v>0</v>
      </c>
      <c r="L812" t="s">
        <v>7</v>
      </c>
      <c r="M812" t="s">
        <v>7</v>
      </c>
      <c r="N812" t="s">
        <v>8</v>
      </c>
      <c r="P812">
        <f t="shared" si="1004"/>
        <v>4.8808172531219322E-2</v>
      </c>
      <c r="Q812">
        <f t="shared" si="1005"/>
        <v>3799796.8333715424</v>
      </c>
      <c r="R812">
        <f t="shared" si="1006"/>
        <v>850203732.04991639</v>
      </c>
      <c r="S812">
        <f t="shared" si="1007"/>
        <v>8502.0373204991647</v>
      </c>
      <c r="T812">
        <f t="shared" si="1008"/>
        <v>8.5020373204991646</v>
      </c>
    </row>
    <row r="813" spans="1:20" x14ac:dyDescent="0.25">
      <c r="A813" s="5">
        <v>43780</v>
      </c>
      <c r="B813">
        <v>0.27899000000000002</v>
      </c>
      <c r="C813">
        <v>0.28105999999999998</v>
      </c>
      <c r="D813">
        <v>0.26934999999999998</v>
      </c>
      <c r="E813">
        <v>0.27422999999999997</v>
      </c>
      <c r="F813">
        <v>69450589.5</v>
      </c>
      <c r="G813">
        <v>0</v>
      </c>
      <c r="L813" t="s">
        <v>7</v>
      </c>
      <c r="M813" t="s">
        <v>8</v>
      </c>
      <c r="N813" t="s">
        <v>8</v>
      </c>
      <c r="P813">
        <f t="shared" si="1004"/>
        <v>-0.16652433817250278</v>
      </c>
      <c r="Q813">
        <f t="shared" si="1005"/>
        <v>-11565213.452177672</v>
      </c>
      <c r="R813">
        <f t="shared" si="1006"/>
        <v>846403935.21654487</v>
      </c>
      <c r="S813">
        <f t="shared" si="1007"/>
        <v>8464.0393521654478</v>
      </c>
      <c r="T813">
        <f t="shared" si="1008"/>
        <v>8.4640393521654484</v>
      </c>
    </row>
    <row r="814" spans="1:20" x14ac:dyDescent="0.25">
      <c r="A814" s="5">
        <v>43779</v>
      </c>
      <c r="B814">
        <v>0.27989999999999998</v>
      </c>
      <c r="C814">
        <v>0.28399999999999997</v>
      </c>
      <c r="D814">
        <v>0.27657999999999999</v>
      </c>
      <c r="E814">
        <v>0.27894000000000002</v>
      </c>
      <c r="F814">
        <v>72586430.599999994</v>
      </c>
      <c r="G814">
        <v>0</v>
      </c>
      <c r="L814" t="s">
        <v>7</v>
      </c>
      <c r="M814" t="s">
        <v>8</v>
      </c>
      <c r="N814" t="s">
        <v>8</v>
      </c>
      <c r="P814">
        <f t="shared" si="1004"/>
        <v>-0.36388140161724142</v>
      </c>
      <c r="Q814">
        <f t="shared" si="1005"/>
        <v>-26412852.105120622</v>
      </c>
      <c r="R814">
        <f t="shared" si="1006"/>
        <v>857969148.66872251</v>
      </c>
      <c r="S814">
        <f t="shared" si="1007"/>
        <v>8579.6914866872248</v>
      </c>
      <c r="T814">
        <f t="shared" si="1008"/>
        <v>8.5796914866872243</v>
      </c>
    </row>
    <row r="815" spans="1:20" x14ac:dyDescent="0.25">
      <c r="A815" s="5">
        <v>43778</v>
      </c>
      <c r="B815">
        <v>0.27545999999999998</v>
      </c>
      <c r="C815">
        <v>0.28155999999999998</v>
      </c>
      <c r="D815">
        <v>0.27450000000000002</v>
      </c>
      <c r="E815">
        <v>0.27989999999999998</v>
      </c>
      <c r="F815">
        <v>62848374.799999997</v>
      </c>
      <c r="G815">
        <v>0</v>
      </c>
      <c r="L815" t="s">
        <v>7</v>
      </c>
      <c r="M815" t="s">
        <v>8</v>
      </c>
      <c r="N815" t="s">
        <v>8</v>
      </c>
      <c r="P815">
        <f t="shared" si="1004"/>
        <v>0.52974504249291632</v>
      </c>
      <c r="Q815">
        <f t="shared" si="1005"/>
        <v>33293614.97903673</v>
      </c>
      <c r="R815">
        <f t="shared" si="1006"/>
        <v>884382000.77384317</v>
      </c>
      <c r="S815">
        <f t="shared" si="1007"/>
        <v>8843.8200077384317</v>
      </c>
      <c r="T815">
        <f t="shared" si="1008"/>
        <v>8.8438200077384312</v>
      </c>
    </row>
    <row r="816" spans="1:20" x14ac:dyDescent="0.25">
      <c r="A816" s="5">
        <v>43777</v>
      </c>
      <c r="B816">
        <v>0.29067999999999999</v>
      </c>
      <c r="C816">
        <v>0.29099999999999998</v>
      </c>
      <c r="D816">
        <v>0.27023000000000003</v>
      </c>
      <c r="E816">
        <v>0.27546999999999999</v>
      </c>
      <c r="F816">
        <v>165657651.59999999</v>
      </c>
      <c r="G816">
        <v>0</v>
      </c>
      <c r="L816" t="s">
        <v>7</v>
      </c>
      <c r="M816" t="s">
        <v>8</v>
      </c>
      <c r="N816" t="s">
        <v>8</v>
      </c>
      <c r="P816">
        <f t="shared" si="1004"/>
        <v>-0.49542609532980469</v>
      </c>
      <c r="Q816">
        <f t="shared" si="1005"/>
        <v>-82071123.493693173</v>
      </c>
      <c r="R816">
        <f t="shared" si="1006"/>
        <v>851088385.79480648</v>
      </c>
      <c r="S816">
        <f t="shared" si="1007"/>
        <v>8510.8838579480653</v>
      </c>
      <c r="T816">
        <f t="shared" si="1008"/>
        <v>8.5108838579480661</v>
      </c>
    </row>
    <row r="817" spans="1:20" x14ac:dyDescent="0.25">
      <c r="A817" s="5">
        <v>43776</v>
      </c>
      <c r="B817">
        <v>0.31015999999999999</v>
      </c>
      <c r="C817">
        <v>0.31490000000000001</v>
      </c>
      <c r="D817">
        <v>0.27503</v>
      </c>
      <c r="E817">
        <v>0.29060999999999998</v>
      </c>
      <c r="F817">
        <v>235871367.30000001</v>
      </c>
      <c r="G817">
        <v>0</v>
      </c>
      <c r="L817" t="s">
        <v>7</v>
      </c>
      <c r="M817" t="s">
        <v>8</v>
      </c>
      <c r="N817" t="s">
        <v>8</v>
      </c>
      <c r="P817">
        <f t="shared" si="1004"/>
        <v>-0.2184599949836982</v>
      </c>
      <c r="Q817">
        <f t="shared" si="1005"/>
        <v>-51528457.717156038</v>
      </c>
      <c r="R817">
        <f t="shared" si="1006"/>
        <v>933159509.28849959</v>
      </c>
      <c r="S817">
        <f t="shared" si="1007"/>
        <v>9331.5950928849961</v>
      </c>
      <c r="T817">
        <f t="shared" si="1008"/>
        <v>9.3315950928849958</v>
      </c>
    </row>
    <row r="818" spans="1:20" x14ac:dyDescent="0.25">
      <c r="A818" s="5">
        <v>43775</v>
      </c>
      <c r="B818">
        <v>0.30062</v>
      </c>
      <c r="C818">
        <v>0.31367</v>
      </c>
      <c r="D818">
        <v>0.29609999999999997</v>
      </c>
      <c r="E818">
        <v>0.31008999999999998</v>
      </c>
      <c r="F818">
        <v>107581885.7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0.59248719408081718</v>
      </c>
      <c r="Q818">
        <f t="shared" si="1005"/>
        <v>63740889.592316195</v>
      </c>
      <c r="R818">
        <f t="shared" si="1006"/>
        <v>984687967.00565565</v>
      </c>
      <c r="S818">
        <f t="shared" si="1007"/>
        <v>9846.8796700565563</v>
      </c>
      <c r="T818">
        <f t="shared" si="1008"/>
        <v>9.8468796700565555</v>
      </c>
    </row>
    <row r="819" spans="1:20" x14ac:dyDescent="0.25">
      <c r="A819" s="5">
        <v>43774</v>
      </c>
      <c r="B819">
        <v>0.29863000000000001</v>
      </c>
      <c r="C819">
        <v>0.30442999999999998</v>
      </c>
      <c r="D819">
        <v>0.29415999999999998</v>
      </c>
      <c r="E819">
        <v>0.30060999999999999</v>
      </c>
      <c r="F819">
        <v>107569775.09999999</v>
      </c>
      <c r="G819">
        <v>0</v>
      </c>
      <c r="L819" t="s">
        <v>7</v>
      </c>
      <c r="M819" t="s">
        <v>8</v>
      </c>
      <c r="N819" t="s">
        <v>8</v>
      </c>
      <c r="P819">
        <f t="shared" si="1004"/>
        <v>0.25608568646543534</v>
      </c>
      <c r="Q819">
        <f t="shared" si="1005"/>
        <v>27547079.699415993</v>
      </c>
      <c r="R819">
        <f t="shared" si="1006"/>
        <v>920947077.4133395</v>
      </c>
      <c r="S819">
        <f t="shared" si="1007"/>
        <v>9209.470774133395</v>
      </c>
      <c r="T819">
        <f t="shared" si="1008"/>
        <v>9.2094707741333952</v>
      </c>
    </row>
    <row r="820" spans="1:20" x14ac:dyDescent="0.25">
      <c r="A820" s="5">
        <v>43773</v>
      </c>
      <c r="B820">
        <v>0.29024</v>
      </c>
      <c r="C820">
        <v>0.2999</v>
      </c>
      <c r="D820">
        <v>0.28910000000000002</v>
      </c>
      <c r="E820">
        <v>0.29863000000000001</v>
      </c>
      <c r="F820">
        <v>85410877</v>
      </c>
      <c r="G820">
        <v>0</v>
      </c>
      <c r="L820" t="s">
        <v>7</v>
      </c>
      <c r="M820" t="s">
        <v>8</v>
      </c>
      <c r="N820" t="s">
        <v>8</v>
      </c>
      <c r="P820">
        <f t="shared" si="1004"/>
        <v>0.7648148148148155</v>
      </c>
      <c r="Q820">
        <f t="shared" si="1005"/>
        <v>65323504.075925983</v>
      </c>
      <c r="R820">
        <f t="shared" si="1006"/>
        <v>893399997.71392345</v>
      </c>
      <c r="S820">
        <f t="shared" si="1007"/>
        <v>8933.999977139234</v>
      </c>
      <c r="T820">
        <f t="shared" si="1008"/>
        <v>8.9339999771392336</v>
      </c>
    </row>
    <row r="821" spans="1:20" x14ac:dyDescent="0.25">
      <c r="A821" s="5">
        <v>43772</v>
      </c>
      <c r="B821">
        <v>0.29455999999999999</v>
      </c>
      <c r="C821">
        <v>0.29614000000000001</v>
      </c>
      <c r="D821">
        <v>0.28854999999999997</v>
      </c>
      <c r="E821">
        <v>0.29024</v>
      </c>
      <c r="F821">
        <v>69064994.599999994</v>
      </c>
      <c r="G821">
        <v>0</v>
      </c>
      <c r="L821" t="s">
        <v>7</v>
      </c>
      <c r="M821" t="s">
        <v>8</v>
      </c>
      <c r="N821" t="s">
        <v>8</v>
      </c>
      <c r="P821">
        <f t="shared" si="1004"/>
        <v>-0.55467720685111577</v>
      </c>
      <c r="Q821">
        <f t="shared" si="1005"/>
        <v>-38308778.295915388</v>
      </c>
      <c r="R821">
        <f t="shared" si="1006"/>
        <v>828076493.63799751</v>
      </c>
      <c r="S821">
        <f t="shared" si="1007"/>
        <v>8280.7649363799756</v>
      </c>
      <c r="T821">
        <f t="shared" si="1008"/>
        <v>8.2807649363799758</v>
      </c>
    </row>
    <row r="822" spans="1:20" x14ac:dyDescent="0.25">
      <c r="A822" s="5">
        <v>43771</v>
      </c>
      <c r="B822">
        <v>0.29148000000000002</v>
      </c>
      <c r="C822">
        <v>0.29749999999999999</v>
      </c>
      <c r="D822">
        <v>0.29111999999999999</v>
      </c>
      <c r="E822">
        <v>0.29455999999999999</v>
      </c>
      <c r="F822">
        <v>72552309.099999994</v>
      </c>
      <c r="G822">
        <v>0</v>
      </c>
      <c r="L822" t="s">
        <v>7</v>
      </c>
      <c r="M822" t="s">
        <v>8</v>
      </c>
      <c r="N822" t="s">
        <v>8</v>
      </c>
      <c r="P822">
        <f t="shared" si="1004"/>
        <v>7.8369905956112956E-2</v>
      </c>
      <c r="Q822">
        <f t="shared" si="1005"/>
        <v>5685917.6410658378</v>
      </c>
      <c r="R822">
        <f t="shared" si="1006"/>
        <v>866385271.93391287</v>
      </c>
      <c r="S822">
        <f t="shared" si="1007"/>
        <v>8663.8527193391292</v>
      </c>
      <c r="T822">
        <f t="shared" si="1008"/>
        <v>8.663852719339129</v>
      </c>
    </row>
    <row r="823" spans="1:20" x14ac:dyDescent="0.25">
      <c r="A823" s="5">
        <v>43770</v>
      </c>
      <c r="B823">
        <v>0.29459000000000002</v>
      </c>
      <c r="C823">
        <v>0.29459999999999997</v>
      </c>
      <c r="D823">
        <v>0.28448000000000001</v>
      </c>
      <c r="E823">
        <v>0.29146</v>
      </c>
      <c r="F823">
        <v>85376671.799999997</v>
      </c>
      <c r="G823">
        <v>0</v>
      </c>
      <c r="L823" t="s">
        <v>7</v>
      </c>
      <c r="M823" t="s">
        <v>8</v>
      </c>
      <c r="N823" t="s">
        <v>8</v>
      </c>
      <c r="P823">
        <f t="shared" si="1004"/>
        <v>0.37944664031620795</v>
      </c>
      <c r="Q823">
        <f t="shared" si="1005"/>
        <v>32395891.275889535</v>
      </c>
      <c r="R823">
        <f t="shared" si="1006"/>
        <v>860699354.29284704</v>
      </c>
      <c r="S823">
        <f t="shared" si="1007"/>
        <v>8606.9935429284706</v>
      </c>
      <c r="T823">
        <f t="shared" si="1008"/>
        <v>8.6069935429284712</v>
      </c>
    </row>
    <row r="824" spans="1:20" x14ac:dyDescent="0.25">
      <c r="A824" s="5">
        <v>43769</v>
      </c>
      <c r="B824">
        <v>0.29471000000000003</v>
      </c>
      <c r="C824">
        <v>0.29874000000000001</v>
      </c>
      <c r="D824">
        <v>0.28777000000000003</v>
      </c>
      <c r="E824">
        <v>0.29452</v>
      </c>
      <c r="F824">
        <v>100846140.40000001</v>
      </c>
      <c r="G824">
        <v>0</v>
      </c>
      <c r="L824" t="s">
        <v>7</v>
      </c>
      <c r="M824" t="s">
        <v>8</v>
      </c>
      <c r="N824" t="s">
        <v>8</v>
      </c>
      <c r="P824">
        <f t="shared" si="1004"/>
        <v>0.23062898814949692</v>
      </c>
      <c r="Q824">
        <f t="shared" si="1005"/>
        <v>23258043.319234103</v>
      </c>
      <c r="R824">
        <f t="shared" si="1006"/>
        <v>828303463.01695752</v>
      </c>
      <c r="S824">
        <f t="shared" si="1007"/>
        <v>8283.0346301695754</v>
      </c>
      <c r="T824">
        <f t="shared" si="1008"/>
        <v>8.2830346301695759</v>
      </c>
    </row>
    <row r="825" spans="1:20" x14ac:dyDescent="0.25">
      <c r="A825" s="5">
        <v>43768</v>
      </c>
      <c r="B825">
        <v>0.30192000000000002</v>
      </c>
      <c r="C825">
        <v>0.30636000000000002</v>
      </c>
      <c r="D825">
        <v>0.29015999999999997</v>
      </c>
      <c r="E825">
        <v>0.29471000000000003</v>
      </c>
      <c r="F825">
        <v>117887579.09999999</v>
      </c>
      <c r="G825">
        <v>0</v>
      </c>
      <c r="L825" t="s">
        <v>7</v>
      </c>
      <c r="M825" t="s">
        <v>8</v>
      </c>
      <c r="N825" t="s">
        <v>8</v>
      </c>
      <c r="P825">
        <f t="shared" si="1004"/>
        <v>-0.43827160493826661</v>
      </c>
      <c r="Q825">
        <f t="shared" si="1005"/>
        <v>-51666778.494443856</v>
      </c>
      <c r="R825">
        <f t="shared" si="1006"/>
        <v>805045419.69772339</v>
      </c>
      <c r="S825">
        <f t="shared" si="1007"/>
        <v>8050.4541969772336</v>
      </c>
      <c r="T825">
        <f t="shared" si="1008"/>
        <v>8.050454196977233</v>
      </c>
    </row>
    <row r="826" spans="1:20" x14ac:dyDescent="0.25">
      <c r="A826" s="5">
        <v>43767</v>
      </c>
      <c r="B826">
        <v>0.29443000000000003</v>
      </c>
      <c r="C826">
        <v>0.30972</v>
      </c>
      <c r="D826">
        <v>0.29415999999999998</v>
      </c>
      <c r="E826">
        <v>0.30192000000000002</v>
      </c>
      <c r="F826">
        <v>145791308.19999999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-2.5706940873990317E-3</v>
      </c>
      <c r="Q826">
        <f t="shared" si="1005"/>
        <v>-374784.85398390994</v>
      </c>
      <c r="R826">
        <f t="shared" si="1006"/>
        <v>856712198.19216728</v>
      </c>
      <c r="S826">
        <f t="shared" si="1007"/>
        <v>8567.1219819216731</v>
      </c>
      <c r="T826">
        <f t="shared" si="1008"/>
        <v>8.5671219819216731</v>
      </c>
    </row>
    <row r="827" spans="1:20" x14ac:dyDescent="0.25">
      <c r="A827" s="5">
        <v>43766</v>
      </c>
      <c r="B827">
        <v>0.29825000000000002</v>
      </c>
      <c r="C827">
        <v>0.30509999999999998</v>
      </c>
      <c r="D827">
        <v>0.29309000000000002</v>
      </c>
      <c r="E827">
        <v>0.29447000000000001</v>
      </c>
      <c r="F827">
        <v>134306597.09999999</v>
      </c>
      <c r="G827">
        <v>0</v>
      </c>
      <c r="L827" t="s">
        <v>7</v>
      </c>
      <c r="M827" t="s">
        <v>8</v>
      </c>
      <c r="N827" t="s">
        <v>8</v>
      </c>
      <c r="P827">
        <f t="shared" si="1004"/>
        <v>-0.77019150707743611</v>
      </c>
      <c r="Q827">
        <f t="shared" si="1005"/>
        <v>-103441800.43089101</v>
      </c>
      <c r="R827">
        <f t="shared" si="1006"/>
        <v>857086983.04615116</v>
      </c>
      <c r="S827">
        <f t="shared" si="1007"/>
        <v>8570.8698304615118</v>
      </c>
      <c r="T827">
        <f t="shared" si="1008"/>
        <v>8.5708698304615112</v>
      </c>
    </row>
    <row r="828" spans="1:20" x14ac:dyDescent="0.25">
      <c r="A828" s="5">
        <v>43765</v>
      </c>
      <c r="B828">
        <v>0.29350999999999999</v>
      </c>
      <c r="C828">
        <v>0.30213000000000001</v>
      </c>
      <c r="D828">
        <v>0.28900999999999999</v>
      </c>
      <c r="E828">
        <v>0.29818</v>
      </c>
      <c r="F828">
        <v>180544647.90000001</v>
      </c>
      <c r="G828">
        <v>0</v>
      </c>
      <c r="L828" t="s">
        <v>7</v>
      </c>
      <c r="M828" t="s">
        <v>8</v>
      </c>
      <c r="N828" t="s">
        <v>8</v>
      </c>
      <c r="P828">
        <f t="shared" si="1004"/>
        <v>0.39786585365853616</v>
      </c>
      <c r="Q828">
        <f t="shared" si="1005"/>
        <v>71832550.460213333</v>
      </c>
      <c r="R828">
        <f t="shared" si="1006"/>
        <v>960528783.4770422</v>
      </c>
      <c r="S828">
        <f t="shared" si="1007"/>
        <v>9605.2878347704227</v>
      </c>
      <c r="T828">
        <f t="shared" si="1008"/>
        <v>9.6052878347704223</v>
      </c>
    </row>
    <row r="829" spans="1:20" x14ac:dyDescent="0.25">
      <c r="A829" s="5">
        <v>43764</v>
      </c>
      <c r="B829">
        <v>0.29838999999999999</v>
      </c>
      <c r="C829">
        <v>0.312</v>
      </c>
      <c r="D829">
        <v>0.28399999999999997</v>
      </c>
      <c r="E829">
        <v>0.29350999999999999</v>
      </c>
      <c r="F829">
        <v>270708034.10000002</v>
      </c>
      <c r="G829">
        <v>0</v>
      </c>
      <c r="L829" t="s">
        <v>8</v>
      </c>
      <c r="M829" t="s">
        <v>8</v>
      </c>
      <c r="N829" t="s">
        <v>8</v>
      </c>
      <c r="P829">
        <f t="shared" si="1004"/>
        <v>-0.32071428571428501</v>
      </c>
      <c r="Q829">
        <f t="shared" si="1005"/>
        <v>-86819933.793499812</v>
      </c>
      <c r="R829">
        <f t="shared" si="1006"/>
        <v>888696233.01682889</v>
      </c>
      <c r="S829">
        <f t="shared" si="1007"/>
        <v>8886.9623301682896</v>
      </c>
      <c r="T829">
        <f t="shared" si="1008"/>
        <v>8.8869623301682896</v>
      </c>
    </row>
    <row r="830" spans="1:20" x14ac:dyDescent="0.25">
      <c r="A830" s="5">
        <v>43763</v>
      </c>
      <c r="B830">
        <v>0.27596999999999999</v>
      </c>
      <c r="C830">
        <v>0.30809999999999998</v>
      </c>
      <c r="D830">
        <v>0.2742</v>
      </c>
      <c r="E830">
        <v>0.29829</v>
      </c>
      <c r="F830">
        <v>199230614.5</v>
      </c>
      <c r="G830">
        <v>0</v>
      </c>
      <c r="L830" t="s">
        <v>8</v>
      </c>
      <c r="M830" t="s">
        <v>8</v>
      </c>
      <c r="N830" t="s">
        <v>8</v>
      </c>
      <c r="P830">
        <f t="shared" si="1004"/>
        <v>0.42123893805309798</v>
      </c>
      <c r="Q830">
        <f t="shared" si="1005"/>
        <v>83923692.479646146</v>
      </c>
      <c r="R830">
        <f t="shared" si="1006"/>
        <v>975516166.81032872</v>
      </c>
      <c r="S830">
        <f t="shared" si="1007"/>
        <v>9755.1616681032865</v>
      </c>
      <c r="T830">
        <f t="shared" si="1008"/>
        <v>9.7551616681032858</v>
      </c>
    </row>
    <row r="831" spans="1:20" x14ac:dyDescent="0.25">
      <c r="A831" s="5">
        <v>43762</v>
      </c>
      <c r="B831">
        <v>0.27306999999999998</v>
      </c>
      <c r="C831">
        <v>0.28000000000000003</v>
      </c>
      <c r="D831">
        <v>0.26629000000000003</v>
      </c>
      <c r="E831">
        <v>0.27595999999999998</v>
      </c>
      <c r="F831">
        <v>99386341.099999994</v>
      </c>
      <c r="G831">
        <v>0</v>
      </c>
      <c r="L831" t="s">
        <v>8</v>
      </c>
      <c r="M831" t="s">
        <v>7</v>
      </c>
      <c r="N831" t="s">
        <v>8</v>
      </c>
      <c r="P831">
        <f t="shared" ref="P831:P894" si="1009">IF(C831=D831,0,((E831-D831)-(C831-E831))/(C831-D831))</f>
        <v>0.41064916119620082</v>
      </c>
      <c r="Q831">
        <f t="shared" ref="Q831:Q894" si="1010">F831*P831</f>
        <v>40812917.607074499</v>
      </c>
      <c r="R831">
        <f t="shared" ref="R831:R894" si="1011">R832+Q831</f>
        <v>891592474.33068264</v>
      </c>
      <c r="S831">
        <f t="shared" ref="S831:S894" si="1012">R831/100000</f>
        <v>8915.9247433068267</v>
      </c>
      <c r="T831">
        <f t="shared" ref="T831:T894" si="1013">S831/1000</f>
        <v>8.9159247433068263</v>
      </c>
    </row>
    <row r="832" spans="1:20" x14ac:dyDescent="0.25">
      <c r="A832" s="5">
        <v>43761</v>
      </c>
      <c r="B832">
        <v>0.29041</v>
      </c>
      <c r="C832">
        <v>0.29126999999999997</v>
      </c>
      <c r="D832">
        <v>0.25004999999999999</v>
      </c>
      <c r="E832">
        <v>0.27306000000000002</v>
      </c>
      <c r="F832">
        <v>187716543.59999999</v>
      </c>
      <c r="G832">
        <v>0</v>
      </c>
      <c r="L832" t="s">
        <v>7</v>
      </c>
      <c r="M832" t="s">
        <v>7</v>
      </c>
      <c r="N832" t="s">
        <v>8</v>
      </c>
      <c r="P832">
        <f t="shared" si="1009"/>
        <v>0.11644832605531501</v>
      </c>
      <c r="Q832">
        <f t="shared" si="1010"/>
        <v>21859277.275109556</v>
      </c>
      <c r="R832">
        <f t="shared" si="1011"/>
        <v>850779556.72360814</v>
      </c>
      <c r="S832">
        <f t="shared" si="1012"/>
        <v>8507.7955672360822</v>
      </c>
      <c r="T832">
        <f t="shared" si="1013"/>
        <v>8.5077955672360819</v>
      </c>
    </row>
    <row r="833" spans="1:20" x14ac:dyDescent="0.25">
      <c r="A833" s="5">
        <v>43760</v>
      </c>
      <c r="B833">
        <v>0.29186000000000001</v>
      </c>
      <c r="C833">
        <v>0.30277999999999999</v>
      </c>
      <c r="D833">
        <v>0.28861999999999999</v>
      </c>
      <c r="E833">
        <v>0.29046</v>
      </c>
      <c r="F833">
        <v>102870808</v>
      </c>
      <c r="G833">
        <v>0</v>
      </c>
      <c r="L833" t="s">
        <v>8</v>
      </c>
      <c r="M833" t="s">
        <v>8</v>
      </c>
      <c r="N833" t="s">
        <v>8</v>
      </c>
      <c r="P833">
        <f t="shared" si="1009"/>
        <v>-0.74011299435028144</v>
      </c>
      <c r="Q833">
        <f t="shared" si="1010"/>
        <v>-76136021.740112886</v>
      </c>
      <c r="R833">
        <f t="shared" si="1011"/>
        <v>828920279.44849861</v>
      </c>
      <c r="S833">
        <f t="shared" si="1012"/>
        <v>8289.202794484987</v>
      </c>
      <c r="T833">
        <f t="shared" si="1013"/>
        <v>8.2892027944849875</v>
      </c>
    </row>
    <row r="834" spans="1:20" x14ac:dyDescent="0.25">
      <c r="A834" s="5">
        <v>43759</v>
      </c>
      <c r="B834">
        <v>0.29393000000000002</v>
      </c>
      <c r="C834">
        <v>0.29420000000000002</v>
      </c>
      <c r="D834">
        <v>0.28826000000000002</v>
      </c>
      <c r="E834">
        <v>0.29187000000000002</v>
      </c>
      <c r="F834">
        <v>71906227.900000006</v>
      </c>
      <c r="G834">
        <v>0</v>
      </c>
      <c r="L834" t="s">
        <v>7</v>
      </c>
      <c r="M834" t="s">
        <v>8</v>
      </c>
      <c r="N834" t="s">
        <v>8</v>
      </c>
      <c r="P834">
        <f t="shared" si="1009"/>
        <v>0.21548821548821603</v>
      </c>
      <c r="Q834">
        <f t="shared" si="1010"/>
        <v>15494944.732659973</v>
      </c>
      <c r="R834">
        <f t="shared" si="1011"/>
        <v>905056301.18861151</v>
      </c>
      <c r="S834">
        <f t="shared" si="1012"/>
        <v>9050.5630118861154</v>
      </c>
      <c r="T834">
        <f t="shared" si="1013"/>
        <v>9.0505630118861156</v>
      </c>
    </row>
    <row r="835" spans="1:20" x14ac:dyDescent="0.25">
      <c r="A835" s="5">
        <v>43758</v>
      </c>
      <c r="B835">
        <v>0.29143999999999998</v>
      </c>
      <c r="C835">
        <v>0.29615000000000002</v>
      </c>
      <c r="D835">
        <v>0.28090999999999999</v>
      </c>
      <c r="E835">
        <v>0.29386000000000001</v>
      </c>
      <c r="F835">
        <v>111491956.5</v>
      </c>
      <c r="G835">
        <v>0</v>
      </c>
      <c r="L835" t="s">
        <v>7</v>
      </c>
      <c r="M835" t="s">
        <v>8</v>
      </c>
      <c r="N835" t="s">
        <v>8</v>
      </c>
      <c r="P835">
        <f t="shared" si="1009"/>
        <v>0.69947506561679662</v>
      </c>
      <c r="Q835">
        <f t="shared" si="1010"/>
        <v>77985843.588582531</v>
      </c>
      <c r="R835">
        <f t="shared" si="1011"/>
        <v>889561356.45595157</v>
      </c>
      <c r="S835">
        <f t="shared" si="1012"/>
        <v>8895.613564559515</v>
      </c>
      <c r="T835">
        <f t="shared" si="1013"/>
        <v>8.8956135645595147</v>
      </c>
    </row>
    <row r="836" spans="1:20" x14ac:dyDescent="0.25">
      <c r="A836" s="5">
        <v>43757</v>
      </c>
      <c r="B836">
        <v>0.29404000000000002</v>
      </c>
      <c r="C836">
        <v>0.29952000000000001</v>
      </c>
      <c r="D836">
        <v>0.28699999999999998</v>
      </c>
      <c r="E836">
        <v>0.29144999999999999</v>
      </c>
      <c r="F836">
        <v>103575426.59999999</v>
      </c>
      <c r="G836">
        <v>0</v>
      </c>
      <c r="L836" t="s">
        <v>8</v>
      </c>
      <c r="M836" t="s">
        <v>8</v>
      </c>
      <c r="N836" t="s">
        <v>8</v>
      </c>
      <c r="P836">
        <f t="shared" si="1009"/>
        <v>-0.28913738019169355</v>
      </c>
      <c r="Q836">
        <f t="shared" si="1010"/>
        <v>-29947527.499361046</v>
      </c>
      <c r="R836">
        <f t="shared" si="1011"/>
        <v>811575512.86736906</v>
      </c>
      <c r="S836">
        <f t="shared" si="1012"/>
        <v>8115.7551286736907</v>
      </c>
      <c r="T836">
        <f t="shared" si="1013"/>
        <v>8.1157551286736904</v>
      </c>
    </row>
    <row r="837" spans="1:20" x14ac:dyDescent="0.25">
      <c r="A837" s="5">
        <v>43756</v>
      </c>
      <c r="B837">
        <v>0.30165999999999998</v>
      </c>
      <c r="C837">
        <v>0.30207000000000001</v>
      </c>
      <c r="D837">
        <v>0.28433000000000003</v>
      </c>
      <c r="E837">
        <v>0.29404000000000002</v>
      </c>
      <c r="F837">
        <v>133405177.2</v>
      </c>
      <c r="G837">
        <v>0</v>
      </c>
      <c r="L837" t="s">
        <v>8</v>
      </c>
      <c r="M837" t="s">
        <v>8</v>
      </c>
      <c r="N837" t="s">
        <v>8</v>
      </c>
      <c r="P837">
        <f t="shared" si="1009"/>
        <v>9.4701240135288439E-2</v>
      </c>
      <c r="Q837">
        <f t="shared" si="1010"/>
        <v>12633635.721307907</v>
      </c>
      <c r="R837">
        <f t="shared" si="1011"/>
        <v>841523040.36673009</v>
      </c>
      <c r="S837">
        <f t="shared" si="1012"/>
        <v>8415.2304036673013</v>
      </c>
      <c r="T837">
        <f t="shared" si="1013"/>
        <v>8.4152304036673016</v>
      </c>
    </row>
    <row r="838" spans="1:20" x14ac:dyDescent="0.25">
      <c r="A838" s="5">
        <v>43755</v>
      </c>
      <c r="B838">
        <v>0.28333999999999998</v>
      </c>
      <c r="C838">
        <v>0.30380000000000001</v>
      </c>
      <c r="D838">
        <v>0.27968999999999999</v>
      </c>
      <c r="E838">
        <v>0.30166999999999999</v>
      </c>
      <c r="F838">
        <v>147918252.30000001</v>
      </c>
      <c r="G838">
        <v>0</v>
      </c>
      <c r="L838" t="s">
        <v>8</v>
      </c>
      <c r="M838" t="s">
        <v>8</v>
      </c>
      <c r="N838" t="s">
        <v>8</v>
      </c>
      <c r="P838">
        <f t="shared" si="1009"/>
        <v>0.82330982994607893</v>
      </c>
      <c r="Q838">
        <f t="shared" si="1010"/>
        <v>121782551.14703421</v>
      </c>
      <c r="R838">
        <f t="shared" si="1011"/>
        <v>828889404.64542222</v>
      </c>
      <c r="S838">
        <f t="shared" si="1012"/>
        <v>8288.8940464542229</v>
      </c>
      <c r="T838">
        <f t="shared" si="1013"/>
        <v>8.2888940464542227</v>
      </c>
    </row>
    <row r="839" spans="1:20" x14ac:dyDescent="0.25">
      <c r="A839" s="5">
        <v>43754</v>
      </c>
      <c r="B839">
        <v>0.28859000000000001</v>
      </c>
      <c r="C839">
        <v>0.29219000000000001</v>
      </c>
      <c r="D839">
        <v>0.27857999999999999</v>
      </c>
      <c r="E839">
        <v>0.28331000000000001</v>
      </c>
      <c r="F839">
        <v>109182836.2</v>
      </c>
      <c r="G839">
        <v>0</v>
      </c>
      <c r="L839" t="s">
        <v>7</v>
      </c>
      <c r="M839" t="s">
        <v>8</v>
      </c>
      <c r="N839" t="s">
        <v>8</v>
      </c>
      <c r="P839">
        <f t="shared" si="1009"/>
        <v>-0.30492285084496573</v>
      </c>
      <c r="Q839">
        <f t="shared" si="1010"/>
        <v>-33292341.677442927</v>
      </c>
      <c r="R839">
        <f t="shared" si="1011"/>
        <v>707106853.49838805</v>
      </c>
      <c r="S839">
        <f t="shared" si="1012"/>
        <v>7071.0685349838805</v>
      </c>
      <c r="T839">
        <f t="shared" si="1013"/>
        <v>7.0710685349838807</v>
      </c>
    </row>
    <row r="840" spans="1:20" x14ac:dyDescent="0.25">
      <c r="A840" s="5">
        <v>43753</v>
      </c>
      <c r="B840">
        <v>0.29721999999999998</v>
      </c>
      <c r="C840">
        <v>0.29899999999999999</v>
      </c>
      <c r="D840">
        <v>0.28299999999999997</v>
      </c>
      <c r="E840">
        <v>0.28859000000000001</v>
      </c>
      <c r="F840">
        <v>147821843.40000001</v>
      </c>
      <c r="G840">
        <v>0</v>
      </c>
      <c r="L840" t="s">
        <v>8</v>
      </c>
      <c r="M840" t="s">
        <v>8</v>
      </c>
      <c r="N840" t="s">
        <v>8</v>
      </c>
      <c r="P840">
        <f t="shared" si="1009"/>
        <v>-0.30124999999999569</v>
      </c>
      <c r="Q840">
        <f t="shared" si="1010"/>
        <v>-44531330.324249364</v>
      </c>
      <c r="R840">
        <f t="shared" si="1011"/>
        <v>740399195.17583096</v>
      </c>
      <c r="S840">
        <f t="shared" si="1012"/>
        <v>7403.9919517583094</v>
      </c>
      <c r="T840">
        <f t="shared" si="1013"/>
        <v>7.403991951758309</v>
      </c>
    </row>
    <row r="841" spans="1:20" x14ac:dyDescent="0.25">
      <c r="A841" s="5">
        <v>43752</v>
      </c>
      <c r="B841">
        <v>0.27728999999999998</v>
      </c>
      <c r="C841">
        <v>0.29779</v>
      </c>
      <c r="D841">
        <v>0.27640999999999999</v>
      </c>
      <c r="E841">
        <v>0.29726999999999998</v>
      </c>
      <c r="F841">
        <v>151725088</v>
      </c>
      <c r="G841">
        <v>0</v>
      </c>
      <c r="L841" t="s">
        <v>8</v>
      </c>
      <c r="M841" t="s">
        <v>8</v>
      </c>
      <c r="N841" t="s">
        <v>8</v>
      </c>
      <c r="P841">
        <f t="shared" si="1009"/>
        <v>0.95135640785780917</v>
      </c>
      <c r="Q841">
        <f t="shared" si="1010"/>
        <v>144344634.70159</v>
      </c>
      <c r="R841">
        <f t="shared" si="1011"/>
        <v>784930525.50008035</v>
      </c>
      <c r="S841">
        <f t="shared" si="1012"/>
        <v>7849.3052550008033</v>
      </c>
      <c r="T841">
        <f t="shared" si="1013"/>
        <v>7.8493052550008029</v>
      </c>
    </row>
    <row r="842" spans="1:20" x14ac:dyDescent="0.25">
      <c r="A842" s="5">
        <v>43751</v>
      </c>
      <c r="B842">
        <v>0.27232000000000001</v>
      </c>
      <c r="C842">
        <v>0.28138000000000002</v>
      </c>
      <c r="D842">
        <v>0.27109</v>
      </c>
      <c r="E842">
        <v>0.27726000000000001</v>
      </c>
      <c r="F842">
        <v>70808721.799999997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0.1992225461613209</v>
      </c>
      <c r="Q842">
        <f t="shared" si="1010"/>
        <v>14106693.847424628</v>
      </c>
      <c r="R842">
        <f t="shared" si="1011"/>
        <v>640585890.79849029</v>
      </c>
      <c r="S842">
        <f t="shared" si="1012"/>
        <v>6405.8589079849025</v>
      </c>
      <c r="T842">
        <f t="shared" si="1013"/>
        <v>6.4058589079849027</v>
      </c>
    </row>
    <row r="843" spans="1:20" x14ac:dyDescent="0.25">
      <c r="A843" s="5">
        <v>43750</v>
      </c>
      <c r="B843">
        <v>0.26740999999999998</v>
      </c>
      <c r="C843">
        <v>0.27728999999999998</v>
      </c>
      <c r="D843">
        <v>0.26712000000000002</v>
      </c>
      <c r="E843">
        <v>0.27226</v>
      </c>
      <c r="F843">
        <v>57869923.399999999</v>
      </c>
      <c r="G843">
        <v>0</v>
      </c>
      <c r="L843" t="s">
        <v>7</v>
      </c>
      <c r="M843" t="s">
        <v>8</v>
      </c>
      <c r="N843" t="s">
        <v>7</v>
      </c>
      <c r="P843">
        <f t="shared" si="1009"/>
        <v>1.0816125860373595E-2</v>
      </c>
      <c r="Q843">
        <f t="shared" si="1010"/>
        <v>625928.375024579</v>
      </c>
      <c r="R843">
        <f t="shared" si="1011"/>
        <v>626479196.95106566</v>
      </c>
      <c r="S843">
        <f t="shared" si="1012"/>
        <v>6264.7919695106566</v>
      </c>
      <c r="T843">
        <f t="shared" si="1013"/>
        <v>6.2647919695106564</v>
      </c>
    </row>
    <row r="844" spans="1:20" x14ac:dyDescent="0.25">
      <c r="A844" s="5">
        <v>43749</v>
      </c>
      <c r="B844">
        <v>0.27021000000000001</v>
      </c>
      <c r="C844">
        <v>0.27484999999999998</v>
      </c>
      <c r="D844">
        <v>0.26430999999999999</v>
      </c>
      <c r="E844">
        <v>0.26743</v>
      </c>
      <c r="F844">
        <v>71539111.700000003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-0.40796963946868814</v>
      </c>
      <c r="Q844">
        <f t="shared" si="1010"/>
        <v>-29185785.608159211</v>
      </c>
      <c r="R844">
        <f t="shared" si="1011"/>
        <v>625853268.5760411</v>
      </c>
      <c r="S844">
        <f t="shared" si="1012"/>
        <v>6258.5326857604114</v>
      </c>
      <c r="T844">
        <f t="shared" si="1013"/>
        <v>6.2585326857604118</v>
      </c>
    </row>
    <row r="845" spans="1:20" x14ac:dyDescent="0.25">
      <c r="A845" s="5">
        <v>43748</v>
      </c>
      <c r="B845">
        <v>0.28088999999999997</v>
      </c>
      <c r="C845">
        <v>0.28167999999999999</v>
      </c>
      <c r="D845">
        <v>0.26455000000000001</v>
      </c>
      <c r="E845">
        <v>0.27021000000000001</v>
      </c>
      <c r="F845">
        <v>80850590.700000003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-0.33917104495037881</v>
      </c>
      <c r="Q845">
        <f t="shared" si="1010"/>
        <v>-27422179.332574379</v>
      </c>
      <c r="R845">
        <f t="shared" si="1011"/>
        <v>655039054.18420029</v>
      </c>
      <c r="S845">
        <f t="shared" si="1012"/>
        <v>6550.3905418420027</v>
      </c>
      <c r="T845">
        <f t="shared" si="1013"/>
        <v>6.5503905418420025</v>
      </c>
    </row>
    <row r="846" spans="1:20" x14ac:dyDescent="0.25">
      <c r="A846" s="5">
        <v>43747</v>
      </c>
      <c r="B846">
        <v>0.27739999999999998</v>
      </c>
      <c r="C846">
        <v>0.28693000000000002</v>
      </c>
      <c r="D846">
        <v>0.27357999999999999</v>
      </c>
      <c r="E846">
        <v>0.28082000000000001</v>
      </c>
      <c r="F846">
        <v>105865868.2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8.4644194756555616E-2</v>
      </c>
      <c r="Q846">
        <f t="shared" si="1010"/>
        <v>8960931.1659926474</v>
      </c>
      <c r="R846">
        <f t="shared" si="1011"/>
        <v>682461233.51677465</v>
      </c>
      <c r="S846">
        <f t="shared" si="1012"/>
        <v>6824.6123351677461</v>
      </c>
      <c r="T846">
        <f t="shared" si="1013"/>
        <v>6.8246123351677461</v>
      </c>
    </row>
    <row r="847" spans="1:20" x14ac:dyDescent="0.25">
      <c r="A847" s="5">
        <v>43746</v>
      </c>
      <c r="B847">
        <v>0.27583999999999997</v>
      </c>
      <c r="C847">
        <v>0.28548000000000001</v>
      </c>
      <c r="D847">
        <v>0.27062000000000003</v>
      </c>
      <c r="E847">
        <v>0.27739999999999998</v>
      </c>
      <c r="F847">
        <v>121934629.7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-8.7483176312253039E-2</v>
      </c>
      <c r="Q847">
        <f t="shared" si="1010"/>
        <v>-10667228.708614387</v>
      </c>
      <c r="R847">
        <f t="shared" si="1011"/>
        <v>673500302.35078204</v>
      </c>
      <c r="S847">
        <f t="shared" si="1012"/>
        <v>6735.0030235078202</v>
      </c>
      <c r="T847">
        <f t="shared" si="1013"/>
        <v>6.7350030235078204</v>
      </c>
    </row>
    <row r="848" spans="1:20" x14ac:dyDescent="0.25">
      <c r="A848" s="5">
        <v>43745</v>
      </c>
      <c r="B848">
        <v>0.25551000000000001</v>
      </c>
      <c r="C848">
        <v>0.28114</v>
      </c>
      <c r="D848">
        <v>0.25333</v>
      </c>
      <c r="E848">
        <v>0.27592</v>
      </c>
      <c r="F848">
        <v>210990372.80000001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0.62459546925566323</v>
      </c>
      <c r="Q848">
        <f t="shared" si="1010"/>
        <v>131783630.90744333</v>
      </c>
      <c r="R848">
        <f t="shared" si="1011"/>
        <v>684167531.05939639</v>
      </c>
      <c r="S848">
        <f t="shared" si="1012"/>
        <v>6841.6753105939642</v>
      </c>
      <c r="T848">
        <f t="shared" si="1013"/>
        <v>6.8416753105939643</v>
      </c>
    </row>
    <row r="849" spans="1:20" x14ac:dyDescent="0.25">
      <c r="A849" s="5">
        <v>43744</v>
      </c>
      <c r="B849">
        <v>0.25324999999999998</v>
      </c>
      <c r="C849">
        <v>0.25634000000000001</v>
      </c>
      <c r="D849">
        <v>0.25059999999999999</v>
      </c>
      <c r="E849">
        <v>0.25552000000000002</v>
      </c>
      <c r="F849">
        <v>63421400.100000001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0.71428571428571985</v>
      </c>
      <c r="Q849">
        <f t="shared" si="1010"/>
        <v>45301000.071428925</v>
      </c>
      <c r="R849">
        <f t="shared" si="1011"/>
        <v>552383900.1519531</v>
      </c>
      <c r="S849">
        <f t="shared" si="1012"/>
        <v>5523.8390015195309</v>
      </c>
      <c r="T849">
        <f t="shared" si="1013"/>
        <v>5.5238390015195309</v>
      </c>
    </row>
    <row r="850" spans="1:20" x14ac:dyDescent="0.25">
      <c r="A850" s="5">
        <v>43743</v>
      </c>
      <c r="B850">
        <v>0.2525</v>
      </c>
      <c r="C850">
        <v>0.25659999999999999</v>
      </c>
      <c r="D850">
        <v>0.24671000000000001</v>
      </c>
      <c r="E850">
        <v>0.25324999999999998</v>
      </c>
      <c r="F850">
        <v>82519531.299999997</v>
      </c>
      <c r="G850">
        <v>0</v>
      </c>
      <c r="L850" t="s">
        <v>7</v>
      </c>
      <c r="M850" t="s">
        <v>8</v>
      </c>
      <c r="N850" t="s">
        <v>7</v>
      </c>
      <c r="P850">
        <f t="shared" si="1009"/>
        <v>0.32254802831142049</v>
      </c>
      <c r="Q850">
        <f t="shared" si="1010"/>
        <v>26616512.117997549</v>
      </c>
      <c r="R850">
        <f t="shared" si="1011"/>
        <v>507082900.08052421</v>
      </c>
      <c r="S850">
        <f t="shared" si="1012"/>
        <v>5070.8290008052418</v>
      </c>
      <c r="T850">
        <f t="shared" si="1013"/>
        <v>5.0708290008052419</v>
      </c>
    </row>
    <row r="851" spans="1:20" x14ac:dyDescent="0.25">
      <c r="A851" s="5">
        <v>43742</v>
      </c>
      <c r="B851">
        <v>0.24687000000000001</v>
      </c>
      <c r="C851">
        <v>0.25663999999999998</v>
      </c>
      <c r="D851">
        <v>0.2445</v>
      </c>
      <c r="E851">
        <v>0.25242999999999999</v>
      </c>
      <c r="F851">
        <v>90663663.400000006</v>
      </c>
      <c r="G851">
        <v>0</v>
      </c>
      <c r="L851" t="s">
        <v>7</v>
      </c>
      <c r="M851" t="s">
        <v>8</v>
      </c>
      <c r="N851" t="s">
        <v>7</v>
      </c>
      <c r="P851">
        <f t="shared" si="1009"/>
        <v>0.30642504118616193</v>
      </c>
      <c r="Q851">
        <f t="shared" si="1010"/>
        <v>27781616.791433323</v>
      </c>
      <c r="R851">
        <f t="shared" si="1011"/>
        <v>480466387.96252668</v>
      </c>
      <c r="S851">
        <f t="shared" si="1012"/>
        <v>4804.6638796252664</v>
      </c>
      <c r="T851">
        <f t="shared" si="1013"/>
        <v>4.8046638796252665</v>
      </c>
    </row>
    <row r="852" spans="1:20" x14ac:dyDescent="0.25">
      <c r="A852" s="5">
        <v>43741</v>
      </c>
      <c r="B852">
        <v>0.25247999999999998</v>
      </c>
      <c r="C852">
        <v>0.25305</v>
      </c>
      <c r="D852">
        <v>0.24159</v>
      </c>
      <c r="E852">
        <v>0.24673999999999999</v>
      </c>
      <c r="F852">
        <v>71409676.900000006</v>
      </c>
      <c r="G852">
        <v>0</v>
      </c>
      <c r="L852" t="s">
        <v>7</v>
      </c>
      <c r="M852" t="s">
        <v>8</v>
      </c>
      <c r="N852" t="s">
        <v>7</v>
      </c>
      <c r="P852">
        <f t="shared" si="1009"/>
        <v>-0.10122164048865814</v>
      </c>
      <c r="Q852">
        <f t="shared" si="1010"/>
        <v>-7228204.6425830368</v>
      </c>
      <c r="R852">
        <f t="shared" si="1011"/>
        <v>452684771.17109334</v>
      </c>
      <c r="S852">
        <f t="shared" si="1012"/>
        <v>4526.8477117109333</v>
      </c>
      <c r="T852">
        <f t="shared" si="1013"/>
        <v>4.5268477117109329</v>
      </c>
    </row>
    <row r="853" spans="1:20" x14ac:dyDescent="0.25">
      <c r="A853" s="5">
        <v>43740</v>
      </c>
      <c r="B853">
        <v>0.24787000000000001</v>
      </c>
      <c r="C853">
        <v>0.25480999999999998</v>
      </c>
      <c r="D853">
        <v>0.24421000000000001</v>
      </c>
      <c r="E853">
        <v>0.25247000000000003</v>
      </c>
      <c r="F853">
        <v>97406245.200000003</v>
      </c>
      <c r="G853">
        <v>0</v>
      </c>
      <c r="L853" t="s">
        <v>7</v>
      </c>
      <c r="M853" t="s">
        <v>8</v>
      </c>
      <c r="N853" t="s">
        <v>7</v>
      </c>
      <c r="P853">
        <f t="shared" si="1009"/>
        <v>0.5584905660377435</v>
      </c>
      <c r="Q853">
        <f t="shared" si="1010"/>
        <v>54400469.017359234</v>
      </c>
      <c r="R853">
        <f t="shared" si="1011"/>
        <v>459912975.81367636</v>
      </c>
      <c r="S853">
        <f t="shared" si="1012"/>
        <v>4599.1297581367635</v>
      </c>
      <c r="T853">
        <f t="shared" si="1013"/>
        <v>4.5991297581367636</v>
      </c>
    </row>
    <row r="854" spans="1:20" x14ac:dyDescent="0.25">
      <c r="A854" s="5">
        <v>43739</v>
      </c>
      <c r="B854">
        <v>0.25658999999999998</v>
      </c>
      <c r="C854">
        <v>0.26100000000000001</v>
      </c>
      <c r="D854">
        <v>0.24440999999999999</v>
      </c>
      <c r="E854">
        <v>0.24787999999999999</v>
      </c>
      <c r="F854">
        <v>125393526.7</v>
      </c>
      <c r="G854">
        <v>0</v>
      </c>
      <c r="L854" t="s">
        <v>7</v>
      </c>
      <c r="M854" t="s">
        <v>8</v>
      </c>
      <c r="N854" t="s">
        <v>7</v>
      </c>
      <c r="P854">
        <f t="shared" si="1009"/>
        <v>-0.5816757082579872</v>
      </c>
      <c r="Q854">
        <f t="shared" si="1010"/>
        <v>-72938368.45418933</v>
      </c>
      <c r="R854">
        <f t="shared" si="1011"/>
        <v>405512506.7963171</v>
      </c>
      <c r="S854">
        <f t="shared" si="1012"/>
        <v>4055.1250679631712</v>
      </c>
      <c r="T854">
        <f t="shared" si="1013"/>
        <v>4.0551250679631714</v>
      </c>
    </row>
    <row r="855" spans="1:20" x14ac:dyDescent="0.25">
      <c r="A855" s="5">
        <v>43738</v>
      </c>
      <c r="B855">
        <v>0.24024000000000001</v>
      </c>
      <c r="C855">
        <v>0.26191999999999999</v>
      </c>
      <c r="D855">
        <v>0.2354</v>
      </c>
      <c r="E855">
        <v>0.25659999999999999</v>
      </c>
      <c r="F855">
        <v>156913857</v>
      </c>
      <c r="G855">
        <v>0</v>
      </c>
      <c r="L855" t="s">
        <v>8</v>
      </c>
      <c r="M855" t="s">
        <v>8</v>
      </c>
      <c r="N855" t="s">
        <v>7</v>
      </c>
      <c r="P855">
        <f t="shared" si="1009"/>
        <v>0.59879336349924628</v>
      </c>
      <c r="Q855">
        <f t="shared" si="1010"/>
        <v>93958976.212669745</v>
      </c>
      <c r="R855">
        <f t="shared" si="1011"/>
        <v>478450875.25050646</v>
      </c>
      <c r="S855">
        <f t="shared" si="1012"/>
        <v>4784.5087525050649</v>
      </c>
      <c r="T855">
        <f t="shared" si="1013"/>
        <v>4.7845087525050651</v>
      </c>
    </row>
    <row r="856" spans="1:20" x14ac:dyDescent="0.25">
      <c r="A856" s="5">
        <v>43737</v>
      </c>
      <c r="B856">
        <v>0.24165</v>
      </c>
      <c r="C856">
        <v>0.24260999999999999</v>
      </c>
      <c r="D856">
        <v>0.23427000000000001</v>
      </c>
      <c r="E856">
        <v>0.24024000000000001</v>
      </c>
      <c r="F856">
        <v>43877272.399999999</v>
      </c>
      <c r="G856">
        <v>0</v>
      </c>
      <c r="L856" t="s">
        <v>8</v>
      </c>
      <c r="M856" t="s">
        <v>7</v>
      </c>
      <c r="N856" t="s">
        <v>7</v>
      </c>
      <c r="P856">
        <f t="shared" si="1009"/>
        <v>0.4316546762589959</v>
      </c>
      <c r="Q856">
        <f t="shared" si="1010"/>
        <v>18939829.812949777</v>
      </c>
      <c r="R856">
        <f t="shared" si="1011"/>
        <v>384491899.03783673</v>
      </c>
      <c r="S856">
        <f t="shared" si="1012"/>
        <v>3844.9189903783672</v>
      </c>
      <c r="T856">
        <f t="shared" si="1013"/>
        <v>3.8449189903783672</v>
      </c>
    </row>
    <row r="857" spans="1:20" x14ac:dyDescent="0.25">
      <c r="A857" s="5">
        <v>43736</v>
      </c>
      <c r="B857">
        <v>0.24209</v>
      </c>
      <c r="C857">
        <v>0.24432999999999999</v>
      </c>
      <c r="D857">
        <v>0.23799999999999999</v>
      </c>
      <c r="E857">
        <v>0.24163000000000001</v>
      </c>
      <c r="F857">
        <v>45238244.899999999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0.14691943127962742</v>
      </c>
      <c r="Q857">
        <f t="shared" si="1010"/>
        <v>6646377.2127965055</v>
      </c>
      <c r="R857">
        <f t="shared" si="1011"/>
        <v>365552069.22488695</v>
      </c>
      <c r="S857">
        <f t="shared" si="1012"/>
        <v>3655.5206922488696</v>
      </c>
      <c r="T857">
        <f t="shared" si="1013"/>
        <v>3.6555206922488694</v>
      </c>
    </row>
    <row r="858" spans="1:20" x14ac:dyDescent="0.25">
      <c r="A858" s="5">
        <v>43735</v>
      </c>
      <c r="B858">
        <v>0.24229999999999999</v>
      </c>
      <c r="C858">
        <v>0.248</v>
      </c>
      <c r="D858">
        <v>0.23296</v>
      </c>
      <c r="E858">
        <v>0.24207999999999999</v>
      </c>
      <c r="F858">
        <v>89138447.599999994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0.21276595744680726</v>
      </c>
      <c r="Q858">
        <f t="shared" si="1010"/>
        <v>18965627.148936059</v>
      </c>
      <c r="R858">
        <f t="shared" si="1011"/>
        <v>358905692.01209044</v>
      </c>
      <c r="S858">
        <f t="shared" si="1012"/>
        <v>3589.0569201209046</v>
      </c>
      <c r="T858">
        <f t="shared" si="1013"/>
        <v>3.5890569201209046</v>
      </c>
    </row>
    <row r="859" spans="1:20" x14ac:dyDescent="0.25">
      <c r="A859" s="5">
        <v>43734</v>
      </c>
      <c r="B859">
        <v>0.24567</v>
      </c>
      <c r="C859">
        <v>0.25</v>
      </c>
      <c r="D859">
        <v>0.22775000000000001</v>
      </c>
      <c r="E859">
        <v>0.2422</v>
      </c>
      <c r="F859">
        <v>125772838.7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0.29887640449438163</v>
      </c>
      <c r="Q859">
        <f t="shared" si="1010"/>
        <v>37590533.813707814</v>
      </c>
      <c r="R859">
        <f t="shared" si="1011"/>
        <v>339940064.86315441</v>
      </c>
      <c r="S859">
        <f t="shared" si="1012"/>
        <v>3399.4006486315443</v>
      </c>
      <c r="T859">
        <f t="shared" si="1013"/>
        <v>3.3994006486315445</v>
      </c>
    </row>
    <row r="860" spans="1:20" x14ac:dyDescent="0.25">
      <c r="A860" s="5">
        <v>43733</v>
      </c>
      <c r="B860">
        <v>0.23282</v>
      </c>
      <c r="C860">
        <v>0.24953</v>
      </c>
      <c r="D860">
        <v>0.23132</v>
      </c>
      <c r="E860">
        <v>0.2457</v>
      </c>
      <c r="F860">
        <v>169757552.30000001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0.57935200439319068</v>
      </c>
      <c r="Q860">
        <f t="shared" si="1010"/>
        <v>98349378.185886905</v>
      </c>
      <c r="R860">
        <f t="shared" si="1011"/>
        <v>302349531.04944658</v>
      </c>
      <c r="S860">
        <f t="shared" si="1012"/>
        <v>3023.4953104944657</v>
      </c>
      <c r="T860">
        <f t="shared" si="1013"/>
        <v>3.0234953104944657</v>
      </c>
    </row>
    <row r="861" spans="1:20" x14ac:dyDescent="0.25">
      <c r="A861" s="5">
        <v>43732</v>
      </c>
      <c r="B861">
        <v>0.26787</v>
      </c>
      <c r="C861">
        <v>0.27317000000000002</v>
      </c>
      <c r="D861">
        <v>0.21332999999999999</v>
      </c>
      <c r="E861">
        <v>0.23282</v>
      </c>
      <c r="F861">
        <v>302577184.10000002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-0.34859625668449207</v>
      </c>
      <c r="Q861">
        <f t="shared" si="1010"/>
        <v>-105477273.73539442</v>
      </c>
      <c r="R861">
        <f t="shared" si="1011"/>
        <v>204000152.86355966</v>
      </c>
      <c r="S861">
        <f t="shared" si="1012"/>
        <v>2040.0015286355967</v>
      </c>
      <c r="T861">
        <f t="shared" si="1013"/>
        <v>2.0400015286355968</v>
      </c>
    </row>
    <row r="862" spans="1:20" x14ac:dyDescent="0.25">
      <c r="A862" s="5">
        <v>43731</v>
      </c>
      <c r="B862">
        <v>0.27655999999999997</v>
      </c>
      <c r="C862">
        <v>0.28666000000000003</v>
      </c>
      <c r="D862">
        <v>0.26601000000000002</v>
      </c>
      <c r="E862">
        <v>0.26785999999999999</v>
      </c>
      <c r="F862">
        <v>154408602.19999999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-0.82082324455206168</v>
      </c>
      <c r="Q862">
        <f t="shared" si="1010"/>
        <v>-126742169.84455261</v>
      </c>
      <c r="R862">
        <f t="shared" si="1011"/>
        <v>309477426.59895408</v>
      </c>
      <c r="S862">
        <f t="shared" si="1012"/>
        <v>3094.7742659895407</v>
      </c>
      <c r="T862">
        <f t="shared" si="1013"/>
        <v>3.0947742659895408</v>
      </c>
    </row>
    <row r="863" spans="1:20" x14ac:dyDescent="0.25">
      <c r="A863" s="5">
        <v>43730</v>
      </c>
      <c r="B863">
        <v>0.28964000000000001</v>
      </c>
      <c r="C863">
        <v>0.28982000000000002</v>
      </c>
      <c r="D863">
        <v>0.26860000000000001</v>
      </c>
      <c r="E863">
        <v>0.27653</v>
      </c>
      <c r="F863">
        <v>117475940.3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-0.2525918944392096</v>
      </c>
      <c r="Q863">
        <f t="shared" si="1010"/>
        <v>-29673470.311404489</v>
      </c>
      <c r="R863">
        <f t="shared" si="1011"/>
        <v>436219596.44350666</v>
      </c>
      <c r="S863">
        <f t="shared" si="1012"/>
        <v>4362.1959644350663</v>
      </c>
      <c r="T863">
        <f t="shared" si="1013"/>
        <v>4.3621959644350667</v>
      </c>
    </row>
    <row r="864" spans="1:20" x14ac:dyDescent="0.25">
      <c r="A864" s="5">
        <v>43729</v>
      </c>
      <c r="B864">
        <v>0.29360000000000003</v>
      </c>
      <c r="C864">
        <v>0.29799999999999999</v>
      </c>
      <c r="D864">
        <v>0.28625</v>
      </c>
      <c r="E864">
        <v>0.28960999999999998</v>
      </c>
      <c r="F864">
        <v>113934352.2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-0.42808510638298231</v>
      </c>
      <c r="Q864">
        <f t="shared" si="1010"/>
        <v>-48773599.282213174</v>
      </c>
      <c r="R864">
        <f t="shared" si="1011"/>
        <v>465893066.75491112</v>
      </c>
      <c r="S864">
        <f t="shared" si="1012"/>
        <v>4658.9306675491116</v>
      </c>
      <c r="T864">
        <f t="shared" si="1013"/>
        <v>4.6589306675491118</v>
      </c>
    </row>
    <row r="865" spans="1:20" x14ac:dyDescent="0.25">
      <c r="A865" s="5">
        <v>43728</v>
      </c>
      <c r="B865">
        <v>0.30064000000000002</v>
      </c>
      <c r="C865">
        <v>0.30159000000000002</v>
      </c>
      <c r="D865">
        <v>0.28349999999999997</v>
      </c>
      <c r="E865">
        <v>0.29360000000000003</v>
      </c>
      <c r="F865">
        <v>159272561.59999999</v>
      </c>
      <c r="G865">
        <v>0</v>
      </c>
      <c r="L865" t="s">
        <v>7</v>
      </c>
      <c r="M865" t="s">
        <v>8</v>
      </c>
      <c r="N865" t="s">
        <v>7</v>
      </c>
      <c r="P865">
        <f t="shared" si="1009"/>
        <v>0.11663902708679107</v>
      </c>
      <c r="Q865">
        <f t="shared" si="1010"/>
        <v>18577396.626644999</v>
      </c>
      <c r="R865">
        <f t="shared" si="1011"/>
        <v>514666666.03712428</v>
      </c>
      <c r="S865">
        <f t="shared" si="1012"/>
        <v>5146.6666603712429</v>
      </c>
      <c r="T865">
        <f t="shared" si="1013"/>
        <v>5.1466666603712428</v>
      </c>
    </row>
    <row r="866" spans="1:20" x14ac:dyDescent="0.25">
      <c r="A866" s="5">
        <v>43727</v>
      </c>
      <c r="B866">
        <v>0.31344</v>
      </c>
      <c r="C866">
        <v>0.31345000000000001</v>
      </c>
      <c r="D866">
        <v>0.28208</v>
      </c>
      <c r="E866">
        <v>0.30062</v>
      </c>
      <c r="F866">
        <v>277316439.69999999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0.18202103920943549</v>
      </c>
      <c r="Q866">
        <f t="shared" si="1010"/>
        <v>50477426.544054754</v>
      </c>
      <c r="R866">
        <f t="shared" si="1011"/>
        <v>496089269.41047931</v>
      </c>
      <c r="S866">
        <f t="shared" si="1012"/>
        <v>4960.892694104793</v>
      </c>
      <c r="T866">
        <f t="shared" si="1013"/>
        <v>4.9608926941047926</v>
      </c>
    </row>
    <row r="867" spans="1:20" x14ac:dyDescent="0.25">
      <c r="A867" s="5">
        <v>43726</v>
      </c>
      <c r="B867">
        <v>0.28553000000000001</v>
      </c>
      <c r="C867">
        <v>0.32630999999999999</v>
      </c>
      <c r="D867">
        <v>0.28493000000000002</v>
      </c>
      <c r="E867">
        <v>0.31344</v>
      </c>
      <c r="F867">
        <v>300972127.89999998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0.37796036732721117</v>
      </c>
      <c r="Q867">
        <f t="shared" si="1010"/>
        <v>113755536.01633637</v>
      </c>
      <c r="R867">
        <f t="shared" si="1011"/>
        <v>445611842.86642456</v>
      </c>
      <c r="S867">
        <f t="shared" si="1012"/>
        <v>4456.1184286642456</v>
      </c>
      <c r="T867">
        <f t="shared" si="1013"/>
        <v>4.4561184286642455</v>
      </c>
    </row>
    <row r="868" spans="1:20" x14ac:dyDescent="0.25">
      <c r="A868" s="5">
        <v>43725</v>
      </c>
      <c r="B868">
        <v>0.26102999999999998</v>
      </c>
      <c r="C868">
        <v>0.29849999999999999</v>
      </c>
      <c r="D868">
        <v>0.25944</v>
      </c>
      <c r="E868">
        <v>0.28560999999999998</v>
      </c>
      <c r="F868">
        <v>217381018.09999999</v>
      </c>
      <c r="G868">
        <v>0</v>
      </c>
      <c r="L868" t="s">
        <v>8</v>
      </c>
      <c r="M868" t="s">
        <v>8</v>
      </c>
      <c r="N868" t="s">
        <v>7</v>
      </c>
      <c r="P868">
        <f t="shared" si="1009"/>
        <v>0.33998975934459713</v>
      </c>
      <c r="Q868">
        <f t="shared" si="1010"/>
        <v>73907320.029902518</v>
      </c>
      <c r="R868">
        <f t="shared" si="1011"/>
        <v>331856306.85008818</v>
      </c>
      <c r="S868">
        <f t="shared" si="1012"/>
        <v>3318.5630685008819</v>
      </c>
      <c r="T868">
        <f t="shared" si="1013"/>
        <v>3.318563068500882</v>
      </c>
    </row>
    <row r="869" spans="1:20" x14ac:dyDescent="0.25">
      <c r="A869" s="5">
        <v>43724</v>
      </c>
      <c r="B869">
        <v>0.26014999999999999</v>
      </c>
      <c r="C869">
        <v>0.26300000000000001</v>
      </c>
      <c r="D869">
        <v>0.25663999999999998</v>
      </c>
      <c r="E869">
        <v>0.26097999999999999</v>
      </c>
      <c r="F869">
        <v>44531031.700000003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0.36477987421383284</v>
      </c>
      <c r="Q869">
        <f t="shared" si="1010"/>
        <v>16244024.142138204</v>
      </c>
      <c r="R869">
        <f t="shared" si="1011"/>
        <v>257948986.82018566</v>
      </c>
      <c r="S869">
        <f t="shared" si="1012"/>
        <v>2579.4898682018566</v>
      </c>
      <c r="T869">
        <f t="shared" si="1013"/>
        <v>2.5794898682018568</v>
      </c>
    </row>
    <row r="870" spans="1:20" x14ac:dyDescent="0.25">
      <c r="A870" s="5">
        <v>43723</v>
      </c>
      <c r="B870">
        <v>0.26124999999999998</v>
      </c>
      <c r="C870">
        <v>0.26418999999999998</v>
      </c>
      <c r="D870">
        <v>0.25385999999999997</v>
      </c>
      <c r="E870">
        <v>0.26022000000000001</v>
      </c>
      <c r="F870">
        <v>51661196.299999997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0.23136495643756605</v>
      </c>
      <c r="Q870">
        <f t="shared" si="1010"/>
        <v>11952590.431462048</v>
      </c>
      <c r="R870">
        <f t="shared" si="1011"/>
        <v>241704962.67804745</v>
      </c>
      <c r="S870">
        <f t="shared" si="1012"/>
        <v>2417.0496267804747</v>
      </c>
      <c r="T870">
        <f t="shared" si="1013"/>
        <v>2.4170496267804746</v>
      </c>
    </row>
    <row r="871" spans="1:20" x14ac:dyDescent="0.25">
      <c r="A871" s="5">
        <v>43722</v>
      </c>
      <c r="B871">
        <v>0.25535999999999998</v>
      </c>
      <c r="C871">
        <v>0.26551000000000002</v>
      </c>
      <c r="D871">
        <v>0.25389</v>
      </c>
      <c r="E871">
        <v>0.26124000000000003</v>
      </c>
      <c r="F871">
        <v>70537163.599999994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0.26506024096385733</v>
      </c>
      <c r="Q871">
        <f t="shared" si="1010"/>
        <v>18696597.580723025</v>
      </c>
      <c r="R871">
        <f t="shared" si="1011"/>
        <v>229752372.2465854</v>
      </c>
      <c r="S871">
        <f t="shared" si="1012"/>
        <v>2297.523722465854</v>
      </c>
      <c r="T871">
        <f t="shared" si="1013"/>
        <v>2.2975237224658538</v>
      </c>
    </row>
    <row r="872" spans="1:20" x14ac:dyDescent="0.25">
      <c r="A872" s="5">
        <v>43721</v>
      </c>
      <c r="B872">
        <v>0.25403999999999999</v>
      </c>
      <c r="C872">
        <v>0.25600000000000001</v>
      </c>
      <c r="D872">
        <v>0.25131999999999999</v>
      </c>
      <c r="E872">
        <v>0.25519999999999998</v>
      </c>
      <c r="F872">
        <v>47599708.200000003</v>
      </c>
      <c r="G872">
        <v>0</v>
      </c>
      <c r="L872" t="s">
        <v>8</v>
      </c>
      <c r="M872" t="s">
        <v>7</v>
      </c>
      <c r="N872" t="s">
        <v>7</v>
      </c>
      <c r="P872">
        <f t="shared" si="1009"/>
        <v>0.65811965811964956</v>
      </c>
      <c r="Q872">
        <f t="shared" si="1010"/>
        <v>31326303.687179081</v>
      </c>
      <c r="R872">
        <f t="shared" si="1011"/>
        <v>211055774.66586238</v>
      </c>
      <c r="S872">
        <f t="shared" si="1012"/>
        <v>2110.5577466586237</v>
      </c>
      <c r="T872">
        <f t="shared" si="1013"/>
        <v>2.1105577466586238</v>
      </c>
    </row>
    <row r="873" spans="1:20" x14ac:dyDescent="0.25">
      <c r="A873" s="5">
        <v>43720</v>
      </c>
      <c r="B873">
        <v>0.25514999999999999</v>
      </c>
      <c r="C873">
        <v>0.25685999999999998</v>
      </c>
      <c r="D873">
        <v>0.25086999999999998</v>
      </c>
      <c r="E873">
        <v>0.25406000000000001</v>
      </c>
      <c r="F873">
        <v>58547444.600000001</v>
      </c>
      <c r="G873">
        <v>0</v>
      </c>
      <c r="L873" t="s">
        <v>8</v>
      </c>
      <c r="M873" t="s">
        <v>7</v>
      </c>
      <c r="N873" t="s">
        <v>7</v>
      </c>
      <c r="P873">
        <f t="shared" si="1009"/>
        <v>6.5108514190326761E-2</v>
      </c>
      <c r="Q873">
        <f t="shared" si="1010"/>
        <v>3811937.1275464701</v>
      </c>
      <c r="R873">
        <f t="shared" si="1011"/>
        <v>179729470.97868329</v>
      </c>
      <c r="S873">
        <f t="shared" si="1012"/>
        <v>1797.294709786833</v>
      </c>
      <c r="T873">
        <f t="shared" si="1013"/>
        <v>1.797294709786833</v>
      </c>
    </row>
    <row r="874" spans="1:20" x14ac:dyDescent="0.25">
      <c r="A874" s="5">
        <v>43719</v>
      </c>
      <c r="B874">
        <v>0.25855</v>
      </c>
      <c r="C874">
        <v>0.26091999999999999</v>
      </c>
      <c r="D874">
        <v>0.251</v>
      </c>
      <c r="E874">
        <v>0.25518999999999997</v>
      </c>
      <c r="F874">
        <v>56043242.100000001</v>
      </c>
      <c r="G874">
        <v>0</v>
      </c>
      <c r="L874" t="s">
        <v>8</v>
      </c>
      <c r="M874" t="s">
        <v>7</v>
      </c>
      <c r="N874" t="s">
        <v>7</v>
      </c>
      <c r="P874">
        <f t="shared" si="1009"/>
        <v>-0.15524193548387538</v>
      </c>
      <c r="Q874">
        <f t="shared" si="1010"/>
        <v>-8700261.3743954096</v>
      </c>
      <c r="R874">
        <f t="shared" si="1011"/>
        <v>175917533.85113683</v>
      </c>
      <c r="S874">
        <f t="shared" si="1012"/>
        <v>1759.1753385113684</v>
      </c>
      <c r="T874">
        <f t="shared" si="1013"/>
        <v>1.7591753385113684</v>
      </c>
    </row>
    <row r="875" spans="1:20" x14ac:dyDescent="0.25">
      <c r="A875" s="5">
        <v>43718</v>
      </c>
      <c r="B875">
        <v>0.25868999999999998</v>
      </c>
      <c r="C875">
        <v>0.26371</v>
      </c>
      <c r="D875">
        <v>0.2535</v>
      </c>
      <c r="E875">
        <v>0.25858999999999999</v>
      </c>
      <c r="F875">
        <v>61643971.399999999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-2.9382957884456426E-3</v>
      </c>
      <c r="Q875">
        <f t="shared" si="1010"/>
        <v>-181128.22154768364</v>
      </c>
      <c r="R875">
        <f t="shared" si="1011"/>
        <v>184617795.22553223</v>
      </c>
      <c r="S875">
        <f t="shared" si="1012"/>
        <v>1846.1779522553222</v>
      </c>
      <c r="T875">
        <f t="shared" si="1013"/>
        <v>1.8461779522553223</v>
      </c>
    </row>
    <row r="876" spans="1:20" x14ac:dyDescent="0.25">
      <c r="A876" s="5">
        <v>43717</v>
      </c>
      <c r="B876">
        <v>0.26205000000000001</v>
      </c>
      <c r="C876">
        <v>0.26423000000000002</v>
      </c>
      <c r="D876">
        <v>0.25634000000000001</v>
      </c>
      <c r="E876">
        <v>0.25855</v>
      </c>
      <c r="F876">
        <v>58537945.700000003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-0.4397972116603327</v>
      </c>
      <c r="Q876">
        <f t="shared" si="1010"/>
        <v>-25744825.295183964</v>
      </c>
      <c r="R876">
        <f t="shared" si="1011"/>
        <v>184798923.44707993</v>
      </c>
      <c r="S876">
        <f t="shared" si="1012"/>
        <v>1847.9892344707994</v>
      </c>
      <c r="T876">
        <f t="shared" si="1013"/>
        <v>1.8479892344707993</v>
      </c>
    </row>
    <row r="877" spans="1:20" x14ac:dyDescent="0.25">
      <c r="A877" s="5">
        <v>43716</v>
      </c>
      <c r="B877">
        <v>0.25989000000000001</v>
      </c>
      <c r="C877">
        <v>0.26590999999999998</v>
      </c>
      <c r="D877">
        <v>0.2555</v>
      </c>
      <c r="E877">
        <v>0.26205000000000001</v>
      </c>
      <c r="F877">
        <v>65033003.600000001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0.25840537944284653</v>
      </c>
      <c r="Q877">
        <f t="shared" si="1010"/>
        <v>16804877.971566003</v>
      </c>
      <c r="R877">
        <f t="shared" si="1011"/>
        <v>210543748.74226388</v>
      </c>
      <c r="S877">
        <f t="shared" si="1012"/>
        <v>2105.4374874226387</v>
      </c>
      <c r="T877">
        <f t="shared" si="1013"/>
        <v>2.1054374874226385</v>
      </c>
    </row>
    <row r="878" spans="1:20" x14ac:dyDescent="0.25">
      <c r="A878" s="5">
        <v>43715</v>
      </c>
      <c r="B878">
        <v>0.25114999999999998</v>
      </c>
      <c r="C878">
        <v>0.26284999999999997</v>
      </c>
      <c r="D878">
        <v>0.25008999999999998</v>
      </c>
      <c r="E878">
        <v>0.25992999999999999</v>
      </c>
      <c r="F878">
        <v>53971229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0.5423197492163041</v>
      </c>
      <c r="Q878">
        <f t="shared" si="1010"/>
        <v>29269663.37617572</v>
      </c>
      <c r="R878">
        <f t="shared" si="1011"/>
        <v>193738870.77069789</v>
      </c>
      <c r="S878">
        <f t="shared" si="1012"/>
        <v>1937.3887077069789</v>
      </c>
      <c r="T878">
        <f t="shared" si="1013"/>
        <v>1.9373887077069789</v>
      </c>
    </row>
    <row r="879" spans="1:20" x14ac:dyDescent="0.25">
      <c r="A879" s="5">
        <v>43714</v>
      </c>
      <c r="B879">
        <v>0.25616</v>
      </c>
      <c r="C879">
        <v>0.25868000000000002</v>
      </c>
      <c r="D879">
        <v>0.24692</v>
      </c>
      <c r="E879">
        <v>0.25109999999999999</v>
      </c>
      <c r="F879">
        <v>63377736.5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-0.28911564625850644</v>
      </c>
      <c r="Q879">
        <f t="shared" si="1010"/>
        <v>-18323495.246598832</v>
      </c>
      <c r="R879">
        <f t="shared" si="1011"/>
        <v>164469207.39452216</v>
      </c>
      <c r="S879">
        <f t="shared" si="1012"/>
        <v>1644.6920739452216</v>
      </c>
      <c r="T879">
        <f t="shared" si="1013"/>
        <v>1.6446920739452215</v>
      </c>
    </row>
    <row r="880" spans="1:20" x14ac:dyDescent="0.25">
      <c r="A880" s="5">
        <v>43713</v>
      </c>
      <c r="B880">
        <v>0.25842999999999999</v>
      </c>
      <c r="C880">
        <v>0.25936999999999999</v>
      </c>
      <c r="D880">
        <v>0.25336999999999998</v>
      </c>
      <c r="E880">
        <v>0.25617000000000001</v>
      </c>
      <c r="F880">
        <v>43270120.299999997</v>
      </c>
      <c r="G880">
        <v>0</v>
      </c>
      <c r="L880" t="s">
        <v>8</v>
      </c>
      <c r="M880" t="s">
        <v>7</v>
      </c>
      <c r="N880" t="s">
        <v>7</v>
      </c>
      <c r="P880">
        <f t="shared" si="1009"/>
        <v>-6.6666666666659269E-2</v>
      </c>
      <c r="Q880">
        <f t="shared" si="1010"/>
        <v>-2884674.6866663462</v>
      </c>
      <c r="R880">
        <f t="shared" si="1011"/>
        <v>182792702.641121</v>
      </c>
      <c r="S880">
        <f t="shared" si="1012"/>
        <v>1827.9270264112099</v>
      </c>
      <c r="T880">
        <f t="shared" si="1013"/>
        <v>1.82792702641121</v>
      </c>
    </row>
    <row r="881" spans="1:20" x14ac:dyDescent="0.25">
      <c r="A881" s="5">
        <v>43712</v>
      </c>
      <c r="B881">
        <v>0.26251999999999998</v>
      </c>
      <c r="C881">
        <v>0.26299</v>
      </c>
      <c r="D881">
        <v>0.25597999999999999</v>
      </c>
      <c r="E881">
        <v>0.25842999999999999</v>
      </c>
      <c r="F881">
        <v>49398294.200000003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-0.30099857346647585</v>
      </c>
      <c r="Q881">
        <f t="shared" si="1010"/>
        <v>-14868816.085877288</v>
      </c>
      <c r="R881">
        <f t="shared" si="1011"/>
        <v>185677377.32778734</v>
      </c>
      <c r="S881">
        <f t="shared" si="1012"/>
        <v>1856.7737732778735</v>
      </c>
      <c r="T881">
        <f t="shared" si="1013"/>
        <v>1.8567737732778735</v>
      </c>
    </row>
    <row r="882" spans="1:20" x14ac:dyDescent="0.25">
      <c r="A882" s="5">
        <v>43711</v>
      </c>
      <c r="B882">
        <v>0.2606</v>
      </c>
      <c r="C882">
        <v>0.26700000000000002</v>
      </c>
      <c r="D882">
        <v>0.25751000000000002</v>
      </c>
      <c r="E882">
        <v>0.26241999999999999</v>
      </c>
      <c r="F882">
        <v>56305107.100000001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3.4773445732343679E-2</v>
      </c>
      <c r="Q882">
        <f t="shared" si="1010"/>
        <v>1957922.5861956489</v>
      </c>
      <c r="R882">
        <f t="shared" si="1011"/>
        <v>200546193.41366464</v>
      </c>
      <c r="S882">
        <f t="shared" si="1012"/>
        <v>2005.4619341366463</v>
      </c>
      <c r="T882">
        <f t="shared" si="1013"/>
        <v>2.0054619341366462</v>
      </c>
    </row>
    <row r="883" spans="1:20" x14ac:dyDescent="0.25">
      <c r="A883" s="5">
        <v>43710</v>
      </c>
      <c r="B883">
        <v>0.25596000000000002</v>
      </c>
      <c r="C883">
        <v>0.26428000000000001</v>
      </c>
      <c r="D883">
        <v>0.25295000000000001</v>
      </c>
      <c r="E883">
        <v>0.2606</v>
      </c>
      <c r="F883">
        <v>60783394.600000001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0.35039717563989153</v>
      </c>
      <c r="Q883">
        <f t="shared" si="1010"/>
        <v>21298329.793645035</v>
      </c>
      <c r="R883">
        <f t="shared" si="1011"/>
        <v>198588270.82746899</v>
      </c>
      <c r="S883">
        <f t="shared" si="1012"/>
        <v>1985.88270827469</v>
      </c>
      <c r="T883">
        <f t="shared" si="1013"/>
        <v>1.9858827082746899</v>
      </c>
    </row>
    <row r="884" spans="1:20" x14ac:dyDescent="0.25">
      <c r="A884" s="5">
        <v>43709</v>
      </c>
      <c r="B884">
        <v>0.25746999999999998</v>
      </c>
      <c r="C884">
        <v>0.25890999999999997</v>
      </c>
      <c r="D884">
        <v>0.25</v>
      </c>
      <c r="E884">
        <v>0.25592999999999999</v>
      </c>
      <c r="F884">
        <v>32881805.199999999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0.33108866442199963</v>
      </c>
      <c r="Q884">
        <f t="shared" si="1010"/>
        <v>10886792.967452362</v>
      </c>
      <c r="R884">
        <f t="shared" si="1011"/>
        <v>177289941.03382397</v>
      </c>
      <c r="S884">
        <f t="shared" si="1012"/>
        <v>1772.8994103382397</v>
      </c>
      <c r="T884">
        <f t="shared" si="1013"/>
        <v>1.7728994103382396</v>
      </c>
    </row>
    <row r="885" spans="1:20" x14ac:dyDescent="0.25">
      <c r="A885" s="5">
        <v>43708</v>
      </c>
      <c r="B885">
        <v>0.25541000000000003</v>
      </c>
      <c r="C885">
        <v>0.26046999999999998</v>
      </c>
      <c r="D885">
        <v>0.25287999999999999</v>
      </c>
      <c r="E885">
        <v>0.25746999999999998</v>
      </c>
      <c r="F885">
        <v>36321425.5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0.20948616600790293</v>
      </c>
      <c r="Q885">
        <f t="shared" si="1010"/>
        <v>7608836.1719366787</v>
      </c>
      <c r="R885">
        <f t="shared" si="1011"/>
        <v>166403148.06637162</v>
      </c>
      <c r="S885">
        <f t="shared" si="1012"/>
        <v>1664.0314806637161</v>
      </c>
      <c r="T885">
        <f t="shared" si="1013"/>
        <v>1.6640314806637162</v>
      </c>
    </row>
    <row r="886" spans="1:20" x14ac:dyDescent="0.25">
      <c r="A886" s="5">
        <v>43707</v>
      </c>
      <c r="B886">
        <v>0.25712000000000002</v>
      </c>
      <c r="C886">
        <v>0.2576</v>
      </c>
      <c r="D886">
        <v>0.25198999999999999</v>
      </c>
      <c r="E886">
        <v>0.25539000000000001</v>
      </c>
      <c r="F886">
        <v>46587713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0.21212121212121632</v>
      </c>
      <c r="Q886">
        <f t="shared" si="1010"/>
        <v>9882242.1515153479</v>
      </c>
      <c r="R886">
        <f t="shared" si="1011"/>
        <v>158794311.89443493</v>
      </c>
      <c r="S886">
        <f t="shared" si="1012"/>
        <v>1587.9431189443492</v>
      </c>
      <c r="T886">
        <f t="shared" si="1013"/>
        <v>1.5879431189443491</v>
      </c>
    </row>
    <row r="887" spans="1:20" x14ac:dyDescent="0.25">
      <c r="A887" s="5">
        <v>43706</v>
      </c>
      <c r="B887">
        <v>0.25613999999999998</v>
      </c>
      <c r="C887">
        <v>0.26263999999999998</v>
      </c>
      <c r="D887">
        <v>0.247</v>
      </c>
      <c r="E887">
        <v>0.25697999999999999</v>
      </c>
      <c r="F887">
        <v>74454641.400000006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0.27621483375959044</v>
      </c>
      <c r="Q887">
        <f t="shared" si="1010"/>
        <v>20565476.396930922</v>
      </c>
      <c r="R887">
        <f t="shared" si="1011"/>
        <v>148912069.74291959</v>
      </c>
      <c r="S887">
        <f t="shared" si="1012"/>
        <v>1489.1206974291958</v>
      </c>
      <c r="T887">
        <f t="shared" si="1013"/>
        <v>1.4891206974291959</v>
      </c>
    </row>
    <row r="888" spans="1:20" x14ac:dyDescent="0.25">
      <c r="A888" s="5">
        <v>43705</v>
      </c>
      <c r="B888">
        <v>0.26955000000000001</v>
      </c>
      <c r="C888">
        <v>0.26973999999999998</v>
      </c>
      <c r="D888">
        <v>0.24765000000000001</v>
      </c>
      <c r="E888">
        <v>0.25629000000000002</v>
      </c>
      <c r="F888">
        <v>55448237.700000003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-0.21774558623811496</v>
      </c>
      <c r="Q888">
        <f t="shared" si="1010"/>
        <v>-12073609.023856848</v>
      </c>
      <c r="R888">
        <f t="shared" si="1011"/>
        <v>128346593.34598866</v>
      </c>
      <c r="S888">
        <f t="shared" si="1012"/>
        <v>1283.4659334598866</v>
      </c>
      <c r="T888">
        <f t="shared" si="1013"/>
        <v>1.2834659334598866</v>
      </c>
    </row>
    <row r="889" spans="1:20" x14ac:dyDescent="0.25">
      <c r="A889" s="5">
        <v>43704</v>
      </c>
      <c r="B889">
        <v>0.27050999999999997</v>
      </c>
      <c r="C889">
        <v>0.27065</v>
      </c>
      <c r="D889">
        <v>0.26512999999999998</v>
      </c>
      <c r="E889">
        <v>0.26954</v>
      </c>
      <c r="F889">
        <v>34119040.899999999</v>
      </c>
      <c r="G889">
        <v>0</v>
      </c>
      <c r="L889" t="s">
        <v>8</v>
      </c>
      <c r="M889" t="s">
        <v>7</v>
      </c>
      <c r="N889" t="s">
        <v>7</v>
      </c>
      <c r="P889">
        <f t="shared" si="1009"/>
        <v>0.59782608695652362</v>
      </c>
      <c r="Q889">
        <f t="shared" si="1010"/>
        <v>20397252.711956587</v>
      </c>
      <c r="R889">
        <f t="shared" si="1011"/>
        <v>140420202.36984551</v>
      </c>
      <c r="S889">
        <f t="shared" si="1012"/>
        <v>1404.2020236984552</v>
      </c>
      <c r="T889">
        <f t="shared" si="1013"/>
        <v>1.4042020236984551</v>
      </c>
    </row>
    <row r="890" spans="1:20" x14ac:dyDescent="0.25">
      <c r="A890" s="5">
        <v>43703</v>
      </c>
      <c r="B890">
        <v>0.26961000000000002</v>
      </c>
      <c r="C890">
        <v>0.27968999999999999</v>
      </c>
      <c r="D890">
        <v>0.26704</v>
      </c>
      <c r="E890">
        <v>0.27050999999999997</v>
      </c>
      <c r="F890">
        <v>59046898.899999999</v>
      </c>
      <c r="G890">
        <v>0</v>
      </c>
      <c r="L890" t="s">
        <v>8</v>
      </c>
      <c r="M890" t="s">
        <v>7</v>
      </c>
      <c r="N890" t="s">
        <v>7</v>
      </c>
      <c r="P890">
        <f t="shared" si="1009"/>
        <v>-0.45138339920949017</v>
      </c>
      <c r="Q890">
        <f t="shared" si="1010"/>
        <v>-26652789.938261107</v>
      </c>
      <c r="R890">
        <f t="shared" si="1011"/>
        <v>120022949.65788893</v>
      </c>
      <c r="S890">
        <f t="shared" si="1012"/>
        <v>1200.2294965788894</v>
      </c>
      <c r="T890">
        <f t="shared" si="1013"/>
        <v>1.2002294965788893</v>
      </c>
    </row>
    <row r="891" spans="1:20" x14ac:dyDescent="0.25">
      <c r="A891" s="5">
        <v>43702</v>
      </c>
      <c r="B891">
        <v>0.27149000000000001</v>
      </c>
      <c r="C891">
        <v>0.27601999999999999</v>
      </c>
      <c r="D891">
        <v>0.26596999999999998</v>
      </c>
      <c r="E891">
        <v>0.26954</v>
      </c>
      <c r="F891">
        <v>45191941.200000003</v>
      </c>
      <c r="G891">
        <v>0</v>
      </c>
      <c r="L891" t="s">
        <v>8</v>
      </c>
      <c r="M891" t="s">
        <v>7</v>
      </c>
      <c r="N891" t="s">
        <v>7</v>
      </c>
      <c r="P891">
        <f t="shared" si="1009"/>
        <v>-0.28955223880596687</v>
      </c>
      <c r="Q891">
        <f t="shared" si="1010"/>
        <v>-13085427.750447614</v>
      </c>
      <c r="R891">
        <f t="shared" si="1011"/>
        <v>146675739.59615004</v>
      </c>
      <c r="S891">
        <f t="shared" si="1012"/>
        <v>1466.7573959615004</v>
      </c>
      <c r="T891">
        <f t="shared" si="1013"/>
        <v>1.4667573959615003</v>
      </c>
    </row>
    <row r="892" spans="1:20" x14ac:dyDescent="0.25">
      <c r="A892" s="5">
        <v>43701</v>
      </c>
      <c r="B892">
        <v>0.27662999999999999</v>
      </c>
      <c r="C892">
        <v>0.27726000000000001</v>
      </c>
      <c r="D892">
        <v>0.26369999999999999</v>
      </c>
      <c r="E892">
        <v>0.27137</v>
      </c>
      <c r="F892">
        <v>42809616.799999997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0.13126843657817122</v>
      </c>
      <c r="Q892">
        <f t="shared" si="1010"/>
        <v>5619551.4678466124</v>
      </c>
      <c r="R892">
        <f t="shared" si="1011"/>
        <v>159761167.34659764</v>
      </c>
      <c r="S892">
        <f t="shared" si="1012"/>
        <v>1597.6116734659763</v>
      </c>
      <c r="T892">
        <f t="shared" si="1013"/>
        <v>1.5976116734659762</v>
      </c>
    </row>
    <row r="893" spans="1:20" x14ac:dyDescent="0.25">
      <c r="A893" s="5">
        <v>43700</v>
      </c>
      <c r="B893">
        <v>0.27038000000000001</v>
      </c>
      <c r="C893">
        <v>0.27815000000000001</v>
      </c>
      <c r="D893">
        <v>0.26727000000000001</v>
      </c>
      <c r="E893">
        <v>0.27664</v>
      </c>
      <c r="F893">
        <v>45140229.600000001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0.72242647058823328</v>
      </c>
      <c r="Q893">
        <f t="shared" si="1010"/>
        <v>32610496.751470499</v>
      </c>
      <c r="R893">
        <f t="shared" si="1011"/>
        <v>154141615.87875104</v>
      </c>
      <c r="S893">
        <f t="shared" si="1012"/>
        <v>1541.4161587875103</v>
      </c>
      <c r="T893">
        <f t="shared" si="1013"/>
        <v>1.5414161587875104</v>
      </c>
    </row>
    <row r="894" spans="1:20" x14ac:dyDescent="0.25">
      <c r="A894" s="5">
        <v>43699</v>
      </c>
      <c r="B894">
        <v>0.26589000000000002</v>
      </c>
      <c r="C894">
        <v>0.27418999999999999</v>
      </c>
      <c r="D894">
        <v>0.26028000000000001</v>
      </c>
      <c r="E894">
        <v>0.27039000000000002</v>
      </c>
      <c r="F894">
        <v>58263968.5</v>
      </c>
      <c r="G894">
        <v>0</v>
      </c>
      <c r="L894" t="s">
        <v>7</v>
      </c>
      <c r="M894" t="s">
        <v>7</v>
      </c>
      <c r="N894" t="s">
        <v>7</v>
      </c>
      <c r="P894">
        <f t="shared" si="1009"/>
        <v>0.45363048166786829</v>
      </c>
      <c r="Q894">
        <f t="shared" si="1010"/>
        <v>26430312.094536506</v>
      </c>
      <c r="R894">
        <f t="shared" si="1011"/>
        <v>121531119.12728053</v>
      </c>
      <c r="S894">
        <f t="shared" si="1012"/>
        <v>1215.3111912728054</v>
      </c>
      <c r="T894">
        <f t="shared" si="1013"/>
        <v>1.2153111912728054</v>
      </c>
    </row>
    <row r="895" spans="1:20" x14ac:dyDescent="0.25">
      <c r="A895" s="5">
        <v>43698</v>
      </c>
      <c r="B895">
        <v>0.27432000000000001</v>
      </c>
      <c r="C895">
        <v>0.27448</v>
      </c>
      <c r="D895">
        <v>0.25871</v>
      </c>
      <c r="E895">
        <v>0.26589000000000002</v>
      </c>
      <c r="F895">
        <v>60607962.299999997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-8.941027266962373E-2</v>
      </c>
      <c r="Q895">
        <f t="shared" ref="Q895:Q958" si="1015">F895*P895</f>
        <v>-5418974.4351932751</v>
      </c>
      <c r="R895">
        <f t="shared" ref="R895:R958" si="1016">R896+Q895</f>
        <v>95100807.03274402</v>
      </c>
      <c r="S895">
        <f t="shared" ref="S895:S958" si="1017">R895/100000</f>
        <v>951.00807032744024</v>
      </c>
      <c r="T895">
        <f t="shared" ref="T895:T958" si="1018">S895/1000</f>
        <v>0.95100807032744028</v>
      </c>
    </row>
    <row r="896" spans="1:20" x14ac:dyDescent="0.25">
      <c r="A896" s="5">
        <v>43697</v>
      </c>
      <c r="B896">
        <v>0.28194999999999998</v>
      </c>
      <c r="C896">
        <v>0.28233999999999998</v>
      </c>
      <c r="D896">
        <v>0.26960000000000001</v>
      </c>
      <c r="E896">
        <v>0.27432000000000001</v>
      </c>
      <c r="F896">
        <v>49280235.200000003</v>
      </c>
      <c r="G896">
        <v>0</v>
      </c>
      <c r="L896" t="s">
        <v>7</v>
      </c>
      <c r="M896" t="s">
        <v>7</v>
      </c>
      <c r="N896" t="s">
        <v>7</v>
      </c>
      <c r="P896">
        <f t="shared" si="1014"/>
        <v>-0.25902668759811431</v>
      </c>
      <c r="Q896">
        <f t="shared" si="1015"/>
        <v>-12764896.087911997</v>
      </c>
      <c r="R896">
        <f t="shared" si="1016"/>
        <v>100519781.46793729</v>
      </c>
      <c r="S896">
        <f t="shared" si="1017"/>
        <v>1005.1978146793729</v>
      </c>
      <c r="T896">
        <f t="shared" si="1018"/>
        <v>1.005197814679373</v>
      </c>
    </row>
    <row r="897" spans="1:20" x14ac:dyDescent="0.25">
      <c r="A897" s="5">
        <v>43696</v>
      </c>
      <c r="B897">
        <v>0.28321000000000002</v>
      </c>
      <c r="C897">
        <v>0.29035</v>
      </c>
      <c r="D897">
        <v>0.27557999999999999</v>
      </c>
      <c r="E897">
        <v>0.28201999999999999</v>
      </c>
      <c r="F897">
        <v>69411983.5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-0.12796208530805703</v>
      </c>
      <c r="Q897">
        <f t="shared" si="1015"/>
        <v>-8882102.1540284473</v>
      </c>
      <c r="R897">
        <f t="shared" si="1016"/>
        <v>113284677.55584928</v>
      </c>
      <c r="S897">
        <f t="shared" si="1017"/>
        <v>1132.8467755584929</v>
      </c>
      <c r="T897">
        <f t="shared" si="1018"/>
        <v>1.132846775558493</v>
      </c>
    </row>
    <row r="898" spans="1:20" x14ac:dyDescent="0.25">
      <c r="A898" s="5">
        <v>43695</v>
      </c>
      <c r="B898">
        <v>0.26534999999999997</v>
      </c>
      <c r="C898">
        <v>0.29189999999999999</v>
      </c>
      <c r="D898">
        <v>0.26352999999999999</v>
      </c>
      <c r="E898">
        <v>0.28320000000000001</v>
      </c>
      <c r="F898">
        <v>87006862.599999994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0.38667606626718481</v>
      </c>
      <c r="Q898">
        <f t="shared" si="1015"/>
        <v>33643471.368417442</v>
      </c>
      <c r="R898">
        <f t="shared" si="1016"/>
        <v>122166779.70987773</v>
      </c>
      <c r="S898">
        <f t="shared" si="1017"/>
        <v>1221.6677970987773</v>
      </c>
      <c r="T898">
        <f t="shared" si="1018"/>
        <v>1.2216677970987773</v>
      </c>
    </row>
    <row r="899" spans="1:20" x14ac:dyDescent="0.25">
      <c r="A899" s="5">
        <v>43694</v>
      </c>
      <c r="B899">
        <v>0.26029000000000002</v>
      </c>
      <c r="C899">
        <v>0.26952999999999999</v>
      </c>
      <c r="D899">
        <v>0.25647999999999999</v>
      </c>
      <c r="E899">
        <v>0.26545999999999997</v>
      </c>
      <c r="F899">
        <v>56461024.899999999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0.37624521072796685</v>
      </c>
      <c r="Q899">
        <f t="shared" si="1015"/>
        <v>21243190.211417481</v>
      </c>
      <c r="R899">
        <f t="shared" si="1016"/>
        <v>88523308.341460288</v>
      </c>
      <c r="S899">
        <f t="shared" si="1017"/>
        <v>885.2330834146029</v>
      </c>
      <c r="T899">
        <f t="shared" si="1018"/>
        <v>0.88523308341460294</v>
      </c>
    </row>
    <row r="900" spans="1:20" x14ac:dyDescent="0.25">
      <c r="A900" s="5">
        <v>43693</v>
      </c>
      <c r="B900">
        <v>0.26391999999999999</v>
      </c>
      <c r="C900">
        <v>0.26526</v>
      </c>
      <c r="D900">
        <v>0.25395000000000001</v>
      </c>
      <c r="E900">
        <v>0.26046999999999998</v>
      </c>
      <c r="F900">
        <v>66289982.600000001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0.15296198054818355</v>
      </c>
      <c r="Q900">
        <f t="shared" si="1015"/>
        <v>10139847.029000627</v>
      </c>
      <c r="R900">
        <f t="shared" si="1016"/>
        <v>67280118.130042806</v>
      </c>
      <c r="S900">
        <f t="shared" si="1017"/>
        <v>672.80118130042808</v>
      </c>
      <c r="T900">
        <f t="shared" si="1018"/>
        <v>0.6728011813004281</v>
      </c>
    </row>
    <row r="901" spans="1:20" x14ac:dyDescent="0.25">
      <c r="A901" s="5">
        <v>43692</v>
      </c>
      <c r="B901">
        <v>0.26346000000000003</v>
      </c>
      <c r="C901">
        <v>0.2707</v>
      </c>
      <c r="D901">
        <v>0.25874999999999998</v>
      </c>
      <c r="E901">
        <v>0.26378000000000001</v>
      </c>
      <c r="F901">
        <v>72594115.099999994</v>
      </c>
      <c r="G901">
        <v>0</v>
      </c>
      <c r="L901" t="s">
        <v>8</v>
      </c>
      <c r="M901" t="s">
        <v>7</v>
      </c>
      <c r="N901" t="s">
        <v>7</v>
      </c>
      <c r="P901">
        <f t="shared" si="1014"/>
        <v>-0.15815899581589496</v>
      </c>
      <c r="Q901">
        <f t="shared" si="1015"/>
        <v>-11481412.346359497</v>
      </c>
      <c r="R901">
        <f t="shared" si="1016"/>
        <v>57140271.101042174</v>
      </c>
      <c r="S901">
        <f t="shared" si="1017"/>
        <v>571.40271101042174</v>
      </c>
      <c r="T901">
        <f t="shared" si="1018"/>
        <v>0.57140271101042173</v>
      </c>
    </row>
    <row r="902" spans="1:20" x14ac:dyDescent="0.25">
      <c r="A902" s="5">
        <v>43691</v>
      </c>
      <c r="B902">
        <v>0.29794999999999999</v>
      </c>
      <c r="C902">
        <v>0.29864000000000002</v>
      </c>
      <c r="D902">
        <v>0.24299999999999999</v>
      </c>
      <c r="E902">
        <v>0.26352999999999999</v>
      </c>
      <c r="F902">
        <v>142518597.09999999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-0.26204169662113641</v>
      </c>
      <c r="Q902">
        <f t="shared" si="1015"/>
        <v>-37345814.984148167</v>
      </c>
      <c r="R902">
        <f t="shared" si="1016"/>
        <v>68621683.447401673</v>
      </c>
      <c r="S902">
        <f t="shared" si="1017"/>
        <v>686.21683447401676</v>
      </c>
      <c r="T902">
        <f t="shared" si="1018"/>
        <v>0.68621683447401671</v>
      </c>
    </row>
    <row r="903" spans="1:20" x14ac:dyDescent="0.25">
      <c r="A903" s="5">
        <v>43690</v>
      </c>
      <c r="B903">
        <v>0.30059999999999998</v>
      </c>
      <c r="C903">
        <v>0.30129</v>
      </c>
      <c r="D903">
        <v>0.29294999999999999</v>
      </c>
      <c r="E903">
        <v>0.29799999999999999</v>
      </c>
      <c r="F903">
        <v>32483448.899999999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0.21103117505994973</v>
      </c>
      <c r="Q903">
        <f t="shared" si="1015"/>
        <v>6855020.391366831</v>
      </c>
      <c r="R903">
        <f t="shared" si="1016"/>
        <v>105967498.43154985</v>
      </c>
      <c r="S903">
        <f t="shared" si="1017"/>
        <v>1059.6749843154985</v>
      </c>
      <c r="T903">
        <f t="shared" si="1018"/>
        <v>1.0596749843154984</v>
      </c>
    </row>
    <row r="904" spans="1:20" x14ac:dyDescent="0.25">
      <c r="A904" s="5">
        <v>43689</v>
      </c>
      <c r="B904">
        <v>0.30315999999999999</v>
      </c>
      <c r="C904">
        <v>0.30536000000000002</v>
      </c>
      <c r="D904">
        <v>0.29799999999999999</v>
      </c>
      <c r="E904">
        <v>0.30059999999999998</v>
      </c>
      <c r="F904">
        <v>26440605.699999999</v>
      </c>
      <c r="G904">
        <v>0</v>
      </c>
      <c r="L904" t="s">
        <v>7</v>
      </c>
      <c r="M904" t="s">
        <v>7</v>
      </c>
      <c r="N904" t="s">
        <v>7</v>
      </c>
      <c r="P904">
        <f t="shared" si="1014"/>
        <v>-0.2934782608695708</v>
      </c>
      <c r="Q904">
        <f t="shared" si="1015"/>
        <v>-7759742.9771740604</v>
      </c>
      <c r="R904">
        <f t="shared" si="1016"/>
        <v>99112478.040183023</v>
      </c>
      <c r="S904">
        <f t="shared" si="1017"/>
        <v>991.12478040183021</v>
      </c>
      <c r="T904">
        <f t="shared" si="1018"/>
        <v>0.99112478040183016</v>
      </c>
    </row>
    <row r="905" spans="1:20" x14ac:dyDescent="0.25">
      <c r="A905" s="5">
        <v>43688</v>
      </c>
      <c r="B905">
        <v>0.29907</v>
      </c>
      <c r="C905">
        <v>0.30604999999999999</v>
      </c>
      <c r="D905">
        <v>0.29500999999999999</v>
      </c>
      <c r="E905">
        <v>0.30315999999999999</v>
      </c>
      <c r="F905">
        <v>36131805.200000003</v>
      </c>
      <c r="G905">
        <v>0</v>
      </c>
      <c r="L905" t="s">
        <v>7</v>
      </c>
      <c r="M905" t="s">
        <v>7</v>
      </c>
      <c r="N905" t="s">
        <v>7</v>
      </c>
      <c r="P905">
        <f t="shared" si="1014"/>
        <v>0.4764492753623179</v>
      </c>
      <c r="Q905">
        <f t="shared" si="1015"/>
        <v>17214972.405072432</v>
      </c>
      <c r="R905">
        <f t="shared" si="1016"/>
        <v>106872221.01735708</v>
      </c>
      <c r="S905">
        <f t="shared" si="1017"/>
        <v>1068.7222101735708</v>
      </c>
      <c r="T905">
        <f t="shared" si="1018"/>
        <v>1.0687222101735707</v>
      </c>
    </row>
    <row r="906" spans="1:20" x14ac:dyDescent="0.25">
      <c r="A906" s="5">
        <v>43687</v>
      </c>
      <c r="B906">
        <v>0.29649999999999999</v>
      </c>
      <c r="C906">
        <v>0.30562</v>
      </c>
      <c r="D906">
        <v>0.29237000000000002</v>
      </c>
      <c r="E906">
        <v>0.29918</v>
      </c>
      <c r="F906">
        <v>58253124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2.7924528301885427E-2</v>
      </c>
      <c r="Q906">
        <f t="shared" si="1015"/>
        <v>1626691.0098112412</v>
      </c>
      <c r="R906">
        <f t="shared" si="1016"/>
        <v>89657248.612284645</v>
      </c>
      <c r="S906">
        <f t="shared" si="1017"/>
        <v>896.5724861228465</v>
      </c>
      <c r="T906">
        <f t="shared" si="1018"/>
        <v>0.89657248612284646</v>
      </c>
    </row>
    <row r="907" spans="1:20" x14ac:dyDescent="0.25">
      <c r="A907" s="5">
        <v>43686</v>
      </c>
      <c r="B907">
        <v>0.30823</v>
      </c>
      <c r="C907">
        <v>0.30920999999999998</v>
      </c>
      <c r="D907">
        <v>0.29010000000000002</v>
      </c>
      <c r="E907">
        <v>0.29648999999999998</v>
      </c>
      <c r="F907">
        <v>57778056.399999999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-0.33124018838304925</v>
      </c>
      <c r="Q907">
        <f t="shared" si="1015"/>
        <v>-19138414.286342442</v>
      </c>
      <c r="R907">
        <f t="shared" si="1016"/>
        <v>88030557.602473408</v>
      </c>
      <c r="S907">
        <f t="shared" si="1017"/>
        <v>880.30557602473402</v>
      </c>
      <c r="T907">
        <f t="shared" si="1018"/>
        <v>0.88030557602473403</v>
      </c>
    </row>
    <row r="908" spans="1:20" x14ac:dyDescent="0.25">
      <c r="A908" s="5">
        <v>43685</v>
      </c>
      <c r="B908">
        <v>0.31092999999999998</v>
      </c>
      <c r="C908">
        <v>0.31203999999999998</v>
      </c>
      <c r="D908">
        <v>0.30452000000000001</v>
      </c>
      <c r="E908">
        <v>0.30825000000000002</v>
      </c>
      <c r="F908">
        <v>57294619.100000001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-7.9787234042485652E-3</v>
      </c>
      <c r="Q908">
        <f t="shared" si="1015"/>
        <v>-457137.91835067689</v>
      </c>
      <c r="R908">
        <f t="shared" si="1016"/>
        <v>107168971.88881585</v>
      </c>
      <c r="S908">
        <f t="shared" si="1017"/>
        <v>1071.6897188881585</v>
      </c>
      <c r="T908">
        <f t="shared" si="1018"/>
        <v>1.0716897188881584</v>
      </c>
    </row>
    <row r="909" spans="1:20" x14ac:dyDescent="0.25">
      <c r="A909" s="5">
        <v>43684</v>
      </c>
      <c r="B909">
        <v>0.31159999999999999</v>
      </c>
      <c r="C909">
        <v>0.31688</v>
      </c>
      <c r="D909">
        <v>0.30693999999999999</v>
      </c>
      <c r="E909">
        <v>0.31108999999999998</v>
      </c>
      <c r="F909">
        <v>60660819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-0.16498993963782993</v>
      </c>
      <c r="Q909">
        <f t="shared" si="1015"/>
        <v>-10008424.865191327</v>
      </c>
      <c r="R909">
        <f t="shared" si="1016"/>
        <v>107626109.80716653</v>
      </c>
      <c r="S909">
        <f t="shared" si="1017"/>
        <v>1076.2610980716654</v>
      </c>
      <c r="T909">
        <f t="shared" si="1018"/>
        <v>1.0762610980716654</v>
      </c>
    </row>
    <row r="910" spans="1:20" x14ac:dyDescent="0.25">
      <c r="A910" s="5">
        <v>43683</v>
      </c>
      <c r="B910">
        <v>0.32232</v>
      </c>
      <c r="C910">
        <v>0.32421</v>
      </c>
      <c r="D910">
        <v>0.308</v>
      </c>
      <c r="E910">
        <v>0.31159999999999999</v>
      </c>
      <c r="F910">
        <v>73359257.900000006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-0.55582973473164821</v>
      </c>
      <c r="Q910">
        <f t="shared" si="1015"/>
        <v>-40775256.858667575</v>
      </c>
      <c r="R910">
        <f t="shared" si="1016"/>
        <v>117634534.67235786</v>
      </c>
      <c r="S910">
        <f t="shared" si="1017"/>
        <v>1176.3453467235786</v>
      </c>
      <c r="T910">
        <f t="shared" si="1018"/>
        <v>1.1763453467235785</v>
      </c>
    </row>
    <row r="911" spans="1:20" x14ac:dyDescent="0.25">
      <c r="A911" s="5">
        <v>43682</v>
      </c>
      <c r="B911">
        <v>0.31823000000000001</v>
      </c>
      <c r="C911">
        <v>0.33100000000000002</v>
      </c>
      <c r="D911">
        <v>0.31797999999999998</v>
      </c>
      <c r="E911">
        <v>0.32241999999999998</v>
      </c>
      <c r="F911">
        <v>86161482</v>
      </c>
      <c r="G911">
        <v>0</v>
      </c>
      <c r="L911" t="s">
        <v>8</v>
      </c>
      <c r="M911" t="s">
        <v>7</v>
      </c>
      <c r="N911" t="s">
        <v>7</v>
      </c>
      <c r="P911">
        <f t="shared" si="1014"/>
        <v>-0.31797235023041648</v>
      </c>
      <c r="Q911">
        <f t="shared" si="1015"/>
        <v>-27396968.930875726</v>
      </c>
      <c r="R911">
        <f t="shared" si="1016"/>
        <v>158409791.53102544</v>
      </c>
      <c r="S911">
        <f t="shared" si="1017"/>
        <v>1584.0979153102544</v>
      </c>
      <c r="T911">
        <f t="shared" si="1018"/>
        <v>1.5840979153102543</v>
      </c>
    </row>
    <row r="912" spans="1:20" x14ac:dyDescent="0.25">
      <c r="A912" s="5">
        <v>43681</v>
      </c>
      <c r="B912">
        <v>0.31595000000000001</v>
      </c>
      <c r="C912">
        <v>0.32297999999999999</v>
      </c>
      <c r="D912">
        <v>0.31180999999999998</v>
      </c>
      <c r="E912">
        <v>0.31813000000000002</v>
      </c>
      <c r="F912">
        <v>52990179.100000001</v>
      </c>
      <c r="G912">
        <v>0</v>
      </c>
      <c r="L912" t="s">
        <v>8</v>
      </c>
      <c r="M912" t="s">
        <v>7</v>
      </c>
      <c r="N912" t="s">
        <v>7</v>
      </c>
      <c r="P912">
        <f t="shared" si="1014"/>
        <v>0.13160250671442084</v>
      </c>
      <c r="Q912">
        <f t="shared" si="1015"/>
        <v>6973640.4008061131</v>
      </c>
      <c r="R912">
        <f t="shared" si="1016"/>
        <v>185806760.46190116</v>
      </c>
      <c r="S912">
        <f t="shared" si="1017"/>
        <v>1858.0676046190115</v>
      </c>
      <c r="T912">
        <f t="shared" si="1018"/>
        <v>1.8580676046190114</v>
      </c>
    </row>
    <row r="913" spans="1:20" x14ac:dyDescent="0.25">
      <c r="A913" s="5">
        <v>43680</v>
      </c>
      <c r="B913">
        <v>0.31169999999999998</v>
      </c>
      <c r="C913">
        <v>0.31746999999999997</v>
      </c>
      <c r="D913">
        <v>0.31091000000000002</v>
      </c>
      <c r="E913">
        <v>0.31596000000000002</v>
      </c>
      <c r="F913">
        <v>39924755.200000003</v>
      </c>
      <c r="G913">
        <v>0</v>
      </c>
      <c r="L913" t="s">
        <v>8</v>
      </c>
      <c r="M913" t="s">
        <v>7</v>
      </c>
      <c r="N913" t="s">
        <v>7</v>
      </c>
      <c r="P913">
        <f t="shared" si="1014"/>
        <v>0.53963414634147366</v>
      </c>
      <c r="Q913">
        <f t="shared" si="1015"/>
        <v>21544761.190244313</v>
      </c>
      <c r="R913">
        <f t="shared" si="1016"/>
        <v>178833120.06109506</v>
      </c>
      <c r="S913">
        <f t="shared" si="1017"/>
        <v>1788.3312006109506</v>
      </c>
      <c r="T913">
        <f t="shared" si="1018"/>
        <v>1.7883312006109506</v>
      </c>
    </row>
    <row r="914" spans="1:20" x14ac:dyDescent="0.25">
      <c r="A914" s="5">
        <v>43679</v>
      </c>
      <c r="B914">
        <v>0.31553999999999999</v>
      </c>
      <c r="C914">
        <v>0.31785000000000002</v>
      </c>
      <c r="D914">
        <v>0.30836000000000002</v>
      </c>
      <c r="E914">
        <v>0.31178</v>
      </c>
      <c r="F914">
        <v>43108296.299999997</v>
      </c>
      <c r="G914">
        <v>0</v>
      </c>
      <c r="L914" t="s">
        <v>8</v>
      </c>
      <c r="M914" t="s">
        <v>7</v>
      </c>
      <c r="N914" t="s">
        <v>7</v>
      </c>
      <c r="P914">
        <f t="shared" si="1014"/>
        <v>-0.27924130663857127</v>
      </c>
      <c r="Q914">
        <f t="shared" si="1015"/>
        <v>-12037616.985774687</v>
      </c>
      <c r="R914">
        <f t="shared" si="1016"/>
        <v>157288358.87085074</v>
      </c>
      <c r="S914">
        <f t="shared" si="1017"/>
        <v>1572.8835887085074</v>
      </c>
      <c r="T914">
        <f t="shared" si="1018"/>
        <v>1.5728835887085075</v>
      </c>
    </row>
    <row r="915" spans="1:20" x14ac:dyDescent="0.25">
      <c r="A915" s="5">
        <v>43678</v>
      </c>
      <c r="B915">
        <v>0.31950000000000001</v>
      </c>
      <c r="C915">
        <v>0.31990000000000002</v>
      </c>
      <c r="D915">
        <v>0.31140000000000001</v>
      </c>
      <c r="E915">
        <v>0.31574999999999998</v>
      </c>
      <c r="F915">
        <v>46026847.5</v>
      </c>
      <c r="G915">
        <v>0</v>
      </c>
      <c r="L915" t="s">
        <v>8</v>
      </c>
      <c r="M915" t="s">
        <v>7</v>
      </c>
      <c r="N915" t="s">
        <v>7</v>
      </c>
      <c r="P915">
        <f t="shared" si="1014"/>
        <v>2.352941176469674E-2</v>
      </c>
      <c r="Q915">
        <f t="shared" si="1015"/>
        <v>1082984.6470584027</v>
      </c>
      <c r="R915">
        <f t="shared" si="1016"/>
        <v>169325975.85662544</v>
      </c>
      <c r="S915">
        <f t="shared" si="1017"/>
        <v>1693.2597585662543</v>
      </c>
      <c r="T915">
        <f t="shared" si="1018"/>
        <v>1.6932597585662543</v>
      </c>
    </row>
    <row r="916" spans="1:20" x14ac:dyDescent="0.25">
      <c r="A916" s="5">
        <v>43677</v>
      </c>
      <c r="B916">
        <v>0.31811</v>
      </c>
      <c r="C916">
        <v>0.32347999999999999</v>
      </c>
      <c r="D916">
        <v>0.31509999999999999</v>
      </c>
      <c r="E916">
        <v>0.31958999999999999</v>
      </c>
      <c r="F916">
        <v>48948448.5</v>
      </c>
      <c r="G916">
        <v>0</v>
      </c>
      <c r="L916" t="s">
        <v>8</v>
      </c>
      <c r="M916" t="s">
        <v>7</v>
      </c>
      <c r="N916" t="s">
        <v>7</v>
      </c>
      <c r="P916">
        <f t="shared" si="1014"/>
        <v>7.1599045346060805E-2</v>
      </c>
      <c r="Q916">
        <f t="shared" si="1015"/>
        <v>3504662.1837708219</v>
      </c>
      <c r="R916">
        <f t="shared" si="1016"/>
        <v>168242991.20956704</v>
      </c>
      <c r="S916">
        <f t="shared" si="1017"/>
        <v>1682.4299120956705</v>
      </c>
      <c r="T916">
        <f t="shared" si="1018"/>
        <v>1.6824299120956705</v>
      </c>
    </row>
    <row r="917" spans="1:20" x14ac:dyDescent="0.25">
      <c r="A917" s="5">
        <v>43676</v>
      </c>
      <c r="B917">
        <v>0.31003999999999998</v>
      </c>
      <c r="C917">
        <v>0.32213000000000003</v>
      </c>
      <c r="D917">
        <v>0.30664999999999998</v>
      </c>
      <c r="E917">
        <v>0.31823000000000001</v>
      </c>
      <c r="F917">
        <v>52340164.100000001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0.49612403100775165</v>
      </c>
      <c r="Q917">
        <f t="shared" si="1015"/>
        <v>25967213.196899209</v>
      </c>
      <c r="R917">
        <f t="shared" si="1016"/>
        <v>164738329.0257962</v>
      </c>
      <c r="S917">
        <f t="shared" si="1017"/>
        <v>1647.383290257962</v>
      </c>
      <c r="T917">
        <f t="shared" si="1018"/>
        <v>1.6473832902579619</v>
      </c>
    </row>
    <row r="918" spans="1:20" x14ac:dyDescent="0.25">
      <c r="A918" s="5">
        <v>43675</v>
      </c>
      <c r="B918">
        <v>0.31217</v>
      </c>
      <c r="C918">
        <v>0.31478</v>
      </c>
      <c r="D918">
        <v>0.30599999999999999</v>
      </c>
      <c r="E918">
        <v>0.31003999999999998</v>
      </c>
      <c r="F918">
        <v>39176999</v>
      </c>
      <c r="G918">
        <v>0</v>
      </c>
      <c r="L918" t="s">
        <v>7</v>
      </c>
      <c r="M918" t="s">
        <v>7</v>
      </c>
      <c r="N918" t="s">
        <v>7</v>
      </c>
      <c r="P918">
        <f t="shared" si="1014"/>
        <v>-7.9726651480641592E-2</v>
      </c>
      <c r="Q918">
        <f t="shared" si="1015"/>
        <v>-3123450.9453304443</v>
      </c>
      <c r="R918">
        <f t="shared" si="1016"/>
        <v>138771115.828897</v>
      </c>
      <c r="S918">
        <f t="shared" si="1017"/>
        <v>1387.71115828897</v>
      </c>
      <c r="T918">
        <f t="shared" si="1018"/>
        <v>1.3877111582889698</v>
      </c>
    </row>
    <row r="919" spans="1:20" x14ac:dyDescent="0.25">
      <c r="A919" s="5">
        <v>43674</v>
      </c>
      <c r="B919">
        <v>0.30965999999999999</v>
      </c>
      <c r="C919">
        <v>0.31478</v>
      </c>
      <c r="D919">
        <v>0.3</v>
      </c>
      <c r="E919">
        <v>0.31218000000000001</v>
      </c>
      <c r="F919">
        <v>42792457.700000003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0.64817320703653747</v>
      </c>
      <c r="Q919">
        <f t="shared" si="1015"/>
        <v>27736924.544384375</v>
      </c>
      <c r="R919">
        <f t="shared" si="1016"/>
        <v>141894566.77422744</v>
      </c>
      <c r="S919">
        <f t="shared" si="1017"/>
        <v>1418.9456677422745</v>
      </c>
      <c r="T919">
        <f t="shared" si="1018"/>
        <v>1.4189456677422745</v>
      </c>
    </row>
    <row r="920" spans="1:20" x14ac:dyDescent="0.25">
      <c r="A920" s="5">
        <v>43673</v>
      </c>
      <c r="B920">
        <v>0.32302999999999998</v>
      </c>
      <c r="C920">
        <v>0.32621</v>
      </c>
      <c r="D920">
        <v>0.3054</v>
      </c>
      <c r="E920">
        <v>0.30964999999999998</v>
      </c>
      <c r="F920">
        <v>64056737.5</v>
      </c>
      <c r="G920">
        <v>0</v>
      </c>
      <c r="L920" t="s">
        <v>8</v>
      </c>
      <c r="M920" t="s">
        <v>7</v>
      </c>
      <c r="N920" t="s">
        <v>7</v>
      </c>
      <c r="P920">
        <f t="shared" si="1014"/>
        <v>-0.59154252763094883</v>
      </c>
      <c r="Q920">
        <f t="shared" si="1015"/>
        <v>-37892284.412542187</v>
      </c>
      <c r="R920">
        <f t="shared" si="1016"/>
        <v>114157642.22984305</v>
      </c>
      <c r="S920">
        <f t="shared" si="1017"/>
        <v>1141.5764222984305</v>
      </c>
      <c r="T920">
        <f t="shared" si="1018"/>
        <v>1.1415764222984306</v>
      </c>
    </row>
    <row r="921" spans="1:20" x14ac:dyDescent="0.25">
      <c r="A921" s="5">
        <v>43672</v>
      </c>
      <c r="B921">
        <v>0.31331999999999999</v>
      </c>
      <c r="C921">
        <v>0.32513999999999998</v>
      </c>
      <c r="D921">
        <v>0.307</v>
      </c>
      <c r="E921">
        <v>0.32302999999999998</v>
      </c>
      <c r="F921">
        <v>55029583.799999997</v>
      </c>
      <c r="G921">
        <v>0</v>
      </c>
      <c r="L921" t="s">
        <v>8</v>
      </c>
      <c r="M921" t="s">
        <v>7</v>
      </c>
      <c r="N921" t="s">
        <v>7</v>
      </c>
      <c r="P921">
        <f t="shared" si="1014"/>
        <v>0.76736493936052896</v>
      </c>
      <c r="Q921">
        <f t="shared" si="1015"/>
        <v>42227773.235722147</v>
      </c>
      <c r="R921">
        <f t="shared" si="1016"/>
        <v>152049926.64238524</v>
      </c>
      <c r="S921">
        <f t="shared" si="1017"/>
        <v>1520.4992664238525</v>
      </c>
      <c r="T921">
        <f t="shared" si="1018"/>
        <v>1.5204992664238526</v>
      </c>
    </row>
    <row r="922" spans="1:20" x14ac:dyDescent="0.25">
      <c r="A922" s="5">
        <v>43671</v>
      </c>
      <c r="B922">
        <v>0.31546999999999997</v>
      </c>
      <c r="C922">
        <v>0.32300000000000001</v>
      </c>
      <c r="D922">
        <v>0.31117</v>
      </c>
      <c r="E922">
        <v>0.31335000000000002</v>
      </c>
      <c r="F922">
        <v>54892791.700000003</v>
      </c>
      <c r="G922">
        <v>0</v>
      </c>
      <c r="L922" t="s">
        <v>7</v>
      </c>
      <c r="M922" t="s">
        <v>7</v>
      </c>
      <c r="N922" t="s">
        <v>7</v>
      </c>
      <c r="P922">
        <f t="shared" si="1014"/>
        <v>-0.63144547759932135</v>
      </c>
      <c r="Q922">
        <f t="shared" si="1015"/>
        <v>-34661805.071766563</v>
      </c>
      <c r="R922">
        <f t="shared" si="1016"/>
        <v>109822153.40666309</v>
      </c>
      <c r="S922">
        <f t="shared" si="1017"/>
        <v>1098.221534066631</v>
      </c>
      <c r="T922">
        <f t="shared" si="1018"/>
        <v>1.098221534066631</v>
      </c>
    </row>
    <row r="923" spans="1:20" x14ac:dyDescent="0.25">
      <c r="A923" s="5">
        <v>43670</v>
      </c>
      <c r="B923">
        <v>0.30876999999999999</v>
      </c>
      <c r="C923">
        <v>0.31905</v>
      </c>
      <c r="D923">
        <v>0.30251</v>
      </c>
      <c r="E923">
        <v>0.31547999999999998</v>
      </c>
      <c r="F923">
        <v>67739907.799999997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0.5683192261184985</v>
      </c>
      <c r="Q923">
        <f t="shared" si="1015"/>
        <v>38497891.97823444</v>
      </c>
      <c r="R923">
        <f t="shared" si="1016"/>
        <v>144483958.47842965</v>
      </c>
      <c r="S923">
        <f t="shared" si="1017"/>
        <v>1444.8395847842964</v>
      </c>
      <c r="T923">
        <f t="shared" si="1018"/>
        <v>1.4448395847842965</v>
      </c>
    </row>
    <row r="924" spans="1:20" x14ac:dyDescent="0.25">
      <c r="A924" s="5">
        <v>43669</v>
      </c>
      <c r="B924">
        <v>0.32135000000000002</v>
      </c>
      <c r="C924">
        <v>0.32135000000000002</v>
      </c>
      <c r="D924">
        <v>0.30571999999999999</v>
      </c>
      <c r="E924">
        <v>0.30891000000000002</v>
      </c>
      <c r="F924">
        <v>63905860.100000001</v>
      </c>
      <c r="G924">
        <v>0</v>
      </c>
      <c r="L924" t="s">
        <v>7</v>
      </c>
      <c r="M924" t="s">
        <v>7</v>
      </c>
      <c r="N924" t="s">
        <v>7</v>
      </c>
      <c r="P924">
        <f t="shared" si="1014"/>
        <v>-0.5918106206014051</v>
      </c>
      <c r="Q924">
        <f t="shared" si="1015"/>
        <v>-37820166.725847572</v>
      </c>
      <c r="R924">
        <f t="shared" si="1016"/>
        <v>105986066.50019521</v>
      </c>
      <c r="S924">
        <f t="shared" si="1017"/>
        <v>1059.8606650019522</v>
      </c>
      <c r="T924">
        <f t="shared" si="1018"/>
        <v>1.0598606650019522</v>
      </c>
    </row>
    <row r="925" spans="1:20" x14ac:dyDescent="0.25">
      <c r="A925" s="5">
        <v>43668</v>
      </c>
      <c r="B925">
        <v>0.33058999999999999</v>
      </c>
      <c r="C925">
        <v>0.33259</v>
      </c>
      <c r="D925">
        <v>0.31569999999999998</v>
      </c>
      <c r="E925">
        <v>0.32111000000000001</v>
      </c>
      <c r="F925">
        <v>64393272.5</v>
      </c>
      <c r="G925">
        <v>0</v>
      </c>
      <c r="L925" t="s">
        <v>7</v>
      </c>
      <c r="M925" t="s">
        <v>7</v>
      </c>
      <c r="N925" t="s">
        <v>7</v>
      </c>
      <c r="P925">
        <f t="shared" si="1014"/>
        <v>-0.3593842510361136</v>
      </c>
      <c r="Q925">
        <f t="shared" si="1015"/>
        <v>-23141928.009176869</v>
      </c>
      <c r="R925">
        <f t="shared" si="1016"/>
        <v>143806233.22604278</v>
      </c>
      <c r="S925">
        <f t="shared" si="1017"/>
        <v>1438.0623322604279</v>
      </c>
      <c r="T925">
        <f t="shared" si="1018"/>
        <v>1.4380623322604278</v>
      </c>
    </row>
    <row r="926" spans="1:20" x14ac:dyDescent="0.25">
      <c r="A926" s="5">
        <v>43667</v>
      </c>
      <c r="B926">
        <v>0.33268999999999999</v>
      </c>
      <c r="C926">
        <v>0.33500999999999997</v>
      </c>
      <c r="D926">
        <v>0.32052999999999998</v>
      </c>
      <c r="E926">
        <v>0.33074999999999999</v>
      </c>
      <c r="F926">
        <v>64040258.200000003</v>
      </c>
      <c r="G926">
        <v>0</v>
      </c>
      <c r="L926" t="s">
        <v>8</v>
      </c>
      <c r="M926" t="s">
        <v>7</v>
      </c>
      <c r="N926" t="s">
        <v>7</v>
      </c>
      <c r="P926">
        <f t="shared" si="1014"/>
        <v>0.41160220994475305</v>
      </c>
      <c r="Q926">
        <f t="shared" si="1015"/>
        <v>26359111.800552595</v>
      </c>
      <c r="R926">
        <f t="shared" si="1016"/>
        <v>166948161.23521966</v>
      </c>
      <c r="S926">
        <f t="shared" si="1017"/>
        <v>1669.4816123521966</v>
      </c>
      <c r="T926">
        <f t="shared" si="1018"/>
        <v>1.6694816123521967</v>
      </c>
    </row>
    <row r="927" spans="1:20" x14ac:dyDescent="0.25">
      <c r="A927" s="5">
        <v>43666</v>
      </c>
      <c r="B927">
        <v>0.31869999999999998</v>
      </c>
      <c r="C927">
        <v>0.34094000000000002</v>
      </c>
      <c r="D927">
        <v>0.31818000000000002</v>
      </c>
      <c r="E927">
        <v>0.33278999999999997</v>
      </c>
      <c r="F927">
        <v>84000903.400000006</v>
      </c>
      <c r="G927">
        <v>0</v>
      </c>
      <c r="L927" t="s">
        <v>8</v>
      </c>
      <c r="M927" t="s">
        <v>7</v>
      </c>
      <c r="N927" t="s">
        <v>7</v>
      </c>
      <c r="P927">
        <f t="shared" si="1014"/>
        <v>0.28383128295254434</v>
      </c>
      <c r="Q927">
        <f t="shared" si="1015"/>
        <v>23842084.181194745</v>
      </c>
      <c r="R927">
        <f t="shared" si="1016"/>
        <v>140589049.43466705</v>
      </c>
      <c r="S927">
        <f t="shared" si="1017"/>
        <v>1405.8904943466705</v>
      </c>
      <c r="T927">
        <f t="shared" si="1018"/>
        <v>1.4058904943466706</v>
      </c>
    </row>
    <row r="928" spans="1:20" x14ac:dyDescent="0.25">
      <c r="A928" s="5">
        <v>43665</v>
      </c>
      <c r="B928">
        <v>0.32035000000000002</v>
      </c>
      <c r="C928">
        <v>0.32214999999999999</v>
      </c>
      <c r="D928">
        <v>0.30958999999999998</v>
      </c>
      <c r="E928">
        <v>0.31879999999999997</v>
      </c>
      <c r="F928">
        <v>68682413.200000003</v>
      </c>
      <c r="G928">
        <v>0</v>
      </c>
      <c r="L928" t="s">
        <v>7</v>
      </c>
      <c r="M928" t="s">
        <v>7</v>
      </c>
      <c r="N928" t="s">
        <v>7</v>
      </c>
      <c r="P928">
        <f t="shared" si="1014"/>
        <v>0.46656050955413764</v>
      </c>
      <c r="Q928">
        <f t="shared" si="1015"/>
        <v>32044501.699999832</v>
      </c>
      <c r="R928">
        <f t="shared" si="1016"/>
        <v>116746965.2534723</v>
      </c>
      <c r="S928">
        <f t="shared" si="1017"/>
        <v>1167.4696525347231</v>
      </c>
      <c r="T928">
        <f t="shared" si="1018"/>
        <v>1.167469652534723</v>
      </c>
    </row>
    <row r="929" spans="1:20" x14ac:dyDescent="0.25">
      <c r="A929" s="5">
        <v>43664</v>
      </c>
      <c r="B929">
        <v>0.31031999999999998</v>
      </c>
      <c r="C929">
        <v>0.32700000000000001</v>
      </c>
      <c r="D929">
        <v>0.30257000000000001</v>
      </c>
      <c r="E929">
        <v>0.32035000000000002</v>
      </c>
      <c r="F929">
        <v>129902403.59999999</v>
      </c>
      <c r="G929">
        <v>0</v>
      </c>
      <c r="L929" t="s">
        <v>7</v>
      </c>
      <c r="M929" t="s">
        <v>7</v>
      </c>
      <c r="N929" t="s">
        <v>7</v>
      </c>
      <c r="P929">
        <f t="shared" si="1014"/>
        <v>0.4555873925501443</v>
      </c>
      <c r="Q929">
        <f t="shared" si="1015"/>
        <v>59181897.342120476</v>
      </c>
      <c r="R929">
        <f t="shared" si="1016"/>
        <v>84702463.553472459</v>
      </c>
      <c r="S929">
        <f t="shared" si="1017"/>
        <v>847.02463553472455</v>
      </c>
      <c r="T929">
        <f t="shared" si="1018"/>
        <v>0.84702463553472451</v>
      </c>
    </row>
    <row r="930" spans="1:20" x14ac:dyDescent="0.25">
      <c r="A930" s="5">
        <v>43663</v>
      </c>
      <c r="B930">
        <v>0.29544999999999999</v>
      </c>
      <c r="C930">
        <v>0.32364999999999999</v>
      </c>
      <c r="D930">
        <v>0.29264000000000001</v>
      </c>
      <c r="E930">
        <v>0.31031999999999998</v>
      </c>
      <c r="F930">
        <v>159617507.59999999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0.14027732989358166</v>
      </c>
      <c r="Q930">
        <f t="shared" si="1015"/>
        <v>22390717.770396478</v>
      </c>
      <c r="R930">
        <f t="shared" si="1016"/>
        <v>25520566.211351983</v>
      </c>
      <c r="S930">
        <f t="shared" si="1017"/>
        <v>255.20566211351982</v>
      </c>
      <c r="T930">
        <f t="shared" si="1018"/>
        <v>0.2552056621135198</v>
      </c>
    </row>
    <row r="931" spans="1:20" x14ac:dyDescent="0.25">
      <c r="A931" s="5">
        <v>43662</v>
      </c>
      <c r="B931">
        <v>0.31286999999999998</v>
      </c>
      <c r="C931">
        <v>0.32031999999999999</v>
      </c>
      <c r="D931">
        <v>0.28599999999999998</v>
      </c>
      <c r="E931">
        <v>0.29543000000000003</v>
      </c>
      <c r="F931">
        <v>162767430.30000001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-0.45046620046619784</v>
      </c>
      <c r="Q931">
        <f t="shared" si="1015"/>
        <v>-73321225.886887684</v>
      </c>
      <c r="R931">
        <f t="shared" si="1016"/>
        <v>3129848.4409555048</v>
      </c>
      <c r="S931">
        <f t="shared" si="1017"/>
        <v>31.298484409555048</v>
      </c>
      <c r="T931">
        <f t="shared" si="1018"/>
        <v>3.1298484409555051E-2</v>
      </c>
    </row>
    <row r="932" spans="1:20" x14ac:dyDescent="0.25">
      <c r="A932" s="5">
        <v>43661</v>
      </c>
      <c r="B932">
        <v>0.30365999999999999</v>
      </c>
      <c r="C932">
        <v>0.32375999999999999</v>
      </c>
      <c r="D932">
        <v>0.29474</v>
      </c>
      <c r="E932">
        <v>0.31286999999999998</v>
      </c>
      <c r="F932">
        <v>160631099.59999999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0.24948311509303828</v>
      </c>
      <c r="Q932">
        <f t="shared" si="1015"/>
        <v>40074747.109028094</v>
      </c>
      <c r="R932">
        <f t="shared" si="1016"/>
        <v>76451074.327843189</v>
      </c>
      <c r="S932">
        <f t="shared" si="1017"/>
        <v>764.51074327843185</v>
      </c>
      <c r="T932">
        <f t="shared" si="1018"/>
        <v>0.76451074327843183</v>
      </c>
    </row>
    <row r="933" spans="1:20" x14ac:dyDescent="0.25">
      <c r="A933" s="5">
        <v>43660</v>
      </c>
      <c r="B933">
        <v>0.33213999999999999</v>
      </c>
      <c r="C933">
        <v>0.33549000000000001</v>
      </c>
      <c r="D933">
        <v>0.29920000000000002</v>
      </c>
      <c r="E933">
        <v>0.30365999999999999</v>
      </c>
      <c r="F933">
        <v>132780312.2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-0.75420225957564258</v>
      </c>
      <c r="Q933">
        <f t="shared" si="1015"/>
        <v>-100143211.48839927</v>
      </c>
      <c r="R933">
        <f t="shared" si="1016"/>
        <v>36376327.218815088</v>
      </c>
      <c r="S933">
        <f t="shared" si="1017"/>
        <v>363.76327218815089</v>
      </c>
      <c r="T933">
        <f t="shared" si="1018"/>
        <v>0.36376327218815091</v>
      </c>
    </row>
    <row r="934" spans="1:20" x14ac:dyDescent="0.25">
      <c r="A934" s="5">
        <v>43659</v>
      </c>
      <c r="B934">
        <v>0.34336</v>
      </c>
      <c r="C934">
        <v>0.34438999999999997</v>
      </c>
      <c r="D934">
        <v>0.32358999999999999</v>
      </c>
      <c r="E934">
        <v>0.33206000000000002</v>
      </c>
      <c r="F934">
        <v>86057978.799999997</v>
      </c>
      <c r="G934">
        <v>0</v>
      </c>
      <c r="L934" t="s">
        <v>8</v>
      </c>
      <c r="M934" t="s">
        <v>7</v>
      </c>
      <c r="N934" t="s">
        <v>7</v>
      </c>
      <c r="P934">
        <f t="shared" si="1014"/>
        <v>-0.18557692307691931</v>
      </c>
      <c r="Q934">
        <f t="shared" si="1015"/>
        <v>-15970374.911922753</v>
      </c>
      <c r="R934">
        <f t="shared" si="1016"/>
        <v>136519538.70721436</v>
      </c>
      <c r="S934">
        <f t="shared" si="1017"/>
        <v>1365.1953870721436</v>
      </c>
      <c r="T934">
        <f t="shared" si="1018"/>
        <v>1.3651953870721436</v>
      </c>
    </row>
    <row r="935" spans="1:20" x14ac:dyDescent="0.25">
      <c r="A935" s="5">
        <v>43658</v>
      </c>
      <c r="B935">
        <v>0.32888000000000001</v>
      </c>
      <c r="C935">
        <v>0.34988000000000002</v>
      </c>
      <c r="D935">
        <v>0.31968000000000002</v>
      </c>
      <c r="E935">
        <v>0.34336</v>
      </c>
      <c r="F935">
        <v>126888778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0.56821192052979963</v>
      </c>
      <c r="Q935">
        <f t="shared" si="1015"/>
        <v>72099716.241059393</v>
      </c>
      <c r="R935">
        <f t="shared" si="1016"/>
        <v>152489913.61913711</v>
      </c>
      <c r="S935">
        <f t="shared" si="1017"/>
        <v>1524.8991361913711</v>
      </c>
      <c r="T935">
        <f t="shared" si="1018"/>
        <v>1.5248991361913711</v>
      </c>
    </row>
    <row r="936" spans="1:20" x14ac:dyDescent="0.25">
      <c r="A936" s="5">
        <v>43657</v>
      </c>
      <c r="B936">
        <v>0.36141000000000001</v>
      </c>
      <c r="C936">
        <v>0.36285000000000001</v>
      </c>
      <c r="D936">
        <v>0.31574000000000002</v>
      </c>
      <c r="E936">
        <v>0.32874999999999999</v>
      </c>
      <c r="F936">
        <v>168118356.80000001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-0.44767565272765997</v>
      </c>
      <c r="Q936">
        <f t="shared" si="1015"/>
        <v>-75262495.115941644</v>
      </c>
      <c r="R936">
        <f t="shared" si="1016"/>
        <v>80390197.378077716</v>
      </c>
      <c r="S936">
        <f t="shared" si="1017"/>
        <v>803.90197378077721</v>
      </c>
      <c r="T936">
        <f t="shared" si="1018"/>
        <v>0.80390197378077721</v>
      </c>
    </row>
    <row r="937" spans="1:20" x14ac:dyDescent="0.25">
      <c r="A937" s="5">
        <v>43656</v>
      </c>
      <c r="B937">
        <v>0.39361000000000002</v>
      </c>
      <c r="C937">
        <v>0.39645999999999998</v>
      </c>
      <c r="D937">
        <v>0.34501999999999999</v>
      </c>
      <c r="E937">
        <v>0.36153999999999997</v>
      </c>
      <c r="F937">
        <v>140899188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-0.35769828926905195</v>
      </c>
      <c r="Q937">
        <f t="shared" si="1015"/>
        <v>-50399398.506998532</v>
      </c>
      <c r="R937">
        <f t="shared" si="1016"/>
        <v>155652692.49401936</v>
      </c>
      <c r="S937">
        <f t="shared" si="1017"/>
        <v>1556.5269249401936</v>
      </c>
      <c r="T937">
        <f t="shared" si="1018"/>
        <v>1.5565269249401936</v>
      </c>
    </row>
    <row r="938" spans="1:20" x14ac:dyDescent="0.25">
      <c r="A938" s="5">
        <v>43655</v>
      </c>
      <c r="B938">
        <v>0.40072000000000002</v>
      </c>
      <c r="C938">
        <v>0.40725</v>
      </c>
      <c r="D938">
        <v>0.38874999999999998</v>
      </c>
      <c r="E938">
        <v>0.39362000000000003</v>
      </c>
      <c r="F938">
        <v>84918198.900000006</v>
      </c>
      <c r="G938">
        <v>0</v>
      </c>
      <c r="L938" t="s">
        <v>8</v>
      </c>
      <c r="M938" t="s">
        <v>7</v>
      </c>
      <c r="N938" t="s">
        <v>8</v>
      </c>
      <c r="P938">
        <f t="shared" si="1014"/>
        <v>-0.47351351351350957</v>
      </c>
      <c r="Q938">
        <f t="shared" si="1015"/>
        <v>-40209914.722378045</v>
      </c>
      <c r="R938">
        <f t="shared" si="1016"/>
        <v>206052091.0010179</v>
      </c>
      <c r="S938">
        <f t="shared" si="1017"/>
        <v>2060.5209100101788</v>
      </c>
      <c r="T938">
        <f t="shared" si="1018"/>
        <v>2.0605209100101787</v>
      </c>
    </row>
    <row r="939" spans="1:20" x14ac:dyDescent="0.25">
      <c r="A939" s="5">
        <v>43654</v>
      </c>
      <c r="B939">
        <v>0.39650999999999997</v>
      </c>
      <c r="C939">
        <v>0.40300000000000002</v>
      </c>
      <c r="D939">
        <v>0.39113999999999999</v>
      </c>
      <c r="E939">
        <v>0.40072999999999998</v>
      </c>
      <c r="F939">
        <v>68579169.599999994</v>
      </c>
      <c r="G939">
        <v>0</v>
      </c>
      <c r="L939" t="s">
        <v>8</v>
      </c>
      <c r="M939" t="s">
        <v>7</v>
      </c>
      <c r="N939" t="s">
        <v>8</v>
      </c>
      <c r="P939">
        <f t="shared" si="1014"/>
        <v>0.61720067453624916</v>
      </c>
      <c r="Q939">
        <f t="shared" si="1015"/>
        <v>42327109.736255832</v>
      </c>
      <c r="R939">
        <f t="shared" si="1016"/>
        <v>246262005.72339594</v>
      </c>
      <c r="S939">
        <f t="shared" si="1017"/>
        <v>2462.6200572339594</v>
      </c>
      <c r="T939">
        <f t="shared" si="1018"/>
        <v>2.4626200572339596</v>
      </c>
    </row>
    <row r="940" spans="1:20" x14ac:dyDescent="0.25">
      <c r="A940" s="5">
        <v>43653</v>
      </c>
      <c r="B940">
        <v>0.39030999999999999</v>
      </c>
      <c r="C940">
        <v>0.4007</v>
      </c>
      <c r="D940">
        <v>0.38683000000000001</v>
      </c>
      <c r="E940">
        <v>0.39650999999999997</v>
      </c>
      <c r="F940">
        <v>65893195.700000003</v>
      </c>
      <c r="G940">
        <v>0</v>
      </c>
      <c r="L940" t="s">
        <v>8</v>
      </c>
      <c r="M940" t="s">
        <v>7</v>
      </c>
      <c r="N940" t="s">
        <v>8</v>
      </c>
      <c r="P940">
        <f t="shared" si="1014"/>
        <v>0.39581831290554736</v>
      </c>
      <c r="Q940">
        <f t="shared" si="1015"/>
        <v>26081733.553929068</v>
      </c>
      <c r="R940">
        <f t="shared" si="1016"/>
        <v>203934895.98714012</v>
      </c>
      <c r="S940">
        <f t="shared" si="1017"/>
        <v>2039.3489598714011</v>
      </c>
      <c r="T940">
        <f t="shared" si="1018"/>
        <v>2.039348959871401</v>
      </c>
    </row>
    <row r="941" spans="1:20" x14ac:dyDescent="0.25">
      <c r="A941" s="5">
        <v>43652</v>
      </c>
      <c r="B941">
        <v>0.37869999999999998</v>
      </c>
      <c r="C941">
        <v>0.40989999999999999</v>
      </c>
      <c r="D941">
        <v>0.37825999999999999</v>
      </c>
      <c r="E941">
        <v>0.39030999999999999</v>
      </c>
      <c r="F941">
        <v>94972192.299999997</v>
      </c>
      <c r="G941">
        <v>0</v>
      </c>
      <c r="L941" t="s">
        <v>8</v>
      </c>
      <c r="M941" t="s">
        <v>7</v>
      </c>
      <c r="N941" t="s">
        <v>8</v>
      </c>
      <c r="P941">
        <f t="shared" si="1014"/>
        <v>-0.23830594184576456</v>
      </c>
      <c r="Q941">
        <f t="shared" si="1015"/>
        <v>-22632437.735208567</v>
      </c>
      <c r="R941">
        <f t="shared" si="1016"/>
        <v>177853162.43321106</v>
      </c>
      <c r="S941">
        <f t="shared" si="1017"/>
        <v>1778.5316243321106</v>
      </c>
      <c r="T941">
        <f t="shared" si="1018"/>
        <v>1.7785316243321105</v>
      </c>
    </row>
    <row r="942" spans="1:20" x14ac:dyDescent="0.25">
      <c r="A942" s="5">
        <v>43651</v>
      </c>
      <c r="B942">
        <v>0.38722000000000001</v>
      </c>
      <c r="C942">
        <v>0.38824999999999998</v>
      </c>
      <c r="D942">
        <v>0.37325000000000003</v>
      </c>
      <c r="E942">
        <v>0.37880999999999998</v>
      </c>
      <c r="F942">
        <v>71395559.599999994</v>
      </c>
      <c r="G942">
        <v>0</v>
      </c>
      <c r="L942" t="s">
        <v>7</v>
      </c>
      <c r="M942" t="s">
        <v>7</v>
      </c>
      <c r="N942" t="s">
        <v>8</v>
      </c>
      <c r="P942">
        <f t="shared" si="1014"/>
        <v>-0.25866666666667071</v>
      </c>
      <c r="Q942">
        <f t="shared" si="1015"/>
        <v>-18467651.416533619</v>
      </c>
      <c r="R942">
        <f t="shared" si="1016"/>
        <v>200485600.16841963</v>
      </c>
      <c r="S942">
        <f t="shared" si="1017"/>
        <v>2004.8560016841964</v>
      </c>
      <c r="T942">
        <f t="shared" si="1018"/>
        <v>2.0048560016841965</v>
      </c>
    </row>
    <row r="943" spans="1:20" x14ac:dyDescent="0.25">
      <c r="A943" s="5">
        <v>43650</v>
      </c>
      <c r="B943">
        <v>0.40458</v>
      </c>
      <c r="C943">
        <v>0.4052</v>
      </c>
      <c r="D943">
        <v>0.38500000000000001</v>
      </c>
      <c r="E943">
        <v>0.38723000000000002</v>
      </c>
      <c r="F943">
        <v>71298699.900000006</v>
      </c>
      <c r="G943">
        <v>0</v>
      </c>
      <c r="L943" t="s">
        <v>7</v>
      </c>
      <c r="M943" t="s">
        <v>7</v>
      </c>
      <c r="N943" t="s">
        <v>8</v>
      </c>
      <c r="P943">
        <f t="shared" si="1014"/>
        <v>-0.77920792079207823</v>
      </c>
      <c r="Q943">
        <f t="shared" si="1015"/>
        <v>-55556511.704257362</v>
      </c>
      <c r="R943">
        <f t="shared" si="1016"/>
        <v>218953251.58495325</v>
      </c>
      <c r="S943">
        <f t="shared" si="1017"/>
        <v>2189.5325158495325</v>
      </c>
      <c r="T943">
        <f t="shared" si="1018"/>
        <v>2.1895325158495327</v>
      </c>
    </row>
    <row r="944" spans="1:20" x14ac:dyDescent="0.25">
      <c r="A944" s="5">
        <v>43649</v>
      </c>
      <c r="B944">
        <v>0.39787</v>
      </c>
      <c r="C944">
        <v>0.40666000000000002</v>
      </c>
      <c r="D944">
        <v>0.39340000000000003</v>
      </c>
      <c r="E944">
        <v>0.40455999999999998</v>
      </c>
      <c r="F944">
        <v>78793554.400000006</v>
      </c>
      <c r="G944">
        <v>0</v>
      </c>
      <c r="L944" t="s">
        <v>7</v>
      </c>
      <c r="M944" t="s">
        <v>7</v>
      </c>
      <c r="N944" t="s">
        <v>8</v>
      </c>
      <c r="P944">
        <f t="shared" si="1014"/>
        <v>0.68325791855202911</v>
      </c>
      <c r="Q944">
        <f t="shared" si="1015"/>
        <v>53836319.974660076</v>
      </c>
      <c r="R944">
        <f t="shared" si="1016"/>
        <v>274509763.28921062</v>
      </c>
      <c r="S944">
        <f t="shared" si="1017"/>
        <v>2745.097632892106</v>
      </c>
      <c r="T944">
        <f t="shared" si="1018"/>
        <v>2.7450976328921062</v>
      </c>
    </row>
    <row r="945" spans="1:20" x14ac:dyDescent="0.25">
      <c r="A945" s="5">
        <v>43648</v>
      </c>
      <c r="B945">
        <v>0.40694000000000002</v>
      </c>
      <c r="C945">
        <v>0.41125</v>
      </c>
      <c r="D945">
        <v>0.38385999999999998</v>
      </c>
      <c r="E945">
        <v>0.39794000000000002</v>
      </c>
      <c r="F945">
        <v>105939905.90000001</v>
      </c>
      <c r="G945">
        <v>0</v>
      </c>
      <c r="L945" t="s">
        <v>7</v>
      </c>
      <c r="M945" t="s">
        <v>7</v>
      </c>
      <c r="N945" t="s">
        <v>8</v>
      </c>
      <c r="P945">
        <f t="shared" si="1014"/>
        <v>2.8112449799198528E-2</v>
      </c>
      <c r="Q945">
        <f t="shared" si="1015"/>
        <v>2978230.2863455662</v>
      </c>
      <c r="R945">
        <f t="shared" si="1016"/>
        <v>220673443.31455055</v>
      </c>
      <c r="S945">
        <f t="shared" si="1017"/>
        <v>2206.7344331455056</v>
      </c>
      <c r="T945">
        <f t="shared" si="1018"/>
        <v>2.2067344331455057</v>
      </c>
    </row>
    <row r="946" spans="1:20" x14ac:dyDescent="0.25">
      <c r="A946" s="5">
        <v>43647</v>
      </c>
      <c r="B946">
        <v>0.39637</v>
      </c>
      <c r="C946">
        <v>0.42298000000000002</v>
      </c>
      <c r="D946">
        <v>0.38804</v>
      </c>
      <c r="E946">
        <v>0.40690999999999999</v>
      </c>
      <c r="F946">
        <v>135870243.90000001</v>
      </c>
      <c r="G946">
        <v>0</v>
      </c>
      <c r="L946" t="s">
        <v>7</v>
      </c>
      <c r="M946" t="s">
        <v>7</v>
      </c>
      <c r="N946" t="s">
        <v>8</v>
      </c>
      <c r="P946">
        <f t="shared" si="1014"/>
        <v>8.0137378362906894E-2</v>
      </c>
      <c r="Q946">
        <f t="shared" si="1015"/>
        <v>10888285.143674742</v>
      </c>
      <c r="R946">
        <f t="shared" si="1016"/>
        <v>217695213.02820498</v>
      </c>
      <c r="S946">
        <f t="shared" si="1017"/>
        <v>2176.9521302820499</v>
      </c>
      <c r="T946">
        <f t="shared" si="1018"/>
        <v>2.17695213028205</v>
      </c>
    </row>
    <row r="947" spans="1:20" x14ac:dyDescent="0.25">
      <c r="A947" s="5">
        <v>43646</v>
      </c>
      <c r="B947">
        <v>0.42597000000000002</v>
      </c>
      <c r="C947">
        <v>0.42859000000000003</v>
      </c>
      <c r="D947">
        <v>0.39539999999999997</v>
      </c>
      <c r="E947">
        <v>0.3962</v>
      </c>
      <c r="F947">
        <v>118288754.09999999</v>
      </c>
      <c r="G947">
        <v>0</v>
      </c>
      <c r="L947" t="s">
        <v>7</v>
      </c>
      <c r="M947" t="s">
        <v>7</v>
      </c>
      <c r="N947" t="s">
        <v>8</v>
      </c>
      <c r="P947">
        <f t="shared" si="1014"/>
        <v>-0.95179270864718157</v>
      </c>
      <c r="Q947">
        <f t="shared" si="1015"/>
        <v>-112586373.6673394</v>
      </c>
      <c r="R947">
        <f t="shared" si="1016"/>
        <v>206806927.88453025</v>
      </c>
      <c r="S947">
        <f t="shared" si="1017"/>
        <v>2068.0692788453025</v>
      </c>
      <c r="T947">
        <f t="shared" si="1018"/>
        <v>2.0680692788453023</v>
      </c>
    </row>
    <row r="948" spans="1:20" x14ac:dyDescent="0.25">
      <c r="A948" s="5">
        <v>43645</v>
      </c>
      <c r="B948">
        <v>0.42599999999999999</v>
      </c>
      <c r="C948">
        <v>0.43</v>
      </c>
      <c r="D948">
        <v>0.40392</v>
      </c>
      <c r="E948">
        <v>0.42620000000000002</v>
      </c>
      <c r="F948">
        <v>128452215.5</v>
      </c>
      <c r="G948">
        <v>0</v>
      </c>
      <c r="L948" t="s">
        <v>8</v>
      </c>
      <c r="M948" t="s">
        <v>7</v>
      </c>
      <c r="N948" t="s">
        <v>8</v>
      </c>
      <c r="P948">
        <f t="shared" si="1014"/>
        <v>0.70858895705521696</v>
      </c>
      <c r="Q948">
        <f t="shared" si="1015"/>
        <v>91019821.412576973</v>
      </c>
      <c r="R948">
        <f t="shared" si="1016"/>
        <v>319393301.55186963</v>
      </c>
      <c r="S948">
        <f t="shared" si="1017"/>
        <v>3193.9330155186963</v>
      </c>
      <c r="T948">
        <f t="shared" si="1018"/>
        <v>3.1939330155186965</v>
      </c>
    </row>
    <row r="949" spans="1:20" x14ac:dyDescent="0.25">
      <c r="A949" s="5">
        <v>43644</v>
      </c>
      <c r="B949">
        <v>0.41060999999999998</v>
      </c>
      <c r="C949">
        <v>0.42720000000000002</v>
      </c>
      <c r="D949">
        <v>0.40582000000000001</v>
      </c>
      <c r="E949">
        <v>0.42609999999999998</v>
      </c>
      <c r="F949">
        <v>139943710.40000001</v>
      </c>
      <c r="G949">
        <v>0</v>
      </c>
      <c r="L949" t="s">
        <v>8</v>
      </c>
      <c r="M949" t="s">
        <v>7</v>
      </c>
      <c r="N949" t="s">
        <v>8</v>
      </c>
      <c r="P949">
        <f t="shared" si="1014"/>
        <v>0.89710009354536535</v>
      </c>
      <c r="Q949">
        <f t="shared" si="1015"/>
        <v>125543515.69092552</v>
      </c>
      <c r="R949">
        <f t="shared" si="1016"/>
        <v>228373480.13929266</v>
      </c>
      <c r="S949">
        <f t="shared" si="1017"/>
        <v>2283.7348013929268</v>
      </c>
      <c r="T949">
        <f t="shared" si="1018"/>
        <v>2.2837348013929266</v>
      </c>
    </row>
    <row r="950" spans="1:20" x14ac:dyDescent="0.25">
      <c r="A950" s="5">
        <v>43643</v>
      </c>
      <c r="B950">
        <v>0.46772999999999998</v>
      </c>
      <c r="C950">
        <v>0.47176000000000001</v>
      </c>
      <c r="D950">
        <v>0.39510000000000001</v>
      </c>
      <c r="E950">
        <v>0.41049000000000002</v>
      </c>
      <c r="F950">
        <v>300234945.89999998</v>
      </c>
      <c r="G950">
        <v>0</v>
      </c>
      <c r="L950" t="s">
        <v>7</v>
      </c>
      <c r="M950" t="s">
        <v>7</v>
      </c>
      <c r="N950" t="s">
        <v>8</v>
      </c>
      <c r="P950">
        <f t="shared" si="1014"/>
        <v>-0.5984868249412989</v>
      </c>
      <c r="Q950">
        <f t="shared" si="1015"/>
        <v>-179686659.50811362</v>
      </c>
      <c r="R950">
        <f t="shared" si="1016"/>
        <v>102829964.44836712</v>
      </c>
      <c r="S950">
        <f t="shared" si="1017"/>
        <v>1028.2996444836713</v>
      </c>
      <c r="T950">
        <f t="shared" si="1018"/>
        <v>1.0282996444836712</v>
      </c>
    </row>
    <row r="951" spans="1:20" x14ac:dyDescent="0.25">
      <c r="A951" s="5">
        <v>43642</v>
      </c>
      <c r="B951">
        <v>0.46809000000000001</v>
      </c>
      <c r="C951">
        <v>0.49680000000000002</v>
      </c>
      <c r="D951">
        <v>0.45300000000000001</v>
      </c>
      <c r="E951">
        <v>0.46805000000000002</v>
      </c>
      <c r="F951">
        <v>287100067.5</v>
      </c>
      <c r="G951">
        <v>0</v>
      </c>
      <c r="L951" t="s">
        <v>8</v>
      </c>
      <c r="M951" t="s">
        <v>8</v>
      </c>
      <c r="N951" t="s">
        <v>8</v>
      </c>
      <c r="P951">
        <f t="shared" si="1014"/>
        <v>-0.31278538812785361</v>
      </c>
      <c r="Q951">
        <f t="shared" si="1015"/>
        <v>-89800706.044520468</v>
      </c>
      <c r="R951">
        <f t="shared" si="1016"/>
        <v>282516623.95648074</v>
      </c>
      <c r="S951">
        <f t="shared" si="1017"/>
        <v>2825.1662395648073</v>
      </c>
      <c r="T951">
        <f t="shared" si="1018"/>
        <v>2.8251662395648074</v>
      </c>
    </row>
    <row r="952" spans="1:20" x14ac:dyDescent="0.25">
      <c r="A952" s="5">
        <v>43641</v>
      </c>
      <c r="B952">
        <v>0.47391</v>
      </c>
      <c r="C952">
        <v>0.47654000000000002</v>
      </c>
      <c r="D952">
        <v>0.45500000000000002</v>
      </c>
      <c r="E952">
        <v>0.46809000000000001</v>
      </c>
      <c r="F952">
        <v>156717428.90000001</v>
      </c>
      <c r="G952">
        <v>0</v>
      </c>
      <c r="L952" t="s">
        <v>7</v>
      </c>
      <c r="M952" t="s">
        <v>8</v>
      </c>
      <c r="N952" t="s">
        <v>8</v>
      </c>
      <c r="P952">
        <f t="shared" si="1014"/>
        <v>0.21541318477251517</v>
      </c>
      <c r="Q952">
        <f t="shared" si="1015"/>
        <v>33759000.468709208</v>
      </c>
      <c r="R952">
        <f t="shared" si="1016"/>
        <v>372317330.00100118</v>
      </c>
      <c r="S952">
        <f t="shared" si="1017"/>
        <v>3723.1733000100116</v>
      </c>
      <c r="T952">
        <f t="shared" si="1018"/>
        <v>3.7231733000100116</v>
      </c>
    </row>
    <row r="953" spans="1:20" x14ac:dyDescent="0.25">
      <c r="A953" s="5">
        <v>43640</v>
      </c>
      <c r="B953">
        <v>0.47015000000000001</v>
      </c>
      <c r="C953">
        <v>0.47585</v>
      </c>
      <c r="D953">
        <v>0.45</v>
      </c>
      <c r="E953">
        <v>0.47384999999999999</v>
      </c>
      <c r="F953">
        <v>116373926.2</v>
      </c>
      <c r="G953">
        <v>0</v>
      </c>
      <c r="L953" t="s">
        <v>7</v>
      </c>
      <c r="M953" t="s">
        <v>8</v>
      </c>
      <c r="N953" t="s">
        <v>8</v>
      </c>
      <c r="P953">
        <f t="shared" si="1014"/>
        <v>0.8452611218568663</v>
      </c>
      <c r="Q953">
        <f t="shared" si="1015"/>
        <v>98366355.414700165</v>
      </c>
      <c r="R953">
        <f t="shared" si="1016"/>
        <v>338558329.53229195</v>
      </c>
      <c r="S953">
        <f t="shared" si="1017"/>
        <v>3385.5832953229196</v>
      </c>
      <c r="T953">
        <f t="shared" si="1018"/>
        <v>3.3855832953229195</v>
      </c>
    </row>
    <row r="954" spans="1:20" x14ac:dyDescent="0.25">
      <c r="A954" s="5">
        <v>43639</v>
      </c>
      <c r="B954">
        <v>0.47714000000000001</v>
      </c>
      <c r="C954">
        <v>0.49297999999999997</v>
      </c>
      <c r="D954">
        <v>0.46500000000000002</v>
      </c>
      <c r="E954">
        <v>0.47015000000000001</v>
      </c>
      <c r="F954">
        <v>162392192.90000001</v>
      </c>
      <c r="G954">
        <v>0</v>
      </c>
      <c r="L954" t="s">
        <v>7</v>
      </c>
      <c r="M954" t="s">
        <v>8</v>
      </c>
      <c r="N954" t="s">
        <v>8</v>
      </c>
      <c r="P954">
        <f t="shared" si="1014"/>
        <v>-0.63187991422444623</v>
      </c>
      <c r="Q954">
        <f t="shared" si="1015"/>
        <v>-102612364.92037173</v>
      </c>
      <c r="R954">
        <f t="shared" si="1016"/>
        <v>240191974.1175918</v>
      </c>
      <c r="S954">
        <f t="shared" si="1017"/>
        <v>2401.9197411759178</v>
      </c>
      <c r="T954">
        <f t="shared" si="1018"/>
        <v>2.4019197411759179</v>
      </c>
    </row>
    <row r="955" spans="1:20" x14ac:dyDescent="0.25">
      <c r="A955" s="5">
        <v>43638</v>
      </c>
      <c r="B955">
        <v>0.44262000000000001</v>
      </c>
      <c r="C955">
        <v>0.50999000000000005</v>
      </c>
      <c r="D955">
        <v>0.43752000000000002</v>
      </c>
      <c r="E955">
        <v>0.47728999999999999</v>
      </c>
      <c r="F955">
        <v>348224018.69999999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9.7557610045534787E-2</v>
      </c>
      <c r="Q955">
        <f t="shared" si="1015"/>
        <v>33971903.024823613</v>
      </c>
      <c r="R955">
        <f t="shared" si="1016"/>
        <v>342804339.03796351</v>
      </c>
      <c r="S955">
        <f t="shared" si="1017"/>
        <v>3428.0433903796352</v>
      </c>
      <c r="T955">
        <f t="shared" si="1018"/>
        <v>3.428043390379635</v>
      </c>
    </row>
    <row r="956" spans="1:20" x14ac:dyDescent="0.25">
      <c r="A956" s="5">
        <v>43637</v>
      </c>
      <c r="B956">
        <v>0.42986000000000002</v>
      </c>
      <c r="C956">
        <v>0.45</v>
      </c>
      <c r="D956">
        <v>0.42925000000000002</v>
      </c>
      <c r="E956">
        <v>0.4425</v>
      </c>
      <c r="F956">
        <v>115252934.3</v>
      </c>
      <c r="G956">
        <v>0</v>
      </c>
      <c r="L956" t="s">
        <v>7</v>
      </c>
      <c r="M956" t="s">
        <v>8</v>
      </c>
      <c r="N956" t="s">
        <v>8</v>
      </c>
      <c r="P956">
        <f t="shared" si="1014"/>
        <v>0.27710843373493882</v>
      </c>
      <c r="Q956">
        <f t="shared" si="1015"/>
        <v>31937560.107228808</v>
      </c>
      <c r="R956">
        <f t="shared" si="1016"/>
        <v>308832436.0131399</v>
      </c>
      <c r="S956">
        <f t="shared" si="1017"/>
        <v>3088.3243601313989</v>
      </c>
      <c r="T956">
        <f t="shared" si="1018"/>
        <v>3.088324360131399</v>
      </c>
    </row>
    <row r="957" spans="1:20" x14ac:dyDescent="0.25">
      <c r="A957" s="5">
        <v>43636</v>
      </c>
      <c r="B957">
        <v>0.43425999999999998</v>
      </c>
      <c r="C957">
        <v>0.43591999999999997</v>
      </c>
      <c r="D957">
        <v>0.41980000000000001</v>
      </c>
      <c r="E957">
        <v>0.42995</v>
      </c>
      <c r="F957">
        <v>91377053.5</v>
      </c>
      <c r="G957">
        <v>0</v>
      </c>
      <c r="L957" t="s">
        <v>7</v>
      </c>
      <c r="M957" t="s">
        <v>8</v>
      </c>
      <c r="N957" t="s">
        <v>8</v>
      </c>
      <c r="P957">
        <f t="shared" si="1014"/>
        <v>0.2593052109181157</v>
      </c>
      <c r="Q957">
        <f t="shared" si="1015"/>
        <v>23694546.130893443</v>
      </c>
      <c r="R957">
        <f t="shared" si="1016"/>
        <v>276894875.90591109</v>
      </c>
      <c r="S957">
        <f t="shared" si="1017"/>
        <v>2768.9487590591107</v>
      </c>
      <c r="T957">
        <f t="shared" si="1018"/>
        <v>2.7689487590591106</v>
      </c>
    </row>
    <row r="958" spans="1:20" x14ac:dyDescent="0.25">
      <c r="A958" s="5">
        <v>43635</v>
      </c>
      <c r="B958">
        <v>0.42697000000000002</v>
      </c>
      <c r="C958">
        <v>0.43852000000000002</v>
      </c>
      <c r="D958">
        <v>0.42369000000000001</v>
      </c>
      <c r="E958">
        <v>0.43406</v>
      </c>
      <c r="F958">
        <v>95631659.5</v>
      </c>
      <c r="G958">
        <v>0</v>
      </c>
      <c r="L958" t="s">
        <v>7</v>
      </c>
      <c r="M958" t="s">
        <v>8</v>
      </c>
      <c r="N958" t="s">
        <v>8</v>
      </c>
      <c r="P958">
        <f t="shared" si="1014"/>
        <v>0.39851652056641718</v>
      </c>
      <c r="Q958">
        <f t="shared" si="1015"/>
        <v>38110796.199932352</v>
      </c>
      <c r="R958">
        <f t="shared" si="1016"/>
        <v>253200329.77501762</v>
      </c>
      <c r="S958">
        <f t="shared" si="1017"/>
        <v>2532.003297750176</v>
      </c>
      <c r="T958">
        <f t="shared" si="1018"/>
        <v>2.5320032977501761</v>
      </c>
    </row>
    <row r="959" spans="1:20" x14ac:dyDescent="0.25">
      <c r="A959" s="5">
        <v>43634</v>
      </c>
      <c r="B959">
        <v>0.44705</v>
      </c>
      <c r="C959">
        <v>0.45499000000000001</v>
      </c>
      <c r="D959">
        <v>0.41963</v>
      </c>
      <c r="E959">
        <v>0.42693999999999999</v>
      </c>
      <c r="F959">
        <v>247437564.90000001</v>
      </c>
      <c r="G959">
        <v>0</v>
      </c>
      <c r="L959" t="s">
        <v>7</v>
      </c>
      <c r="M959" t="s">
        <v>8</v>
      </c>
      <c r="N959" t="s">
        <v>8</v>
      </c>
      <c r="P959">
        <f t="shared" ref="P959:P1022" si="1019">IF(C959=D959,0,((E959-D959)-(C959-E959))/(C959-D959))</f>
        <v>-0.58653846153846256</v>
      </c>
      <c r="Q959">
        <f t="shared" ref="Q959:Q1022" si="1020">F959*P959</f>
        <v>-145131648.64326948</v>
      </c>
      <c r="R959">
        <f t="shared" ref="R959:R1022" si="1021">R960+Q959</f>
        <v>215089533.57508528</v>
      </c>
      <c r="S959">
        <f t="shared" ref="S959:S1022" si="1022">R959/100000</f>
        <v>2150.8953357508526</v>
      </c>
      <c r="T959">
        <f t="shared" ref="T959:T1022" si="1023">S959/1000</f>
        <v>2.1508953357508527</v>
      </c>
    </row>
    <row r="960" spans="1:20" x14ac:dyDescent="0.25">
      <c r="A960" s="5">
        <v>43633</v>
      </c>
      <c r="B960">
        <v>0.42701</v>
      </c>
      <c r="C960">
        <v>0.46311000000000002</v>
      </c>
      <c r="D960">
        <v>0.42181000000000002</v>
      </c>
      <c r="E960">
        <v>0.44705</v>
      </c>
      <c r="F960">
        <v>310680509.30000001</v>
      </c>
      <c r="G960">
        <v>0</v>
      </c>
      <c r="L960" t="s">
        <v>8</v>
      </c>
      <c r="M960" t="s">
        <v>8</v>
      </c>
      <c r="N960" t="s">
        <v>8</v>
      </c>
      <c r="P960">
        <f t="shared" si="1019"/>
        <v>0.22227602905568922</v>
      </c>
      <c r="Q960">
        <f t="shared" si="1020"/>
        <v>69056829.912203133</v>
      </c>
      <c r="R960">
        <f t="shared" si="1021"/>
        <v>360221182.21835476</v>
      </c>
      <c r="S960">
        <f t="shared" si="1022"/>
        <v>3602.2118221835476</v>
      </c>
      <c r="T960">
        <f t="shared" si="1023"/>
        <v>3.6022118221835475</v>
      </c>
    </row>
    <row r="961" spans="1:20" x14ac:dyDescent="0.25">
      <c r="A961" s="5">
        <v>43632</v>
      </c>
      <c r="B961">
        <v>0.40949000000000002</v>
      </c>
      <c r="C961">
        <v>0.44097999999999998</v>
      </c>
      <c r="D961">
        <v>0.40583000000000002</v>
      </c>
      <c r="E961">
        <v>0.42703000000000002</v>
      </c>
      <c r="F961">
        <v>179818739.90000001</v>
      </c>
      <c r="G961">
        <v>0</v>
      </c>
      <c r="L961" t="s">
        <v>8</v>
      </c>
      <c r="M961" t="s">
        <v>8</v>
      </c>
      <c r="N961" t="s">
        <v>8</v>
      </c>
      <c r="P961">
        <f t="shared" si="1019"/>
        <v>0.206258890469418</v>
      </c>
      <c r="Q961">
        <f t="shared" si="1020"/>
        <v>37089213.777382866</v>
      </c>
      <c r="R961">
        <f t="shared" si="1021"/>
        <v>291164352.30615163</v>
      </c>
      <c r="S961">
        <f t="shared" si="1022"/>
        <v>2911.6435230615161</v>
      </c>
      <c r="T961">
        <f t="shared" si="1023"/>
        <v>2.9116435230615161</v>
      </c>
    </row>
    <row r="962" spans="1:20" x14ac:dyDescent="0.25">
      <c r="A962" s="5">
        <v>43631</v>
      </c>
      <c r="B962">
        <v>0.40200999999999998</v>
      </c>
      <c r="C962">
        <v>0.41213</v>
      </c>
      <c r="D962">
        <v>0.40051999999999999</v>
      </c>
      <c r="E962">
        <v>0.40949999999999998</v>
      </c>
      <c r="F962">
        <v>144441080.69999999</v>
      </c>
      <c r="G962">
        <v>0</v>
      </c>
      <c r="L962" t="s">
        <v>8</v>
      </c>
      <c r="M962" t="s">
        <v>7</v>
      </c>
      <c r="N962" t="s">
        <v>8</v>
      </c>
      <c r="P962">
        <f t="shared" si="1019"/>
        <v>0.54694229112833437</v>
      </c>
      <c r="Q962">
        <f t="shared" si="1020"/>
        <v>79000935.611110628</v>
      </c>
      <c r="R962">
        <f t="shared" si="1021"/>
        <v>254075138.52876878</v>
      </c>
      <c r="S962">
        <f t="shared" si="1022"/>
        <v>2540.7513852876878</v>
      </c>
      <c r="T962">
        <f t="shared" si="1023"/>
        <v>2.5407513852876877</v>
      </c>
    </row>
    <row r="963" spans="1:20" x14ac:dyDescent="0.25">
      <c r="A963" s="5">
        <v>43630</v>
      </c>
      <c r="B963">
        <v>0.39872000000000002</v>
      </c>
      <c r="C963">
        <v>0.40364</v>
      </c>
      <c r="D963">
        <v>0.39024999999999999</v>
      </c>
      <c r="E963">
        <v>0.40200999999999998</v>
      </c>
      <c r="F963">
        <v>70743211.599999994</v>
      </c>
      <c r="G963">
        <v>0</v>
      </c>
      <c r="L963" t="s">
        <v>8</v>
      </c>
      <c r="M963" t="s">
        <v>7</v>
      </c>
      <c r="N963" t="s">
        <v>8</v>
      </c>
      <c r="P963">
        <f t="shared" si="1019"/>
        <v>0.75653472740851102</v>
      </c>
      <c r="Q963">
        <f t="shared" si="1020"/>
        <v>53519696.303808607</v>
      </c>
      <c r="R963">
        <f t="shared" si="1021"/>
        <v>175074202.91765815</v>
      </c>
      <c r="S963">
        <f t="shared" si="1022"/>
        <v>1750.7420291765816</v>
      </c>
      <c r="T963">
        <f t="shared" si="1023"/>
        <v>1.7507420291765816</v>
      </c>
    </row>
    <row r="964" spans="1:20" x14ac:dyDescent="0.25">
      <c r="A964" s="5">
        <v>43629</v>
      </c>
      <c r="B964">
        <v>0.40075</v>
      </c>
      <c r="C964">
        <v>0.40804000000000001</v>
      </c>
      <c r="D964">
        <v>0.39419999999999999</v>
      </c>
      <c r="E964">
        <v>0.39876</v>
      </c>
      <c r="F964">
        <v>76971683.5</v>
      </c>
      <c r="G964">
        <v>0</v>
      </c>
      <c r="L964" t="s">
        <v>8</v>
      </c>
      <c r="M964" t="s">
        <v>7</v>
      </c>
      <c r="N964" t="s">
        <v>8</v>
      </c>
      <c r="P964">
        <f t="shared" si="1019"/>
        <v>-0.34104046242774533</v>
      </c>
      <c r="Q964">
        <f t="shared" si="1020"/>
        <v>-26250458.534682054</v>
      </c>
      <c r="R964">
        <f t="shared" si="1021"/>
        <v>121554506.61384954</v>
      </c>
      <c r="S964">
        <f t="shared" si="1022"/>
        <v>1215.5450661384953</v>
      </c>
      <c r="T964">
        <f t="shared" si="1023"/>
        <v>1.2155450661384952</v>
      </c>
    </row>
    <row r="965" spans="1:20" x14ac:dyDescent="0.25">
      <c r="A965" s="5">
        <v>43628</v>
      </c>
      <c r="B965">
        <v>0.39208999999999999</v>
      </c>
      <c r="C965">
        <v>0.40200000000000002</v>
      </c>
      <c r="D965">
        <v>0.38725999999999999</v>
      </c>
      <c r="E965">
        <v>0.40073999999999999</v>
      </c>
      <c r="F965">
        <v>80803548.900000006</v>
      </c>
      <c r="G965">
        <v>0</v>
      </c>
      <c r="L965" t="s">
        <v>8</v>
      </c>
      <c r="M965" t="s">
        <v>7</v>
      </c>
      <c r="N965" t="s">
        <v>8</v>
      </c>
      <c r="P965">
        <f t="shared" si="1019"/>
        <v>0.82903663500677938</v>
      </c>
      <c r="Q965">
        <f t="shared" si="1020"/>
        <v>66989102.276661754</v>
      </c>
      <c r="R965">
        <f t="shared" si="1021"/>
        <v>147804965.14853159</v>
      </c>
      <c r="S965">
        <f t="shared" si="1022"/>
        <v>1478.049651485316</v>
      </c>
      <c r="T965">
        <f t="shared" si="1023"/>
        <v>1.4780496514853159</v>
      </c>
    </row>
    <row r="966" spans="1:20" x14ac:dyDescent="0.25">
      <c r="A966" s="5">
        <v>43627</v>
      </c>
      <c r="B966">
        <v>0.39984999999999998</v>
      </c>
      <c r="C966">
        <v>0.40194999999999997</v>
      </c>
      <c r="D966">
        <v>0.38174999999999998</v>
      </c>
      <c r="E966">
        <v>0.39191999999999999</v>
      </c>
      <c r="F966">
        <v>75361808.099999994</v>
      </c>
      <c r="G966">
        <v>0</v>
      </c>
      <c r="L966" t="s">
        <v>8</v>
      </c>
      <c r="M966" t="s">
        <v>7</v>
      </c>
      <c r="N966" t="s">
        <v>8</v>
      </c>
      <c r="P966">
        <f t="shared" si="1019"/>
        <v>6.9306930693083671E-3</v>
      </c>
      <c r="Q966">
        <f t="shared" si="1020"/>
        <v>522309.56108921714</v>
      </c>
      <c r="R966">
        <f t="shared" si="1021"/>
        <v>80815862.871869832</v>
      </c>
      <c r="S966">
        <f t="shared" si="1022"/>
        <v>808.15862871869831</v>
      </c>
      <c r="T966">
        <f t="shared" si="1023"/>
        <v>0.80815862871869826</v>
      </c>
    </row>
    <row r="967" spans="1:20" x14ac:dyDescent="0.25">
      <c r="A967" s="5">
        <v>43626</v>
      </c>
      <c r="B967">
        <v>0.38528000000000001</v>
      </c>
      <c r="C967">
        <v>0.40345999999999999</v>
      </c>
      <c r="D967">
        <v>0.37985000000000002</v>
      </c>
      <c r="E967">
        <v>0.39989999999999998</v>
      </c>
      <c r="F967">
        <v>111675278.5</v>
      </c>
      <c r="G967">
        <v>0</v>
      </c>
      <c r="L967" t="s">
        <v>8</v>
      </c>
      <c r="M967" t="s">
        <v>7</v>
      </c>
      <c r="N967" t="s">
        <v>8</v>
      </c>
      <c r="P967">
        <f t="shared" si="1019"/>
        <v>0.69843286742905442</v>
      </c>
      <c r="Q967">
        <f t="shared" si="1020"/>
        <v>77997684.983693227</v>
      </c>
      <c r="R967">
        <f t="shared" si="1021"/>
        <v>80293553.310780615</v>
      </c>
      <c r="S967">
        <f t="shared" si="1022"/>
        <v>802.93553310780612</v>
      </c>
      <c r="T967">
        <f t="shared" si="1023"/>
        <v>0.80293553310780608</v>
      </c>
    </row>
    <row r="968" spans="1:20" x14ac:dyDescent="0.25">
      <c r="A968" s="5">
        <v>43625</v>
      </c>
      <c r="B968">
        <v>0.40699000000000002</v>
      </c>
      <c r="C968">
        <v>0.41043000000000002</v>
      </c>
      <c r="D968">
        <v>0.37</v>
      </c>
      <c r="E968">
        <v>0.38527</v>
      </c>
      <c r="F968">
        <v>117296911.40000001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-0.24462033143705181</v>
      </c>
      <c r="Q968">
        <f t="shared" si="1020"/>
        <v>-28693209.343210503</v>
      </c>
      <c r="R968">
        <f t="shared" si="1021"/>
        <v>2295868.3270873874</v>
      </c>
      <c r="S968">
        <f t="shared" si="1022"/>
        <v>22.958683270873873</v>
      </c>
      <c r="T968">
        <f t="shared" si="1023"/>
        <v>2.2958683270873873E-2</v>
      </c>
    </row>
    <row r="969" spans="1:20" x14ac:dyDescent="0.25">
      <c r="A969" s="5">
        <v>43624</v>
      </c>
      <c r="B969">
        <v>0.41871000000000003</v>
      </c>
      <c r="C969">
        <v>0.42221999999999998</v>
      </c>
      <c r="D969">
        <v>0.40210000000000001</v>
      </c>
      <c r="E969">
        <v>0.40699000000000002</v>
      </c>
      <c r="F969">
        <v>77326412.299999997</v>
      </c>
      <c r="G969">
        <v>0</v>
      </c>
      <c r="L969" t="s">
        <v>7</v>
      </c>
      <c r="M969" t="s">
        <v>7</v>
      </c>
      <c r="N969" t="s">
        <v>8</v>
      </c>
      <c r="P969">
        <f t="shared" si="1019"/>
        <v>-0.51391650099403452</v>
      </c>
      <c r="Q969">
        <f t="shared" si="1020"/>
        <v>-39739319.243638068</v>
      </c>
      <c r="R969">
        <f t="shared" si="1021"/>
        <v>30989077.670297891</v>
      </c>
      <c r="S969">
        <f t="shared" si="1022"/>
        <v>309.89077670297888</v>
      </c>
      <c r="T969">
        <f t="shared" si="1023"/>
        <v>0.30989077670297888</v>
      </c>
    </row>
    <row r="970" spans="1:20" x14ac:dyDescent="0.25">
      <c r="A970" s="5">
        <v>43623</v>
      </c>
      <c r="B970">
        <v>0.41935</v>
      </c>
      <c r="C970">
        <v>0.43003000000000002</v>
      </c>
      <c r="D970">
        <v>0.41388999999999998</v>
      </c>
      <c r="E970">
        <v>0.41886000000000001</v>
      </c>
      <c r="F970">
        <v>121225704.2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-0.38413878562577242</v>
      </c>
      <c r="Q970">
        <f t="shared" si="1020"/>
        <v>-46567494.798017099</v>
      </c>
      <c r="R970">
        <f t="shared" si="1021"/>
        <v>70728396.913935959</v>
      </c>
      <c r="S970">
        <f t="shared" si="1022"/>
        <v>707.28396913935956</v>
      </c>
      <c r="T970">
        <f t="shared" si="1023"/>
        <v>0.70728396913935954</v>
      </c>
    </row>
    <row r="971" spans="1:20" x14ac:dyDescent="0.25">
      <c r="A971" s="5">
        <v>43622</v>
      </c>
      <c r="B971">
        <v>0.39996999999999999</v>
      </c>
      <c r="C971">
        <v>0.42699999999999999</v>
      </c>
      <c r="D971">
        <v>0.39023999999999998</v>
      </c>
      <c r="E971">
        <v>0.41937000000000002</v>
      </c>
      <c r="F971">
        <v>187115409.80000001</v>
      </c>
      <c r="G971">
        <v>0</v>
      </c>
      <c r="L971" t="s">
        <v>8</v>
      </c>
      <c r="M971" t="s">
        <v>7</v>
      </c>
      <c r="N971" t="s">
        <v>8</v>
      </c>
      <c r="P971">
        <f t="shared" si="1019"/>
        <v>0.58487486398259159</v>
      </c>
      <c r="Q971">
        <f t="shared" si="1020"/>
        <v>109439099.85582189</v>
      </c>
      <c r="R971">
        <f t="shared" si="1021"/>
        <v>117295891.71195306</v>
      </c>
      <c r="S971">
        <f t="shared" si="1022"/>
        <v>1172.9589171195305</v>
      </c>
      <c r="T971">
        <f t="shared" si="1023"/>
        <v>1.1729589171195305</v>
      </c>
    </row>
    <row r="972" spans="1:20" x14ac:dyDescent="0.25">
      <c r="A972" s="5">
        <v>43621</v>
      </c>
      <c r="B972">
        <v>0.39889999999999998</v>
      </c>
      <c r="C972">
        <v>0.40597</v>
      </c>
      <c r="D972">
        <v>0.3871</v>
      </c>
      <c r="E972">
        <v>0.40010000000000001</v>
      </c>
      <c r="F972">
        <v>129307000.7</v>
      </c>
      <c r="G972">
        <v>0</v>
      </c>
      <c r="L972" t="s">
        <v>7</v>
      </c>
      <c r="M972" t="s">
        <v>7</v>
      </c>
      <c r="N972" t="s">
        <v>8</v>
      </c>
      <c r="P972">
        <f t="shared" si="1019"/>
        <v>0.37784843667196744</v>
      </c>
      <c r="Q972">
        <f t="shared" si="1020"/>
        <v>48858448.065236002</v>
      </c>
      <c r="R972">
        <f t="shared" si="1021"/>
        <v>7856791.8561311662</v>
      </c>
      <c r="S972">
        <f t="shared" si="1022"/>
        <v>78.567918561311657</v>
      </c>
      <c r="T972">
        <f t="shared" si="1023"/>
        <v>7.856791856131165E-2</v>
      </c>
    </row>
    <row r="973" spans="1:20" x14ac:dyDescent="0.25">
      <c r="A973" s="5">
        <v>43620</v>
      </c>
      <c r="B973">
        <v>0.41738999999999998</v>
      </c>
      <c r="C973">
        <v>0.41933999999999999</v>
      </c>
      <c r="D973">
        <v>0.3836</v>
      </c>
      <c r="E973">
        <v>0.39878000000000002</v>
      </c>
      <c r="F973">
        <v>220369532.69999999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-0.15053161723558872</v>
      </c>
      <c r="Q973">
        <f t="shared" si="1020"/>
        <v>-33172582.146781951</v>
      </c>
      <c r="R973">
        <f t="shared" si="1021"/>
        <v>-41001656.209104836</v>
      </c>
      <c r="S973">
        <f t="shared" si="1022"/>
        <v>-410.01656209104834</v>
      </c>
      <c r="T973">
        <f t="shared" si="1023"/>
        <v>-0.41001656209104836</v>
      </c>
    </row>
    <row r="974" spans="1:20" x14ac:dyDescent="0.25">
      <c r="A974" s="5">
        <v>43619</v>
      </c>
      <c r="B974">
        <v>0.44396000000000002</v>
      </c>
      <c r="C974">
        <v>0.46500000000000002</v>
      </c>
      <c r="D974">
        <v>0.41699999999999998</v>
      </c>
      <c r="E974">
        <v>0.41731000000000001</v>
      </c>
      <c r="F974">
        <v>235501937.19999999</v>
      </c>
      <c r="G974">
        <v>0</v>
      </c>
      <c r="L974" t="s">
        <v>8</v>
      </c>
      <c r="M974" t="s">
        <v>8</v>
      </c>
      <c r="N974" t="s">
        <v>8</v>
      </c>
      <c r="P974">
        <f t="shared" si="1019"/>
        <v>-0.98708333333333198</v>
      </c>
      <c r="Q974">
        <f t="shared" si="1020"/>
        <v>-232460037.17783299</v>
      </c>
      <c r="R974">
        <f t="shared" si="1021"/>
        <v>-7829074.0623228848</v>
      </c>
      <c r="S974">
        <f t="shared" si="1022"/>
        <v>-78.290740623228842</v>
      </c>
      <c r="T974">
        <f t="shared" si="1023"/>
        <v>-7.8290740623228841E-2</v>
      </c>
    </row>
    <row r="975" spans="1:20" x14ac:dyDescent="0.25">
      <c r="A975" s="5">
        <v>43618</v>
      </c>
      <c r="B975">
        <v>0.42856</v>
      </c>
      <c r="C975">
        <v>0.44695000000000001</v>
      </c>
      <c r="D975">
        <v>0.42735000000000001</v>
      </c>
      <c r="E975">
        <v>0.44396000000000002</v>
      </c>
      <c r="F975">
        <v>102419845.2</v>
      </c>
      <c r="G975">
        <v>0</v>
      </c>
      <c r="L975" t="s">
        <v>8</v>
      </c>
      <c r="M975" t="s">
        <v>8</v>
      </c>
      <c r="N975" t="s">
        <v>8</v>
      </c>
      <c r="P975">
        <f t="shared" si="1019"/>
        <v>0.69489795918367436</v>
      </c>
      <c r="Q975">
        <f t="shared" si="1020"/>
        <v>71171341.409387842</v>
      </c>
      <c r="R975">
        <f t="shared" si="1021"/>
        <v>224630963.11551011</v>
      </c>
      <c r="S975">
        <f t="shared" si="1022"/>
        <v>2246.3096311551012</v>
      </c>
      <c r="T975">
        <f t="shared" si="1023"/>
        <v>2.2463096311551012</v>
      </c>
    </row>
    <row r="976" spans="1:20" x14ac:dyDescent="0.25">
      <c r="A976" s="5">
        <v>43617</v>
      </c>
      <c r="B976">
        <v>0.43848999999999999</v>
      </c>
      <c r="C976">
        <v>0.44169000000000003</v>
      </c>
      <c r="D976">
        <v>0.41664000000000001</v>
      </c>
      <c r="E976">
        <v>0.42893999999999999</v>
      </c>
      <c r="F976">
        <v>113888226.09999999</v>
      </c>
      <c r="G976">
        <v>0</v>
      </c>
      <c r="L976" t="s">
        <v>8</v>
      </c>
      <c r="M976" t="s">
        <v>8</v>
      </c>
      <c r="N976" t="s">
        <v>8</v>
      </c>
      <c r="P976">
        <f t="shared" si="1019"/>
        <v>-1.7964071856289867E-2</v>
      </c>
      <c r="Q976">
        <f t="shared" si="1020"/>
        <v>-2045896.277245787</v>
      </c>
      <c r="R976">
        <f t="shared" si="1021"/>
        <v>153459621.70612225</v>
      </c>
      <c r="S976">
        <f t="shared" si="1022"/>
        <v>1534.5962170612224</v>
      </c>
      <c r="T976">
        <f t="shared" si="1023"/>
        <v>1.5345962170612224</v>
      </c>
    </row>
    <row r="977" spans="1:20" x14ac:dyDescent="0.25">
      <c r="A977" s="5">
        <v>43616</v>
      </c>
      <c r="B977">
        <v>0.41809000000000002</v>
      </c>
      <c r="C977">
        <v>0.44080000000000003</v>
      </c>
      <c r="D977">
        <v>0.40614</v>
      </c>
      <c r="E977">
        <v>0.43851000000000001</v>
      </c>
      <c r="F977">
        <v>193230057.5</v>
      </c>
      <c r="G977">
        <v>0</v>
      </c>
      <c r="L977" t="s">
        <v>8</v>
      </c>
      <c r="M977" t="s">
        <v>8</v>
      </c>
      <c r="N977" t="s">
        <v>8</v>
      </c>
      <c r="P977">
        <f t="shared" si="1019"/>
        <v>0.86785920369301717</v>
      </c>
      <c r="Q977">
        <f t="shared" si="1020"/>
        <v>167696483.83150592</v>
      </c>
      <c r="R977">
        <f t="shared" si="1021"/>
        <v>155505517.98336804</v>
      </c>
      <c r="S977">
        <f t="shared" si="1022"/>
        <v>1555.0551798336803</v>
      </c>
      <c r="T977">
        <f t="shared" si="1023"/>
        <v>1.5550551798336802</v>
      </c>
    </row>
    <row r="978" spans="1:20" x14ac:dyDescent="0.25">
      <c r="A978" s="5">
        <v>43615</v>
      </c>
      <c r="B978">
        <v>0.44285999999999998</v>
      </c>
      <c r="C978">
        <v>0.47349999999999998</v>
      </c>
      <c r="D978">
        <v>0.40100000000000002</v>
      </c>
      <c r="E978">
        <v>0.41788999999999998</v>
      </c>
      <c r="F978">
        <v>347536093.10000002</v>
      </c>
      <c r="G978">
        <v>0</v>
      </c>
      <c r="L978" t="s">
        <v>7</v>
      </c>
      <c r="M978" t="s">
        <v>8</v>
      </c>
      <c r="N978" t="s">
        <v>8</v>
      </c>
      <c r="P978">
        <f t="shared" si="1019"/>
        <v>-0.53406896551724214</v>
      </c>
      <c r="Q978">
        <f t="shared" si="1020"/>
        <v>-185608241.72182098</v>
      </c>
      <c r="R978">
        <f t="shared" si="1021"/>
        <v>-12190965.848137885</v>
      </c>
      <c r="S978">
        <f t="shared" si="1022"/>
        <v>-121.90965848137886</v>
      </c>
      <c r="T978">
        <f t="shared" si="1023"/>
        <v>-0.12190965848137886</v>
      </c>
    </row>
    <row r="979" spans="1:20" x14ac:dyDescent="0.25">
      <c r="A979" s="5">
        <v>43614</v>
      </c>
      <c r="B979">
        <v>0.44862999999999997</v>
      </c>
      <c r="C979">
        <v>0.45701000000000003</v>
      </c>
      <c r="D979">
        <v>0.42</v>
      </c>
      <c r="E979">
        <v>0.44307000000000002</v>
      </c>
      <c r="F979">
        <v>205712650.40000001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0.24669008376114607</v>
      </c>
      <c r="Q979">
        <f t="shared" si="1020"/>
        <v>50747270.957903363</v>
      </c>
      <c r="R979">
        <f t="shared" si="1021"/>
        <v>173417275.87368309</v>
      </c>
      <c r="S979">
        <f t="shared" si="1022"/>
        <v>1734.1727587368309</v>
      </c>
      <c r="T979">
        <f t="shared" si="1023"/>
        <v>1.734172758736831</v>
      </c>
    </row>
    <row r="980" spans="1:20" x14ac:dyDescent="0.25">
      <c r="A980" s="5">
        <v>43613</v>
      </c>
      <c r="B980">
        <v>0.43340000000000001</v>
      </c>
      <c r="C980">
        <v>0.46110000000000001</v>
      </c>
      <c r="D980">
        <v>0.41760000000000003</v>
      </c>
      <c r="E980">
        <v>0.44877</v>
      </c>
      <c r="F980">
        <v>245797208.69999999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0.4331034482758615</v>
      </c>
      <c r="Q980">
        <f t="shared" si="1020"/>
        <v>106455618.66455159</v>
      </c>
      <c r="R980">
        <f t="shared" si="1021"/>
        <v>122670004.91577974</v>
      </c>
      <c r="S980">
        <f t="shared" si="1022"/>
        <v>1226.7000491577974</v>
      </c>
      <c r="T980">
        <f t="shared" si="1023"/>
        <v>1.2267000491577973</v>
      </c>
    </row>
    <row r="981" spans="1:20" x14ac:dyDescent="0.25">
      <c r="A981" s="5">
        <v>43612</v>
      </c>
      <c r="B981">
        <v>0.40364</v>
      </c>
      <c r="C981">
        <v>0.44645000000000001</v>
      </c>
      <c r="D981">
        <v>0.39900000000000002</v>
      </c>
      <c r="E981">
        <v>0.43330999999999997</v>
      </c>
      <c r="F981">
        <v>198385219.30000001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0.44615384615384435</v>
      </c>
      <c r="Q981">
        <f t="shared" si="1020"/>
        <v>88510328.610768884</v>
      </c>
      <c r="R981">
        <f t="shared" si="1021"/>
        <v>16214386.251228154</v>
      </c>
      <c r="S981">
        <f t="shared" si="1022"/>
        <v>162.14386251228154</v>
      </c>
      <c r="T981">
        <f t="shared" si="1023"/>
        <v>0.16214386251228155</v>
      </c>
    </row>
    <row r="982" spans="1:20" x14ac:dyDescent="0.25">
      <c r="A982" s="5">
        <v>43611</v>
      </c>
      <c r="B982">
        <v>0.38525999999999999</v>
      </c>
      <c r="C982">
        <v>0.41367999999999999</v>
      </c>
      <c r="D982">
        <v>0.373</v>
      </c>
      <c r="E982">
        <v>0.40372000000000002</v>
      </c>
      <c r="F982">
        <v>96380922</v>
      </c>
      <c r="G982">
        <v>0</v>
      </c>
      <c r="L982" t="s">
        <v>8</v>
      </c>
      <c r="M982" t="s">
        <v>8</v>
      </c>
      <c r="N982" t="s">
        <v>8</v>
      </c>
      <c r="P982">
        <f t="shared" si="1019"/>
        <v>0.51032448377581263</v>
      </c>
      <c r="Q982">
        <f t="shared" si="1020"/>
        <v>49185544.265486866</v>
      </c>
      <c r="R982">
        <f t="shared" si="1021"/>
        <v>-72295942.359540731</v>
      </c>
      <c r="S982">
        <f t="shared" si="1022"/>
        <v>-722.95942359540732</v>
      </c>
      <c r="T982">
        <f t="shared" si="1023"/>
        <v>-0.72295942359540732</v>
      </c>
    </row>
    <row r="983" spans="1:20" x14ac:dyDescent="0.25">
      <c r="A983" s="5">
        <v>43610</v>
      </c>
      <c r="B983">
        <v>0.38285999999999998</v>
      </c>
      <c r="C983">
        <v>0.39300000000000002</v>
      </c>
      <c r="D983">
        <v>0.37941000000000003</v>
      </c>
      <c r="E983">
        <v>0.38519999999999999</v>
      </c>
      <c r="F983">
        <v>74444217.099999994</v>
      </c>
      <c r="G983">
        <v>0</v>
      </c>
      <c r="L983" t="s">
        <v>8</v>
      </c>
      <c r="M983" t="s">
        <v>8</v>
      </c>
      <c r="N983" t="s">
        <v>8</v>
      </c>
      <c r="P983">
        <f t="shared" si="1019"/>
        <v>-0.14790286975717945</v>
      </c>
      <c r="Q983">
        <f t="shared" si="1020"/>
        <v>-11010513.345916491</v>
      </c>
      <c r="R983">
        <f t="shared" si="1021"/>
        <v>-121481486.6250276</v>
      </c>
      <c r="S983">
        <f t="shared" si="1022"/>
        <v>-1214.8148662502761</v>
      </c>
      <c r="T983">
        <f t="shared" si="1023"/>
        <v>-1.214814866250276</v>
      </c>
    </row>
    <row r="984" spans="1:20" x14ac:dyDescent="0.25">
      <c r="A984" s="5">
        <v>43609</v>
      </c>
      <c r="B984">
        <v>0.37989000000000001</v>
      </c>
      <c r="C984">
        <v>0.39374999999999999</v>
      </c>
      <c r="D984">
        <v>0.36981999999999998</v>
      </c>
      <c r="E984">
        <v>0.38285999999999998</v>
      </c>
      <c r="F984">
        <v>128350309.90000001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8.9845382365231291E-2</v>
      </c>
      <c r="Q984">
        <f t="shared" si="1020"/>
        <v>11531682.669661433</v>
      </c>
      <c r="R984">
        <f t="shared" si="1021"/>
        <v>-110470973.2791111</v>
      </c>
      <c r="S984">
        <f t="shared" si="1022"/>
        <v>-1104.709732791111</v>
      </c>
      <c r="T984">
        <f t="shared" si="1023"/>
        <v>-1.1047097327911111</v>
      </c>
    </row>
    <row r="985" spans="1:20" x14ac:dyDescent="0.25">
      <c r="A985" s="5">
        <v>43608</v>
      </c>
      <c r="B985">
        <v>0.37170999999999998</v>
      </c>
      <c r="C985">
        <v>0.38268999999999997</v>
      </c>
      <c r="D985">
        <v>0.36091000000000001</v>
      </c>
      <c r="E985">
        <v>0.37956000000000001</v>
      </c>
      <c r="F985">
        <v>123020941.90000001</v>
      </c>
      <c r="G985">
        <v>0</v>
      </c>
      <c r="L985" t="s">
        <v>7</v>
      </c>
      <c r="M985" t="s">
        <v>8</v>
      </c>
      <c r="N985" t="s">
        <v>8</v>
      </c>
      <c r="P985">
        <f t="shared" si="1019"/>
        <v>0.71258034894398792</v>
      </c>
      <c r="Q985">
        <f t="shared" si="1020"/>
        <v>87662305.706520066</v>
      </c>
      <c r="R985">
        <f t="shared" si="1021"/>
        <v>-122002655.94877253</v>
      </c>
      <c r="S985">
        <f t="shared" si="1022"/>
        <v>-1220.0265594877253</v>
      </c>
      <c r="T985">
        <f t="shared" si="1023"/>
        <v>-1.2200265594877253</v>
      </c>
    </row>
    <row r="986" spans="1:20" x14ac:dyDescent="0.25">
      <c r="A986" s="5">
        <v>43607</v>
      </c>
      <c r="B986">
        <v>0.39515</v>
      </c>
      <c r="C986">
        <v>0.41110000000000002</v>
      </c>
      <c r="D986">
        <v>0.36599999999999999</v>
      </c>
      <c r="E986">
        <v>0.37182999999999999</v>
      </c>
      <c r="F986">
        <v>163758384.80000001</v>
      </c>
      <c r="G986">
        <v>0</v>
      </c>
      <c r="L986" t="s">
        <v>8</v>
      </c>
      <c r="M986" t="s">
        <v>8</v>
      </c>
      <c r="N986" t="s">
        <v>8</v>
      </c>
      <c r="P986">
        <f t="shared" si="1019"/>
        <v>-0.74146341463414644</v>
      </c>
      <c r="Q986">
        <f t="shared" si="1020"/>
        <v>-121420851.16878052</v>
      </c>
      <c r="R986">
        <f t="shared" si="1021"/>
        <v>-209664961.6552926</v>
      </c>
      <c r="S986">
        <f t="shared" si="1022"/>
        <v>-2096.6496165529261</v>
      </c>
      <c r="T986">
        <f t="shared" si="1023"/>
        <v>-2.0966496165529263</v>
      </c>
    </row>
    <row r="987" spans="1:20" x14ac:dyDescent="0.25">
      <c r="A987" s="5">
        <v>43606</v>
      </c>
      <c r="B987">
        <v>0.39628999999999998</v>
      </c>
      <c r="C987">
        <v>0.40738000000000002</v>
      </c>
      <c r="D987">
        <v>0.38529999999999998</v>
      </c>
      <c r="E987">
        <v>0.39523999999999998</v>
      </c>
      <c r="F987">
        <v>136551127.69999999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-9.963768115942169E-2</v>
      </c>
      <c r="Q987">
        <f t="shared" si="1020"/>
        <v>-13605637.723732075</v>
      </c>
      <c r="R987">
        <f t="shared" si="1021"/>
        <v>-88244110.48651208</v>
      </c>
      <c r="S987">
        <f t="shared" si="1022"/>
        <v>-882.44110486512079</v>
      </c>
      <c r="T987">
        <f t="shared" si="1023"/>
        <v>-0.88244110486512084</v>
      </c>
    </row>
    <row r="988" spans="1:20" x14ac:dyDescent="0.25">
      <c r="A988" s="5">
        <v>43605</v>
      </c>
      <c r="B988">
        <v>0.41611999999999999</v>
      </c>
      <c r="C988">
        <v>0.41647000000000001</v>
      </c>
      <c r="D988">
        <v>0.37812000000000001</v>
      </c>
      <c r="E988">
        <v>0.39635999999999999</v>
      </c>
      <c r="F988">
        <v>186638980.5</v>
      </c>
      <c r="G988">
        <v>0</v>
      </c>
      <c r="L988" t="s">
        <v>7</v>
      </c>
      <c r="M988" t="s">
        <v>8</v>
      </c>
      <c r="N988" t="s">
        <v>8</v>
      </c>
      <c r="P988">
        <f t="shared" si="1019"/>
        <v>-4.8761408083442988E-2</v>
      </c>
      <c r="Q988">
        <f t="shared" si="1020"/>
        <v>-9100779.4924382586</v>
      </c>
      <c r="R988">
        <f t="shared" si="1021"/>
        <v>-74638472.762780011</v>
      </c>
      <c r="S988">
        <f t="shared" si="1022"/>
        <v>-746.38472762780009</v>
      </c>
      <c r="T988">
        <f t="shared" si="1023"/>
        <v>-0.74638472762780006</v>
      </c>
    </row>
    <row r="989" spans="1:20" x14ac:dyDescent="0.25">
      <c r="A989" s="5">
        <v>43604</v>
      </c>
      <c r="B989">
        <v>0.37178</v>
      </c>
      <c r="C989">
        <v>0.42796000000000001</v>
      </c>
      <c r="D989">
        <v>0.37</v>
      </c>
      <c r="E989">
        <v>0.41631000000000001</v>
      </c>
      <c r="F989">
        <v>242837597.59999999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0.59799861973775048</v>
      </c>
      <c r="Q989">
        <f t="shared" si="1020"/>
        <v>145216548.18523127</v>
      </c>
      <c r="R989">
        <f t="shared" si="1021"/>
        <v>-65537693.270341754</v>
      </c>
      <c r="S989">
        <f t="shared" si="1022"/>
        <v>-655.37693270341754</v>
      </c>
      <c r="T989">
        <f t="shared" si="1023"/>
        <v>-0.65537693270341757</v>
      </c>
    </row>
    <row r="990" spans="1:20" x14ac:dyDescent="0.25">
      <c r="A990" s="5">
        <v>43603</v>
      </c>
      <c r="B990">
        <v>0.38857999999999998</v>
      </c>
      <c r="C990">
        <v>0.39598</v>
      </c>
      <c r="D990">
        <v>0.3634</v>
      </c>
      <c r="E990">
        <v>0.37182999999999999</v>
      </c>
      <c r="F990">
        <v>147757619.59999999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-0.48250460405156576</v>
      </c>
      <c r="Q990">
        <f t="shared" si="1020"/>
        <v>-71293731.740699872</v>
      </c>
      <c r="R990">
        <f t="shared" si="1021"/>
        <v>-210754241.45557302</v>
      </c>
      <c r="S990">
        <f t="shared" si="1022"/>
        <v>-2107.5424145557304</v>
      </c>
      <c r="T990">
        <f t="shared" si="1023"/>
        <v>-2.1075424145557302</v>
      </c>
    </row>
    <row r="991" spans="1:20" x14ac:dyDescent="0.25">
      <c r="A991" s="5">
        <v>43602</v>
      </c>
      <c r="B991">
        <v>0.41891</v>
      </c>
      <c r="C991">
        <v>0.42393999999999998</v>
      </c>
      <c r="D991">
        <v>0.35849999999999999</v>
      </c>
      <c r="E991">
        <v>0.38862000000000002</v>
      </c>
      <c r="F991">
        <v>348570589.60000002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-7.9462102689485434E-2</v>
      </c>
      <c r="Q991">
        <f t="shared" si="1020"/>
        <v>-27698151.985329684</v>
      </c>
      <c r="R991">
        <f t="shared" si="1021"/>
        <v>-139460509.71487316</v>
      </c>
      <c r="S991">
        <f t="shared" si="1022"/>
        <v>-1394.6050971487316</v>
      </c>
      <c r="T991">
        <f t="shared" si="1023"/>
        <v>-1.3946050971487316</v>
      </c>
    </row>
    <row r="992" spans="1:20" x14ac:dyDescent="0.25">
      <c r="A992" s="5">
        <v>43601</v>
      </c>
      <c r="B992">
        <v>0.45723000000000003</v>
      </c>
      <c r="C992">
        <v>0.47899999999999998</v>
      </c>
      <c r="D992">
        <v>0.39334000000000002</v>
      </c>
      <c r="E992">
        <v>0.41876000000000002</v>
      </c>
      <c r="F992">
        <v>456302195.69999999</v>
      </c>
      <c r="G992">
        <v>0</v>
      </c>
      <c r="L992" t="s">
        <v>8</v>
      </c>
      <c r="M992" t="s">
        <v>7</v>
      </c>
      <c r="N992" t="s">
        <v>8</v>
      </c>
      <c r="P992">
        <f t="shared" si="1019"/>
        <v>-0.40649077749241164</v>
      </c>
      <c r="Q992">
        <f t="shared" si="1020"/>
        <v>-185482634.30158755</v>
      </c>
      <c r="R992">
        <f t="shared" si="1021"/>
        <v>-111762357.72954348</v>
      </c>
      <c r="S992">
        <f t="shared" si="1022"/>
        <v>-1117.6235772954349</v>
      </c>
      <c r="T992">
        <f t="shared" si="1023"/>
        <v>-1.1176235772954348</v>
      </c>
    </row>
    <row r="993" spans="1:20" x14ac:dyDescent="0.25">
      <c r="A993" s="5">
        <v>43600</v>
      </c>
      <c r="B993">
        <v>0.40899999999999997</v>
      </c>
      <c r="C993">
        <v>0.46700000000000003</v>
      </c>
      <c r="D993">
        <v>0.40737000000000001</v>
      </c>
      <c r="E993">
        <v>0.45734000000000002</v>
      </c>
      <c r="F993">
        <v>281029374.39999998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0.6760020124098608</v>
      </c>
      <c r="Q993">
        <f t="shared" si="1020"/>
        <v>189976422.64068419</v>
      </c>
      <c r="R993">
        <f t="shared" si="1021"/>
        <v>73720276.572044075</v>
      </c>
      <c r="S993">
        <f t="shared" si="1022"/>
        <v>737.20276572044077</v>
      </c>
      <c r="T993">
        <f t="shared" si="1023"/>
        <v>0.73720276572044074</v>
      </c>
    </row>
    <row r="994" spans="1:20" x14ac:dyDescent="0.25">
      <c r="A994" s="5">
        <v>43599</v>
      </c>
      <c r="B994">
        <v>0.32385000000000003</v>
      </c>
      <c r="C994">
        <v>0.43619999999999998</v>
      </c>
      <c r="D994">
        <v>0.32199</v>
      </c>
      <c r="E994">
        <v>0.40899999999999997</v>
      </c>
      <c r="F994">
        <v>602192165.29999995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0.52368444094212407</v>
      </c>
      <c r="Q994">
        <f t="shared" si="1020"/>
        <v>315358667.42485762</v>
      </c>
      <c r="R994">
        <f t="shared" si="1021"/>
        <v>-116256146.06864011</v>
      </c>
      <c r="S994">
        <f t="shared" si="1022"/>
        <v>-1162.5614606864012</v>
      </c>
      <c r="T994">
        <f t="shared" si="1023"/>
        <v>-1.1625614606864012</v>
      </c>
    </row>
    <row r="995" spans="1:20" x14ac:dyDescent="0.25">
      <c r="A995" s="5">
        <v>43598</v>
      </c>
      <c r="B995">
        <v>0.31014000000000003</v>
      </c>
      <c r="C995">
        <v>0.32900000000000001</v>
      </c>
      <c r="D995">
        <v>0.30785000000000001</v>
      </c>
      <c r="E995">
        <v>0.32408999999999999</v>
      </c>
      <c r="F995">
        <v>135144821.19999999</v>
      </c>
      <c r="G995">
        <v>0</v>
      </c>
      <c r="L995" t="s">
        <v>8</v>
      </c>
      <c r="M995" t="s">
        <v>7</v>
      </c>
      <c r="N995" t="s">
        <v>7</v>
      </c>
      <c r="P995">
        <f t="shared" si="1019"/>
        <v>0.53569739952718443</v>
      </c>
      <c r="Q995">
        <f t="shared" si="1020"/>
        <v>72396729.276406303</v>
      </c>
      <c r="R995">
        <f t="shared" si="1021"/>
        <v>-431614813.49349773</v>
      </c>
      <c r="S995">
        <f t="shared" si="1022"/>
        <v>-4316.148134934977</v>
      </c>
      <c r="T995">
        <f t="shared" si="1023"/>
        <v>-4.3161481349349771</v>
      </c>
    </row>
    <row r="996" spans="1:20" x14ac:dyDescent="0.25">
      <c r="A996" s="5">
        <v>43597</v>
      </c>
      <c r="B996">
        <v>0.31702999999999998</v>
      </c>
      <c r="C996">
        <v>0.32991999999999999</v>
      </c>
      <c r="D996">
        <v>0.30232999999999999</v>
      </c>
      <c r="E996">
        <v>0.31015999999999999</v>
      </c>
      <c r="F996">
        <v>142010500.40000001</v>
      </c>
      <c r="G996">
        <v>0</v>
      </c>
      <c r="L996" t="s">
        <v>7</v>
      </c>
      <c r="M996" t="s">
        <v>7</v>
      </c>
      <c r="N996" t="s">
        <v>7</v>
      </c>
      <c r="P996">
        <f t="shared" si="1019"/>
        <v>-0.43240304458136986</v>
      </c>
      <c r="Q996">
        <f t="shared" si="1020"/>
        <v>-61405772.735483848</v>
      </c>
      <c r="R996">
        <f t="shared" si="1021"/>
        <v>-504011542.76990402</v>
      </c>
      <c r="S996">
        <f t="shared" si="1022"/>
        <v>-5040.1154276990401</v>
      </c>
      <c r="T996">
        <f t="shared" si="1023"/>
        <v>-5.0401154276990399</v>
      </c>
    </row>
    <row r="997" spans="1:20" x14ac:dyDescent="0.25">
      <c r="A997" s="5">
        <v>43596</v>
      </c>
      <c r="B997">
        <v>0.29876999999999998</v>
      </c>
      <c r="C997">
        <v>0.3372</v>
      </c>
      <c r="D997">
        <v>0.29801</v>
      </c>
      <c r="E997">
        <v>0.31724000000000002</v>
      </c>
      <c r="F997">
        <v>191745220</v>
      </c>
      <c r="G997">
        <v>0</v>
      </c>
      <c r="L997" t="s">
        <v>8</v>
      </c>
      <c r="M997" t="s">
        <v>7</v>
      </c>
      <c r="N997" t="s">
        <v>7</v>
      </c>
      <c r="P997">
        <f t="shared" si="1019"/>
        <v>-1.8627200816533629E-2</v>
      </c>
      <c r="Q997">
        <f t="shared" si="1020"/>
        <v>-3571676.7185504204</v>
      </c>
      <c r="R997">
        <f t="shared" si="1021"/>
        <v>-442605770.03442019</v>
      </c>
      <c r="S997">
        <f t="shared" si="1022"/>
        <v>-4426.0577003442022</v>
      </c>
      <c r="T997">
        <f t="shared" si="1023"/>
        <v>-4.4260577003442023</v>
      </c>
    </row>
    <row r="998" spans="1:20" x14ac:dyDescent="0.25">
      <c r="A998" s="5">
        <v>43595</v>
      </c>
      <c r="B998">
        <v>0.29475000000000001</v>
      </c>
      <c r="C998">
        <v>0.30198000000000003</v>
      </c>
      <c r="D998">
        <v>0.29060999999999998</v>
      </c>
      <c r="E998">
        <v>0.29881000000000002</v>
      </c>
      <c r="F998">
        <v>49685072.399999999</v>
      </c>
      <c r="G998">
        <v>0</v>
      </c>
      <c r="L998" t="s">
        <v>7</v>
      </c>
      <c r="M998" t="s">
        <v>7</v>
      </c>
      <c r="N998" t="s">
        <v>7</v>
      </c>
      <c r="P998">
        <f t="shared" si="1019"/>
        <v>0.44239226033421403</v>
      </c>
      <c r="Q998">
        <f t="shared" si="1020"/>
        <v>21980291.483905073</v>
      </c>
      <c r="R998">
        <f t="shared" si="1021"/>
        <v>-439034093.31586975</v>
      </c>
      <c r="S998">
        <f t="shared" si="1022"/>
        <v>-4390.3409331586972</v>
      </c>
      <c r="T998">
        <f t="shared" si="1023"/>
        <v>-4.3903409331586971</v>
      </c>
    </row>
    <row r="999" spans="1:20" x14ac:dyDescent="0.25">
      <c r="A999" s="5">
        <v>43594</v>
      </c>
      <c r="B999">
        <v>0.29957</v>
      </c>
      <c r="C999">
        <v>0.30198000000000003</v>
      </c>
      <c r="D999">
        <v>0.29194999999999999</v>
      </c>
      <c r="E999">
        <v>0.29487999999999998</v>
      </c>
      <c r="F999">
        <v>43626389.799999997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-0.41575274177468058</v>
      </c>
      <c r="Q999">
        <f t="shared" si="1020"/>
        <v>-18137791.173080958</v>
      </c>
      <c r="R999">
        <f t="shared" si="1021"/>
        <v>-461014384.79977483</v>
      </c>
      <c r="S999">
        <f t="shared" si="1022"/>
        <v>-4610.1438479977487</v>
      </c>
      <c r="T999">
        <f t="shared" si="1023"/>
        <v>-4.6101438479977483</v>
      </c>
    </row>
    <row r="1000" spans="1:20" x14ac:dyDescent="0.25">
      <c r="A1000" s="5">
        <v>43593</v>
      </c>
      <c r="B1000">
        <v>0.29842999999999997</v>
      </c>
      <c r="C1000">
        <v>0.30275000000000002</v>
      </c>
      <c r="D1000">
        <v>0.29566999999999999</v>
      </c>
      <c r="E1000">
        <v>0.29958000000000001</v>
      </c>
      <c r="F1000">
        <v>34177808.200000003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0.10451977401130158</v>
      </c>
      <c r="Q1000">
        <f t="shared" si="1020"/>
        <v>3572256.7892656103</v>
      </c>
      <c r="R1000">
        <f t="shared" si="1021"/>
        <v>-442876593.62669384</v>
      </c>
      <c r="S1000">
        <f t="shared" si="1022"/>
        <v>-4428.7659362669383</v>
      </c>
      <c r="T1000">
        <f t="shared" si="1023"/>
        <v>-4.428765936266938</v>
      </c>
    </row>
    <row r="1001" spans="1:20" x14ac:dyDescent="0.25">
      <c r="A1001" s="5">
        <v>43592</v>
      </c>
      <c r="B1001">
        <v>0.30284</v>
      </c>
      <c r="C1001">
        <v>0.30725999999999998</v>
      </c>
      <c r="D1001">
        <v>0.29712</v>
      </c>
      <c r="E1001">
        <v>0.29819000000000001</v>
      </c>
      <c r="F1001">
        <v>57173886.200000003</v>
      </c>
      <c r="G1001">
        <v>0</v>
      </c>
      <c r="L1001" t="s">
        <v>7</v>
      </c>
      <c r="M1001" t="s">
        <v>7</v>
      </c>
      <c r="N1001" t="s">
        <v>7</v>
      </c>
      <c r="P1001">
        <f t="shared" si="1019"/>
        <v>-0.78895463510847785</v>
      </c>
      <c r="Q1001">
        <f t="shared" si="1020"/>
        <v>-45107602.524654642</v>
      </c>
      <c r="R1001">
        <f t="shared" si="1021"/>
        <v>-446448850.41595948</v>
      </c>
      <c r="S1001">
        <f t="shared" si="1022"/>
        <v>-4464.4885041595944</v>
      </c>
      <c r="T1001">
        <f t="shared" si="1023"/>
        <v>-4.4644885041595943</v>
      </c>
    </row>
    <row r="1002" spans="1:20" x14ac:dyDescent="0.25">
      <c r="A1002" s="5">
        <v>43591</v>
      </c>
      <c r="B1002">
        <v>0.30043999999999998</v>
      </c>
      <c r="C1002">
        <v>0.30751000000000001</v>
      </c>
      <c r="D1002">
        <v>0.29479</v>
      </c>
      <c r="E1002">
        <v>0.30282999999999999</v>
      </c>
      <c r="F1002">
        <v>51001442.799999997</v>
      </c>
      <c r="G1002">
        <v>0</v>
      </c>
      <c r="L1002" t="s">
        <v>7</v>
      </c>
      <c r="M1002" t="s">
        <v>7</v>
      </c>
      <c r="N1002" t="s">
        <v>7</v>
      </c>
      <c r="P1002">
        <f t="shared" si="1019"/>
        <v>0.26415094339622419</v>
      </c>
      <c r="Q1002">
        <f t="shared" si="1020"/>
        <v>13472079.230188565</v>
      </c>
      <c r="R1002">
        <f t="shared" si="1021"/>
        <v>-401341247.89130485</v>
      </c>
      <c r="S1002">
        <f t="shared" si="1022"/>
        <v>-4013.4124789130483</v>
      </c>
      <c r="T1002">
        <f t="shared" si="1023"/>
        <v>-4.0134124789130485</v>
      </c>
    </row>
    <row r="1003" spans="1:20" x14ac:dyDescent="0.25">
      <c r="A1003" s="5">
        <v>43590</v>
      </c>
      <c r="B1003">
        <v>0.30292999999999998</v>
      </c>
      <c r="C1003">
        <v>0.30499999999999999</v>
      </c>
      <c r="D1003">
        <v>0.29892000000000002</v>
      </c>
      <c r="E1003">
        <v>0.30043999999999998</v>
      </c>
      <c r="F1003">
        <v>30103928.800000001</v>
      </c>
      <c r="G1003">
        <v>0</v>
      </c>
      <c r="L1003" t="s">
        <v>8</v>
      </c>
      <c r="M1003" t="s">
        <v>7</v>
      </c>
      <c r="N1003" t="s">
        <v>7</v>
      </c>
      <c r="P1003">
        <f t="shared" si="1019"/>
        <v>-0.5000000000000091</v>
      </c>
      <c r="Q1003">
        <f t="shared" si="1020"/>
        <v>-15051964.400000274</v>
      </c>
      <c r="R1003">
        <f t="shared" si="1021"/>
        <v>-414813327.1214934</v>
      </c>
      <c r="S1003">
        <f t="shared" si="1022"/>
        <v>-4148.1332712149342</v>
      </c>
      <c r="T1003">
        <f t="shared" si="1023"/>
        <v>-4.1481332712149346</v>
      </c>
    </row>
    <row r="1004" spans="1:20" x14ac:dyDescent="0.25">
      <c r="A1004" s="5">
        <v>43589</v>
      </c>
      <c r="B1004">
        <v>0.30792000000000003</v>
      </c>
      <c r="C1004">
        <v>0.31856000000000001</v>
      </c>
      <c r="D1004">
        <v>0.29633999999999999</v>
      </c>
      <c r="E1004">
        <v>0.30304999999999999</v>
      </c>
      <c r="F1004">
        <v>66819936.899999999</v>
      </c>
      <c r="G1004">
        <v>0</v>
      </c>
      <c r="L1004" t="s">
        <v>8</v>
      </c>
      <c r="M1004" t="s">
        <v>7</v>
      </c>
      <c r="N1004" t="s">
        <v>7</v>
      </c>
      <c r="P1004">
        <f t="shared" si="1019"/>
        <v>-0.39603960396039706</v>
      </c>
      <c r="Q1004">
        <f t="shared" si="1020"/>
        <v>-26463341.346534722</v>
      </c>
      <c r="R1004">
        <f t="shared" si="1021"/>
        <v>-399761362.72149312</v>
      </c>
      <c r="S1004">
        <f t="shared" si="1022"/>
        <v>-3997.6136272149311</v>
      </c>
      <c r="T1004">
        <f t="shared" si="1023"/>
        <v>-3.997613627214931</v>
      </c>
    </row>
    <row r="1005" spans="1:20" x14ac:dyDescent="0.25">
      <c r="A1005" s="5">
        <v>43588</v>
      </c>
      <c r="B1005">
        <v>0.30206</v>
      </c>
      <c r="C1005">
        <v>0.31052999999999997</v>
      </c>
      <c r="D1005">
        <v>0.30030000000000001</v>
      </c>
      <c r="E1005">
        <v>0.30784</v>
      </c>
      <c r="F1005">
        <v>69197287.900000006</v>
      </c>
      <c r="G1005">
        <v>0</v>
      </c>
      <c r="L1005" t="s">
        <v>8</v>
      </c>
      <c r="M1005" t="s">
        <v>7</v>
      </c>
      <c r="N1005" t="s">
        <v>7</v>
      </c>
      <c r="P1005">
        <f t="shared" si="1019"/>
        <v>0.47409579667644569</v>
      </c>
      <c r="Q1005">
        <f t="shared" si="1020"/>
        <v>32806143.334799878</v>
      </c>
      <c r="R1005">
        <f t="shared" si="1021"/>
        <v>-373298021.3749584</v>
      </c>
      <c r="S1005">
        <f t="shared" si="1022"/>
        <v>-3732.980213749584</v>
      </c>
      <c r="T1005">
        <f t="shared" si="1023"/>
        <v>-3.7329802137495838</v>
      </c>
    </row>
    <row r="1006" spans="1:20" x14ac:dyDescent="0.25">
      <c r="A1006" s="5">
        <v>43587</v>
      </c>
      <c r="B1006">
        <v>0.30313000000000001</v>
      </c>
      <c r="C1006">
        <v>0.30478</v>
      </c>
      <c r="D1006">
        <v>0.30071999999999999</v>
      </c>
      <c r="E1006">
        <v>0.30204999999999999</v>
      </c>
      <c r="F1006">
        <v>33326988.699999999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-0.34482758620689891</v>
      </c>
      <c r="Q1006">
        <f t="shared" si="1020"/>
        <v>-11492065.068965595</v>
      </c>
      <c r="R1006">
        <f t="shared" si="1021"/>
        <v>-406104164.70975828</v>
      </c>
      <c r="S1006">
        <f t="shared" si="1022"/>
        <v>-4061.0416470975829</v>
      </c>
      <c r="T1006">
        <f t="shared" si="1023"/>
        <v>-4.061041647097583</v>
      </c>
    </row>
    <row r="1007" spans="1:20" x14ac:dyDescent="0.25">
      <c r="A1007" s="5">
        <v>43586</v>
      </c>
      <c r="B1007">
        <v>0.30854999999999999</v>
      </c>
      <c r="C1007">
        <v>0.31</v>
      </c>
      <c r="D1007">
        <v>0.29992000000000002</v>
      </c>
      <c r="E1007">
        <v>0.30303999999999998</v>
      </c>
      <c r="F1007">
        <v>48514885.700000003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-0.38095238095238831</v>
      </c>
      <c r="Q1007">
        <f t="shared" si="1020"/>
        <v>-18481861.219047979</v>
      </c>
      <c r="R1007">
        <f t="shared" si="1021"/>
        <v>-394612099.64079267</v>
      </c>
      <c r="S1007">
        <f t="shared" si="1022"/>
        <v>-3946.1209964079267</v>
      </c>
      <c r="T1007">
        <f t="shared" si="1023"/>
        <v>-3.9461209964079265</v>
      </c>
    </row>
    <row r="1008" spans="1:20" x14ac:dyDescent="0.25">
      <c r="A1008" s="5">
        <v>43585</v>
      </c>
      <c r="B1008">
        <v>0.29313</v>
      </c>
      <c r="C1008">
        <v>0.31248999999999999</v>
      </c>
      <c r="D1008">
        <v>0.29154000000000002</v>
      </c>
      <c r="E1008">
        <v>0.30869999999999997</v>
      </c>
      <c r="F1008">
        <v>79732128.900000006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0.63818615751789776</v>
      </c>
      <c r="Q1008">
        <f t="shared" si="1020"/>
        <v>50883940.97341273</v>
      </c>
      <c r="R1008">
        <f t="shared" si="1021"/>
        <v>-376130238.4217447</v>
      </c>
      <c r="S1008">
        <f t="shared" si="1022"/>
        <v>-3761.3023842174471</v>
      </c>
      <c r="T1008">
        <f t="shared" si="1023"/>
        <v>-3.7613023842174469</v>
      </c>
    </row>
    <row r="1009" spans="1:20" x14ac:dyDescent="0.25">
      <c r="A1009" s="5">
        <v>43584</v>
      </c>
      <c r="B1009">
        <v>0.29948000000000002</v>
      </c>
      <c r="C1009">
        <v>0.30160999999999999</v>
      </c>
      <c r="D1009">
        <v>0.28959000000000001</v>
      </c>
      <c r="E1009">
        <v>0.29322999999999999</v>
      </c>
      <c r="F1009">
        <v>40369249.299999997</v>
      </c>
      <c r="G1009">
        <v>0</v>
      </c>
      <c r="L1009" t="s">
        <v>8</v>
      </c>
      <c r="M1009" t="s">
        <v>7</v>
      </c>
      <c r="N1009" t="s">
        <v>7</v>
      </c>
      <c r="P1009">
        <f t="shared" si="1019"/>
        <v>-0.3943427620632306</v>
      </c>
      <c r="Q1009">
        <f t="shared" si="1020"/>
        <v>-15919321.271381138</v>
      </c>
      <c r="R1009">
        <f t="shared" si="1021"/>
        <v>-427014179.39515746</v>
      </c>
      <c r="S1009">
        <f t="shared" si="1022"/>
        <v>-4270.141793951575</v>
      </c>
      <c r="T1009">
        <f t="shared" si="1023"/>
        <v>-4.2701417939515753</v>
      </c>
    </row>
    <row r="1010" spans="1:20" x14ac:dyDescent="0.25">
      <c r="A1010" s="5">
        <v>43583</v>
      </c>
      <c r="B1010">
        <v>0.29942000000000002</v>
      </c>
      <c r="C1010">
        <v>0.30277999999999999</v>
      </c>
      <c r="D1010">
        <v>0.29535</v>
      </c>
      <c r="E1010">
        <v>0.29946</v>
      </c>
      <c r="F1010">
        <v>27792665.600000001</v>
      </c>
      <c r="G1010">
        <v>0</v>
      </c>
      <c r="L1010" t="s">
        <v>8</v>
      </c>
      <c r="M1010" t="s">
        <v>7</v>
      </c>
      <c r="N1010" t="s">
        <v>7</v>
      </c>
      <c r="P1010">
        <f t="shared" si="1019"/>
        <v>0.10632570659488745</v>
      </c>
      <c r="Q1010">
        <f t="shared" si="1020"/>
        <v>2955074.808075422</v>
      </c>
      <c r="R1010">
        <f t="shared" si="1021"/>
        <v>-411094858.12377632</v>
      </c>
      <c r="S1010">
        <f t="shared" si="1022"/>
        <v>-4110.9485812377634</v>
      </c>
      <c r="T1010">
        <f t="shared" si="1023"/>
        <v>-4.1109485812377633</v>
      </c>
    </row>
    <row r="1011" spans="1:20" x14ac:dyDescent="0.25">
      <c r="A1011" s="5">
        <v>43582</v>
      </c>
      <c r="B1011">
        <v>0.3034</v>
      </c>
      <c r="C1011">
        <v>0.30498999999999998</v>
      </c>
      <c r="D1011">
        <v>0.29749999999999999</v>
      </c>
      <c r="E1011">
        <v>0.29927999999999999</v>
      </c>
      <c r="F1011">
        <v>32921334.600000001</v>
      </c>
      <c r="G1011">
        <v>0</v>
      </c>
      <c r="L1011" t="s">
        <v>8</v>
      </c>
      <c r="M1011" t="s">
        <v>7</v>
      </c>
      <c r="N1011" t="s">
        <v>7</v>
      </c>
      <c r="P1011">
        <f t="shared" si="1019"/>
        <v>-0.52469959946595335</v>
      </c>
      <c r="Q1011">
        <f t="shared" si="1020"/>
        <v>-17273811.078504633</v>
      </c>
      <c r="R1011">
        <f t="shared" si="1021"/>
        <v>-414049932.93185174</v>
      </c>
      <c r="S1011">
        <f t="shared" si="1022"/>
        <v>-4140.4993293185171</v>
      </c>
      <c r="T1011">
        <f t="shared" si="1023"/>
        <v>-4.1404993293185175</v>
      </c>
    </row>
    <row r="1012" spans="1:20" x14ac:dyDescent="0.25">
      <c r="A1012" s="5">
        <v>43581</v>
      </c>
      <c r="B1012">
        <v>0.29161999999999999</v>
      </c>
      <c r="C1012">
        <v>0.30491000000000001</v>
      </c>
      <c r="D1012">
        <v>0.28838999999999998</v>
      </c>
      <c r="E1012">
        <v>0.30349999999999999</v>
      </c>
      <c r="F1012">
        <v>72046167.900000006</v>
      </c>
      <c r="G1012">
        <v>0</v>
      </c>
      <c r="L1012" t="s">
        <v>8</v>
      </c>
      <c r="M1012" t="s">
        <v>7</v>
      </c>
      <c r="N1012" t="s">
        <v>7</v>
      </c>
      <c r="P1012">
        <f t="shared" si="1019"/>
        <v>0.82929782082324222</v>
      </c>
      <c r="Q1012">
        <f t="shared" si="1020"/>
        <v>59747730.038135432</v>
      </c>
      <c r="R1012">
        <f t="shared" si="1021"/>
        <v>-396776121.85334712</v>
      </c>
      <c r="S1012">
        <f t="shared" si="1022"/>
        <v>-3967.761218533471</v>
      </c>
      <c r="T1012">
        <f t="shared" si="1023"/>
        <v>-3.9677612185334712</v>
      </c>
    </row>
    <row r="1013" spans="1:20" x14ac:dyDescent="0.25">
      <c r="A1013" s="5">
        <v>43580</v>
      </c>
      <c r="B1013">
        <v>0.29970999999999998</v>
      </c>
      <c r="C1013">
        <v>0.30581000000000003</v>
      </c>
      <c r="D1013">
        <v>0.28455000000000003</v>
      </c>
      <c r="E1013">
        <v>0.29160999999999998</v>
      </c>
      <c r="F1013">
        <v>89489236.099999994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-0.33584195672625072</v>
      </c>
      <c r="Q1013">
        <f t="shared" si="1020"/>
        <v>-30054240.157761432</v>
      </c>
      <c r="R1013">
        <f t="shared" si="1021"/>
        <v>-456523851.89148253</v>
      </c>
      <c r="S1013">
        <f t="shared" si="1022"/>
        <v>-4565.2385189148254</v>
      </c>
      <c r="T1013">
        <f t="shared" si="1023"/>
        <v>-4.5652385189148257</v>
      </c>
    </row>
    <row r="1014" spans="1:20" x14ac:dyDescent="0.25">
      <c r="A1014" s="5">
        <v>43579</v>
      </c>
      <c r="B1014">
        <v>0.31802000000000002</v>
      </c>
      <c r="C1014">
        <v>0.31989000000000001</v>
      </c>
      <c r="D1014">
        <v>0.2888</v>
      </c>
      <c r="E1014">
        <v>0.29963000000000001</v>
      </c>
      <c r="F1014">
        <v>117021557.40000001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-0.30331296236732042</v>
      </c>
      <c r="Q1014">
        <f t="shared" si="1020"/>
        <v>-35494155.235831425</v>
      </c>
      <c r="R1014">
        <f t="shared" si="1021"/>
        <v>-426469611.73372108</v>
      </c>
      <c r="S1014">
        <f t="shared" si="1022"/>
        <v>-4264.696117337211</v>
      </c>
      <c r="T1014">
        <f t="shared" si="1023"/>
        <v>-4.2646961173372109</v>
      </c>
    </row>
    <row r="1015" spans="1:20" x14ac:dyDescent="0.25">
      <c r="A1015" s="5">
        <v>43578</v>
      </c>
      <c r="B1015">
        <v>0.32232</v>
      </c>
      <c r="C1015">
        <v>0.32646999999999998</v>
      </c>
      <c r="D1015">
        <v>0.31684000000000001</v>
      </c>
      <c r="E1015">
        <v>0.31807000000000002</v>
      </c>
      <c r="F1015">
        <v>54953934</v>
      </c>
      <c r="G1015">
        <v>0</v>
      </c>
      <c r="L1015" t="s">
        <v>7</v>
      </c>
      <c r="M1015" t="s">
        <v>7</v>
      </c>
      <c r="N1015" t="s">
        <v>7</v>
      </c>
      <c r="P1015">
        <f t="shared" si="1019"/>
        <v>-0.74454828660435879</v>
      </c>
      <c r="Q1015">
        <f t="shared" si="1020"/>
        <v>-40915857.401869014</v>
      </c>
      <c r="R1015">
        <f t="shared" si="1021"/>
        <v>-390975456.49788964</v>
      </c>
      <c r="S1015">
        <f t="shared" si="1022"/>
        <v>-3909.7545649788963</v>
      </c>
      <c r="T1015">
        <f t="shared" si="1023"/>
        <v>-3.9097545649788961</v>
      </c>
    </row>
    <row r="1016" spans="1:20" x14ac:dyDescent="0.25">
      <c r="A1016" s="5">
        <v>43577</v>
      </c>
      <c r="B1016">
        <v>0.31972</v>
      </c>
      <c r="C1016">
        <v>0.3306</v>
      </c>
      <c r="D1016">
        <v>0.31624000000000002</v>
      </c>
      <c r="E1016">
        <v>0.32251999999999997</v>
      </c>
      <c r="F1016">
        <v>66794738.700000003</v>
      </c>
      <c r="G1016">
        <v>0</v>
      </c>
      <c r="L1016" t="s">
        <v>7</v>
      </c>
      <c r="M1016" t="s">
        <v>7</v>
      </c>
      <c r="N1016" t="s">
        <v>7</v>
      </c>
      <c r="P1016">
        <f t="shared" si="1019"/>
        <v>-0.12534818941504744</v>
      </c>
      <c r="Q1016">
        <f t="shared" si="1020"/>
        <v>-8372599.5584961995</v>
      </c>
      <c r="R1016">
        <f t="shared" si="1021"/>
        <v>-350059599.09602064</v>
      </c>
      <c r="S1016">
        <f t="shared" si="1022"/>
        <v>-3500.5959909602066</v>
      </c>
      <c r="T1016">
        <f t="shared" si="1023"/>
        <v>-3.5005959909602065</v>
      </c>
    </row>
    <row r="1017" spans="1:20" x14ac:dyDescent="0.25">
      <c r="A1017" s="5">
        <v>43576</v>
      </c>
      <c r="B1017">
        <v>0.32673000000000002</v>
      </c>
      <c r="C1017">
        <v>0.32815</v>
      </c>
      <c r="D1017">
        <v>0.31356000000000001</v>
      </c>
      <c r="E1017">
        <v>0.31963000000000003</v>
      </c>
      <c r="F1017">
        <v>56724369.399999999</v>
      </c>
      <c r="G1017">
        <v>0</v>
      </c>
      <c r="L1017" t="s">
        <v>7</v>
      </c>
      <c r="M1017" t="s">
        <v>7</v>
      </c>
      <c r="N1017" t="s">
        <v>7</v>
      </c>
      <c r="P1017">
        <f t="shared" si="1019"/>
        <v>-0.16792323509252594</v>
      </c>
      <c r="Q1017">
        <f t="shared" si="1020"/>
        <v>-9525339.6182314847</v>
      </c>
      <c r="R1017">
        <f t="shared" si="1021"/>
        <v>-341686999.53752446</v>
      </c>
      <c r="S1017">
        <f t="shared" si="1022"/>
        <v>-3416.8699953752448</v>
      </c>
      <c r="T1017">
        <f t="shared" si="1023"/>
        <v>-3.4168699953752446</v>
      </c>
    </row>
    <row r="1018" spans="1:20" x14ac:dyDescent="0.25">
      <c r="A1018" s="5">
        <v>43575</v>
      </c>
      <c r="B1018">
        <v>0.33007999999999998</v>
      </c>
      <c r="C1018">
        <v>0.33240999999999998</v>
      </c>
      <c r="D1018">
        <v>0.32100000000000001</v>
      </c>
      <c r="E1018">
        <v>0.32668000000000003</v>
      </c>
      <c r="F1018">
        <v>50641661.899999999</v>
      </c>
      <c r="G1018">
        <v>0</v>
      </c>
      <c r="L1018" t="s">
        <v>7</v>
      </c>
      <c r="M1018" t="s">
        <v>7</v>
      </c>
      <c r="N1018" t="s">
        <v>7</v>
      </c>
      <c r="P1018">
        <f t="shared" si="1019"/>
        <v>-4.3821209465327859E-3</v>
      </c>
      <c r="Q1018">
        <f t="shared" si="1020"/>
        <v>-221917.88737922133</v>
      </c>
      <c r="R1018">
        <f t="shared" si="1021"/>
        <v>-332161659.91929299</v>
      </c>
      <c r="S1018">
        <f t="shared" si="1022"/>
        <v>-3321.6165991929297</v>
      </c>
      <c r="T1018">
        <f t="shared" si="1023"/>
        <v>-3.3216165991929296</v>
      </c>
    </row>
    <row r="1019" spans="1:20" x14ac:dyDescent="0.25">
      <c r="A1019" s="5">
        <v>43574</v>
      </c>
      <c r="B1019">
        <v>0.33524999999999999</v>
      </c>
      <c r="C1019">
        <v>0.33537</v>
      </c>
      <c r="D1019">
        <v>0.32606000000000002</v>
      </c>
      <c r="E1019">
        <v>0.32999000000000001</v>
      </c>
      <c r="F1019">
        <v>56599475.799999997</v>
      </c>
      <c r="G1019">
        <v>0</v>
      </c>
      <c r="L1019" t="s">
        <v>8</v>
      </c>
      <c r="M1019" t="s">
        <v>7</v>
      </c>
      <c r="N1019" t="s">
        <v>7</v>
      </c>
      <c r="P1019">
        <f t="shared" si="1019"/>
        <v>-0.15574650912996876</v>
      </c>
      <c r="Q1019">
        <f t="shared" si="1020"/>
        <v>-8815170.774436146</v>
      </c>
      <c r="R1019">
        <f t="shared" si="1021"/>
        <v>-331939742.03191376</v>
      </c>
      <c r="S1019">
        <f t="shared" si="1022"/>
        <v>-3319.3974203191374</v>
      </c>
      <c r="T1019">
        <f t="shared" si="1023"/>
        <v>-3.3193974203191372</v>
      </c>
    </row>
    <row r="1020" spans="1:20" x14ac:dyDescent="0.25">
      <c r="A1020" s="5">
        <v>43573</v>
      </c>
      <c r="B1020">
        <v>0.33434999999999998</v>
      </c>
      <c r="C1020">
        <v>0.34671000000000002</v>
      </c>
      <c r="D1020">
        <v>0.33116000000000001</v>
      </c>
      <c r="E1020">
        <v>0.33533000000000002</v>
      </c>
      <c r="F1020">
        <v>89265139.5</v>
      </c>
      <c r="G1020">
        <v>0</v>
      </c>
      <c r="L1020" t="s">
        <v>8</v>
      </c>
      <c r="M1020" t="s">
        <v>7</v>
      </c>
      <c r="N1020" t="s">
        <v>7</v>
      </c>
      <c r="P1020">
        <f t="shared" si="1019"/>
        <v>-0.46366559485530484</v>
      </c>
      <c r="Q1020">
        <f t="shared" si="1020"/>
        <v>-41389174.006109267</v>
      </c>
      <c r="R1020">
        <f t="shared" si="1021"/>
        <v>-323124571.25747764</v>
      </c>
      <c r="S1020">
        <f t="shared" si="1022"/>
        <v>-3231.2457125747765</v>
      </c>
      <c r="T1020">
        <f t="shared" si="1023"/>
        <v>-3.2312457125747764</v>
      </c>
    </row>
    <row r="1021" spans="1:20" x14ac:dyDescent="0.25">
      <c r="A1021" s="5">
        <v>43572</v>
      </c>
      <c r="B1021">
        <v>0.32400000000000001</v>
      </c>
      <c r="C1021">
        <v>0.34100000000000003</v>
      </c>
      <c r="D1021">
        <v>0.31900000000000001</v>
      </c>
      <c r="E1021">
        <v>0.33435999999999999</v>
      </c>
      <c r="F1021">
        <v>104205590.3</v>
      </c>
      <c r="G1021">
        <v>0</v>
      </c>
      <c r="L1021" t="s">
        <v>8</v>
      </c>
      <c r="M1021" t="s">
        <v>7</v>
      </c>
      <c r="N1021" t="s">
        <v>7</v>
      </c>
      <c r="P1021">
        <f t="shared" si="1019"/>
        <v>0.39636363636363375</v>
      </c>
      <c r="Q1021">
        <f t="shared" si="1020"/>
        <v>41303306.700727001</v>
      </c>
      <c r="R1021">
        <f t="shared" si="1021"/>
        <v>-281735397.2513684</v>
      </c>
      <c r="S1021">
        <f t="shared" si="1022"/>
        <v>-2817.3539725136839</v>
      </c>
      <c r="T1021">
        <f t="shared" si="1023"/>
        <v>-2.817353972513684</v>
      </c>
    </row>
    <row r="1022" spans="1:20" x14ac:dyDescent="0.25">
      <c r="A1022" s="5">
        <v>43571</v>
      </c>
      <c r="B1022">
        <v>0.31889000000000001</v>
      </c>
      <c r="C1022">
        <v>0.32500000000000001</v>
      </c>
      <c r="D1022">
        <v>0.31541000000000002</v>
      </c>
      <c r="E1022">
        <v>0.32379000000000002</v>
      </c>
      <c r="F1022">
        <v>43657398.100000001</v>
      </c>
      <c r="G1022">
        <v>0</v>
      </c>
      <c r="L1022" t="s">
        <v>7</v>
      </c>
      <c r="M1022" t="s">
        <v>7</v>
      </c>
      <c r="N1022" t="s">
        <v>7</v>
      </c>
      <c r="P1022">
        <f t="shared" si="1019"/>
        <v>0.74765380604796861</v>
      </c>
      <c r="Q1022">
        <f t="shared" si="1020"/>
        <v>32640619.851616353</v>
      </c>
      <c r="R1022">
        <f t="shared" si="1021"/>
        <v>-323038703.95209539</v>
      </c>
      <c r="S1022">
        <f t="shared" si="1022"/>
        <v>-3230.3870395209537</v>
      </c>
      <c r="T1022">
        <f t="shared" si="1023"/>
        <v>-3.230387039520954</v>
      </c>
    </row>
    <row r="1023" spans="1:20" x14ac:dyDescent="0.25">
      <c r="A1023" s="5">
        <v>43570</v>
      </c>
      <c r="B1023">
        <v>0.32761000000000001</v>
      </c>
      <c r="C1023">
        <v>0.33184000000000002</v>
      </c>
      <c r="D1023">
        <v>0.31311</v>
      </c>
      <c r="E1023">
        <v>0.31905</v>
      </c>
      <c r="F1023">
        <v>60520268.299999997</v>
      </c>
      <c r="G1023">
        <v>0</v>
      </c>
      <c r="L1023" t="s">
        <v>7</v>
      </c>
      <c r="M1023" t="s">
        <v>7</v>
      </c>
      <c r="N1023" t="s">
        <v>7</v>
      </c>
      <c r="P1023">
        <f t="shared" ref="P1023:P1086" si="1024">IF(C1023=D1023,0,((E1023-D1023)-(C1023-E1023))/(C1023-D1023))</f>
        <v>-0.36572343833422388</v>
      </c>
      <c r="Q1023">
        <f t="shared" ref="Q1023:Q1086" si="1025">F1023*P1023</f>
        <v>-22133680.611585733</v>
      </c>
      <c r="R1023">
        <f t="shared" ref="R1023:R1086" si="1026">R1024+Q1023</f>
        <v>-355679323.80371171</v>
      </c>
      <c r="S1023">
        <f t="shared" ref="S1023:S1086" si="1027">R1023/100000</f>
        <v>-3556.7932380371171</v>
      </c>
      <c r="T1023">
        <f t="shared" ref="T1023:T1086" si="1028">S1023/1000</f>
        <v>-3.556793238037117</v>
      </c>
    </row>
    <row r="1024" spans="1:20" x14ac:dyDescent="0.25">
      <c r="A1024" s="5">
        <v>43569</v>
      </c>
      <c r="B1024">
        <v>0.32458999999999999</v>
      </c>
      <c r="C1024">
        <v>0.33</v>
      </c>
      <c r="D1024">
        <v>0.32121</v>
      </c>
      <c r="E1024">
        <v>0.32762000000000002</v>
      </c>
      <c r="F1024">
        <v>36641180.899999999</v>
      </c>
      <c r="G1024">
        <v>0</v>
      </c>
      <c r="L1024" t="s">
        <v>7</v>
      </c>
      <c r="M1024" t="s">
        <v>7</v>
      </c>
      <c r="N1024" t="s">
        <v>7</v>
      </c>
      <c r="P1024">
        <f t="shared" si="1024"/>
        <v>0.45847554038680594</v>
      </c>
      <c r="Q1024">
        <f t="shared" si="1025"/>
        <v>16799085.213538211</v>
      </c>
      <c r="R1024">
        <f t="shared" si="1026"/>
        <v>-333545643.19212598</v>
      </c>
      <c r="S1024">
        <f t="shared" si="1027"/>
        <v>-3335.4564319212595</v>
      </c>
      <c r="T1024">
        <f t="shared" si="1028"/>
        <v>-3.3354564319212594</v>
      </c>
    </row>
    <row r="1025" spans="1:20" x14ac:dyDescent="0.25">
      <c r="A1025" s="5">
        <v>43568</v>
      </c>
      <c r="B1025">
        <v>0.32313999999999998</v>
      </c>
      <c r="C1025">
        <v>0.33589999999999998</v>
      </c>
      <c r="D1025">
        <v>0.31935999999999998</v>
      </c>
      <c r="E1025">
        <v>0.32457999999999998</v>
      </c>
      <c r="F1025">
        <v>67170066.400000006</v>
      </c>
      <c r="G1025">
        <v>0</v>
      </c>
      <c r="L1025" t="s">
        <v>7</v>
      </c>
      <c r="M1025" t="s">
        <v>7</v>
      </c>
      <c r="N1025" t="s">
        <v>7</v>
      </c>
      <c r="P1025">
        <f t="shared" si="1024"/>
        <v>-0.36880290205562238</v>
      </c>
      <c r="Q1025">
        <f t="shared" si="1025"/>
        <v>-24772515.419588853</v>
      </c>
      <c r="R1025">
        <f t="shared" si="1026"/>
        <v>-350344728.40566421</v>
      </c>
      <c r="S1025">
        <f t="shared" si="1027"/>
        <v>-3503.4472840566423</v>
      </c>
      <c r="T1025">
        <f t="shared" si="1028"/>
        <v>-3.5034472840566422</v>
      </c>
    </row>
    <row r="1026" spans="1:20" x14ac:dyDescent="0.25">
      <c r="A1026" s="5">
        <v>43567</v>
      </c>
      <c r="B1026">
        <v>0.3271</v>
      </c>
      <c r="C1026">
        <v>0.32819999999999999</v>
      </c>
      <c r="D1026">
        <v>0.31391000000000002</v>
      </c>
      <c r="E1026">
        <v>0.32324999999999998</v>
      </c>
      <c r="F1026">
        <v>72144027.400000006</v>
      </c>
      <c r="G1026">
        <v>0</v>
      </c>
      <c r="L1026" t="s">
        <v>7</v>
      </c>
      <c r="M1026" t="s">
        <v>7</v>
      </c>
      <c r="N1026" t="s">
        <v>7</v>
      </c>
      <c r="P1026">
        <f t="shared" si="1024"/>
        <v>0.30720783764870252</v>
      </c>
      <c r="Q1026">
        <f t="shared" si="1025"/>
        <v>22163210.656822748</v>
      </c>
      <c r="R1026">
        <f t="shared" si="1026"/>
        <v>-325572212.98607534</v>
      </c>
      <c r="S1026">
        <f t="shared" si="1027"/>
        <v>-3255.7221298607533</v>
      </c>
      <c r="T1026">
        <f t="shared" si="1028"/>
        <v>-3.2557221298607533</v>
      </c>
    </row>
    <row r="1027" spans="1:20" x14ac:dyDescent="0.25">
      <c r="A1027" s="5">
        <v>43566</v>
      </c>
      <c r="B1027">
        <v>0.35349999999999998</v>
      </c>
      <c r="C1027">
        <v>0.35376999999999997</v>
      </c>
      <c r="D1027">
        <v>0.31909999999999999</v>
      </c>
      <c r="E1027">
        <v>0.32705000000000001</v>
      </c>
      <c r="F1027">
        <v>141965465.90000001</v>
      </c>
      <c r="G1027">
        <v>0</v>
      </c>
      <c r="L1027" t="s">
        <v>7</v>
      </c>
      <c r="M1027" t="s">
        <v>7</v>
      </c>
      <c r="N1027" t="s">
        <v>7</v>
      </c>
      <c r="P1027">
        <f t="shared" si="1024"/>
        <v>-0.54139025093740889</v>
      </c>
      <c r="Q1027">
        <f t="shared" si="1025"/>
        <v>-76858719.208047166</v>
      </c>
      <c r="R1027">
        <f t="shared" si="1026"/>
        <v>-347735423.64289808</v>
      </c>
      <c r="S1027">
        <f t="shared" si="1027"/>
        <v>-3477.354236428981</v>
      </c>
      <c r="T1027">
        <f t="shared" si="1028"/>
        <v>-3.4773542364289809</v>
      </c>
    </row>
    <row r="1028" spans="1:20" x14ac:dyDescent="0.25">
      <c r="A1028" s="5">
        <v>43565</v>
      </c>
      <c r="B1028">
        <v>0.34727999999999998</v>
      </c>
      <c r="C1028">
        <v>0.35780000000000001</v>
      </c>
      <c r="D1028">
        <v>0.34608</v>
      </c>
      <c r="E1028">
        <v>0.35344999999999999</v>
      </c>
      <c r="F1028">
        <v>75219953.700000003</v>
      </c>
      <c r="G1028">
        <v>0</v>
      </c>
      <c r="L1028" t="s">
        <v>7</v>
      </c>
      <c r="M1028" t="s">
        <v>8</v>
      </c>
      <c r="N1028" t="s">
        <v>7</v>
      </c>
      <c r="P1028">
        <f t="shared" si="1024"/>
        <v>0.25767918088736902</v>
      </c>
      <c r="Q1028">
        <f t="shared" si="1025"/>
        <v>19382616.055801824</v>
      </c>
      <c r="R1028">
        <f t="shared" si="1026"/>
        <v>-270876704.43485093</v>
      </c>
      <c r="S1028">
        <f t="shared" si="1027"/>
        <v>-2708.7670443485094</v>
      </c>
      <c r="T1028">
        <f t="shared" si="1028"/>
        <v>-2.7087670443485092</v>
      </c>
    </row>
    <row r="1029" spans="1:20" x14ac:dyDescent="0.25">
      <c r="A1029" s="5">
        <v>43564</v>
      </c>
      <c r="B1029">
        <v>0.35558000000000001</v>
      </c>
      <c r="C1029">
        <v>0.35574</v>
      </c>
      <c r="D1029">
        <v>0.34384999999999999</v>
      </c>
      <c r="E1029">
        <v>0.34732000000000002</v>
      </c>
      <c r="F1029">
        <v>68738132.799999997</v>
      </c>
      <c r="G1029">
        <v>0</v>
      </c>
      <c r="L1029" t="s">
        <v>7</v>
      </c>
      <c r="M1029" t="s">
        <v>8</v>
      </c>
      <c r="N1029" t="s">
        <v>7</v>
      </c>
      <c r="P1029">
        <f t="shared" si="1024"/>
        <v>-0.41631623212783425</v>
      </c>
      <c r="Q1029">
        <f t="shared" si="1025"/>
        <v>-28616800.450798698</v>
      </c>
      <c r="R1029">
        <f t="shared" si="1026"/>
        <v>-290259320.49065274</v>
      </c>
      <c r="S1029">
        <f t="shared" si="1027"/>
        <v>-2902.5932049065273</v>
      </c>
      <c r="T1029">
        <f t="shared" si="1028"/>
        <v>-2.9025932049065273</v>
      </c>
    </row>
    <row r="1030" spans="1:20" x14ac:dyDescent="0.25">
      <c r="A1030" s="5">
        <v>43563</v>
      </c>
      <c r="B1030">
        <v>0.36148999999999998</v>
      </c>
      <c r="C1030">
        <v>0.37012</v>
      </c>
      <c r="D1030">
        <v>0.34365000000000001</v>
      </c>
      <c r="E1030">
        <v>0.35568</v>
      </c>
      <c r="F1030">
        <v>128130260.7</v>
      </c>
      <c r="G1030">
        <v>0</v>
      </c>
      <c r="L1030" t="s">
        <v>7</v>
      </c>
      <c r="M1030" t="s">
        <v>8</v>
      </c>
      <c r="N1030" t="s">
        <v>7</v>
      </c>
      <c r="P1030">
        <f t="shared" si="1024"/>
        <v>-9.104646769928311E-2</v>
      </c>
      <c r="Q1030">
        <f t="shared" si="1025"/>
        <v>-11665807.642123275</v>
      </c>
      <c r="R1030">
        <f t="shared" si="1026"/>
        <v>-261642520.03985402</v>
      </c>
      <c r="S1030">
        <f t="shared" si="1027"/>
        <v>-2616.4252003985403</v>
      </c>
      <c r="T1030">
        <f t="shared" si="1028"/>
        <v>-2.6164252003985404</v>
      </c>
    </row>
    <row r="1031" spans="1:20" x14ac:dyDescent="0.25">
      <c r="A1031" s="5">
        <v>43562</v>
      </c>
      <c r="B1031">
        <v>0.35266999999999998</v>
      </c>
      <c r="C1031">
        <v>0.36699999999999999</v>
      </c>
      <c r="D1031">
        <v>0.35041</v>
      </c>
      <c r="E1031">
        <v>0.36120000000000002</v>
      </c>
      <c r="F1031">
        <v>110132996.90000001</v>
      </c>
      <c r="G1031">
        <v>0</v>
      </c>
      <c r="L1031" t="s">
        <v>7</v>
      </c>
      <c r="M1031" t="s">
        <v>8</v>
      </c>
      <c r="N1031" t="s">
        <v>7</v>
      </c>
      <c r="P1031">
        <f t="shared" si="1024"/>
        <v>0.30078360458107606</v>
      </c>
      <c r="Q1031">
        <f t="shared" si="1025"/>
        <v>33126199.790898476</v>
      </c>
      <c r="R1031">
        <f t="shared" si="1026"/>
        <v>-249976712.39773074</v>
      </c>
      <c r="S1031">
        <f t="shared" si="1027"/>
        <v>-2499.7671239773072</v>
      </c>
      <c r="T1031">
        <f t="shared" si="1028"/>
        <v>-2.4997671239773074</v>
      </c>
    </row>
    <row r="1032" spans="1:20" x14ac:dyDescent="0.25">
      <c r="A1032" s="5">
        <v>43561</v>
      </c>
      <c r="B1032">
        <v>0.36118</v>
      </c>
      <c r="C1032">
        <v>0.36224000000000001</v>
      </c>
      <c r="D1032">
        <v>0.34610000000000002</v>
      </c>
      <c r="E1032">
        <v>0.35264000000000001</v>
      </c>
      <c r="F1032">
        <v>127333234.40000001</v>
      </c>
      <c r="G1032">
        <v>0</v>
      </c>
      <c r="L1032" t="s">
        <v>7</v>
      </c>
      <c r="M1032" t="s">
        <v>8</v>
      </c>
      <c r="N1032" t="s">
        <v>7</v>
      </c>
      <c r="P1032">
        <f t="shared" si="1024"/>
        <v>-0.18959107806691508</v>
      </c>
      <c r="Q1032">
        <f t="shared" si="1025"/>
        <v>-24141245.1836432</v>
      </c>
      <c r="R1032">
        <f t="shared" si="1026"/>
        <v>-283102912.18862921</v>
      </c>
      <c r="S1032">
        <f t="shared" si="1027"/>
        <v>-2831.0291218862922</v>
      </c>
      <c r="T1032">
        <f t="shared" si="1028"/>
        <v>-2.8310291218862922</v>
      </c>
    </row>
    <row r="1033" spans="1:20" x14ac:dyDescent="0.25">
      <c r="A1033" s="5">
        <v>43560</v>
      </c>
      <c r="B1033">
        <v>0.32995999999999998</v>
      </c>
      <c r="C1033">
        <v>0.37998999999999999</v>
      </c>
      <c r="D1033">
        <v>0.32994000000000001</v>
      </c>
      <c r="E1033">
        <v>0.36130000000000001</v>
      </c>
      <c r="F1033">
        <v>277642035.5</v>
      </c>
      <c r="G1033">
        <v>0</v>
      </c>
      <c r="L1033" t="s">
        <v>8</v>
      </c>
      <c r="M1033" t="s">
        <v>8</v>
      </c>
      <c r="N1033" t="s">
        <v>7</v>
      </c>
      <c r="P1033">
        <f t="shared" si="1024"/>
        <v>0.25314685314685353</v>
      </c>
      <c r="Q1033">
        <f t="shared" si="1025"/>
        <v>70284207.588111997</v>
      </c>
      <c r="R1033">
        <f t="shared" si="1026"/>
        <v>-258961667.00498599</v>
      </c>
      <c r="S1033">
        <f t="shared" si="1027"/>
        <v>-2589.6166700498597</v>
      </c>
      <c r="T1033">
        <f t="shared" si="1028"/>
        <v>-2.58961667004986</v>
      </c>
    </row>
    <row r="1034" spans="1:20" x14ac:dyDescent="0.25">
      <c r="A1034" s="5">
        <v>43559</v>
      </c>
      <c r="B1034">
        <v>0.34022000000000002</v>
      </c>
      <c r="C1034">
        <v>0.34669</v>
      </c>
      <c r="D1034">
        <v>0.32500000000000001</v>
      </c>
      <c r="E1034">
        <v>0.32995999999999998</v>
      </c>
      <c r="F1034">
        <v>142045982.40000001</v>
      </c>
      <c r="G1034">
        <v>0</v>
      </c>
      <c r="L1034" t="s">
        <v>7</v>
      </c>
      <c r="M1034" t="s">
        <v>8</v>
      </c>
      <c r="N1034" t="s">
        <v>7</v>
      </c>
      <c r="P1034">
        <f t="shared" si="1024"/>
        <v>-0.54264638082065764</v>
      </c>
      <c r="Q1034">
        <f t="shared" si="1025"/>
        <v>-77080738.259474829</v>
      </c>
      <c r="R1034">
        <f t="shared" si="1026"/>
        <v>-329245874.59309798</v>
      </c>
      <c r="S1034">
        <f t="shared" si="1027"/>
        <v>-3292.4587459309801</v>
      </c>
      <c r="T1034">
        <f t="shared" si="1028"/>
        <v>-3.29245874593098</v>
      </c>
    </row>
    <row r="1035" spans="1:20" x14ac:dyDescent="0.25">
      <c r="A1035" s="5">
        <v>43558</v>
      </c>
      <c r="B1035">
        <v>0.35049999999999998</v>
      </c>
      <c r="C1035">
        <v>0.3705</v>
      </c>
      <c r="D1035">
        <v>0.32353999999999999</v>
      </c>
      <c r="E1035">
        <v>0.34022000000000002</v>
      </c>
      <c r="F1035">
        <v>317885933</v>
      </c>
      <c r="G1035">
        <v>0</v>
      </c>
      <c r="L1035" t="s">
        <v>8</v>
      </c>
      <c r="M1035" t="s">
        <v>8</v>
      </c>
      <c r="N1035" t="s">
        <v>7</v>
      </c>
      <c r="P1035">
        <f t="shared" si="1024"/>
        <v>-0.28960817717206017</v>
      </c>
      <c r="Q1035">
        <f t="shared" si="1025"/>
        <v>-92062365.604769647</v>
      </c>
      <c r="R1035">
        <f t="shared" si="1026"/>
        <v>-252165136.33362317</v>
      </c>
      <c r="S1035">
        <f t="shared" si="1027"/>
        <v>-2521.6513633362315</v>
      </c>
      <c r="T1035">
        <f t="shared" si="1028"/>
        <v>-2.5216513633362316</v>
      </c>
    </row>
    <row r="1036" spans="1:20" x14ac:dyDescent="0.25">
      <c r="A1036" s="5">
        <v>43557</v>
      </c>
      <c r="B1036">
        <v>0.31248999999999999</v>
      </c>
      <c r="C1036">
        <v>0.35571000000000003</v>
      </c>
      <c r="D1036">
        <v>0.3115</v>
      </c>
      <c r="E1036">
        <v>0.35049999999999998</v>
      </c>
      <c r="F1036">
        <v>254825056.80000001</v>
      </c>
      <c r="G1036">
        <v>0</v>
      </c>
      <c r="L1036" t="s">
        <v>8</v>
      </c>
      <c r="M1036" t="s">
        <v>8</v>
      </c>
      <c r="N1036" t="s">
        <v>7</v>
      </c>
      <c r="P1036">
        <f t="shared" si="1024"/>
        <v>0.76430671793711624</v>
      </c>
      <c r="Q1036">
        <f t="shared" si="1025"/>
        <v>194764502.81094724</v>
      </c>
      <c r="R1036">
        <f t="shared" si="1026"/>
        <v>-160102770.72885352</v>
      </c>
      <c r="S1036">
        <f t="shared" si="1027"/>
        <v>-1601.0277072885353</v>
      </c>
      <c r="T1036">
        <f t="shared" si="1028"/>
        <v>-1.6010277072885353</v>
      </c>
    </row>
    <row r="1037" spans="1:20" x14ac:dyDescent="0.25">
      <c r="A1037" s="5">
        <v>43556</v>
      </c>
      <c r="B1037">
        <v>0.30889</v>
      </c>
      <c r="C1037">
        <v>0.31455</v>
      </c>
      <c r="D1037">
        <v>0.30739</v>
      </c>
      <c r="E1037">
        <v>0.31247999999999998</v>
      </c>
      <c r="F1037">
        <v>43573420.600000001</v>
      </c>
      <c r="G1037">
        <v>0</v>
      </c>
      <c r="L1037" t="s">
        <v>8</v>
      </c>
      <c r="M1037" t="s">
        <v>7</v>
      </c>
      <c r="N1037" t="s">
        <v>7</v>
      </c>
      <c r="P1037">
        <f t="shared" si="1024"/>
        <v>0.42178770949720212</v>
      </c>
      <c r="Q1037">
        <f t="shared" si="1025"/>
        <v>18378733.269832205</v>
      </c>
      <c r="R1037">
        <f t="shared" si="1026"/>
        <v>-354867273.53980076</v>
      </c>
      <c r="S1037">
        <f t="shared" si="1027"/>
        <v>-3548.6727353980077</v>
      </c>
      <c r="T1037">
        <f t="shared" si="1028"/>
        <v>-3.5486727353980076</v>
      </c>
    </row>
    <row r="1038" spans="1:20" x14ac:dyDescent="0.25">
      <c r="A1038" s="5">
        <v>43555</v>
      </c>
      <c r="B1038">
        <v>0.31091999999999997</v>
      </c>
      <c r="C1038">
        <v>0.31168000000000001</v>
      </c>
      <c r="D1038">
        <v>0.30718000000000001</v>
      </c>
      <c r="E1038">
        <v>0.30889</v>
      </c>
      <c r="F1038">
        <v>31804560</v>
      </c>
      <c r="G1038">
        <v>0</v>
      </c>
      <c r="L1038" t="s">
        <v>8</v>
      </c>
      <c r="M1038" t="s">
        <v>7</v>
      </c>
      <c r="N1038" t="s">
        <v>7</v>
      </c>
      <c r="P1038">
        <f t="shared" si="1024"/>
        <v>-0.24000000000000543</v>
      </c>
      <c r="Q1038">
        <f t="shared" si="1025"/>
        <v>-7633094.4000001727</v>
      </c>
      <c r="R1038">
        <f t="shared" si="1026"/>
        <v>-373246006.80963296</v>
      </c>
      <c r="S1038">
        <f t="shared" si="1027"/>
        <v>-3732.4600680963295</v>
      </c>
      <c r="T1038">
        <f t="shared" si="1028"/>
        <v>-3.7324600680963296</v>
      </c>
    </row>
    <row r="1039" spans="1:20" x14ac:dyDescent="0.25">
      <c r="A1039" s="5">
        <v>43554</v>
      </c>
      <c r="B1039">
        <v>0.30775000000000002</v>
      </c>
      <c r="C1039">
        <v>0.31834000000000001</v>
      </c>
      <c r="D1039">
        <v>0.30686999999999998</v>
      </c>
      <c r="E1039">
        <v>0.31107000000000001</v>
      </c>
      <c r="F1039">
        <v>66842364.5</v>
      </c>
      <c r="G1039">
        <v>0</v>
      </c>
      <c r="L1039" t="s">
        <v>8</v>
      </c>
      <c r="M1039" t="s">
        <v>7</v>
      </c>
      <c r="N1039" t="s">
        <v>7</v>
      </c>
      <c r="P1039">
        <f t="shared" si="1024"/>
        <v>-0.26765475152571511</v>
      </c>
      <c r="Q1039">
        <f t="shared" si="1025"/>
        <v>-17890676.461638778</v>
      </c>
      <c r="R1039">
        <f t="shared" si="1026"/>
        <v>-365612912.4096328</v>
      </c>
      <c r="S1039">
        <f t="shared" si="1027"/>
        <v>-3656.1291240963278</v>
      </c>
      <c r="T1039">
        <f t="shared" si="1028"/>
        <v>-3.6561291240963278</v>
      </c>
    </row>
    <row r="1040" spans="1:20" x14ac:dyDescent="0.25">
      <c r="A1040" s="5">
        <v>43553</v>
      </c>
      <c r="B1040">
        <v>0.30603000000000002</v>
      </c>
      <c r="C1040">
        <v>0.31041999999999997</v>
      </c>
      <c r="D1040">
        <v>0.30475000000000002</v>
      </c>
      <c r="E1040">
        <v>0.30774000000000001</v>
      </c>
      <c r="F1040">
        <v>52565413.399999999</v>
      </c>
      <c r="G1040">
        <v>0</v>
      </c>
      <c r="L1040" t="s">
        <v>8</v>
      </c>
      <c r="M1040" t="s">
        <v>7</v>
      </c>
      <c r="N1040" t="s">
        <v>7</v>
      </c>
      <c r="P1040">
        <f t="shared" si="1024"/>
        <v>5.4673721340394187E-2</v>
      </c>
      <c r="Q1040">
        <f t="shared" si="1025"/>
        <v>2873946.7643742226</v>
      </c>
      <c r="R1040">
        <f t="shared" si="1026"/>
        <v>-347722235.94799405</v>
      </c>
      <c r="S1040">
        <f t="shared" si="1027"/>
        <v>-3477.2223594799407</v>
      </c>
      <c r="T1040">
        <f t="shared" si="1028"/>
        <v>-3.4772223594799407</v>
      </c>
    </row>
    <row r="1041" spans="1:20" x14ac:dyDescent="0.25">
      <c r="A1041" s="5">
        <v>43552</v>
      </c>
      <c r="B1041">
        <v>0.30986000000000002</v>
      </c>
      <c r="C1041">
        <v>0.31012000000000001</v>
      </c>
      <c r="D1041">
        <v>0.30418000000000001</v>
      </c>
      <c r="E1041">
        <v>0.30603999999999998</v>
      </c>
      <c r="F1041">
        <v>33354763.399999999</v>
      </c>
      <c r="G1041">
        <v>0</v>
      </c>
      <c r="L1041" t="s">
        <v>8</v>
      </c>
      <c r="M1041" t="s">
        <v>7</v>
      </c>
      <c r="N1041" t="s">
        <v>7</v>
      </c>
      <c r="P1041">
        <f t="shared" si="1024"/>
        <v>-0.37373737373738297</v>
      </c>
      <c r="Q1041">
        <f t="shared" si="1025"/>
        <v>-12465921.674747782</v>
      </c>
      <c r="R1041">
        <f t="shared" si="1026"/>
        <v>-350596182.71236825</v>
      </c>
      <c r="S1041">
        <f t="shared" si="1027"/>
        <v>-3505.9618271236827</v>
      </c>
      <c r="T1041">
        <f t="shared" si="1028"/>
        <v>-3.5059618271236825</v>
      </c>
    </row>
    <row r="1042" spans="1:20" x14ac:dyDescent="0.25">
      <c r="A1042" s="5">
        <v>43551</v>
      </c>
      <c r="B1042">
        <v>0.30299999999999999</v>
      </c>
      <c r="C1042">
        <v>0.31097000000000002</v>
      </c>
      <c r="D1042">
        <v>0.30054999999999998</v>
      </c>
      <c r="E1042">
        <v>0.31012000000000001</v>
      </c>
      <c r="F1042">
        <v>55385680.100000001</v>
      </c>
      <c r="G1042">
        <v>0</v>
      </c>
      <c r="L1042" t="s">
        <v>8</v>
      </c>
      <c r="M1042" t="s">
        <v>7</v>
      </c>
      <c r="N1042" t="s">
        <v>7</v>
      </c>
      <c r="P1042">
        <f t="shared" si="1024"/>
        <v>0.83685220729366327</v>
      </c>
      <c r="Q1042">
        <f t="shared" si="1025"/>
        <v>46349628.64414572</v>
      </c>
      <c r="R1042">
        <f t="shared" si="1026"/>
        <v>-338130261.03762048</v>
      </c>
      <c r="S1042">
        <f t="shared" si="1027"/>
        <v>-3381.3026103762049</v>
      </c>
      <c r="T1042">
        <f t="shared" si="1028"/>
        <v>-3.3813026103762049</v>
      </c>
    </row>
    <row r="1043" spans="1:20" x14ac:dyDescent="0.25">
      <c r="A1043" s="5">
        <v>43550</v>
      </c>
      <c r="B1043">
        <v>0.30296000000000001</v>
      </c>
      <c r="C1043">
        <v>0.30384</v>
      </c>
      <c r="D1043">
        <v>0.29399999999999998</v>
      </c>
      <c r="E1043">
        <v>0.30302000000000001</v>
      </c>
      <c r="F1043">
        <v>45108158.899999999</v>
      </c>
      <c r="G1043">
        <v>0</v>
      </c>
      <c r="L1043" t="s">
        <v>8</v>
      </c>
      <c r="M1043" t="s">
        <v>7</v>
      </c>
      <c r="N1043" t="s">
        <v>7</v>
      </c>
      <c r="P1043">
        <f t="shared" si="1024"/>
        <v>0.83333333333333615</v>
      </c>
      <c r="Q1043">
        <f t="shared" si="1025"/>
        <v>37590132.416666791</v>
      </c>
      <c r="R1043">
        <f t="shared" si="1026"/>
        <v>-384479889.68176621</v>
      </c>
      <c r="S1043">
        <f t="shared" si="1027"/>
        <v>-3844.7988968176619</v>
      </c>
      <c r="T1043">
        <f t="shared" si="1028"/>
        <v>-3.8447988968176618</v>
      </c>
    </row>
    <row r="1044" spans="1:20" x14ac:dyDescent="0.25">
      <c r="A1044" s="5">
        <v>43549</v>
      </c>
      <c r="B1044">
        <v>0.30792000000000003</v>
      </c>
      <c r="C1044">
        <v>0.308</v>
      </c>
      <c r="D1044">
        <v>0.3</v>
      </c>
      <c r="E1044">
        <v>0.30309999999999998</v>
      </c>
      <c r="F1044">
        <v>47533457.399999999</v>
      </c>
      <c r="G1044">
        <v>0</v>
      </c>
      <c r="L1044" t="s">
        <v>8</v>
      </c>
      <c r="M1044" t="s">
        <v>7</v>
      </c>
      <c r="N1044" t="s">
        <v>7</v>
      </c>
      <c r="P1044">
        <f t="shared" si="1024"/>
        <v>-0.22500000000000278</v>
      </c>
      <c r="Q1044">
        <f t="shared" si="1025"/>
        <v>-10695027.915000131</v>
      </c>
      <c r="R1044">
        <f t="shared" si="1026"/>
        <v>-422070022.09843302</v>
      </c>
      <c r="S1044">
        <f t="shared" si="1027"/>
        <v>-4220.7002209843304</v>
      </c>
      <c r="T1044">
        <f t="shared" si="1028"/>
        <v>-4.2207002209843303</v>
      </c>
    </row>
    <row r="1045" spans="1:20" x14ac:dyDescent="0.25">
      <c r="A1045" s="5">
        <v>43548</v>
      </c>
      <c r="B1045">
        <v>0.31174000000000002</v>
      </c>
      <c r="C1045">
        <v>0.31186000000000003</v>
      </c>
      <c r="D1045">
        <v>0.30470999999999998</v>
      </c>
      <c r="E1045">
        <v>0.30786999999999998</v>
      </c>
      <c r="F1045">
        <v>34884060.5</v>
      </c>
      <c r="G1045">
        <v>0</v>
      </c>
      <c r="L1045" t="s">
        <v>8</v>
      </c>
      <c r="M1045" t="s">
        <v>7</v>
      </c>
      <c r="N1045" t="s">
        <v>7</v>
      </c>
      <c r="P1045">
        <f t="shared" si="1024"/>
        <v>-0.11608391608392275</v>
      </c>
      <c r="Q1045">
        <f t="shared" si="1025"/>
        <v>-4049478.3517484842</v>
      </c>
      <c r="R1045">
        <f t="shared" si="1026"/>
        <v>-411374994.18343288</v>
      </c>
      <c r="S1045">
        <f t="shared" si="1027"/>
        <v>-4113.7499418343286</v>
      </c>
      <c r="T1045">
        <f t="shared" si="1028"/>
        <v>-4.1137499418343291</v>
      </c>
    </row>
    <row r="1046" spans="1:20" x14ac:dyDescent="0.25">
      <c r="A1046" s="5">
        <v>43547</v>
      </c>
      <c r="B1046">
        <v>0.31041000000000002</v>
      </c>
      <c r="C1046">
        <v>0.31263999999999997</v>
      </c>
      <c r="D1046">
        <v>0.30882999999999999</v>
      </c>
      <c r="E1046">
        <v>0.31181999999999999</v>
      </c>
      <c r="F1046">
        <v>35555914.100000001</v>
      </c>
      <c r="G1046">
        <v>0</v>
      </c>
      <c r="L1046" t="s">
        <v>8</v>
      </c>
      <c r="M1046" t="s">
        <v>7</v>
      </c>
      <c r="N1046" t="s">
        <v>7</v>
      </c>
      <c r="P1046">
        <f t="shared" si="1024"/>
        <v>0.56955380577428261</v>
      </c>
      <c r="Q1046">
        <f t="shared" si="1025"/>
        <v>20251006.193438478</v>
      </c>
      <c r="R1046">
        <f t="shared" si="1026"/>
        <v>-407325515.83168441</v>
      </c>
      <c r="S1046">
        <f t="shared" si="1027"/>
        <v>-4073.2551583168442</v>
      </c>
      <c r="T1046">
        <f t="shared" si="1028"/>
        <v>-4.0732551583168446</v>
      </c>
    </row>
    <row r="1047" spans="1:20" x14ac:dyDescent="0.25">
      <c r="A1047" s="5">
        <v>43546</v>
      </c>
      <c r="B1047">
        <v>0.30964999999999998</v>
      </c>
      <c r="C1047">
        <v>0.31262000000000001</v>
      </c>
      <c r="D1047">
        <v>0.30642000000000003</v>
      </c>
      <c r="E1047">
        <v>0.31041000000000002</v>
      </c>
      <c r="F1047">
        <v>40997646.799999997</v>
      </c>
      <c r="G1047">
        <v>0</v>
      </c>
      <c r="L1047" t="s">
        <v>8</v>
      </c>
      <c r="M1047" t="s">
        <v>7</v>
      </c>
      <c r="N1047" t="s">
        <v>7</v>
      </c>
      <c r="P1047">
        <f t="shared" si="1024"/>
        <v>0.28709677419354979</v>
      </c>
      <c r="Q1047">
        <f t="shared" si="1025"/>
        <v>11770292.145806508</v>
      </c>
      <c r="R1047">
        <f t="shared" si="1026"/>
        <v>-427576522.02512288</v>
      </c>
      <c r="S1047">
        <f t="shared" si="1027"/>
        <v>-4275.765220251229</v>
      </c>
      <c r="T1047">
        <f t="shared" si="1028"/>
        <v>-4.2757652202512286</v>
      </c>
    </row>
    <row r="1048" spans="1:20" x14ac:dyDescent="0.25">
      <c r="A1048" s="5">
        <v>43545</v>
      </c>
      <c r="B1048">
        <v>0.31780000000000003</v>
      </c>
      <c r="C1048">
        <v>0.31914999999999999</v>
      </c>
      <c r="D1048">
        <v>0.28999999999999998</v>
      </c>
      <c r="E1048">
        <v>0.30964999999999998</v>
      </c>
      <c r="F1048">
        <v>68244170.400000006</v>
      </c>
      <c r="G1048">
        <v>0</v>
      </c>
      <c r="L1048" t="s">
        <v>7</v>
      </c>
      <c r="M1048" t="s">
        <v>7</v>
      </c>
      <c r="N1048" t="s">
        <v>7</v>
      </c>
      <c r="P1048">
        <f t="shared" si="1024"/>
        <v>0.3481989708404799</v>
      </c>
      <c r="Q1048">
        <f t="shared" si="1025"/>
        <v>23762549.899142344</v>
      </c>
      <c r="R1048">
        <f t="shared" si="1026"/>
        <v>-439346814.17092937</v>
      </c>
      <c r="S1048">
        <f t="shared" si="1027"/>
        <v>-4393.4681417092934</v>
      </c>
      <c r="T1048">
        <f t="shared" si="1028"/>
        <v>-4.3934681417092936</v>
      </c>
    </row>
    <row r="1049" spans="1:20" x14ac:dyDescent="0.25">
      <c r="A1049" s="5">
        <v>43544</v>
      </c>
      <c r="B1049">
        <v>0.31580999999999998</v>
      </c>
      <c r="C1049">
        <v>0.32274999999999998</v>
      </c>
      <c r="D1049">
        <v>0.3115</v>
      </c>
      <c r="E1049">
        <v>0.31779000000000002</v>
      </c>
      <c r="F1049">
        <v>61071284</v>
      </c>
      <c r="G1049">
        <v>0</v>
      </c>
      <c r="L1049" t="s">
        <v>8</v>
      </c>
      <c r="M1049" t="s">
        <v>7</v>
      </c>
      <c r="N1049" t="s">
        <v>7</v>
      </c>
      <c r="P1049">
        <f t="shared" si="1024"/>
        <v>0.11822222222222716</v>
      </c>
      <c r="Q1049">
        <f t="shared" si="1025"/>
        <v>7219982.9084447455</v>
      </c>
      <c r="R1049">
        <f t="shared" si="1026"/>
        <v>-463109364.0700717</v>
      </c>
      <c r="S1049">
        <f t="shared" si="1027"/>
        <v>-4631.0936407007166</v>
      </c>
      <c r="T1049">
        <f t="shared" si="1028"/>
        <v>-4.6310936407007164</v>
      </c>
    </row>
    <row r="1050" spans="1:20" x14ac:dyDescent="0.25">
      <c r="A1050" s="5">
        <v>43543</v>
      </c>
      <c r="B1050">
        <v>0.31451000000000001</v>
      </c>
      <c r="C1050">
        <v>0.31659999999999999</v>
      </c>
      <c r="D1050">
        <v>0.3125</v>
      </c>
      <c r="E1050">
        <v>0.31594</v>
      </c>
      <c r="F1050">
        <v>37937661.899999999</v>
      </c>
      <c r="G1050">
        <v>0</v>
      </c>
      <c r="L1050" t="s">
        <v>8</v>
      </c>
      <c r="M1050" t="s">
        <v>7</v>
      </c>
      <c r="N1050" t="s">
        <v>7</v>
      </c>
      <c r="P1050">
        <f t="shared" si="1024"/>
        <v>0.67804878048780726</v>
      </c>
      <c r="Q1050">
        <f t="shared" si="1025"/>
        <v>25723585.385853749</v>
      </c>
      <c r="R1050">
        <f t="shared" si="1026"/>
        <v>-470329346.97851646</v>
      </c>
      <c r="S1050">
        <f t="shared" si="1027"/>
        <v>-4703.2934697851642</v>
      </c>
      <c r="T1050">
        <f t="shared" si="1028"/>
        <v>-4.703293469785164</v>
      </c>
    </row>
    <row r="1051" spans="1:20" x14ac:dyDescent="0.25">
      <c r="A1051" s="5">
        <v>43542</v>
      </c>
      <c r="B1051">
        <v>0.31546000000000002</v>
      </c>
      <c r="C1051">
        <v>0.32</v>
      </c>
      <c r="D1051">
        <v>0.31135000000000002</v>
      </c>
      <c r="E1051">
        <v>0.31452000000000002</v>
      </c>
      <c r="F1051">
        <v>46830749.700000003</v>
      </c>
      <c r="G1051">
        <v>0</v>
      </c>
      <c r="L1051" t="s">
        <v>8</v>
      </c>
      <c r="M1051" t="s">
        <v>7</v>
      </c>
      <c r="N1051" t="s">
        <v>7</v>
      </c>
      <c r="P1051">
        <f t="shared" si="1024"/>
        <v>-0.2670520231213851</v>
      </c>
      <c r="Q1051">
        <f t="shared" si="1025"/>
        <v>-12506246.451676199</v>
      </c>
      <c r="R1051">
        <f t="shared" si="1026"/>
        <v>-496052932.36437023</v>
      </c>
      <c r="S1051">
        <f t="shared" si="1027"/>
        <v>-4960.5293236437019</v>
      </c>
      <c r="T1051">
        <f t="shared" si="1028"/>
        <v>-4.9605293236437022</v>
      </c>
    </row>
    <row r="1052" spans="1:20" x14ac:dyDescent="0.25">
      <c r="A1052" s="5">
        <v>43541</v>
      </c>
      <c r="B1052">
        <v>0.31866</v>
      </c>
      <c r="C1052">
        <v>0.31891999999999998</v>
      </c>
      <c r="D1052">
        <v>0.314</v>
      </c>
      <c r="E1052">
        <v>0.31540000000000001</v>
      </c>
      <c r="F1052">
        <v>33510613.199999999</v>
      </c>
      <c r="G1052">
        <v>0</v>
      </c>
      <c r="L1052" t="s">
        <v>8</v>
      </c>
      <c r="M1052" t="s">
        <v>7</v>
      </c>
      <c r="N1052" t="s">
        <v>7</v>
      </c>
      <c r="P1052">
        <f t="shared" si="1024"/>
        <v>-0.43089430894308212</v>
      </c>
      <c r="Q1052">
        <f t="shared" si="1025"/>
        <v>-14439532.517072925</v>
      </c>
      <c r="R1052">
        <f t="shared" si="1026"/>
        <v>-483546685.91269404</v>
      </c>
      <c r="S1052">
        <f t="shared" si="1027"/>
        <v>-4835.4668591269401</v>
      </c>
      <c r="T1052">
        <f t="shared" si="1028"/>
        <v>-4.8354668591269405</v>
      </c>
    </row>
    <row r="1053" spans="1:20" x14ac:dyDescent="0.25">
      <c r="A1053" s="5">
        <v>43540</v>
      </c>
      <c r="B1053">
        <v>0.31485000000000002</v>
      </c>
      <c r="C1053">
        <v>0.32300000000000001</v>
      </c>
      <c r="D1053">
        <v>0.31464999999999999</v>
      </c>
      <c r="E1053">
        <v>0.31868000000000002</v>
      </c>
      <c r="F1053">
        <v>59414487.200000003</v>
      </c>
      <c r="G1053">
        <v>0</v>
      </c>
      <c r="L1053" t="s">
        <v>8</v>
      </c>
      <c r="M1053" t="s">
        <v>7</v>
      </c>
      <c r="N1053" t="s">
        <v>7</v>
      </c>
      <c r="P1053">
        <f t="shared" si="1024"/>
        <v>-3.4730538922150431E-2</v>
      </c>
      <c r="Q1053">
        <f t="shared" si="1025"/>
        <v>-2063497.1602392087</v>
      </c>
      <c r="R1053">
        <f t="shared" si="1026"/>
        <v>-469107153.39562112</v>
      </c>
      <c r="S1053">
        <f t="shared" si="1027"/>
        <v>-4691.0715339562112</v>
      </c>
      <c r="T1053">
        <f t="shared" si="1028"/>
        <v>-4.6910715339562108</v>
      </c>
    </row>
    <row r="1054" spans="1:20" x14ac:dyDescent="0.25">
      <c r="A1054" s="5">
        <v>43539</v>
      </c>
      <c r="B1054">
        <v>0.31130999999999998</v>
      </c>
      <c r="C1054">
        <v>0.31678000000000001</v>
      </c>
      <c r="D1054">
        <v>0.31069999999999998</v>
      </c>
      <c r="E1054">
        <v>0.31473000000000001</v>
      </c>
      <c r="F1054">
        <v>40022943.700000003</v>
      </c>
      <c r="G1054">
        <v>0</v>
      </c>
      <c r="L1054" t="s">
        <v>8</v>
      </c>
      <c r="M1054" t="s">
        <v>7</v>
      </c>
      <c r="N1054" t="s">
        <v>7</v>
      </c>
      <c r="P1054">
        <f t="shared" si="1024"/>
        <v>0.32565789473684664</v>
      </c>
      <c r="Q1054">
        <f t="shared" si="1025"/>
        <v>13033787.58651334</v>
      </c>
      <c r="R1054">
        <f t="shared" si="1026"/>
        <v>-467043656.2353819</v>
      </c>
      <c r="S1054">
        <f t="shared" si="1027"/>
        <v>-4670.4365623538188</v>
      </c>
      <c r="T1054">
        <f t="shared" si="1028"/>
        <v>-4.6704365623538191</v>
      </c>
    </row>
    <row r="1055" spans="1:20" x14ac:dyDescent="0.25">
      <c r="A1055" s="5">
        <v>43538</v>
      </c>
      <c r="B1055">
        <v>0.31345000000000001</v>
      </c>
      <c r="C1055">
        <v>0.31653999999999999</v>
      </c>
      <c r="D1055">
        <v>0.30585000000000001</v>
      </c>
      <c r="E1055">
        <v>0.31130999999999998</v>
      </c>
      <c r="F1055">
        <v>54311189.100000001</v>
      </c>
      <c r="G1055">
        <v>0</v>
      </c>
      <c r="L1055" t="s">
        <v>8</v>
      </c>
      <c r="M1055" t="s">
        <v>7</v>
      </c>
      <c r="N1055" t="s">
        <v>7</v>
      </c>
      <c r="P1055">
        <f t="shared" si="1024"/>
        <v>2.1515434985963793E-2</v>
      </c>
      <c r="Q1055">
        <f t="shared" si="1025"/>
        <v>1168528.8580914354</v>
      </c>
      <c r="R1055">
        <f t="shared" si="1026"/>
        <v>-480077443.82189524</v>
      </c>
      <c r="S1055">
        <f t="shared" si="1027"/>
        <v>-4800.7744382189521</v>
      </c>
      <c r="T1055">
        <f t="shared" si="1028"/>
        <v>-4.8007744382189523</v>
      </c>
    </row>
    <row r="1056" spans="1:20" x14ac:dyDescent="0.25">
      <c r="A1056" s="5">
        <v>43537</v>
      </c>
      <c r="B1056">
        <v>0.31030000000000002</v>
      </c>
      <c r="C1056">
        <v>0.32555000000000001</v>
      </c>
      <c r="D1056">
        <v>0.30732999999999999</v>
      </c>
      <c r="E1056">
        <v>0.31331999999999999</v>
      </c>
      <c r="F1056">
        <v>78566025.5</v>
      </c>
      <c r="G1056">
        <v>0</v>
      </c>
      <c r="L1056" t="s">
        <v>8</v>
      </c>
      <c r="M1056" t="s">
        <v>7</v>
      </c>
      <c r="N1056" t="s">
        <v>7</v>
      </c>
      <c r="P1056">
        <f t="shared" si="1024"/>
        <v>-0.34248079034028645</v>
      </c>
      <c r="Q1056">
        <f t="shared" si="1025"/>
        <v>-26907354.507135097</v>
      </c>
      <c r="R1056">
        <f t="shared" si="1026"/>
        <v>-481245972.67998666</v>
      </c>
      <c r="S1056">
        <f t="shared" si="1027"/>
        <v>-4812.459726799867</v>
      </c>
      <c r="T1056">
        <f t="shared" si="1028"/>
        <v>-4.812459726799867</v>
      </c>
    </row>
    <row r="1057" spans="1:20" x14ac:dyDescent="0.25">
      <c r="A1057" s="5">
        <v>43536</v>
      </c>
      <c r="B1057">
        <v>0.30991000000000002</v>
      </c>
      <c r="C1057">
        <v>0.31203999999999998</v>
      </c>
      <c r="D1057">
        <v>0.30765999999999999</v>
      </c>
      <c r="E1057">
        <v>0.31030999999999997</v>
      </c>
      <c r="F1057">
        <v>34008792.899999999</v>
      </c>
      <c r="G1057">
        <v>0</v>
      </c>
      <c r="L1057" t="s">
        <v>8</v>
      </c>
      <c r="M1057" t="s">
        <v>7</v>
      </c>
      <c r="N1057" t="s">
        <v>7</v>
      </c>
      <c r="P1057">
        <f t="shared" si="1024"/>
        <v>0.21004566210045147</v>
      </c>
      <c r="Q1057">
        <f t="shared" si="1025"/>
        <v>7143399.4219176332</v>
      </c>
      <c r="R1057">
        <f t="shared" si="1026"/>
        <v>-454338618.17285156</v>
      </c>
      <c r="S1057">
        <f t="shared" si="1027"/>
        <v>-4543.386181728516</v>
      </c>
      <c r="T1057">
        <f t="shared" si="1028"/>
        <v>-4.5433861817285157</v>
      </c>
    </row>
    <row r="1058" spans="1:20" x14ac:dyDescent="0.25">
      <c r="A1058" s="5">
        <v>43535</v>
      </c>
      <c r="B1058">
        <v>0.31279000000000001</v>
      </c>
      <c r="C1058">
        <v>0.315</v>
      </c>
      <c r="D1058">
        <v>0.30658000000000002</v>
      </c>
      <c r="E1058">
        <v>0.30991999999999997</v>
      </c>
      <c r="F1058">
        <v>51679569.600000001</v>
      </c>
      <c r="G1058">
        <v>0</v>
      </c>
      <c r="L1058" t="s">
        <v>8</v>
      </c>
      <c r="M1058" t="s">
        <v>7</v>
      </c>
      <c r="N1058" t="s">
        <v>7</v>
      </c>
      <c r="P1058">
        <f t="shared" si="1024"/>
        <v>-0.20665083135392853</v>
      </c>
      <c r="Q1058">
        <f t="shared" si="1025"/>
        <v>-10679626.021853212</v>
      </c>
      <c r="R1058">
        <f t="shared" si="1026"/>
        <v>-461482017.59476918</v>
      </c>
      <c r="S1058">
        <f t="shared" si="1027"/>
        <v>-4614.8201759476915</v>
      </c>
      <c r="T1058">
        <f t="shared" si="1028"/>
        <v>-4.6148201759476919</v>
      </c>
    </row>
    <row r="1059" spans="1:20" x14ac:dyDescent="0.25">
      <c r="A1059" s="5">
        <v>43534</v>
      </c>
      <c r="B1059">
        <v>0.31395000000000001</v>
      </c>
      <c r="C1059">
        <v>0.31705</v>
      </c>
      <c r="D1059">
        <v>0.30904999999999999</v>
      </c>
      <c r="E1059">
        <v>0.31289</v>
      </c>
      <c r="F1059">
        <v>43024192.799999997</v>
      </c>
      <c r="G1059">
        <v>0</v>
      </c>
      <c r="L1059" t="s">
        <v>8</v>
      </c>
      <c r="M1059" t="s">
        <v>7</v>
      </c>
      <c r="N1059" t="s">
        <v>7</v>
      </c>
      <c r="P1059">
        <f t="shared" si="1024"/>
        <v>-3.9999999999998335E-2</v>
      </c>
      <c r="Q1059">
        <f t="shared" si="1025"/>
        <v>-1720967.7119999283</v>
      </c>
      <c r="R1059">
        <f t="shared" si="1026"/>
        <v>-450802391.57291597</v>
      </c>
      <c r="S1059">
        <f t="shared" si="1027"/>
        <v>-4508.0239157291599</v>
      </c>
      <c r="T1059">
        <f t="shared" si="1028"/>
        <v>-4.5080239157291597</v>
      </c>
    </row>
    <row r="1060" spans="1:20" x14ac:dyDescent="0.25">
      <c r="A1060" s="5">
        <v>43533</v>
      </c>
      <c r="B1060">
        <v>0.30780000000000002</v>
      </c>
      <c r="C1060">
        <v>0.31900000000000001</v>
      </c>
      <c r="D1060">
        <v>0.30680000000000002</v>
      </c>
      <c r="E1060">
        <v>0.31389</v>
      </c>
      <c r="F1060">
        <v>60052162</v>
      </c>
      <c r="G1060">
        <v>0</v>
      </c>
      <c r="L1060" t="s">
        <v>8</v>
      </c>
      <c r="M1060" t="s">
        <v>7</v>
      </c>
      <c r="N1060" t="s">
        <v>7</v>
      </c>
      <c r="P1060">
        <f t="shared" si="1024"/>
        <v>0.16229508196721176</v>
      </c>
      <c r="Q1060">
        <f t="shared" si="1025"/>
        <v>9746170.5540982801</v>
      </c>
      <c r="R1060">
        <f t="shared" si="1026"/>
        <v>-449081423.86091602</v>
      </c>
      <c r="S1060">
        <f t="shared" si="1027"/>
        <v>-4490.8142386091604</v>
      </c>
      <c r="T1060">
        <f t="shared" si="1028"/>
        <v>-4.4908142386091603</v>
      </c>
    </row>
    <row r="1061" spans="1:20" x14ac:dyDescent="0.25">
      <c r="A1061" s="5">
        <v>43532</v>
      </c>
      <c r="B1061">
        <v>0.31324000000000002</v>
      </c>
      <c r="C1061">
        <v>0.316</v>
      </c>
      <c r="D1061">
        <v>0.30499999999999999</v>
      </c>
      <c r="E1061">
        <v>0.30775000000000002</v>
      </c>
      <c r="F1061">
        <v>52311973</v>
      </c>
      <c r="G1061">
        <v>0</v>
      </c>
      <c r="L1061" t="s">
        <v>8</v>
      </c>
      <c r="M1061" t="s">
        <v>7</v>
      </c>
      <c r="N1061" t="s">
        <v>7</v>
      </c>
      <c r="P1061">
        <f t="shared" si="1024"/>
        <v>-0.49999999999999495</v>
      </c>
      <c r="Q1061">
        <f t="shared" si="1025"/>
        <v>-26155986.499999736</v>
      </c>
      <c r="R1061">
        <f t="shared" si="1026"/>
        <v>-458827594.41501433</v>
      </c>
      <c r="S1061">
        <f t="shared" si="1027"/>
        <v>-4588.275944150143</v>
      </c>
      <c r="T1061">
        <f t="shared" si="1028"/>
        <v>-4.5882759441501433</v>
      </c>
    </row>
    <row r="1062" spans="1:20" x14ac:dyDescent="0.25">
      <c r="A1062" s="5">
        <v>43531</v>
      </c>
      <c r="B1062">
        <v>0.31628000000000001</v>
      </c>
      <c r="C1062">
        <v>0.31935999999999998</v>
      </c>
      <c r="D1062">
        <v>0.31240000000000001</v>
      </c>
      <c r="E1062">
        <v>0.31311</v>
      </c>
      <c r="F1062">
        <v>51060315.899999999</v>
      </c>
      <c r="G1062">
        <v>0</v>
      </c>
      <c r="L1062" t="s">
        <v>8</v>
      </c>
      <c r="M1062" t="s">
        <v>7</v>
      </c>
      <c r="N1062" t="s">
        <v>7</v>
      </c>
      <c r="P1062">
        <f t="shared" si="1024"/>
        <v>-0.79597701149425526</v>
      </c>
      <c r="Q1062">
        <f t="shared" si="1025"/>
        <v>-40642837.656034604</v>
      </c>
      <c r="R1062">
        <f t="shared" si="1026"/>
        <v>-432671607.91501456</v>
      </c>
      <c r="S1062">
        <f t="shared" si="1027"/>
        <v>-4326.7160791501456</v>
      </c>
      <c r="T1062">
        <f t="shared" si="1028"/>
        <v>-4.3267160791501453</v>
      </c>
    </row>
    <row r="1063" spans="1:20" x14ac:dyDescent="0.25">
      <c r="A1063" s="5">
        <v>43530</v>
      </c>
      <c r="B1063">
        <v>0.31473000000000001</v>
      </c>
      <c r="C1063">
        <v>0.32185999999999998</v>
      </c>
      <c r="D1063">
        <v>0.3095</v>
      </c>
      <c r="E1063">
        <v>0.31629000000000002</v>
      </c>
      <c r="F1063">
        <v>69108469.900000006</v>
      </c>
      <c r="G1063">
        <v>0</v>
      </c>
      <c r="L1063" t="s">
        <v>8</v>
      </c>
      <c r="M1063" t="s">
        <v>7</v>
      </c>
      <c r="N1063" t="s">
        <v>7</v>
      </c>
      <c r="P1063">
        <f t="shared" si="1024"/>
        <v>9.8705501618127522E-2</v>
      </c>
      <c r="Q1063">
        <f t="shared" si="1025"/>
        <v>6821386.1875407677</v>
      </c>
      <c r="R1063">
        <f t="shared" si="1026"/>
        <v>-392028770.25897998</v>
      </c>
      <c r="S1063">
        <f t="shared" si="1027"/>
        <v>-3920.2877025897997</v>
      </c>
      <c r="T1063">
        <f t="shared" si="1028"/>
        <v>-3.9202877025897997</v>
      </c>
    </row>
    <row r="1064" spans="1:20" x14ac:dyDescent="0.25">
      <c r="A1064" s="5">
        <v>43529</v>
      </c>
      <c r="B1064">
        <v>0.30197000000000002</v>
      </c>
      <c r="C1064">
        <v>0.31786999999999999</v>
      </c>
      <c r="D1064">
        <v>0.30080000000000001</v>
      </c>
      <c r="E1064">
        <v>0.31470999999999999</v>
      </c>
      <c r="F1064">
        <v>65812161.600000001</v>
      </c>
      <c r="G1064">
        <v>0</v>
      </c>
      <c r="L1064" t="s">
        <v>8</v>
      </c>
      <c r="M1064" t="s">
        <v>7</v>
      </c>
      <c r="N1064" t="s">
        <v>7</v>
      </c>
      <c r="P1064">
        <f t="shared" si="1024"/>
        <v>0.62975981253661384</v>
      </c>
      <c r="Q1064">
        <f t="shared" si="1025"/>
        <v>41445854.551845334</v>
      </c>
      <c r="R1064">
        <f t="shared" si="1026"/>
        <v>-398850156.44652075</v>
      </c>
      <c r="S1064">
        <f t="shared" si="1027"/>
        <v>-3988.5015644652076</v>
      </c>
      <c r="T1064">
        <f t="shared" si="1028"/>
        <v>-3.9885015644652078</v>
      </c>
    </row>
    <row r="1065" spans="1:20" x14ac:dyDescent="0.25">
      <c r="A1065" s="5">
        <v>43528</v>
      </c>
      <c r="B1065">
        <v>0.31114999999999998</v>
      </c>
      <c r="C1065">
        <v>0.31222</v>
      </c>
      <c r="D1065">
        <v>0.29727999999999999</v>
      </c>
      <c r="E1065">
        <v>0.30207000000000001</v>
      </c>
      <c r="F1065">
        <v>54554165.299999997</v>
      </c>
      <c r="G1065">
        <v>0</v>
      </c>
      <c r="L1065" t="s">
        <v>7</v>
      </c>
      <c r="M1065" t="s">
        <v>7</v>
      </c>
      <c r="N1065" t="s">
        <v>7</v>
      </c>
      <c r="P1065">
        <f t="shared" si="1024"/>
        <v>-0.35876840696117623</v>
      </c>
      <c r="Q1065">
        <f t="shared" si="1025"/>
        <v>-19572310.977777679</v>
      </c>
      <c r="R1065">
        <f t="shared" si="1026"/>
        <v>-440296010.99836606</v>
      </c>
      <c r="S1065">
        <f t="shared" si="1027"/>
        <v>-4402.9601099836609</v>
      </c>
      <c r="T1065">
        <f t="shared" si="1028"/>
        <v>-4.4029601099836606</v>
      </c>
    </row>
    <row r="1066" spans="1:20" x14ac:dyDescent="0.25">
      <c r="A1066" s="5">
        <v>43527</v>
      </c>
      <c r="B1066">
        <v>0.31389</v>
      </c>
      <c r="C1066">
        <v>0.31541999999999998</v>
      </c>
      <c r="D1066">
        <v>0.308</v>
      </c>
      <c r="E1066">
        <v>0.31114000000000003</v>
      </c>
      <c r="F1066">
        <v>35107981</v>
      </c>
      <c r="G1066">
        <v>0</v>
      </c>
      <c r="L1066" t="s">
        <v>8</v>
      </c>
      <c r="M1066" t="s">
        <v>7</v>
      </c>
      <c r="N1066" t="s">
        <v>7</v>
      </c>
      <c r="P1066">
        <f t="shared" si="1024"/>
        <v>-0.15363881401616195</v>
      </c>
      <c r="Q1066">
        <f t="shared" si="1025"/>
        <v>-5393948.5633419473</v>
      </c>
      <c r="R1066">
        <f t="shared" si="1026"/>
        <v>-420723700.0205884</v>
      </c>
      <c r="S1066">
        <f t="shared" si="1027"/>
        <v>-4207.2370002058842</v>
      </c>
      <c r="T1066">
        <f t="shared" si="1028"/>
        <v>-4.2072370002058843</v>
      </c>
    </row>
    <row r="1067" spans="1:20" x14ac:dyDescent="0.25">
      <c r="A1067" s="5">
        <v>43526</v>
      </c>
      <c r="B1067">
        <v>0.31564999999999999</v>
      </c>
      <c r="C1067">
        <v>0.31818999999999997</v>
      </c>
      <c r="D1067">
        <v>0.30992999999999998</v>
      </c>
      <c r="E1067">
        <v>0.31381999999999999</v>
      </c>
      <c r="F1067">
        <v>49884108</v>
      </c>
      <c r="G1067">
        <v>0</v>
      </c>
      <c r="L1067" t="s">
        <v>8</v>
      </c>
      <c r="M1067" t="s">
        <v>7</v>
      </c>
      <c r="N1067" t="s">
        <v>7</v>
      </c>
      <c r="P1067">
        <f t="shared" si="1024"/>
        <v>-5.8111380145276156E-2</v>
      </c>
      <c r="Q1067">
        <f t="shared" si="1025"/>
        <v>-2898834.3631960116</v>
      </c>
      <c r="R1067">
        <f t="shared" si="1026"/>
        <v>-415329751.45724642</v>
      </c>
      <c r="S1067">
        <f t="shared" si="1027"/>
        <v>-4153.297514572464</v>
      </c>
      <c r="T1067">
        <f t="shared" si="1028"/>
        <v>-4.153297514572464</v>
      </c>
    </row>
    <row r="1068" spans="1:20" x14ac:dyDescent="0.25">
      <c r="A1068" s="5">
        <v>43525</v>
      </c>
      <c r="B1068">
        <v>0.31385999999999997</v>
      </c>
      <c r="C1068">
        <v>0.32353999999999999</v>
      </c>
      <c r="D1068">
        <v>0.31146000000000001</v>
      </c>
      <c r="E1068">
        <v>0.31563999999999998</v>
      </c>
      <c r="F1068">
        <v>82928007.700000003</v>
      </c>
      <c r="G1068">
        <v>0</v>
      </c>
      <c r="L1068" t="s">
        <v>8</v>
      </c>
      <c r="M1068" t="s">
        <v>7</v>
      </c>
      <c r="N1068" t="s">
        <v>7</v>
      </c>
      <c r="P1068">
        <f t="shared" si="1024"/>
        <v>-0.30794701986755485</v>
      </c>
      <c r="Q1068">
        <f t="shared" si="1025"/>
        <v>-25537432.834768642</v>
      </c>
      <c r="R1068">
        <f t="shared" si="1026"/>
        <v>-412430917.09405041</v>
      </c>
      <c r="S1068">
        <f t="shared" si="1027"/>
        <v>-4124.3091709405044</v>
      </c>
      <c r="T1068">
        <f t="shared" si="1028"/>
        <v>-4.1243091709405046</v>
      </c>
    </row>
    <row r="1069" spans="1:20" x14ac:dyDescent="0.25">
      <c r="A1069" s="5">
        <v>43524</v>
      </c>
      <c r="B1069">
        <v>0.31053999999999998</v>
      </c>
      <c r="C1069">
        <v>0.31770999999999999</v>
      </c>
      <c r="D1069">
        <v>0.30602000000000001</v>
      </c>
      <c r="E1069">
        <v>0.31390000000000001</v>
      </c>
      <c r="F1069">
        <v>82235972.700000003</v>
      </c>
      <c r="G1069">
        <v>0</v>
      </c>
      <c r="L1069" t="s">
        <v>7</v>
      </c>
      <c r="M1069" t="s">
        <v>7</v>
      </c>
      <c r="N1069" t="s">
        <v>7</v>
      </c>
      <c r="P1069">
        <f t="shared" si="1024"/>
        <v>0.34816082121471564</v>
      </c>
      <c r="Q1069">
        <f t="shared" si="1025"/>
        <v>28631343.788622938</v>
      </c>
      <c r="R1069">
        <f t="shared" si="1026"/>
        <v>-386893484.25928175</v>
      </c>
      <c r="S1069">
        <f t="shared" si="1027"/>
        <v>-3868.9348425928174</v>
      </c>
      <c r="T1069">
        <f t="shared" si="1028"/>
        <v>-3.8689348425928176</v>
      </c>
    </row>
    <row r="1070" spans="1:20" x14ac:dyDescent="0.25">
      <c r="A1070" s="5">
        <v>43523</v>
      </c>
      <c r="B1070">
        <v>0.31663000000000002</v>
      </c>
      <c r="C1070">
        <v>0.31874000000000002</v>
      </c>
      <c r="D1070">
        <v>0.30076000000000003</v>
      </c>
      <c r="E1070">
        <v>0.31067</v>
      </c>
      <c r="F1070">
        <v>86042683.700000003</v>
      </c>
      <c r="G1070">
        <v>0</v>
      </c>
      <c r="L1070" t="s">
        <v>7</v>
      </c>
      <c r="M1070" t="s">
        <v>7</v>
      </c>
      <c r="N1070" t="s">
        <v>7</v>
      </c>
      <c r="P1070">
        <f t="shared" si="1024"/>
        <v>0.10233592880978605</v>
      </c>
      <c r="Q1070">
        <f t="shared" si="1025"/>
        <v>8805257.9537261389</v>
      </c>
      <c r="R1070">
        <f t="shared" si="1026"/>
        <v>-415524828.04790467</v>
      </c>
      <c r="S1070">
        <f t="shared" si="1027"/>
        <v>-4155.248280479047</v>
      </c>
      <c r="T1070">
        <f t="shared" si="1028"/>
        <v>-4.1552482804790474</v>
      </c>
    </row>
    <row r="1071" spans="1:20" x14ac:dyDescent="0.25">
      <c r="A1071" s="5">
        <v>43522</v>
      </c>
      <c r="B1071">
        <v>0.32740000000000002</v>
      </c>
      <c r="C1071">
        <v>0.33501999999999998</v>
      </c>
      <c r="D1071">
        <v>0.31334000000000001</v>
      </c>
      <c r="E1071">
        <v>0.31657999999999997</v>
      </c>
      <c r="F1071">
        <v>156768298.40000001</v>
      </c>
      <c r="G1071">
        <v>0</v>
      </c>
      <c r="L1071" t="s">
        <v>7</v>
      </c>
      <c r="M1071" t="s">
        <v>7</v>
      </c>
      <c r="N1071" t="s">
        <v>7</v>
      </c>
      <c r="P1071">
        <f t="shared" si="1024"/>
        <v>-0.70110701107011364</v>
      </c>
      <c r="Q1071">
        <f t="shared" si="1025"/>
        <v>-109911353.12177168</v>
      </c>
      <c r="R1071">
        <f t="shared" si="1026"/>
        <v>-424330086.00163078</v>
      </c>
      <c r="S1071">
        <f t="shared" si="1027"/>
        <v>-4243.3008600163075</v>
      </c>
      <c r="T1071">
        <f t="shared" si="1028"/>
        <v>-4.2433008600163076</v>
      </c>
    </row>
    <row r="1072" spans="1:20" x14ac:dyDescent="0.25">
      <c r="A1072" s="5">
        <v>43521</v>
      </c>
      <c r="B1072">
        <v>0.29757</v>
      </c>
      <c r="C1072">
        <v>0.33975</v>
      </c>
      <c r="D1072">
        <v>0.29671999999999998</v>
      </c>
      <c r="E1072">
        <v>0.32730999999999999</v>
      </c>
      <c r="F1072">
        <v>198793053.80000001</v>
      </c>
      <c r="G1072">
        <v>0</v>
      </c>
      <c r="L1072" t="s">
        <v>8</v>
      </c>
      <c r="M1072" t="s">
        <v>7</v>
      </c>
      <c r="N1072" t="s">
        <v>7</v>
      </c>
      <c r="P1072">
        <f t="shared" si="1024"/>
        <v>0.42179874506158482</v>
      </c>
      <c r="Q1072">
        <f t="shared" si="1025"/>
        <v>83850660.619800121</v>
      </c>
      <c r="R1072">
        <f t="shared" si="1026"/>
        <v>-314418732.87985909</v>
      </c>
      <c r="S1072">
        <f t="shared" si="1027"/>
        <v>-3144.1873287985909</v>
      </c>
      <c r="T1072">
        <f t="shared" si="1028"/>
        <v>-3.1441873287985911</v>
      </c>
    </row>
    <row r="1073" spans="1:20" x14ac:dyDescent="0.25">
      <c r="A1073" s="5">
        <v>43520</v>
      </c>
      <c r="B1073">
        <v>0.33201000000000003</v>
      </c>
      <c r="C1073">
        <v>0.34344999999999998</v>
      </c>
      <c r="D1073">
        <v>0.29371000000000003</v>
      </c>
      <c r="E1073">
        <v>0.29757</v>
      </c>
      <c r="F1073">
        <v>168785982.40000001</v>
      </c>
      <c r="G1073">
        <v>0</v>
      </c>
      <c r="L1073" t="s">
        <v>7</v>
      </c>
      <c r="M1073" t="s">
        <v>7</v>
      </c>
      <c r="N1073" t="s">
        <v>7</v>
      </c>
      <c r="P1073">
        <f t="shared" si="1024"/>
        <v>-0.84479292320064425</v>
      </c>
      <c r="Q1073">
        <f t="shared" si="1025"/>
        <v>-142589203.4669885</v>
      </c>
      <c r="R1073">
        <f t="shared" si="1026"/>
        <v>-398269393.49965918</v>
      </c>
      <c r="S1073">
        <f t="shared" si="1027"/>
        <v>-3982.6939349965919</v>
      </c>
      <c r="T1073">
        <f t="shared" si="1028"/>
        <v>-3.982693934996592</v>
      </c>
    </row>
    <row r="1074" spans="1:20" x14ac:dyDescent="0.25">
      <c r="A1074" s="5">
        <v>43519</v>
      </c>
      <c r="B1074">
        <v>0.32102000000000003</v>
      </c>
      <c r="C1074">
        <v>0.33395000000000002</v>
      </c>
      <c r="D1074">
        <v>0.31752999999999998</v>
      </c>
      <c r="E1074">
        <v>0.33201000000000003</v>
      </c>
      <c r="F1074">
        <v>65573265.399999999</v>
      </c>
      <c r="G1074">
        <v>0</v>
      </c>
      <c r="L1074" t="s">
        <v>7</v>
      </c>
      <c r="M1074" t="s">
        <v>8</v>
      </c>
      <c r="N1074" t="s">
        <v>7</v>
      </c>
      <c r="P1074">
        <f t="shared" si="1024"/>
        <v>0.76370280146163316</v>
      </c>
      <c r="Q1074">
        <f t="shared" si="1025"/>
        <v>50078486.486967176</v>
      </c>
      <c r="R1074">
        <f t="shared" si="1026"/>
        <v>-255680190.03267071</v>
      </c>
      <c r="S1074">
        <f t="shared" si="1027"/>
        <v>-2556.8019003267073</v>
      </c>
      <c r="T1074">
        <f t="shared" si="1028"/>
        <v>-2.5568019003267071</v>
      </c>
    </row>
    <row r="1075" spans="1:20" x14ac:dyDescent="0.25">
      <c r="A1075" s="5">
        <v>43518</v>
      </c>
      <c r="B1075">
        <v>0.32063999999999998</v>
      </c>
      <c r="C1075">
        <v>0.32333000000000001</v>
      </c>
      <c r="D1075">
        <v>0.31352000000000002</v>
      </c>
      <c r="E1075">
        <v>0.32105</v>
      </c>
      <c r="F1075">
        <v>47070036.799999997</v>
      </c>
      <c r="G1075">
        <v>0</v>
      </c>
      <c r="L1075" t="s">
        <v>7</v>
      </c>
      <c r="M1075" t="s">
        <v>8</v>
      </c>
      <c r="N1075" t="s">
        <v>7</v>
      </c>
      <c r="P1075">
        <f t="shared" si="1024"/>
        <v>0.53516819571865293</v>
      </c>
      <c r="Q1075">
        <f t="shared" si="1025"/>
        <v>25190386.666666593</v>
      </c>
      <c r="R1075">
        <f t="shared" si="1026"/>
        <v>-305758676.51963788</v>
      </c>
      <c r="S1075">
        <f t="shared" si="1027"/>
        <v>-3057.586765196379</v>
      </c>
      <c r="T1075">
        <f t="shared" si="1028"/>
        <v>-3.0575867651963788</v>
      </c>
    </row>
    <row r="1076" spans="1:20" x14ac:dyDescent="0.25">
      <c r="A1076" s="5">
        <v>43517</v>
      </c>
      <c r="B1076">
        <v>0.33139000000000002</v>
      </c>
      <c r="C1076">
        <v>0.33296999999999999</v>
      </c>
      <c r="D1076">
        <v>0.31688</v>
      </c>
      <c r="E1076">
        <v>0.32069999999999999</v>
      </c>
      <c r="F1076">
        <v>74728496.599999994</v>
      </c>
      <c r="G1076">
        <v>0</v>
      </c>
      <c r="L1076" t="s">
        <v>7</v>
      </c>
      <c r="M1076" t="s">
        <v>8</v>
      </c>
      <c r="N1076" t="s">
        <v>7</v>
      </c>
      <c r="P1076">
        <f t="shared" si="1024"/>
        <v>-0.52517091361093948</v>
      </c>
      <c r="Q1076">
        <f t="shared" si="1025"/>
        <v>-39245232.832193978</v>
      </c>
      <c r="R1076">
        <f t="shared" si="1026"/>
        <v>-330949063.18630445</v>
      </c>
      <c r="S1076">
        <f t="shared" si="1027"/>
        <v>-3309.4906318630447</v>
      </c>
      <c r="T1076">
        <f t="shared" si="1028"/>
        <v>-3.3094906318630448</v>
      </c>
    </row>
    <row r="1077" spans="1:20" x14ac:dyDescent="0.25">
      <c r="A1077" s="5">
        <v>43516</v>
      </c>
      <c r="B1077">
        <v>0.32250000000000001</v>
      </c>
      <c r="C1077">
        <v>0.33476</v>
      </c>
      <c r="D1077">
        <v>0.31659999999999999</v>
      </c>
      <c r="E1077">
        <v>0.33150000000000002</v>
      </c>
      <c r="F1077">
        <v>103063793.8</v>
      </c>
      <c r="G1077">
        <v>0</v>
      </c>
      <c r="L1077" t="s">
        <v>7</v>
      </c>
      <c r="M1077" t="s">
        <v>8</v>
      </c>
      <c r="N1077" t="s">
        <v>7</v>
      </c>
      <c r="P1077">
        <f t="shared" si="1024"/>
        <v>0.64096916299559659</v>
      </c>
      <c r="Q1077">
        <f t="shared" si="1025"/>
        <v>66060713.647136755</v>
      </c>
      <c r="R1077">
        <f t="shared" si="1026"/>
        <v>-291703830.35411048</v>
      </c>
      <c r="S1077">
        <f t="shared" si="1027"/>
        <v>-2917.0383035411046</v>
      </c>
      <c r="T1077">
        <f t="shared" si="1028"/>
        <v>-2.9170383035411045</v>
      </c>
    </row>
    <row r="1078" spans="1:20" x14ac:dyDescent="0.25">
      <c r="A1078" s="5">
        <v>43515</v>
      </c>
      <c r="B1078">
        <v>0.32188</v>
      </c>
      <c r="C1078">
        <v>0.34777000000000002</v>
      </c>
      <c r="D1078">
        <v>0.31807000000000002</v>
      </c>
      <c r="E1078">
        <v>0.32238</v>
      </c>
      <c r="F1078">
        <v>198102626.40000001</v>
      </c>
      <c r="G1078">
        <v>0</v>
      </c>
      <c r="L1078" t="s">
        <v>8</v>
      </c>
      <c r="M1078" t="s">
        <v>8</v>
      </c>
      <c r="N1078" t="s">
        <v>7</v>
      </c>
      <c r="P1078">
        <f t="shared" si="1024"/>
        <v>-0.70976430976431115</v>
      </c>
      <c r="Q1078">
        <f t="shared" si="1025"/>
        <v>-140606173.88929319</v>
      </c>
      <c r="R1078">
        <f t="shared" si="1026"/>
        <v>-357764544.00124723</v>
      </c>
      <c r="S1078">
        <f t="shared" si="1027"/>
        <v>-3577.6454400124721</v>
      </c>
      <c r="T1078">
        <f t="shared" si="1028"/>
        <v>-3.5776454400124722</v>
      </c>
    </row>
    <row r="1079" spans="1:20" x14ac:dyDescent="0.25">
      <c r="A1079" s="5">
        <v>43514</v>
      </c>
      <c r="B1079">
        <v>0.30309999999999998</v>
      </c>
      <c r="C1079">
        <v>0.32862000000000002</v>
      </c>
      <c r="D1079">
        <v>0.30176999999999998</v>
      </c>
      <c r="E1079">
        <v>0.32194</v>
      </c>
      <c r="F1079">
        <v>172763975.19999999</v>
      </c>
      <c r="G1079">
        <v>0</v>
      </c>
      <c r="L1079" t="s">
        <v>8</v>
      </c>
      <c r="M1079" t="s">
        <v>8</v>
      </c>
      <c r="N1079" t="s">
        <v>7</v>
      </c>
      <c r="P1079">
        <f t="shared" si="1024"/>
        <v>0.50242085661080005</v>
      </c>
      <c r="Q1079">
        <f t="shared" si="1025"/>
        <v>86800224.411471009</v>
      </c>
      <c r="R1079">
        <f t="shared" si="1026"/>
        <v>-217158370.11195403</v>
      </c>
      <c r="S1079">
        <f t="shared" si="1027"/>
        <v>-2171.5837011195404</v>
      </c>
      <c r="T1079">
        <f t="shared" si="1028"/>
        <v>-2.1715837011195402</v>
      </c>
    </row>
    <row r="1080" spans="1:20" x14ac:dyDescent="0.25">
      <c r="A1080" s="5">
        <v>43513</v>
      </c>
      <c r="B1080">
        <v>0.30084</v>
      </c>
      <c r="C1080">
        <v>0.308</v>
      </c>
      <c r="D1080">
        <v>0.29848999999999998</v>
      </c>
      <c r="E1080">
        <v>0.30318000000000001</v>
      </c>
      <c r="F1080">
        <v>49930873.100000001</v>
      </c>
      <c r="G1080">
        <v>0</v>
      </c>
      <c r="L1080" t="s">
        <v>7</v>
      </c>
      <c r="M1080" t="s">
        <v>8</v>
      </c>
      <c r="N1080" t="s">
        <v>7</v>
      </c>
      <c r="P1080">
        <f t="shared" si="1024"/>
        <v>-1.3669821240795292E-2</v>
      </c>
      <c r="Q1080">
        <f t="shared" si="1025"/>
        <v>-682546.10967383429</v>
      </c>
      <c r="R1080">
        <f t="shared" si="1026"/>
        <v>-303958594.52342504</v>
      </c>
      <c r="S1080">
        <f t="shared" si="1027"/>
        <v>-3039.5859452342506</v>
      </c>
      <c r="T1080">
        <f t="shared" si="1028"/>
        <v>-3.0395859452342506</v>
      </c>
    </row>
    <row r="1081" spans="1:20" x14ac:dyDescent="0.25">
      <c r="A1081" s="5">
        <v>43512</v>
      </c>
      <c r="B1081">
        <v>0.30195</v>
      </c>
      <c r="C1081">
        <v>0.30408000000000002</v>
      </c>
      <c r="D1081">
        <v>0.29970000000000002</v>
      </c>
      <c r="E1081">
        <v>0.30076999999999998</v>
      </c>
      <c r="F1081">
        <v>31126221.899999999</v>
      </c>
      <c r="G1081">
        <v>0</v>
      </c>
      <c r="L1081" t="s">
        <v>7</v>
      </c>
      <c r="M1081" t="s">
        <v>8</v>
      </c>
      <c r="N1081" t="s">
        <v>7</v>
      </c>
      <c r="P1081">
        <f t="shared" si="1024"/>
        <v>-0.51141552511417299</v>
      </c>
      <c r="Q1081">
        <f t="shared" si="1025"/>
        <v>-15918433.11780877</v>
      </c>
      <c r="R1081">
        <f t="shared" si="1026"/>
        <v>-303276048.41375118</v>
      </c>
      <c r="S1081">
        <f t="shared" si="1027"/>
        <v>-3032.7604841375119</v>
      </c>
      <c r="T1081">
        <f t="shared" si="1028"/>
        <v>-3.032760484137512</v>
      </c>
    </row>
    <row r="1082" spans="1:20" x14ac:dyDescent="0.25">
      <c r="A1082" s="5">
        <v>43511</v>
      </c>
      <c r="B1082">
        <v>0.30081999999999998</v>
      </c>
      <c r="C1082">
        <v>0.30646000000000001</v>
      </c>
      <c r="D1082">
        <v>0.29599999999999999</v>
      </c>
      <c r="E1082">
        <v>0.30193999999999999</v>
      </c>
      <c r="F1082">
        <v>35931398.299999997</v>
      </c>
      <c r="G1082">
        <v>0</v>
      </c>
      <c r="L1082" t="s">
        <v>7</v>
      </c>
      <c r="M1082" t="s">
        <v>8</v>
      </c>
      <c r="N1082" t="s">
        <v>7</v>
      </c>
      <c r="P1082">
        <f t="shared" si="1024"/>
        <v>0.13575525812619249</v>
      </c>
      <c r="Q1082">
        <f t="shared" si="1025"/>
        <v>4877876.251051534</v>
      </c>
      <c r="R1082">
        <f t="shared" si="1026"/>
        <v>-287357615.29594243</v>
      </c>
      <c r="S1082">
        <f t="shared" si="1027"/>
        <v>-2873.5761529594242</v>
      </c>
      <c r="T1082">
        <f t="shared" si="1028"/>
        <v>-2.8735761529594241</v>
      </c>
    </row>
    <row r="1083" spans="1:20" x14ac:dyDescent="0.25">
      <c r="A1083" s="5">
        <v>43510</v>
      </c>
      <c r="B1083">
        <v>0.30386999999999997</v>
      </c>
      <c r="C1083">
        <v>0.30556</v>
      </c>
      <c r="D1083">
        <v>0.29975000000000002</v>
      </c>
      <c r="E1083">
        <v>0.30081000000000002</v>
      </c>
      <c r="F1083">
        <v>38757408.100000001</v>
      </c>
      <c r="G1083">
        <v>0</v>
      </c>
      <c r="L1083" t="s">
        <v>7</v>
      </c>
      <c r="M1083" t="s">
        <v>8</v>
      </c>
      <c r="N1083" t="s">
        <v>7</v>
      </c>
      <c r="P1083">
        <f t="shared" si="1024"/>
        <v>-0.6351118760757285</v>
      </c>
      <c r="Q1083">
        <f t="shared" si="1025"/>
        <v>-24615290.170223638</v>
      </c>
      <c r="R1083">
        <f t="shared" si="1026"/>
        <v>-292235491.54699397</v>
      </c>
      <c r="S1083">
        <f t="shared" si="1027"/>
        <v>-2922.3549154699399</v>
      </c>
      <c r="T1083">
        <f t="shared" si="1028"/>
        <v>-2.9223549154699398</v>
      </c>
    </row>
    <row r="1084" spans="1:20" x14ac:dyDescent="0.25">
      <c r="A1084" s="5">
        <v>43509</v>
      </c>
      <c r="B1084">
        <v>0.30509999999999998</v>
      </c>
      <c r="C1084">
        <v>0.31373000000000001</v>
      </c>
      <c r="D1084">
        <v>0.30113000000000001</v>
      </c>
      <c r="E1084">
        <v>0.30381999999999998</v>
      </c>
      <c r="F1084">
        <v>54722420.399999999</v>
      </c>
      <c r="G1084">
        <v>0</v>
      </c>
      <c r="L1084" t="s">
        <v>7</v>
      </c>
      <c r="M1084" t="s">
        <v>8</v>
      </c>
      <c r="N1084" t="s">
        <v>7</v>
      </c>
      <c r="P1084">
        <f t="shared" si="1024"/>
        <v>-0.57301587301587775</v>
      </c>
      <c r="Q1084">
        <f t="shared" si="1025"/>
        <v>-31356815.499047879</v>
      </c>
      <c r="R1084">
        <f t="shared" si="1026"/>
        <v>-267620201.37677035</v>
      </c>
      <c r="S1084">
        <f t="shared" si="1027"/>
        <v>-2676.2020137677036</v>
      </c>
      <c r="T1084">
        <f t="shared" si="1028"/>
        <v>-2.6762020137677038</v>
      </c>
    </row>
    <row r="1085" spans="1:20" x14ac:dyDescent="0.25">
      <c r="A1085" s="5">
        <v>43508</v>
      </c>
      <c r="B1085">
        <v>0.30242999999999998</v>
      </c>
      <c r="C1085">
        <v>0.30842000000000003</v>
      </c>
      <c r="D1085">
        <v>0.29625000000000001</v>
      </c>
      <c r="E1085">
        <v>0.30514000000000002</v>
      </c>
      <c r="F1085">
        <v>50915657.100000001</v>
      </c>
      <c r="G1085">
        <v>0</v>
      </c>
      <c r="L1085" t="s">
        <v>7</v>
      </c>
      <c r="M1085" t="s">
        <v>8</v>
      </c>
      <c r="N1085" t="s">
        <v>7</v>
      </c>
      <c r="P1085">
        <f t="shared" si="1024"/>
        <v>0.46096959737058318</v>
      </c>
      <c r="Q1085">
        <f t="shared" si="1025"/>
        <v>23470569.953245677</v>
      </c>
      <c r="R1085">
        <f t="shared" si="1026"/>
        <v>-236263385.87772247</v>
      </c>
      <c r="S1085">
        <f t="shared" si="1027"/>
        <v>-2362.6338587772248</v>
      </c>
      <c r="T1085">
        <f t="shared" si="1028"/>
        <v>-2.3626338587772246</v>
      </c>
    </row>
    <row r="1086" spans="1:20" x14ac:dyDescent="0.25">
      <c r="A1086" s="5">
        <v>43507</v>
      </c>
      <c r="B1086">
        <v>0.30985000000000001</v>
      </c>
      <c r="C1086">
        <v>0.31030000000000002</v>
      </c>
      <c r="D1086">
        <v>0.30136000000000002</v>
      </c>
      <c r="E1086">
        <v>0.30254999999999999</v>
      </c>
      <c r="F1086">
        <v>41900510.200000003</v>
      </c>
      <c r="G1086">
        <v>0</v>
      </c>
      <c r="L1086" t="s">
        <v>7</v>
      </c>
      <c r="M1086" t="s">
        <v>8</v>
      </c>
      <c r="N1086" t="s">
        <v>7</v>
      </c>
      <c r="P1086">
        <f t="shared" si="1024"/>
        <v>-0.73378076062640529</v>
      </c>
      <c r="Q1086">
        <f t="shared" si="1025"/>
        <v>-30745788.245190457</v>
      </c>
      <c r="R1086">
        <f t="shared" si="1026"/>
        <v>-259733955.83096814</v>
      </c>
      <c r="S1086">
        <f t="shared" si="1027"/>
        <v>-2597.3395583096813</v>
      </c>
      <c r="T1086">
        <f t="shared" si="1028"/>
        <v>-2.5973395583096814</v>
      </c>
    </row>
    <row r="1087" spans="1:20" x14ac:dyDescent="0.25">
      <c r="A1087" s="5">
        <v>43506</v>
      </c>
      <c r="B1087">
        <v>0.31218000000000001</v>
      </c>
      <c r="C1087">
        <v>0.31286000000000003</v>
      </c>
      <c r="D1087">
        <v>0.29829</v>
      </c>
      <c r="E1087">
        <v>0.30987999999999999</v>
      </c>
      <c r="F1087">
        <v>65487258</v>
      </c>
      <c r="G1087">
        <v>0</v>
      </c>
      <c r="L1087" t="s">
        <v>7</v>
      </c>
      <c r="M1087" t="s">
        <v>8</v>
      </c>
      <c r="N1087" t="s">
        <v>7</v>
      </c>
      <c r="P1087">
        <f t="shared" ref="P1087:P1150" si="1029">IF(C1087=D1087,0,((E1087-D1087)-(C1087-E1087))/(C1087-D1087))</f>
        <v>0.59094028826355083</v>
      </c>
      <c r="Q1087">
        <f t="shared" ref="Q1087:Q1150" si="1030">F1087*P1087</f>
        <v>38699059.120109528</v>
      </c>
      <c r="R1087">
        <f t="shared" ref="R1087:R1150" si="1031">R1088+Q1087</f>
        <v>-228988167.58577767</v>
      </c>
      <c r="S1087">
        <f t="shared" ref="S1087:S1150" si="1032">R1087/100000</f>
        <v>-2289.8816758577768</v>
      </c>
      <c r="T1087">
        <f t="shared" ref="T1087:T1150" si="1033">S1087/1000</f>
        <v>-2.2898816758577767</v>
      </c>
    </row>
    <row r="1088" spans="1:20" x14ac:dyDescent="0.25">
      <c r="A1088" s="5">
        <v>43505</v>
      </c>
      <c r="B1088">
        <v>0.31195000000000001</v>
      </c>
      <c r="C1088">
        <v>0.31640000000000001</v>
      </c>
      <c r="D1088">
        <v>0.30719000000000002</v>
      </c>
      <c r="E1088">
        <v>0.31214999999999998</v>
      </c>
      <c r="F1088">
        <v>65169202.200000003</v>
      </c>
      <c r="G1088">
        <v>0</v>
      </c>
      <c r="L1088" t="s">
        <v>8</v>
      </c>
      <c r="M1088" t="s">
        <v>8</v>
      </c>
      <c r="N1088" t="s">
        <v>7</v>
      </c>
      <c r="P1088">
        <f t="shared" si="1029"/>
        <v>7.7090119435389057E-2</v>
      </c>
      <c r="Q1088">
        <f t="shared" si="1030"/>
        <v>5023901.5811070194</v>
      </c>
      <c r="R1088">
        <f t="shared" si="1031"/>
        <v>-267687226.7058872</v>
      </c>
      <c r="S1088">
        <f t="shared" si="1032"/>
        <v>-2676.8722670588718</v>
      </c>
      <c r="T1088">
        <f t="shared" si="1033"/>
        <v>-2.6768722670588718</v>
      </c>
    </row>
    <row r="1089" spans="1:20" x14ac:dyDescent="0.25">
      <c r="A1089" s="5">
        <v>43504</v>
      </c>
      <c r="B1089">
        <v>0.29146</v>
      </c>
      <c r="C1089">
        <v>0.32129000000000002</v>
      </c>
      <c r="D1089">
        <v>0.28908</v>
      </c>
      <c r="E1089">
        <v>0.31204999999999999</v>
      </c>
      <c r="F1089">
        <v>93896197</v>
      </c>
      <c r="G1089">
        <v>0</v>
      </c>
      <c r="L1089" t="s">
        <v>8</v>
      </c>
      <c r="M1089" t="s">
        <v>8</v>
      </c>
      <c r="N1089" t="s">
        <v>7</v>
      </c>
      <c r="P1089">
        <f t="shared" si="1029"/>
        <v>0.42626513505122499</v>
      </c>
      <c r="Q1089">
        <f t="shared" si="1030"/>
        <v>40024675.095001429</v>
      </c>
      <c r="R1089">
        <f t="shared" si="1031"/>
        <v>-272711128.28699422</v>
      </c>
      <c r="S1089">
        <f t="shared" si="1032"/>
        <v>-2727.111282869942</v>
      </c>
      <c r="T1089">
        <f t="shared" si="1033"/>
        <v>-2.727111282869942</v>
      </c>
    </row>
    <row r="1090" spans="1:20" x14ac:dyDescent="0.25">
      <c r="A1090" s="5">
        <v>43503</v>
      </c>
      <c r="B1090">
        <v>0.28933999999999999</v>
      </c>
      <c r="C1090">
        <v>0.29469000000000001</v>
      </c>
      <c r="D1090">
        <v>0.28913</v>
      </c>
      <c r="E1090">
        <v>0.29144999999999999</v>
      </c>
      <c r="F1090">
        <v>32936661.600000001</v>
      </c>
      <c r="G1090">
        <v>0</v>
      </c>
      <c r="L1090" t="s">
        <v>7</v>
      </c>
      <c r="M1090" t="s">
        <v>8</v>
      </c>
      <c r="N1090" t="s">
        <v>7</v>
      </c>
      <c r="P1090">
        <f t="shared" si="1029"/>
        <v>-0.16546762589928604</v>
      </c>
      <c r="Q1090">
        <f t="shared" si="1030"/>
        <v>-5449951.2000001799</v>
      </c>
      <c r="R1090">
        <f t="shared" si="1031"/>
        <v>-312735803.38199562</v>
      </c>
      <c r="S1090">
        <f t="shared" si="1032"/>
        <v>-3127.3580338199563</v>
      </c>
      <c r="T1090">
        <f t="shared" si="1033"/>
        <v>-3.1273580338199563</v>
      </c>
    </row>
    <row r="1091" spans="1:20" x14ac:dyDescent="0.25">
      <c r="A1091" s="5">
        <v>43502</v>
      </c>
      <c r="B1091">
        <v>0.29971999999999999</v>
      </c>
      <c r="C1091">
        <v>0.30101</v>
      </c>
      <c r="D1091">
        <v>0.28809000000000001</v>
      </c>
      <c r="E1091">
        <v>0.28939999999999999</v>
      </c>
      <c r="F1091">
        <v>60630230.600000001</v>
      </c>
      <c r="G1091">
        <v>0</v>
      </c>
      <c r="L1091" t="s">
        <v>7</v>
      </c>
      <c r="M1091" t="s">
        <v>8</v>
      </c>
      <c r="N1091" t="s">
        <v>7</v>
      </c>
      <c r="P1091">
        <f t="shared" si="1029"/>
        <v>-0.79721362229102488</v>
      </c>
      <c r="Q1091">
        <f t="shared" si="1030"/>
        <v>-48335245.756966136</v>
      </c>
      <c r="R1091">
        <f t="shared" si="1031"/>
        <v>-307285852.18199545</v>
      </c>
      <c r="S1091">
        <f t="shared" si="1032"/>
        <v>-3072.8585218199546</v>
      </c>
      <c r="T1091">
        <f t="shared" si="1033"/>
        <v>-3.0728585218199544</v>
      </c>
    </row>
    <row r="1092" spans="1:20" x14ac:dyDescent="0.25">
      <c r="A1092" s="5">
        <v>43501</v>
      </c>
      <c r="B1092">
        <v>0.29931999999999997</v>
      </c>
      <c r="C1092">
        <v>0.30225000000000002</v>
      </c>
      <c r="D1092">
        <v>0.29642000000000002</v>
      </c>
      <c r="E1092">
        <v>0.29971999999999999</v>
      </c>
      <c r="F1092">
        <v>53121022</v>
      </c>
      <c r="G1092">
        <v>0</v>
      </c>
      <c r="L1092" t="s">
        <v>7</v>
      </c>
      <c r="M1092" t="s">
        <v>8</v>
      </c>
      <c r="N1092" t="s">
        <v>7</v>
      </c>
      <c r="P1092">
        <f t="shared" si="1029"/>
        <v>0.13207547169810244</v>
      </c>
      <c r="Q1092">
        <f t="shared" si="1030"/>
        <v>7015984.0377352769</v>
      </c>
      <c r="R1092">
        <f t="shared" si="1031"/>
        <v>-258950606.42502931</v>
      </c>
      <c r="S1092">
        <f t="shared" si="1032"/>
        <v>-2589.5060642502931</v>
      </c>
      <c r="T1092">
        <f t="shared" si="1033"/>
        <v>-2.5895060642502932</v>
      </c>
    </row>
    <row r="1093" spans="1:20" x14ac:dyDescent="0.25">
      <c r="A1093" s="5">
        <v>43500</v>
      </c>
      <c r="B1093">
        <v>0.30203999999999998</v>
      </c>
      <c r="C1093">
        <v>0.30565999999999999</v>
      </c>
      <c r="D1093">
        <v>0.29736000000000001</v>
      </c>
      <c r="E1093">
        <v>0.29938999999999999</v>
      </c>
      <c r="F1093">
        <v>44235957.5</v>
      </c>
      <c r="G1093">
        <v>0</v>
      </c>
      <c r="L1093" t="s">
        <v>7</v>
      </c>
      <c r="M1093" t="s">
        <v>8</v>
      </c>
      <c r="N1093" t="s">
        <v>7</v>
      </c>
      <c r="P1093">
        <f t="shared" si="1029"/>
        <v>-0.51084337349398012</v>
      </c>
      <c r="Q1093">
        <f t="shared" si="1030"/>
        <v>-22597645.759036332</v>
      </c>
      <c r="R1093">
        <f t="shared" si="1031"/>
        <v>-265966590.46276459</v>
      </c>
      <c r="S1093">
        <f t="shared" si="1032"/>
        <v>-2659.6659046276459</v>
      </c>
      <c r="T1093">
        <f t="shared" si="1033"/>
        <v>-2.6596659046276461</v>
      </c>
    </row>
    <row r="1094" spans="1:20" x14ac:dyDescent="0.25">
      <c r="A1094" s="5">
        <v>43499</v>
      </c>
      <c r="B1094">
        <v>0.31041999999999997</v>
      </c>
      <c r="C1094">
        <v>0.31214999999999998</v>
      </c>
      <c r="D1094">
        <v>0.28899999999999998</v>
      </c>
      <c r="E1094">
        <v>0.30219000000000001</v>
      </c>
      <c r="F1094">
        <v>55823769.600000001</v>
      </c>
      <c r="G1094">
        <v>0</v>
      </c>
      <c r="L1094" t="s">
        <v>7</v>
      </c>
      <c r="M1094" t="s">
        <v>8</v>
      </c>
      <c r="N1094" t="s">
        <v>7</v>
      </c>
      <c r="P1094">
        <f t="shared" si="1029"/>
        <v>0.13952483801296181</v>
      </c>
      <c r="Q1094">
        <f t="shared" si="1030"/>
        <v>7788802.4107129024</v>
      </c>
      <c r="R1094">
        <f t="shared" si="1031"/>
        <v>-243368944.70372826</v>
      </c>
      <c r="S1094">
        <f t="shared" si="1032"/>
        <v>-2433.6894470372827</v>
      </c>
      <c r="T1094">
        <f t="shared" si="1033"/>
        <v>-2.4336894470372825</v>
      </c>
    </row>
    <row r="1095" spans="1:20" x14ac:dyDescent="0.25">
      <c r="A1095" s="5">
        <v>43498</v>
      </c>
      <c r="B1095">
        <v>0.30628</v>
      </c>
      <c r="C1095">
        <v>0.31376999999999999</v>
      </c>
      <c r="D1095">
        <v>0.30427999999999999</v>
      </c>
      <c r="E1095">
        <v>0.31030000000000002</v>
      </c>
      <c r="F1095">
        <v>44389361.100000001</v>
      </c>
      <c r="G1095">
        <v>0</v>
      </c>
      <c r="L1095" t="s">
        <v>7</v>
      </c>
      <c r="M1095" t="s">
        <v>8</v>
      </c>
      <c r="N1095" t="s">
        <v>7</v>
      </c>
      <c r="P1095">
        <f t="shared" si="1029"/>
        <v>0.26870389884089069</v>
      </c>
      <c r="Q1095">
        <f t="shared" si="1030"/>
        <v>11927594.394626169</v>
      </c>
      <c r="R1095">
        <f t="shared" si="1031"/>
        <v>-251157747.11444116</v>
      </c>
      <c r="S1095">
        <f t="shared" si="1032"/>
        <v>-2511.5774711444114</v>
      </c>
      <c r="T1095">
        <f t="shared" si="1033"/>
        <v>-2.5115774711444114</v>
      </c>
    </row>
    <row r="1096" spans="1:20" x14ac:dyDescent="0.25">
      <c r="A1096" s="5">
        <v>43497</v>
      </c>
      <c r="B1096">
        <v>0.30919999999999997</v>
      </c>
      <c r="C1096">
        <v>0.31197000000000003</v>
      </c>
      <c r="D1096">
        <v>0.29499999999999998</v>
      </c>
      <c r="E1096">
        <v>0.30624000000000001</v>
      </c>
      <c r="F1096">
        <v>87742017.5</v>
      </c>
      <c r="G1096">
        <v>0</v>
      </c>
      <c r="L1096" t="s">
        <v>7</v>
      </c>
      <c r="M1096" t="s">
        <v>8</v>
      </c>
      <c r="N1096" t="s">
        <v>7</v>
      </c>
      <c r="P1096">
        <f t="shared" si="1029"/>
        <v>0.32469063052445502</v>
      </c>
      <c r="Q1096">
        <f t="shared" si="1030"/>
        <v>28489010.985562768</v>
      </c>
      <c r="R1096">
        <f t="shared" si="1031"/>
        <v>-263085341.50906733</v>
      </c>
      <c r="S1096">
        <f t="shared" si="1032"/>
        <v>-2630.8534150906735</v>
      </c>
      <c r="T1096">
        <f t="shared" si="1033"/>
        <v>-2.6308534150906735</v>
      </c>
    </row>
    <row r="1097" spans="1:20" x14ac:dyDescent="0.25">
      <c r="A1097" s="5">
        <v>43496</v>
      </c>
      <c r="B1097">
        <v>0.32118000000000002</v>
      </c>
      <c r="C1097">
        <v>0.33579999999999999</v>
      </c>
      <c r="D1097">
        <v>0.30348999999999998</v>
      </c>
      <c r="E1097">
        <v>0.30911</v>
      </c>
      <c r="F1097">
        <v>173326720.69999999</v>
      </c>
      <c r="G1097">
        <v>0</v>
      </c>
      <c r="L1097" t="s">
        <v>8</v>
      </c>
      <c r="M1097" t="s">
        <v>8</v>
      </c>
      <c r="N1097" t="s">
        <v>7</v>
      </c>
      <c r="P1097">
        <f t="shared" si="1029"/>
        <v>-0.65212008666047583</v>
      </c>
      <c r="Q1097">
        <f t="shared" si="1030"/>
        <v>-113029836.12346008</v>
      </c>
      <c r="R1097">
        <f t="shared" si="1031"/>
        <v>-291574352.4946301</v>
      </c>
      <c r="S1097">
        <f t="shared" si="1032"/>
        <v>-2915.743524946301</v>
      </c>
      <c r="T1097">
        <f t="shared" si="1033"/>
        <v>-2.9157435249463011</v>
      </c>
    </row>
    <row r="1098" spans="1:20" x14ac:dyDescent="0.25">
      <c r="A1098" s="5">
        <v>43495</v>
      </c>
      <c r="B1098">
        <v>0.28693999999999997</v>
      </c>
      <c r="C1098">
        <v>0.32645999999999997</v>
      </c>
      <c r="D1098">
        <v>0.28447</v>
      </c>
      <c r="E1098">
        <v>0.32108999999999999</v>
      </c>
      <c r="F1098">
        <v>135161854</v>
      </c>
      <c r="G1098">
        <v>0</v>
      </c>
      <c r="L1098" t="s">
        <v>8</v>
      </c>
      <c r="M1098" t="s">
        <v>8</v>
      </c>
      <c r="N1098" t="s">
        <v>7</v>
      </c>
      <c r="P1098">
        <f t="shared" si="1029"/>
        <v>0.74422481543224628</v>
      </c>
      <c r="Q1098">
        <f t="shared" si="1030"/>
        <v>100590805.84663022</v>
      </c>
      <c r="R1098">
        <f t="shared" si="1031"/>
        <v>-178544516.37116998</v>
      </c>
      <c r="S1098">
        <f t="shared" si="1032"/>
        <v>-1785.4451637116999</v>
      </c>
      <c r="T1098">
        <f t="shared" si="1033"/>
        <v>-1.7854451637116999</v>
      </c>
    </row>
    <row r="1099" spans="1:20" x14ac:dyDescent="0.25">
      <c r="A1099" s="5">
        <v>43494</v>
      </c>
      <c r="B1099">
        <v>0.29222999999999999</v>
      </c>
      <c r="C1099">
        <v>0.29399999999999998</v>
      </c>
      <c r="D1099">
        <v>0.28126000000000001</v>
      </c>
      <c r="E1099">
        <v>0.28693000000000002</v>
      </c>
      <c r="F1099">
        <v>46228128.899999999</v>
      </c>
      <c r="G1099">
        <v>0</v>
      </c>
      <c r="L1099" t="s">
        <v>7</v>
      </c>
      <c r="M1099" t="s">
        <v>7</v>
      </c>
      <c r="N1099" t="s">
        <v>7</v>
      </c>
      <c r="P1099">
        <f t="shared" si="1029"/>
        <v>-0.10989010989010672</v>
      </c>
      <c r="Q1099">
        <f t="shared" si="1030"/>
        <v>-5080014.1648350181</v>
      </c>
      <c r="R1099">
        <f t="shared" si="1031"/>
        <v>-279135322.2178002</v>
      </c>
      <c r="S1099">
        <f t="shared" si="1032"/>
        <v>-2791.3532221780019</v>
      </c>
      <c r="T1099">
        <f t="shared" si="1033"/>
        <v>-2.7913532221780017</v>
      </c>
    </row>
    <row r="1100" spans="1:20" x14ac:dyDescent="0.25">
      <c r="A1100" s="5">
        <v>43493</v>
      </c>
      <c r="B1100">
        <v>0.30653000000000002</v>
      </c>
      <c r="C1100">
        <v>0.30767</v>
      </c>
      <c r="D1100">
        <v>0.28088999999999997</v>
      </c>
      <c r="E1100">
        <v>0.29222999999999999</v>
      </c>
      <c r="F1100">
        <v>86788557</v>
      </c>
      <c r="G1100">
        <v>0</v>
      </c>
      <c r="L1100" t="s">
        <v>7</v>
      </c>
      <c r="M1100" t="s">
        <v>7</v>
      </c>
      <c r="N1100" t="s">
        <v>7</v>
      </c>
      <c r="P1100">
        <f t="shared" si="1029"/>
        <v>-0.15309932785660899</v>
      </c>
      <c r="Q1100">
        <f t="shared" si="1030"/>
        <v>-13287269.742344996</v>
      </c>
      <c r="R1100">
        <f t="shared" si="1031"/>
        <v>-274055308.05296516</v>
      </c>
      <c r="S1100">
        <f t="shared" si="1032"/>
        <v>-2740.5530805296517</v>
      </c>
      <c r="T1100">
        <f t="shared" si="1033"/>
        <v>-2.7405530805296516</v>
      </c>
    </row>
    <row r="1101" spans="1:20" x14ac:dyDescent="0.25">
      <c r="A1101" s="5">
        <v>43492</v>
      </c>
      <c r="B1101">
        <v>0.31259999999999999</v>
      </c>
      <c r="C1101">
        <v>0.31408999999999998</v>
      </c>
      <c r="D1101">
        <v>0.30271999999999999</v>
      </c>
      <c r="E1101">
        <v>0.30646000000000001</v>
      </c>
      <c r="F1101">
        <v>40448660.600000001</v>
      </c>
      <c r="G1101">
        <v>0</v>
      </c>
      <c r="L1101" t="s">
        <v>7</v>
      </c>
      <c r="M1101" t="s">
        <v>7</v>
      </c>
      <c r="N1101" t="s">
        <v>7</v>
      </c>
      <c r="P1101">
        <f t="shared" si="1029"/>
        <v>-0.34212840809146455</v>
      </c>
      <c r="Q1101">
        <f t="shared" si="1030"/>
        <v>-13838635.860509943</v>
      </c>
      <c r="R1101">
        <f t="shared" si="1031"/>
        <v>-260768038.31062016</v>
      </c>
      <c r="S1101">
        <f t="shared" si="1032"/>
        <v>-2607.6803831062016</v>
      </c>
      <c r="T1101">
        <f t="shared" si="1033"/>
        <v>-2.6076803831062016</v>
      </c>
    </row>
    <row r="1102" spans="1:20" x14ac:dyDescent="0.25">
      <c r="A1102" s="5">
        <v>43491</v>
      </c>
      <c r="B1102">
        <v>0.314</v>
      </c>
      <c r="C1102">
        <v>0.31886999999999999</v>
      </c>
      <c r="D1102">
        <v>0.31190000000000001</v>
      </c>
      <c r="E1102">
        <v>0.31258000000000002</v>
      </c>
      <c r="F1102">
        <v>27927773.899999999</v>
      </c>
      <c r="G1102">
        <v>0</v>
      </c>
      <c r="L1102" t="s">
        <v>7</v>
      </c>
      <c r="M1102" t="s">
        <v>7</v>
      </c>
      <c r="N1102" t="s">
        <v>7</v>
      </c>
      <c r="P1102">
        <f t="shared" si="1029"/>
        <v>-0.80487804878048319</v>
      </c>
      <c r="Q1102">
        <f t="shared" si="1030"/>
        <v>-22478452.163414504</v>
      </c>
      <c r="R1102">
        <f t="shared" si="1031"/>
        <v>-246929402.45011023</v>
      </c>
      <c r="S1102">
        <f t="shared" si="1032"/>
        <v>-2469.2940245011023</v>
      </c>
      <c r="T1102">
        <f t="shared" si="1033"/>
        <v>-2.4692940245011021</v>
      </c>
    </row>
    <row r="1103" spans="1:20" x14ac:dyDescent="0.25">
      <c r="A1103" s="5">
        <v>43490</v>
      </c>
      <c r="B1103">
        <v>0.31584000000000001</v>
      </c>
      <c r="C1103">
        <v>0.31697999999999998</v>
      </c>
      <c r="D1103">
        <v>0.31</v>
      </c>
      <c r="E1103">
        <v>0.31384000000000001</v>
      </c>
      <c r="F1103">
        <v>23989294.399999999</v>
      </c>
      <c r="G1103">
        <v>0</v>
      </c>
      <c r="L1103" t="s">
        <v>7</v>
      </c>
      <c r="M1103" t="s">
        <v>7</v>
      </c>
      <c r="N1103" t="s">
        <v>7</v>
      </c>
      <c r="P1103">
        <f t="shared" si="1029"/>
        <v>0.10028653295129446</v>
      </c>
      <c r="Q1103">
        <f t="shared" si="1030"/>
        <v>2405803.1633239035</v>
      </c>
      <c r="R1103">
        <f t="shared" si="1031"/>
        <v>-224450950.28669572</v>
      </c>
      <c r="S1103">
        <f t="shared" si="1032"/>
        <v>-2244.5095028669571</v>
      </c>
      <c r="T1103">
        <f t="shared" si="1033"/>
        <v>-2.2445095028669573</v>
      </c>
    </row>
    <row r="1104" spans="1:20" x14ac:dyDescent="0.25">
      <c r="A1104" s="5">
        <v>43489</v>
      </c>
      <c r="B1104">
        <v>0.31422</v>
      </c>
      <c r="C1104">
        <v>0.31795000000000001</v>
      </c>
      <c r="D1104">
        <v>0.31254999999999999</v>
      </c>
      <c r="E1104">
        <v>0.31592999999999999</v>
      </c>
      <c r="F1104">
        <v>27176617.300000001</v>
      </c>
      <c r="G1104">
        <v>0</v>
      </c>
      <c r="L1104" t="s">
        <v>7</v>
      </c>
      <c r="M1104" t="s">
        <v>7</v>
      </c>
      <c r="N1104" t="s">
        <v>7</v>
      </c>
      <c r="P1104">
        <f t="shared" si="1029"/>
        <v>0.251851851851846</v>
      </c>
      <c r="Q1104">
        <f t="shared" si="1030"/>
        <v>6844481.3940739147</v>
      </c>
      <c r="R1104">
        <f t="shared" si="1031"/>
        <v>-226856753.45001963</v>
      </c>
      <c r="S1104">
        <f t="shared" si="1032"/>
        <v>-2268.5675345001964</v>
      </c>
      <c r="T1104">
        <f t="shared" si="1033"/>
        <v>-2.2685675345001965</v>
      </c>
    </row>
    <row r="1105" spans="1:20" x14ac:dyDescent="0.25">
      <c r="A1105" s="5">
        <v>43488</v>
      </c>
      <c r="B1105">
        <v>0.31762000000000001</v>
      </c>
      <c r="C1105">
        <v>0.31933</v>
      </c>
      <c r="D1105">
        <v>0.312</v>
      </c>
      <c r="E1105">
        <v>0.31414999999999998</v>
      </c>
      <c r="F1105">
        <v>37351681.299999997</v>
      </c>
      <c r="G1105">
        <v>0</v>
      </c>
      <c r="L1105" t="s">
        <v>7</v>
      </c>
      <c r="M1105" t="s">
        <v>7</v>
      </c>
      <c r="N1105" t="s">
        <v>7</v>
      </c>
      <c r="P1105">
        <f t="shared" si="1029"/>
        <v>-0.41336971350614343</v>
      </c>
      <c r="Q1105">
        <f t="shared" si="1030"/>
        <v>-15440053.797953773</v>
      </c>
      <c r="R1105">
        <f t="shared" si="1031"/>
        <v>-233701234.84409353</v>
      </c>
      <c r="S1105">
        <f t="shared" si="1032"/>
        <v>-2337.0123484409355</v>
      </c>
      <c r="T1105">
        <f t="shared" si="1033"/>
        <v>-2.3370123484409353</v>
      </c>
    </row>
    <row r="1106" spans="1:20" x14ac:dyDescent="0.25">
      <c r="A1106" s="5">
        <v>43487</v>
      </c>
      <c r="B1106">
        <v>0.31766</v>
      </c>
      <c r="C1106">
        <v>0.32019999999999998</v>
      </c>
      <c r="D1106">
        <v>0.30610999999999999</v>
      </c>
      <c r="E1106">
        <v>0.31762000000000001</v>
      </c>
      <c r="F1106">
        <v>51740083.200000003</v>
      </c>
      <c r="G1106">
        <v>0</v>
      </c>
      <c r="L1106" t="s">
        <v>7</v>
      </c>
      <c r="M1106" t="s">
        <v>7</v>
      </c>
      <c r="N1106" t="s">
        <v>7</v>
      </c>
      <c r="P1106">
        <f t="shared" si="1029"/>
        <v>0.63378282469837155</v>
      </c>
      <c r="Q1106">
        <f t="shared" si="1030"/>
        <v>32791976.080624759</v>
      </c>
      <c r="R1106">
        <f t="shared" si="1031"/>
        <v>-218261181.04613975</v>
      </c>
      <c r="S1106">
        <f t="shared" si="1032"/>
        <v>-2182.6118104613975</v>
      </c>
      <c r="T1106">
        <f t="shared" si="1033"/>
        <v>-2.1826118104613976</v>
      </c>
    </row>
    <row r="1107" spans="1:20" x14ac:dyDescent="0.25">
      <c r="A1107" s="5">
        <v>43486</v>
      </c>
      <c r="B1107">
        <v>0.31696999999999997</v>
      </c>
      <c r="C1107">
        <v>0.32163000000000003</v>
      </c>
      <c r="D1107">
        <v>0.31269999999999998</v>
      </c>
      <c r="E1107">
        <v>0.31767000000000001</v>
      </c>
      <c r="F1107">
        <v>29721620.100000001</v>
      </c>
      <c r="G1107">
        <v>0</v>
      </c>
      <c r="L1107" t="s">
        <v>8</v>
      </c>
      <c r="M1107" t="s">
        <v>7</v>
      </c>
      <c r="N1107" t="s">
        <v>7</v>
      </c>
      <c r="P1107">
        <f t="shared" si="1029"/>
        <v>0.11310190369540933</v>
      </c>
      <c r="Q1107">
        <f t="shared" si="1030"/>
        <v>3361571.8142217426</v>
      </c>
      <c r="R1107">
        <f t="shared" si="1031"/>
        <v>-251053157.12676451</v>
      </c>
      <c r="S1107">
        <f t="shared" si="1032"/>
        <v>-2510.5315712676452</v>
      </c>
      <c r="T1107">
        <f t="shared" si="1033"/>
        <v>-2.510531571267645</v>
      </c>
    </row>
    <row r="1108" spans="1:20" x14ac:dyDescent="0.25">
      <c r="A1108" s="5">
        <v>43485</v>
      </c>
      <c r="B1108">
        <v>0.32672000000000001</v>
      </c>
      <c r="C1108">
        <v>0.32861000000000001</v>
      </c>
      <c r="D1108">
        <v>0.31089</v>
      </c>
      <c r="E1108">
        <v>0.31680000000000003</v>
      </c>
      <c r="F1108">
        <v>40593702.600000001</v>
      </c>
      <c r="G1108">
        <v>0</v>
      </c>
      <c r="L1108" t="s">
        <v>8</v>
      </c>
      <c r="M1108" t="s">
        <v>7</v>
      </c>
      <c r="N1108" t="s">
        <v>7</v>
      </c>
      <c r="P1108">
        <f t="shared" si="1029"/>
        <v>-0.33295711060947836</v>
      </c>
      <c r="Q1108">
        <f t="shared" si="1030"/>
        <v>-13515961.92663647</v>
      </c>
      <c r="R1108">
        <f t="shared" si="1031"/>
        <v>-254414728.94098625</v>
      </c>
      <c r="S1108">
        <f t="shared" si="1032"/>
        <v>-2544.1472894098624</v>
      </c>
      <c r="T1108">
        <f t="shared" si="1033"/>
        <v>-2.5441472894098625</v>
      </c>
    </row>
    <row r="1109" spans="1:20" x14ac:dyDescent="0.25">
      <c r="A1109" s="5">
        <v>43484</v>
      </c>
      <c r="B1109">
        <v>0.32041999999999998</v>
      </c>
      <c r="C1109">
        <v>0.33250000000000002</v>
      </c>
      <c r="D1109">
        <v>0.31927</v>
      </c>
      <c r="E1109">
        <v>0.32669999999999999</v>
      </c>
      <c r="F1109">
        <v>43414969.399999999</v>
      </c>
      <c r="G1109">
        <v>0</v>
      </c>
      <c r="L1109" t="s">
        <v>8</v>
      </c>
      <c r="M1109" t="s">
        <v>7</v>
      </c>
      <c r="N1109" t="s">
        <v>7</v>
      </c>
      <c r="P1109">
        <f t="shared" si="1029"/>
        <v>0.12320483749054893</v>
      </c>
      <c r="Q1109">
        <f t="shared" si="1030"/>
        <v>5348934.2495841542</v>
      </c>
      <c r="R1109">
        <f t="shared" si="1031"/>
        <v>-240898767.01434979</v>
      </c>
      <c r="S1109">
        <f t="shared" si="1032"/>
        <v>-2408.9876701434978</v>
      </c>
      <c r="T1109">
        <f t="shared" si="1033"/>
        <v>-2.4089876701434978</v>
      </c>
    </row>
    <row r="1110" spans="1:20" x14ac:dyDescent="0.25">
      <c r="A1110" s="5">
        <v>43483</v>
      </c>
      <c r="B1110">
        <v>0.32468000000000002</v>
      </c>
      <c r="C1110">
        <v>0.32547999999999999</v>
      </c>
      <c r="D1110">
        <v>0.31609999999999999</v>
      </c>
      <c r="E1110">
        <v>0.32035999999999998</v>
      </c>
      <c r="F1110">
        <v>31990322.899999999</v>
      </c>
      <c r="G1110">
        <v>0</v>
      </c>
      <c r="L1110" t="s">
        <v>8</v>
      </c>
      <c r="M1110" t="s">
        <v>7</v>
      </c>
      <c r="N1110" t="s">
        <v>7</v>
      </c>
      <c r="P1110">
        <f t="shared" si="1029"/>
        <v>-9.1684434968019979E-2</v>
      </c>
      <c r="Q1110">
        <f t="shared" si="1030"/>
        <v>-2933014.6795310103</v>
      </c>
      <c r="R1110">
        <f t="shared" si="1031"/>
        <v>-246247701.26393396</v>
      </c>
      <c r="S1110">
        <f t="shared" si="1032"/>
        <v>-2462.4770126393396</v>
      </c>
      <c r="T1110">
        <f t="shared" si="1033"/>
        <v>-2.4624770126393396</v>
      </c>
    </row>
    <row r="1111" spans="1:20" x14ac:dyDescent="0.25">
      <c r="A1111" s="5">
        <v>43482</v>
      </c>
      <c r="B1111">
        <v>0.32579999999999998</v>
      </c>
      <c r="C1111">
        <v>0.32840000000000003</v>
      </c>
      <c r="D1111">
        <v>0.31925999999999999</v>
      </c>
      <c r="E1111">
        <v>0.32489000000000001</v>
      </c>
      <c r="F1111">
        <v>46482575.600000001</v>
      </c>
      <c r="G1111">
        <v>0</v>
      </c>
      <c r="L1111" t="s">
        <v>8</v>
      </c>
      <c r="M1111" t="s">
        <v>7</v>
      </c>
      <c r="N1111" t="s">
        <v>7</v>
      </c>
      <c r="P1111">
        <f t="shared" si="1029"/>
        <v>0.23194748358862169</v>
      </c>
      <c r="Q1111">
        <f t="shared" si="1030"/>
        <v>10781516.441137867</v>
      </c>
      <c r="R1111">
        <f t="shared" si="1031"/>
        <v>-243314686.58440295</v>
      </c>
      <c r="S1111">
        <f t="shared" si="1032"/>
        <v>-2433.1468658440294</v>
      </c>
      <c r="T1111">
        <f t="shared" si="1033"/>
        <v>-2.4331468658440296</v>
      </c>
    </row>
    <row r="1112" spans="1:20" x14ac:dyDescent="0.25">
      <c r="A1112" s="5">
        <v>43481</v>
      </c>
      <c r="B1112">
        <v>0.32153999999999999</v>
      </c>
      <c r="C1112">
        <v>0.33195999999999998</v>
      </c>
      <c r="D1112">
        <v>0.3201</v>
      </c>
      <c r="E1112">
        <v>0.32569999999999999</v>
      </c>
      <c r="F1112">
        <v>48151576.200000003</v>
      </c>
      <c r="G1112">
        <v>0</v>
      </c>
      <c r="L1112" t="s">
        <v>8</v>
      </c>
      <c r="M1112" t="s">
        <v>7</v>
      </c>
      <c r="N1112" t="s">
        <v>7</v>
      </c>
      <c r="P1112">
        <f t="shared" si="1029"/>
        <v>-5.5649241146711208E-2</v>
      </c>
      <c r="Q1112">
        <f t="shared" si="1030"/>
        <v>-2679598.6755480403</v>
      </c>
      <c r="R1112">
        <f t="shared" si="1031"/>
        <v>-254096203.02554083</v>
      </c>
      <c r="S1112">
        <f t="shared" si="1032"/>
        <v>-2540.9620302554081</v>
      </c>
      <c r="T1112">
        <f t="shared" si="1033"/>
        <v>-2.5409620302554079</v>
      </c>
    </row>
    <row r="1113" spans="1:20" x14ac:dyDescent="0.25">
      <c r="A1113" s="5">
        <v>43480</v>
      </c>
      <c r="B1113">
        <v>0.3286</v>
      </c>
      <c r="C1113">
        <v>0.33176</v>
      </c>
      <c r="D1113">
        <v>0.31606000000000001</v>
      </c>
      <c r="E1113">
        <v>0.32150000000000001</v>
      </c>
      <c r="F1113">
        <v>54164499.200000003</v>
      </c>
      <c r="G1113">
        <v>0</v>
      </c>
      <c r="L1113" t="s">
        <v>8</v>
      </c>
      <c r="M1113" t="s">
        <v>7</v>
      </c>
      <c r="N1113" t="s">
        <v>7</v>
      </c>
      <c r="P1113">
        <f t="shared" si="1029"/>
        <v>-0.30700636942675119</v>
      </c>
      <c r="Q1113">
        <f t="shared" si="1030"/>
        <v>-16628846.25121017</v>
      </c>
      <c r="R1113">
        <f t="shared" si="1031"/>
        <v>-251416604.34999278</v>
      </c>
      <c r="S1113">
        <f t="shared" si="1032"/>
        <v>-2514.166043499928</v>
      </c>
      <c r="T1113">
        <f t="shared" si="1033"/>
        <v>-2.514166043499928</v>
      </c>
    </row>
    <row r="1114" spans="1:20" x14ac:dyDescent="0.25">
      <c r="A1114" s="5">
        <v>43479</v>
      </c>
      <c r="B1114">
        <v>0.31139</v>
      </c>
      <c r="C1114">
        <v>0.33593000000000001</v>
      </c>
      <c r="D1114">
        <v>0.31114999999999998</v>
      </c>
      <c r="E1114">
        <v>0.32871</v>
      </c>
      <c r="F1114">
        <v>65175057.399999999</v>
      </c>
      <c r="G1114">
        <v>0</v>
      </c>
      <c r="L1114" t="s">
        <v>8</v>
      </c>
      <c r="M1114" t="s">
        <v>7</v>
      </c>
      <c r="N1114" t="s">
        <v>7</v>
      </c>
      <c r="P1114">
        <f t="shared" si="1029"/>
        <v>0.41727199354318023</v>
      </c>
      <c r="Q1114">
        <f t="shared" si="1030"/>
        <v>27195726.130589202</v>
      </c>
      <c r="R1114">
        <f t="shared" si="1031"/>
        <v>-234787758.0987826</v>
      </c>
      <c r="S1114">
        <f t="shared" si="1032"/>
        <v>-2347.8775809878261</v>
      </c>
      <c r="T1114">
        <f t="shared" si="1033"/>
        <v>-2.3478775809878263</v>
      </c>
    </row>
    <row r="1115" spans="1:20" x14ac:dyDescent="0.25">
      <c r="A1115" s="5">
        <v>43478</v>
      </c>
      <c r="B1115">
        <v>0.32554</v>
      </c>
      <c r="C1115">
        <v>0.32952999999999999</v>
      </c>
      <c r="D1115">
        <v>0.30796000000000001</v>
      </c>
      <c r="E1115">
        <v>0.31131999999999999</v>
      </c>
      <c r="F1115">
        <v>56198037.600000001</v>
      </c>
      <c r="G1115">
        <v>0</v>
      </c>
      <c r="L1115" t="s">
        <v>7</v>
      </c>
      <c r="M1115" t="s">
        <v>7</v>
      </c>
      <c r="N1115" t="s">
        <v>7</v>
      </c>
      <c r="P1115">
        <f t="shared" si="1029"/>
        <v>-0.68845618915160156</v>
      </c>
      <c r="Q1115">
        <f t="shared" si="1030"/>
        <v>-38689886.803894415</v>
      </c>
      <c r="R1115">
        <f t="shared" si="1031"/>
        <v>-261983484.22937179</v>
      </c>
      <c r="S1115">
        <f t="shared" si="1032"/>
        <v>-2619.8348422937179</v>
      </c>
      <c r="T1115">
        <f t="shared" si="1033"/>
        <v>-2.6198348422937179</v>
      </c>
    </row>
    <row r="1116" spans="1:20" x14ac:dyDescent="0.25">
      <c r="A1116" s="5">
        <v>43477</v>
      </c>
      <c r="B1116">
        <v>0.32579999999999998</v>
      </c>
      <c r="C1116">
        <v>0.32977000000000001</v>
      </c>
      <c r="D1116">
        <v>0.32071</v>
      </c>
      <c r="E1116">
        <v>0.32557000000000003</v>
      </c>
      <c r="F1116">
        <v>38674176.100000001</v>
      </c>
      <c r="G1116">
        <v>0</v>
      </c>
      <c r="L1116" t="s">
        <v>7</v>
      </c>
      <c r="M1116" t="s">
        <v>7</v>
      </c>
      <c r="N1116" t="s">
        <v>7</v>
      </c>
      <c r="P1116">
        <f t="shared" si="1029"/>
        <v>7.2847682119210652E-2</v>
      </c>
      <c r="Q1116">
        <f t="shared" si="1030"/>
        <v>2817324.0867551742</v>
      </c>
      <c r="R1116">
        <f t="shared" si="1031"/>
        <v>-223293597.42547736</v>
      </c>
      <c r="S1116">
        <f t="shared" si="1032"/>
        <v>-2232.9359742547736</v>
      </c>
      <c r="T1116">
        <f t="shared" si="1033"/>
        <v>-2.2329359742547736</v>
      </c>
    </row>
    <row r="1117" spans="1:20" x14ac:dyDescent="0.25">
      <c r="A1117" s="5">
        <v>43476</v>
      </c>
      <c r="B1117">
        <v>0.32463999999999998</v>
      </c>
      <c r="C1117">
        <v>0.33417999999999998</v>
      </c>
      <c r="D1117">
        <v>0.31558999999999998</v>
      </c>
      <c r="E1117">
        <v>0.32579999999999998</v>
      </c>
      <c r="F1117">
        <v>74955650.200000003</v>
      </c>
      <c r="G1117">
        <v>0</v>
      </c>
      <c r="L1117" t="s">
        <v>7</v>
      </c>
      <c r="M1117" t="s">
        <v>7</v>
      </c>
      <c r="N1117" t="s">
        <v>7</v>
      </c>
      <c r="P1117">
        <f t="shared" si="1029"/>
        <v>9.8440021516944531E-2</v>
      </c>
      <c r="Q1117">
        <f t="shared" si="1030"/>
        <v>7378635.8185045682</v>
      </c>
      <c r="R1117">
        <f t="shared" si="1031"/>
        <v>-226110921.51223254</v>
      </c>
      <c r="S1117">
        <f t="shared" si="1032"/>
        <v>-2261.1092151223256</v>
      </c>
      <c r="T1117">
        <f t="shared" si="1033"/>
        <v>-2.2611092151223255</v>
      </c>
    </row>
    <row r="1118" spans="1:20" x14ac:dyDescent="0.25">
      <c r="A1118" s="5">
        <v>43475</v>
      </c>
      <c r="B1118">
        <v>0.36479</v>
      </c>
      <c r="C1118">
        <v>0.37963000000000002</v>
      </c>
      <c r="D1118">
        <v>0.315</v>
      </c>
      <c r="E1118">
        <v>0.32463999999999998</v>
      </c>
      <c r="F1118">
        <v>182432057.40000001</v>
      </c>
      <c r="G1118">
        <v>0</v>
      </c>
      <c r="L1118" t="s">
        <v>8</v>
      </c>
      <c r="M1118" t="s">
        <v>7</v>
      </c>
      <c r="N1118" t="s">
        <v>7</v>
      </c>
      <c r="P1118">
        <f t="shared" si="1029"/>
        <v>-0.70168652328640013</v>
      </c>
      <c r="Q1118">
        <f t="shared" si="1030"/>
        <v>-128010116.09299099</v>
      </c>
      <c r="R1118">
        <f t="shared" si="1031"/>
        <v>-233489557.33073711</v>
      </c>
      <c r="S1118">
        <f t="shared" si="1032"/>
        <v>-2334.8955733073713</v>
      </c>
      <c r="T1118">
        <f t="shared" si="1033"/>
        <v>-2.3348955733073713</v>
      </c>
    </row>
    <row r="1119" spans="1:20" x14ac:dyDescent="0.25">
      <c r="A1119" s="5">
        <v>43474</v>
      </c>
      <c r="B1119">
        <v>0.36073</v>
      </c>
      <c r="C1119">
        <v>0.36919000000000002</v>
      </c>
      <c r="D1119">
        <v>0.35775000000000001</v>
      </c>
      <c r="E1119">
        <v>0.36480000000000001</v>
      </c>
      <c r="F1119">
        <v>67288168.799999997</v>
      </c>
      <c r="G1119">
        <v>0</v>
      </c>
      <c r="L1119" t="s">
        <v>8</v>
      </c>
      <c r="M1119" t="s">
        <v>8</v>
      </c>
      <c r="N1119" t="s">
        <v>8</v>
      </c>
      <c r="P1119">
        <f t="shared" si="1029"/>
        <v>0.23251748251748203</v>
      </c>
      <c r="Q1119">
        <f t="shared" si="1030"/>
        <v>15645675.612587379</v>
      </c>
      <c r="R1119">
        <f t="shared" si="1031"/>
        <v>-105479441.2377461</v>
      </c>
      <c r="S1119">
        <f t="shared" si="1032"/>
        <v>-1054.794412377461</v>
      </c>
      <c r="T1119">
        <f t="shared" si="1033"/>
        <v>-1.0547944123774609</v>
      </c>
    </row>
    <row r="1120" spans="1:20" x14ac:dyDescent="0.25">
      <c r="A1120" s="5">
        <v>43473</v>
      </c>
      <c r="B1120">
        <v>0.36015000000000003</v>
      </c>
      <c r="C1120">
        <v>0.36796000000000001</v>
      </c>
      <c r="D1120">
        <v>0.35449999999999998</v>
      </c>
      <c r="E1120">
        <v>0.36073</v>
      </c>
      <c r="F1120">
        <v>67790037.400000006</v>
      </c>
      <c r="G1120">
        <v>0</v>
      </c>
      <c r="L1120" t="s">
        <v>8</v>
      </c>
      <c r="M1120" t="s">
        <v>8</v>
      </c>
      <c r="N1120" t="s">
        <v>8</v>
      </c>
      <c r="P1120">
        <f t="shared" si="1029"/>
        <v>-7.429420505200586E-2</v>
      </c>
      <c r="Q1120">
        <f t="shared" si="1030"/>
        <v>-5036406.9390787464</v>
      </c>
      <c r="R1120">
        <f t="shared" si="1031"/>
        <v>-121125116.85033348</v>
      </c>
      <c r="S1120">
        <f t="shared" si="1032"/>
        <v>-1211.2511685033348</v>
      </c>
      <c r="T1120">
        <f t="shared" si="1033"/>
        <v>-1.2112511685033349</v>
      </c>
    </row>
    <row r="1121" spans="1:20" x14ac:dyDescent="0.25">
      <c r="A1121" s="5">
        <v>43472</v>
      </c>
      <c r="B1121">
        <v>0.36042000000000002</v>
      </c>
      <c r="C1121">
        <v>0.37218000000000001</v>
      </c>
      <c r="D1121">
        <v>0.35700999999999999</v>
      </c>
      <c r="E1121">
        <v>0.36021999999999998</v>
      </c>
      <c r="F1121">
        <v>70715569</v>
      </c>
      <c r="G1121">
        <v>0</v>
      </c>
      <c r="L1121" t="s">
        <v>8</v>
      </c>
      <c r="M1121" t="s">
        <v>8</v>
      </c>
      <c r="N1121" t="s">
        <v>8</v>
      </c>
      <c r="P1121">
        <f t="shared" si="1029"/>
        <v>-0.57679630850362729</v>
      </c>
      <c r="Q1121">
        <f t="shared" si="1030"/>
        <v>-40788479.152933545</v>
      </c>
      <c r="R1121">
        <f t="shared" si="1031"/>
        <v>-116088709.91125473</v>
      </c>
      <c r="S1121">
        <f t="shared" si="1032"/>
        <v>-1160.8870991125473</v>
      </c>
      <c r="T1121">
        <f t="shared" si="1033"/>
        <v>-1.1608870991125473</v>
      </c>
    </row>
    <row r="1122" spans="1:20" x14ac:dyDescent="0.25">
      <c r="A1122" s="5">
        <v>43471</v>
      </c>
      <c r="B1122">
        <v>0.34850999999999999</v>
      </c>
      <c r="C1122">
        <v>0.36446000000000001</v>
      </c>
      <c r="D1122">
        <v>0.34542</v>
      </c>
      <c r="E1122">
        <v>0.36042000000000002</v>
      </c>
      <c r="F1122">
        <v>63015691.399999999</v>
      </c>
      <c r="G1122">
        <v>0</v>
      </c>
      <c r="L1122" t="s">
        <v>7</v>
      </c>
      <c r="M1122" t="s">
        <v>8</v>
      </c>
      <c r="N1122" t="s">
        <v>8</v>
      </c>
      <c r="P1122">
        <f t="shared" si="1029"/>
        <v>0.57563025210084162</v>
      </c>
      <c r="Q1122">
        <f t="shared" si="1030"/>
        <v>36273738.326890834</v>
      </c>
      <c r="R1122">
        <f t="shared" si="1031"/>
        <v>-75300230.758321196</v>
      </c>
      <c r="S1122">
        <f t="shared" si="1032"/>
        <v>-753.00230758321197</v>
      </c>
      <c r="T1122">
        <f t="shared" si="1033"/>
        <v>-0.75300230758321196</v>
      </c>
    </row>
    <row r="1123" spans="1:20" x14ac:dyDescent="0.25">
      <c r="A1123" s="5">
        <v>43470</v>
      </c>
      <c r="B1123">
        <v>0.35303000000000001</v>
      </c>
      <c r="C1123">
        <v>0.35981000000000002</v>
      </c>
      <c r="D1123">
        <v>0.34499999999999997</v>
      </c>
      <c r="E1123">
        <v>0.34850999999999999</v>
      </c>
      <c r="F1123">
        <v>53463920.899999999</v>
      </c>
      <c r="G1123">
        <v>0</v>
      </c>
      <c r="L1123" t="s">
        <v>7</v>
      </c>
      <c r="M1123" t="s">
        <v>8</v>
      </c>
      <c r="N1123" t="s">
        <v>8</v>
      </c>
      <c r="P1123">
        <f t="shared" si="1029"/>
        <v>-0.52599594868332178</v>
      </c>
      <c r="Q1123">
        <f t="shared" si="1030"/>
        <v>-28121805.794125576</v>
      </c>
      <c r="R1123">
        <f t="shared" si="1031"/>
        <v>-111573969.08521202</v>
      </c>
      <c r="S1123">
        <f t="shared" si="1032"/>
        <v>-1115.7396908521202</v>
      </c>
      <c r="T1123">
        <f t="shared" si="1033"/>
        <v>-1.1157396908521202</v>
      </c>
    </row>
    <row r="1124" spans="1:20" x14ac:dyDescent="0.25">
      <c r="A1124" s="5">
        <v>43469</v>
      </c>
      <c r="B1124">
        <v>0.35254999999999997</v>
      </c>
      <c r="C1124">
        <v>0.35799999999999998</v>
      </c>
      <c r="D1124">
        <v>0.34384999999999999</v>
      </c>
      <c r="E1124">
        <v>0.35308</v>
      </c>
      <c r="F1124">
        <v>51976479.899999999</v>
      </c>
      <c r="G1124">
        <v>0</v>
      </c>
      <c r="L1124" t="s">
        <v>7</v>
      </c>
      <c r="M1124" t="s">
        <v>8</v>
      </c>
      <c r="N1124" t="s">
        <v>8</v>
      </c>
      <c r="P1124">
        <f t="shared" si="1029"/>
        <v>0.30459363957597435</v>
      </c>
      <c r="Q1124">
        <f t="shared" si="1030"/>
        <v>15831705.185088474</v>
      </c>
      <c r="R1124">
        <f t="shared" si="1031"/>
        <v>-83452163.29108645</v>
      </c>
      <c r="S1124">
        <f t="shared" si="1032"/>
        <v>-834.52163291086447</v>
      </c>
      <c r="T1124">
        <f t="shared" si="1033"/>
        <v>-0.83452163291086445</v>
      </c>
    </row>
    <row r="1125" spans="1:20" x14ac:dyDescent="0.25">
      <c r="A1125" s="5">
        <v>43468</v>
      </c>
      <c r="B1125">
        <v>0.36859999999999998</v>
      </c>
      <c r="C1125">
        <v>0.36909999999999998</v>
      </c>
      <c r="D1125">
        <v>0.34777999999999998</v>
      </c>
      <c r="E1125">
        <v>0.35239999999999999</v>
      </c>
      <c r="F1125">
        <v>61459149.899999999</v>
      </c>
      <c r="G1125">
        <v>0</v>
      </c>
      <c r="L1125" t="s">
        <v>7</v>
      </c>
      <c r="M1125" t="s">
        <v>8</v>
      </c>
      <c r="N1125" t="s">
        <v>8</v>
      </c>
      <c r="P1125">
        <f t="shared" si="1029"/>
        <v>-0.56660412757973622</v>
      </c>
      <c r="Q1125">
        <f t="shared" si="1030"/>
        <v>-34823008.010881729</v>
      </c>
      <c r="R1125">
        <f t="shared" si="1031"/>
        <v>-99283868.476174921</v>
      </c>
      <c r="S1125">
        <f t="shared" si="1032"/>
        <v>-992.83868476174916</v>
      </c>
      <c r="T1125">
        <f t="shared" si="1033"/>
        <v>-0.99283868476174919</v>
      </c>
    </row>
    <row r="1126" spans="1:20" x14ac:dyDescent="0.25">
      <c r="A1126" s="5">
        <v>43467</v>
      </c>
      <c r="B1126">
        <v>0.36057</v>
      </c>
      <c r="C1126">
        <v>0.3745</v>
      </c>
      <c r="D1126">
        <v>0.35349999999999998</v>
      </c>
      <c r="E1126">
        <v>0.36881999999999998</v>
      </c>
      <c r="F1126">
        <v>74162520.5</v>
      </c>
      <c r="G1126">
        <v>0</v>
      </c>
      <c r="L1126" t="s">
        <v>8</v>
      </c>
      <c r="M1126" t="s">
        <v>8</v>
      </c>
      <c r="N1126" t="s">
        <v>8</v>
      </c>
      <c r="P1126">
        <f t="shared" si="1029"/>
        <v>0.45904761904761776</v>
      </c>
      <c r="Q1126">
        <f t="shared" si="1030"/>
        <v>34044128.458095141</v>
      </c>
      <c r="R1126">
        <f t="shared" si="1031"/>
        <v>-64460860.465293191</v>
      </c>
      <c r="S1126">
        <f t="shared" si="1032"/>
        <v>-644.60860465293194</v>
      </c>
      <c r="T1126">
        <f t="shared" si="1033"/>
        <v>-0.6446086046529319</v>
      </c>
    </row>
    <row r="1127" spans="1:20" x14ac:dyDescent="0.25">
      <c r="A1127" s="5">
        <v>43466</v>
      </c>
      <c r="B1127">
        <v>0.34864000000000001</v>
      </c>
      <c r="C1127">
        <v>0.36110999999999999</v>
      </c>
      <c r="D1127">
        <v>0.34533000000000003</v>
      </c>
      <c r="E1127">
        <v>0.36080000000000001</v>
      </c>
      <c r="F1127">
        <v>41061397.600000001</v>
      </c>
      <c r="G1127">
        <v>0</v>
      </c>
      <c r="L1127" t="s">
        <v>7</v>
      </c>
      <c r="M1127" t="s">
        <v>8</v>
      </c>
      <c r="N1127" t="s">
        <v>8</v>
      </c>
      <c r="P1127">
        <f t="shared" si="1029"/>
        <v>0.96070975918884949</v>
      </c>
      <c r="Q1127">
        <f t="shared" si="1030"/>
        <v>39448085.400253601</v>
      </c>
      <c r="R1127">
        <f t="shared" si="1031"/>
        <v>-98504988.923388332</v>
      </c>
      <c r="S1127">
        <f t="shared" si="1032"/>
        <v>-985.04988923388328</v>
      </c>
      <c r="T1127">
        <f t="shared" si="1033"/>
        <v>-0.98504988923388326</v>
      </c>
    </row>
    <row r="1128" spans="1:20" x14ac:dyDescent="0.25">
      <c r="A1128" s="5">
        <v>43465</v>
      </c>
      <c r="B1128">
        <v>0.36487999999999998</v>
      </c>
      <c r="C1128">
        <v>0.36931999999999998</v>
      </c>
      <c r="D1128">
        <v>0.34350000000000003</v>
      </c>
      <c r="E1128">
        <v>0.34849000000000002</v>
      </c>
      <c r="F1128">
        <v>70308054.099999994</v>
      </c>
      <c r="G1128">
        <v>0</v>
      </c>
      <c r="L1128" t="s">
        <v>7</v>
      </c>
      <c r="M1128" t="s">
        <v>8</v>
      </c>
      <c r="N1128" t="s">
        <v>8</v>
      </c>
      <c r="P1128">
        <f t="shared" si="1029"/>
        <v>-0.61347792408985258</v>
      </c>
      <c r="Q1128">
        <f t="shared" si="1030"/>
        <v>-43132439.076065041</v>
      </c>
      <c r="R1128">
        <f t="shared" si="1031"/>
        <v>-137953074.32364193</v>
      </c>
      <c r="S1128">
        <f t="shared" si="1032"/>
        <v>-1379.5307432364193</v>
      </c>
      <c r="T1128">
        <f t="shared" si="1033"/>
        <v>-1.3795307432364192</v>
      </c>
    </row>
    <row r="1129" spans="1:20" x14ac:dyDescent="0.25">
      <c r="A1129" s="5">
        <v>43464</v>
      </c>
      <c r="B1129">
        <v>0.35621999999999998</v>
      </c>
      <c r="C1129">
        <v>0.36577999999999999</v>
      </c>
      <c r="D1129">
        <v>0.3508</v>
      </c>
      <c r="E1129">
        <v>0.36488999999999999</v>
      </c>
      <c r="F1129">
        <v>66395531.200000003</v>
      </c>
      <c r="G1129">
        <v>0</v>
      </c>
      <c r="L1129" t="s">
        <v>7</v>
      </c>
      <c r="M1129" t="s">
        <v>8</v>
      </c>
      <c r="N1129" t="s">
        <v>8</v>
      </c>
      <c r="P1129">
        <f t="shared" si="1029"/>
        <v>0.88117489986648834</v>
      </c>
      <c r="Q1129">
        <f t="shared" si="1030"/>
        <v>58506075.556742303</v>
      </c>
      <c r="R1129">
        <f t="shared" si="1031"/>
        <v>-94820635.247576892</v>
      </c>
      <c r="S1129">
        <f t="shared" si="1032"/>
        <v>-948.20635247576888</v>
      </c>
      <c r="T1129">
        <f t="shared" si="1033"/>
        <v>-0.9482063524757689</v>
      </c>
    </row>
    <row r="1130" spans="1:20" x14ac:dyDescent="0.25">
      <c r="A1130" s="5">
        <v>43463</v>
      </c>
      <c r="B1130">
        <v>0.37017</v>
      </c>
      <c r="C1130">
        <v>0.37913000000000002</v>
      </c>
      <c r="D1130">
        <v>0.35103000000000001</v>
      </c>
      <c r="E1130">
        <v>0.35593000000000002</v>
      </c>
      <c r="F1130">
        <v>105406488.5</v>
      </c>
      <c r="G1130">
        <v>0</v>
      </c>
      <c r="L1130" t="s">
        <v>8</v>
      </c>
      <c r="M1130" t="s">
        <v>8</v>
      </c>
      <c r="N1130" t="s">
        <v>8</v>
      </c>
      <c r="P1130">
        <f t="shared" si="1029"/>
        <v>-0.65124555160142261</v>
      </c>
      <c r="Q1130">
        <f t="shared" si="1030"/>
        <v>-68645506.745551512</v>
      </c>
      <c r="R1130">
        <f t="shared" si="1031"/>
        <v>-153326710.8043192</v>
      </c>
      <c r="S1130">
        <f t="shared" si="1032"/>
        <v>-1533.2671080431921</v>
      </c>
      <c r="T1130">
        <f t="shared" si="1033"/>
        <v>-1.5332671080431921</v>
      </c>
    </row>
    <row r="1131" spans="1:20" x14ac:dyDescent="0.25">
      <c r="A1131" s="5">
        <v>43462</v>
      </c>
      <c r="B1131">
        <v>0.3337</v>
      </c>
      <c r="C1131">
        <v>0.37558999999999998</v>
      </c>
      <c r="D1131">
        <v>0.32823000000000002</v>
      </c>
      <c r="E1131">
        <v>0.36997000000000002</v>
      </c>
      <c r="F1131">
        <v>133220344.3</v>
      </c>
      <c r="G1131">
        <v>0</v>
      </c>
      <c r="L1131" t="s">
        <v>8</v>
      </c>
      <c r="M1131" t="s">
        <v>7</v>
      </c>
      <c r="N1131" t="s">
        <v>8</v>
      </c>
      <c r="P1131">
        <f t="shared" si="1029"/>
        <v>0.76266891891892041</v>
      </c>
      <c r="Q1131">
        <f t="shared" si="1030"/>
        <v>101603015.96528736</v>
      </c>
      <c r="R1131">
        <f t="shared" si="1031"/>
        <v>-84681204.058767706</v>
      </c>
      <c r="S1131">
        <f t="shared" si="1032"/>
        <v>-846.81204058767707</v>
      </c>
      <c r="T1131">
        <f t="shared" si="1033"/>
        <v>-0.84681204058767712</v>
      </c>
    </row>
    <row r="1132" spans="1:20" x14ac:dyDescent="0.25">
      <c r="A1132" s="5">
        <v>43461</v>
      </c>
      <c r="B1132">
        <v>0.37297999999999998</v>
      </c>
      <c r="C1132">
        <v>0.375</v>
      </c>
      <c r="D1132">
        <v>0.32500000000000001</v>
      </c>
      <c r="E1132">
        <v>0.33367999999999998</v>
      </c>
      <c r="F1132">
        <v>113118482.09999999</v>
      </c>
      <c r="G1132">
        <v>0</v>
      </c>
      <c r="L1132" t="s">
        <v>7</v>
      </c>
      <c r="M1132" t="s">
        <v>7</v>
      </c>
      <c r="N1132" t="s">
        <v>8</v>
      </c>
      <c r="P1132">
        <f t="shared" si="1029"/>
        <v>-0.65280000000000127</v>
      </c>
      <c r="Q1132">
        <f t="shared" si="1030"/>
        <v>-73843745.114880145</v>
      </c>
      <c r="R1132">
        <f t="shared" si="1031"/>
        <v>-186284220.02405506</v>
      </c>
      <c r="S1132">
        <f t="shared" si="1032"/>
        <v>-1862.8422002405507</v>
      </c>
      <c r="T1132">
        <f t="shared" si="1033"/>
        <v>-1.8628422002405507</v>
      </c>
    </row>
    <row r="1133" spans="1:20" x14ac:dyDescent="0.25">
      <c r="A1133" s="5">
        <v>43460</v>
      </c>
      <c r="B1133">
        <v>0.37598999999999999</v>
      </c>
      <c r="C1133">
        <v>0.38941999999999999</v>
      </c>
      <c r="D1133">
        <v>0.35326999999999997</v>
      </c>
      <c r="E1133">
        <v>0.37252999999999997</v>
      </c>
      <c r="F1133">
        <v>115977475.40000001</v>
      </c>
      <c r="G1133">
        <v>0</v>
      </c>
      <c r="L1133" t="s">
        <v>7</v>
      </c>
      <c r="M1133" t="s">
        <v>7</v>
      </c>
      <c r="N1133" t="s">
        <v>8</v>
      </c>
      <c r="P1133">
        <f t="shared" si="1029"/>
        <v>6.5560165975103238E-2</v>
      </c>
      <c r="Q1133">
        <f t="shared" si="1030"/>
        <v>7603502.5365974531</v>
      </c>
      <c r="R1133">
        <f t="shared" si="1031"/>
        <v>-112440474.90917492</v>
      </c>
      <c r="S1133">
        <f t="shared" si="1032"/>
        <v>-1124.4047490917492</v>
      </c>
      <c r="T1133">
        <f t="shared" si="1033"/>
        <v>-1.1244047490917493</v>
      </c>
    </row>
    <row r="1134" spans="1:20" x14ac:dyDescent="0.25">
      <c r="A1134" s="5">
        <v>43459</v>
      </c>
      <c r="B1134">
        <v>0.40075</v>
      </c>
      <c r="C1134">
        <v>0.40399000000000002</v>
      </c>
      <c r="D1134">
        <v>0.36</v>
      </c>
      <c r="E1134">
        <v>0.37597999999999998</v>
      </c>
      <c r="F1134">
        <v>190479475.59999999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-0.27347124346442447</v>
      </c>
      <c r="Q1134">
        <f t="shared" si="1030"/>
        <v>-52090659.046783499</v>
      </c>
      <c r="R1134">
        <f t="shared" si="1031"/>
        <v>-120043977.44577238</v>
      </c>
      <c r="S1134">
        <f t="shared" si="1032"/>
        <v>-1200.4397744577238</v>
      </c>
      <c r="T1134">
        <f t="shared" si="1033"/>
        <v>-1.2004397744577238</v>
      </c>
    </row>
    <row r="1135" spans="1:20" x14ac:dyDescent="0.25">
      <c r="A1135" s="5">
        <v>43458</v>
      </c>
      <c r="B1135">
        <v>0.36691000000000001</v>
      </c>
      <c r="C1135">
        <v>0.45</v>
      </c>
      <c r="D1135">
        <v>0.36664999999999998</v>
      </c>
      <c r="E1135">
        <v>0.40092</v>
      </c>
      <c r="F1135">
        <v>308763465.19999999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-0.17768446310737832</v>
      </c>
      <c r="Q1135">
        <f t="shared" si="1030"/>
        <v>-54862470.541235685</v>
      </c>
      <c r="R1135">
        <f t="shared" si="1031"/>
        <v>-67953318.398988888</v>
      </c>
      <c r="S1135">
        <f t="shared" si="1032"/>
        <v>-679.53318398988893</v>
      </c>
      <c r="T1135">
        <f t="shared" si="1033"/>
        <v>-0.67953318398988893</v>
      </c>
    </row>
    <row r="1136" spans="1:20" x14ac:dyDescent="0.25">
      <c r="A1136" s="5">
        <v>43457</v>
      </c>
      <c r="B1136">
        <v>0.35644999999999999</v>
      </c>
      <c r="C1136">
        <v>0.37784000000000001</v>
      </c>
      <c r="D1136">
        <v>0.35407</v>
      </c>
      <c r="E1136">
        <v>0.3669</v>
      </c>
      <c r="F1136">
        <v>83342114.299999997</v>
      </c>
      <c r="G1136">
        <v>0</v>
      </c>
      <c r="L1136" t="s">
        <v>8</v>
      </c>
      <c r="M1136" t="s">
        <v>8</v>
      </c>
      <c r="N1136" t="s">
        <v>8</v>
      </c>
      <c r="P1136">
        <f t="shared" si="1029"/>
        <v>7.9511989903239447E-2</v>
      </c>
      <c r="Q1136">
        <f t="shared" si="1030"/>
        <v>6626697.3507362278</v>
      </c>
      <c r="R1136">
        <f t="shared" si="1031"/>
        <v>-13090847.857753199</v>
      </c>
      <c r="S1136">
        <f t="shared" si="1032"/>
        <v>-130.90847857753198</v>
      </c>
      <c r="T1136">
        <f t="shared" si="1033"/>
        <v>-0.13090847857753199</v>
      </c>
    </row>
    <row r="1137" spans="1:20" x14ac:dyDescent="0.25">
      <c r="A1137" s="5">
        <v>43456</v>
      </c>
      <c r="B1137">
        <v>0.35404999999999998</v>
      </c>
      <c r="C1137">
        <v>0.36</v>
      </c>
      <c r="D1137">
        <v>0.34383000000000002</v>
      </c>
      <c r="E1137">
        <v>0.35643999999999998</v>
      </c>
      <c r="F1137">
        <v>68501560.799999997</v>
      </c>
      <c r="G1137">
        <v>0</v>
      </c>
      <c r="L1137" t="s">
        <v>7</v>
      </c>
      <c r="M1137" t="s">
        <v>8</v>
      </c>
      <c r="N1137" t="s">
        <v>8</v>
      </c>
      <c r="P1137">
        <f t="shared" si="1029"/>
        <v>0.55967841682127195</v>
      </c>
      <c r="Q1137">
        <f t="shared" si="1030"/>
        <v>38338845.098330103</v>
      </c>
      <c r="R1137">
        <f t="shared" si="1031"/>
        <v>-19717545.208489425</v>
      </c>
      <c r="S1137">
        <f t="shared" si="1032"/>
        <v>-197.17545208489426</v>
      </c>
      <c r="T1137">
        <f t="shared" si="1033"/>
        <v>-0.19717545208489426</v>
      </c>
    </row>
    <row r="1138" spans="1:20" x14ac:dyDescent="0.25">
      <c r="A1138" s="5">
        <v>43455</v>
      </c>
      <c r="B1138">
        <v>0.37228</v>
      </c>
      <c r="C1138">
        <v>0.38300000000000001</v>
      </c>
      <c r="D1138">
        <v>0.34583999999999998</v>
      </c>
      <c r="E1138">
        <v>0.35427999999999998</v>
      </c>
      <c r="F1138">
        <v>141255512.30000001</v>
      </c>
      <c r="G1138">
        <v>0</v>
      </c>
      <c r="L1138" t="s">
        <v>8</v>
      </c>
      <c r="M1138" t="s">
        <v>8</v>
      </c>
      <c r="N1138" t="s">
        <v>8</v>
      </c>
      <c r="P1138">
        <f t="shared" si="1029"/>
        <v>-0.54574811625403674</v>
      </c>
      <c r="Q1138">
        <f t="shared" si="1030"/>
        <v>-77089929.748223931</v>
      </c>
      <c r="R1138">
        <f t="shared" si="1031"/>
        <v>-58056390.306819528</v>
      </c>
      <c r="S1138">
        <f t="shared" si="1032"/>
        <v>-580.56390306819526</v>
      </c>
      <c r="T1138">
        <f t="shared" si="1033"/>
        <v>-0.58056390306819528</v>
      </c>
    </row>
    <row r="1139" spans="1:20" x14ac:dyDescent="0.25">
      <c r="A1139" s="5">
        <v>43454</v>
      </c>
      <c r="B1139">
        <v>0.34467999999999999</v>
      </c>
      <c r="C1139">
        <v>0.38368000000000002</v>
      </c>
      <c r="D1139">
        <v>0.33900000000000002</v>
      </c>
      <c r="E1139">
        <v>0.37228</v>
      </c>
      <c r="F1139">
        <v>190801771.59999999</v>
      </c>
      <c r="G1139">
        <v>0</v>
      </c>
      <c r="L1139" t="s">
        <v>7</v>
      </c>
      <c r="M1139" t="s">
        <v>8</v>
      </c>
      <c r="N1139" t="s">
        <v>8</v>
      </c>
      <c r="P1139">
        <f t="shared" si="1029"/>
        <v>0.48970456580125238</v>
      </c>
      <c r="Q1139">
        <f t="shared" si="1030"/>
        <v>93436498.715487719</v>
      </c>
      <c r="R1139">
        <f t="shared" si="1031"/>
        <v>19033539.441404402</v>
      </c>
      <c r="S1139">
        <f t="shared" si="1032"/>
        <v>190.33539441404403</v>
      </c>
      <c r="T1139">
        <f t="shared" si="1033"/>
        <v>0.19033539441404404</v>
      </c>
    </row>
    <row r="1140" spans="1:20" x14ac:dyDescent="0.25">
      <c r="A1140" s="5">
        <v>43453</v>
      </c>
      <c r="B1140">
        <v>0.34978999999999999</v>
      </c>
      <c r="C1140">
        <v>0.39265</v>
      </c>
      <c r="D1140">
        <v>0.34165000000000001</v>
      </c>
      <c r="E1140">
        <v>0.34467999999999999</v>
      </c>
      <c r="F1140">
        <v>238920130.5</v>
      </c>
      <c r="G1140">
        <v>0</v>
      </c>
      <c r="L1140" t="s">
        <v>8</v>
      </c>
      <c r="M1140" t="s">
        <v>8</v>
      </c>
      <c r="N1140" t="s">
        <v>8</v>
      </c>
      <c r="P1140">
        <f t="shared" si="1029"/>
        <v>-0.88117647058823612</v>
      </c>
      <c r="Q1140">
        <f t="shared" si="1030"/>
        <v>-210530797.34647077</v>
      </c>
      <c r="R1140">
        <f t="shared" si="1031"/>
        <v>-74402959.274083316</v>
      </c>
      <c r="S1140">
        <f t="shared" si="1032"/>
        <v>-744.02959274083321</v>
      </c>
      <c r="T1140">
        <f t="shared" si="1033"/>
        <v>-0.74402959274083325</v>
      </c>
    </row>
    <row r="1141" spans="1:20" x14ac:dyDescent="0.25">
      <c r="A1141" s="5">
        <v>43452</v>
      </c>
      <c r="B1141">
        <v>0.32721</v>
      </c>
      <c r="C1141">
        <v>0.3498</v>
      </c>
      <c r="D1141">
        <v>0.32149</v>
      </c>
      <c r="E1141">
        <v>0.34978999999999999</v>
      </c>
      <c r="F1141">
        <v>166459905.09999999</v>
      </c>
      <c r="G1141">
        <v>0</v>
      </c>
      <c r="L1141" t="s">
        <v>8</v>
      </c>
      <c r="M1141" t="s">
        <v>8</v>
      </c>
      <c r="N1141" t="s">
        <v>7</v>
      </c>
      <c r="P1141">
        <f t="shared" si="1029"/>
        <v>0.9992935358530548</v>
      </c>
      <c r="Q1141">
        <f t="shared" si="1030"/>
        <v>166342307.14514294</v>
      </c>
      <c r="R1141">
        <f t="shared" si="1031"/>
        <v>136127838.07238746</v>
      </c>
      <c r="S1141">
        <f t="shared" si="1032"/>
        <v>1361.2783807238745</v>
      </c>
      <c r="T1141">
        <f t="shared" si="1033"/>
        <v>1.3612783807238746</v>
      </c>
    </row>
    <row r="1142" spans="1:20" x14ac:dyDescent="0.25">
      <c r="A1142" s="5">
        <v>43451</v>
      </c>
      <c r="B1142">
        <v>0.28669</v>
      </c>
      <c r="C1142">
        <v>0.33700000000000002</v>
      </c>
      <c r="D1142">
        <v>0.28499999999999998</v>
      </c>
      <c r="E1142">
        <v>0.32721</v>
      </c>
      <c r="F1142">
        <v>129250477.5</v>
      </c>
      <c r="G1142">
        <v>0</v>
      </c>
      <c r="L1142" t="s">
        <v>8</v>
      </c>
      <c r="M1142" t="s">
        <v>8</v>
      </c>
      <c r="N1142" t="s">
        <v>7</v>
      </c>
      <c r="P1142">
        <f t="shared" si="1029"/>
        <v>0.62346153846153796</v>
      </c>
      <c r="Q1142">
        <f t="shared" si="1030"/>
        <v>80582701.549038395</v>
      </c>
      <c r="R1142">
        <f t="shared" si="1031"/>
        <v>-30214469.072755471</v>
      </c>
      <c r="S1142">
        <f t="shared" si="1032"/>
        <v>-302.14469072755469</v>
      </c>
      <c r="T1142">
        <f t="shared" si="1033"/>
        <v>-0.30214469072755468</v>
      </c>
    </row>
    <row r="1143" spans="1:20" x14ac:dyDescent="0.25">
      <c r="A1143" s="5">
        <v>43450</v>
      </c>
      <c r="B1143">
        <v>0.28421000000000002</v>
      </c>
      <c r="C1143">
        <v>0.2954</v>
      </c>
      <c r="D1143">
        <v>0.28311999999999998</v>
      </c>
      <c r="E1143">
        <v>0.28669</v>
      </c>
      <c r="F1143">
        <v>43951184.100000001</v>
      </c>
      <c r="G1143">
        <v>0</v>
      </c>
      <c r="L1143" t="s">
        <v>7</v>
      </c>
      <c r="M1143" t="s">
        <v>7</v>
      </c>
      <c r="N1143" t="s">
        <v>7</v>
      </c>
      <c r="P1143">
        <f t="shared" si="1029"/>
        <v>-0.41856677524429742</v>
      </c>
      <c r="Q1143">
        <f t="shared" si="1030"/>
        <v>-18396505.396905437</v>
      </c>
      <c r="R1143">
        <f t="shared" si="1031"/>
        <v>-110797170.62179387</v>
      </c>
      <c r="S1143">
        <f t="shared" si="1032"/>
        <v>-1107.9717062179386</v>
      </c>
      <c r="T1143">
        <f t="shared" si="1033"/>
        <v>-1.1079717062179386</v>
      </c>
    </row>
    <row r="1144" spans="1:20" x14ac:dyDescent="0.25">
      <c r="A1144" s="5">
        <v>43449</v>
      </c>
      <c r="B1144">
        <v>0.28803000000000001</v>
      </c>
      <c r="C1144">
        <v>0.29149000000000003</v>
      </c>
      <c r="D1144">
        <v>0.28050000000000003</v>
      </c>
      <c r="E1144">
        <v>0.28421999999999997</v>
      </c>
      <c r="F1144">
        <v>38261672.5</v>
      </c>
      <c r="G1144">
        <v>0</v>
      </c>
      <c r="L1144" t="s">
        <v>7</v>
      </c>
      <c r="M1144" t="s">
        <v>7</v>
      </c>
      <c r="N1144" t="s">
        <v>7</v>
      </c>
      <c r="P1144">
        <f t="shared" si="1029"/>
        <v>-0.32302092811647942</v>
      </c>
      <c r="Q1144">
        <f t="shared" si="1030"/>
        <v>-12359320.962238777</v>
      </c>
      <c r="R1144">
        <f t="shared" si="1031"/>
        <v>-92400665.224888429</v>
      </c>
      <c r="S1144">
        <f t="shared" si="1032"/>
        <v>-924.00665224888428</v>
      </c>
      <c r="T1144">
        <f t="shared" si="1033"/>
        <v>-0.92400665224888423</v>
      </c>
    </row>
    <row r="1145" spans="1:20" x14ac:dyDescent="0.25">
      <c r="A1145" s="5">
        <v>43448</v>
      </c>
      <c r="B1145">
        <v>0.29915999999999998</v>
      </c>
      <c r="C1145">
        <v>0.30080000000000001</v>
      </c>
      <c r="D1145">
        <v>0.28311999999999998</v>
      </c>
      <c r="E1145">
        <v>0.28816000000000003</v>
      </c>
      <c r="F1145">
        <v>47556494.799999997</v>
      </c>
      <c r="G1145">
        <v>0</v>
      </c>
      <c r="L1145" t="s">
        <v>7</v>
      </c>
      <c r="M1145" t="s">
        <v>7</v>
      </c>
      <c r="N1145" t="s">
        <v>7</v>
      </c>
      <c r="P1145">
        <f t="shared" si="1029"/>
        <v>-0.42986425339366108</v>
      </c>
      <c r="Q1145">
        <f t="shared" si="1030"/>
        <v>-20442837.131221525</v>
      </c>
      <c r="R1145">
        <f t="shared" si="1031"/>
        <v>-80041344.262649655</v>
      </c>
      <c r="S1145">
        <f t="shared" si="1032"/>
        <v>-800.41344262649659</v>
      </c>
      <c r="T1145">
        <f t="shared" si="1033"/>
        <v>-0.80041344262649661</v>
      </c>
    </row>
    <row r="1146" spans="1:20" x14ac:dyDescent="0.25">
      <c r="A1146" s="5">
        <v>43447</v>
      </c>
      <c r="B1146">
        <v>0.30463000000000001</v>
      </c>
      <c r="C1146">
        <v>0.30569000000000002</v>
      </c>
      <c r="D1146">
        <v>0.29558000000000001</v>
      </c>
      <c r="E1146">
        <v>0.29933999999999999</v>
      </c>
      <c r="F1146">
        <v>42978785</v>
      </c>
      <c r="G1146">
        <v>0</v>
      </c>
      <c r="L1146" t="s">
        <v>7</v>
      </c>
      <c r="M1146" t="s">
        <v>7</v>
      </c>
      <c r="N1146" t="s">
        <v>7</v>
      </c>
      <c r="P1146">
        <f t="shared" si="1029"/>
        <v>-0.25618199802176406</v>
      </c>
      <c r="Q1146">
        <f t="shared" si="1030"/>
        <v>-11010391.013847822</v>
      </c>
      <c r="R1146">
        <f t="shared" si="1031"/>
        <v>-59598507.131428123</v>
      </c>
      <c r="S1146">
        <f t="shared" si="1032"/>
        <v>-595.98507131428119</v>
      </c>
      <c r="T1146">
        <f t="shared" si="1033"/>
        <v>-0.59598507131428113</v>
      </c>
    </row>
    <row r="1147" spans="1:20" x14ac:dyDescent="0.25">
      <c r="A1147" s="5">
        <v>43446</v>
      </c>
      <c r="B1147">
        <v>0.29904999999999998</v>
      </c>
      <c r="C1147">
        <v>0.31064000000000003</v>
      </c>
      <c r="D1147">
        <v>0.29709999999999998</v>
      </c>
      <c r="E1147">
        <v>0.30463000000000001</v>
      </c>
      <c r="F1147">
        <v>48158835.799999997</v>
      </c>
      <c r="G1147">
        <v>0</v>
      </c>
      <c r="L1147" t="s">
        <v>7</v>
      </c>
      <c r="M1147" t="s">
        <v>7</v>
      </c>
      <c r="N1147" t="s">
        <v>7</v>
      </c>
      <c r="P1147">
        <f t="shared" si="1029"/>
        <v>0.11225997045790366</v>
      </c>
      <c r="Q1147">
        <f t="shared" si="1030"/>
        <v>5406309.4841950331</v>
      </c>
      <c r="R1147">
        <f t="shared" si="1031"/>
        <v>-48588116.117580302</v>
      </c>
      <c r="S1147">
        <f t="shared" si="1032"/>
        <v>-485.88116117580302</v>
      </c>
      <c r="T1147">
        <f t="shared" si="1033"/>
        <v>-0.48588116117580299</v>
      </c>
    </row>
    <row r="1148" spans="1:20" x14ac:dyDescent="0.25">
      <c r="A1148" s="5">
        <v>43445</v>
      </c>
      <c r="B1148">
        <v>0.29949999999999999</v>
      </c>
      <c r="C1148">
        <v>0.31</v>
      </c>
      <c r="D1148">
        <v>0.29396</v>
      </c>
      <c r="E1148">
        <v>0.29903999999999997</v>
      </c>
      <c r="F1148">
        <v>52196740</v>
      </c>
      <c r="G1148">
        <v>0</v>
      </c>
      <c r="L1148" t="s">
        <v>7</v>
      </c>
      <c r="M1148" t="s">
        <v>7</v>
      </c>
      <c r="N1148" t="s">
        <v>7</v>
      </c>
      <c r="P1148">
        <f t="shared" si="1029"/>
        <v>-0.36658354114713543</v>
      </c>
      <c r="Q1148">
        <f t="shared" si="1030"/>
        <v>-19134465.78553633</v>
      </c>
      <c r="R1148">
        <f t="shared" si="1031"/>
        <v>-53994425.601775333</v>
      </c>
      <c r="S1148">
        <f t="shared" si="1032"/>
        <v>-539.94425601775333</v>
      </c>
      <c r="T1148">
        <f t="shared" si="1033"/>
        <v>-0.53994425601775331</v>
      </c>
    </row>
    <row r="1149" spans="1:20" x14ac:dyDescent="0.25">
      <c r="A1149" s="5">
        <v>43444</v>
      </c>
      <c r="B1149">
        <v>0.30943999999999999</v>
      </c>
      <c r="C1149">
        <v>0.31376999999999999</v>
      </c>
      <c r="D1149">
        <v>0.29424</v>
      </c>
      <c r="E1149">
        <v>0.29955999999999999</v>
      </c>
      <c r="F1149">
        <v>59077810.899999999</v>
      </c>
      <c r="G1149">
        <v>0</v>
      </c>
      <c r="L1149" t="s">
        <v>7</v>
      </c>
      <c r="M1149" t="s">
        <v>7</v>
      </c>
      <c r="N1149" t="s">
        <v>7</v>
      </c>
      <c r="P1149">
        <f t="shared" si="1029"/>
        <v>-0.45519713261648809</v>
      </c>
      <c r="Q1149">
        <f t="shared" si="1030"/>
        <v>-26892050.122939106</v>
      </c>
      <c r="R1149">
        <f t="shared" si="1031"/>
        <v>-34859959.816239007</v>
      </c>
      <c r="S1149">
        <f t="shared" si="1032"/>
        <v>-348.59959816239007</v>
      </c>
      <c r="T1149">
        <f t="shared" si="1033"/>
        <v>-0.34859959816239006</v>
      </c>
    </row>
    <row r="1150" spans="1:20" x14ac:dyDescent="0.25">
      <c r="A1150" s="5">
        <v>43443</v>
      </c>
      <c r="B1150">
        <v>0.30247000000000002</v>
      </c>
      <c r="C1150">
        <v>0.31964999999999999</v>
      </c>
      <c r="D1150">
        <v>0.29830000000000001</v>
      </c>
      <c r="E1150">
        <v>0.30914000000000003</v>
      </c>
      <c r="F1150">
        <v>63609809.899999999</v>
      </c>
      <c r="G1150">
        <v>0</v>
      </c>
      <c r="L1150" t="s">
        <v>7</v>
      </c>
      <c r="M1150" t="s">
        <v>7</v>
      </c>
      <c r="N1150" t="s">
        <v>7</v>
      </c>
      <c r="P1150">
        <f t="shared" si="1029"/>
        <v>1.5456674473070389E-2</v>
      </c>
      <c r="Q1150">
        <f t="shared" si="1030"/>
        <v>983196.12491819006</v>
      </c>
      <c r="R1150">
        <f t="shared" si="1031"/>
        <v>-7967909.6932998998</v>
      </c>
      <c r="S1150">
        <f t="shared" si="1032"/>
        <v>-79.679096932999002</v>
      </c>
      <c r="T1150">
        <f t="shared" si="1033"/>
        <v>-7.9679096932999002E-2</v>
      </c>
    </row>
    <row r="1151" spans="1:20" x14ac:dyDescent="0.25">
      <c r="A1151" s="5">
        <v>43442</v>
      </c>
      <c r="B1151">
        <v>0.30114000000000002</v>
      </c>
      <c r="C1151">
        <v>0.32500000000000001</v>
      </c>
      <c r="D1151">
        <v>0.29116999999999998</v>
      </c>
      <c r="E1151">
        <v>0.30247000000000002</v>
      </c>
      <c r="F1151">
        <v>91555422.900000006</v>
      </c>
      <c r="G1151">
        <v>0</v>
      </c>
      <c r="L1151" t="s">
        <v>8</v>
      </c>
      <c r="M1151" t="s">
        <v>7</v>
      </c>
      <c r="N1151" t="s">
        <v>7</v>
      </c>
      <c r="P1151">
        <f t="shared" ref="P1151:P1195" si="1034">IF(C1151=D1151,0,((E1151-D1151)-(C1151-E1151))/(C1151-D1151))</f>
        <v>-0.33195388708246981</v>
      </c>
      <c r="Q1151">
        <f t="shared" ref="Q1151:Q1195" si="1035">F1151*P1151</f>
        <v>-30392178.515134372</v>
      </c>
      <c r="R1151">
        <f t="shared" ref="R1151:R1195" si="1036">R1152+Q1151</f>
        <v>-8951105.8182180896</v>
      </c>
      <c r="S1151">
        <f t="shared" ref="S1151:S1195" si="1037">R1151/100000</f>
        <v>-89.511058182180903</v>
      </c>
      <c r="T1151">
        <f t="shared" ref="T1151:T1195" si="1038">S1151/1000</f>
        <v>-8.95110581821809E-2</v>
      </c>
    </row>
    <row r="1152" spans="1:20" x14ac:dyDescent="0.25">
      <c r="A1152" s="5">
        <v>43441</v>
      </c>
      <c r="B1152">
        <v>0.30958999999999998</v>
      </c>
      <c r="C1152">
        <v>0.312</v>
      </c>
      <c r="D1152">
        <v>0.28649999999999998</v>
      </c>
      <c r="E1152">
        <v>0.30114000000000002</v>
      </c>
      <c r="F1152">
        <v>128448766.2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0.14823529411764932</v>
      </c>
      <c r="Q1152">
        <f t="shared" si="1035"/>
        <v>19040640.636706173</v>
      </c>
      <c r="R1152">
        <f t="shared" si="1036"/>
        <v>21441072.696916282</v>
      </c>
      <c r="S1152">
        <f t="shared" si="1037"/>
        <v>214.41072696916282</v>
      </c>
      <c r="T1152">
        <f t="shared" si="1038"/>
        <v>0.21441072696916283</v>
      </c>
    </row>
    <row r="1153" spans="1:20" x14ac:dyDescent="0.25">
      <c r="A1153" s="5">
        <v>43440</v>
      </c>
      <c r="B1153">
        <v>0.33905999999999997</v>
      </c>
      <c r="C1153">
        <v>0.34549999999999997</v>
      </c>
      <c r="D1153">
        <v>0.30670999999999998</v>
      </c>
      <c r="E1153">
        <v>0.30919000000000002</v>
      </c>
      <c r="F1153">
        <v>83574815</v>
      </c>
      <c r="G1153">
        <v>0</v>
      </c>
      <c r="L1153" t="s">
        <v>7</v>
      </c>
      <c r="M1153" t="s">
        <v>7</v>
      </c>
      <c r="N1153" t="s">
        <v>7</v>
      </c>
      <c r="P1153">
        <f t="shared" si="1034"/>
        <v>-0.87213199278164277</v>
      </c>
      <c r="Q1153">
        <f t="shared" si="1035"/>
        <v>-72888269.952307135</v>
      </c>
      <c r="R1153">
        <f t="shared" si="1036"/>
        <v>2400432.0602101088</v>
      </c>
      <c r="S1153">
        <f t="shared" si="1037"/>
        <v>24.004320602101089</v>
      </c>
      <c r="T1153">
        <f t="shared" si="1038"/>
        <v>2.400432060210109E-2</v>
      </c>
    </row>
    <row r="1154" spans="1:20" x14ac:dyDescent="0.25">
      <c r="A1154" s="5">
        <v>43439</v>
      </c>
      <c r="B1154">
        <v>0.35235</v>
      </c>
      <c r="C1154">
        <v>0.36099999999999999</v>
      </c>
      <c r="D1154">
        <v>0.33800000000000002</v>
      </c>
      <c r="E1154">
        <v>0.33950000000000002</v>
      </c>
      <c r="F1154">
        <v>56281559.399999999</v>
      </c>
      <c r="G1154">
        <v>0</v>
      </c>
      <c r="L1154" t="s">
        <v>7</v>
      </c>
      <c r="M1154" t="s">
        <v>7</v>
      </c>
      <c r="N1154" t="s">
        <v>7</v>
      </c>
      <c r="P1154">
        <f t="shared" si="1034"/>
        <v>-0.86956521739130399</v>
      </c>
      <c r="Q1154">
        <f t="shared" si="1035"/>
        <v>-48940486.434782587</v>
      </c>
      <c r="R1154">
        <f t="shared" si="1036"/>
        <v>75288702.012517244</v>
      </c>
      <c r="S1154">
        <f t="shared" si="1037"/>
        <v>752.8870201251724</v>
      </c>
      <c r="T1154">
        <f t="shared" si="1038"/>
        <v>0.75288702012517239</v>
      </c>
    </row>
    <row r="1155" spans="1:20" x14ac:dyDescent="0.25">
      <c r="A1155" s="5">
        <v>43438</v>
      </c>
      <c r="B1155">
        <v>0.34827000000000002</v>
      </c>
      <c r="C1155">
        <v>0.36254999999999998</v>
      </c>
      <c r="D1155">
        <v>0.33912999999999999</v>
      </c>
      <c r="E1155">
        <v>0.35231000000000001</v>
      </c>
      <c r="F1155">
        <v>59867337.700000003</v>
      </c>
      <c r="G1155">
        <v>0</v>
      </c>
      <c r="L1155" t="s">
        <v>7</v>
      </c>
      <c r="M1155" t="s">
        <v>7</v>
      </c>
      <c r="N1155" t="s">
        <v>7</v>
      </c>
      <c r="P1155">
        <f t="shared" si="1034"/>
        <v>0.12553373185311931</v>
      </c>
      <c r="Q1155">
        <f t="shared" si="1035"/>
        <v>7515370.317591941</v>
      </c>
      <c r="R1155">
        <f t="shared" si="1036"/>
        <v>124229188.44729984</v>
      </c>
      <c r="S1155">
        <f t="shared" si="1037"/>
        <v>1242.2918844729984</v>
      </c>
      <c r="T1155">
        <f t="shared" si="1038"/>
        <v>1.2422918844729984</v>
      </c>
    </row>
    <row r="1156" spans="1:20" x14ac:dyDescent="0.25">
      <c r="A1156" s="5">
        <v>43437</v>
      </c>
      <c r="B1156">
        <v>0.36974000000000001</v>
      </c>
      <c r="C1156">
        <v>0.371</v>
      </c>
      <c r="D1156">
        <v>0.34553</v>
      </c>
      <c r="E1156">
        <v>0.34827000000000002</v>
      </c>
      <c r="F1156">
        <v>57538980.399999999</v>
      </c>
      <c r="G1156">
        <v>0</v>
      </c>
      <c r="L1156" t="s">
        <v>7</v>
      </c>
      <c r="M1156" t="s">
        <v>8</v>
      </c>
      <c r="N1156" t="s">
        <v>7</v>
      </c>
      <c r="P1156">
        <f t="shared" si="1034"/>
        <v>-0.78484491558696345</v>
      </c>
      <c r="Q1156">
        <f t="shared" si="1035"/>
        <v>-45159176.214997947</v>
      </c>
      <c r="R1156">
        <f t="shared" si="1036"/>
        <v>116713818.1297079</v>
      </c>
      <c r="S1156">
        <f t="shared" si="1037"/>
        <v>1167.138181297079</v>
      </c>
      <c r="T1156">
        <f t="shared" si="1038"/>
        <v>1.1671381812970789</v>
      </c>
    </row>
    <row r="1157" spans="1:20" x14ac:dyDescent="0.25">
      <c r="A1157" s="5">
        <v>43436</v>
      </c>
      <c r="B1157">
        <v>0.372</v>
      </c>
      <c r="C1157">
        <v>0.37990000000000002</v>
      </c>
      <c r="D1157">
        <v>0.36599999999999999</v>
      </c>
      <c r="E1157">
        <v>0.36963000000000001</v>
      </c>
      <c r="F1157">
        <v>43193884.200000003</v>
      </c>
      <c r="G1157">
        <v>0</v>
      </c>
      <c r="L1157" t="s">
        <v>8</v>
      </c>
      <c r="M1157" t="s">
        <v>8</v>
      </c>
      <c r="N1157" t="s">
        <v>7</v>
      </c>
      <c r="P1157">
        <f t="shared" si="1034"/>
        <v>-0.47769784172661639</v>
      </c>
      <c r="Q1157">
        <f t="shared" si="1035"/>
        <v>-20633625.258129399</v>
      </c>
      <c r="R1157">
        <f t="shared" si="1036"/>
        <v>161872994.34470585</v>
      </c>
      <c r="S1157">
        <f t="shared" si="1037"/>
        <v>1618.7299434470585</v>
      </c>
      <c r="T1157">
        <f t="shared" si="1038"/>
        <v>1.6187299434470586</v>
      </c>
    </row>
    <row r="1158" spans="1:20" x14ac:dyDescent="0.25">
      <c r="A1158" s="5">
        <v>43435</v>
      </c>
      <c r="B1158">
        <v>0.36492000000000002</v>
      </c>
      <c r="C1158">
        <v>0.379</v>
      </c>
      <c r="D1158">
        <v>0.35616999999999999</v>
      </c>
      <c r="E1158">
        <v>0.37204999999999999</v>
      </c>
      <c r="F1158">
        <v>58583664.799999997</v>
      </c>
      <c r="G1158">
        <v>0</v>
      </c>
      <c r="L1158" t="s">
        <v>8</v>
      </c>
      <c r="M1158" t="s">
        <v>8</v>
      </c>
      <c r="N1158" t="s">
        <v>7</v>
      </c>
      <c r="P1158">
        <f t="shared" si="1034"/>
        <v>0.39115199299167702</v>
      </c>
      <c r="Q1158">
        <f t="shared" si="1035"/>
        <v>22915117.243276354</v>
      </c>
      <c r="R1158">
        <f t="shared" si="1036"/>
        <v>182506619.60283524</v>
      </c>
      <c r="S1158">
        <f t="shared" si="1037"/>
        <v>1825.0661960283524</v>
      </c>
      <c r="T1158">
        <f t="shared" si="1038"/>
        <v>1.8250661960283523</v>
      </c>
    </row>
    <row r="1159" spans="1:20" x14ac:dyDescent="0.25">
      <c r="A1159" s="5">
        <v>43434</v>
      </c>
      <c r="B1159">
        <v>0.38147999999999999</v>
      </c>
      <c r="C1159">
        <v>0.38330999999999998</v>
      </c>
      <c r="D1159">
        <v>0.35499999999999998</v>
      </c>
      <c r="E1159">
        <v>0.36465999999999998</v>
      </c>
      <c r="F1159">
        <v>82213339.599999994</v>
      </c>
      <c r="G1159">
        <v>0</v>
      </c>
      <c r="L1159" t="s">
        <v>7</v>
      </c>
      <c r="M1159" t="s">
        <v>8</v>
      </c>
      <c r="N1159" t="s">
        <v>7</v>
      </c>
      <c r="P1159">
        <f t="shared" si="1034"/>
        <v>-0.31755563405157178</v>
      </c>
      <c r="Q1159">
        <f t="shared" si="1035"/>
        <v>-26107309.184175193</v>
      </c>
      <c r="R1159">
        <f t="shared" si="1036"/>
        <v>159591502.35955888</v>
      </c>
      <c r="S1159">
        <f t="shared" si="1037"/>
        <v>1595.9150235955888</v>
      </c>
      <c r="T1159">
        <f t="shared" si="1038"/>
        <v>1.5959150235955888</v>
      </c>
    </row>
    <row r="1160" spans="1:20" x14ac:dyDescent="0.25">
      <c r="A1160" s="5">
        <v>43433</v>
      </c>
      <c r="B1160">
        <v>0.39219999999999999</v>
      </c>
      <c r="C1160">
        <v>0.39500000000000002</v>
      </c>
      <c r="D1160">
        <v>0.37071999999999999</v>
      </c>
      <c r="E1160">
        <v>0.38149</v>
      </c>
      <c r="F1160">
        <v>106959084.59999999</v>
      </c>
      <c r="G1160">
        <v>0</v>
      </c>
      <c r="L1160" t="s">
        <v>7</v>
      </c>
      <c r="M1160" t="s">
        <v>8</v>
      </c>
      <c r="N1160" t="s">
        <v>7</v>
      </c>
      <c r="P1160">
        <f t="shared" si="1034"/>
        <v>-0.11285008237232362</v>
      </c>
      <c r="Q1160">
        <f t="shared" si="1035"/>
        <v>-12070341.50757833</v>
      </c>
      <c r="R1160">
        <f t="shared" si="1036"/>
        <v>185698811.54373407</v>
      </c>
      <c r="S1160">
        <f t="shared" si="1037"/>
        <v>1856.9881154373406</v>
      </c>
      <c r="T1160">
        <f t="shared" si="1038"/>
        <v>1.8569881154373407</v>
      </c>
    </row>
    <row r="1161" spans="1:20" x14ac:dyDescent="0.25">
      <c r="A1161" s="5">
        <v>43432</v>
      </c>
      <c r="B1161">
        <v>0.36475999999999997</v>
      </c>
      <c r="C1161">
        <v>0.40318999999999999</v>
      </c>
      <c r="D1161">
        <v>0.36475999999999997</v>
      </c>
      <c r="E1161">
        <v>0.39202999999999999</v>
      </c>
      <c r="F1161">
        <v>157732401</v>
      </c>
      <c r="G1161">
        <v>0</v>
      </c>
      <c r="L1161" t="s">
        <v>8</v>
      </c>
      <c r="M1161" t="s">
        <v>8</v>
      </c>
      <c r="N1161" t="s">
        <v>7</v>
      </c>
      <c r="P1161">
        <f t="shared" si="1034"/>
        <v>0.41920374707259966</v>
      </c>
      <c r="Q1161">
        <f t="shared" si="1035"/>
        <v>66122013.533957869</v>
      </c>
      <c r="R1161">
        <f t="shared" si="1036"/>
        <v>197769153.05131242</v>
      </c>
      <c r="S1161">
        <f t="shared" si="1037"/>
        <v>1977.6915305131242</v>
      </c>
      <c r="T1161">
        <f t="shared" si="1038"/>
        <v>1.9776915305131242</v>
      </c>
    </row>
    <row r="1162" spans="1:20" x14ac:dyDescent="0.25">
      <c r="A1162" s="5">
        <v>43431</v>
      </c>
      <c r="B1162">
        <v>0.3634</v>
      </c>
      <c r="C1162">
        <v>0.376</v>
      </c>
      <c r="D1162">
        <v>0.34633999999999998</v>
      </c>
      <c r="E1162">
        <v>0.36499999999999999</v>
      </c>
      <c r="F1162">
        <v>149919921.09999999</v>
      </c>
      <c r="G1162">
        <v>0</v>
      </c>
      <c r="L1162" t="s">
        <v>7</v>
      </c>
      <c r="M1162" t="s">
        <v>8</v>
      </c>
      <c r="N1162" t="s">
        <v>7</v>
      </c>
      <c r="P1162">
        <f t="shared" si="1034"/>
        <v>0.2582602832097099</v>
      </c>
      <c r="Q1162">
        <f t="shared" si="1035"/>
        <v>38718361.282063358</v>
      </c>
      <c r="R1162">
        <f t="shared" si="1036"/>
        <v>131647139.51735455</v>
      </c>
      <c r="S1162">
        <f t="shared" si="1037"/>
        <v>1316.4713951735455</v>
      </c>
      <c r="T1162">
        <f t="shared" si="1038"/>
        <v>1.3164713951735454</v>
      </c>
    </row>
    <row r="1163" spans="1:20" x14ac:dyDescent="0.25">
      <c r="A1163" s="5">
        <v>43430</v>
      </c>
      <c r="B1163">
        <v>0.38185999999999998</v>
      </c>
      <c r="C1163">
        <v>0.39999000000000001</v>
      </c>
      <c r="D1163">
        <v>0.34625</v>
      </c>
      <c r="E1163">
        <v>0.36353999999999997</v>
      </c>
      <c r="F1163">
        <v>267557884.19999999</v>
      </c>
      <c r="G1163">
        <v>0</v>
      </c>
      <c r="L1163" t="s">
        <v>8</v>
      </c>
      <c r="M1163" t="s">
        <v>8</v>
      </c>
      <c r="N1163" t="s">
        <v>7</v>
      </c>
      <c r="P1163">
        <f t="shared" si="1034"/>
        <v>-0.35653144771120326</v>
      </c>
      <c r="Q1163">
        <f t="shared" si="1035"/>
        <v>-95392799.800372466</v>
      </c>
      <c r="R1163">
        <f t="shared" si="1036"/>
        <v>92928778.235291198</v>
      </c>
      <c r="S1163">
        <f t="shared" si="1037"/>
        <v>929.28778235291202</v>
      </c>
      <c r="T1163">
        <f t="shared" si="1038"/>
        <v>0.92928778235291198</v>
      </c>
    </row>
    <row r="1164" spans="1:20" x14ac:dyDescent="0.25">
      <c r="A1164" s="5">
        <v>43429</v>
      </c>
      <c r="B1164">
        <v>0.37977</v>
      </c>
      <c r="C1164">
        <v>0.39639000000000002</v>
      </c>
      <c r="D1164">
        <v>0.32801999999999998</v>
      </c>
      <c r="E1164">
        <v>0.38200000000000001</v>
      </c>
      <c r="F1164">
        <v>322162714.60000002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0.57905514114377632</v>
      </c>
      <c r="Q1164">
        <f t="shared" si="1035"/>
        <v>186549976.17396516</v>
      </c>
      <c r="R1164">
        <f t="shared" si="1036"/>
        <v>188321578.03566366</v>
      </c>
      <c r="S1164">
        <f t="shared" si="1037"/>
        <v>1883.2157803566367</v>
      </c>
      <c r="T1164">
        <f t="shared" si="1038"/>
        <v>1.8832157803566367</v>
      </c>
    </row>
    <row r="1165" spans="1:20" x14ac:dyDescent="0.25">
      <c r="A1165" s="5">
        <v>43428</v>
      </c>
      <c r="B1165">
        <v>0.41460999999999998</v>
      </c>
      <c r="C1165">
        <v>0.42877999999999999</v>
      </c>
      <c r="D1165">
        <v>0.37001000000000001</v>
      </c>
      <c r="E1165">
        <v>0.37981999999999999</v>
      </c>
      <c r="F1165">
        <v>160389596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-0.66615620214395144</v>
      </c>
      <c r="Q1165">
        <f t="shared" si="1035"/>
        <v>-106844524.1347627</v>
      </c>
      <c r="R1165">
        <f t="shared" si="1036"/>
        <v>1771601.8616985083</v>
      </c>
      <c r="S1165">
        <f t="shared" si="1037"/>
        <v>17.716018616985082</v>
      </c>
      <c r="T1165">
        <f t="shared" si="1038"/>
        <v>1.7716018616985081E-2</v>
      </c>
    </row>
    <row r="1166" spans="1:20" x14ac:dyDescent="0.25">
      <c r="A1166" s="5">
        <v>43427</v>
      </c>
      <c r="B1166">
        <v>0.42765999999999998</v>
      </c>
      <c r="C1166">
        <v>0.44375999999999999</v>
      </c>
      <c r="D1166">
        <v>0.39673999999999998</v>
      </c>
      <c r="E1166">
        <v>0.41447000000000001</v>
      </c>
      <c r="F1166">
        <v>161040318.19999999</v>
      </c>
      <c r="G1166">
        <v>0</v>
      </c>
      <c r="L1166" t="s">
        <v>7</v>
      </c>
      <c r="M1166" t="s">
        <v>7</v>
      </c>
      <c r="N1166" t="s">
        <v>7</v>
      </c>
      <c r="P1166">
        <f t="shared" si="1034"/>
        <v>-0.24585282858358054</v>
      </c>
      <c r="Q1166">
        <f t="shared" si="1035"/>
        <v>-39592217.745469861</v>
      </c>
      <c r="R1166">
        <f t="shared" si="1036"/>
        <v>108616125.99646121</v>
      </c>
      <c r="S1166">
        <f t="shared" si="1037"/>
        <v>1086.1612599646121</v>
      </c>
      <c r="T1166">
        <f t="shared" si="1038"/>
        <v>1.086161259964612</v>
      </c>
    </row>
    <row r="1167" spans="1:20" x14ac:dyDescent="0.25">
      <c r="A1167" s="5">
        <v>43426</v>
      </c>
      <c r="B1167">
        <v>0.45345000000000002</v>
      </c>
      <c r="C1167">
        <v>0.45784999999999998</v>
      </c>
      <c r="D1167">
        <v>0.42399999999999999</v>
      </c>
      <c r="E1167">
        <v>0.42831000000000002</v>
      </c>
      <c r="F1167">
        <v>91671173.799999997</v>
      </c>
      <c r="G1167">
        <v>0</v>
      </c>
      <c r="L1167" t="s">
        <v>7</v>
      </c>
      <c r="M1167" t="s">
        <v>7</v>
      </c>
      <c r="N1167" t="s">
        <v>7</v>
      </c>
      <c r="P1167">
        <f t="shared" si="1034"/>
        <v>-0.74534711964549261</v>
      </c>
      <c r="Q1167">
        <f t="shared" si="1035"/>
        <v>-68326845.34635134</v>
      </c>
      <c r="R1167">
        <f t="shared" si="1036"/>
        <v>148208343.74193108</v>
      </c>
      <c r="S1167">
        <f t="shared" si="1037"/>
        <v>1482.0834374193107</v>
      </c>
      <c r="T1167">
        <f t="shared" si="1038"/>
        <v>1.4820834374193108</v>
      </c>
    </row>
    <row r="1168" spans="1:20" x14ac:dyDescent="0.25">
      <c r="A1168" s="5">
        <v>43425</v>
      </c>
      <c r="B1168">
        <v>0.44285000000000002</v>
      </c>
      <c r="C1168">
        <v>0.46947</v>
      </c>
      <c r="D1168">
        <v>0.41932999999999998</v>
      </c>
      <c r="E1168">
        <v>0.45367000000000002</v>
      </c>
      <c r="F1168">
        <v>189645261.09999999</v>
      </c>
      <c r="G1168">
        <v>0</v>
      </c>
      <c r="L1168" t="s">
        <v>8</v>
      </c>
      <c r="M1168" t="s">
        <v>7</v>
      </c>
      <c r="N1168" t="s">
        <v>7</v>
      </c>
      <c r="P1168">
        <f t="shared" si="1034"/>
        <v>0.36976465895492722</v>
      </c>
      <c r="Q1168">
        <f t="shared" si="1035"/>
        <v>70124115.293059617</v>
      </c>
      <c r="R1168">
        <f t="shared" si="1036"/>
        <v>216535189.08828244</v>
      </c>
      <c r="S1168">
        <f t="shared" si="1037"/>
        <v>2165.3518908828241</v>
      </c>
      <c r="T1168">
        <f t="shared" si="1038"/>
        <v>2.1653518908828242</v>
      </c>
    </row>
    <row r="1169" spans="1:20" x14ac:dyDescent="0.25">
      <c r="A1169" s="5">
        <v>43424</v>
      </c>
      <c r="B1169">
        <v>0.48235</v>
      </c>
      <c r="C1169">
        <v>0.50865000000000005</v>
      </c>
      <c r="D1169">
        <v>0.40949999999999998</v>
      </c>
      <c r="E1169">
        <v>0.44285000000000002</v>
      </c>
      <c r="F1169">
        <v>325286452.60000002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-0.32728189611699399</v>
      </c>
      <c r="Q1169">
        <f t="shared" si="1035"/>
        <v>-106460366.9880987</v>
      </c>
      <c r="R1169">
        <f t="shared" si="1036"/>
        <v>146411073.79522282</v>
      </c>
      <c r="S1169">
        <f t="shared" si="1037"/>
        <v>1464.1107379522282</v>
      </c>
      <c r="T1169">
        <f t="shared" si="1038"/>
        <v>1.4641107379522282</v>
      </c>
    </row>
    <row r="1170" spans="1:20" x14ac:dyDescent="0.25">
      <c r="A1170" s="5">
        <v>43423</v>
      </c>
      <c r="B1170">
        <v>0.51607999999999998</v>
      </c>
      <c r="C1170">
        <v>0.51695000000000002</v>
      </c>
      <c r="D1170">
        <v>0.46450000000000002</v>
      </c>
      <c r="E1170">
        <v>0.48249999999999998</v>
      </c>
      <c r="F1170">
        <v>245733373.5</v>
      </c>
      <c r="G1170">
        <v>0</v>
      </c>
      <c r="L1170" t="s">
        <v>7</v>
      </c>
      <c r="M1170" t="s">
        <v>8</v>
      </c>
      <c r="N1170" t="s">
        <v>7</v>
      </c>
      <c r="P1170">
        <f t="shared" si="1034"/>
        <v>-0.31363203050524457</v>
      </c>
      <c r="Q1170">
        <f t="shared" si="1035"/>
        <v>-77069856.893708661</v>
      </c>
      <c r="R1170">
        <f t="shared" si="1036"/>
        <v>252871440.7833215</v>
      </c>
      <c r="S1170">
        <f t="shared" si="1037"/>
        <v>2528.7144078332149</v>
      </c>
      <c r="T1170">
        <f t="shared" si="1038"/>
        <v>2.5287144078332147</v>
      </c>
    </row>
    <row r="1171" spans="1:20" x14ac:dyDescent="0.25">
      <c r="A1171" s="5">
        <v>43422</v>
      </c>
      <c r="B1171">
        <v>0.49814999999999998</v>
      </c>
      <c r="C1171">
        <v>0.53200000000000003</v>
      </c>
      <c r="D1171">
        <v>0.49536999999999998</v>
      </c>
      <c r="E1171">
        <v>0.51610999999999996</v>
      </c>
      <c r="F1171">
        <v>133560299.2</v>
      </c>
      <c r="G1171">
        <v>0</v>
      </c>
      <c r="L1171" t="s">
        <v>8</v>
      </c>
      <c r="M1171" t="s">
        <v>8</v>
      </c>
      <c r="N1171" t="s">
        <v>7</v>
      </c>
      <c r="P1171">
        <f t="shared" si="1034"/>
        <v>0.13240513240512977</v>
      </c>
      <c r="Q1171">
        <f t="shared" si="1035"/>
        <v>17684069.099644747</v>
      </c>
      <c r="R1171">
        <f t="shared" si="1036"/>
        <v>329941297.67703015</v>
      </c>
      <c r="S1171">
        <f t="shared" si="1037"/>
        <v>3299.4129767703016</v>
      </c>
      <c r="T1171">
        <f t="shared" si="1038"/>
        <v>3.2994129767703018</v>
      </c>
    </row>
    <row r="1172" spans="1:20" x14ac:dyDescent="0.25">
      <c r="A1172" s="5">
        <v>43421</v>
      </c>
      <c r="B1172">
        <v>0.47804999999999997</v>
      </c>
      <c r="C1172">
        <v>0.505</v>
      </c>
      <c r="D1172">
        <v>0.46938999999999997</v>
      </c>
      <c r="E1172">
        <v>0.49813000000000002</v>
      </c>
      <c r="F1172">
        <v>95437797.299999997</v>
      </c>
      <c r="G1172">
        <v>0</v>
      </c>
      <c r="L1172" t="s">
        <v>8</v>
      </c>
      <c r="M1172" t="s">
        <v>7</v>
      </c>
      <c r="N1172" t="s">
        <v>7</v>
      </c>
      <c r="P1172">
        <f t="shared" si="1034"/>
        <v>0.61415332771693454</v>
      </c>
      <c r="Q1172">
        <f t="shared" si="1035"/>
        <v>58613440.801769271</v>
      </c>
      <c r="R1172">
        <f t="shared" si="1036"/>
        <v>312257228.57738543</v>
      </c>
      <c r="S1172">
        <f t="shared" si="1037"/>
        <v>3122.5722857738542</v>
      </c>
      <c r="T1172">
        <f t="shared" si="1038"/>
        <v>3.1225722857738543</v>
      </c>
    </row>
    <row r="1173" spans="1:20" x14ac:dyDescent="0.25">
      <c r="A1173" s="5">
        <v>43420</v>
      </c>
      <c r="B1173">
        <v>0.48931000000000002</v>
      </c>
      <c r="C1173">
        <v>0.49568000000000001</v>
      </c>
      <c r="D1173">
        <v>0.46382000000000001</v>
      </c>
      <c r="E1173">
        <v>0.47765000000000002</v>
      </c>
      <c r="F1173">
        <v>114883969.7</v>
      </c>
      <c r="G1173">
        <v>0</v>
      </c>
      <c r="L1173" t="s">
        <v>8</v>
      </c>
      <c r="M1173" t="s">
        <v>7</v>
      </c>
      <c r="N1173" t="s">
        <v>7</v>
      </c>
      <c r="P1173">
        <f t="shared" si="1034"/>
        <v>-0.13182674199623295</v>
      </c>
      <c r="Q1173">
        <f t="shared" si="1035"/>
        <v>-15144779.433144944</v>
      </c>
      <c r="R1173">
        <f t="shared" si="1036"/>
        <v>253643787.77561614</v>
      </c>
      <c r="S1173">
        <f t="shared" si="1037"/>
        <v>2536.4378777561615</v>
      </c>
      <c r="T1173">
        <f t="shared" si="1038"/>
        <v>2.5364378777561614</v>
      </c>
    </row>
    <row r="1174" spans="1:20" x14ac:dyDescent="0.25">
      <c r="A1174" s="5">
        <v>43419</v>
      </c>
      <c r="B1174">
        <v>0.48460999999999999</v>
      </c>
      <c r="C1174">
        <v>0.49469999999999997</v>
      </c>
      <c r="D1174">
        <v>0.43109999999999998</v>
      </c>
      <c r="E1174">
        <v>0.48931000000000002</v>
      </c>
      <c r="F1174">
        <v>176221131</v>
      </c>
      <c r="G1174">
        <v>0</v>
      </c>
      <c r="L1174" t="s">
        <v>8</v>
      </c>
      <c r="M1174" t="s">
        <v>7</v>
      </c>
      <c r="N1174" t="s">
        <v>7</v>
      </c>
      <c r="P1174">
        <f t="shared" si="1034"/>
        <v>0.83050314465408959</v>
      </c>
      <c r="Q1174">
        <f t="shared" si="1035"/>
        <v>146352203.45000026</v>
      </c>
      <c r="R1174">
        <f t="shared" si="1036"/>
        <v>268788567.2087611</v>
      </c>
      <c r="S1174">
        <f t="shared" si="1037"/>
        <v>2687.8856720876111</v>
      </c>
      <c r="T1174">
        <f t="shared" si="1038"/>
        <v>2.687885672087611</v>
      </c>
    </row>
    <row r="1175" spans="1:20" x14ac:dyDescent="0.25">
      <c r="A1175" s="5">
        <v>43418</v>
      </c>
      <c r="B1175">
        <v>0.51817000000000002</v>
      </c>
      <c r="C1175">
        <v>0.52012000000000003</v>
      </c>
      <c r="D1175">
        <v>0.42199999999999999</v>
      </c>
      <c r="E1175">
        <v>0.48459999999999998</v>
      </c>
      <c r="F1175">
        <v>158164446.30000001</v>
      </c>
      <c r="G1175">
        <v>0</v>
      </c>
      <c r="L1175" t="s">
        <v>7</v>
      </c>
      <c r="M1175" t="s">
        <v>7</v>
      </c>
      <c r="N1175" t="s">
        <v>7</v>
      </c>
      <c r="P1175">
        <f t="shared" si="1034"/>
        <v>0.27598858540562499</v>
      </c>
      <c r="Q1175">
        <f t="shared" si="1035"/>
        <v>43651581.795800939</v>
      </c>
      <c r="R1175">
        <f t="shared" si="1036"/>
        <v>122436363.75876087</v>
      </c>
      <c r="S1175">
        <f t="shared" si="1037"/>
        <v>1224.3636375876088</v>
      </c>
      <c r="T1175">
        <f t="shared" si="1038"/>
        <v>1.2243636375876088</v>
      </c>
    </row>
    <row r="1176" spans="1:20" x14ac:dyDescent="0.25">
      <c r="A1176" s="5">
        <v>43417</v>
      </c>
      <c r="B1176">
        <v>0.52403</v>
      </c>
      <c r="C1176">
        <v>0.53464</v>
      </c>
      <c r="D1176">
        <v>0.51110999999999995</v>
      </c>
      <c r="E1176">
        <v>0.51736000000000004</v>
      </c>
      <c r="F1176">
        <v>66199009.700000003</v>
      </c>
      <c r="G1176">
        <v>0</v>
      </c>
      <c r="L1176" t="s">
        <v>8</v>
      </c>
      <c r="M1176" t="s">
        <v>8</v>
      </c>
      <c r="N1176" t="s">
        <v>7</v>
      </c>
      <c r="P1176">
        <f t="shared" si="1034"/>
        <v>-0.46876328091797065</v>
      </c>
      <c r="Q1176">
        <f t="shared" si="1035"/>
        <v>-31031664.980492566</v>
      </c>
      <c r="R1176">
        <f t="shared" si="1036"/>
        <v>78784781.96295993</v>
      </c>
      <c r="S1176">
        <f t="shared" si="1037"/>
        <v>787.84781962959926</v>
      </c>
      <c r="T1176">
        <f t="shared" si="1038"/>
        <v>0.78784781962959927</v>
      </c>
    </row>
    <row r="1177" spans="1:20" x14ac:dyDescent="0.25">
      <c r="A1177" s="5">
        <v>43416</v>
      </c>
      <c r="B1177">
        <v>0.51017999999999997</v>
      </c>
      <c r="C1177">
        <v>0.53498999999999997</v>
      </c>
      <c r="D1177">
        <v>0.50521000000000005</v>
      </c>
      <c r="E1177">
        <v>0.52449999999999997</v>
      </c>
      <c r="F1177">
        <v>51147716.5</v>
      </c>
      <c r="G1177">
        <v>0</v>
      </c>
      <c r="L1177" t="s">
        <v>8</v>
      </c>
      <c r="M1177" t="s">
        <v>8</v>
      </c>
      <c r="N1177" t="s">
        <v>7</v>
      </c>
      <c r="P1177">
        <f t="shared" si="1034"/>
        <v>0.29550033579583423</v>
      </c>
      <c r="Q1177">
        <f t="shared" si="1035"/>
        <v>15114167.400940131</v>
      </c>
      <c r="R1177">
        <f t="shared" si="1036"/>
        <v>109816446.94345249</v>
      </c>
      <c r="S1177">
        <f t="shared" si="1037"/>
        <v>1098.164469434525</v>
      </c>
      <c r="T1177">
        <f t="shared" si="1038"/>
        <v>1.0981644694345249</v>
      </c>
    </row>
    <row r="1178" spans="1:20" x14ac:dyDescent="0.25">
      <c r="A1178" s="5">
        <v>43415</v>
      </c>
      <c r="B1178">
        <v>0.50941000000000003</v>
      </c>
      <c r="C1178">
        <v>0.51232999999999995</v>
      </c>
      <c r="D1178">
        <v>0.49764000000000003</v>
      </c>
      <c r="E1178">
        <v>0.51019000000000003</v>
      </c>
      <c r="F1178">
        <v>28362231.800000001</v>
      </c>
      <c r="G1178">
        <v>0</v>
      </c>
      <c r="L1178" t="s">
        <v>7</v>
      </c>
      <c r="M1178" t="s">
        <v>8</v>
      </c>
      <c r="N1178" t="s">
        <v>7</v>
      </c>
      <c r="P1178">
        <f t="shared" si="1034"/>
        <v>0.70864533696393051</v>
      </c>
      <c r="Q1178">
        <f t="shared" si="1035"/>
        <v>20098763.310960107</v>
      </c>
      <c r="R1178">
        <f t="shared" si="1036"/>
        <v>94702279.542512357</v>
      </c>
      <c r="S1178">
        <f t="shared" si="1037"/>
        <v>947.0227954251236</v>
      </c>
      <c r="T1178">
        <f t="shared" si="1038"/>
        <v>0.94702279542512358</v>
      </c>
    </row>
    <row r="1179" spans="1:20" x14ac:dyDescent="0.25">
      <c r="A1179" s="5">
        <v>43414</v>
      </c>
      <c r="B1179">
        <v>0.50463000000000002</v>
      </c>
      <c r="C1179">
        <v>0.51748000000000005</v>
      </c>
      <c r="D1179">
        <v>0.50270000000000004</v>
      </c>
      <c r="E1179">
        <v>0.50956000000000001</v>
      </c>
      <c r="F1179">
        <v>33178374.5</v>
      </c>
      <c r="G1179">
        <v>0</v>
      </c>
      <c r="L1179" t="s">
        <v>7</v>
      </c>
      <c r="M1179" t="s">
        <v>8</v>
      </c>
      <c r="N1179" t="s">
        <v>7</v>
      </c>
      <c r="P1179">
        <f t="shared" si="1034"/>
        <v>-7.1718538565633275E-2</v>
      </c>
      <c r="Q1179">
        <f t="shared" si="1035"/>
        <v>-2379504.5311232735</v>
      </c>
      <c r="R1179">
        <f t="shared" si="1036"/>
        <v>74603516.231552243</v>
      </c>
      <c r="S1179">
        <f t="shared" si="1037"/>
        <v>746.03516231552248</v>
      </c>
      <c r="T1179">
        <f t="shared" si="1038"/>
        <v>0.74603516231552247</v>
      </c>
    </row>
    <row r="1180" spans="1:20" x14ac:dyDescent="0.25">
      <c r="A1180" s="5">
        <v>43413</v>
      </c>
      <c r="B1180">
        <v>0.49713000000000002</v>
      </c>
      <c r="C1180">
        <v>0.52270000000000005</v>
      </c>
      <c r="D1180">
        <v>0.496</v>
      </c>
      <c r="E1180">
        <v>0.50439999999999996</v>
      </c>
      <c r="F1180">
        <v>61996751.700000003</v>
      </c>
      <c r="G1180">
        <v>0</v>
      </c>
      <c r="L1180" t="s">
        <v>7</v>
      </c>
      <c r="M1180" t="s">
        <v>8</v>
      </c>
      <c r="N1180" t="s">
        <v>7</v>
      </c>
      <c r="P1180">
        <f t="shared" si="1034"/>
        <v>-0.37078651685393671</v>
      </c>
      <c r="Q1180">
        <f t="shared" si="1035"/>
        <v>-22987559.619101379</v>
      </c>
      <c r="R1180">
        <f t="shared" si="1036"/>
        <v>76983020.762675524</v>
      </c>
      <c r="S1180">
        <f t="shared" si="1037"/>
        <v>769.83020762675528</v>
      </c>
      <c r="T1180">
        <f t="shared" si="1038"/>
        <v>0.76983020762675525</v>
      </c>
    </row>
    <row r="1181" spans="1:20" x14ac:dyDescent="0.25">
      <c r="A1181" s="5">
        <v>43412</v>
      </c>
      <c r="B1181">
        <v>0.54090000000000005</v>
      </c>
      <c r="C1181">
        <v>0.54679999999999995</v>
      </c>
      <c r="D1181">
        <v>0.49199999999999999</v>
      </c>
      <c r="E1181">
        <v>0.49693999999999999</v>
      </c>
      <c r="F1181">
        <v>91511954.5</v>
      </c>
      <c r="G1181">
        <v>0</v>
      </c>
      <c r="L1181" t="s">
        <v>7</v>
      </c>
      <c r="M1181" t="s">
        <v>8</v>
      </c>
      <c r="N1181" t="s">
        <v>7</v>
      </c>
      <c r="P1181">
        <f t="shared" si="1034"/>
        <v>-0.81970802919708019</v>
      </c>
      <c r="Q1181">
        <f t="shared" si="1035"/>
        <v>-75013083.871167868</v>
      </c>
      <c r="R1181">
        <f t="shared" si="1036"/>
        <v>99970580.381776899</v>
      </c>
      <c r="S1181">
        <f t="shared" si="1037"/>
        <v>999.70580381776904</v>
      </c>
      <c r="T1181">
        <f t="shared" si="1038"/>
        <v>0.99970580381776908</v>
      </c>
    </row>
    <row r="1182" spans="1:20" x14ac:dyDescent="0.25">
      <c r="A1182" s="5">
        <v>43411</v>
      </c>
      <c r="B1182">
        <v>0.55459999999999998</v>
      </c>
      <c r="C1182">
        <v>0.55549999999999999</v>
      </c>
      <c r="D1182">
        <v>0.52751000000000003</v>
      </c>
      <c r="E1182">
        <v>0.54090000000000005</v>
      </c>
      <c r="F1182">
        <v>83021151</v>
      </c>
      <c r="G1182">
        <v>0</v>
      </c>
      <c r="L1182" t="s">
        <v>7</v>
      </c>
      <c r="M1182" t="s">
        <v>8</v>
      </c>
      <c r="N1182" t="s">
        <v>7</v>
      </c>
      <c r="P1182">
        <f t="shared" si="1034"/>
        <v>-4.3229724901748305E-2</v>
      </c>
      <c r="Q1182">
        <f t="shared" si="1035"/>
        <v>-3588981.518756506</v>
      </c>
      <c r="R1182">
        <f t="shared" si="1036"/>
        <v>174983664.25294477</v>
      </c>
      <c r="S1182">
        <f t="shared" si="1037"/>
        <v>1749.8366425294478</v>
      </c>
      <c r="T1182">
        <f t="shared" si="1038"/>
        <v>1.7498366425294478</v>
      </c>
    </row>
    <row r="1183" spans="1:20" x14ac:dyDescent="0.25">
      <c r="A1183" s="5">
        <v>43410</v>
      </c>
      <c r="B1183">
        <v>0.50219999999999998</v>
      </c>
      <c r="C1183">
        <v>0.56877999999999995</v>
      </c>
      <c r="D1183">
        <v>0.50053000000000003</v>
      </c>
      <c r="E1183">
        <v>0.55523</v>
      </c>
      <c r="F1183">
        <v>165152551.19999999</v>
      </c>
      <c r="G1183">
        <v>0</v>
      </c>
      <c r="L1183" t="s">
        <v>8</v>
      </c>
      <c r="M1183" t="s">
        <v>8</v>
      </c>
      <c r="N1183" t="s">
        <v>7</v>
      </c>
      <c r="P1183">
        <f t="shared" si="1034"/>
        <v>0.6029304029304039</v>
      </c>
      <c r="Q1183">
        <f t="shared" si="1035"/>
        <v>99575494.240000159</v>
      </c>
      <c r="R1183">
        <f t="shared" si="1036"/>
        <v>178572645.77170128</v>
      </c>
      <c r="S1183">
        <f t="shared" si="1037"/>
        <v>1785.7264577170129</v>
      </c>
      <c r="T1183">
        <f t="shared" si="1038"/>
        <v>1.7857264577170129</v>
      </c>
    </row>
    <row r="1184" spans="1:20" x14ac:dyDescent="0.25">
      <c r="A1184" s="5">
        <v>43409</v>
      </c>
      <c r="B1184">
        <v>0.46999000000000002</v>
      </c>
      <c r="C1184">
        <v>0.50644</v>
      </c>
      <c r="D1184">
        <v>0.46100000000000002</v>
      </c>
      <c r="E1184">
        <v>0.50219999999999998</v>
      </c>
      <c r="F1184">
        <v>76939385.099999994</v>
      </c>
      <c r="G1184">
        <v>0</v>
      </c>
      <c r="L1184" t="s">
        <v>8</v>
      </c>
      <c r="M1184" t="s">
        <v>8</v>
      </c>
      <c r="N1184" t="s">
        <v>7</v>
      </c>
      <c r="P1184">
        <f t="shared" si="1034"/>
        <v>0.81338028169013987</v>
      </c>
      <c r="Q1184">
        <f t="shared" si="1035"/>
        <v>62580978.725704148</v>
      </c>
      <c r="R1184">
        <f t="shared" si="1036"/>
        <v>78997151.531701118</v>
      </c>
      <c r="S1184">
        <f t="shared" si="1037"/>
        <v>789.97151531701115</v>
      </c>
      <c r="T1184">
        <f t="shared" si="1038"/>
        <v>0.78997151531701115</v>
      </c>
    </row>
    <row r="1185" spans="1:20" x14ac:dyDescent="0.25">
      <c r="A1185" s="5">
        <v>43408</v>
      </c>
      <c r="B1185">
        <v>0.45706000000000002</v>
      </c>
      <c r="C1185">
        <v>0.47959000000000002</v>
      </c>
      <c r="D1185">
        <v>0.44955000000000001</v>
      </c>
      <c r="E1185">
        <v>0.46999000000000002</v>
      </c>
      <c r="F1185">
        <v>50696119.700000003</v>
      </c>
      <c r="G1185">
        <v>0</v>
      </c>
      <c r="L1185" t="s">
        <v>8</v>
      </c>
      <c r="M1185" t="s">
        <v>7</v>
      </c>
      <c r="N1185" t="s">
        <v>7</v>
      </c>
      <c r="P1185">
        <f t="shared" si="1034"/>
        <v>0.36085219707057298</v>
      </c>
      <c r="Q1185">
        <f t="shared" si="1035"/>
        <v>18293806.176697757</v>
      </c>
      <c r="R1185">
        <f t="shared" si="1036"/>
        <v>16416172.805996964</v>
      </c>
      <c r="S1185">
        <f t="shared" si="1037"/>
        <v>164.16172805996965</v>
      </c>
      <c r="T1185">
        <f t="shared" si="1038"/>
        <v>0.16416172805996965</v>
      </c>
    </row>
    <row r="1186" spans="1:20" x14ac:dyDescent="0.25">
      <c r="A1186" s="5">
        <v>43407</v>
      </c>
      <c r="B1186">
        <v>0.46281</v>
      </c>
      <c r="C1186">
        <v>0.46449000000000001</v>
      </c>
      <c r="D1186">
        <v>0.45433000000000001</v>
      </c>
      <c r="E1186">
        <v>0.45712999999999998</v>
      </c>
      <c r="F1186">
        <v>28318009.199999999</v>
      </c>
      <c r="G1186">
        <v>0</v>
      </c>
      <c r="L1186" t="s">
        <v>8</v>
      </c>
      <c r="M1186" t="s">
        <v>7</v>
      </c>
      <c r="N1186" t="s">
        <v>7</v>
      </c>
      <c r="P1186">
        <f t="shared" si="1034"/>
        <v>-0.44881889763780147</v>
      </c>
      <c r="Q1186">
        <f t="shared" si="1035"/>
        <v>-12709657.672441119</v>
      </c>
      <c r="R1186">
        <f t="shared" si="1036"/>
        <v>-1877633.3707007933</v>
      </c>
      <c r="S1186">
        <f t="shared" si="1037"/>
        <v>-18.776333707007932</v>
      </c>
      <c r="T1186">
        <f t="shared" si="1038"/>
        <v>-1.8776333707007934E-2</v>
      </c>
    </row>
    <row r="1187" spans="1:20" x14ac:dyDescent="0.25">
      <c r="A1187" s="5">
        <v>43406</v>
      </c>
      <c r="B1187">
        <v>0.46137</v>
      </c>
      <c r="C1187">
        <v>0.46899000000000002</v>
      </c>
      <c r="D1187">
        <v>0.45900999999999997</v>
      </c>
      <c r="E1187">
        <v>0.46300000000000002</v>
      </c>
      <c r="F1187">
        <v>35704076.700000003</v>
      </c>
      <c r="G1187">
        <v>0</v>
      </c>
      <c r="L1187" t="s">
        <v>8</v>
      </c>
      <c r="M1187" t="s">
        <v>7</v>
      </c>
      <c r="N1187" t="s">
        <v>7</v>
      </c>
      <c r="P1187">
        <f t="shared" si="1034"/>
        <v>-0.20040080160320015</v>
      </c>
      <c r="Q1187">
        <f t="shared" si="1035"/>
        <v>-7155125.5911821416</v>
      </c>
      <c r="R1187">
        <f t="shared" si="1036"/>
        <v>10832024.301740326</v>
      </c>
      <c r="S1187">
        <f t="shared" si="1037"/>
        <v>108.32024301740326</v>
      </c>
      <c r="T1187">
        <f t="shared" si="1038"/>
        <v>0.10832024301740326</v>
      </c>
    </row>
    <row r="1188" spans="1:20" x14ac:dyDescent="0.25">
      <c r="A1188" s="5">
        <v>43405</v>
      </c>
      <c r="B1188">
        <v>0.45417999999999997</v>
      </c>
      <c r="C1188">
        <v>0.46200000000000002</v>
      </c>
      <c r="D1188">
        <v>0.44850000000000001</v>
      </c>
      <c r="E1188">
        <v>0.46140999999999999</v>
      </c>
      <c r="F1188">
        <v>28279669.600000001</v>
      </c>
      <c r="G1188">
        <v>0</v>
      </c>
      <c r="L1188" t="s">
        <v>8</v>
      </c>
      <c r="M1188" t="s">
        <v>7</v>
      </c>
      <c r="N1188" t="s">
        <v>7</v>
      </c>
      <c r="P1188">
        <f t="shared" si="1034"/>
        <v>0.91259259259258751</v>
      </c>
      <c r="Q1188">
        <f t="shared" si="1035"/>
        <v>25807816.997925784</v>
      </c>
      <c r="R1188">
        <f t="shared" si="1036"/>
        <v>17987149.892922468</v>
      </c>
      <c r="S1188">
        <f t="shared" si="1037"/>
        <v>179.87149892922469</v>
      </c>
      <c r="T1188">
        <f t="shared" si="1038"/>
        <v>0.17987149892922469</v>
      </c>
    </row>
    <row r="1189" spans="1:20" x14ac:dyDescent="0.25">
      <c r="A1189" s="5">
        <v>43404</v>
      </c>
      <c r="B1189">
        <v>0.44734000000000002</v>
      </c>
      <c r="C1189">
        <v>0.46096999999999999</v>
      </c>
      <c r="D1189">
        <v>0.4375</v>
      </c>
      <c r="E1189">
        <v>0.45417999999999997</v>
      </c>
      <c r="F1189">
        <v>34928585.5</v>
      </c>
      <c r="G1189">
        <v>0</v>
      </c>
      <c r="L1189" t="s">
        <v>7</v>
      </c>
      <c r="M1189" t="s">
        <v>7</v>
      </c>
      <c r="N1189" t="s">
        <v>7</v>
      </c>
      <c r="P1189">
        <f t="shared" si="1034"/>
        <v>0.42138900724328754</v>
      </c>
      <c r="Q1189">
        <f t="shared" si="1035"/>
        <v>14718521.968257288</v>
      </c>
      <c r="R1189">
        <f t="shared" si="1036"/>
        <v>-7820667.1050033141</v>
      </c>
      <c r="S1189">
        <f t="shared" si="1037"/>
        <v>-78.206671050033137</v>
      </c>
      <c r="T1189">
        <f t="shared" si="1038"/>
        <v>-7.8206671050033136E-2</v>
      </c>
    </row>
    <row r="1190" spans="1:20" x14ac:dyDescent="0.25">
      <c r="A1190" s="5">
        <v>43403</v>
      </c>
      <c r="B1190">
        <v>0.44553999999999999</v>
      </c>
      <c r="C1190">
        <v>0.45500000000000002</v>
      </c>
      <c r="D1190">
        <v>0.44400000000000001</v>
      </c>
      <c r="E1190">
        <v>0.44749</v>
      </c>
      <c r="F1190">
        <v>28201734.600000001</v>
      </c>
      <c r="G1190">
        <v>0</v>
      </c>
      <c r="L1190" t="s">
        <v>7</v>
      </c>
      <c r="M1190" t="s">
        <v>7</v>
      </c>
      <c r="N1190" t="s">
        <v>7</v>
      </c>
      <c r="P1190">
        <f t="shared" si="1034"/>
        <v>-0.36545454545454725</v>
      </c>
      <c r="Q1190">
        <f t="shared" si="1035"/>
        <v>-10306452.099272778</v>
      </c>
      <c r="R1190">
        <f t="shared" si="1036"/>
        <v>-22539189.073260602</v>
      </c>
      <c r="S1190">
        <f t="shared" si="1037"/>
        <v>-225.39189073260602</v>
      </c>
      <c r="T1190">
        <f t="shared" si="1038"/>
        <v>-0.22539189073260602</v>
      </c>
    </row>
    <row r="1191" spans="1:20" x14ac:dyDescent="0.25">
      <c r="A1191" s="5">
        <v>43402</v>
      </c>
      <c r="B1191">
        <v>0.46483000000000002</v>
      </c>
      <c r="C1191">
        <v>0.46516000000000002</v>
      </c>
      <c r="D1191">
        <v>0.43430000000000002</v>
      </c>
      <c r="E1191">
        <v>0.44506000000000001</v>
      </c>
      <c r="F1191">
        <v>48934076.299999997</v>
      </c>
      <c r="G1191">
        <v>0</v>
      </c>
      <c r="L1191" t="s">
        <v>7</v>
      </c>
      <c r="M1191" t="s">
        <v>7</v>
      </c>
      <c r="N1191" t="s">
        <v>7</v>
      </c>
      <c r="P1191">
        <f t="shared" si="1034"/>
        <v>-0.30265716137394738</v>
      </c>
      <c r="Q1191">
        <f t="shared" si="1035"/>
        <v>-14810248.627414154</v>
      </c>
      <c r="R1191">
        <f t="shared" si="1036"/>
        <v>-12232736.973987823</v>
      </c>
      <c r="S1191">
        <f t="shared" si="1037"/>
        <v>-122.32736973987824</v>
      </c>
      <c r="T1191">
        <f t="shared" si="1038"/>
        <v>-0.12232736973987823</v>
      </c>
    </row>
    <row r="1192" spans="1:20" x14ac:dyDescent="0.25">
      <c r="A1192" s="5">
        <v>43401</v>
      </c>
      <c r="B1192">
        <v>0.46010000000000001</v>
      </c>
      <c r="C1192">
        <v>0.46694999999999998</v>
      </c>
      <c r="D1192">
        <v>0.45800000000000002</v>
      </c>
      <c r="E1192">
        <v>0.46472000000000002</v>
      </c>
      <c r="F1192">
        <v>36212879.299999997</v>
      </c>
      <c r="G1192">
        <v>0</v>
      </c>
      <c r="L1192" t="s">
        <v>7</v>
      </c>
      <c r="M1192" t="s">
        <v>7</v>
      </c>
      <c r="N1192" t="s">
        <v>7</v>
      </c>
      <c r="P1192">
        <f t="shared" si="1034"/>
        <v>0.50167597765363914</v>
      </c>
      <c r="Q1192">
        <f t="shared" si="1035"/>
        <v>18167131.626480728</v>
      </c>
      <c r="R1192">
        <f t="shared" si="1036"/>
        <v>2577511.6534263305</v>
      </c>
      <c r="S1192">
        <f t="shared" si="1037"/>
        <v>25.775116534263304</v>
      </c>
      <c r="T1192">
        <f t="shared" si="1038"/>
        <v>2.5775116534263304E-2</v>
      </c>
    </row>
    <row r="1193" spans="1:20" x14ac:dyDescent="0.25">
      <c r="A1193" s="5">
        <v>43400</v>
      </c>
      <c r="B1193">
        <v>0.46656999999999998</v>
      </c>
      <c r="C1193">
        <v>0.46810000000000002</v>
      </c>
      <c r="D1193">
        <v>0.45760000000000001</v>
      </c>
      <c r="E1193">
        <v>0.46011999999999997</v>
      </c>
      <c r="F1193">
        <v>35912703</v>
      </c>
      <c r="G1193">
        <v>0</v>
      </c>
      <c r="L1193" t="s">
        <v>7</v>
      </c>
      <c r="M1193" t="s">
        <v>7</v>
      </c>
      <c r="N1193" t="s">
        <v>7</v>
      </c>
      <c r="P1193">
        <f t="shared" si="1034"/>
        <v>-0.52000000000000679</v>
      </c>
      <c r="Q1193">
        <f t="shared" si="1035"/>
        <v>-18674605.560000245</v>
      </c>
      <c r="R1193">
        <f t="shared" si="1036"/>
        <v>-15589619.973054398</v>
      </c>
      <c r="S1193">
        <f t="shared" si="1037"/>
        <v>-155.89619973054397</v>
      </c>
      <c r="T1193">
        <f t="shared" si="1038"/>
        <v>-0.15589619973054397</v>
      </c>
    </row>
    <row r="1194" spans="1:20" x14ac:dyDescent="0.25">
      <c r="A1194" s="5">
        <v>43399</v>
      </c>
      <c r="B1194">
        <v>0.46350999999999998</v>
      </c>
      <c r="C1194">
        <v>0.47099999999999997</v>
      </c>
      <c r="D1194">
        <v>0.45923000000000003</v>
      </c>
      <c r="E1194">
        <v>0.46656999999999998</v>
      </c>
      <c r="F1194">
        <v>38006244.600000001</v>
      </c>
      <c r="G1194">
        <v>0</v>
      </c>
      <c r="L1194" t="s">
        <v>7</v>
      </c>
      <c r="M1194" t="s">
        <v>7</v>
      </c>
      <c r="N1194" t="s">
        <v>7</v>
      </c>
      <c r="P1194">
        <f t="shared" si="1034"/>
        <v>0.24723874256584377</v>
      </c>
      <c r="Q1194">
        <f t="shared" si="1035"/>
        <v>9396616.1245538909</v>
      </c>
      <c r="R1194">
        <f t="shared" si="1036"/>
        <v>3084985.5869458467</v>
      </c>
      <c r="S1194">
        <f t="shared" si="1037"/>
        <v>30.849855869458466</v>
      </c>
      <c r="T1194">
        <f t="shared" si="1038"/>
        <v>3.0849855869458466E-2</v>
      </c>
    </row>
    <row r="1195" spans="1:20" x14ac:dyDescent="0.25">
      <c r="A1195" s="5">
        <v>43398</v>
      </c>
      <c r="B1195">
        <v>0.46400999999999998</v>
      </c>
      <c r="C1195">
        <v>0.47310000000000002</v>
      </c>
      <c r="D1195">
        <v>0.45688000000000001</v>
      </c>
      <c r="E1195">
        <v>0.46350999999999998</v>
      </c>
      <c r="F1195">
        <v>34586029.5</v>
      </c>
      <c r="G1195">
        <v>0</v>
      </c>
      <c r="P1195">
        <f t="shared" si="1034"/>
        <v>-0.18249075215783425</v>
      </c>
      <c r="Q1195">
        <f t="shared" si="1035"/>
        <v>-6311630.5376080442</v>
      </c>
      <c r="R1195">
        <f t="shared" si="1036"/>
        <v>-6311630.5376080442</v>
      </c>
      <c r="S1195">
        <f t="shared" si="1037"/>
        <v>-63.11630537608044</v>
      </c>
      <c r="T1195">
        <f t="shared" si="1038"/>
        <v>-6.3116305376080442E-2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Z612" sqref="OZ61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$A$611</v>
      </c>
      <c r="D111" s="1" t="str">
        <f>ADDRESS(C121-1,D121,1,1)</f>
        <v>$OZ$611</v>
      </c>
      <c r="E111"/>
    </row>
    <row r="112" spans="1:5" x14ac:dyDescent="0.25">
      <c r="A112" s="7">
        <v>12164.144957890772</v>
      </c>
      <c r="C112" s="1" t="str">
        <f>ADDRESS(C121,1,1,1)</f>
        <v>$A$612</v>
      </c>
      <c r="D112" s="1" t="str">
        <f>ADDRESS(C121,D121-1,1,1)</f>
        <v>$OY$612</v>
      </c>
      <c r="E112"/>
    </row>
    <row r="113" spans="1:5" x14ac:dyDescent="0.25">
      <c r="A113" s="7">
        <v>11925.63231165762</v>
      </c>
      <c r="C113" s="1" t="str">
        <f>ADDRESS(C121+1,1,1,1)</f>
        <v>$A$613</v>
      </c>
      <c r="D113" s="1" t="str">
        <f>ADDRESS(C121-1,D121+1,1,1)</f>
        <v>$PA$611</v>
      </c>
    </row>
    <row r="114" spans="1:5" x14ac:dyDescent="0.25">
      <c r="A114" s="7">
        <v>11691.796383978059</v>
      </c>
      <c r="C114" s="1" t="str">
        <f>ADDRESS(C121,D121,1,1)</f>
        <v>$OZ$612</v>
      </c>
      <c r="D114" s="1" t="str">
        <f>ADDRESS(C121+1,D121+1,1,1)</f>
        <v>$PA$613</v>
      </c>
    </row>
    <row r="115" spans="1:5" x14ac:dyDescent="0.25">
      <c r="A115" s="7">
        <v>11462.545474488292</v>
      </c>
      <c r="C115" s="1" t="str">
        <f>ADDRESS(C121+1,D121,1,1)</f>
        <v>$OZ$613</v>
      </c>
    </row>
    <row r="116" spans="1:5" x14ac:dyDescent="0.25">
      <c r="A116" s="7">
        <v>11237.789680870874</v>
      </c>
      <c r="C116" s="1">
        <f>C117-1</f>
        <v>611</v>
      </c>
    </row>
    <row r="117" spans="1:5" x14ac:dyDescent="0.25">
      <c r="A117" s="7">
        <v>11017.440863598895</v>
      </c>
      <c r="C117" s="1">
        <f>C121</f>
        <v>612</v>
      </c>
      <c r="D117" s="1">
        <f>D121</f>
        <v>416</v>
      </c>
    </row>
    <row r="118" spans="1:5" x14ac:dyDescent="0.25">
      <c r="A118" s="7">
        <v>10801.412611371465</v>
      </c>
      <c r="C118" s="1">
        <f>C117+1</f>
        <v>613</v>
      </c>
      <c r="D118" s="1">
        <f>D117+1</f>
        <v>417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612</v>
      </c>
      <c r="D121" s="19">
        <v>416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R612</v>
      </c>
      <c r="D123" s="1" t="str">
        <f>"C"&amp;D121</f>
        <v>C416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0.60953087052827937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312" x14ac:dyDescent="0.25">
      <c r="A545" s="7">
        <v>2.2972444660248938</v>
      </c>
      <c r="B545"/>
      <c r="C545"/>
      <c r="D545"/>
      <c r="E545"/>
    </row>
    <row r="546" spans="1:312" x14ac:dyDescent="0.25">
      <c r="A546" s="7">
        <v>2.252200456887151</v>
      </c>
      <c r="B546"/>
      <c r="C546"/>
      <c r="D546"/>
      <c r="E546"/>
    </row>
    <row r="547" spans="1:312" x14ac:dyDescent="0.25">
      <c r="A547" s="7">
        <v>2.208039663614854</v>
      </c>
      <c r="B547"/>
      <c r="C547"/>
      <c r="D547"/>
      <c r="E547"/>
    </row>
    <row r="548" spans="1:312" x14ac:dyDescent="0.25">
      <c r="A548" s="7">
        <v>2.1647447682498568</v>
      </c>
      <c r="B548"/>
      <c r="C548"/>
      <c r="D548"/>
      <c r="E548"/>
    </row>
    <row r="549" spans="1:312" x14ac:dyDescent="0.25">
      <c r="A549" s="7">
        <v>2.1222987924018204</v>
      </c>
      <c r="B549"/>
      <c r="C549"/>
      <c r="D549"/>
      <c r="E549"/>
    </row>
    <row r="550" spans="1:312" x14ac:dyDescent="0.25">
      <c r="A550" s="7">
        <v>2.0806850905900198</v>
      </c>
      <c r="B550"/>
      <c r="C550"/>
      <c r="D550"/>
      <c r="E550"/>
    </row>
    <row r="551" spans="1:312" x14ac:dyDescent="0.25">
      <c r="A551" s="7">
        <v>2.0398873437157055</v>
      </c>
      <c r="B551"/>
      <c r="C551"/>
      <c r="D551"/>
      <c r="E551"/>
    </row>
    <row r="552" spans="1:312" x14ac:dyDescent="0.25">
      <c r="A552" s="7">
        <v>1.9998895526624565</v>
      </c>
      <c r="B552"/>
      <c r="C552"/>
      <c r="D552"/>
      <c r="E552"/>
    </row>
    <row r="553" spans="1:312" x14ac:dyDescent="0.25">
      <c r="A553" s="7">
        <v>1.9606760320220162</v>
      </c>
      <c r="B553"/>
      <c r="C553"/>
      <c r="D553"/>
      <c r="E553"/>
      <c r="KK553" s="27" t="s">
        <v>8</v>
      </c>
    </row>
    <row r="554" spans="1:312" x14ac:dyDescent="0.25">
      <c r="A554" s="7">
        <v>1.9222314039431532</v>
      </c>
      <c r="B554"/>
      <c r="C554"/>
      <c r="D554"/>
      <c r="E554"/>
      <c r="KK554" s="27" t="s">
        <v>8</v>
      </c>
      <c r="KL554" s="27" t="s">
        <v>7</v>
      </c>
    </row>
    <row r="555" spans="1:312" x14ac:dyDescent="0.25">
      <c r="A555" s="7">
        <v>1.8845405921011305</v>
      </c>
      <c r="B555"/>
      <c r="C555"/>
      <c r="D555"/>
      <c r="E555"/>
      <c r="KK555" s="27" t="s">
        <v>8</v>
      </c>
      <c r="KL555" s="27" t="s">
        <v>7</v>
      </c>
    </row>
    <row r="556" spans="1:312" x14ac:dyDescent="0.25">
      <c r="A556" s="7">
        <v>1.8475888157854219</v>
      </c>
      <c r="B556"/>
      <c r="C556"/>
      <c r="D556"/>
      <c r="E556"/>
      <c r="KK556" s="27" t="s">
        <v>8</v>
      </c>
      <c r="KL556" s="27" t="s">
        <v>7</v>
      </c>
    </row>
    <row r="557" spans="1:312" x14ac:dyDescent="0.25">
      <c r="A557" s="7">
        <v>1.8113615841033548</v>
      </c>
      <c r="B557"/>
      <c r="C557"/>
      <c r="D557"/>
      <c r="E557"/>
      <c r="KK557" s="27" t="s">
        <v>8</v>
      </c>
      <c r="KL557" s="27" t="s">
        <v>7</v>
      </c>
    </row>
    <row r="558" spans="1:312" x14ac:dyDescent="0.25">
      <c r="A558" s="7">
        <v>1.7758446902974065</v>
      </c>
      <c r="B558"/>
      <c r="C558"/>
      <c r="D558"/>
      <c r="E558"/>
      <c r="KK558" s="27" t="s">
        <v>8</v>
      </c>
      <c r="KL558" s="27" t="s">
        <v>7</v>
      </c>
    </row>
    <row r="559" spans="1:312" x14ac:dyDescent="0.25">
      <c r="A559" s="7">
        <v>1.7410242061739281</v>
      </c>
      <c r="B559"/>
      <c r="C559"/>
      <c r="D559"/>
      <c r="E559"/>
      <c r="KK559" s="27" t="s">
        <v>8</v>
      </c>
      <c r="KL559" s="27" t="s">
        <v>7</v>
      </c>
      <c r="KM559" s="27" t="s">
        <v>8</v>
      </c>
      <c r="KY559" s="27" t="s">
        <v>8</v>
      </c>
    </row>
    <row r="560" spans="1:312" x14ac:dyDescent="0.25">
      <c r="A560" s="7">
        <v>1.7068864766411058</v>
      </c>
      <c r="B560"/>
      <c r="C560"/>
      <c r="D560"/>
      <c r="E560"/>
      <c r="KK560" s="27" t="s">
        <v>8</v>
      </c>
      <c r="KL560" s="27" t="s">
        <v>7</v>
      </c>
      <c r="KM560" s="27" t="s">
        <v>8</v>
      </c>
      <c r="KN560" s="27" t="s">
        <v>7</v>
      </c>
      <c r="KY560" s="27" t="s">
        <v>8</v>
      </c>
      <c r="KZ560" s="27" t="s">
        <v>7</v>
      </c>
    </row>
    <row r="561" spans="1:392" x14ac:dyDescent="0.25">
      <c r="A561" s="7">
        <v>1.6734181143540252</v>
      </c>
      <c r="B561"/>
      <c r="C561"/>
      <c r="D561"/>
      <c r="E561"/>
      <c r="KK561" s="27" t="s">
        <v>8</v>
      </c>
      <c r="KL561" s="27" t="s">
        <v>7</v>
      </c>
      <c r="KM561" s="27" t="s">
        <v>8</v>
      </c>
      <c r="KN561" s="27" t="s">
        <v>7</v>
      </c>
      <c r="KY561" s="27" t="s">
        <v>8</v>
      </c>
      <c r="KZ561" s="27" t="s">
        <v>7</v>
      </c>
      <c r="LG561" s="27" t="s">
        <v>8</v>
      </c>
    </row>
    <row r="562" spans="1:392" x14ac:dyDescent="0.25">
      <c r="A562" s="7">
        <v>1.6406059944647307</v>
      </c>
      <c r="B562"/>
      <c r="C562"/>
      <c r="D562"/>
      <c r="E562"/>
      <c r="KK562" s="27" t="s">
        <v>8</v>
      </c>
      <c r="KL562" s="27" t="s">
        <v>7</v>
      </c>
      <c r="KM562" s="27" t="s">
        <v>8</v>
      </c>
      <c r="KN562" s="27" t="s">
        <v>7</v>
      </c>
      <c r="KW562" s="27" t="s">
        <v>8</v>
      </c>
      <c r="KY562" s="27" t="s">
        <v>8</v>
      </c>
      <c r="KZ562" s="27" t="s">
        <v>7</v>
      </c>
      <c r="LG562" s="27" t="s">
        <v>8</v>
      </c>
      <c r="LH562" s="27" t="s">
        <v>7</v>
      </c>
    </row>
    <row r="563" spans="1:392" x14ac:dyDescent="0.25">
      <c r="A563" s="7">
        <v>1.6084372494752261</v>
      </c>
      <c r="B563"/>
      <c r="C563"/>
      <c r="D563"/>
      <c r="E563"/>
      <c r="KK563" s="27" t="s">
        <v>8</v>
      </c>
      <c r="KL563" s="27" t="s">
        <v>7</v>
      </c>
      <c r="KM563" s="27" t="s">
        <v>8</v>
      </c>
      <c r="KN563" s="27" t="s">
        <v>7</v>
      </c>
      <c r="KW563" s="27" t="s">
        <v>8</v>
      </c>
      <c r="KX563" s="27" t="s">
        <v>7</v>
      </c>
      <c r="KY563" s="27" t="s">
        <v>8</v>
      </c>
      <c r="KZ563" s="27" t="s">
        <v>7</v>
      </c>
      <c r="LA563" s="27" t="s">
        <v>8</v>
      </c>
      <c r="LE563" s="27" t="s">
        <v>8</v>
      </c>
      <c r="LG563" s="27" t="s">
        <v>8</v>
      </c>
      <c r="LH563" s="27" t="s">
        <v>7</v>
      </c>
    </row>
    <row r="564" spans="1:392" x14ac:dyDescent="0.25">
      <c r="A564" s="7">
        <v>1.5768992641913981</v>
      </c>
      <c r="B564"/>
      <c r="C564"/>
      <c r="D564"/>
      <c r="E564"/>
      <c r="KK564" s="27" t="s">
        <v>8</v>
      </c>
      <c r="KL564" s="27" t="s">
        <v>7</v>
      </c>
      <c r="KM564" s="27" t="s">
        <v>8</v>
      </c>
      <c r="KN564" s="27" t="s">
        <v>7</v>
      </c>
      <c r="KW564" s="27" t="s">
        <v>8</v>
      </c>
      <c r="KX564" s="27" t="s">
        <v>7</v>
      </c>
      <c r="KY564" s="27" t="s">
        <v>8</v>
      </c>
      <c r="KZ564" s="27" t="s">
        <v>7</v>
      </c>
      <c r="LA564" s="27" t="s">
        <v>8</v>
      </c>
      <c r="LB564" s="27" t="s">
        <v>7</v>
      </c>
      <c r="LE564" s="27" t="s">
        <v>8</v>
      </c>
      <c r="LF564" s="27" t="s">
        <v>7</v>
      </c>
      <c r="LG564" s="27" t="s">
        <v>8</v>
      </c>
      <c r="LH564" s="27" t="s">
        <v>7</v>
      </c>
    </row>
    <row r="565" spans="1:392" x14ac:dyDescent="0.25">
      <c r="A565" s="7">
        <v>1.5459796707758806</v>
      </c>
      <c r="B565"/>
      <c r="C565"/>
      <c r="D565"/>
      <c r="E565"/>
      <c r="KK565" s="27" t="s">
        <v>8</v>
      </c>
      <c r="KL565" s="27" t="s">
        <v>7</v>
      </c>
      <c r="KM565" s="27" t="s">
        <v>8</v>
      </c>
      <c r="KN565" s="27" t="s">
        <v>7</v>
      </c>
      <c r="KW565" s="27" t="s">
        <v>8</v>
      </c>
      <c r="KX565" s="27" t="s">
        <v>7</v>
      </c>
      <c r="KY565" s="27" t="s">
        <v>8</v>
      </c>
      <c r="KZ565" s="27" t="s">
        <v>7</v>
      </c>
      <c r="LA565" s="27" t="s">
        <v>8</v>
      </c>
      <c r="LB565" s="27" t="s">
        <v>7</v>
      </c>
      <c r="LC565" s="27" t="s">
        <v>8</v>
      </c>
      <c r="LE565" s="27" t="s">
        <v>8</v>
      </c>
      <c r="LF565" s="27" t="s">
        <v>7</v>
      </c>
      <c r="LG565" s="27" t="s">
        <v>8</v>
      </c>
      <c r="LH565" s="27" t="s">
        <v>7</v>
      </c>
    </row>
    <row r="566" spans="1:392" x14ac:dyDescent="0.25">
      <c r="A566" s="7">
        <v>1.5156663438979221</v>
      </c>
      <c r="B566"/>
      <c r="C566"/>
      <c r="D566"/>
      <c r="E566"/>
      <c r="KK566" s="27" t="s">
        <v>8</v>
      </c>
      <c r="KL566" s="27" t="s">
        <v>7</v>
      </c>
      <c r="KM566" s="27" t="s">
        <v>8</v>
      </c>
      <c r="KN566" s="27" t="s">
        <v>7</v>
      </c>
      <c r="KO566" s="27" t="s">
        <v>8</v>
      </c>
      <c r="KW566" s="27" t="s">
        <v>8</v>
      </c>
      <c r="KX566" s="27" t="s">
        <v>7</v>
      </c>
      <c r="KY566" s="27" t="s">
        <v>8</v>
      </c>
      <c r="KZ566" s="27" t="s">
        <v>7</v>
      </c>
      <c r="LB566" s="27" t="s">
        <v>7</v>
      </c>
      <c r="LC566" s="27" t="s">
        <v>8</v>
      </c>
      <c r="LD566" s="27" t="s">
        <v>7</v>
      </c>
      <c r="LE566" s="27" t="s">
        <v>8</v>
      </c>
      <c r="LF566" s="27" t="s">
        <v>7</v>
      </c>
      <c r="LG566" s="27" t="s">
        <v>8</v>
      </c>
      <c r="LH566" s="27" t="s">
        <v>7</v>
      </c>
    </row>
    <row r="567" spans="1:392" x14ac:dyDescent="0.25">
      <c r="A567" s="7">
        <v>1.4859473959783549</v>
      </c>
      <c r="B567"/>
      <c r="C567"/>
      <c r="D567"/>
      <c r="E567"/>
      <c r="KI567" s="27" t="s">
        <v>8</v>
      </c>
      <c r="KK567" s="27" t="s">
        <v>8</v>
      </c>
      <c r="KL567" s="27" t="s">
        <v>7</v>
      </c>
      <c r="KM567" s="27" t="s">
        <v>8</v>
      </c>
      <c r="KN567" s="27" t="s">
        <v>7</v>
      </c>
      <c r="KO567" s="27" t="s">
        <v>8</v>
      </c>
      <c r="KP567" s="27" t="s">
        <v>7</v>
      </c>
      <c r="KW567" s="27" t="s">
        <v>8</v>
      </c>
      <c r="KX567" s="27" t="s">
        <v>7</v>
      </c>
      <c r="KY567" s="27" t="s">
        <v>8</v>
      </c>
      <c r="LB567" s="27" t="s">
        <v>7</v>
      </c>
      <c r="LC567" s="27" t="s">
        <v>8</v>
      </c>
      <c r="LD567" s="27" t="s">
        <v>7</v>
      </c>
      <c r="LE567" s="27" t="s">
        <v>8</v>
      </c>
      <c r="LF567" s="27" t="s">
        <v>7</v>
      </c>
      <c r="LG567" s="27" t="s">
        <v>8</v>
      </c>
      <c r="LH567" s="27" t="s">
        <v>7</v>
      </c>
    </row>
    <row r="568" spans="1:392" x14ac:dyDescent="0.25">
      <c r="A568" s="7">
        <v>1.4568111725277988</v>
      </c>
      <c r="B568"/>
      <c r="C568"/>
      <c r="D568"/>
      <c r="E568"/>
      <c r="KI568" s="27" t="s">
        <v>8</v>
      </c>
      <c r="KJ568" s="27" t="s">
        <v>7</v>
      </c>
      <c r="KK568" s="27" t="s">
        <v>8</v>
      </c>
      <c r="KL568" s="27" t="s">
        <v>7</v>
      </c>
      <c r="KM568" s="27" t="s">
        <v>8</v>
      </c>
      <c r="KN568" s="27" t="s">
        <v>7</v>
      </c>
      <c r="KO568" s="27" t="s">
        <v>8</v>
      </c>
      <c r="KP568" s="27" t="s">
        <v>7</v>
      </c>
      <c r="KQ568" s="27" t="s">
        <v>8</v>
      </c>
      <c r="KU568" s="27" t="s">
        <v>8</v>
      </c>
      <c r="KW568" s="27" t="s">
        <v>8</v>
      </c>
      <c r="KX568" s="27" t="s">
        <v>7</v>
      </c>
      <c r="KY568" s="27" t="s">
        <v>8</v>
      </c>
      <c r="LB568" s="27" t="s">
        <v>7</v>
      </c>
      <c r="LC568" s="27" t="s">
        <v>8</v>
      </c>
      <c r="LD568" s="27" t="s">
        <v>7</v>
      </c>
      <c r="LE568" s="27" t="s">
        <v>8</v>
      </c>
      <c r="LF568" s="27" t="s">
        <v>7</v>
      </c>
      <c r="LG568" s="27" t="s">
        <v>8</v>
      </c>
      <c r="LH568" s="27" t="s">
        <v>7</v>
      </c>
    </row>
    <row r="569" spans="1:392" x14ac:dyDescent="0.25">
      <c r="A569" s="7">
        <v>1.4282462475762734</v>
      </c>
      <c r="B569"/>
      <c r="C569"/>
      <c r="D569"/>
      <c r="E569"/>
      <c r="KI569" s="27" t="s">
        <v>8</v>
      </c>
      <c r="KJ569" s="27" t="s">
        <v>7</v>
      </c>
      <c r="KK569" s="27" t="s">
        <v>8</v>
      </c>
      <c r="KL569" s="27" t="s">
        <v>7</v>
      </c>
      <c r="KN569" s="27" t="s">
        <v>7</v>
      </c>
      <c r="KO569" s="27" t="s">
        <v>8</v>
      </c>
      <c r="KP569" s="27" t="s">
        <v>7</v>
      </c>
      <c r="KQ569" s="27" t="s">
        <v>8</v>
      </c>
      <c r="KR569" s="27" t="s">
        <v>7</v>
      </c>
      <c r="KU569" s="27" t="s">
        <v>8</v>
      </c>
      <c r="KV569" s="27" t="s">
        <v>7</v>
      </c>
      <c r="KW569" s="27" t="s">
        <v>8</v>
      </c>
      <c r="KX569" s="27" t="s">
        <v>7</v>
      </c>
      <c r="KY569" s="27" t="s">
        <v>8</v>
      </c>
      <c r="LB569" s="27" t="s">
        <v>7</v>
      </c>
      <c r="LC569" s="27" t="s">
        <v>8</v>
      </c>
      <c r="LD569" s="27" t="s">
        <v>7</v>
      </c>
      <c r="LE569" s="27" t="s">
        <v>8</v>
      </c>
      <c r="LF569" s="27" t="s">
        <v>7</v>
      </c>
      <c r="LG569" s="27" t="s">
        <v>8</v>
      </c>
      <c r="LH569" s="27" t="s">
        <v>7</v>
      </c>
    </row>
    <row r="570" spans="1:392" x14ac:dyDescent="0.25">
      <c r="A570" s="7">
        <v>1.4002414191924248</v>
      </c>
      <c r="B570"/>
      <c r="C570"/>
      <c r="D570"/>
      <c r="E570"/>
      <c r="KI570" s="27" t="s">
        <v>8</v>
      </c>
      <c r="KJ570" s="27" t="s">
        <v>7</v>
      </c>
      <c r="KK570" s="27" t="s">
        <v>8</v>
      </c>
      <c r="KN570" s="27" t="s">
        <v>7</v>
      </c>
      <c r="KO570" s="27" t="s">
        <v>8</v>
      </c>
      <c r="KP570" s="27" t="s">
        <v>7</v>
      </c>
      <c r="KQ570" s="27" t="s">
        <v>8</v>
      </c>
      <c r="KR570" s="27" t="s">
        <v>7</v>
      </c>
      <c r="KU570" s="27" t="s">
        <v>8</v>
      </c>
      <c r="KV570" s="27" t="s">
        <v>7</v>
      </c>
      <c r="KW570" s="27" t="s">
        <v>8</v>
      </c>
      <c r="KX570" s="27" t="s">
        <v>7</v>
      </c>
      <c r="KY570" s="27" t="s">
        <v>8</v>
      </c>
      <c r="LB570" s="27" t="s">
        <v>7</v>
      </c>
      <c r="LC570" s="27" t="s">
        <v>8</v>
      </c>
      <c r="LD570" s="27" t="s">
        <v>7</v>
      </c>
      <c r="LE570" s="27" t="s">
        <v>8</v>
      </c>
      <c r="LF570" s="27" t="s">
        <v>7</v>
      </c>
      <c r="LG570" s="27" t="s">
        <v>8</v>
      </c>
      <c r="LH570" s="27" t="s">
        <v>7</v>
      </c>
      <c r="NA570" s="27" t="s">
        <v>8</v>
      </c>
    </row>
    <row r="571" spans="1:392" x14ac:dyDescent="0.25">
      <c r="A571" s="7">
        <v>1.3727857050906125</v>
      </c>
      <c r="B571"/>
      <c r="C571"/>
      <c r="D571"/>
      <c r="E571"/>
      <c r="KI571" s="27" t="s">
        <v>8</v>
      </c>
      <c r="KJ571" s="27" t="s">
        <v>7</v>
      </c>
      <c r="KK571" s="27" t="s">
        <v>8</v>
      </c>
      <c r="KN571" s="27" t="s">
        <v>7</v>
      </c>
      <c r="KO571" s="27" t="s">
        <v>8</v>
      </c>
      <c r="KP571" s="27" t="s">
        <v>7</v>
      </c>
      <c r="KQ571" s="27" t="s">
        <v>8</v>
      </c>
      <c r="KR571" s="27" t="s">
        <v>7</v>
      </c>
      <c r="KU571" s="27" t="s">
        <v>8</v>
      </c>
      <c r="KV571" s="27" t="s">
        <v>7</v>
      </c>
      <c r="KW571" s="27" t="s">
        <v>8</v>
      </c>
      <c r="KX571" s="27" t="s">
        <v>7</v>
      </c>
      <c r="KY571" s="27" t="s">
        <v>8</v>
      </c>
      <c r="LB571" s="27" t="s">
        <v>7</v>
      </c>
      <c r="LC571" s="27" t="s">
        <v>8</v>
      </c>
      <c r="LD571" s="27" t="s">
        <v>7</v>
      </c>
      <c r="LE571" s="27" t="s">
        <v>8</v>
      </c>
      <c r="LF571" s="27" t="s">
        <v>7</v>
      </c>
      <c r="LG571" s="27" t="s">
        <v>8</v>
      </c>
      <c r="LH571" s="27" t="s">
        <v>7</v>
      </c>
      <c r="NA571" s="27" t="s">
        <v>8</v>
      </c>
      <c r="NB571" s="27" t="s">
        <v>7</v>
      </c>
    </row>
    <row r="572" spans="1:392" x14ac:dyDescent="0.25">
      <c r="A572" s="7">
        <v>1.3458683383241299</v>
      </c>
      <c r="B572"/>
      <c r="C572"/>
      <c r="D572"/>
      <c r="E572"/>
      <c r="KI572" s="27" t="s">
        <v>8</v>
      </c>
      <c r="KJ572" s="27" t="s">
        <v>7</v>
      </c>
      <c r="KK572" s="27" t="s">
        <v>8</v>
      </c>
      <c r="KN572" s="27" t="s">
        <v>7</v>
      </c>
      <c r="KO572" s="27" t="s">
        <v>8</v>
      </c>
      <c r="KP572" s="27" t="s">
        <v>7</v>
      </c>
      <c r="KQ572" s="27" t="s">
        <v>8</v>
      </c>
      <c r="KR572" s="27" t="s">
        <v>7</v>
      </c>
      <c r="KU572" s="27" t="s">
        <v>8</v>
      </c>
      <c r="KV572" s="27" t="s">
        <v>7</v>
      </c>
      <c r="KW572" s="27" t="s">
        <v>8</v>
      </c>
      <c r="KX572" s="27" t="s">
        <v>7</v>
      </c>
      <c r="LB572" s="27" t="s">
        <v>7</v>
      </c>
      <c r="LC572" s="27" t="s">
        <v>8</v>
      </c>
      <c r="LD572" s="27" t="s">
        <v>7</v>
      </c>
      <c r="LE572" s="27" t="s">
        <v>8</v>
      </c>
      <c r="LF572" s="27" t="s">
        <v>7</v>
      </c>
      <c r="LH572" s="27" t="s">
        <v>7</v>
      </c>
      <c r="MQ572" s="27" t="s">
        <v>8</v>
      </c>
      <c r="NA572" s="27" t="s">
        <v>8</v>
      </c>
      <c r="NB572" s="27" t="s">
        <v>7</v>
      </c>
      <c r="OA572" s="27" t="s">
        <v>8</v>
      </c>
    </row>
    <row r="573" spans="1:392" x14ac:dyDescent="0.25">
      <c r="A573" s="7">
        <v>1.3194787630628724</v>
      </c>
      <c r="B573"/>
      <c r="C573"/>
      <c r="D573"/>
      <c r="E573"/>
      <c r="KI573" s="27" t="s">
        <v>8</v>
      </c>
      <c r="KJ573" s="27" t="s">
        <v>7</v>
      </c>
      <c r="KN573" s="27" t="s">
        <v>7</v>
      </c>
      <c r="KO573" s="27" t="s">
        <v>8</v>
      </c>
      <c r="KP573" s="27" t="s">
        <v>7</v>
      </c>
      <c r="KQ573" s="27" t="s">
        <v>8</v>
      </c>
      <c r="KR573" s="27" t="s">
        <v>7</v>
      </c>
      <c r="KU573" s="27" t="s">
        <v>8</v>
      </c>
      <c r="KV573" s="27" t="s">
        <v>7</v>
      </c>
      <c r="KW573" s="27" t="s">
        <v>8</v>
      </c>
      <c r="LB573" s="27" t="s">
        <v>7</v>
      </c>
      <c r="LC573" s="27" t="s">
        <v>8</v>
      </c>
      <c r="LD573" s="27" t="s">
        <v>7</v>
      </c>
      <c r="LE573" s="27" t="s">
        <v>8</v>
      </c>
      <c r="LH573" s="27" t="s">
        <v>7</v>
      </c>
      <c r="MQ573" s="27" t="s">
        <v>8</v>
      </c>
      <c r="MR573" s="27" t="s">
        <v>7</v>
      </c>
      <c r="MY573" s="27" t="s">
        <v>8</v>
      </c>
      <c r="NA573" s="27" t="s">
        <v>8</v>
      </c>
      <c r="NB573" s="27" t="s">
        <v>7</v>
      </c>
      <c r="OA573" s="27" t="s">
        <v>8</v>
      </c>
      <c r="OB573" s="27" t="s">
        <v>7</v>
      </c>
    </row>
    <row r="574" spans="1:392" x14ac:dyDescent="0.25">
      <c r="A574" s="7">
        <v>1.2936066304537963</v>
      </c>
      <c r="B574"/>
      <c r="C574"/>
      <c r="D574"/>
      <c r="E574"/>
      <c r="KI574" s="27" t="s">
        <v>8</v>
      </c>
      <c r="KN574" s="27" t="s">
        <v>7</v>
      </c>
      <c r="KO574" s="27" t="s">
        <v>8</v>
      </c>
      <c r="KP574" s="27" t="s">
        <v>7</v>
      </c>
      <c r="KQ574" s="27" t="s">
        <v>8</v>
      </c>
      <c r="KR574" s="27" t="s">
        <v>7</v>
      </c>
      <c r="KU574" s="27" t="s">
        <v>8</v>
      </c>
      <c r="KV574" s="27" t="s">
        <v>7</v>
      </c>
      <c r="LB574" s="27" t="s">
        <v>7</v>
      </c>
      <c r="LC574" s="27" t="s">
        <v>8</v>
      </c>
      <c r="LD574" s="27" t="s">
        <v>7</v>
      </c>
      <c r="LE574" s="27" t="s">
        <v>8</v>
      </c>
      <c r="LH574" s="27" t="s">
        <v>7</v>
      </c>
      <c r="MQ574" s="27" t="s">
        <v>8</v>
      </c>
      <c r="MR574" s="27" t="s">
        <v>7</v>
      </c>
      <c r="MS574" s="27" t="s">
        <v>8</v>
      </c>
      <c r="MY574" s="27" t="s">
        <v>8</v>
      </c>
      <c r="MZ574" s="27" t="s">
        <v>7</v>
      </c>
      <c r="NA574" s="27" t="s">
        <v>8</v>
      </c>
      <c r="NB574" s="27" t="s">
        <v>7</v>
      </c>
      <c r="OA574" s="27" t="s">
        <v>8</v>
      </c>
      <c r="OB574" s="27" t="s">
        <v>7</v>
      </c>
    </row>
    <row r="575" spans="1:392" x14ac:dyDescent="0.25">
      <c r="A575" s="7">
        <v>1.2682417945625455</v>
      </c>
      <c r="B575"/>
      <c r="C575"/>
      <c r="D575"/>
      <c r="E575"/>
      <c r="KI575" s="27" t="s">
        <v>8</v>
      </c>
      <c r="KN575" s="27" t="s">
        <v>7</v>
      </c>
      <c r="KO575" s="27" t="s">
        <v>8</v>
      </c>
      <c r="KP575" s="27" t="s">
        <v>7</v>
      </c>
      <c r="KQ575" s="27" t="s">
        <v>8</v>
      </c>
      <c r="KR575" s="27" t="s">
        <v>7</v>
      </c>
      <c r="KU575" s="27" t="s">
        <v>8</v>
      </c>
      <c r="LB575" s="27" t="s">
        <v>7</v>
      </c>
      <c r="LC575" s="27" t="s">
        <v>8</v>
      </c>
      <c r="LD575" s="27" t="s">
        <v>7</v>
      </c>
      <c r="LE575" s="27" t="s">
        <v>8</v>
      </c>
      <c r="LH575" s="27" t="s">
        <v>7</v>
      </c>
      <c r="MQ575" s="27" t="s">
        <v>8</v>
      </c>
      <c r="MR575" s="27" t="s">
        <v>7</v>
      </c>
      <c r="MS575" s="27" t="s">
        <v>8</v>
      </c>
      <c r="MT575" s="27" t="s">
        <v>7</v>
      </c>
      <c r="MY575" s="27" t="s">
        <v>8</v>
      </c>
      <c r="MZ575" s="27" t="s">
        <v>7</v>
      </c>
      <c r="NA575" s="27" t="s">
        <v>8</v>
      </c>
      <c r="NB575" s="27" t="s">
        <v>7</v>
      </c>
      <c r="OA575" s="27" t="s">
        <v>8</v>
      </c>
      <c r="OB575" s="27" t="s">
        <v>7</v>
      </c>
    </row>
    <row r="576" spans="1:392" x14ac:dyDescent="0.25">
      <c r="A576" s="7">
        <v>1.2433743083946525</v>
      </c>
      <c r="B576"/>
      <c r="C576"/>
      <c r="D576"/>
      <c r="E576"/>
      <c r="KI576" s="27" t="s">
        <v>8</v>
      </c>
      <c r="KN576" s="27" t="s">
        <v>7</v>
      </c>
      <c r="KO576" s="27" t="s">
        <v>8</v>
      </c>
      <c r="KP576" s="27" t="s">
        <v>7</v>
      </c>
      <c r="KQ576" s="27" t="s">
        <v>8</v>
      </c>
      <c r="KR576" s="27" t="s">
        <v>7</v>
      </c>
      <c r="KU576" s="27" t="s">
        <v>8</v>
      </c>
      <c r="LB576" s="27" t="s">
        <v>7</v>
      </c>
      <c r="LC576" s="27" t="s">
        <v>8</v>
      </c>
      <c r="LD576" s="27" t="s">
        <v>7</v>
      </c>
      <c r="LE576" s="27" t="s">
        <v>8</v>
      </c>
      <c r="LH576" s="27" t="s">
        <v>7</v>
      </c>
      <c r="LI576" s="27" t="s">
        <v>8</v>
      </c>
      <c r="MQ576" s="27" t="s">
        <v>8</v>
      </c>
      <c r="MR576" s="27" t="s">
        <v>7</v>
      </c>
      <c r="MS576" s="27" t="s">
        <v>8</v>
      </c>
      <c r="MT576" s="27" t="s">
        <v>7</v>
      </c>
      <c r="MW576" s="27" t="s">
        <v>8</v>
      </c>
      <c r="MY576" s="27" t="s">
        <v>8</v>
      </c>
      <c r="MZ576" s="27" t="s">
        <v>7</v>
      </c>
      <c r="NB576" s="27" t="s">
        <v>7</v>
      </c>
      <c r="NC576" s="27" t="s">
        <v>8</v>
      </c>
      <c r="NY576" s="27" t="s">
        <v>8</v>
      </c>
      <c r="OA576" s="27" t="s">
        <v>8</v>
      </c>
      <c r="OB576" s="27" t="s">
        <v>7</v>
      </c>
    </row>
    <row r="577" spans="1:406" x14ac:dyDescent="0.25">
      <c r="A577" s="7">
        <v>1.2189944199947573</v>
      </c>
      <c r="B577"/>
      <c r="C577"/>
      <c r="D577"/>
      <c r="E577"/>
      <c r="KI577" s="27" t="s">
        <v>8</v>
      </c>
      <c r="KN577" s="27" t="s">
        <v>7</v>
      </c>
      <c r="KO577" s="27" t="s">
        <v>8</v>
      </c>
      <c r="KP577" s="27" t="s">
        <v>7</v>
      </c>
      <c r="KQ577" s="27" t="s">
        <v>8</v>
      </c>
      <c r="KR577" s="27" t="s">
        <v>7</v>
      </c>
      <c r="KU577" s="27" t="s">
        <v>8</v>
      </c>
      <c r="LB577" s="27" t="s">
        <v>7</v>
      </c>
      <c r="LD577" s="27" t="s">
        <v>7</v>
      </c>
      <c r="LH577" s="27" t="s">
        <v>7</v>
      </c>
      <c r="LI577" s="27" t="s">
        <v>8</v>
      </c>
      <c r="LJ577" s="27" t="s">
        <v>7</v>
      </c>
      <c r="MQ577" s="27" t="s">
        <v>8</v>
      </c>
      <c r="MR577" s="27" t="s">
        <v>7</v>
      </c>
      <c r="MS577" s="27" t="s">
        <v>8</v>
      </c>
      <c r="MT577" s="27" t="s">
        <v>7</v>
      </c>
      <c r="MW577" s="27" t="s">
        <v>8</v>
      </c>
      <c r="MX577" s="27" t="s">
        <v>7</v>
      </c>
      <c r="MY577" s="27" t="s">
        <v>8</v>
      </c>
      <c r="NB577" s="27" t="s">
        <v>7</v>
      </c>
      <c r="NC577" s="27" t="s">
        <v>8</v>
      </c>
      <c r="ND577" s="27" t="s">
        <v>7</v>
      </c>
      <c r="NO577" s="27" t="s">
        <v>8</v>
      </c>
      <c r="NY577" s="27" t="s">
        <v>8</v>
      </c>
      <c r="NZ577" s="27" t="s">
        <v>7</v>
      </c>
      <c r="OA577" s="27" t="s">
        <v>8</v>
      </c>
      <c r="OB577" s="27" t="s">
        <v>7</v>
      </c>
    </row>
    <row r="578" spans="1:406" x14ac:dyDescent="0.25">
      <c r="A578" s="7">
        <v>1.1950925686223111</v>
      </c>
      <c r="B578"/>
      <c r="C578"/>
      <c r="D578"/>
      <c r="E578"/>
      <c r="KI578" s="27" t="s">
        <v>8</v>
      </c>
      <c r="KN578" s="27" t="s">
        <v>7</v>
      </c>
      <c r="KO578" s="27" t="s">
        <v>8</v>
      </c>
      <c r="KP578" s="27" t="s">
        <v>7</v>
      </c>
      <c r="KR578" s="27" t="s">
        <v>7</v>
      </c>
      <c r="KU578" s="27" t="s">
        <v>8</v>
      </c>
      <c r="LH578" s="27" t="s">
        <v>7</v>
      </c>
      <c r="LI578" s="27" t="s">
        <v>8</v>
      </c>
      <c r="LJ578" s="27" t="s">
        <v>7</v>
      </c>
      <c r="MQ578" s="27" t="s">
        <v>8</v>
      </c>
      <c r="MR578" s="27" t="s">
        <v>7</v>
      </c>
      <c r="MS578" s="27" t="s">
        <v>8</v>
      </c>
      <c r="MT578" s="27" t="s">
        <v>7</v>
      </c>
      <c r="MU578" s="27" t="s">
        <v>8</v>
      </c>
      <c r="MW578" s="27" t="s">
        <v>8</v>
      </c>
      <c r="MX578" s="27" t="s">
        <v>7</v>
      </c>
      <c r="MY578" s="27" t="s">
        <v>8</v>
      </c>
      <c r="NB578" s="27" t="s">
        <v>7</v>
      </c>
      <c r="NC578" s="27" t="s">
        <v>8</v>
      </c>
      <c r="ND578" s="27" t="s">
        <v>7</v>
      </c>
      <c r="NO578" s="27" t="s">
        <v>8</v>
      </c>
      <c r="NP578" s="27" t="s">
        <v>7</v>
      </c>
      <c r="NY578" s="27" t="s">
        <v>8</v>
      </c>
      <c r="NZ578" s="27" t="s">
        <v>7</v>
      </c>
      <c r="OA578" s="27" t="s">
        <v>8</v>
      </c>
      <c r="OB578" s="27" t="s">
        <v>7</v>
      </c>
    </row>
    <row r="579" spans="1:406" x14ac:dyDescent="0.25">
      <c r="A579" s="7">
        <v>1.1716593810022657</v>
      </c>
      <c r="B579"/>
      <c r="C579"/>
      <c r="D579"/>
      <c r="E579"/>
      <c r="KI579" s="27" t="s">
        <v>8</v>
      </c>
      <c r="KN579" s="27" t="s">
        <v>7</v>
      </c>
      <c r="KR579" s="27" t="s">
        <v>7</v>
      </c>
      <c r="KS579" s="27" t="s">
        <v>8</v>
      </c>
      <c r="KU579" s="27" t="s">
        <v>8</v>
      </c>
      <c r="LH579" s="27" t="s">
        <v>7</v>
      </c>
      <c r="LI579" s="27" t="s">
        <v>8</v>
      </c>
      <c r="LJ579" s="27" t="s">
        <v>7</v>
      </c>
      <c r="MQ579" s="27" t="s">
        <v>8</v>
      </c>
      <c r="MR579" s="27" t="s">
        <v>7</v>
      </c>
      <c r="MS579" s="27" t="s">
        <v>8</v>
      </c>
      <c r="MT579" s="27" t="s">
        <v>7</v>
      </c>
      <c r="MU579" s="27" t="s">
        <v>8</v>
      </c>
      <c r="MV579" s="27" t="s">
        <v>7</v>
      </c>
      <c r="MW579" s="27" t="s">
        <v>8</v>
      </c>
      <c r="MX579" s="27" t="s">
        <v>7</v>
      </c>
      <c r="NB579" s="27" t="s">
        <v>7</v>
      </c>
      <c r="NC579" s="27" t="s">
        <v>8</v>
      </c>
      <c r="ND579" s="27" t="s">
        <v>7</v>
      </c>
      <c r="NO579" s="27" t="s">
        <v>8</v>
      </c>
      <c r="NP579" s="27" t="s">
        <v>7</v>
      </c>
      <c r="NQ579" s="27" t="s">
        <v>8</v>
      </c>
      <c r="NY579" s="27" t="s">
        <v>8</v>
      </c>
      <c r="NZ579" s="27" t="s">
        <v>7</v>
      </c>
      <c r="OA579" s="27" t="s">
        <v>8</v>
      </c>
      <c r="OB579" s="27" t="s">
        <v>7</v>
      </c>
    </row>
    <row r="580" spans="1:406" x14ac:dyDescent="0.25">
      <c r="A580" s="7">
        <v>1.14868566764928</v>
      </c>
      <c r="B580"/>
      <c r="C580"/>
      <c r="D580"/>
      <c r="E580"/>
      <c r="KI580" s="27" t="s">
        <v>8</v>
      </c>
      <c r="KR580" s="27" t="s">
        <v>7</v>
      </c>
      <c r="KS580" s="27" t="s">
        <v>8</v>
      </c>
      <c r="KT580" s="27" t="s">
        <v>7</v>
      </c>
      <c r="KU580" s="27" t="s">
        <v>8</v>
      </c>
      <c r="LH580" s="27" t="s">
        <v>7</v>
      </c>
      <c r="LI580" s="27" t="s">
        <v>8</v>
      </c>
      <c r="LJ580" s="27" t="s">
        <v>7</v>
      </c>
      <c r="MQ580" s="27" t="s">
        <v>8</v>
      </c>
      <c r="MR580" s="27" t="s">
        <v>7</v>
      </c>
      <c r="MS580" s="27" t="s">
        <v>8</v>
      </c>
      <c r="MT580" s="27" t="s">
        <v>7</v>
      </c>
      <c r="MU580" s="27" t="s">
        <v>8</v>
      </c>
      <c r="MV580" s="27" t="s">
        <v>7</v>
      </c>
      <c r="MW580" s="27" t="s">
        <v>8</v>
      </c>
      <c r="NB580" s="27" t="s">
        <v>7</v>
      </c>
      <c r="NC580" s="27" t="s">
        <v>8</v>
      </c>
      <c r="ND580" s="27" t="s">
        <v>7</v>
      </c>
      <c r="NO580" s="27" t="s">
        <v>8</v>
      </c>
      <c r="NP580" s="27" t="s">
        <v>7</v>
      </c>
      <c r="NQ580" s="27" t="s">
        <v>8</v>
      </c>
      <c r="NR580" s="27" t="s">
        <v>7</v>
      </c>
      <c r="NS580" s="27" t="s">
        <v>8</v>
      </c>
      <c r="NU580" s="27" t="s">
        <v>8</v>
      </c>
      <c r="NW580" s="27" t="s">
        <v>8</v>
      </c>
      <c r="NY580" s="27" t="s">
        <v>8</v>
      </c>
      <c r="NZ580" s="27" t="s">
        <v>7</v>
      </c>
      <c r="OA580" s="27" t="s">
        <v>8</v>
      </c>
      <c r="OB580" s="27" t="s">
        <v>7</v>
      </c>
    </row>
    <row r="581" spans="1:406" x14ac:dyDescent="0.25">
      <c r="A581" s="7">
        <v>1.1261624192640001</v>
      </c>
      <c r="B581"/>
      <c r="C581"/>
      <c r="D581"/>
      <c r="E581"/>
      <c r="KI581" s="27" t="s">
        <v>8</v>
      </c>
      <c r="KR581" s="27" t="s">
        <v>7</v>
      </c>
      <c r="KS581" s="27" t="s">
        <v>8</v>
      </c>
      <c r="KT581" s="27" t="s">
        <v>7</v>
      </c>
      <c r="KU581" s="27" t="s">
        <v>8</v>
      </c>
      <c r="LH581" s="27" t="s">
        <v>7</v>
      </c>
      <c r="LI581" s="27" t="s">
        <v>8</v>
      </c>
      <c r="LJ581" s="27" t="s">
        <v>7</v>
      </c>
      <c r="MQ581" s="27" t="s">
        <v>8</v>
      </c>
      <c r="MR581" s="27" t="s">
        <v>7</v>
      </c>
      <c r="MS581" s="27" t="s">
        <v>8</v>
      </c>
      <c r="MT581" s="27" t="s">
        <v>7</v>
      </c>
      <c r="MU581" s="27" t="s">
        <v>8</v>
      </c>
      <c r="MV581" s="27" t="s">
        <v>7</v>
      </c>
      <c r="MW581" s="27" t="s">
        <v>8</v>
      </c>
      <c r="NB581" s="27" t="s">
        <v>7</v>
      </c>
      <c r="NC581" s="27" t="s">
        <v>8</v>
      </c>
      <c r="ND581" s="27" t="s">
        <v>7</v>
      </c>
      <c r="NE581" s="27" t="s">
        <v>8</v>
      </c>
      <c r="NG581" s="27" t="s">
        <v>8</v>
      </c>
      <c r="NO581" s="27" t="s">
        <v>8</v>
      </c>
      <c r="NP581" s="27" t="s">
        <v>7</v>
      </c>
      <c r="NQ581" s="27" t="s">
        <v>8</v>
      </c>
      <c r="NR581" s="27" t="s">
        <v>7</v>
      </c>
      <c r="NS581" s="27" t="s">
        <v>8</v>
      </c>
      <c r="NT581" s="27" t="s">
        <v>7</v>
      </c>
      <c r="NU581" s="27" t="s">
        <v>8</v>
      </c>
      <c r="NV581" s="27" t="s">
        <v>7</v>
      </c>
      <c r="NW581" s="27" t="s">
        <v>8</v>
      </c>
      <c r="NX581" s="27" t="s">
        <v>7</v>
      </c>
      <c r="NY581" s="27" t="s">
        <v>8</v>
      </c>
      <c r="NZ581" s="27" t="s">
        <v>7</v>
      </c>
      <c r="OA581" s="27" t="s">
        <v>8</v>
      </c>
      <c r="OB581" s="27" t="s">
        <v>7</v>
      </c>
    </row>
    <row r="582" spans="1:406" x14ac:dyDescent="0.25">
      <c r="A582" s="7">
        <v>1.1040808032</v>
      </c>
      <c r="B582"/>
      <c r="C582"/>
      <c r="D582"/>
      <c r="E582"/>
      <c r="KG582" s="27" t="s">
        <v>8</v>
      </c>
      <c r="KI582" s="27" t="s">
        <v>8</v>
      </c>
      <c r="KR582" s="27" t="s">
        <v>7</v>
      </c>
      <c r="KS582" s="27" t="s">
        <v>8</v>
      </c>
      <c r="KT582" s="27" t="s">
        <v>7</v>
      </c>
      <c r="KU582" s="27" t="s">
        <v>8</v>
      </c>
      <c r="LH582" s="27" t="s">
        <v>7</v>
      </c>
      <c r="LI582" s="27" t="s">
        <v>8</v>
      </c>
      <c r="LJ582" s="27" t="s">
        <v>7</v>
      </c>
      <c r="MQ582" s="27" t="s">
        <v>8</v>
      </c>
      <c r="MR582" s="27" t="s">
        <v>7</v>
      </c>
      <c r="MS582" s="27" t="s">
        <v>8</v>
      </c>
      <c r="MT582" s="27" t="s">
        <v>7</v>
      </c>
      <c r="MU582" s="27" t="s">
        <v>8</v>
      </c>
      <c r="MV582" s="27" t="s">
        <v>7</v>
      </c>
      <c r="NB582" s="27" t="s">
        <v>7</v>
      </c>
      <c r="NC582" s="27" t="s">
        <v>8</v>
      </c>
      <c r="ND582" s="27" t="s">
        <v>7</v>
      </c>
      <c r="NE582" s="27" t="s">
        <v>8</v>
      </c>
      <c r="NF582" s="27" t="s">
        <v>7</v>
      </c>
      <c r="NG582" s="27" t="s">
        <v>8</v>
      </c>
      <c r="NH582" s="27" t="s">
        <v>7</v>
      </c>
      <c r="NO582" s="27" t="s">
        <v>8</v>
      </c>
      <c r="NP582" s="27" t="s">
        <v>7</v>
      </c>
      <c r="NQ582" s="27" t="s">
        <v>8</v>
      </c>
      <c r="NR582" s="27" t="s">
        <v>7</v>
      </c>
      <c r="NS582" s="27" t="s">
        <v>8</v>
      </c>
      <c r="NT582" s="27" t="s">
        <v>7</v>
      </c>
      <c r="NU582" s="27" t="s">
        <v>8</v>
      </c>
      <c r="NV582" s="27" t="s">
        <v>7</v>
      </c>
      <c r="NW582" s="27" t="s">
        <v>8</v>
      </c>
      <c r="NX582" s="27" t="s">
        <v>7</v>
      </c>
      <c r="NY582" s="27" t="s">
        <v>8</v>
      </c>
      <c r="NZ582" s="27" t="s">
        <v>7</v>
      </c>
      <c r="OB582" s="27" t="s">
        <v>7</v>
      </c>
    </row>
    <row r="583" spans="1:406" x14ac:dyDescent="0.25">
      <c r="A583" s="7">
        <v>1.08243216</v>
      </c>
      <c r="B583"/>
      <c r="C583"/>
      <c r="D583"/>
      <c r="E583"/>
      <c r="KG583" s="27" t="s">
        <v>8</v>
      </c>
      <c r="KH583" s="27" t="s">
        <v>7</v>
      </c>
      <c r="KI583" s="27" t="s">
        <v>8</v>
      </c>
      <c r="KR583" s="27" t="s">
        <v>7</v>
      </c>
      <c r="KS583" s="27" t="s">
        <v>8</v>
      </c>
      <c r="KT583" s="27" t="s">
        <v>7</v>
      </c>
      <c r="KU583" s="27" t="s">
        <v>8</v>
      </c>
      <c r="LH583" s="27" t="s">
        <v>7</v>
      </c>
      <c r="LI583" s="27" t="s">
        <v>8</v>
      </c>
      <c r="LJ583" s="27" t="s">
        <v>7</v>
      </c>
      <c r="LM583" s="27" t="s">
        <v>8</v>
      </c>
      <c r="MO583" s="27" t="s">
        <v>8</v>
      </c>
      <c r="MQ583" s="27" t="s">
        <v>8</v>
      </c>
      <c r="MR583" s="27" t="s">
        <v>7</v>
      </c>
      <c r="MS583" s="27" t="s">
        <v>8</v>
      </c>
      <c r="MT583" s="27" t="s">
        <v>7</v>
      </c>
      <c r="MU583" s="27" t="s">
        <v>8</v>
      </c>
      <c r="NB583" s="27" t="s">
        <v>7</v>
      </c>
      <c r="NC583" s="27" t="s">
        <v>8</v>
      </c>
      <c r="ND583" s="27" t="s">
        <v>7</v>
      </c>
      <c r="NE583" s="27" t="s">
        <v>8</v>
      </c>
      <c r="NF583" s="27" t="s">
        <v>7</v>
      </c>
      <c r="NG583" s="27" t="s">
        <v>8</v>
      </c>
      <c r="NH583" s="27" t="s">
        <v>7</v>
      </c>
      <c r="NM583" s="27" t="s">
        <v>8</v>
      </c>
      <c r="NO583" s="27" t="s">
        <v>8</v>
      </c>
      <c r="NP583" s="27" t="s">
        <v>7</v>
      </c>
      <c r="NR583" s="27" t="s">
        <v>7</v>
      </c>
      <c r="NS583" s="27" t="s">
        <v>8</v>
      </c>
      <c r="NT583" s="27" t="s">
        <v>7</v>
      </c>
      <c r="NU583" s="27" t="s">
        <v>8</v>
      </c>
      <c r="NV583" s="27" t="s">
        <v>7</v>
      </c>
      <c r="NW583" s="27" t="s">
        <v>8</v>
      </c>
      <c r="NX583" s="27" t="s">
        <v>7</v>
      </c>
      <c r="OB583" s="27" t="s">
        <v>7</v>
      </c>
      <c r="OC583" s="27" t="s">
        <v>8</v>
      </c>
    </row>
    <row r="584" spans="1:406" x14ac:dyDescent="0.25">
      <c r="A584" s="7">
        <v>1.0612079999999999</v>
      </c>
      <c r="B584"/>
      <c r="C584"/>
      <c r="D584"/>
      <c r="E584"/>
      <c r="KG584" s="27" t="s">
        <v>8</v>
      </c>
      <c r="KH584" s="27" t="s">
        <v>7</v>
      </c>
      <c r="KI584" s="27" t="s">
        <v>8</v>
      </c>
      <c r="KR584" s="27" t="s">
        <v>7</v>
      </c>
      <c r="KS584" s="27" t="s">
        <v>8</v>
      </c>
      <c r="KT584" s="27" t="s">
        <v>7</v>
      </c>
      <c r="KU584" s="27" t="s">
        <v>8</v>
      </c>
      <c r="LH584" s="27" t="s">
        <v>7</v>
      </c>
      <c r="LI584" s="27" t="s">
        <v>8</v>
      </c>
      <c r="LJ584" s="27" t="s">
        <v>7</v>
      </c>
      <c r="LK584" s="27" t="s">
        <v>8</v>
      </c>
      <c r="LM584" s="27" t="s">
        <v>8</v>
      </c>
      <c r="LN584" s="27" t="s">
        <v>7</v>
      </c>
      <c r="LO584" s="27" t="s">
        <v>8</v>
      </c>
      <c r="MO584" s="27" t="s">
        <v>8</v>
      </c>
      <c r="MP584" s="27" t="s">
        <v>7</v>
      </c>
      <c r="MQ584" s="27" t="s">
        <v>8</v>
      </c>
      <c r="MR584" s="27" t="s">
        <v>7</v>
      </c>
      <c r="MT584" s="27" t="s">
        <v>7</v>
      </c>
      <c r="NB584" s="27" t="s">
        <v>7</v>
      </c>
      <c r="NC584" s="27" t="s">
        <v>8</v>
      </c>
      <c r="ND584" s="27" t="s">
        <v>7</v>
      </c>
      <c r="NF584" s="27" t="s">
        <v>7</v>
      </c>
      <c r="NG584" s="27" t="s">
        <v>8</v>
      </c>
      <c r="NH584" s="27" t="s">
        <v>7</v>
      </c>
      <c r="NM584" s="27" t="s">
        <v>8</v>
      </c>
      <c r="NN584" s="27" t="s">
        <v>7</v>
      </c>
      <c r="NO584" s="27" t="s">
        <v>8</v>
      </c>
      <c r="NR584" s="27" t="s">
        <v>7</v>
      </c>
      <c r="NS584" s="27" t="s">
        <v>8</v>
      </c>
      <c r="NT584" s="27" t="s">
        <v>7</v>
      </c>
      <c r="NV584" s="27" t="s">
        <v>7</v>
      </c>
      <c r="NW584" s="27" t="s">
        <v>8</v>
      </c>
      <c r="OB584" s="27" t="s">
        <v>7</v>
      </c>
      <c r="OC584" s="27" t="s">
        <v>8</v>
      </c>
      <c r="OD584" s="27" t="s">
        <v>7</v>
      </c>
    </row>
    <row r="585" spans="1:406" x14ac:dyDescent="0.25">
      <c r="A585" s="7">
        <v>1.0404</v>
      </c>
      <c r="B585"/>
      <c r="C585"/>
      <c r="D585"/>
      <c r="E585"/>
      <c r="KG585" s="27" t="s">
        <v>8</v>
      </c>
      <c r="KH585" s="27" t="s">
        <v>7</v>
      </c>
      <c r="KI585" s="27" t="s">
        <v>8</v>
      </c>
      <c r="KR585" s="27" t="s">
        <v>7</v>
      </c>
      <c r="KS585" s="27" t="s">
        <v>8</v>
      </c>
      <c r="KT585" s="27" t="s">
        <v>7</v>
      </c>
      <c r="KU585" s="27" t="s">
        <v>8</v>
      </c>
      <c r="LH585" s="27" t="s">
        <v>7</v>
      </c>
      <c r="LI585" s="27" t="s">
        <v>8</v>
      </c>
      <c r="LJ585" s="27" t="s">
        <v>7</v>
      </c>
      <c r="LK585" s="27" t="s">
        <v>8</v>
      </c>
      <c r="LL585" s="27" t="s">
        <v>7</v>
      </c>
      <c r="LM585" s="27" t="s">
        <v>8</v>
      </c>
      <c r="LN585" s="27" t="s">
        <v>7</v>
      </c>
      <c r="LO585" s="27" t="s">
        <v>8</v>
      </c>
      <c r="LP585" s="27" t="s">
        <v>7</v>
      </c>
      <c r="MO585" s="27" t="s">
        <v>8</v>
      </c>
      <c r="MP585" s="27" t="s">
        <v>7</v>
      </c>
      <c r="MQ585" s="27" t="s">
        <v>8</v>
      </c>
      <c r="NB585" s="27" t="s">
        <v>7</v>
      </c>
      <c r="NC585" s="27" t="s">
        <v>8</v>
      </c>
      <c r="NF585" s="27" t="s">
        <v>7</v>
      </c>
      <c r="NH585" s="27" t="s">
        <v>7</v>
      </c>
      <c r="NM585" s="27" t="s">
        <v>8</v>
      </c>
      <c r="NN585" s="27" t="s">
        <v>7</v>
      </c>
      <c r="NO585" s="27" t="s">
        <v>8</v>
      </c>
      <c r="NR585" s="27" t="s">
        <v>7</v>
      </c>
      <c r="NS585" s="27" t="s">
        <v>8</v>
      </c>
      <c r="NV585" s="27" t="s">
        <v>7</v>
      </c>
      <c r="NW585" s="27" t="s">
        <v>8</v>
      </c>
      <c r="OB585" s="27" t="s">
        <v>7</v>
      </c>
      <c r="OC585" s="27" t="s">
        <v>8</v>
      </c>
      <c r="OD585" s="27" t="s">
        <v>7</v>
      </c>
    </row>
    <row r="586" spans="1:406" x14ac:dyDescent="0.25">
      <c r="A586" s="7">
        <v>1.02</v>
      </c>
      <c r="B586"/>
      <c r="C586"/>
      <c r="D586"/>
      <c r="E586"/>
      <c r="KG586" s="27" t="s">
        <v>8</v>
      </c>
      <c r="KH586" s="27" t="s">
        <v>7</v>
      </c>
      <c r="KI586" s="27" t="s">
        <v>8</v>
      </c>
      <c r="KR586" s="27" t="s">
        <v>7</v>
      </c>
      <c r="KS586" s="27" t="s">
        <v>8</v>
      </c>
      <c r="KT586" s="27" t="s">
        <v>7</v>
      </c>
      <c r="KU586" s="27" t="s">
        <v>8</v>
      </c>
      <c r="LH586" s="27" t="s">
        <v>7</v>
      </c>
      <c r="LI586" s="27" t="s">
        <v>8</v>
      </c>
      <c r="LJ586" s="27" t="s">
        <v>7</v>
      </c>
      <c r="LK586" s="27" t="s">
        <v>8</v>
      </c>
      <c r="LL586" s="27" t="s">
        <v>7</v>
      </c>
      <c r="LM586" s="27" t="s">
        <v>8</v>
      </c>
      <c r="LN586" s="27" t="s">
        <v>7</v>
      </c>
      <c r="LO586" s="27" t="s">
        <v>8</v>
      </c>
      <c r="LP586" s="27" t="s">
        <v>7</v>
      </c>
      <c r="MO586" s="27" t="s">
        <v>8</v>
      </c>
      <c r="MP586" s="27" t="s">
        <v>7</v>
      </c>
      <c r="MQ586" s="27" t="s">
        <v>8</v>
      </c>
      <c r="NB586" s="27" t="s">
        <v>7</v>
      </c>
      <c r="NC586" s="27" t="s">
        <v>8</v>
      </c>
      <c r="NH586" s="27" t="s">
        <v>7</v>
      </c>
      <c r="NM586" s="27" t="s">
        <v>8</v>
      </c>
      <c r="NN586" s="27" t="s">
        <v>7</v>
      </c>
      <c r="NR586" s="27" t="s">
        <v>7</v>
      </c>
      <c r="NV586" s="27" t="s">
        <v>7</v>
      </c>
      <c r="NW586" s="27" t="s">
        <v>8</v>
      </c>
      <c r="OB586" s="27" t="s">
        <v>7</v>
      </c>
      <c r="OD586" s="27" t="s">
        <v>7</v>
      </c>
      <c r="OE586" s="27" t="s">
        <v>8</v>
      </c>
    </row>
    <row r="587" spans="1:406" x14ac:dyDescent="0.25">
      <c r="A587" s="7">
        <v>1</v>
      </c>
      <c r="B587"/>
      <c r="C587"/>
      <c r="D587"/>
      <c r="E587" s="29" t="s">
        <v>8</v>
      </c>
      <c r="KG587" s="27" t="s">
        <v>8</v>
      </c>
      <c r="KH587" s="27" t="s">
        <v>7</v>
      </c>
      <c r="KI587" s="27" t="s">
        <v>8</v>
      </c>
      <c r="KR587" s="27" t="s">
        <v>7</v>
      </c>
      <c r="KS587" s="27" t="s">
        <v>8</v>
      </c>
      <c r="KT587" s="27" t="s">
        <v>7</v>
      </c>
      <c r="KU587" s="27" t="s">
        <v>8</v>
      </c>
      <c r="LH587" s="27" t="s">
        <v>7</v>
      </c>
      <c r="LI587" s="27" t="s">
        <v>8</v>
      </c>
      <c r="LJ587" s="27" t="s">
        <v>7</v>
      </c>
      <c r="LK587" s="27" t="s">
        <v>8</v>
      </c>
      <c r="LL587" s="27" t="s">
        <v>7</v>
      </c>
      <c r="LM587" s="27" t="s">
        <v>8</v>
      </c>
      <c r="LN587" s="27" t="s">
        <v>7</v>
      </c>
      <c r="LO587" s="27" t="s">
        <v>8</v>
      </c>
      <c r="LP587" s="27" t="s">
        <v>7</v>
      </c>
      <c r="MO587" s="27" t="s">
        <v>8</v>
      </c>
      <c r="MP587" s="27" t="s">
        <v>7</v>
      </c>
      <c r="MQ587" s="27" t="s">
        <v>8</v>
      </c>
      <c r="NB587" s="27" t="s">
        <v>7</v>
      </c>
      <c r="NC587" s="27" t="s">
        <v>8</v>
      </c>
      <c r="NH587" s="27" t="s">
        <v>7</v>
      </c>
      <c r="NI587" s="27" t="s">
        <v>8</v>
      </c>
      <c r="NM587" s="27" t="s">
        <v>8</v>
      </c>
      <c r="NV587" s="27" t="s">
        <v>7</v>
      </c>
      <c r="NW587" s="27" t="s">
        <v>8</v>
      </c>
      <c r="OD587" s="27" t="s">
        <v>7</v>
      </c>
      <c r="OE587" s="27" t="s">
        <v>8</v>
      </c>
      <c r="OF587" s="27" t="s">
        <v>7</v>
      </c>
      <c r="OO587" s="27" t="s">
        <v>8</v>
      </c>
    </row>
    <row r="588" spans="1:406" x14ac:dyDescent="0.25">
      <c r="A588" s="7">
        <v>0.98039215686274506</v>
      </c>
      <c r="B588"/>
      <c r="C588"/>
      <c r="D588"/>
      <c r="E588"/>
      <c r="F588" s="27" t="s">
        <v>7</v>
      </c>
      <c r="KG588" s="27" t="s">
        <v>8</v>
      </c>
      <c r="KH588" s="27" t="s">
        <v>7</v>
      </c>
      <c r="KI588" s="27" t="s">
        <v>8</v>
      </c>
      <c r="KR588" s="27" t="s">
        <v>7</v>
      </c>
      <c r="KS588" s="27" t="s">
        <v>8</v>
      </c>
      <c r="KT588" s="27" t="s">
        <v>7</v>
      </c>
      <c r="KU588" s="27" t="s">
        <v>8</v>
      </c>
      <c r="LH588" s="27" t="s">
        <v>7</v>
      </c>
      <c r="LI588" s="27" t="s">
        <v>8</v>
      </c>
      <c r="LJ588" s="27" t="s">
        <v>7</v>
      </c>
      <c r="LK588" s="27" t="s">
        <v>8</v>
      </c>
      <c r="LL588" s="27" t="s">
        <v>7</v>
      </c>
      <c r="LM588" s="27" t="s">
        <v>8</v>
      </c>
      <c r="LN588" s="27" t="s">
        <v>7</v>
      </c>
      <c r="LP588" s="27" t="s">
        <v>7</v>
      </c>
      <c r="MO588" s="27" t="s">
        <v>8</v>
      </c>
      <c r="MP588" s="27" t="s">
        <v>7</v>
      </c>
      <c r="MQ588" s="27" t="s">
        <v>8</v>
      </c>
      <c r="NB588" s="27" t="s">
        <v>7</v>
      </c>
      <c r="NC588" s="27" t="s">
        <v>8</v>
      </c>
      <c r="NH588" s="27" t="s">
        <v>7</v>
      </c>
      <c r="NI588" s="27" t="s">
        <v>8</v>
      </c>
      <c r="NJ588" s="27" t="s">
        <v>7</v>
      </c>
      <c r="NK588" s="27" t="s">
        <v>8</v>
      </c>
      <c r="NM588" s="27" t="s">
        <v>8</v>
      </c>
      <c r="NV588" s="27" t="s">
        <v>7</v>
      </c>
      <c r="NW588" s="27" t="s">
        <v>8</v>
      </c>
      <c r="OD588" s="27" t="s">
        <v>7</v>
      </c>
      <c r="OE588" s="27" t="s">
        <v>8</v>
      </c>
      <c r="OF588" s="27" t="s">
        <v>7</v>
      </c>
      <c r="OO588" s="27" t="s">
        <v>8</v>
      </c>
      <c r="OP588" s="27" t="s">
        <v>7</v>
      </c>
    </row>
    <row r="589" spans="1:406" x14ac:dyDescent="0.25">
      <c r="A589" s="7">
        <v>0.96116878123798544</v>
      </c>
      <c r="B589"/>
      <c r="C589"/>
      <c r="D589"/>
      <c r="E589"/>
      <c r="F589" s="27" t="s">
        <v>7</v>
      </c>
      <c r="KG589" s="27" t="s">
        <v>8</v>
      </c>
      <c r="KH589" s="27" t="s">
        <v>7</v>
      </c>
      <c r="KI589" s="27" t="s">
        <v>8</v>
      </c>
      <c r="KR589" s="27" t="s">
        <v>7</v>
      </c>
      <c r="KS589" s="27" t="s">
        <v>8</v>
      </c>
      <c r="KT589" s="27" t="s">
        <v>7</v>
      </c>
      <c r="KU589" s="27" t="s">
        <v>8</v>
      </c>
      <c r="LH589" s="27" t="s">
        <v>7</v>
      </c>
      <c r="LI589" s="27" t="s">
        <v>8</v>
      </c>
      <c r="LJ589" s="27" t="s">
        <v>7</v>
      </c>
      <c r="LK589" s="27" t="s">
        <v>8</v>
      </c>
      <c r="LL589" s="27" t="s">
        <v>7</v>
      </c>
      <c r="LM589" s="27" t="s">
        <v>8</v>
      </c>
      <c r="LP589" s="27" t="s">
        <v>7</v>
      </c>
      <c r="MO589" s="27" t="s">
        <v>8</v>
      </c>
      <c r="MP589" s="27" t="s">
        <v>7</v>
      </c>
      <c r="MQ589" s="27" t="s">
        <v>8</v>
      </c>
      <c r="NB589" s="27" t="s">
        <v>7</v>
      </c>
      <c r="NH589" s="27" t="s">
        <v>7</v>
      </c>
      <c r="NI589" s="27" t="s">
        <v>8</v>
      </c>
      <c r="NJ589" s="27" t="s">
        <v>7</v>
      </c>
      <c r="NK589" s="27" t="s">
        <v>8</v>
      </c>
      <c r="NL589" s="27" t="s">
        <v>7</v>
      </c>
      <c r="NM589" s="27" t="s">
        <v>8</v>
      </c>
      <c r="NV589" s="27" t="s">
        <v>7</v>
      </c>
      <c r="OD589" s="27" t="s">
        <v>7</v>
      </c>
      <c r="OE589" s="27" t="s">
        <v>8</v>
      </c>
      <c r="OF589" s="27" t="s">
        <v>7</v>
      </c>
      <c r="OO589" s="27" t="s">
        <v>8</v>
      </c>
      <c r="OP589" s="27" t="s">
        <v>7</v>
      </c>
    </row>
    <row r="590" spans="1:406" x14ac:dyDescent="0.25">
      <c r="A590" s="7">
        <v>0.94232233454704462</v>
      </c>
      <c r="B590"/>
      <c r="C590"/>
      <c r="D590"/>
      <c r="E590"/>
      <c r="F590" s="27" t="s">
        <v>7</v>
      </c>
      <c r="KG590" s="27" t="s">
        <v>8</v>
      </c>
      <c r="KH590" s="27" t="s">
        <v>7</v>
      </c>
      <c r="KI590" s="27" t="s">
        <v>8</v>
      </c>
      <c r="KR590" s="27" t="s">
        <v>7</v>
      </c>
      <c r="KS590" s="27" t="s">
        <v>8</v>
      </c>
      <c r="KT590" s="27" t="s">
        <v>7</v>
      </c>
      <c r="LH590" s="27" t="s">
        <v>7</v>
      </c>
      <c r="LI590" s="27" t="s">
        <v>8</v>
      </c>
      <c r="LJ590" s="27" t="s">
        <v>7</v>
      </c>
      <c r="LK590" s="27" t="s">
        <v>8</v>
      </c>
      <c r="LL590" s="27" t="s">
        <v>7</v>
      </c>
      <c r="LM590" s="27" t="s">
        <v>8</v>
      </c>
      <c r="LP590" s="27" t="s">
        <v>7</v>
      </c>
      <c r="MO590" s="27" t="s">
        <v>8</v>
      </c>
      <c r="MP590" s="27" t="s">
        <v>7</v>
      </c>
      <c r="MQ590" s="27" t="s">
        <v>8</v>
      </c>
      <c r="NH590" s="27" t="s">
        <v>7</v>
      </c>
      <c r="NI590" s="27" t="s">
        <v>8</v>
      </c>
      <c r="NJ590" s="27" t="s">
        <v>7</v>
      </c>
      <c r="NK590" s="27" t="s">
        <v>8</v>
      </c>
      <c r="NL590" s="27" t="s">
        <v>7</v>
      </c>
      <c r="NM590" s="27" t="s">
        <v>8</v>
      </c>
      <c r="OD590" s="27" t="s">
        <v>7</v>
      </c>
      <c r="OE590" s="27" t="s">
        <v>8</v>
      </c>
      <c r="OF590" s="27" t="s">
        <v>7</v>
      </c>
      <c r="OO590" s="27" t="s">
        <v>8</v>
      </c>
      <c r="OP590" s="27" t="s">
        <v>7</v>
      </c>
    </row>
    <row r="591" spans="1:406" x14ac:dyDescent="0.25">
      <c r="A591" s="7">
        <v>0.92384542602651432</v>
      </c>
      <c r="B591"/>
      <c r="C591"/>
      <c r="D591"/>
      <c r="E591"/>
      <c r="F591" s="27" t="s">
        <v>7</v>
      </c>
      <c r="KG591" s="27" t="s">
        <v>8</v>
      </c>
      <c r="KH591" s="27" t="s">
        <v>7</v>
      </c>
      <c r="KI591" s="27" t="s">
        <v>8</v>
      </c>
      <c r="KR591" s="27" t="s">
        <v>7</v>
      </c>
      <c r="KS591" s="27" t="s">
        <v>8</v>
      </c>
      <c r="LH591" s="27" t="s">
        <v>7</v>
      </c>
      <c r="LI591" s="27" t="s">
        <v>8</v>
      </c>
      <c r="LJ591" s="27" t="s">
        <v>7</v>
      </c>
      <c r="LK591" s="27" t="s">
        <v>8</v>
      </c>
      <c r="LL591" s="27" t="s">
        <v>7</v>
      </c>
      <c r="LM591" s="27" t="s">
        <v>8</v>
      </c>
      <c r="LP591" s="27" t="s">
        <v>7</v>
      </c>
      <c r="LQ591" s="27" t="s">
        <v>8</v>
      </c>
      <c r="LS591" s="27" t="s">
        <v>8</v>
      </c>
      <c r="MO591" s="27" t="s">
        <v>8</v>
      </c>
      <c r="MP591" s="27" t="s">
        <v>7</v>
      </c>
      <c r="NH591" s="27" t="s">
        <v>7</v>
      </c>
      <c r="NI591" s="27" t="s">
        <v>8</v>
      </c>
      <c r="NJ591" s="27" t="s">
        <v>7</v>
      </c>
      <c r="NK591" s="27" t="s">
        <v>8</v>
      </c>
      <c r="NL591" s="27" t="s">
        <v>7</v>
      </c>
      <c r="NM591" s="27" t="s">
        <v>8</v>
      </c>
      <c r="OD591" s="27" t="s">
        <v>7</v>
      </c>
      <c r="OE591" s="27" t="s">
        <v>8</v>
      </c>
      <c r="OF591" s="27" t="s">
        <v>7</v>
      </c>
      <c r="OI591" s="27" t="s">
        <v>8</v>
      </c>
      <c r="OO591" s="27" t="s">
        <v>8</v>
      </c>
      <c r="OP591" s="27" t="s">
        <v>7</v>
      </c>
    </row>
    <row r="592" spans="1:406" x14ac:dyDescent="0.25">
      <c r="A592" s="7">
        <v>0.90573080982991594</v>
      </c>
      <c r="B592"/>
      <c r="C592"/>
      <c r="D592"/>
      <c r="E592"/>
      <c r="F592" s="27" t="s">
        <v>7</v>
      </c>
      <c r="KG592" s="27" t="s">
        <v>8</v>
      </c>
      <c r="KH592" s="27" t="s">
        <v>7</v>
      </c>
      <c r="KI592" s="27" t="s">
        <v>8</v>
      </c>
      <c r="KR592" s="27" t="s">
        <v>7</v>
      </c>
      <c r="KS592" s="27" t="s">
        <v>8</v>
      </c>
      <c r="LH592" s="27" t="s">
        <v>7</v>
      </c>
      <c r="LI592" s="27" t="s">
        <v>8</v>
      </c>
      <c r="LJ592" s="27" t="s">
        <v>7</v>
      </c>
      <c r="LK592" s="27" t="s">
        <v>8</v>
      </c>
      <c r="LL592" s="27" t="s">
        <v>7</v>
      </c>
      <c r="LM592" s="27" t="s">
        <v>8</v>
      </c>
      <c r="LP592" s="27" t="s">
        <v>7</v>
      </c>
      <c r="LQ592" s="27" t="s">
        <v>8</v>
      </c>
      <c r="LR592" s="27" t="s">
        <v>7</v>
      </c>
      <c r="LS592" s="27" t="s">
        <v>8</v>
      </c>
      <c r="LT592" s="27" t="s">
        <v>7</v>
      </c>
      <c r="MO592" s="27" t="s">
        <v>8</v>
      </c>
      <c r="NH592" s="27" t="s">
        <v>7</v>
      </c>
      <c r="NI592" s="27" t="s">
        <v>8</v>
      </c>
      <c r="NJ592" s="27" t="s">
        <v>7</v>
      </c>
      <c r="NK592" s="27" t="s">
        <v>8</v>
      </c>
      <c r="NL592" s="27" t="s">
        <v>7</v>
      </c>
      <c r="NM592" s="27" t="s">
        <v>8</v>
      </c>
      <c r="OD592" s="27" t="s">
        <v>7</v>
      </c>
      <c r="OE592" s="27" t="s">
        <v>8</v>
      </c>
      <c r="OF592" s="27" t="s">
        <v>7</v>
      </c>
      <c r="OI592" s="27" t="s">
        <v>8</v>
      </c>
      <c r="OJ592" s="27" t="s">
        <v>7</v>
      </c>
      <c r="OO592" s="27" t="s">
        <v>8</v>
      </c>
      <c r="OP592" s="27" t="s">
        <v>7</v>
      </c>
    </row>
    <row r="593" spans="1:412" x14ac:dyDescent="0.25">
      <c r="A593" s="7">
        <v>0.8879713821861922</v>
      </c>
      <c r="B593"/>
      <c r="C593"/>
      <c r="D593"/>
      <c r="E593"/>
      <c r="F593" s="27" t="s">
        <v>7</v>
      </c>
      <c r="KG593" s="27" t="s">
        <v>8</v>
      </c>
      <c r="KH593" s="27" t="s">
        <v>7</v>
      </c>
      <c r="KI593" s="27" t="s">
        <v>8</v>
      </c>
      <c r="KR593" s="27" t="s">
        <v>7</v>
      </c>
      <c r="LH593" s="27" t="s">
        <v>7</v>
      </c>
      <c r="LI593" s="27" t="s">
        <v>8</v>
      </c>
      <c r="LJ593" s="27" t="s">
        <v>7</v>
      </c>
      <c r="LK593" s="27" t="s">
        <v>8</v>
      </c>
      <c r="LL593" s="27" t="s">
        <v>7</v>
      </c>
      <c r="LM593" s="27" t="s">
        <v>8</v>
      </c>
      <c r="LP593" s="27" t="s">
        <v>7</v>
      </c>
      <c r="LQ593" s="27" t="s">
        <v>8</v>
      </c>
      <c r="LR593" s="27" t="s">
        <v>7</v>
      </c>
      <c r="LS593" s="27" t="s">
        <v>8</v>
      </c>
      <c r="LT593" s="27" t="s">
        <v>7</v>
      </c>
      <c r="MO593" s="27" t="s">
        <v>8</v>
      </c>
      <c r="NH593" s="27" t="s">
        <v>7</v>
      </c>
      <c r="NI593" s="27" t="s">
        <v>8</v>
      </c>
      <c r="NJ593" s="27" t="s">
        <v>7</v>
      </c>
      <c r="NL593" s="27" t="s">
        <v>7</v>
      </c>
      <c r="OD593" s="27" t="s">
        <v>7</v>
      </c>
      <c r="OF593" s="27" t="s">
        <v>7</v>
      </c>
      <c r="OI593" s="27" t="s">
        <v>8</v>
      </c>
      <c r="OJ593" s="27" t="s">
        <v>7</v>
      </c>
      <c r="OO593" s="27" t="s">
        <v>8</v>
      </c>
      <c r="OP593" s="27" t="s">
        <v>7</v>
      </c>
    </row>
    <row r="594" spans="1:412" x14ac:dyDescent="0.25">
      <c r="A594" s="7">
        <v>0.87056017861391399</v>
      </c>
      <c r="B594"/>
      <c r="C594"/>
      <c r="D594"/>
      <c r="E594"/>
      <c r="F594" s="27" t="s">
        <v>7</v>
      </c>
      <c r="KG594" s="27" t="s">
        <v>8</v>
      </c>
      <c r="KH594" s="27" t="s">
        <v>7</v>
      </c>
      <c r="LH594" s="27" t="s">
        <v>7</v>
      </c>
      <c r="LI594" s="27" t="s">
        <v>8</v>
      </c>
      <c r="LJ594" s="27" t="s">
        <v>7</v>
      </c>
      <c r="LK594" s="27" t="s">
        <v>8</v>
      </c>
      <c r="LL594" s="27" t="s">
        <v>7</v>
      </c>
      <c r="LM594" s="27" t="s">
        <v>8</v>
      </c>
      <c r="LP594" s="27" t="s">
        <v>7</v>
      </c>
      <c r="LQ594" s="27" t="s">
        <v>8</v>
      </c>
      <c r="LR594" s="27" t="s">
        <v>7</v>
      </c>
      <c r="LS594" s="27" t="s">
        <v>8</v>
      </c>
      <c r="LT594" s="27" t="s">
        <v>7</v>
      </c>
      <c r="MO594" s="27" t="s">
        <v>8</v>
      </c>
      <c r="NH594" s="27" t="s">
        <v>7</v>
      </c>
      <c r="OF594" s="27" t="s">
        <v>7</v>
      </c>
      <c r="OI594" s="27" t="s">
        <v>8</v>
      </c>
      <c r="OJ594" s="27" t="s">
        <v>7</v>
      </c>
      <c r="OO594" s="27" t="s">
        <v>8</v>
      </c>
      <c r="OP594" s="27" t="s">
        <v>7</v>
      </c>
    </row>
    <row r="595" spans="1:412" x14ac:dyDescent="0.25">
      <c r="A595" s="7">
        <v>0.85349037119011173</v>
      </c>
      <c r="B595"/>
      <c r="C595"/>
      <c r="D595"/>
      <c r="E595"/>
      <c r="F595" s="27" t="s">
        <v>7</v>
      </c>
      <c r="KG595" s="27" t="s">
        <v>8</v>
      </c>
      <c r="LH595" s="27" t="s">
        <v>7</v>
      </c>
      <c r="LJ595" s="27" t="s">
        <v>7</v>
      </c>
      <c r="LK595" s="27" t="s">
        <v>8</v>
      </c>
      <c r="LL595" s="27" t="s">
        <v>7</v>
      </c>
      <c r="LM595" s="27" t="s">
        <v>8</v>
      </c>
      <c r="LP595" s="27" t="s">
        <v>7</v>
      </c>
      <c r="LQ595" s="27" t="s">
        <v>8</v>
      </c>
      <c r="LR595" s="27" t="s">
        <v>7</v>
      </c>
      <c r="LS595" s="27" t="s">
        <v>8</v>
      </c>
      <c r="LT595" s="27" t="s">
        <v>7</v>
      </c>
      <c r="MO595" s="27" t="s">
        <v>8</v>
      </c>
      <c r="OF595" s="27" t="s">
        <v>7</v>
      </c>
      <c r="OG595" s="27" t="s">
        <v>8</v>
      </c>
      <c r="OI595" s="27" t="s">
        <v>8</v>
      </c>
      <c r="OJ595" s="27" t="s">
        <v>7</v>
      </c>
      <c r="OK595" s="27" t="s">
        <v>8</v>
      </c>
      <c r="OO595" s="27" t="s">
        <v>8</v>
      </c>
      <c r="OP595" s="27" t="s">
        <v>7</v>
      </c>
      <c r="OQ595" s="27" t="s">
        <v>8</v>
      </c>
    </row>
    <row r="596" spans="1:412" x14ac:dyDescent="0.25">
      <c r="A596" s="7">
        <v>0.83675526587265858</v>
      </c>
      <c r="B596"/>
      <c r="C596"/>
      <c r="D596"/>
      <c r="E596"/>
      <c r="F596" s="27" t="s">
        <v>7</v>
      </c>
      <c r="KG596" s="27" t="s">
        <v>8</v>
      </c>
      <c r="LJ596" s="27" t="s">
        <v>7</v>
      </c>
      <c r="LK596" s="27" t="s">
        <v>8</v>
      </c>
      <c r="LL596" s="27" t="s">
        <v>7</v>
      </c>
      <c r="LM596" s="27" t="s">
        <v>8</v>
      </c>
      <c r="LP596" s="27" t="s">
        <v>7</v>
      </c>
      <c r="LQ596" s="27" t="s">
        <v>8</v>
      </c>
      <c r="LR596" s="27" t="s">
        <v>7</v>
      </c>
      <c r="LS596" s="27" t="s">
        <v>8</v>
      </c>
      <c r="LT596" s="27" t="s">
        <v>7</v>
      </c>
      <c r="MM596" s="27" t="s">
        <v>8</v>
      </c>
      <c r="MO596" s="27" t="s">
        <v>8</v>
      </c>
      <c r="OF596" s="27" t="s">
        <v>7</v>
      </c>
      <c r="OG596" s="27" t="s">
        <v>8</v>
      </c>
      <c r="OH596" s="27" t="s">
        <v>7</v>
      </c>
      <c r="OI596" s="27" t="s">
        <v>8</v>
      </c>
      <c r="OJ596" s="27" t="s">
        <v>7</v>
      </c>
      <c r="OK596" s="27" t="s">
        <v>8</v>
      </c>
      <c r="OL596" s="27" t="s">
        <v>7</v>
      </c>
      <c r="OM596" s="27" t="s">
        <v>8</v>
      </c>
      <c r="OO596" s="27" t="s">
        <v>8</v>
      </c>
      <c r="OP596" s="27" t="s">
        <v>7</v>
      </c>
      <c r="OQ596" s="27" t="s">
        <v>8</v>
      </c>
      <c r="OR596" s="27" t="s">
        <v>7</v>
      </c>
    </row>
    <row r="597" spans="1:412" x14ac:dyDescent="0.25">
      <c r="A597" s="7">
        <v>0.82034829987515545</v>
      </c>
      <c r="B597"/>
      <c r="C597"/>
      <c r="D597"/>
      <c r="E597"/>
      <c r="F597" s="27" t="s">
        <v>7</v>
      </c>
      <c r="KG597" s="27" t="s">
        <v>8</v>
      </c>
      <c r="LJ597" s="27" t="s">
        <v>7</v>
      </c>
      <c r="LK597" s="27" t="s">
        <v>8</v>
      </c>
      <c r="LL597" s="27" t="s">
        <v>7</v>
      </c>
      <c r="LM597" s="27" t="s">
        <v>8</v>
      </c>
      <c r="LP597" s="27" t="s">
        <v>7</v>
      </c>
      <c r="LQ597" s="27" t="s">
        <v>8</v>
      </c>
      <c r="LR597" s="27" t="s">
        <v>7</v>
      </c>
      <c r="LT597" s="27" t="s">
        <v>7</v>
      </c>
      <c r="MM597" s="27" t="s">
        <v>8</v>
      </c>
      <c r="MN597" s="27" t="s">
        <v>7</v>
      </c>
      <c r="MO597" s="27" t="s">
        <v>8</v>
      </c>
      <c r="OF597" s="27" t="s">
        <v>7</v>
      </c>
      <c r="OG597" s="27" t="s">
        <v>8</v>
      </c>
      <c r="OH597" s="27" t="s">
        <v>7</v>
      </c>
      <c r="OI597" s="27" t="s">
        <v>8</v>
      </c>
      <c r="OJ597" s="27" t="s">
        <v>7</v>
      </c>
      <c r="OK597" s="27" t="s">
        <v>8</v>
      </c>
      <c r="OL597" s="27" t="s">
        <v>7</v>
      </c>
      <c r="OM597" s="27" t="s">
        <v>8</v>
      </c>
      <c r="ON597" s="27" t="s">
        <v>7</v>
      </c>
      <c r="OO597" s="27" t="s">
        <v>8</v>
      </c>
      <c r="OP597" s="27" t="s">
        <v>7</v>
      </c>
      <c r="OQ597" s="27" t="s">
        <v>8</v>
      </c>
      <c r="OR597" s="27" t="s">
        <v>7</v>
      </c>
    </row>
    <row r="598" spans="1:412" x14ac:dyDescent="0.25">
      <c r="A598" s="7">
        <v>0.80426303909328967</v>
      </c>
      <c r="B598"/>
      <c r="C598"/>
      <c r="D598"/>
      <c r="E598"/>
      <c r="F598" s="27" t="s">
        <v>7</v>
      </c>
      <c r="KG598" s="27" t="s">
        <v>8</v>
      </c>
      <c r="LJ598" s="27" t="s">
        <v>7</v>
      </c>
      <c r="LK598" s="27" t="s">
        <v>8</v>
      </c>
      <c r="LL598" s="27" t="s">
        <v>7</v>
      </c>
      <c r="LP598" s="27" t="s">
        <v>7</v>
      </c>
      <c r="LQ598" s="27" t="s">
        <v>8</v>
      </c>
      <c r="LT598" s="27" t="s">
        <v>7</v>
      </c>
      <c r="MM598" s="27" t="s">
        <v>8</v>
      </c>
      <c r="MN598" s="27" t="s">
        <v>7</v>
      </c>
      <c r="MO598" s="27" t="s">
        <v>8</v>
      </c>
      <c r="OF598" s="27" t="s">
        <v>7</v>
      </c>
      <c r="OG598" s="27" t="s">
        <v>8</v>
      </c>
      <c r="OH598" s="27" t="s">
        <v>7</v>
      </c>
      <c r="OI598" s="27" t="s">
        <v>8</v>
      </c>
      <c r="OJ598" s="27" t="s">
        <v>7</v>
      </c>
      <c r="OK598" s="27" t="s">
        <v>8</v>
      </c>
      <c r="OL598" s="27" t="s">
        <v>7</v>
      </c>
      <c r="OM598" s="27" t="s">
        <v>8</v>
      </c>
      <c r="ON598" s="27" t="s">
        <v>7</v>
      </c>
      <c r="OO598" s="27" t="s">
        <v>8</v>
      </c>
      <c r="OP598" s="27" t="s">
        <v>7</v>
      </c>
      <c r="OR598" s="27" t="s">
        <v>7</v>
      </c>
      <c r="OU598" s="27" t="s">
        <v>8</v>
      </c>
    </row>
    <row r="599" spans="1:412" x14ac:dyDescent="0.25">
      <c r="A599" s="7">
        <v>0.78849317558165644</v>
      </c>
      <c r="B599"/>
      <c r="C599"/>
      <c r="D599"/>
      <c r="E599"/>
      <c r="F599" s="27" t="s">
        <v>7</v>
      </c>
      <c r="KG599" s="27" t="s">
        <v>8</v>
      </c>
      <c r="LJ599" s="27" t="s">
        <v>7</v>
      </c>
      <c r="LK599" s="27" t="s">
        <v>8</v>
      </c>
      <c r="LP599" s="27" t="s">
        <v>7</v>
      </c>
      <c r="LT599" s="27" t="s">
        <v>7</v>
      </c>
      <c r="MM599" s="27" t="s">
        <v>8</v>
      </c>
      <c r="MN599" s="27" t="s">
        <v>7</v>
      </c>
      <c r="MO599" s="27" t="s">
        <v>8</v>
      </c>
      <c r="OF599" s="27" t="s">
        <v>7</v>
      </c>
      <c r="OG599" s="27" t="s">
        <v>8</v>
      </c>
      <c r="OH599" s="27" t="s">
        <v>7</v>
      </c>
      <c r="OI599" s="27" t="s">
        <v>8</v>
      </c>
      <c r="OJ599" s="27" t="s">
        <v>7</v>
      </c>
      <c r="OL599" s="27" t="s">
        <v>7</v>
      </c>
      <c r="OM599" s="27" t="s">
        <v>8</v>
      </c>
      <c r="ON599" s="27" t="s">
        <v>7</v>
      </c>
      <c r="OR599" s="27" t="s">
        <v>7</v>
      </c>
      <c r="OS599" s="27" t="s">
        <v>8</v>
      </c>
      <c r="OU599" s="27" t="s">
        <v>8</v>
      </c>
      <c r="OV599" s="27" t="s">
        <v>7</v>
      </c>
    </row>
    <row r="600" spans="1:412" x14ac:dyDescent="0.25">
      <c r="A600" s="7">
        <v>0.77303252508005538</v>
      </c>
      <c r="B600"/>
      <c r="C600"/>
      <c r="D600"/>
      <c r="E600"/>
      <c r="F600" s="27" t="s">
        <v>7</v>
      </c>
      <c r="HC600" s="27" t="s">
        <v>8</v>
      </c>
      <c r="KG600" s="27" t="s">
        <v>8</v>
      </c>
      <c r="LJ600" s="27" t="s">
        <v>7</v>
      </c>
      <c r="LK600" s="27" t="s">
        <v>8</v>
      </c>
      <c r="LT600" s="27" t="s">
        <v>7</v>
      </c>
      <c r="MK600" s="27" t="s">
        <v>8</v>
      </c>
      <c r="MM600" s="27" t="s">
        <v>8</v>
      </c>
      <c r="MN600" s="27" t="s">
        <v>7</v>
      </c>
      <c r="OF600" s="27" t="s">
        <v>7</v>
      </c>
      <c r="OG600" s="27" t="s">
        <v>8</v>
      </c>
      <c r="OH600" s="27" t="s">
        <v>7</v>
      </c>
      <c r="OI600" s="27" t="s">
        <v>8</v>
      </c>
      <c r="OL600" s="27" t="s">
        <v>7</v>
      </c>
      <c r="OR600" s="27" t="s">
        <v>7</v>
      </c>
      <c r="OS600" s="27" t="s">
        <v>8</v>
      </c>
      <c r="OT600" s="27" t="s">
        <v>7</v>
      </c>
      <c r="OU600" s="27" t="s">
        <v>8</v>
      </c>
      <c r="OV600" s="27" t="s">
        <v>7</v>
      </c>
    </row>
    <row r="601" spans="1:412" x14ac:dyDescent="0.25">
      <c r="A601" s="7">
        <v>0.75787502458828959</v>
      </c>
      <c r="B601"/>
      <c r="C601"/>
      <c r="D601"/>
      <c r="E601"/>
      <c r="F601" s="27" t="s">
        <v>7</v>
      </c>
      <c r="HC601" s="27" t="s">
        <v>8</v>
      </c>
      <c r="HD601" s="27" t="s">
        <v>7</v>
      </c>
      <c r="KG601" s="27" t="s">
        <v>8</v>
      </c>
      <c r="LJ601" s="27" t="s">
        <v>7</v>
      </c>
      <c r="LK601" s="27" t="s">
        <v>8</v>
      </c>
      <c r="LT601" s="27" t="s">
        <v>7</v>
      </c>
      <c r="MI601" s="27" t="s">
        <v>8</v>
      </c>
      <c r="MK601" s="27" t="s">
        <v>8</v>
      </c>
      <c r="ML601" s="27" t="s">
        <v>7</v>
      </c>
      <c r="MM601" s="27" t="s">
        <v>8</v>
      </c>
      <c r="OF601" s="27" t="s">
        <v>7</v>
      </c>
      <c r="OG601" s="27" t="s">
        <v>8</v>
      </c>
      <c r="OH601" s="27" t="s">
        <v>7</v>
      </c>
      <c r="OR601" s="27" t="s">
        <v>7</v>
      </c>
      <c r="OS601" s="27" t="s">
        <v>8</v>
      </c>
      <c r="OT601" s="27" t="s">
        <v>7</v>
      </c>
      <c r="OU601" s="27" t="s">
        <v>8</v>
      </c>
      <c r="OV601" s="27" t="s">
        <v>7</v>
      </c>
    </row>
    <row r="602" spans="1:412" x14ac:dyDescent="0.25">
      <c r="A602" s="7">
        <v>0.74301472998851925</v>
      </c>
      <c r="B602"/>
      <c r="C602"/>
      <c r="D602"/>
      <c r="E602"/>
      <c r="F602" s="27" t="s">
        <v>7</v>
      </c>
      <c r="HC602" s="27" t="s">
        <v>8</v>
      </c>
      <c r="HD602" s="27" t="s">
        <v>7</v>
      </c>
      <c r="KG602" s="27" t="s">
        <v>8</v>
      </c>
      <c r="LJ602" s="27" t="s">
        <v>7</v>
      </c>
      <c r="LK602" s="27" t="s">
        <v>8</v>
      </c>
      <c r="LT602" s="27" t="s">
        <v>7</v>
      </c>
      <c r="MI602" s="27" t="s">
        <v>8</v>
      </c>
      <c r="MJ602" s="27" t="s">
        <v>7</v>
      </c>
      <c r="MK602" s="27" t="s">
        <v>8</v>
      </c>
      <c r="ML602" s="27" t="s">
        <v>7</v>
      </c>
      <c r="MM602" s="27" t="s">
        <v>8</v>
      </c>
      <c r="OF602" s="27" t="s">
        <v>7</v>
      </c>
      <c r="OG602" s="27" t="s">
        <v>8</v>
      </c>
      <c r="OR602" s="27" t="s">
        <v>7</v>
      </c>
      <c r="OS602" s="27" t="s">
        <v>8</v>
      </c>
      <c r="OT602" s="27" t="s">
        <v>7</v>
      </c>
      <c r="OU602" s="27" t="s">
        <v>8</v>
      </c>
      <c r="OV602" s="27" t="s">
        <v>7</v>
      </c>
    </row>
    <row r="603" spans="1:412" x14ac:dyDescent="0.25">
      <c r="A603" s="7">
        <v>0.72844581371423456</v>
      </c>
      <c r="B603"/>
      <c r="C603"/>
      <c r="D603"/>
      <c r="E603"/>
      <c r="F603" s="27" t="s">
        <v>7</v>
      </c>
      <c r="HC603" s="27" t="s">
        <v>8</v>
      </c>
      <c r="HD603" s="27" t="s">
        <v>7</v>
      </c>
      <c r="KG603" s="27" t="s">
        <v>8</v>
      </c>
      <c r="LJ603" s="27" t="s">
        <v>7</v>
      </c>
      <c r="LK603" s="27" t="s">
        <v>8</v>
      </c>
      <c r="LT603" s="27" t="s">
        <v>7</v>
      </c>
      <c r="LW603" s="27" t="s">
        <v>8</v>
      </c>
      <c r="MI603" s="27" t="s">
        <v>8</v>
      </c>
      <c r="MJ603" s="27" t="s">
        <v>7</v>
      </c>
      <c r="MK603" s="27" t="s">
        <v>8</v>
      </c>
      <c r="ML603" s="27" t="s">
        <v>7</v>
      </c>
      <c r="MM603" s="27" t="s">
        <v>8</v>
      </c>
      <c r="OF603" s="27" t="s">
        <v>7</v>
      </c>
      <c r="OG603" s="27" t="s">
        <v>8</v>
      </c>
      <c r="OR603" s="27" t="s">
        <v>7</v>
      </c>
      <c r="OS603" s="27" t="s">
        <v>8</v>
      </c>
      <c r="OT603" s="27" t="s">
        <v>7</v>
      </c>
      <c r="OU603" s="27" t="s">
        <v>8</v>
      </c>
      <c r="OV603" s="27" t="s">
        <v>7</v>
      </c>
    </row>
    <row r="604" spans="1:412" x14ac:dyDescent="0.25">
      <c r="A604" s="7">
        <v>0.71416256246493581</v>
      </c>
      <c r="B604"/>
      <c r="C604"/>
      <c r="D604"/>
      <c r="E604"/>
      <c r="F604" s="27" t="s">
        <v>7</v>
      </c>
      <c r="HC604" s="27" t="s">
        <v>8</v>
      </c>
      <c r="HD604" s="27" t="s">
        <v>7</v>
      </c>
      <c r="KG604" s="27" t="s">
        <v>8</v>
      </c>
      <c r="LJ604" s="27" t="s">
        <v>7</v>
      </c>
      <c r="LK604" s="27" t="s">
        <v>8</v>
      </c>
      <c r="LT604" s="27" t="s">
        <v>7</v>
      </c>
      <c r="LW604" s="27" t="s">
        <v>8</v>
      </c>
      <c r="LX604" s="27" t="s">
        <v>7</v>
      </c>
      <c r="MI604" s="27" t="s">
        <v>8</v>
      </c>
      <c r="MJ604" s="27" t="s">
        <v>7</v>
      </c>
      <c r="ML604" s="27" t="s">
        <v>7</v>
      </c>
      <c r="MM604" s="27" t="s">
        <v>8</v>
      </c>
      <c r="OF604" s="27" t="s">
        <v>7</v>
      </c>
      <c r="OG604" s="27" t="s">
        <v>8</v>
      </c>
      <c r="OR604" s="27" t="s">
        <v>7</v>
      </c>
      <c r="OT604" s="27" t="s">
        <v>7</v>
      </c>
      <c r="OU604" s="27" t="s">
        <v>8</v>
      </c>
      <c r="OV604" s="27" t="s">
        <v>7</v>
      </c>
    </row>
    <row r="605" spans="1:412" x14ac:dyDescent="0.25">
      <c r="A605" s="7">
        <v>0.7001593749656233</v>
      </c>
      <c r="B605"/>
      <c r="C605"/>
      <c r="D605"/>
      <c r="E605"/>
      <c r="F605" s="27" t="s">
        <v>7</v>
      </c>
      <c r="HC605" s="27" t="s">
        <v>8</v>
      </c>
      <c r="HD605" s="27" t="s">
        <v>7</v>
      </c>
      <c r="KG605" s="27" t="s">
        <v>8</v>
      </c>
      <c r="LJ605" s="27" t="s">
        <v>7</v>
      </c>
      <c r="LK605" s="27" t="s">
        <v>8</v>
      </c>
      <c r="LT605" s="27" t="s">
        <v>7</v>
      </c>
      <c r="LW605" s="27" t="s">
        <v>8</v>
      </c>
      <c r="LX605" s="27" t="s">
        <v>7</v>
      </c>
      <c r="LY605" s="27" t="s">
        <v>8</v>
      </c>
      <c r="MI605" s="27" t="s">
        <v>8</v>
      </c>
      <c r="ML605" s="27" t="s">
        <v>7</v>
      </c>
      <c r="OF605" s="27" t="s">
        <v>7</v>
      </c>
      <c r="OG605" s="27" t="s">
        <v>8</v>
      </c>
      <c r="OT605" s="27" t="s">
        <v>7</v>
      </c>
      <c r="OV605" s="27" t="s">
        <v>7</v>
      </c>
    </row>
    <row r="606" spans="1:412" x14ac:dyDescent="0.25">
      <c r="A606" s="7">
        <v>0.68643075977021883</v>
      </c>
      <c r="B606"/>
      <c r="C606"/>
      <c r="D606"/>
      <c r="E606"/>
      <c r="F606" s="27" t="s">
        <v>7</v>
      </c>
      <c r="HC606" s="27" t="s">
        <v>8</v>
      </c>
      <c r="HD606" s="27" t="s">
        <v>7</v>
      </c>
      <c r="KG606" s="27" t="s">
        <v>8</v>
      </c>
      <c r="LJ606" s="27" t="s">
        <v>7</v>
      </c>
      <c r="LK606" s="27" t="s">
        <v>8</v>
      </c>
      <c r="LT606" s="27" t="s">
        <v>7</v>
      </c>
      <c r="LU606" s="27" t="s">
        <v>8</v>
      </c>
      <c r="LW606" s="27" t="s">
        <v>8</v>
      </c>
      <c r="LX606" s="27" t="s">
        <v>7</v>
      </c>
      <c r="LY606" s="27" t="s">
        <v>8</v>
      </c>
      <c r="LZ606" s="27" t="s">
        <v>7</v>
      </c>
      <c r="MI606" s="27" t="s">
        <v>8</v>
      </c>
      <c r="OF606" s="27" t="s">
        <v>7</v>
      </c>
      <c r="OG606" s="27" t="s">
        <v>8</v>
      </c>
      <c r="OV606" s="27" t="s">
        <v>7</v>
      </c>
    </row>
    <row r="607" spans="1:412" x14ac:dyDescent="0.25">
      <c r="A607" s="7">
        <v>0.67297133310805768</v>
      </c>
      <c r="B607"/>
      <c r="C607"/>
      <c r="D607"/>
      <c r="E607"/>
      <c r="F607" s="27" t="s">
        <v>7</v>
      </c>
      <c r="HC607" s="27" t="s">
        <v>8</v>
      </c>
      <c r="HD607" s="27" t="s">
        <v>7</v>
      </c>
      <c r="HG607" s="27" t="s">
        <v>8</v>
      </c>
      <c r="KG607" s="27" t="s">
        <v>8</v>
      </c>
      <c r="LJ607" s="27" t="s">
        <v>7</v>
      </c>
      <c r="LK607" s="27" t="s">
        <v>8</v>
      </c>
      <c r="LT607" s="27" t="s">
        <v>7</v>
      </c>
      <c r="LU607" s="27" t="s">
        <v>8</v>
      </c>
      <c r="LV607" s="27" t="s">
        <v>7</v>
      </c>
      <c r="LW607" s="27" t="s">
        <v>8</v>
      </c>
      <c r="LX607" s="27" t="s">
        <v>7</v>
      </c>
      <c r="LY607" s="27" t="s">
        <v>8</v>
      </c>
      <c r="LZ607" s="27" t="s">
        <v>7</v>
      </c>
      <c r="MG607" s="27" t="s">
        <v>8</v>
      </c>
      <c r="MI607" s="27" t="s">
        <v>8</v>
      </c>
      <c r="OF607" s="27" t="s">
        <v>7</v>
      </c>
      <c r="OG607" s="27" t="s">
        <v>8</v>
      </c>
      <c r="OV607" s="27" t="s">
        <v>7</v>
      </c>
    </row>
    <row r="608" spans="1:412" x14ac:dyDescent="0.25">
      <c r="A608" s="7">
        <v>0.65977581677260566</v>
      </c>
      <c r="B608"/>
      <c r="C608"/>
      <c r="D608"/>
      <c r="E608"/>
      <c r="F608" s="27" t="s">
        <v>7</v>
      </c>
      <c r="HC608" s="27" t="s">
        <v>8</v>
      </c>
      <c r="HD608" s="27" t="s">
        <v>7</v>
      </c>
      <c r="HG608" s="27" t="s">
        <v>8</v>
      </c>
      <c r="HH608" s="27" t="s">
        <v>7</v>
      </c>
      <c r="KG608" s="27" t="s">
        <v>8</v>
      </c>
      <c r="LJ608" s="27" t="s">
        <v>7</v>
      </c>
      <c r="LT608" s="27" t="s">
        <v>7</v>
      </c>
      <c r="LU608" s="27" t="s">
        <v>8</v>
      </c>
      <c r="LV608" s="27" t="s">
        <v>7</v>
      </c>
      <c r="LW608" s="27" t="s">
        <v>8</v>
      </c>
      <c r="LX608" s="27" t="s">
        <v>7</v>
      </c>
      <c r="LY608" s="27" t="s">
        <v>8</v>
      </c>
      <c r="LZ608" s="27" t="s">
        <v>7</v>
      </c>
      <c r="MG608" s="27" t="s">
        <v>8</v>
      </c>
      <c r="MH608" s="27" t="s">
        <v>7</v>
      </c>
      <c r="MI608" s="27" t="s">
        <v>8</v>
      </c>
      <c r="OF608" s="27" t="s">
        <v>7</v>
      </c>
      <c r="OG608" s="27" t="s">
        <v>8</v>
      </c>
      <c r="OV608" s="27" t="s">
        <v>7</v>
      </c>
    </row>
    <row r="609" spans="1:416" x14ac:dyDescent="0.25">
      <c r="A609" s="7">
        <v>0.64683903605157422</v>
      </c>
      <c r="B609"/>
      <c r="C609"/>
      <c r="D609"/>
      <c r="E609"/>
      <c r="F609" s="27" t="s">
        <v>7</v>
      </c>
      <c r="HC609" s="27" t="s">
        <v>8</v>
      </c>
      <c r="HD609" s="27" t="s">
        <v>7</v>
      </c>
      <c r="HE609" s="27" t="s">
        <v>8</v>
      </c>
      <c r="HG609" s="27" t="s">
        <v>8</v>
      </c>
      <c r="HH609" s="27" t="s">
        <v>7</v>
      </c>
      <c r="HQ609" s="27" t="s">
        <v>8</v>
      </c>
      <c r="JE609" s="27" t="s">
        <v>8</v>
      </c>
      <c r="KG609" s="27" t="s">
        <v>8</v>
      </c>
      <c r="LT609" s="27" t="s">
        <v>7</v>
      </c>
      <c r="LU609" s="27" t="s">
        <v>8</v>
      </c>
      <c r="LV609" s="27" t="s">
        <v>7</v>
      </c>
      <c r="LW609" s="27" t="s">
        <v>8</v>
      </c>
      <c r="LX609" s="27" t="s">
        <v>7</v>
      </c>
      <c r="LY609" s="27" t="s">
        <v>8</v>
      </c>
      <c r="LZ609" s="27" t="s">
        <v>7</v>
      </c>
      <c r="MA609" s="27" t="s">
        <v>8</v>
      </c>
      <c r="MG609" s="27" t="s">
        <v>8</v>
      </c>
      <c r="MH609" s="27" t="s">
        <v>7</v>
      </c>
      <c r="MI609" s="27" t="s">
        <v>8</v>
      </c>
      <c r="OF609" s="27" t="s">
        <v>7</v>
      </c>
      <c r="OG609" s="27" t="s">
        <v>8</v>
      </c>
      <c r="OV609" s="27" t="s">
        <v>7</v>
      </c>
      <c r="OY609" s="27" t="s">
        <v>8</v>
      </c>
    </row>
    <row r="610" spans="1:416" x14ac:dyDescent="0.25">
      <c r="A610" s="7">
        <v>0.63415591769762181</v>
      </c>
      <c r="B610"/>
      <c r="C610"/>
      <c r="D610"/>
      <c r="E610"/>
      <c r="F610" s="27" t="s">
        <v>7</v>
      </c>
      <c r="HC610" s="27" t="s">
        <v>8</v>
      </c>
      <c r="HD610" s="27" t="s">
        <v>7</v>
      </c>
      <c r="HE610" s="27" t="s">
        <v>8</v>
      </c>
      <c r="HF610" s="27" t="s">
        <v>7</v>
      </c>
      <c r="HG610" s="27" t="s">
        <v>8</v>
      </c>
      <c r="HH610" s="27" t="s">
        <v>7</v>
      </c>
      <c r="HI610" s="27" t="s">
        <v>8</v>
      </c>
      <c r="HQ610" s="27" t="s">
        <v>8</v>
      </c>
      <c r="HR610" s="27" t="s">
        <v>7</v>
      </c>
      <c r="IY610" s="27" t="s">
        <v>8</v>
      </c>
      <c r="JE610" s="27" t="s">
        <v>8</v>
      </c>
      <c r="JF610" s="27" t="s">
        <v>7</v>
      </c>
      <c r="KE610" s="27" t="s">
        <v>8</v>
      </c>
      <c r="KG610" s="27" t="s">
        <v>8</v>
      </c>
      <c r="LT610" s="27" t="s">
        <v>7</v>
      </c>
      <c r="LU610" s="27" t="s">
        <v>8</v>
      </c>
      <c r="LV610" s="27" t="s">
        <v>7</v>
      </c>
      <c r="LW610" s="27" t="s">
        <v>8</v>
      </c>
      <c r="LX610" s="27" t="s">
        <v>7</v>
      </c>
      <c r="LZ610" s="27" t="s">
        <v>7</v>
      </c>
      <c r="MA610" s="27" t="s">
        <v>8</v>
      </c>
      <c r="MB610" s="27" t="s">
        <v>7</v>
      </c>
      <c r="MG610" s="27" t="s">
        <v>8</v>
      </c>
      <c r="MH610" s="27" t="s">
        <v>7</v>
      </c>
      <c r="MI610" s="27" t="s">
        <v>8</v>
      </c>
      <c r="OF610" s="27" t="s">
        <v>7</v>
      </c>
      <c r="OG610" s="27" t="s">
        <v>8</v>
      </c>
      <c r="OV610" s="27" t="s">
        <v>7</v>
      </c>
      <c r="OW610" s="27" t="s">
        <v>8</v>
      </c>
      <c r="OY610" s="27" t="s">
        <v>8</v>
      </c>
      <c r="OZ610" s="27" t="s">
        <v>7</v>
      </c>
    </row>
    <row r="611" spans="1:416" x14ac:dyDescent="0.25">
      <c r="A611" s="7">
        <v>0.62172148793884496</v>
      </c>
      <c r="B611"/>
      <c r="C611"/>
      <c r="D611"/>
      <c r="E611"/>
      <c r="F611" s="27" t="s">
        <v>7</v>
      </c>
      <c r="HC611" s="27" t="s">
        <v>8</v>
      </c>
      <c r="HD611" s="27" t="s">
        <v>7</v>
      </c>
      <c r="HE611" s="27" t="s">
        <v>8</v>
      </c>
      <c r="HF611" s="27" t="s">
        <v>7</v>
      </c>
      <c r="HG611" s="27" t="s">
        <v>8</v>
      </c>
      <c r="HH611" s="27" t="s">
        <v>7</v>
      </c>
      <c r="HI611" s="27" t="s">
        <v>8</v>
      </c>
      <c r="HJ611" s="27" t="s">
        <v>7</v>
      </c>
      <c r="HK611" s="27" t="s">
        <v>8</v>
      </c>
      <c r="HQ611" s="27" t="s">
        <v>8</v>
      </c>
      <c r="HR611" s="27" t="s">
        <v>7</v>
      </c>
      <c r="IY611" s="27" t="s">
        <v>8</v>
      </c>
      <c r="IZ611" s="27" t="s">
        <v>7</v>
      </c>
      <c r="JE611" s="27" t="s">
        <v>8</v>
      </c>
      <c r="JF611" s="27" t="s">
        <v>7</v>
      </c>
      <c r="KE611" s="27" t="s">
        <v>8</v>
      </c>
      <c r="KF611" s="27" t="s">
        <v>7</v>
      </c>
      <c r="KG611" s="27" t="s">
        <v>8</v>
      </c>
      <c r="LT611" s="27" t="s">
        <v>7</v>
      </c>
      <c r="LU611" s="27" t="s">
        <v>8</v>
      </c>
      <c r="LV611" s="27" t="s">
        <v>7</v>
      </c>
      <c r="LW611" s="27" t="s">
        <v>8</v>
      </c>
      <c r="LZ611" s="27" t="s">
        <v>7</v>
      </c>
      <c r="MA611" s="27" t="s">
        <v>8</v>
      </c>
      <c r="MB611" s="27" t="s">
        <v>7</v>
      </c>
      <c r="MC611" s="27" t="s">
        <v>8</v>
      </c>
      <c r="MG611" s="27" t="s">
        <v>8</v>
      </c>
      <c r="MH611" s="27" t="s">
        <v>7</v>
      </c>
      <c r="OF611" s="27" t="s">
        <v>7</v>
      </c>
      <c r="OG611" s="27" t="s">
        <v>8</v>
      </c>
      <c r="OV611" s="27" t="s">
        <v>7</v>
      </c>
      <c r="OW611" s="27" t="s">
        <v>8</v>
      </c>
      <c r="OX611" s="27" t="s">
        <v>7</v>
      </c>
      <c r="OY611" s="27" t="s">
        <v>8</v>
      </c>
      <c r="OZ611" s="27" t="s">
        <v>7</v>
      </c>
    </row>
    <row r="612" spans="1:416" x14ac:dyDescent="0.25">
      <c r="A612" s="7">
        <v>0.60953087052827937</v>
      </c>
      <c r="B612"/>
      <c r="C612"/>
      <c r="D612"/>
      <c r="E612"/>
      <c r="F612" s="27" t="s">
        <v>7</v>
      </c>
      <c r="HC612" s="27" t="s">
        <v>8</v>
      </c>
      <c r="HD612" s="27" t="s">
        <v>7</v>
      </c>
      <c r="HE612" s="27" t="s">
        <v>8</v>
      </c>
      <c r="HF612" s="27" t="s">
        <v>7</v>
      </c>
      <c r="HG612" s="27" t="s">
        <v>8</v>
      </c>
      <c r="HH612" s="27" t="s">
        <v>7</v>
      </c>
      <c r="HI612" s="27" t="s">
        <v>8</v>
      </c>
      <c r="HJ612" s="27" t="s">
        <v>7</v>
      </c>
      <c r="HK612" s="27" t="s">
        <v>8</v>
      </c>
      <c r="HL612" s="27" t="s">
        <v>7</v>
      </c>
      <c r="HQ612" s="27" t="s">
        <v>8</v>
      </c>
      <c r="HR612" s="27" t="s">
        <v>7</v>
      </c>
      <c r="IY612" s="27" t="s">
        <v>8</v>
      </c>
      <c r="IZ612" s="27" t="s">
        <v>7</v>
      </c>
      <c r="JE612" s="27" t="s">
        <v>8</v>
      </c>
      <c r="JF612" s="27" t="s">
        <v>7</v>
      </c>
      <c r="KE612" s="27" t="s">
        <v>8</v>
      </c>
      <c r="KF612" s="27" t="s">
        <v>7</v>
      </c>
      <c r="KG612" s="27" t="s">
        <v>8</v>
      </c>
      <c r="LT612" s="27" t="s">
        <v>7</v>
      </c>
      <c r="LU612" s="27" t="s">
        <v>8</v>
      </c>
      <c r="LV612" s="27" t="s">
        <v>7</v>
      </c>
      <c r="LW612" s="27" t="s">
        <v>8</v>
      </c>
      <c r="LZ612" s="27" t="s">
        <v>7</v>
      </c>
      <c r="MA612" s="27" t="s">
        <v>8</v>
      </c>
      <c r="MB612" s="27" t="s">
        <v>7</v>
      </c>
      <c r="MC612" s="27" t="s">
        <v>8</v>
      </c>
      <c r="MD612" s="27" t="s">
        <v>7</v>
      </c>
      <c r="MG612" s="27" t="s">
        <v>8</v>
      </c>
      <c r="OF612" s="27" t="s">
        <v>7</v>
      </c>
      <c r="OV612" s="27" t="s">
        <v>7</v>
      </c>
      <c r="OW612" s="27" t="s">
        <v>8</v>
      </c>
      <c r="OX612" s="27" t="s">
        <v>7</v>
      </c>
      <c r="OY612" s="27" t="s">
        <v>8</v>
      </c>
      <c r="OZ612" s="27" t="s">
        <v>7</v>
      </c>
    </row>
    <row r="613" spans="1:416" x14ac:dyDescent="0.25">
      <c r="A613" s="7">
        <v>0.59757928483164646</v>
      </c>
      <c r="B613"/>
      <c r="C613"/>
      <c r="D613"/>
      <c r="E613"/>
      <c r="F613" s="27" t="s">
        <v>7</v>
      </c>
      <c r="HC613" s="27" t="s">
        <v>8</v>
      </c>
      <c r="HD613" s="27" t="s">
        <v>7</v>
      </c>
      <c r="HE613" s="27" t="s">
        <v>8</v>
      </c>
      <c r="HF613" s="27" t="s">
        <v>7</v>
      </c>
      <c r="HG613" s="27" t="s">
        <v>8</v>
      </c>
      <c r="HH613" s="27" t="s">
        <v>7</v>
      </c>
      <c r="HI613" s="27" t="s">
        <v>8</v>
      </c>
      <c r="HJ613" s="27" t="s">
        <v>7</v>
      </c>
      <c r="HK613" s="27" t="s">
        <v>8</v>
      </c>
      <c r="HL613" s="27" t="s">
        <v>7</v>
      </c>
      <c r="HQ613" s="27" t="s">
        <v>8</v>
      </c>
      <c r="HR613" s="27" t="s">
        <v>7</v>
      </c>
      <c r="HS613" s="27" t="s">
        <v>8</v>
      </c>
      <c r="IY613" s="27" t="s">
        <v>8</v>
      </c>
      <c r="IZ613" s="27" t="s">
        <v>7</v>
      </c>
      <c r="JE613" s="27" t="s">
        <v>8</v>
      </c>
      <c r="JF613" s="27" t="s">
        <v>7</v>
      </c>
      <c r="JY613" s="27" t="s">
        <v>8</v>
      </c>
      <c r="KE613" s="27" t="s">
        <v>8</v>
      </c>
      <c r="KF613" s="27" t="s">
        <v>7</v>
      </c>
      <c r="KG613" s="27" t="s">
        <v>8</v>
      </c>
      <c r="LT613" s="27" t="s">
        <v>7</v>
      </c>
      <c r="LU613" s="27" t="s">
        <v>8</v>
      </c>
      <c r="LV613" s="27" t="s">
        <v>7</v>
      </c>
      <c r="LW613" s="27" t="s">
        <v>8</v>
      </c>
      <c r="LZ613" s="27" t="s">
        <v>7</v>
      </c>
      <c r="MB613" s="27" t="s">
        <v>7</v>
      </c>
      <c r="MC613" s="27" t="s">
        <v>8</v>
      </c>
      <c r="MD613" s="27" t="s">
        <v>7</v>
      </c>
      <c r="ME613" s="27" t="s">
        <v>8</v>
      </c>
      <c r="MG613" s="27" t="s">
        <v>8</v>
      </c>
      <c r="OV613" s="27" t="s">
        <v>7</v>
      </c>
      <c r="OW613" s="27" t="s">
        <v>8</v>
      </c>
      <c r="OX613" s="27" t="s">
        <v>7</v>
      </c>
      <c r="OY613" s="27" t="s">
        <v>8</v>
      </c>
    </row>
    <row r="614" spans="1:416" x14ac:dyDescent="0.25">
      <c r="A614" s="7">
        <v>0.58586204395259456</v>
      </c>
      <c r="B614"/>
      <c r="C614"/>
      <c r="D614"/>
      <c r="E614"/>
      <c r="F614" s="27" t="s">
        <v>7</v>
      </c>
      <c r="HC614" s="27" t="s">
        <v>8</v>
      </c>
      <c r="HD614" s="27" t="s">
        <v>7</v>
      </c>
      <c r="HE614" s="27" t="s">
        <v>8</v>
      </c>
      <c r="HF614" s="27" t="s">
        <v>7</v>
      </c>
      <c r="HH614" s="27" t="s">
        <v>7</v>
      </c>
      <c r="HI614" s="27" t="s">
        <v>8</v>
      </c>
      <c r="HJ614" s="27" t="s">
        <v>7</v>
      </c>
      <c r="HK614" s="27" t="s">
        <v>8</v>
      </c>
      <c r="HL614" s="27" t="s">
        <v>7</v>
      </c>
      <c r="HM614" s="27" t="s">
        <v>8</v>
      </c>
      <c r="HQ614" s="27" t="s">
        <v>8</v>
      </c>
      <c r="HR614" s="27" t="s">
        <v>7</v>
      </c>
      <c r="HS614" s="27" t="s">
        <v>8</v>
      </c>
      <c r="HT614" s="27" t="s">
        <v>7</v>
      </c>
      <c r="IY614" s="27" t="s">
        <v>8</v>
      </c>
      <c r="IZ614" s="27" t="s">
        <v>7</v>
      </c>
      <c r="JE614" s="27" t="s">
        <v>8</v>
      </c>
      <c r="JF614" s="27" t="s">
        <v>7</v>
      </c>
      <c r="JY614" s="27" t="s">
        <v>8</v>
      </c>
      <c r="JZ614" s="27" t="s">
        <v>7</v>
      </c>
      <c r="KC614" s="27" t="s">
        <v>8</v>
      </c>
      <c r="KE614" s="27" t="s">
        <v>8</v>
      </c>
      <c r="KF614" s="27" t="s">
        <v>7</v>
      </c>
      <c r="KG614" s="27" t="s">
        <v>8</v>
      </c>
      <c r="LT614" s="27" t="s">
        <v>7</v>
      </c>
      <c r="LU614" s="27" t="s">
        <v>8</v>
      </c>
      <c r="LV614" s="27" t="s">
        <v>7</v>
      </c>
      <c r="MB614" s="27" t="s">
        <v>7</v>
      </c>
      <c r="MD614" s="27" t="s">
        <v>7</v>
      </c>
      <c r="ME614" s="27" t="s">
        <v>8</v>
      </c>
      <c r="MF614" s="27" t="s">
        <v>7</v>
      </c>
      <c r="MG614" s="27" t="s">
        <v>8</v>
      </c>
      <c r="OV614" s="27" t="s">
        <v>7</v>
      </c>
      <c r="OW614" s="27" t="s">
        <v>8</v>
      </c>
      <c r="OX614" s="27" t="s">
        <v>7</v>
      </c>
      <c r="OY614" s="27" t="s">
        <v>8</v>
      </c>
    </row>
    <row r="615" spans="1:416" x14ac:dyDescent="0.25">
      <c r="A615" s="7">
        <v>0.57437455289470052</v>
      </c>
      <c r="B615"/>
      <c r="C615"/>
      <c r="D615"/>
      <c r="E615"/>
      <c r="F615" s="27" t="s">
        <v>7</v>
      </c>
      <c r="HC615" s="27" t="s">
        <v>8</v>
      </c>
      <c r="HD615" s="27" t="s">
        <v>7</v>
      </c>
      <c r="HE615" s="27" t="s">
        <v>8</v>
      </c>
      <c r="HH615" s="27" t="s">
        <v>7</v>
      </c>
      <c r="HJ615" s="27" t="s">
        <v>7</v>
      </c>
      <c r="HK615" s="27" t="s">
        <v>8</v>
      </c>
      <c r="HL615" s="27" t="s">
        <v>7</v>
      </c>
      <c r="HM615" s="27" t="s">
        <v>8</v>
      </c>
      <c r="HN615" s="27" t="s">
        <v>7</v>
      </c>
      <c r="HQ615" s="27" t="s">
        <v>8</v>
      </c>
      <c r="HR615" s="27" t="s">
        <v>7</v>
      </c>
      <c r="HS615" s="27" t="s">
        <v>8</v>
      </c>
      <c r="HT615" s="27" t="s">
        <v>7</v>
      </c>
      <c r="IY615" s="27" t="s">
        <v>8</v>
      </c>
      <c r="IZ615" s="27" t="s">
        <v>7</v>
      </c>
      <c r="JC615" s="27" t="s">
        <v>8</v>
      </c>
      <c r="JE615" s="27" t="s">
        <v>8</v>
      </c>
      <c r="JF615" s="27" t="s">
        <v>7</v>
      </c>
      <c r="JY615" s="27" t="s">
        <v>8</v>
      </c>
      <c r="JZ615" s="27" t="s">
        <v>7</v>
      </c>
      <c r="KA615" s="27" t="s">
        <v>8</v>
      </c>
      <c r="KC615" s="27" t="s">
        <v>8</v>
      </c>
      <c r="KD615" s="27" t="s">
        <v>7</v>
      </c>
      <c r="KE615" s="27" t="s">
        <v>8</v>
      </c>
      <c r="KF615" s="27" t="s">
        <v>7</v>
      </c>
      <c r="LT615" s="27" t="s">
        <v>7</v>
      </c>
      <c r="LU615" s="27" t="s">
        <v>8</v>
      </c>
      <c r="MD615" s="27" t="s">
        <v>7</v>
      </c>
      <c r="ME615" s="27" t="s">
        <v>8</v>
      </c>
      <c r="MF615" s="27" t="s">
        <v>7</v>
      </c>
      <c r="MG615" s="27" t="s">
        <v>8</v>
      </c>
      <c r="OV615" s="27" t="s">
        <v>7</v>
      </c>
      <c r="OW615" s="27" t="s">
        <v>8</v>
      </c>
      <c r="OX615" s="27" t="s">
        <v>7</v>
      </c>
      <c r="OY615" s="27" t="s">
        <v>8</v>
      </c>
    </row>
    <row r="616" spans="1:416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HC616" s="27" t="s">
        <v>8</v>
      </c>
      <c r="HD616" s="27" t="s">
        <v>7</v>
      </c>
      <c r="HE616" s="27" t="s">
        <v>8</v>
      </c>
      <c r="HJ616" s="27" t="s">
        <v>7</v>
      </c>
      <c r="HK616" s="27" t="s">
        <v>8</v>
      </c>
      <c r="HL616" s="27" t="s">
        <v>7</v>
      </c>
      <c r="HM616" s="27" t="s">
        <v>8</v>
      </c>
      <c r="HN616" s="27" t="s">
        <v>7</v>
      </c>
      <c r="HQ616" s="27" t="s">
        <v>8</v>
      </c>
      <c r="HR616" s="27" t="s">
        <v>7</v>
      </c>
      <c r="HS616" s="27" t="s">
        <v>8</v>
      </c>
      <c r="HT616" s="27" t="s">
        <v>7</v>
      </c>
      <c r="IY616" s="27" t="s">
        <v>8</v>
      </c>
      <c r="IZ616" s="27" t="s">
        <v>7</v>
      </c>
      <c r="JC616" s="27" t="s">
        <v>8</v>
      </c>
      <c r="JD616" s="27" t="s">
        <v>7</v>
      </c>
      <c r="JE616" s="27" t="s">
        <v>8</v>
      </c>
      <c r="JF616" s="27" t="s">
        <v>7</v>
      </c>
      <c r="JY616" s="27" t="s">
        <v>8</v>
      </c>
      <c r="JZ616" s="27" t="s">
        <v>7</v>
      </c>
      <c r="KA616" s="27" t="s">
        <v>8</v>
      </c>
      <c r="KB616" s="27" t="s">
        <v>7</v>
      </c>
      <c r="KC616" s="27" t="s">
        <v>8</v>
      </c>
      <c r="KD616" s="27" t="s">
        <v>7</v>
      </c>
      <c r="KE616" s="27" t="s">
        <v>8</v>
      </c>
      <c r="LT616" s="27" t="s">
        <v>7</v>
      </c>
      <c r="LU616" s="27" t="s">
        <v>8</v>
      </c>
      <c r="MD616" s="27" t="s">
        <v>7</v>
      </c>
      <c r="MF616" s="18" t="s">
        <v>7</v>
      </c>
      <c r="MG616" s="27" t="s">
        <v>8</v>
      </c>
      <c r="OV616" s="27" t="s">
        <v>7</v>
      </c>
      <c r="OW616" s="27" t="s">
        <v>8</v>
      </c>
      <c r="OX616" s="27" t="s">
        <v>7</v>
      </c>
    </row>
    <row r="617" spans="1:416" x14ac:dyDescent="0.25">
      <c r="A617" s="7">
        <v>0.55207088897991208</v>
      </c>
      <c r="B617"/>
      <c r="C617"/>
      <c r="D617"/>
      <c r="E617"/>
      <c r="F617" s="27" t="s">
        <v>7</v>
      </c>
      <c r="G617" s="27" t="s">
        <v>8</v>
      </c>
      <c r="H617" s="27" t="s">
        <v>7</v>
      </c>
      <c r="HC617" s="27" t="s">
        <v>8</v>
      </c>
      <c r="HD617" s="27" t="s">
        <v>7</v>
      </c>
      <c r="HE617" s="27" t="s">
        <v>8</v>
      </c>
      <c r="HJ617" s="27" t="s">
        <v>7</v>
      </c>
      <c r="HL617" s="27" t="s">
        <v>7</v>
      </c>
      <c r="HM617" s="27" t="s">
        <v>8</v>
      </c>
      <c r="HN617" s="27" t="s">
        <v>7</v>
      </c>
      <c r="HQ617" s="27" t="s">
        <v>8</v>
      </c>
      <c r="HR617" s="27" t="s">
        <v>7</v>
      </c>
      <c r="HT617" s="27" t="s">
        <v>7</v>
      </c>
      <c r="IY617" s="27" t="s">
        <v>8</v>
      </c>
      <c r="IZ617" s="27" t="s">
        <v>7</v>
      </c>
      <c r="JA617" s="27" t="s">
        <v>8</v>
      </c>
      <c r="JC617" s="27" t="s">
        <v>8</v>
      </c>
      <c r="JD617" s="27" t="s">
        <v>7</v>
      </c>
      <c r="JE617" s="27" t="s">
        <v>8</v>
      </c>
      <c r="JF617" s="27" t="s">
        <v>7</v>
      </c>
      <c r="JY617" s="27" t="s">
        <v>8</v>
      </c>
      <c r="JZ617" s="27" t="s">
        <v>7</v>
      </c>
      <c r="KA617" s="27" t="s">
        <v>8</v>
      </c>
      <c r="KB617" s="27" t="s">
        <v>7</v>
      </c>
      <c r="KC617" s="27" t="s">
        <v>8</v>
      </c>
      <c r="KD617" s="27" t="s">
        <v>7</v>
      </c>
      <c r="KE617" s="27" t="s">
        <v>8</v>
      </c>
      <c r="LT617" s="27" t="s">
        <v>7</v>
      </c>
      <c r="LU617" s="27" t="s">
        <v>8</v>
      </c>
      <c r="MF617" s="27" t="s">
        <v>7</v>
      </c>
      <c r="MG617" s="27" t="s">
        <v>8</v>
      </c>
      <c r="OV617" s="27" t="s">
        <v>7</v>
      </c>
    </row>
    <row r="618" spans="1:416" x14ac:dyDescent="0.25">
      <c r="A618" s="7">
        <v>0.54124596958814908</v>
      </c>
      <c r="B618"/>
      <c r="C618"/>
      <c r="D618"/>
      <c r="E618"/>
      <c r="F618" s="27" t="s">
        <v>7</v>
      </c>
      <c r="G618" s="27" t="s">
        <v>8</v>
      </c>
      <c r="H618" s="27" t="s">
        <v>7</v>
      </c>
      <c r="HC618" s="27" t="s">
        <v>8</v>
      </c>
      <c r="HD618" s="27" t="s">
        <v>7</v>
      </c>
      <c r="HE618" s="27" t="s">
        <v>8</v>
      </c>
      <c r="HL618" s="27" t="s">
        <v>7</v>
      </c>
      <c r="HM618" s="27" t="s">
        <v>8</v>
      </c>
      <c r="HN618" s="27" t="s">
        <v>7</v>
      </c>
      <c r="HQ618" s="27" t="s">
        <v>8</v>
      </c>
      <c r="HT618" s="27" t="s">
        <v>7</v>
      </c>
      <c r="IW618" s="27" t="s">
        <v>8</v>
      </c>
      <c r="IY618" s="27" t="s">
        <v>8</v>
      </c>
      <c r="IZ618" s="27" t="s">
        <v>7</v>
      </c>
      <c r="JA618" s="27" t="s">
        <v>8</v>
      </c>
      <c r="JB618" s="27" t="s">
        <v>7</v>
      </c>
      <c r="JC618" s="27" t="s">
        <v>8</v>
      </c>
      <c r="JD618" s="27" t="s">
        <v>7</v>
      </c>
      <c r="JE618" s="27" t="s">
        <v>8</v>
      </c>
      <c r="JF618" s="27" t="s">
        <v>7</v>
      </c>
      <c r="JW618" s="27" t="s">
        <v>8</v>
      </c>
      <c r="JY618" s="27" t="s">
        <v>8</v>
      </c>
      <c r="JZ618" s="27" t="s">
        <v>7</v>
      </c>
      <c r="KA618" s="27" t="s">
        <v>8</v>
      </c>
      <c r="KB618" s="27" t="s">
        <v>7</v>
      </c>
      <c r="KD618" s="27" t="s">
        <v>7</v>
      </c>
      <c r="KE618" s="27" t="s">
        <v>8</v>
      </c>
      <c r="LT618" s="27" t="s">
        <v>7</v>
      </c>
      <c r="LU618" s="27" t="s">
        <v>8</v>
      </c>
      <c r="MF618" s="27" t="s">
        <v>7</v>
      </c>
      <c r="MG618" s="27" t="s">
        <v>8</v>
      </c>
    </row>
    <row r="619" spans="1:416" x14ac:dyDescent="0.25">
      <c r="A619" s="7">
        <v>0.53063330351779314</v>
      </c>
      <c r="B619"/>
      <c r="C619"/>
      <c r="D619"/>
      <c r="E619"/>
      <c r="F619" s="27" t="s">
        <v>7</v>
      </c>
      <c r="G619" s="27" t="s">
        <v>8</v>
      </c>
      <c r="H619" s="27" t="s">
        <v>7</v>
      </c>
      <c r="I619" s="27" t="s">
        <v>8</v>
      </c>
      <c r="K619" s="27" t="s">
        <v>8</v>
      </c>
      <c r="HC619" s="27" t="s">
        <v>8</v>
      </c>
      <c r="HD619" s="27" t="s">
        <v>7</v>
      </c>
      <c r="HE619" s="27" t="s">
        <v>8</v>
      </c>
      <c r="HL619" s="27" t="s">
        <v>7</v>
      </c>
      <c r="HM619" s="27" t="s">
        <v>8</v>
      </c>
      <c r="HN619" s="27" t="s">
        <v>7</v>
      </c>
      <c r="HQ619" s="27" t="s">
        <v>8</v>
      </c>
      <c r="HT619" s="27" t="s">
        <v>7</v>
      </c>
      <c r="IW619" s="27" t="s">
        <v>8</v>
      </c>
      <c r="IX619" s="27" t="s">
        <v>7</v>
      </c>
      <c r="IY619" s="27" t="s">
        <v>8</v>
      </c>
      <c r="IZ619" s="27" t="s">
        <v>7</v>
      </c>
      <c r="JA619" s="27" t="s">
        <v>8</v>
      </c>
      <c r="JB619" s="27" t="s">
        <v>7</v>
      </c>
      <c r="JC619" s="27" t="s">
        <v>8</v>
      </c>
      <c r="JD619" s="27" t="s">
        <v>7</v>
      </c>
      <c r="JE619" s="27" t="s">
        <v>8</v>
      </c>
      <c r="JF619" s="27" t="s">
        <v>7</v>
      </c>
      <c r="JW619" s="27" t="s">
        <v>8</v>
      </c>
      <c r="JX619" s="27" t="s">
        <v>7</v>
      </c>
      <c r="JY619" s="27" t="s">
        <v>8</v>
      </c>
      <c r="JZ619" s="27" t="s">
        <v>7</v>
      </c>
      <c r="KA619" s="27" t="s">
        <v>8</v>
      </c>
      <c r="KD619" s="27" t="s">
        <v>7</v>
      </c>
      <c r="LT619" s="27" t="s">
        <v>7</v>
      </c>
      <c r="LU619" s="27" t="s">
        <v>8</v>
      </c>
      <c r="MF619" s="27" t="s">
        <v>7</v>
      </c>
      <c r="MG619" s="27" t="s">
        <v>8</v>
      </c>
    </row>
    <row r="620" spans="1:416" x14ac:dyDescent="0.25">
      <c r="A620" s="7">
        <v>0.52022872893901284</v>
      </c>
      <c r="B620"/>
      <c r="C620"/>
      <c r="D620"/>
      <c r="E620"/>
      <c r="F620" s="27" t="s">
        <v>7</v>
      </c>
      <c r="G620" s="27" t="s">
        <v>8</v>
      </c>
      <c r="H620" s="27" t="s">
        <v>7</v>
      </c>
      <c r="I620" s="27" t="s">
        <v>8</v>
      </c>
      <c r="J620" s="27" t="s">
        <v>7</v>
      </c>
      <c r="K620" s="27" t="s">
        <v>8</v>
      </c>
      <c r="L620" s="27" t="s">
        <v>7</v>
      </c>
      <c r="HC620" s="27" t="s">
        <v>8</v>
      </c>
      <c r="HD620" s="27" t="s">
        <v>7</v>
      </c>
      <c r="HE620" s="27" t="s">
        <v>8</v>
      </c>
      <c r="HL620" s="27" t="s">
        <v>7</v>
      </c>
      <c r="HM620" s="27" t="s">
        <v>8</v>
      </c>
      <c r="HN620" s="27" t="s">
        <v>7</v>
      </c>
      <c r="HO620" s="27" t="s">
        <v>8</v>
      </c>
      <c r="HQ620" s="27" t="s">
        <v>8</v>
      </c>
      <c r="HT620" s="27" t="s">
        <v>7</v>
      </c>
      <c r="IW620" s="27" t="s">
        <v>8</v>
      </c>
      <c r="IX620" s="27" t="s">
        <v>7</v>
      </c>
      <c r="IY620" s="27" t="s">
        <v>8</v>
      </c>
      <c r="IZ620" s="27" t="s">
        <v>7</v>
      </c>
      <c r="JA620" s="27" t="s">
        <v>8</v>
      </c>
      <c r="JB620" s="27" t="s">
        <v>7</v>
      </c>
      <c r="JD620" s="27" t="s">
        <v>7</v>
      </c>
      <c r="JE620" s="27" t="s">
        <v>8</v>
      </c>
      <c r="JF620" s="27" t="s">
        <v>7</v>
      </c>
      <c r="JS620" s="27" t="s">
        <v>8</v>
      </c>
      <c r="JW620" s="27" t="s">
        <v>8</v>
      </c>
      <c r="JX620" s="27" t="s">
        <v>7</v>
      </c>
      <c r="JY620" s="27" t="s">
        <v>8</v>
      </c>
      <c r="JZ620" s="27" t="s">
        <v>7</v>
      </c>
      <c r="KA620" s="27" t="s">
        <v>8</v>
      </c>
      <c r="LT620" s="27" t="s">
        <v>7</v>
      </c>
      <c r="LU620" s="27" t="s">
        <v>8</v>
      </c>
      <c r="MF620" s="27" t="s">
        <v>7</v>
      </c>
    </row>
    <row r="621" spans="1:416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H621" s="27" t="s">
        <v>7</v>
      </c>
      <c r="I621" s="27" t="s">
        <v>8</v>
      </c>
      <c r="J621" s="27" t="s">
        <v>7</v>
      </c>
      <c r="K621" s="27" t="s">
        <v>8</v>
      </c>
      <c r="L621" s="27" t="s">
        <v>7</v>
      </c>
      <c r="HC621" s="27" t="s">
        <v>8</v>
      </c>
      <c r="HD621" s="27" t="s">
        <v>7</v>
      </c>
      <c r="HE621" s="27" t="s">
        <v>8</v>
      </c>
      <c r="HL621" s="27" t="s">
        <v>7</v>
      </c>
      <c r="HN621" s="27" t="s">
        <v>7</v>
      </c>
      <c r="HO621" s="27" t="s">
        <v>8</v>
      </c>
      <c r="HP621" s="27" t="s">
        <v>7</v>
      </c>
      <c r="HQ621" s="27" t="s">
        <v>8</v>
      </c>
      <c r="HT621" s="27" t="s">
        <v>7</v>
      </c>
      <c r="IQ621" s="27" t="s">
        <v>8</v>
      </c>
      <c r="IW621" s="27" t="s">
        <v>8</v>
      </c>
      <c r="IX621" s="27" t="s">
        <v>7</v>
      </c>
      <c r="IY621" s="27" t="s">
        <v>8</v>
      </c>
      <c r="IZ621" s="27" t="s">
        <v>7</v>
      </c>
      <c r="JA621" s="27" t="s">
        <v>8</v>
      </c>
      <c r="JD621" s="27" t="s">
        <v>7</v>
      </c>
      <c r="JE621" s="27" t="s">
        <v>8</v>
      </c>
      <c r="JF621" s="27" t="s">
        <v>7</v>
      </c>
      <c r="JS621" s="27" t="s">
        <v>8</v>
      </c>
      <c r="JT621" s="27" t="s">
        <v>7</v>
      </c>
      <c r="JW621" s="27" t="s">
        <v>8</v>
      </c>
      <c r="JX621" s="27" t="s">
        <v>7</v>
      </c>
      <c r="JY621" s="27" t="s">
        <v>8</v>
      </c>
      <c r="JZ621" s="27" t="s">
        <v>7</v>
      </c>
      <c r="KA621" s="27" t="s">
        <v>8</v>
      </c>
      <c r="LT621" s="27" t="s">
        <v>7</v>
      </c>
    </row>
    <row r="622" spans="1:416" x14ac:dyDescent="0.25">
      <c r="A622" s="7">
        <v>0.50002761335929735</v>
      </c>
      <c r="B622"/>
      <c r="C622"/>
      <c r="D622"/>
      <c r="E622"/>
      <c r="F622" s="27" t="s">
        <v>7</v>
      </c>
      <c r="G622" s="27" t="s">
        <v>8</v>
      </c>
      <c r="H622" s="27" t="s">
        <v>7</v>
      </c>
      <c r="J622" s="27" t="s">
        <v>7</v>
      </c>
      <c r="K622" s="27" t="s">
        <v>8</v>
      </c>
      <c r="L622" s="27" t="s">
        <v>7</v>
      </c>
      <c r="BU622" s="27" t="s">
        <v>8</v>
      </c>
      <c r="HC622" s="27" t="s">
        <v>8</v>
      </c>
      <c r="HD622" s="27" t="s">
        <v>7</v>
      </c>
      <c r="HE622" s="27" t="s">
        <v>8</v>
      </c>
      <c r="HN622" s="27" t="s">
        <v>7</v>
      </c>
      <c r="HO622" s="27" t="s">
        <v>8</v>
      </c>
      <c r="HP622" s="27" t="s">
        <v>7</v>
      </c>
      <c r="HQ622" s="27" t="s">
        <v>8</v>
      </c>
      <c r="HT622" s="27" t="s">
        <v>7</v>
      </c>
      <c r="IQ622" s="27" t="s">
        <v>8</v>
      </c>
      <c r="IR622" s="27" t="s">
        <v>7</v>
      </c>
      <c r="IW622" s="27" t="s">
        <v>8</v>
      </c>
      <c r="IX622" s="27" t="s">
        <v>7</v>
      </c>
      <c r="IZ622" s="27" t="s">
        <v>7</v>
      </c>
      <c r="JA622" s="27" t="s">
        <v>8</v>
      </c>
      <c r="JD622" s="27" t="s">
        <v>7</v>
      </c>
      <c r="JE622" s="27" t="s">
        <v>8</v>
      </c>
      <c r="JF622" s="27" t="s">
        <v>7</v>
      </c>
      <c r="JS622" s="27" t="s">
        <v>8</v>
      </c>
      <c r="JT622" s="27" t="s">
        <v>7</v>
      </c>
      <c r="JW622" s="27" t="s">
        <v>8</v>
      </c>
      <c r="JX622" s="27" t="s">
        <v>7</v>
      </c>
      <c r="JZ622" s="27" t="s">
        <v>7</v>
      </c>
      <c r="KA622" s="27" t="s">
        <v>8</v>
      </c>
    </row>
    <row r="623" spans="1:416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J623" s="27" t="s">
        <v>7</v>
      </c>
      <c r="K623" s="27" t="s">
        <v>8</v>
      </c>
      <c r="L623" s="27" t="s">
        <v>7</v>
      </c>
      <c r="BU623" s="27" t="s">
        <v>8</v>
      </c>
      <c r="BV623" s="27" t="s">
        <v>7</v>
      </c>
      <c r="BW623" s="27" t="s">
        <v>8</v>
      </c>
      <c r="HC623" s="27" t="s">
        <v>8</v>
      </c>
      <c r="HD623" s="27" t="s">
        <v>7</v>
      </c>
      <c r="HE623" s="27" t="s">
        <v>8</v>
      </c>
      <c r="HN623" s="27" t="s">
        <v>7</v>
      </c>
      <c r="HP623" s="27" t="s">
        <v>7</v>
      </c>
      <c r="HQ623" s="27" t="s">
        <v>8</v>
      </c>
      <c r="HT623" s="27" t="s">
        <v>7</v>
      </c>
      <c r="IQ623" s="27" t="s">
        <v>8</v>
      </c>
      <c r="IR623" s="27" t="s">
        <v>7</v>
      </c>
      <c r="IW623" s="27" t="s">
        <v>8</v>
      </c>
      <c r="IZ623" s="27" t="s">
        <v>7</v>
      </c>
      <c r="JD623" s="27" t="s">
        <v>7</v>
      </c>
      <c r="JE623" s="27" t="s">
        <v>8</v>
      </c>
      <c r="JF623" s="27" t="s">
        <v>7</v>
      </c>
      <c r="JG623" s="27" t="s">
        <v>8</v>
      </c>
      <c r="JM623" s="27" t="s">
        <v>8</v>
      </c>
      <c r="JS623" s="27" t="s">
        <v>8</v>
      </c>
      <c r="JT623" s="27" t="s">
        <v>7</v>
      </c>
      <c r="JU623" s="27" t="s">
        <v>8</v>
      </c>
      <c r="JW623" s="27" t="s">
        <v>8</v>
      </c>
      <c r="JZ623" s="27" t="s">
        <v>7</v>
      </c>
      <c r="KA623" s="27" t="s">
        <v>8</v>
      </c>
    </row>
    <row r="624" spans="1:416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J624" s="27" t="s">
        <v>7</v>
      </c>
      <c r="K624" s="27" t="s">
        <v>8</v>
      </c>
      <c r="L624" s="27" t="s">
        <v>7</v>
      </c>
      <c r="BU624" s="27" t="s">
        <v>8</v>
      </c>
      <c r="BV624" s="27" t="s">
        <v>7</v>
      </c>
      <c r="BW624" s="27" t="s">
        <v>8</v>
      </c>
      <c r="BX624" s="27" t="s">
        <v>7</v>
      </c>
      <c r="HC624" s="27" t="s">
        <v>8</v>
      </c>
      <c r="HD624" s="27" t="s">
        <v>7</v>
      </c>
      <c r="HE624" s="27" t="s">
        <v>8</v>
      </c>
      <c r="HP624" s="27" t="s">
        <v>7</v>
      </c>
      <c r="HQ624" s="27" t="s">
        <v>8</v>
      </c>
      <c r="HT624" s="27" t="s">
        <v>7</v>
      </c>
      <c r="IQ624" s="27" t="s">
        <v>8</v>
      </c>
      <c r="IR624" s="27" t="s">
        <v>7</v>
      </c>
      <c r="IS624" s="27" t="s">
        <v>8</v>
      </c>
      <c r="IW624" s="27" t="s">
        <v>8</v>
      </c>
      <c r="JD624" s="27" t="s">
        <v>7</v>
      </c>
      <c r="JF624" s="27" t="s">
        <v>7</v>
      </c>
      <c r="JG624" s="27" t="s">
        <v>8</v>
      </c>
      <c r="JH624" s="27" t="s">
        <v>7</v>
      </c>
      <c r="JM624" s="27" t="s">
        <v>8</v>
      </c>
      <c r="JN624" s="27" t="s">
        <v>7</v>
      </c>
      <c r="JO624" s="27" t="s">
        <v>8</v>
      </c>
      <c r="JS624" s="27" t="s">
        <v>8</v>
      </c>
      <c r="JT624" s="27" t="s">
        <v>7</v>
      </c>
      <c r="JU624" s="27" t="s">
        <v>8</v>
      </c>
      <c r="JV624" s="27" t="s">
        <v>7</v>
      </c>
      <c r="JW624" s="27" t="s">
        <v>8</v>
      </c>
      <c r="JZ624" s="27" t="s">
        <v>7</v>
      </c>
      <c r="KA624" s="27" t="s">
        <v>8</v>
      </c>
    </row>
    <row r="625" spans="1:287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J625" s="27" t="s">
        <v>7</v>
      </c>
      <c r="K625" s="27" t="s">
        <v>8</v>
      </c>
      <c r="L625" s="27" t="s">
        <v>7</v>
      </c>
      <c r="BG625" s="27" t="s">
        <v>8</v>
      </c>
      <c r="BU625" s="27" t="s">
        <v>8</v>
      </c>
      <c r="BV625" s="27" t="s">
        <v>7</v>
      </c>
      <c r="BW625" s="27" t="s">
        <v>8</v>
      </c>
      <c r="BX625" s="27" t="s">
        <v>7</v>
      </c>
      <c r="HC625" s="27" t="s">
        <v>8</v>
      </c>
      <c r="HD625" s="27" t="s">
        <v>7</v>
      </c>
      <c r="HE625" s="27" t="s">
        <v>8</v>
      </c>
      <c r="HP625" s="27" t="s">
        <v>7</v>
      </c>
      <c r="HQ625" s="27" t="s">
        <v>8</v>
      </c>
      <c r="HT625" s="27" t="s">
        <v>7</v>
      </c>
      <c r="IQ625" s="27" t="s">
        <v>8</v>
      </c>
      <c r="IR625" s="27" t="s">
        <v>7</v>
      </c>
      <c r="IS625" s="27" t="s">
        <v>8</v>
      </c>
      <c r="IT625" s="27" t="s">
        <v>7</v>
      </c>
      <c r="IW625" s="27" t="s">
        <v>8</v>
      </c>
      <c r="JF625" s="27" t="s">
        <v>7</v>
      </c>
      <c r="JG625" s="27" t="s">
        <v>8</v>
      </c>
      <c r="JH625" s="27" t="s">
        <v>7</v>
      </c>
      <c r="JM625" s="27" t="s">
        <v>8</v>
      </c>
      <c r="JN625" s="27" t="s">
        <v>7</v>
      </c>
      <c r="JO625" s="27" t="s">
        <v>8</v>
      </c>
      <c r="JP625" s="27" t="s">
        <v>7</v>
      </c>
      <c r="JS625" s="27" t="s">
        <v>8</v>
      </c>
      <c r="JT625" s="27" t="s">
        <v>7</v>
      </c>
      <c r="JU625" s="27" t="s">
        <v>8</v>
      </c>
      <c r="JV625" s="27" t="s">
        <v>7</v>
      </c>
      <c r="JW625" s="27" t="s">
        <v>8</v>
      </c>
      <c r="JZ625" s="27" t="s">
        <v>7</v>
      </c>
      <c r="KA625" s="27" t="s">
        <v>8</v>
      </c>
    </row>
    <row r="626" spans="1:287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J626" s="27" t="s">
        <v>7</v>
      </c>
      <c r="K626" s="27" t="s">
        <v>8</v>
      </c>
      <c r="L626" s="27" t="s">
        <v>7</v>
      </c>
      <c r="M626" s="27" t="s">
        <v>8</v>
      </c>
      <c r="BG626" s="27" t="s">
        <v>8</v>
      </c>
      <c r="BH626" s="27" t="s">
        <v>7</v>
      </c>
      <c r="BO626" s="27" t="s">
        <v>8</v>
      </c>
      <c r="BS626" s="27" t="s">
        <v>8</v>
      </c>
      <c r="BU626" s="27" t="s">
        <v>8</v>
      </c>
      <c r="BV626" s="27" t="s">
        <v>7</v>
      </c>
      <c r="BW626" s="27" t="s">
        <v>8</v>
      </c>
      <c r="BX626" s="27" t="s">
        <v>7</v>
      </c>
      <c r="HC626" s="27" t="s">
        <v>8</v>
      </c>
      <c r="HD626" s="27" t="s">
        <v>7</v>
      </c>
      <c r="HP626" s="27" t="s">
        <v>7</v>
      </c>
      <c r="HQ626" s="27" t="s">
        <v>8</v>
      </c>
      <c r="HT626" s="27" t="s">
        <v>7</v>
      </c>
      <c r="IQ626" s="27" t="s">
        <v>8</v>
      </c>
      <c r="IR626" s="27" t="s">
        <v>7</v>
      </c>
      <c r="IS626" s="27" t="s">
        <v>8</v>
      </c>
      <c r="IT626" s="27" t="s">
        <v>7</v>
      </c>
      <c r="IW626" s="27" t="s">
        <v>8</v>
      </c>
      <c r="JF626" s="27" t="s">
        <v>7</v>
      </c>
      <c r="JG626" s="27" t="s">
        <v>8</v>
      </c>
      <c r="JH626" s="27" t="s">
        <v>7</v>
      </c>
      <c r="JM626" s="27" t="s">
        <v>8</v>
      </c>
      <c r="JN626" s="27" t="s">
        <v>7</v>
      </c>
      <c r="JO626" s="27" t="s">
        <v>8</v>
      </c>
      <c r="JP626" s="27" t="s">
        <v>7</v>
      </c>
      <c r="JQ626" s="27" t="s">
        <v>8</v>
      </c>
      <c r="JS626" s="27" t="s">
        <v>8</v>
      </c>
      <c r="JT626" s="27" t="s">
        <v>7</v>
      </c>
      <c r="JV626" s="27" t="s">
        <v>7</v>
      </c>
      <c r="JZ626" s="27" t="s">
        <v>7</v>
      </c>
      <c r="KA626" s="27" t="s">
        <v>8</v>
      </c>
    </row>
    <row r="627" spans="1:287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J627" s="27" t="s">
        <v>7</v>
      </c>
      <c r="K627" s="27" t="s">
        <v>8</v>
      </c>
      <c r="L627" s="27" t="s">
        <v>7</v>
      </c>
      <c r="M627" s="27" t="s">
        <v>8</v>
      </c>
      <c r="N627" s="27" t="s">
        <v>7</v>
      </c>
      <c r="BG627" s="27" t="s">
        <v>8</v>
      </c>
      <c r="BH627" s="27" t="s">
        <v>7</v>
      </c>
      <c r="BM627" s="27" t="s">
        <v>8</v>
      </c>
      <c r="BO627" s="27" t="s">
        <v>8</v>
      </c>
      <c r="BP627" s="27" t="s">
        <v>7</v>
      </c>
      <c r="BS627" s="27" t="s">
        <v>8</v>
      </c>
      <c r="BT627" s="27" t="s">
        <v>7</v>
      </c>
      <c r="BU627" s="27" t="s">
        <v>8</v>
      </c>
      <c r="BV627" s="27" t="s">
        <v>7</v>
      </c>
      <c r="BX627" s="27" t="s">
        <v>7</v>
      </c>
      <c r="HC627" s="27" t="s">
        <v>8</v>
      </c>
      <c r="HP627" s="27" t="s">
        <v>7</v>
      </c>
      <c r="HQ627" s="27" t="s">
        <v>8</v>
      </c>
      <c r="HT627" s="27" t="s">
        <v>7</v>
      </c>
      <c r="IQ627" s="27" t="s">
        <v>8</v>
      </c>
      <c r="IR627" s="27" t="s">
        <v>7</v>
      </c>
      <c r="IS627" s="27" t="s">
        <v>8</v>
      </c>
      <c r="IT627" s="27" t="s">
        <v>7</v>
      </c>
      <c r="IU627" s="27" t="s">
        <v>8</v>
      </c>
      <c r="IW627" s="27" t="s">
        <v>8</v>
      </c>
      <c r="JF627" s="27" t="s">
        <v>7</v>
      </c>
      <c r="JG627" s="27" t="s">
        <v>8</v>
      </c>
      <c r="JH627" s="27" t="s">
        <v>7</v>
      </c>
      <c r="JI627" s="27" t="s">
        <v>8</v>
      </c>
      <c r="JK627" s="27" t="s">
        <v>8</v>
      </c>
      <c r="JM627" s="27" t="s">
        <v>8</v>
      </c>
      <c r="JN627" s="27" t="s">
        <v>7</v>
      </c>
      <c r="JP627" s="27" t="s">
        <v>7</v>
      </c>
      <c r="JQ627" s="27" t="s">
        <v>8</v>
      </c>
      <c r="JR627" s="27" t="s">
        <v>7</v>
      </c>
      <c r="JS627" s="27" t="s">
        <v>8</v>
      </c>
      <c r="JZ627" s="27" t="s">
        <v>7</v>
      </c>
    </row>
    <row r="628" spans="1:287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J628" s="27" t="s">
        <v>7</v>
      </c>
      <c r="K628" s="27" t="s">
        <v>8</v>
      </c>
      <c r="L628" s="27" t="s">
        <v>7</v>
      </c>
      <c r="M628" s="27" t="s">
        <v>8</v>
      </c>
      <c r="N628" s="27" t="s">
        <v>7</v>
      </c>
      <c r="AA628" s="27" t="s">
        <v>8</v>
      </c>
      <c r="BG628" s="27" t="s">
        <v>8</v>
      </c>
      <c r="BH628" s="27" t="s">
        <v>7</v>
      </c>
      <c r="BM628" s="27" t="s">
        <v>8</v>
      </c>
      <c r="BN628" s="27" t="s">
        <v>7</v>
      </c>
      <c r="BO628" s="27" t="s">
        <v>8</v>
      </c>
      <c r="BP628" s="27" t="s">
        <v>7</v>
      </c>
      <c r="BS628" s="27" t="s">
        <v>8</v>
      </c>
      <c r="BT628" s="27" t="s">
        <v>7</v>
      </c>
      <c r="BU628" s="27" t="s">
        <v>8</v>
      </c>
      <c r="BX628" s="27" t="s">
        <v>7</v>
      </c>
      <c r="HC628" s="27" t="s">
        <v>8</v>
      </c>
      <c r="HP628" s="27" t="s">
        <v>7</v>
      </c>
      <c r="HT628" s="27" t="s">
        <v>7</v>
      </c>
      <c r="IQ628" s="27" t="s">
        <v>8</v>
      </c>
      <c r="IR628" s="27" t="s">
        <v>7</v>
      </c>
      <c r="IS628" s="27" t="s">
        <v>8</v>
      </c>
      <c r="IT628" s="27" t="s">
        <v>7</v>
      </c>
      <c r="IU628" s="27" t="s">
        <v>8</v>
      </c>
      <c r="IV628" s="27" t="s">
        <v>7</v>
      </c>
      <c r="IW628" s="27" t="s">
        <v>8</v>
      </c>
      <c r="JF628" s="27" t="s">
        <v>7</v>
      </c>
      <c r="JG628" s="27" t="s">
        <v>8</v>
      </c>
      <c r="JH628" s="27" t="s">
        <v>7</v>
      </c>
      <c r="JI628" s="27" t="s">
        <v>8</v>
      </c>
      <c r="JJ628" s="27" t="s">
        <v>7</v>
      </c>
      <c r="JK628" s="27" t="s">
        <v>8</v>
      </c>
      <c r="JL628" s="27" t="s">
        <v>7</v>
      </c>
      <c r="JM628" s="27" t="s">
        <v>8</v>
      </c>
      <c r="JP628" s="27" t="s">
        <v>7</v>
      </c>
      <c r="JQ628" s="27" t="s">
        <v>8</v>
      </c>
      <c r="JR628" s="27" t="s">
        <v>7</v>
      </c>
      <c r="JS628" s="27" t="s">
        <v>8</v>
      </c>
    </row>
    <row r="629" spans="1:287" x14ac:dyDescent="0.25">
      <c r="A629" s="7">
        <v>0.4353041283979589</v>
      </c>
      <c r="B629"/>
      <c r="C629"/>
      <c r="D629"/>
      <c r="E629"/>
      <c r="F629" s="27" t="s">
        <v>7</v>
      </c>
      <c r="J629" s="27" t="s">
        <v>7</v>
      </c>
      <c r="K629" s="27" t="s">
        <v>8</v>
      </c>
      <c r="L629" s="27" t="s">
        <v>7</v>
      </c>
      <c r="M629" s="27" t="s">
        <v>8</v>
      </c>
      <c r="N629" s="27" t="s">
        <v>7</v>
      </c>
      <c r="AA629" s="27" t="s">
        <v>8</v>
      </c>
      <c r="AB629" s="27" t="s">
        <v>7</v>
      </c>
      <c r="BG629" s="27" t="s">
        <v>8</v>
      </c>
      <c r="BH629" s="27" t="s">
        <v>7</v>
      </c>
      <c r="BM629" s="27" t="s">
        <v>8</v>
      </c>
      <c r="BN629" s="27" t="s">
        <v>7</v>
      </c>
      <c r="BO629" s="27" t="s">
        <v>8</v>
      </c>
      <c r="BP629" s="27" t="s">
        <v>7</v>
      </c>
      <c r="BS629" s="27" t="s">
        <v>8</v>
      </c>
      <c r="BT629" s="27" t="s">
        <v>7</v>
      </c>
      <c r="BU629" s="27" t="s">
        <v>8</v>
      </c>
      <c r="BX629" s="27" t="s">
        <v>7</v>
      </c>
      <c r="HC629" s="27" t="s">
        <v>8</v>
      </c>
      <c r="HT629" s="27" t="s">
        <v>7</v>
      </c>
      <c r="IQ629" s="27" t="s">
        <v>8</v>
      </c>
      <c r="IR629" s="27" t="s">
        <v>7</v>
      </c>
      <c r="IS629" s="27" t="s">
        <v>8</v>
      </c>
      <c r="IT629" s="27" t="s">
        <v>7</v>
      </c>
      <c r="IU629" s="27" t="s">
        <v>8</v>
      </c>
      <c r="IV629" s="27" t="s">
        <v>7</v>
      </c>
      <c r="IW629" s="27" t="s">
        <v>8</v>
      </c>
      <c r="JF629" s="27" t="s">
        <v>7</v>
      </c>
      <c r="JG629" s="27" t="s">
        <v>8</v>
      </c>
      <c r="JH629" s="27" t="s">
        <v>7</v>
      </c>
      <c r="JI629" s="27" t="s">
        <v>8</v>
      </c>
      <c r="JJ629" s="27" t="s">
        <v>7</v>
      </c>
      <c r="JK629" s="27" t="s">
        <v>8</v>
      </c>
      <c r="JL629" s="27" t="s">
        <v>7</v>
      </c>
      <c r="JM629" s="27" t="s">
        <v>8</v>
      </c>
      <c r="JP629" s="27" t="s">
        <v>7</v>
      </c>
      <c r="JQ629" s="27" t="s">
        <v>8</v>
      </c>
      <c r="JR629" s="27" t="s">
        <v>7</v>
      </c>
      <c r="JS629" s="27" t="s">
        <v>8</v>
      </c>
    </row>
    <row r="630" spans="1:287" x14ac:dyDescent="0.25">
      <c r="A630" s="7">
        <v>0.4267687533313323</v>
      </c>
      <c r="B630"/>
      <c r="C630"/>
      <c r="D630"/>
      <c r="E630"/>
      <c r="J630" s="27" t="s">
        <v>7</v>
      </c>
      <c r="L630" s="27" t="s">
        <v>7</v>
      </c>
      <c r="M630" s="27" t="s">
        <v>8</v>
      </c>
      <c r="N630" s="27" t="s">
        <v>7</v>
      </c>
      <c r="AA630" s="27" t="s">
        <v>8</v>
      </c>
      <c r="AB630" s="27" t="s">
        <v>7</v>
      </c>
      <c r="BG630" s="27" t="s">
        <v>8</v>
      </c>
      <c r="BH630" s="27" t="s">
        <v>7</v>
      </c>
      <c r="BI630" s="27" t="s">
        <v>8</v>
      </c>
      <c r="BM630" s="27" t="s">
        <v>8</v>
      </c>
      <c r="BN630" s="27" t="s">
        <v>7</v>
      </c>
      <c r="BO630" s="27" t="s">
        <v>8</v>
      </c>
      <c r="BP630" s="27" t="s">
        <v>7</v>
      </c>
      <c r="BQ630" s="27" t="s">
        <v>8</v>
      </c>
      <c r="BS630" s="27" t="s">
        <v>8</v>
      </c>
      <c r="BT630" s="27" t="s">
        <v>7</v>
      </c>
      <c r="BX630" s="27" t="s">
        <v>7</v>
      </c>
      <c r="BY630" s="27" t="s">
        <v>8</v>
      </c>
      <c r="HC630" s="27" t="s">
        <v>8</v>
      </c>
      <c r="HT630" s="27" t="s">
        <v>7</v>
      </c>
      <c r="IQ630" s="27" t="s">
        <v>8</v>
      </c>
      <c r="IR630" s="27" t="s">
        <v>7</v>
      </c>
      <c r="IS630" s="27" t="s">
        <v>8</v>
      </c>
      <c r="IT630" s="27" t="s">
        <v>7</v>
      </c>
      <c r="IV630" s="27" t="s">
        <v>7</v>
      </c>
      <c r="IW630" s="27" t="s">
        <v>8</v>
      </c>
      <c r="JF630" s="27" t="s">
        <v>7</v>
      </c>
      <c r="JG630" s="27" t="s">
        <v>8</v>
      </c>
      <c r="JH630" s="27" t="s">
        <v>7</v>
      </c>
      <c r="JI630" s="27" t="s">
        <v>8</v>
      </c>
      <c r="JJ630" s="27" t="s">
        <v>7</v>
      </c>
      <c r="JK630" s="27" t="s">
        <v>8</v>
      </c>
      <c r="JL630" s="27" t="s">
        <v>7</v>
      </c>
      <c r="JP630" s="27" t="s">
        <v>7</v>
      </c>
      <c r="JR630" s="27" t="s">
        <v>7</v>
      </c>
    </row>
    <row r="631" spans="1:287" x14ac:dyDescent="0.25">
      <c r="A631" s="7">
        <v>0.41840073856012971</v>
      </c>
      <c r="B631"/>
      <c r="C631"/>
      <c r="D631"/>
      <c r="E631"/>
      <c r="L631" s="27" t="s">
        <v>7</v>
      </c>
      <c r="M631" s="27" t="s">
        <v>8</v>
      </c>
      <c r="N631" s="27" t="s">
        <v>7</v>
      </c>
      <c r="AA631" s="27" t="s">
        <v>8</v>
      </c>
      <c r="AB631" s="27" t="s">
        <v>7</v>
      </c>
      <c r="BG631" s="27" t="s">
        <v>8</v>
      </c>
      <c r="BH631" s="27" t="s">
        <v>7</v>
      </c>
      <c r="BI631" s="27" t="s">
        <v>8</v>
      </c>
      <c r="BJ631" s="27" t="s">
        <v>7</v>
      </c>
      <c r="BM631" s="27" t="s">
        <v>8</v>
      </c>
      <c r="BN631" s="27" t="s">
        <v>7</v>
      </c>
      <c r="BO631" s="27" t="s">
        <v>8</v>
      </c>
      <c r="BP631" s="27" t="s">
        <v>7</v>
      </c>
      <c r="BQ631" s="27" t="s">
        <v>8</v>
      </c>
      <c r="BR631" s="27" t="s">
        <v>7</v>
      </c>
      <c r="BS631" s="27" t="s">
        <v>8</v>
      </c>
      <c r="BX631" s="27" t="s">
        <v>7</v>
      </c>
      <c r="BY631" s="27" t="s">
        <v>8</v>
      </c>
      <c r="BZ631" s="27" t="s">
        <v>7</v>
      </c>
      <c r="HC631" s="27" t="s">
        <v>8</v>
      </c>
      <c r="HT631" s="27" t="s">
        <v>7</v>
      </c>
      <c r="IQ631" s="27" t="s">
        <v>8</v>
      </c>
      <c r="IR631" s="27" t="s">
        <v>7</v>
      </c>
      <c r="IS631" s="27" t="s">
        <v>8</v>
      </c>
      <c r="IV631" s="27" t="s">
        <v>7</v>
      </c>
      <c r="IW631" s="27" t="s">
        <v>8</v>
      </c>
      <c r="JF631" s="27" t="s">
        <v>7</v>
      </c>
      <c r="JG631" s="27" t="s">
        <v>8</v>
      </c>
      <c r="JH631" s="27" t="s">
        <v>7</v>
      </c>
      <c r="JJ631" s="27" t="s">
        <v>7</v>
      </c>
      <c r="JK631" s="27" t="s">
        <v>8</v>
      </c>
    </row>
    <row r="632" spans="1:287" x14ac:dyDescent="0.25">
      <c r="A632" s="7">
        <v>0.41019680250993112</v>
      </c>
      <c r="B632"/>
      <c r="C632"/>
      <c r="D632"/>
      <c r="E632"/>
      <c r="L632" s="27" t="s">
        <v>7</v>
      </c>
      <c r="N632" s="27" t="s">
        <v>7</v>
      </c>
      <c r="AA632" s="27" t="s">
        <v>8</v>
      </c>
      <c r="AB632" s="27" t="s">
        <v>7</v>
      </c>
      <c r="BG632" s="27" t="s">
        <v>8</v>
      </c>
      <c r="BH632" s="27" t="s">
        <v>7</v>
      </c>
      <c r="BI632" s="27" t="s">
        <v>8</v>
      </c>
      <c r="BJ632" s="27" t="s">
        <v>7</v>
      </c>
      <c r="BK632" s="27" t="s">
        <v>8</v>
      </c>
      <c r="BM632" s="27" t="s">
        <v>8</v>
      </c>
      <c r="BN632" s="27" t="s">
        <v>7</v>
      </c>
      <c r="BO632" s="27" t="s">
        <v>8</v>
      </c>
      <c r="BP632" s="27" t="s">
        <v>7</v>
      </c>
      <c r="BQ632" s="27" t="s">
        <v>8</v>
      </c>
      <c r="BR632" s="27" t="s">
        <v>7</v>
      </c>
      <c r="BS632" s="27" t="s">
        <v>8</v>
      </c>
      <c r="BX632" s="27" t="s">
        <v>7</v>
      </c>
      <c r="BY632" s="27" t="s">
        <v>8</v>
      </c>
      <c r="BZ632" s="27" t="s">
        <v>7</v>
      </c>
      <c r="HC632" s="27" t="s">
        <v>8</v>
      </c>
      <c r="HT632" s="27" t="s">
        <v>7</v>
      </c>
      <c r="IQ632" s="27" t="s">
        <v>8</v>
      </c>
      <c r="IR632" s="27" t="s">
        <v>7</v>
      </c>
      <c r="IS632" s="27" t="s">
        <v>8</v>
      </c>
      <c r="IV632" s="27" t="s">
        <v>7</v>
      </c>
      <c r="IW632" s="27" t="s">
        <v>8</v>
      </c>
      <c r="JF632" s="27" t="s">
        <v>7</v>
      </c>
      <c r="JG632" s="27" t="s">
        <v>8</v>
      </c>
      <c r="JJ632" s="27" t="s">
        <v>7</v>
      </c>
      <c r="JK632" s="27" t="s">
        <v>8</v>
      </c>
    </row>
    <row r="633" spans="1:287" x14ac:dyDescent="0.25">
      <c r="A633" s="7">
        <v>0.40215372795091286</v>
      </c>
      <c r="B633"/>
      <c r="C633"/>
      <c r="D633"/>
      <c r="E633"/>
      <c r="N633" s="27" t="s">
        <v>7</v>
      </c>
      <c r="Q633" s="27" t="s">
        <v>8</v>
      </c>
      <c r="AA633" s="27" t="s">
        <v>8</v>
      </c>
      <c r="AB633" s="27" t="s">
        <v>7</v>
      </c>
      <c r="BG633" s="27" t="s">
        <v>8</v>
      </c>
      <c r="BH633" s="27" t="s">
        <v>7</v>
      </c>
      <c r="BI633" s="27" t="s">
        <v>8</v>
      </c>
      <c r="BJ633" s="27" t="s">
        <v>7</v>
      </c>
      <c r="BK633" s="27" t="s">
        <v>8</v>
      </c>
      <c r="BL633" s="27" t="s">
        <v>7</v>
      </c>
      <c r="BM633" s="27" t="s">
        <v>8</v>
      </c>
      <c r="BN633" s="27" t="s">
        <v>7</v>
      </c>
      <c r="BP633" s="27" t="s">
        <v>7</v>
      </c>
      <c r="BQ633" s="27" t="s">
        <v>8</v>
      </c>
      <c r="BR633" s="27" t="s">
        <v>7</v>
      </c>
      <c r="BS633" s="27" t="s">
        <v>8</v>
      </c>
      <c r="BX633" s="27" t="s">
        <v>7</v>
      </c>
      <c r="BZ633" s="27" t="s">
        <v>7</v>
      </c>
      <c r="CA633" s="27" t="s">
        <v>8</v>
      </c>
      <c r="HC633" s="27" t="s">
        <v>8</v>
      </c>
      <c r="HT633" s="27" t="s">
        <v>7</v>
      </c>
      <c r="IQ633" s="27" t="s">
        <v>8</v>
      </c>
      <c r="IR633" s="27" t="s">
        <v>7</v>
      </c>
      <c r="IS633" s="27" t="s">
        <v>8</v>
      </c>
      <c r="IV633" s="27" t="s">
        <v>7</v>
      </c>
      <c r="IW633" s="27" t="s">
        <v>8</v>
      </c>
      <c r="JF633" s="27" t="s">
        <v>7</v>
      </c>
      <c r="JG633" s="27" t="s">
        <v>8</v>
      </c>
      <c r="JJ633" s="27" t="s">
        <v>7</v>
      </c>
      <c r="JK633" s="27" t="s">
        <v>8</v>
      </c>
    </row>
    <row r="634" spans="1:287" x14ac:dyDescent="0.25">
      <c r="A634" s="7">
        <v>0.39426836073618904</v>
      </c>
      <c r="B634"/>
      <c r="C634"/>
      <c r="D634"/>
      <c r="E634"/>
      <c r="N634" s="27" t="s">
        <v>7</v>
      </c>
      <c r="O634" s="27" t="s">
        <v>8</v>
      </c>
      <c r="Q634" s="27" t="s">
        <v>8</v>
      </c>
      <c r="R634" s="27" t="s">
        <v>7</v>
      </c>
      <c r="AA634" s="27" t="s">
        <v>8</v>
      </c>
      <c r="AB634" s="27" t="s">
        <v>7</v>
      </c>
      <c r="BG634" s="27" t="s">
        <v>8</v>
      </c>
      <c r="BH634" s="27" t="s">
        <v>7</v>
      </c>
      <c r="BI634" s="27" t="s">
        <v>8</v>
      </c>
      <c r="BJ634" s="27" t="s">
        <v>7</v>
      </c>
      <c r="BK634" s="27" t="s">
        <v>8</v>
      </c>
      <c r="BL634" s="27" t="s">
        <v>7</v>
      </c>
      <c r="BM634" s="27" t="s">
        <v>8</v>
      </c>
      <c r="BP634" s="27" t="s">
        <v>7</v>
      </c>
      <c r="BQ634" s="27" t="s">
        <v>8</v>
      </c>
      <c r="BR634" s="27" t="s">
        <v>7</v>
      </c>
      <c r="BS634" s="27" t="s">
        <v>8</v>
      </c>
      <c r="BZ634" s="27" t="s">
        <v>7</v>
      </c>
      <c r="CA634" s="27" t="s">
        <v>8</v>
      </c>
      <c r="CB634" s="27" t="s">
        <v>7</v>
      </c>
      <c r="HC634" s="27" t="s">
        <v>8</v>
      </c>
      <c r="HT634" s="27" t="s">
        <v>7</v>
      </c>
      <c r="IQ634" s="27" t="s">
        <v>8</v>
      </c>
      <c r="IR634" s="27" t="s">
        <v>7</v>
      </c>
      <c r="IS634" s="27" t="s">
        <v>8</v>
      </c>
      <c r="IV634" s="27" t="s">
        <v>7</v>
      </c>
      <c r="JF634" s="27" t="s">
        <v>7</v>
      </c>
      <c r="JG634" s="27" t="s">
        <v>8</v>
      </c>
      <c r="JJ634" s="27" t="s">
        <v>7</v>
      </c>
    </row>
    <row r="635" spans="1:287" x14ac:dyDescent="0.25">
      <c r="A635" s="7">
        <v>0.38653760856489122</v>
      </c>
      <c r="B635"/>
      <c r="C635"/>
      <c r="D635"/>
      <c r="E635"/>
      <c r="N635" s="27" t="s">
        <v>7</v>
      </c>
      <c r="O635" s="27" t="s">
        <v>8</v>
      </c>
      <c r="P635" s="27" t="s">
        <v>7</v>
      </c>
      <c r="Q635" s="27" t="s">
        <v>8</v>
      </c>
      <c r="R635" s="27" t="s">
        <v>7</v>
      </c>
      <c r="W635" s="27" t="s">
        <v>8</v>
      </c>
      <c r="AA635" s="27" t="s">
        <v>8</v>
      </c>
      <c r="AB635" s="27" t="s">
        <v>7</v>
      </c>
      <c r="BG635" s="27" t="s">
        <v>8</v>
      </c>
      <c r="BH635" s="27" t="s">
        <v>7</v>
      </c>
      <c r="BI635" s="27" t="s">
        <v>8</v>
      </c>
      <c r="BJ635" s="27" t="s">
        <v>7</v>
      </c>
      <c r="BK635" s="27" t="s">
        <v>8</v>
      </c>
      <c r="BL635" s="27" t="s">
        <v>7</v>
      </c>
      <c r="BM635" s="27" t="s">
        <v>8</v>
      </c>
      <c r="BP635" s="27" t="s">
        <v>7</v>
      </c>
      <c r="BR635" s="27" t="s">
        <v>7</v>
      </c>
      <c r="BS635" s="27" t="s">
        <v>8</v>
      </c>
      <c r="BZ635" s="27" t="s">
        <v>7</v>
      </c>
      <c r="CA635" s="27" t="s">
        <v>8</v>
      </c>
      <c r="CB635" s="27" t="s">
        <v>7</v>
      </c>
      <c r="HC635" s="27" t="s">
        <v>8</v>
      </c>
      <c r="HT635" s="27" t="s">
        <v>7</v>
      </c>
      <c r="IQ635" s="27" t="s">
        <v>8</v>
      </c>
      <c r="IR635" s="27" t="s">
        <v>7</v>
      </c>
      <c r="IS635" s="27" t="s">
        <v>8</v>
      </c>
      <c r="JF635" s="27" t="s">
        <v>7</v>
      </c>
      <c r="JG635" s="27" t="s">
        <v>8</v>
      </c>
    </row>
    <row r="636" spans="1:287" x14ac:dyDescent="0.25">
      <c r="A636" s="7">
        <v>0.37895843976950117</v>
      </c>
      <c r="B636"/>
      <c r="C636"/>
      <c r="D636"/>
      <c r="E636"/>
      <c r="N636" s="27" t="s">
        <v>7</v>
      </c>
      <c r="O636" s="27" t="s">
        <v>8</v>
      </c>
      <c r="P636" s="27" t="s">
        <v>7</v>
      </c>
      <c r="Q636" s="27" t="s">
        <v>8</v>
      </c>
      <c r="R636" s="27" t="s">
        <v>7</v>
      </c>
      <c r="S636" s="27" t="s">
        <v>8</v>
      </c>
      <c r="W636" s="27" t="s">
        <v>8</v>
      </c>
      <c r="X636" s="27" t="s">
        <v>7</v>
      </c>
      <c r="Y636" s="27" t="s">
        <v>8</v>
      </c>
      <c r="AA636" s="27" t="s">
        <v>8</v>
      </c>
      <c r="AB636" s="27" t="s">
        <v>7</v>
      </c>
      <c r="AC636" s="27" t="s">
        <v>8</v>
      </c>
      <c r="AG636" s="27" t="s">
        <v>8</v>
      </c>
      <c r="AY636" s="27" t="s">
        <v>8</v>
      </c>
      <c r="BG636" s="27" t="s">
        <v>8</v>
      </c>
      <c r="BH636" s="27" t="s">
        <v>7</v>
      </c>
      <c r="BI636" s="27" t="s">
        <v>8</v>
      </c>
      <c r="BJ636" s="27" t="s">
        <v>7</v>
      </c>
      <c r="BL636" s="27" t="s">
        <v>7</v>
      </c>
      <c r="BM636" s="27" t="s">
        <v>8</v>
      </c>
      <c r="BR636" s="27" t="s">
        <v>7</v>
      </c>
      <c r="BS636" s="27" t="s">
        <v>8</v>
      </c>
      <c r="BZ636" s="27" t="s">
        <v>7</v>
      </c>
      <c r="CB636" s="27" t="s">
        <v>7</v>
      </c>
      <c r="HC636" s="27" t="s">
        <v>8</v>
      </c>
      <c r="HT636" s="27" t="s">
        <v>7</v>
      </c>
      <c r="HU636" s="27" t="s">
        <v>8</v>
      </c>
      <c r="IQ636" s="27" t="s">
        <v>8</v>
      </c>
      <c r="IR636" s="27" t="s">
        <v>7</v>
      </c>
      <c r="IS636" s="27" t="s">
        <v>8</v>
      </c>
      <c r="JF636" s="27" t="s">
        <v>7</v>
      </c>
      <c r="JG636" s="27" t="s">
        <v>8</v>
      </c>
    </row>
    <row r="637" spans="1:287" x14ac:dyDescent="0.25">
      <c r="A637" s="7">
        <v>0.37152788212696197</v>
      </c>
      <c r="B637"/>
      <c r="C637"/>
      <c r="D637"/>
      <c r="E637"/>
      <c r="N637" s="27" t="s">
        <v>7</v>
      </c>
      <c r="O637" s="27" t="s">
        <v>8</v>
      </c>
      <c r="P637" s="27" t="s">
        <v>7</v>
      </c>
      <c r="Q637" s="27" t="s">
        <v>8</v>
      </c>
      <c r="R637" s="27" t="s">
        <v>7</v>
      </c>
      <c r="S637" s="27" t="s">
        <v>8</v>
      </c>
      <c r="T637" s="27" t="s">
        <v>7</v>
      </c>
      <c r="W637" s="27" t="s">
        <v>8</v>
      </c>
      <c r="X637" s="27" t="s">
        <v>7</v>
      </c>
      <c r="Y637" s="27" t="s">
        <v>8</v>
      </c>
      <c r="Z637" s="27" t="s">
        <v>7</v>
      </c>
      <c r="AA637" s="27" t="s">
        <v>8</v>
      </c>
      <c r="AB637" s="27" t="s">
        <v>7</v>
      </c>
      <c r="AC637" s="27" t="s">
        <v>8</v>
      </c>
      <c r="AD637" s="27" t="s">
        <v>7</v>
      </c>
      <c r="AE637" s="27" t="s">
        <v>8</v>
      </c>
      <c r="AG637" s="27" t="s">
        <v>8</v>
      </c>
      <c r="AH637" s="27" t="s">
        <v>7</v>
      </c>
      <c r="AY637" s="27" t="s">
        <v>8</v>
      </c>
      <c r="AZ637" s="27" t="s">
        <v>7</v>
      </c>
      <c r="BG637" s="27" t="s">
        <v>8</v>
      </c>
      <c r="BH637" s="27" t="s">
        <v>7</v>
      </c>
      <c r="BI637" s="27" t="s">
        <v>8</v>
      </c>
      <c r="BL637" s="27" t="s">
        <v>7</v>
      </c>
      <c r="BM637" s="27" t="s">
        <v>8</v>
      </c>
      <c r="BR637" s="27" t="s">
        <v>7</v>
      </c>
      <c r="CB637" s="27" t="s">
        <v>7</v>
      </c>
      <c r="HC637" s="27" t="s">
        <v>8</v>
      </c>
      <c r="HT637" s="27" t="s">
        <v>7</v>
      </c>
      <c r="HU637" s="27" t="s">
        <v>8</v>
      </c>
      <c r="HV637" s="27" t="s">
        <v>7</v>
      </c>
      <c r="IQ637" s="27" t="s">
        <v>8</v>
      </c>
      <c r="IR637" s="27" t="s">
        <v>7</v>
      </c>
      <c r="IS637" s="27" t="s">
        <v>8</v>
      </c>
      <c r="JF637" s="27" t="s">
        <v>7</v>
      </c>
    </row>
    <row r="638" spans="1:287" x14ac:dyDescent="0.25">
      <c r="A638" s="7">
        <v>0.36424302169310002</v>
      </c>
      <c r="B638"/>
      <c r="C638"/>
      <c r="D638"/>
      <c r="E638"/>
      <c r="N638" s="27" t="s">
        <v>7</v>
      </c>
      <c r="O638" s="27" t="s">
        <v>8</v>
      </c>
      <c r="P638" s="27" t="s">
        <v>7</v>
      </c>
      <c r="Q638" s="27" t="s">
        <v>8</v>
      </c>
      <c r="R638" s="27" t="s">
        <v>7</v>
      </c>
      <c r="S638" s="27" t="s">
        <v>8</v>
      </c>
      <c r="T638" s="27" t="s">
        <v>7</v>
      </c>
      <c r="W638" s="27" t="s">
        <v>8</v>
      </c>
      <c r="X638" s="27" t="s">
        <v>7</v>
      </c>
      <c r="Y638" s="27" t="s">
        <v>8</v>
      </c>
      <c r="Z638" s="27" t="s">
        <v>7</v>
      </c>
      <c r="AA638" s="27" t="s">
        <v>8</v>
      </c>
      <c r="AB638" s="27" t="s">
        <v>7</v>
      </c>
      <c r="AC638" s="27" t="s">
        <v>8</v>
      </c>
      <c r="AD638" s="27" t="s">
        <v>7</v>
      </c>
      <c r="AE638" s="27" t="s">
        <v>8</v>
      </c>
      <c r="AF638" s="27" t="s">
        <v>7</v>
      </c>
      <c r="AG638" s="27" t="s">
        <v>8</v>
      </c>
      <c r="AH638" s="27" t="s">
        <v>7</v>
      </c>
      <c r="AW638" s="27" t="s">
        <v>8</v>
      </c>
      <c r="AY638" s="27" t="s">
        <v>8</v>
      </c>
      <c r="AZ638" s="27" t="s">
        <v>7</v>
      </c>
      <c r="BG638" s="27" t="s">
        <v>8</v>
      </c>
      <c r="BH638" s="27" t="s">
        <v>7</v>
      </c>
      <c r="BL638" s="27" t="s">
        <v>7</v>
      </c>
      <c r="CB638" s="27" t="s">
        <v>7</v>
      </c>
      <c r="HC638" s="27" t="s">
        <v>8</v>
      </c>
      <c r="HT638" s="27" t="s">
        <v>7</v>
      </c>
      <c r="HU638" s="27" t="s">
        <v>8</v>
      </c>
      <c r="HV638" s="27" t="s">
        <v>7</v>
      </c>
      <c r="IC638" s="27" t="s">
        <v>8</v>
      </c>
      <c r="IE638" s="27" t="s">
        <v>8</v>
      </c>
      <c r="IQ638" s="27" t="s">
        <v>8</v>
      </c>
      <c r="IR638" s="27" t="s">
        <v>7</v>
      </c>
      <c r="IS638" s="27" t="s">
        <v>8</v>
      </c>
    </row>
    <row r="639" spans="1:287" x14ac:dyDescent="0.25">
      <c r="A639" s="7">
        <v>0.35710100165990194</v>
      </c>
      <c r="B639"/>
      <c r="C639"/>
      <c r="D639"/>
      <c r="E639"/>
      <c r="N639" s="27" t="s">
        <v>7</v>
      </c>
      <c r="O639" s="27" t="s">
        <v>8</v>
      </c>
      <c r="P639" s="27" t="s">
        <v>7</v>
      </c>
      <c r="Q639" s="27" t="s">
        <v>8</v>
      </c>
      <c r="R639" s="27" t="s">
        <v>7</v>
      </c>
      <c r="T639" s="27" t="s">
        <v>7</v>
      </c>
      <c r="W639" s="27" t="s">
        <v>8</v>
      </c>
      <c r="X639" s="27" t="s">
        <v>7</v>
      </c>
      <c r="Y639" s="27" t="s">
        <v>8</v>
      </c>
      <c r="Z639" s="27" t="s">
        <v>7</v>
      </c>
      <c r="AA639" s="27" t="s">
        <v>8</v>
      </c>
      <c r="AB639" s="27" t="s">
        <v>7</v>
      </c>
      <c r="AC639" s="27" t="s">
        <v>8</v>
      </c>
      <c r="AD639" s="27" t="s">
        <v>7</v>
      </c>
      <c r="AE639" s="27" t="s">
        <v>8</v>
      </c>
      <c r="AF639" s="27" t="s">
        <v>7</v>
      </c>
      <c r="AG639" s="27" t="s">
        <v>8</v>
      </c>
      <c r="AH639" s="27" t="s">
        <v>7</v>
      </c>
      <c r="AW639" s="27" t="s">
        <v>8</v>
      </c>
      <c r="AX639" s="27" t="s">
        <v>7</v>
      </c>
      <c r="AY639" s="27" t="s">
        <v>8</v>
      </c>
      <c r="AZ639" s="27" t="s">
        <v>7</v>
      </c>
      <c r="BG639" s="27" t="s">
        <v>8</v>
      </c>
      <c r="CB639" s="27" t="s">
        <v>7</v>
      </c>
      <c r="HC639" s="27" t="s">
        <v>8</v>
      </c>
      <c r="HT639" s="27" t="s">
        <v>7</v>
      </c>
      <c r="HU639" s="27" t="s">
        <v>8</v>
      </c>
      <c r="HV639" s="27" t="s">
        <v>7</v>
      </c>
      <c r="IC639" s="27" t="s">
        <v>8</v>
      </c>
      <c r="ID639" s="27" t="s">
        <v>7</v>
      </c>
      <c r="IE639" s="27" t="s">
        <v>8</v>
      </c>
      <c r="IF639" s="27" t="s">
        <v>7</v>
      </c>
      <c r="IQ639" s="27" t="s">
        <v>8</v>
      </c>
      <c r="IR639" s="27" t="s">
        <v>7</v>
      </c>
      <c r="IS639" s="27" t="s">
        <v>8</v>
      </c>
    </row>
    <row r="640" spans="1:287" x14ac:dyDescent="0.25">
      <c r="A640" s="7">
        <v>0.35009902123519804</v>
      </c>
      <c r="B640"/>
      <c r="C640"/>
      <c r="D640"/>
      <c r="E640"/>
      <c r="N640" s="27" t="s">
        <v>7</v>
      </c>
      <c r="O640" s="27" t="s">
        <v>8</v>
      </c>
      <c r="P640" s="27" t="s">
        <v>7</v>
      </c>
      <c r="T640" s="27" t="s">
        <v>7</v>
      </c>
      <c r="W640" s="27" t="s">
        <v>8</v>
      </c>
      <c r="X640" s="27" t="s">
        <v>7</v>
      </c>
      <c r="Y640" s="27" t="s">
        <v>8</v>
      </c>
      <c r="Z640" s="27" t="s">
        <v>7</v>
      </c>
      <c r="AB640" s="27" t="s">
        <v>7</v>
      </c>
      <c r="AC640" s="27" t="s">
        <v>8</v>
      </c>
      <c r="AD640" s="27" t="s">
        <v>7</v>
      </c>
      <c r="AF640" s="27" t="s">
        <v>7</v>
      </c>
      <c r="AH640" s="27" t="s">
        <v>7</v>
      </c>
      <c r="AW640" s="27" t="s">
        <v>8</v>
      </c>
      <c r="AX640" s="27" t="s">
        <v>7</v>
      </c>
      <c r="AY640" s="27" t="s">
        <v>8</v>
      </c>
      <c r="AZ640" s="27" t="s">
        <v>7</v>
      </c>
      <c r="BG640" s="27" t="s">
        <v>8</v>
      </c>
      <c r="CB640" s="27" t="s">
        <v>7</v>
      </c>
      <c r="HC640" s="27" t="s">
        <v>8</v>
      </c>
      <c r="HT640" s="27" t="s">
        <v>7</v>
      </c>
      <c r="HU640" s="27" t="s">
        <v>8</v>
      </c>
      <c r="HV640" s="27" t="s">
        <v>7</v>
      </c>
      <c r="IC640" s="27" t="s">
        <v>8</v>
      </c>
      <c r="ID640" s="27" t="s">
        <v>7</v>
      </c>
      <c r="IE640" s="27" t="s">
        <v>8</v>
      </c>
      <c r="IF640" s="27" t="s">
        <v>7</v>
      </c>
      <c r="IQ640" s="27" t="s">
        <v>8</v>
      </c>
      <c r="IR640" s="27" t="s">
        <v>7</v>
      </c>
      <c r="IS640" s="27" t="s">
        <v>8</v>
      </c>
    </row>
    <row r="641" spans="1:252" x14ac:dyDescent="0.25">
      <c r="A641" s="7">
        <v>0.34323433454431179</v>
      </c>
      <c r="B641"/>
      <c r="C641"/>
      <c r="D641"/>
      <c r="E641"/>
      <c r="N641" s="27" t="s">
        <v>7</v>
      </c>
      <c r="O641" s="27" t="s">
        <v>8</v>
      </c>
      <c r="T641" s="27" t="s">
        <v>7</v>
      </c>
      <c r="W641" s="27" t="s">
        <v>8</v>
      </c>
      <c r="X641" s="27" t="s">
        <v>7</v>
      </c>
      <c r="AB641" s="27" t="s">
        <v>7</v>
      </c>
      <c r="AC641" s="27" t="s">
        <v>8</v>
      </c>
      <c r="AH641" s="27" t="s">
        <v>7</v>
      </c>
      <c r="AO641" s="27" t="s">
        <v>8</v>
      </c>
      <c r="AW641" s="27" t="s">
        <v>8</v>
      </c>
      <c r="AX641" s="27" t="s">
        <v>7</v>
      </c>
      <c r="AY641" s="27" t="s">
        <v>8</v>
      </c>
      <c r="AZ641" s="27" t="s">
        <v>7</v>
      </c>
      <c r="BA641" s="27" t="s">
        <v>8</v>
      </c>
      <c r="BG641" s="27" t="s">
        <v>8</v>
      </c>
      <c r="CB641" s="27" t="s">
        <v>7</v>
      </c>
      <c r="CC641" s="27" t="s">
        <v>8</v>
      </c>
      <c r="HC641" s="27" t="s">
        <v>8</v>
      </c>
      <c r="HT641" s="27" t="s">
        <v>7</v>
      </c>
      <c r="HU641" s="27" t="s">
        <v>8</v>
      </c>
      <c r="HV641" s="27" t="s">
        <v>7</v>
      </c>
      <c r="IC641" s="27" t="s">
        <v>8</v>
      </c>
      <c r="ID641" s="27" t="s">
        <v>7</v>
      </c>
      <c r="IE641" s="27" t="s">
        <v>8</v>
      </c>
      <c r="IF641" s="27" t="s">
        <v>7</v>
      </c>
      <c r="IQ641" s="27" t="s">
        <v>8</v>
      </c>
      <c r="IR641" s="27" t="s">
        <v>7</v>
      </c>
    </row>
    <row r="642" spans="1:252" x14ac:dyDescent="0.25">
      <c r="A642" s="7">
        <v>0.33650424955324681</v>
      </c>
      <c r="B642"/>
      <c r="C642"/>
      <c r="D642"/>
      <c r="E642"/>
      <c r="N642" s="27" t="s">
        <v>7</v>
      </c>
      <c r="O642" s="27" t="s">
        <v>8</v>
      </c>
      <c r="T642" s="27" t="s">
        <v>7</v>
      </c>
      <c r="W642" s="27" t="s">
        <v>8</v>
      </c>
      <c r="AB642" s="27" t="s">
        <v>7</v>
      </c>
      <c r="AC642" s="27" t="s">
        <v>8</v>
      </c>
      <c r="AH642" s="27" t="s">
        <v>7</v>
      </c>
      <c r="AO642" s="27" t="s">
        <v>8</v>
      </c>
      <c r="AP642" s="27" t="s">
        <v>7</v>
      </c>
      <c r="AQ642" s="27" t="s">
        <v>8</v>
      </c>
      <c r="AW642" s="27" t="s">
        <v>8</v>
      </c>
      <c r="AX642" s="27" t="s">
        <v>7</v>
      </c>
      <c r="AY642" s="27" t="s">
        <v>8</v>
      </c>
      <c r="AZ642" s="27" t="s">
        <v>7</v>
      </c>
      <c r="BA642" s="27" t="s">
        <v>8</v>
      </c>
      <c r="BB642" s="27" t="s">
        <v>7</v>
      </c>
      <c r="BE642" s="27" t="s">
        <v>8</v>
      </c>
      <c r="BG642" s="27" t="s">
        <v>8</v>
      </c>
      <c r="CB642" s="27" t="s">
        <v>7</v>
      </c>
      <c r="CC642" s="27" t="s">
        <v>8</v>
      </c>
      <c r="CD642" s="27" t="s">
        <v>7</v>
      </c>
      <c r="CG642" s="27" t="s">
        <v>8</v>
      </c>
      <c r="EG642" s="27" t="s">
        <v>8</v>
      </c>
      <c r="HC642" s="27" t="s">
        <v>8</v>
      </c>
      <c r="HT642" s="27" t="s">
        <v>7</v>
      </c>
      <c r="HU642" s="27" t="s">
        <v>8</v>
      </c>
      <c r="HV642" s="27" t="s">
        <v>7</v>
      </c>
      <c r="IC642" s="27" t="s">
        <v>8</v>
      </c>
      <c r="ID642" s="27" t="s">
        <v>7</v>
      </c>
      <c r="IE642" s="27" t="s">
        <v>8</v>
      </c>
      <c r="IF642" s="27" t="s">
        <v>7</v>
      </c>
      <c r="IQ642" s="27" t="s">
        <v>8</v>
      </c>
    </row>
    <row r="643" spans="1:252" x14ac:dyDescent="0.25">
      <c r="A643" s="7">
        <v>0.3299061270129871</v>
      </c>
      <c r="B643"/>
      <c r="C643"/>
      <c r="D643"/>
      <c r="E643"/>
      <c r="N643" s="27" t="s">
        <v>7</v>
      </c>
      <c r="T643" s="27" t="s">
        <v>7</v>
      </c>
      <c r="W643" s="27" t="s">
        <v>8</v>
      </c>
      <c r="AB643" s="27" t="s">
        <v>7</v>
      </c>
      <c r="AH643" s="27" t="s">
        <v>7</v>
      </c>
      <c r="AI643" s="27" t="s">
        <v>8</v>
      </c>
      <c r="AK643" s="27" t="s">
        <v>8</v>
      </c>
      <c r="AO643" s="27" t="s">
        <v>8</v>
      </c>
      <c r="AP643" s="27" t="s">
        <v>7</v>
      </c>
      <c r="AQ643" s="27" t="s">
        <v>8</v>
      </c>
      <c r="AR643" s="27" t="s">
        <v>7</v>
      </c>
      <c r="AW643" s="27" t="s">
        <v>8</v>
      </c>
      <c r="AX643" s="27" t="s">
        <v>7</v>
      </c>
      <c r="AZ643" s="27" t="s">
        <v>7</v>
      </c>
      <c r="BA643" s="27" t="s">
        <v>8</v>
      </c>
      <c r="BB643" s="27" t="s">
        <v>7</v>
      </c>
      <c r="BE643" s="27" t="s">
        <v>8</v>
      </c>
      <c r="BF643" s="27" t="s">
        <v>7</v>
      </c>
      <c r="BG643" s="27" t="s">
        <v>8</v>
      </c>
      <c r="CB643" s="27" t="s">
        <v>7</v>
      </c>
      <c r="CC643" s="27" t="s">
        <v>8</v>
      </c>
      <c r="CD643" s="27" t="s">
        <v>7</v>
      </c>
      <c r="CG643" s="27" t="s">
        <v>8</v>
      </c>
      <c r="CH643" s="27" t="s">
        <v>7</v>
      </c>
      <c r="CK643" s="27" t="s">
        <v>8</v>
      </c>
      <c r="EG643" s="27" t="s">
        <v>8</v>
      </c>
      <c r="EH643" s="27" t="s">
        <v>7</v>
      </c>
      <c r="HC643" s="27" t="s">
        <v>8</v>
      </c>
      <c r="HT643" s="27" t="s">
        <v>7</v>
      </c>
      <c r="HU643" s="27" t="s">
        <v>8</v>
      </c>
      <c r="HV643" s="27" t="s">
        <v>7</v>
      </c>
      <c r="IC643" s="27" t="s">
        <v>8</v>
      </c>
      <c r="ID643" s="27" t="s">
        <v>7</v>
      </c>
      <c r="IE643" s="27" t="s">
        <v>8</v>
      </c>
      <c r="IF643" s="27" t="s">
        <v>7</v>
      </c>
      <c r="IM643" s="27" t="s">
        <v>8</v>
      </c>
      <c r="IQ643" s="27" t="s">
        <v>8</v>
      </c>
    </row>
    <row r="644" spans="1:252" x14ac:dyDescent="0.25">
      <c r="A644" s="7">
        <v>0.32343737942449713</v>
      </c>
      <c r="B644"/>
      <c r="C644"/>
      <c r="D644"/>
      <c r="E644"/>
      <c r="T644" s="27" t="s">
        <v>7</v>
      </c>
      <c r="U644" s="27" t="s">
        <v>8</v>
      </c>
      <c r="W644" s="27" t="s">
        <v>8</v>
      </c>
      <c r="AH644" s="27" t="s">
        <v>7</v>
      </c>
      <c r="AI644" s="27" t="s">
        <v>8</v>
      </c>
      <c r="AJ644" s="27" t="s">
        <v>7</v>
      </c>
      <c r="AK644" s="27" t="s">
        <v>8</v>
      </c>
      <c r="AL644" s="27" t="s">
        <v>7</v>
      </c>
      <c r="AO644" s="27" t="s">
        <v>8</v>
      </c>
      <c r="AP644" s="27" t="s">
        <v>7</v>
      </c>
      <c r="AQ644" s="27" t="s">
        <v>8</v>
      </c>
      <c r="AR644" s="27" t="s">
        <v>7</v>
      </c>
      <c r="AS644" s="27" t="s">
        <v>8</v>
      </c>
      <c r="AU644" s="27" t="s">
        <v>8</v>
      </c>
      <c r="AW644" s="27" t="s">
        <v>8</v>
      </c>
      <c r="AZ644" s="27" t="s">
        <v>7</v>
      </c>
      <c r="BA644" s="27" t="s">
        <v>8</v>
      </c>
      <c r="BB644" s="27" t="s">
        <v>7</v>
      </c>
      <c r="BE644" s="27" t="s">
        <v>8</v>
      </c>
      <c r="BF644" s="27" t="s">
        <v>7</v>
      </c>
      <c r="BG644" s="27" t="s">
        <v>8</v>
      </c>
      <c r="CB644" s="27" t="s">
        <v>7</v>
      </c>
      <c r="CC644" s="27" t="s">
        <v>8</v>
      </c>
      <c r="CD644" s="27" t="s">
        <v>7</v>
      </c>
      <c r="CE644" s="27" t="s">
        <v>8</v>
      </c>
      <c r="CG644" s="27" t="s">
        <v>8</v>
      </c>
      <c r="CH644" s="27" t="s">
        <v>7</v>
      </c>
      <c r="CI644" s="27" t="s">
        <v>8</v>
      </c>
      <c r="CK644" s="27" t="s">
        <v>8</v>
      </c>
      <c r="CL644" s="27" t="s">
        <v>7</v>
      </c>
      <c r="CU644" s="27" t="s">
        <v>8</v>
      </c>
      <c r="EG644" s="27" t="s">
        <v>8</v>
      </c>
      <c r="EH644" s="27" t="s">
        <v>7</v>
      </c>
      <c r="FY644" s="27" t="s">
        <v>8</v>
      </c>
      <c r="GG644" s="27" t="s">
        <v>8</v>
      </c>
      <c r="HC644" s="27" t="s">
        <v>8</v>
      </c>
      <c r="HT644" s="27" t="s">
        <v>7</v>
      </c>
      <c r="HU644" s="27" t="s">
        <v>8</v>
      </c>
      <c r="HV644" s="27" t="s">
        <v>7</v>
      </c>
      <c r="IC644" s="27" t="s">
        <v>8</v>
      </c>
      <c r="ID644" s="27" t="s">
        <v>7</v>
      </c>
      <c r="IE644" s="27" t="s">
        <v>8</v>
      </c>
      <c r="IF644" s="27" t="s">
        <v>7</v>
      </c>
      <c r="IM644" s="27" t="s">
        <v>8</v>
      </c>
      <c r="IN644" s="27" t="s">
        <v>7</v>
      </c>
      <c r="IQ644" s="27" t="s">
        <v>8</v>
      </c>
    </row>
    <row r="645" spans="1:252" x14ac:dyDescent="0.25">
      <c r="A645" s="7">
        <v>0.31709547002401678</v>
      </c>
      <c r="B645"/>
      <c r="C645"/>
      <c r="D645"/>
      <c r="E645"/>
      <c r="T645" s="27" t="s">
        <v>7</v>
      </c>
      <c r="U645" s="27" t="s">
        <v>8</v>
      </c>
      <c r="V645" s="27" t="s">
        <v>7</v>
      </c>
      <c r="W645" s="27" t="s">
        <v>8</v>
      </c>
      <c r="AH645" s="27" t="s">
        <v>7</v>
      </c>
      <c r="AI645" s="27" t="s">
        <v>8</v>
      </c>
      <c r="AJ645" s="27" t="s">
        <v>7</v>
      </c>
      <c r="AK645" s="27" t="s">
        <v>8</v>
      </c>
      <c r="AL645" s="27" t="s">
        <v>7</v>
      </c>
      <c r="AM645" s="27" t="s">
        <v>8</v>
      </c>
      <c r="AO645" s="27" t="s">
        <v>8</v>
      </c>
      <c r="AP645" s="27" t="s">
        <v>7</v>
      </c>
      <c r="AQ645" s="27" t="s">
        <v>8</v>
      </c>
      <c r="AR645" s="27" t="s">
        <v>7</v>
      </c>
      <c r="AS645" s="27" t="s">
        <v>8</v>
      </c>
      <c r="AT645" s="27" t="s">
        <v>7</v>
      </c>
      <c r="AU645" s="27" t="s">
        <v>8</v>
      </c>
      <c r="AV645" s="27" t="s">
        <v>7</v>
      </c>
      <c r="AW645" s="27" t="s">
        <v>8</v>
      </c>
      <c r="AZ645" s="27" t="s">
        <v>7</v>
      </c>
      <c r="BB645" s="27" t="s">
        <v>7</v>
      </c>
      <c r="BC645" s="27" t="s">
        <v>8</v>
      </c>
      <c r="BE645" s="27" t="s">
        <v>8</v>
      </c>
      <c r="BF645" s="27" t="s">
        <v>7</v>
      </c>
      <c r="BG645" s="27" t="s">
        <v>8</v>
      </c>
      <c r="CB645" s="27" t="s">
        <v>7</v>
      </c>
      <c r="CD645" s="27" t="s">
        <v>7</v>
      </c>
      <c r="CE645" s="27" t="s">
        <v>8</v>
      </c>
      <c r="CF645" s="27" t="s">
        <v>7</v>
      </c>
      <c r="CG645" s="27" t="s">
        <v>8</v>
      </c>
      <c r="CH645" s="27" t="s">
        <v>7</v>
      </c>
      <c r="CI645" s="27" t="s">
        <v>8</v>
      </c>
      <c r="CJ645" s="27" t="s">
        <v>7</v>
      </c>
      <c r="CK645" s="27" t="s">
        <v>8</v>
      </c>
      <c r="CL645" s="27" t="s">
        <v>7</v>
      </c>
      <c r="CU645" s="27" t="s">
        <v>8</v>
      </c>
      <c r="CV645" s="27" t="s">
        <v>7</v>
      </c>
      <c r="EG645" s="27" t="s">
        <v>8</v>
      </c>
      <c r="EH645" s="27" t="s">
        <v>7</v>
      </c>
      <c r="FY645" s="27" t="s">
        <v>8</v>
      </c>
      <c r="FZ645" s="27" t="s">
        <v>7</v>
      </c>
      <c r="GA645" s="27" t="s">
        <v>8</v>
      </c>
      <c r="GG645" s="27" t="s">
        <v>8</v>
      </c>
      <c r="GH645" s="27" t="s">
        <v>7</v>
      </c>
      <c r="HC645" s="27" t="s">
        <v>8</v>
      </c>
      <c r="HT645" s="27" t="s">
        <v>7</v>
      </c>
      <c r="HU645" s="27" t="s">
        <v>8</v>
      </c>
      <c r="HV645" s="27" t="s">
        <v>7</v>
      </c>
      <c r="IC645" s="27" t="s">
        <v>8</v>
      </c>
      <c r="ID645" s="27" t="s">
        <v>7</v>
      </c>
      <c r="IE645" s="27" t="s">
        <v>8</v>
      </c>
      <c r="IF645" s="27" t="s">
        <v>7</v>
      </c>
      <c r="IM645" s="27" t="s">
        <v>8</v>
      </c>
      <c r="IN645" s="27" t="s">
        <v>7</v>
      </c>
      <c r="IQ645" s="27" t="s">
        <v>8</v>
      </c>
    </row>
    <row r="646" spans="1:252" x14ac:dyDescent="0.25">
      <c r="A646" s="7">
        <v>0.31087791178825175</v>
      </c>
      <c r="B646"/>
      <c r="C646"/>
      <c r="D646"/>
      <c r="E646"/>
      <c r="T646" s="27" t="s">
        <v>7</v>
      </c>
      <c r="U646" s="27" t="s">
        <v>8</v>
      </c>
      <c r="V646" s="27" t="s">
        <v>7</v>
      </c>
      <c r="W646" s="27" t="s">
        <v>8</v>
      </c>
      <c r="AH646" s="27" t="s">
        <v>7</v>
      </c>
      <c r="AJ646" s="27" t="s">
        <v>7</v>
      </c>
      <c r="AK646" s="27" t="s">
        <v>8</v>
      </c>
      <c r="AL646" s="27" t="s">
        <v>7</v>
      </c>
      <c r="AM646" s="27" t="s">
        <v>8</v>
      </c>
      <c r="AN646" s="27" t="s">
        <v>7</v>
      </c>
      <c r="AO646" s="27" t="s">
        <v>8</v>
      </c>
      <c r="AP646" s="27" t="s">
        <v>7</v>
      </c>
      <c r="AQ646" s="27" t="s">
        <v>8</v>
      </c>
      <c r="AR646" s="27" t="s">
        <v>7</v>
      </c>
      <c r="AS646" s="27" t="s">
        <v>8</v>
      </c>
      <c r="AT646" s="27" t="s">
        <v>7</v>
      </c>
      <c r="AU646" s="27" t="s">
        <v>8</v>
      </c>
      <c r="AV646" s="27" t="s">
        <v>7</v>
      </c>
      <c r="AW646" s="27" t="s">
        <v>8</v>
      </c>
      <c r="BB646" s="27" t="s">
        <v>7</v>
      </c>
      <c r="BC646" s="27" t="s">
        <v>8</v>
      </c>
      <c r="BD646" s="27" t="s">
        <v>7</v>
      </c>
      <c r="BE646" s="27" t="s">
        <v>8</v>
      </c>
      <c r="BF646" s="27" t="s">
        <v>7</v>
      </c>
      <c r="BG646" s="27" t="s">
        <v>8</v>
      </c>
      <c r="CD646" s="27" t="s">
        <v>7</v>
      </c>
      <c r="CE646" s="27" t="s">
        <v>8</v>
      </c>
      <c r="CF646" s="27" t="s">
        <v>7</v>
      </c>
      <c r="CG646" s="27" t="s">
        <v>8</v>
      </c>
      <c r="CH646" s="27" t="s">
        <v>7</v>
      </c>
      <c r="CI646" s="27" t="s">
        <v>8</v>
      </c>
      <c r="CJ646" s="27" t="s">
        <v>7</v>
      </c>
      <c r="CK646" s="27" t="s">
        <v>8</v>
      </c>
      <c r="CL646" s="27" t="s">
        <v>7</v>
      </c>
      <c r="CU646" s="27" t="s">
        <v>8</v>
      </c>
      <c r="CV646" s="27" t="s">
        <v>7</v>
      </c>
      <c r="DI646" s="27" t="s">
        <v>8</v>
      </c>
      <c r="DK646" s="27" t="s">
        <v>8</v>
      </c>
      <c r="EG646" s="27" t="s">
        <v>8</v>
      </c>
      <c r="EH646" s="27" t="s">
        <v>7</v>
      </c>
      <c r="FY646" s="27" t="s">
        <v>8</v>
      </c>
      <c r="FZ646" s="27" t="s">
        <v>7</v>
      </c>
      <c r="GA646" s="27" t="s">
        <v>8</v>
      </c>
      <c r="GB646" s="27" t="s">
        <v>7</v>
      </c>
      <c r="GC646" s="27" t="s">
        <v>8</v>
      </c>
      <c r="GG646" s="27" t="s">
        <v>8</v>
      </c>
      <c r="GH646" s="27" t="s">
        <v>7</v>
      </c>
      <c r="HC646" s="27" t="s">
        <v>8</v>
      </c>
      <c r="HT646" s="27" t="s">
        <v>7</v>
      </c>
      <c r="HU646" s="27" t="s">
        <v>8</v>
      </c>
      <c r="HV646" s="27" t="s">
        <v>7</v>
      </c>
      <c r="IC646" s="27" t="s">
        <v>8</v>
      </c>
      <c r="ID646" s="27" t="s">
        <v>7</v>
      </c>
      <c r="IE646" s="27" t="s">
        <v>8</v>
      </c>
      <c r="IF646" s="27" t="s">
        <v>7</v>
      </c>
      <c r="IM646" s="27" t="s">
        <v>8</v>
      </c>
      <c r="IN646" s="27" t="s">
        <v>7</v>
      </c>
      <c r="IQ646" s="27" t="s">
        <v>8</v>
      </c>
    </row>
    <row r="647" spans="1:252" x14ac:dyDescent="0.25">
      <c r="A647" s="7">
        <v>0.30478226645907036</v>
      </c>
      <c r="B647"/>
      <c r="C647"/>
      <c r="D647"/>
      <c r="E647"/>
      <c r="T647" s="27" t="s">
        <v>7</v>
      </c>
      <c r="U647" s="27" t="s">
        <v>8</v>
      </c>
      <c r="V647" s="27" t="s">
        <v>7</v>
      </c>
      <c r="W647" s="27" t="s">
        <v>8</v>
      </c>
      <c r="AJ647" s="27" t="s">
        <v>7</v>
      </c>
      <c r="AK647" s="27" t="s">
        <v>8</v>
      </c>
      <c r="AL647" s="27" t="s">
        <v>7</v>
      </c>
      <c r="AM647" s="27" t="s">
        <v>8</v>
      </c>
      <c r="AN647" s="27" t="s">
        <v>7</v>
      </c>
      <c r="AO647" s="27" t="s">
        <v>8</v>
      </c>
      <c r="AP647" s="27" t="s">
        <v>7</v>
      </c>
      <c r="AQ647" s="27" t="s">
        <v>8</v>
      </c>
      <c r="AR647" s="27" t="s">
        <v>7</v>
      </c>
      <c r="AT647" s="27" t="s">
        <v>7</v>
      </c>
      <c r="AU647" s="27" t="s">
        <v>8</v>
      </c>
      <c r="AV647" s="27" t="s">
        <v>7</v>
      </c>
      <c r="AW647" s="27" t="s">
        <v>8</v>
      </c>
      <c r="BB647" s="27" t="s">
        <v>7</v>
      </c>
      <c r="BC647" s="27" t="s">
        <v>8</v>
      </c>
      <c r="BD647" s="27" t="s">
        <v>7</v>
      </c>
      <c r="BE647" s="27" t="s">
        <v>8</v>
      </c>
      <c r="BF647" s="27" t="s">
        <v>7</v>
      </c>
      <c r="CD647" s="27" t="s">
        <v>7</v>
      </c>
      <c r="CE647" s="27" t="s">
        <v>8</v>
      </c>
      <c r="CF647" s="27" t="s">
        <v>7</v>
      </c>
      <c r="CH647" s="27" t="s">
        <v>7</v>
      </c>
      <c r="CJ647" s="27" t="s">
        <v>7</v>
      </c>
      <c r="CL647" s="27" t="s">
        <v>7</v>
      </c>
      <c r="CU647" s="27" t="s">
        <v>8</v>
      </c>
      <c r="CV647" s="27" t="s">
        <v>7</v>
      </c>
      <c r="DI647" s="27" t="s">
        <v>8</v>
      </c>
      <c r="DJ647" s="27" t="s">
        <v>7</v>
      </c>
      <c r="DK647" s="27" t="s">
        <v>8</v>
      </c>
      <c r="DL647" s="27" t="s">
        <v>7</v>
      </c>
      <c r="EG647" s="27" t="s">
        <v>8</v>
      </c>
      <c r="EH647" s="27" t="s">
        <v>7</v>
      </c>
      <c r="EI647" s="27" t="s">
        <v>8</v>
      </c>
      <c r="FY647" s="27" t="s">
        <v>8</v>
      </c>
      <c r="FZ647" s="27" t="s">
        <v>7</v>
      </c>
      <c r="GA647" s="27" t="s">
        <v>8</v>
      </c>
      <c r="GB647" s="27" t="s">
        <v>7</v>
      </c>
      <c r="GC647" s="27" t="s">
        <v>8</v>
      </c>
      <c r="GD647" s="27" t="s">
        <v>7</v>
      </c>
      <c r="GE647" s="27" t="s">
        <v>8</v>
      </c>
      <c r="GG647" s="27" t="s">
        <v>8</v>
      </c>
      <c r="GH647" s="27" t="s">
        <v>7</v>
      </c>
      <c r="HA647" s="27" t="s">
        <v>8</v>
      </c>
      <c r="HC647" s="27" t="s">
        <v>8</v>
      </c>
      <c r="HT647" s="27" t="s">
        <v>7</v>
      </c>
      <c r="HU647" s="27" t="s">
        <v>8</v>
      </c>
      <c r="HV647" s="27" t="s">
        <v>7</v>
      </c>
      <c r="IC647" s="27" t="s">
        <v>8</v>
      </c>
      <c r="ID647" s="27" t="s">
        <v>7</v>
      </c>
      <c r="IE647" s="27" t="s">
        <v>8</v>
      </c>
      <c r="IF647" s="27" t="s">
        <v>7</v>
      </c>
      <c r="IG647" s="27" t="s">
        <v>8</v>
      </c>
      <c r="II647" s="27" t="s">
        <v>8</v>
      </c>
      <c r="IM647" s="27" t="s">
        <v>8</v>
      </c>
      <c r="IN647" s="27" t="s">
        <v>7</v>
      </c>
      <c r="IQ647" s="27" t="s">
        <v>8</v>
      </c>
    </row>
    <row r="648" spans="1:252" x14ac:dyDescent="0.25">
      <c r="A648" s="7">
        <v>0.29880614358732388</v>
      </c>
      <c r="B648"/>
      <c r="C648"/>
      <c r="D648"/>
      <c r="E648"/>
      <c r="T648" s="27" t="s">
        <v>7</v>
      </c>
      <c r="U648" s="27" t="s">
        <v>8</v>
      </c>
      <c r="V648" s="27" t="s">
        <v>7</v>
      </c>
      <c r="W648" s="27" t="s">
        <v>8</v>
      </c>
      <c r="AJ648" s="27" t="s">
        <v>7</v>
      </c>
      <c r="AK648" s="27" t="s">
        <v>8</v>
      </c>
      <c r="AL648" s="27" t="s">
        <v>7</v>
      </c>
      <c r="AM648" s="27" t="s">
        <v>8</v>
      </c>
      <c r="AN648" s="27" t="s">
        <v>7</v>
      </c>
      <c r="AP648" s="27" t="s">
        <v>7</v>
      </c>
      <c r="AT648" s="27" t="s">
        <v>7</v>
      </c>
      <c r="AV648" s="27" t="s">
        <v>7</v>
      </c>
      <c r="AW648" s="27" t="s">
        <v>8</v>
      </c>
      <c r="BB648" s="27" t="s">
        <v>7</v>
      </c>
      <c r="BC648" s="27" t="s">
        <v>8</v>
      </c>
      <c r="BD648" s="27" t="s">
        <v>7</v>
      </c>
      <c r="BE648" s="27" t="s">
        <v>8</v>
      </c>
      <c r="CD648" s="27" t="s">
        <v>7</v>
      </c>
      <c r="CE648" s="27" t="s">
        <v>8</v>
      </c>
      <c r="CL648" s="27" t="s">
        <v>7</v>
      </c>
      <c r="CU648" s="27" t="s">
        <v>8</v>
      </c>
      <c r="CV648" s="27" t="s">
        <v>7</v>
      </c>
      <c r="DC648" s="27" t="s">
        <v>8</v>
      </c>
      <c r="DE648" s="27" t="s">
        <v>8</v>
      </c>
      <c r="DG648" s="27" t="s">
        <v>8</v>
      </c>
      <c r="DI648" s="27" t="s">
        <v>8</v>
      </c>
      <c r="DJ648" s="27" t="s">
        <v>7</v>
      </c>
      <c r="DK648" s="27" t="s">
        <v>8</v>
      </c>
      <c r="DL648" s="27" t="s">
        <v>7</v>
      </c>
      <c r="EG648" s="27" t="s">
        <v>8</v>
      </c>
      <c r="EH648" s="27" t="s">
        <v>7</v>
      </c>
      <c r="EI648" s="27" t="s">
        <v>8</v>
      </c>
      <c r="EJ648" s="27" t="s">
        <v>7</v>
      </c>
      <c r="FY648" s="27" t="s">
        <v>8</v>
      </c>
      <c r="FZ648" s="27" t="s">
        <v>7</v>
      </c>
      <c r="GA648" s="27" t="s">
        <v>8</v>
      </c>
      <c r="GB648" s="27" t="s">
        <v>7</v>
      </c>
      <c r="GC648" s="27" t="s">
        <v>8</v>
      </c>
      <c r="GD648" s="27" t="s">
        <v>7</v>
      </c>
      <c r="GE648" s="27" t="s">
        <v>8</v>
      </c>
      <c r="GF648" s="27" t="s">
        <v>7</v>
      </c>
      <c r="GG648" s="27" t="s">
        <v>8</v>
      </c>
      <c r="GH648" s="27" t="s">
        <v>7</v>
      </c>
      <c r="GI648" s="27" t="s">
        <v>8</v>
      </c>
      <c r="HA648" s="27" t="s">
        <v>8</v>
      </c>
      <c r="HB648" s="27" t="s">
        <v>7</v>
      </c>
      <c r="HC648" s="27" t="s">
        <v>8</v>
      </c>
      <c r="HT648" s="27" t="s">
        <v>7</v>
      </c>
      <c r="HU648" s="27" t="s">
        <v>8</v>
      </c>
      <c r="HV648" s="27" t="s">
        <v>7</v>
      </c>
      <c r="IC648" s="27" t="s">
        <v>8</v>
      </c>
      <c r="ID648" s="27" t="s">
        <v>7</v>
      </c>
      <c r="IE648" s="27" t="s">
        <v>8</v>
      </c>
      <c r="IF648" s="27" t="s">
        <v>7</v>
      </c>
      <c r="IG648" s="27" t="s">
        <v>8</v>
      </c>
      <c r="IH648" s="27" t="s">
        <v>7</v>
      </c>
      <c r="II648" s="27" t="s">
        <v>8</v>
      </c>
      <c r="IJ648" s="27" t="s">
        <v>7</v>
      </c>
      <c r="IM648" s="27" t="s">
        <v>8</v>
      </c>
      <c r="IN648" s="27" t="s">
        <v>7</v>
      </c>
      <c r="IQ648" s="27" t="s">
        <v>8</v>
      </c>
    </row>
    <row r="649" spans="1:252" x14ac:dyDescent="0.25">
      <c r="A649" s="7">
        <v>0.2929471995954156</v>
      </c>
      <c r="B649"/>
      <c r="C649"/>
      <c r="D649"/>
      <c r="E649"/>
      <c r="T649" s="27" t="s">
        <v>7</v>
      </c>
      <c r="U649" s="27" t="s">
        <v>8</v>
      </c>
      <c r="V649" s="27" t="s">
        <v>7</v>
      </c>
      <c r="W649" s="27" t="s">
        <v>8</v>
      </c>
      <c r="AJ649" s="27" t="s">
        <v>7</v>
      </c>
      <c r="AK649" s="27" t="s">
        <v>8</v>
      </c>
      <c r="AL649" s="27" t="s">
        <v>7</v>
      </c>
      <c r="AV649" s="27" t="s">
        <v>7</v>
      </c>
      <c r="BB649" s="27" t="s">
        <v>7</v>
      </c>
      <c r="BC649" s="27" t="s">
        <v>8</v>
      </c>
      <c r="BD649" s="27" t="s">
        <v>7</v>
      </c>
      <c r="CD649" s="27" t="s">
        <v>7</v>
      </c>
      <c r="CE649" s="27" t="s">
        <v>8</v>
      </c>
      <c r="CL649" s="27" t="s">
        <v>7</v>
      </c>
      <c r="CU649" s="27" t="s">
        <v>8</v>
      </c>
      <c r="CV649" s="27" t="s">
        <v>7</v>
      </c>
      <c r="DC649" s="27" t="s">
        <v>8</v>
      </c>
      <c r="DD649" s="27" t="s">
        <v>7</v>
      </c>
      <c r="DE649" s="27" t="s">
        <v>8</v>
      </c>
      <c r="DF649" s="27" t="s">
        <v>7</v>
      </c>
      <c r="DG649" s="27" t="s">
        <v>8</v>
      </c>
      <c r="DH649" s="27" t="s">
        <v>7</v>
      </c>
      <c r="DI649" s="27" t="s">
        <v>8</v>
      </c>
      <c r="DJ649" s="27" t="s">
        <v>7</v>
      </c>
      <c r="DK649" s="27" t="s">
        <v>8</v>
      </c>
      <c r="DL649" s="27" t="s">
        <v>7</v>
      </c>
      <c r="EG649" s="27" t="s">
        <v>8</v>
      </c>
      <c r="EH649" s="27" t="s">
        <v>7</v>
      </c>
      <c r="EI649" s="27" t="s">
        <v>8</v>
      </c>
      <c r="EJ649" s="27" t="s">
        <v>7</v>
      </c>
      <c r="FY649" s="27" t="s">
        <v>8</v>
      </c>
      <c r="FZ649" s="27" t="s">
        <v>7</v>
      </c>
      <c r="GA649" s="27" t="s">
        <v>8</v>
      </c>
      <c r="GB649" s="27" t="s">
        <v>7</v>
      </c>
      <c r="GD649" s="27" t="s">
        <v>7</v>
      </c>
      <c r="GE649" s="27" t="s">
        <v>8</v>
      </c>
      <c r="GF649" s="27" t="s">
        <v>7</v>
      </c>
      <c r="GG649" s="27" t="s">
        <v>8</v>
      </c>
      <c r="GH649" s="27" t="s">
        <v>7</v>
      </c>
      <c r="GI649" s="27" t="s">
        <v>8</v>
      </c>
      <c r="GJ649" s="27" t="s">
        <v>7</v>
      </c>
      <c r="HA649" s="27" t="s">
        <v>8</v>
      </c>
      <c r="HB649" s="27" t="s">
        <v>7</v>
      </c>
      <c r="HC649" s="27" t="s">
        <v>8</v>
      </c>
      <c r="HT649" s="27" t="s">
        <v>7</v>
      </c>
      <c r="HU649" s="27" t="s">
        <v>8</v>
      </c>
      <c r="HV649" s="27" t="s">
        <v>7</v>
      </c>
      <c r="IC649" s="27" t="s">
        <v>8</v>
      </c>
      <c r="ID649" s="27" t="s">
        <v>7</v>
      </c>
      <c r="IE649" s="27" t="s">
        <v>8</v>
      </c>
      <c r="IF649" s="27" t="s">
        <v>7</v>
      </c>
      <c r="IG649" s="27" t="s">
        <v>8</v>
      </c>
      <c r="IH649" s="27" t="s">
        <v>7</v>
      </c>
      <c r="II649" s="27" t="s">
        <v>8</v>
      </c>
      <c r="IJ649" s="27" t="s">
        <v>7</v>
      </c>
      <c r="IK649" s="27" t="s">
        <v>8</v>
      </c>
      <c r="IM649" s="27" t="s">
        <v>8</v>
      </c>
      <c r="IN649" s="27" t="s">
        <v>7</v>
      </c>
      <c r="IQ649" s="27" t="s">
        <v>8</v>
      </c>
    </row>
    <row r="650" spans="1:252" x14ac:dyDescent="0.25">
      <c r="A650" s="7">
        <v>0.28720313685825055</v>
      </c>
      <c r="B650"/>
      <c r="C650"/>
      <c r="D650"/>
      <c r="E650"/>
      <c r="T650" s="27" t="s">
        <v>7</v>
      </c>
      <c r="V650" s="27" t="s">
        <v>7</v>
      </c>
      <c r="W650" s="27" t="s">
        <v>8</v>
      </c>
      <c r="AJ650" s="27" t="s">
        <v>7</v>
      </c>
      <c r="AK650" s="27" t="s">
        <v>8</v>
      </c>
      <c r="BB650" s="27" t="s">
        <v>7</v>
      </c>
      <c r="CD650" s="27" t="s">
        <v>7</v>
      </c>
      <c r="CL650" s="27" t="s">
        <v>7</v>
      </c>
      <c r="CO650" s="27" t="s">
        <v>8</v>
      </c>
      <c r="CU650" s="27" t="s">
        <v>8</v>
      </c>
      <c r="CV650" s="27" t="s">
        <v>7</v>
      </c>
      <c r="DC650" s="27" t="s">
        <v>8</v>
      </c>
      <c r="DD650" s="27" t="s">
        <v>7</v>
      </c>
      <c r="DE650" s="27" t="s">
        <v>8</v>
      </c>
      <c r="DF650" s="27" t="s">
        <v>7</v>
      </c>
      <c r="DG650" s="27" t="s">
        <v>8</v>
      </c>
      <c r="DH650" s="27" t="s">
        <v>7</v>
      </c>
      <c r="DI650" s="27" t="s">
        <v>8</v>
      </c>
      <c r="DJ650" s="27" t="s">
        <v>7</v>
      </c>
      <c r="DL650" s="27" t="s">
        <v>7</v>
      </c>
      <c r="EC650" s="27" t="s">
        <v>8</v>
      </c>
      <c r="EE650" s="27" t="s">
        <v>8</v>
      </c>
      <c r="EG650" s="27" t="s">
        <v>8</v>
      </c>
      <c r="EH650" s="27" t="s">
        <v>7</v>
      </c>
      <c r="EI650" s="27" t="s">
        <v>8</v>
      </c>
      <c r="EJ650" s="27" t="s">
        <v>7</v>
      </c>
      <c r="FY650" s="27" t="s">
        <v>8</v>
      </c>
      <c r="FZ650" s="27" t="s">
        <v>7</v>
      </c>
      <c r="GD650" s="27" t="s">
        <v>7</v>
      </c>
      <c r="GE650" s="27" t="s">
        <v>8</v>
      </c>
      <c r="GF650" s="27" t="s">
        <v>7</v>
      </c>
      <c r="GG650" s="27" t="s">
        <v>8</v>
      </c>
      <c r="GH650" s="27" t="s">
        <v>7</v>
      </c>
      <c r="GI650" s="27" t="s">
        <v>8</v>
      </c>
      <c r="GJ650" s="27" t="s">
        <v>7</v>
      </c>
      <c r="HA650" s="27" t="s">
        <v>8</v>
      </c>
      <c r="HB650" s="27" t="s">
        <v>7</v>
      </c>
      <c r="HC650" s="27" t="s">
        <v>8</v>
      </c>
      <c r="HT650" s="27" t="s">
        <v>7</v>
      </c>
      <c r="HU650" s="27" t="s">
        <v>8</v>
      </c>
      <c r="HV650" s="27" t="s">
        <v>7</v>
      </c>
      <c r="IC650" s="27" t="s">
        <v>8</v>
      </c>
      <c r="ID650" s="27" t="s">
        <v>7</v>
      </c>
      <c r="IF650" s="27" t="s">
        <v>7</v>
      </c>
      <c r="IG650" s="27" t="s">
        <v>8</v>
      </c>
      <c r="IH650" s="27" t="s">
        <v>7</v>
      </c>
      <c r="IJ650" s="27" t="s">
        <v>7</v>
      </c>
      <c r="IK650" s="27" t="s">
        <v>8</v>
      </c>
      <c r="IL650" s="27" t="s">
        <v>7</v>
      </c>
      <c r="IM650" s="27" t="s">
        <v>8</v>
      </c>
      <c r="IN650" s="27" t="s">
        <v>7</v>
      </c>
      <c r="IQ650" s="27" t="s">
        <v>8</v>
      </c>
    </row>
    <row r="651" spans="1:252" x14ac:dyDescent="0.25">
      <c r="A651" s="7">
        <v>0.28157170280220645</v>
      </c>
      <c r="B651"/>
      <c r="C651"/>
      <c r="D651"/>
      <c r="E651"/>
      <c r="V651" s="27" t="s">
        <v>7</v>
      </c>
      <c r="AJ651" s="27" t="s">
        <v>7</v>
      </c>
      <c r="CL651" s="27" t="s">
        <v>7</v>
      </c>
      <c r="CO651" s="27" t="s">
        <v>8</v>
      </c>
      <c r="CP651" s="27" t="s">
        <v>7</v>
      </c>
      <c r="CU651" s="27" t="s">
        <v>8</v>
      </c>
      <c r="CV651" s="27" t="s">
        <v>7</v>
      </c>
      <c r="DA651" s="27" t="s">
        <v>8</v>
      </c>
      <c r="DC651" s="27" t="s">
        <v>8</v>
      </c>
      <c r="DD651" s="27" t="s">
        <v>7</v>
      </c>
      <c r="DF651" s="27" t="s">
        <v>7</v>
      </c>
      <c r="DH651" s="27" t="s">
        <v>7</v>
      </c>
      <c r="DI651" s="27" t="s">
        <v>8</v>
      </c>
      <c r="DL651" s="27" t="s">
        <v>7</v>
      </c>
      <c r="EC651" s="27" t="s">
        <v>8</v>
      </c>
      <c r="ED651" s="27" t="s">
        <v>7</v>
      </c>
      <c r="EE651" s="27" t="s">
        <v>8</v>
      </c>
      <c r="EF651" s="27" t="s">
        <v>7</v>
      </c>
      <c r="EG651" s="27" t="s">
        <v>8</v>
      </c>
      <c r="EH651" s="27" t="s">
        <v>7</v>
      </c>
      <c r="EI651" s="27" t="s">
        <v>8</v>
      </c>
      <c r="EJ651" s="27" t="s">
        <v>7</v>
      </c>
      <c r="EK651" s="27" t="s">
        <v>8</v>
      </c>
      <c r="FY651" s="27" t="s">
        <v>8</v>
      </c>
      <c r="GD651" s="27" t="s">
        <v>7</v>
      </c>
      <c r="GF651" s="27" t="s">
        <v>7</v>
      </c>
      <c r="GG651" s="27" t="s">
        <v>8</v>
      </c>
      <c r="GH651" s="27" t="s">
        <v>7</v>
      </c>
      <c r="GI651" s="27" t="s">
        <v>8</v>
      </c>
      <c r="GJ651" s="27" t="s">
        <v>7</v>
      </c>
      <c r="HA651" s="27" t="s">
        <v>8</v>
      </c>
      <c r="HB651" s="27" t="s">
        <v>7</v>
      </c>
      <c r="HT651" s="27" t="s">
        <v>7</v>
      </c>
      <c r="HU651" s="27" t="s">
        <v>8</v>
      </c>
      <c r="HV651" s="27" t="s">
        <v>7</v>
      </c>
      <c r="IC651" s="27" t="s">
        <v>8</v>
      </c>
      <c r="IF651" s="27" t="s">
        <v>7</v>
      </c>
      <c r="IG651" s="27" t="s">
        <v>8</v>
      </c>
      <c r="IJ651" s="27" t="s">
        <v>7</v>
      </c>
      <c r="IK651" s="27" t="s">
        <v>8</v>
      </c>
      <c r="IL651" s="27" t="s">
        <v>7</v>
      </c>
      <c r="IM651" s="27" t="s">
        <v>8</v>
      </c>
      <c r="IN651" s="27" t="s">
        <v>7</v>
      </c>
      <c r="IO651" s="27" t="s">
        <v>8</v>
      </c>
      <c r="IQ651" s="27" t="s">
        <v>8</v>
      </c>
    </row>
    <row r="652" spans="1:252" x14ac:dyDescent="0.25">
      <c r="A652" s="7">
        <v>0.27605068902177105</v>
      </c>
      <c r="B652"/>
      <c r="C652"/>
      <c r="D652"/>
      <c r="E652"/>
      <c r="CL652" s="27" t="s">
        <v>7</v>
      </c>
      <c r="CO652" s="27" t="s">
        <v>8</v>
      </c>
      <c r="CP652" s="27" t="s">
        <v>7</v>
      </c>
      <c r="CQ652" s="27" t="s">
        <v>8</v>
      </c>
      <c r="CU652" s="27" t="s">
        <v>8</v>
      </c>
      <c r="CV652" s="27" t="s">
        <v>7</v>
      </c>
      <c r="DA652" s="27" t="s">
        <v>8</v>
      </c>
      <c r="DB652" s="27" t="s">
        <v>7</v>
      </c>
      <c r="DC652" s="27" t="s">
        <v>8</v>
      </c>
      <c r="DH652" s="27" t="s">
        <v>7</v>
      </c>
      <c r="DI652" s="27" t="s">
        <v>8</v>
      </c>
      <c r="DL652" s="27" t="s">
        <v>7</v>
      </c>
      <c r="EC652" s="27" t="s">
        <v>8</v>
      </c>
      <c r="ED652" s="27" t="s">
        <v>7</v>
      </c>
      <c r="EE652" s="27" t="s">
        <v>8</v>
      </c>
      <c r="EF652" s="27" t="s">
        <v>7</v>
      </c>
      <c r="EG652" s="27" t="s">
        <v>8</v>
      </c>
      <c r="EH652" s="27" t="s">
        <v>7</v>
      </c>
      <c r="EI652" s="27" t="s">
        <v>8</v>
      </c>
      <c r="EJ652" s="27" t="s">
        <v>7</v>
      </c>
      <c r="EK652" s="27" t="s">
        <v>8</v>
      </c>
      <c r="EL652" s="27" t="s">
        <v>7</v>
      </c>
      <c r="FY652" s="27" t="s">
        <v>8</v>
      </c>
      <c r="GF652" s="27" t="s">
        <v>7</v>
      </c>
      <c r="GH652" s="27" t="s">
        <v>7</v>
      </c>
      <c r="GI652" s="27" t="s">
        <v>8</v>
      </c>
      <c r="GJ652" s="27" t="s">
        <v>7</v>
      </c>
      <c r="HA652" s="27" t="s">
        <v>8</v>
      </c>
      <c r="HT652" s="27" t="s">
        <v>7</v>
      </c>
      <c r="HU652" s="27" t="s">
        <v>8</v>
      </c>
      <c r="HV652" s="27" t="s">
        <v>7</v>
      </c>
      <c r="IC652" s="27" t="s">
        <v>8</v>
      </c>
      <c r="IF652" s="27" t="s">
        <v>7</v>
      </c>
      <c r="IG652" s="27" t="s">
        <v>8</v>
      </c>
      <c r="IJ652" s="27" t="s">
        <v>7</v>
      </c>
      <c r="IK652" s="27" t="s">
        <v>8</v>
      </c>
      <c r="IL652" s="27" t="s">
        <v>7</v>
      </c>
      <c r="IM652" s="27" t="s">
        <v>8</v>
      </c>
      <c r="IN652" s="27" t="s">
        <v>7</v>
      </c>
      <c r="IO652" s="27" t="s">
        <v>8</v>
      </c>
      <c r="IP652" s="27" t="s">
        <v>7</v>
      </c>
      <c r="IQ652" s="27" t="s">
        <v>8</v>
      </c>
    </row>
    <row r="653" spans="1:252" x14ac:dyDescent="0.25">
      <c r="A653" s="7">
        <v>0.27063793041350104</v>
      </c>
      <c r="B653"/>
      <c r="C653"/>
      <c r="D653"/>
      <c r="E653"/>
      <c r="CL653" s="27" t="s">
        <v>7</v>
      </c>
      <c r="CM653" s="27" t="s">
        <v>8</v>
      </c>
      <c r="CO653" s="27" t="s">
        <v>8</v>
      </c>
      <c r="CP653" s="27" t="s">
        <v>7</v>
      </c>
      <c r="CQ653" s="27" t="s">
        <v>8</v>
      </c>
      <c r="CR653" s="27" t="s">
        <v>7</v>
      </c>
      <c r="CU653" s="27" t="s">
        <v>8</v>
      </c>
      <c r="CV653" s="27" t="s">
        <v>7</v>
      </c>
      <c r="DA653" s="27" t="s">
        <v>8</v>
      </c>
      <c r="DB653" s="27" t="s">
        <v>7</v>
      </c>
      <c r="DC653" s="27" t="s">
        <v>8</v>
      </c>
      <c r="DH653" s="27" t="s">
        <v>7</v>
      </c>
      <c r="DI653" s="27" t="s">
        <v>8</v>
      </c>
      <c r="DL653" s="27" t="s">
        <v>7</v>
      </c>
      <c r="EC653" s="27" t="s">
        <v>8</v>
      </c>
      <c r="ED653" s="27" t="s">
        <v>7</v>
      </c>
      <c r="EE653" s="27" t="s">
        <v>8</v>
      </c>
      <c r="EF653" s="27" t="s">
        <v>7</v>
      </c>
      <c r="EH653" s="27" t="s">
        <v>7</v>
      </c>
      <c r="EJ653" s="27" t="s">
        <v>7</v>
      </c>
      <c r="EK653" s="27" t="s">
        <v>8</v>
      </c>
      <c r="EL653" s="27" t="s">
        <v>7</v>
      </c>
      <c r="FY653" s="27" t="s">
        <v>8</v>
      </c>
      <c r="GH653" s="27" t="s">
        <v>7</v>
      </c>
      <c r="GI653" s="27" t="s">
        <v>8</v>
      </c>
      <c r="GJ653" s="27" t="s">
        <v>7</v>
      </c>
      <c r="HA653" s="27" t="s">
        <v>8</v>
      </c>
      <c r="HT653" s="27" t="s">
        <v>7</v>
      </c>
      <c r="HU653" s="27" t="s">
        <v>8</v>
      </c>
      <c r="HV653" s="27" t="s">
        <v>7</v>
      </c>
      <c r="IC653" s="27" t="s">
        <v>8</v>
      </c>
      <c r="IF653" s="27" t="s">
        <v>7</v>
      </c>
      <c r="IG653" s="27" t="s">
        <v>8</v>
      </c>
      <c r="IJ653" s="27" t="s">
        <v>7</v>
      </c>
      <c r="IK653" s="27" t="s">
        <v>8</v>
      </c>
      <c r="IL653" s="27" t="s">
        <v>7</v>
      </c>
      <c r="IN653" s="27" t="s">
        <v>7</v>
      </c>
      <c r="IO653" s="27" t="s">
        <v>8</v>
      </c>
      <c r="IP653" s="27" t="s">
        <v>7</v>
      </c>
      <c r="IQ653" s="27" t="s">
        <v>8</v>
      </c>
    </row>
    <row r="654" spans="1:252" x14ac:dyDescent="0.25">
      <c r="A654" s="7">
        <v>0.26533130432696184</v>
      </c>
      <c r="B654"/>
      <c r="C654"/>
      <c r="D654"/>
      <c r="E654"/>
      <c r="CL654" s="27" t="s">
        <v>7</v>
      </c>
      <c r="CM654" s="27" t="s">
        <v>8</v>
      </c>
      <c r="CN654" s="27" t="s">
        <v>7</v>
      </c>
      <c r="CO654" s="27" t="s">
        <v>8</v>
      </c>
      <c r="CP654" s="27" t="s">
        <v>7</v>
      </c>
      <c r="CQ654" s="27" t="s">
        <v>8</v>
      </c>
      <c r="CR654" s="27" t="s">
        <v>7</v>
      </c>
      <c r="CS654" s="27" t="s">
        <v>8</v>
      </c>
      <c r="CU654" s="27" t="s">
        <v>8</v>
      </c>
      <c r="CV654" s="27" t="s">
        <v>7</v>
      </c>
      <c r="DA654" s="27" t="s">
        <v>8</v>
      </c>
      <c r="DB654" s="27" t="s">
        <v>7</v>
      </c>
      <c r="DH654" s="27" t="s">
        <v>7</v>
      </c>
      <c r="DI654" s="27" t="s">
        <v>8</v>
      </c>
      <c r="DL654" s="27" t="s">
        <v>7</v>
      </c>
      <c r="EC654" s="27" t="s">
        <v>8</v>
      </c>
      <c r="ED654" s="27" t="s">
        <v>7</v>
      </c>
      <c r="EJ654" s="27" t="s">
        <v>7</v>
      </c>
      <c r="EL654" s="27" t="s">
        <v>7</v>
      </c>
      <c r="FY654" s="27" t="s">
        <v>8</v>
      </c>
      <c r="GH654" s="27" t="s">
        <v>7</v>
      </c>
      <c r="GI654" s="27" t="s">
        <v>8</v>
      </c>
      <c r="GJ654" s="27" t="s">
        <v>7</v>
      </c>
      <c r="GK654" s="27" t="s">
        <v>8</v>
      </c>
      <c r="GY654" s="27" t="s">
        <v>8</v>
      </c>
      <c r="HA654" s="27" t="s">
        <v>8</v>
      </c>
      <c r="HT654" s="27" t="s">
        <v>7</v>
      </c>
      <c r="HU654" s="27" t="s">
        <v>8</v>
      </c>
      <c r="HV654" s="27" t="s">
        <v>7</v>
      </c>
      <c r="IC654" s="27" t="s">
        <v>8</v>
      </c>
      <c r="IF654" s="27" t="s">
        <v>7</v>
      </c>
      <c r="IG654" s="27" t="s">
        <v>8</v>
      </c>
      <c r="IJ654" s="27" t="s">
        <v>7</v>
      </c>
      <c r="IN654" s="27" t="s">
        <v>7</v>
      </c>
      <c r="IO654" s="27" t="s">
        <v>8</v>
      </c>
      <c r="IP654" s="27" t="s">
        <v>7</v>
      </c>
      <c r="IQ654" s="27" t="s">
        <v>8</v>
      </c>
    </row>
    <row r="655" spans="1:252" x14ac:dyDescent="0.25">
      <c r="A655" s="7">
        <v>0.26012872973231554</v>
      </c>
      <c r="B655"/>
      <c r="C655"/>
      <c r="D655"/>
      <c r="E655"/>
      <c r="CL655" s="27" t="s">
        <v>7</v>
      </c>
      <c r="CM655" s="27" t="s">
        <v>8</v>
      </c>
      <c r="CN655" s="27" t="s">
        <v>7</v>
      </c>
      <c r="CO655" s="27" t="s">
        <v>8</v>
      </c>
      <c r="CP655" s="27" t="s">
        <v>7</v>
      </c>
      <c r="CR655" s="27" t="s">
        <v>7</v>
      </c>
      <c r="CS655" s="27" t="s">
        <v>8</v>
      </c>
      <c r="CT655" s="27" t="s">
        <v>7</v>
      </c>
      <c r="CU655" s="27" t="s">
        <v>8</v>
      </c>
      <c r="CV655" s="27" t="s">
        <v>7</v>
      </c>
      <c r="CY655" s="27" t="s">
        <v>8</v>
      </c>
      <c r="DA655" s="27" t="s">
        <v>8</v>
      </c>
      <c r="DH655" s="27" t="s">
        <v>7</v>
      </c>
      <c r="DI655" s="27" t="s">
        <v>8</v>
      </c>
      <c r="DL655" s="27" t="s">
        <v>7</v>
      </c>
      <c r="EC655" s="27" t="s">
        <v>8</v>
      </c>
      <c r="EL655" s="27" t="s">
        <v>7</v>
      </c>
      <c r="FY655" s="27" t="s">
        <v>8</v>
      </c>
      <c r="GH655" s="27" t="s">
        <v>7</v>
      </c>
      <c r="GI655" s="27" t="s">
        <v>8</v>
      </c>
      <c r="GJ655" s="27" t="s">
        <v>7</v>
      </c>
      <c r="GK655" s="27" t="s">
        <v>8</v>
      </c>
      <c r="GL655" s="27" t="s">
        <v>7</v>
      </c>
      <c r="GS655" s="27" t="s">
        <v>8</v>
      </c>
      <c r="GU655" s="27" t="s">
        <v>8</v>
      </c>
      <c r="GY655" s="27" t="s">
        <v>8</v>
      </c>
      <c r="GZ655" s="27" t="s">
        <v>7</v>
      </c>
      <c r="HA655" s="27" t="s">
        <v>8</v>
      </c>
      <c r="HT655" s="27" t="s">
        <v>7</v>
      </c>
      <c r="HU655" s="27" t="s">
        <v>8</v>
      </c>
      <c r="HV655" s="27" t="s">
        <v>7</v>
      </c>
      <c r="IA655" s="27" t="s">
        <v>8</v>
      </c>
      <c r="IC655" s="27" t="s">
        <v>8</v>
      </c>
      <c r="IF655" s="27" t="s">
        <v>7</v>
      </c>
      <c r="IG655" s="27" t="s">
        <v>8</v>
      </c>
      <c r="IN655" s="27" t="s">
        <v>7</v>
      </c>
      <c r="IO655" s="27" t="s">
        <v>8</v>
      </c>
      <c r="IP655" s="27" t="s">
        <v>7</v>
      </c>
      <c r="IQ655" s="27" t="s">
        <v>8</v>
      </c>
    </row>
    <row r="656" spans="1:252" x14ac:dyDescent="0.25">
      <c r="A656" s="7">
        <v>0.25502816640423093</v>
      </c>
      <c r="B656"/>
      <c r="C656"/>
      <c r="D656"/>
      <c r="E656"/>
      <c r="CL656" s="27" t="s">
        <v>7</v>
      </c>
      <c r="CM656" s="27" t="s">
        <v>8</v>
      </c>
      <c r="CN656" s="27" t="s">
        <v>7</v>
      </c>
      <c r="CR656" s="27" t="s">
        <v>7</v>
      </c>
      <c r="CS656" s="27" t="s">
        <v>8</v>
      </c>
      <c r="CT656" s="27" t="s">
        <v>7</v>
      </c>
      <c r="CU656" s="27" t="s">
        <v>8</v>
      </c>
      <c r="CV656" s="27" t="s">
        <v>7</v>
      </c>
      <c r="CY656" s="27" t="s">
        <v>8</v>
      </c>
      <c r="CZ656" s="27" t="s">
        <v>7</v>
      </c>
      <c r="DA656" s="27" t="s">
        <v>8</v>
      </c>
      <c r="DH656" s="27" t="s">
        <v>7</v>
      </c>
      <c r="DL656" s="27" t="s">
        <v>7</v>
      </c>
      <c r="EC656" s="27" t="s">
        <v>8</v>
      </c>
      <c r="EL656" s="27" t="s">
        <v>7</v>
      </c>
      <c r="FY656" s="27" t="s">
        <v>8</v>
      </c>
      <c r="GH656" s="27" t="s">
        <v>7</v>
      </c>
      <c r="GJ656" s="27" t="s">
        <v>7</v>
      </c>
      <c r="GK656" s="27" t="s">
        <v>8</v>
      </c>
      <c r="GL656" s="27" t="s">
        <v>7</v>
      </c>
      <c r="GO656" s="27" t="s">
        <v>8</v>
      </c>
      <c r="GS656" s="27" t="s">
        <v>8</v>
      </c>
      <c r="GT656" s="27" t="s">
        <v>7</v>
      </c>
      <c r="GU656" s="27" t="s">
        <v>8</v>
      </c>
      <c r="GV656" s="27" t="s">
        <v>7</v>
      </c>
      <c r="GY656" s="27" t="s">
        <v>8</v>
      </c>
      <c r="GZ656" s="27" t="s">
        <v>7</v>
      </c>
      <c r="HA656" s="27" t="s">
        <v>8</v>
      </c>
      <c r="HT656" s="27" t="s">
        <v>7</v>
      </c>
      <c r="HU656" s="27" t="s">
        <v>8</v>
      </c>
      <c r="HV656" s="27" t="s">
        <v>7</v>
      </c>
      <c r="IA656" s="27" t="s">
        <v>8</v>
      </c>
      <c r="IB656" s="27" t="s">
        <v>7</v>
      </c>
      <c r="IC656" s="27" t="s">
        <v>8</v>
      </c>
      <c r="IF656" s="27" t="s">
        <v>7</v>
      </c>
      <c r="IN656" s="27" t="s">
        <v>7</v>
      </c>
      <c r="IO656" s="27" t="s">
        <v>8</v>
      </c>
      <c r="IP656" s="27" t="s">
        <v>7</v>
      </c>
      <c r="IQ656" s="27" t="s">
        <v>8</v>
      </c>
    </row>
    <row r="657" spans="1:251" x14ac:dyDescent="0.25">
      <c r="A657" s="7">
        <v>0.25002761412179503</v>
      </c>
      <c r="B657"/>
      <c r="C657"/>
      <c r="D657"/>
      <c r="E657"/>
      <c r="CL657" s="27" t="s">
        <v>7</v>
      </c>
      <c r="CM657" s="27" t="s">
        <v>8</v>
      </c>
      <c r="CR657" s="27" t="s">
        <v>7</v>
      </c>
      <c r="CT657" s="27" t="s">
        <v>7</v>
      </c>
      <c r="CV657" s="27" t="s">
        <v>7</v>
      </c>
      <c r="CY657" s="27" t="s">
        <v>8</v>
      </c>
      <c r="CZ657" s="27" t="s">
        <v>7</v>
      </c>
      <c r="DA657" s="27" t="s">
        <v>8</v>
      </c>
      <c r="DL657" s="27" t="s">
        <v>7</v>
      </c>
      <c r="DY657" s="27" t="s">
        <v>8</v>
      </c>
      <c r="EC657" s="27" t="s">
        <v>8</v>
      </c>
      <c r="EL657" s="27" t="s">
        <v>7</v>
      </c>
      <c r="FY657" s="27" t="s">
        <v>8</v>
      </c>
      <c r="GJ657" s="27" t="s">
        <v>7</v>
      </c>
      <c r="GK657" s="27" t="s">
        <v>8</v>
      </c>
      <c r="GL657" s="27" t="s">
        <v>7</v>
      </c>
      <c r="GM657" s="27" t="s">
        <v>8</v>
      </c>
      <c r="GO657" s="27" t="s">
        <v>8</v>
      </c>
      <c r="GP657" s="27" t="s">
        <v>7</v>
      </c>
      <c r="GS657" s="27" t="s">
        <v>8</v>
      </c>
      <c r="GT657" s="27" t="s">
        <v>7</v>
      </c>
      <c r="GU657" s="27" t="s">
        <v>8</v>
      </c>
      <c r="GV657" s="27" t="s">
        <v>7</v>
      </c>
      <c r="GY657" s="27" t="s">
        <v>8</v>
      </c>
      <c r="GZ657" s="27" t="s">
        <v>7</v>
      </c>
      <c r="HT657" s="27" t="s">
        <v>7</v>
      </c>
      <c r="HU657" s="27" t="s">
        <v>8</v>
      </c>
      <c r="HV657" s="27" t="s">
        <v>7</v>
      </c>
      <c r="IA657" s="27" t="s">
        <v>8</v>
      </c>
      <c r="IB657" s="27" t="s">
        <v>7</v>
      </c>
      <c r="IC657" s="27" t="s">
        <v>8</v>
      </c>
      <c r="IN657" s="27" t="s">
        <v>7</v>
      </c>
      <c r="IO657" s="27" t="s">
        <v>8</v>
      </c>
      <c r="IP657" s="27" t="s">
        <v>7</v>
      </c>
      <c r="IQ657" s="27" t="s">
        <v>8</v>
      </c>
    </row>
    <row r="658" spans="1:251" x14ac:dyDescent="0.25">
      <c r="A658" s="7">
        <v>0.24512511188411276</v>
      </c>
      <c r="B658"/>
      <c r="C658"/>
      <c r="D658"/>
      <c r="E658"/>
      <c r="CL658" s="27" t="s">
        <v>7</v>
      </c>
      <c r="CV658" s="27" t="s">
        <v>7</v>
      </c>
      <c r="CW658" s="27" t="s">
        <v>8</v>
      </c>
      <c r="CY658" s="27" t="s">
        <v>8</v>
      </c>
      <c r="CZ658" s="27" t="s">
        <v>7</v>
      </c>
      <c r="DL658" s="27" t="s">
        <v>7</v>
      </c>
      <c r="DW658" s="27" t="s">
        <v>8</v>
      </c>
      <c r="DY658" s="27" t="s">
        <v>8</v>
      </c>
      <c r="DZ658" s="27" t="s">
        <v>7</v>
      </c>
      <c r="EC658" s="27" t="s">
        <v>8</v>
      </c>
      <c r="EL658" s="27" t="s">
        <v>7</v>
      </c>
      <c r="EM658" s="27" t="s">
        <v>8</v>
      </c>
      <c r="EO658" s="27" t="s">
        <v>8</v>
      </c>
      <c r="FY658" s="27" t="s">
        <v>8</v>
      </c>
      <c r="GJ658" s="27" t="s">
        <v>7</v>
      </c>
      <c r="GK658" s="27" t="s">
        <v>8</v>
      </c>
      <c r="GL658" s="27" t="s">
        <v>7</v>
      </c>
      <c r="GM658" s="27" t="s">
        <v>8</v>
      </c>
      <c r="GN658" s="27" t="s">
        <v>7</v>
      </c>
      <c r="GO658" s="27" t="s">
        <v>8</v>
      </c>
      <c r="GP658" s="27" t="s">
        <v>7</v>
      </c>
      <c r="GQ658" s="27" t="s">
        <v>8</v>
      </c>
      <c r="GS658" s="27" t="s">
        <v>8</v>
      </c>
      <c r="GT658" s="27" t="s">
        <v>7</v>
      </c>
      <c r="GU658" s="27" t="s">
        <v>8</v>
      </c>
      <c r="GV658" s="27" t="s">
        <v>7</v>
      </c>
      <c r="GW658" s="27" t="s">
        <v>8</v>
      </c>
      <c r="GY658" s="27" t="s">
        <v>8</v>
      </c>
      <c r="HT658" s="27" t="s">
        <v>7</v>
      </c>
      <c r="HU658" s="27" t="s">
        <v>8</v>
      </c>
      <c r="HV658" s="27" t="s">
        <v>7</v>
      </c>
      <c r="HY658" s="27" t="s">
        <v>8</v>
      </c>
      <c r="IA658" s="27" t="s">
        <v>8</v>
      </c>
      <c r="IB658" s="27" t="s">
        <v>7</v>
      </c>
      <c r="IC658" s="27" t="s">
        <v>8</v>
      </c>
      <c r="IN658" s="27" t="s">
        <v>7</v>
      </c>
      <c r="IO658" s="27" t="s">
        <v>8</v>
      </c>
      <c r="IP658" s="27" t="s">
        <v>7</v>
      </c>
    </row>
    <row r="659" spans="1:251" x14ac:dyDescent="0.25">
      <c r="A659" s="7">
        <v>0.24031873714128701</v>
      </c>
      <c r="B659"/>
      <c r="C659"/>
      <c r="D659"/>
      <c r="E659"/>
      <c r="CV659" s="27" t="s">
        <v>7</v>
      </c>
      <c r="CW659" s="27" t="s">
        <v>8</v>
      </c>
      <c r="CX659" s="27" t="s">
        <v>7</v>
      </c>
      <c r="CY659" s="27" t="s">
        <v>8</v>
      </c>
      <c r="DL659" s="27" t="s">
        <v>7</v>
      </c>
      <c r="DW659" s="27" t="s">
        <v>8</v>
      </c>
      <c r="DX659" s="27" t="s">
        <v>7</v>
      </c>
      <c r="DY659" s="27" t="s">
        <v>8</v>
      </c>
      <c r="DZ659" s="27" t="s">
        <v>7</v>
      </c>
      <c r="EA659" s="27" t="s">
        <v>8</v>
      </c>
      <c r="EC659" s="27" t="s">
        <v>8</v>
      </c>
      <c r="EL659" s="27" t="s">
        <v>7</v>
      </c>
      <c r="EM659" s="27" t="s">
        <v>8</v>
      </c>
      <c r="EN659" s="27" t="s">
        <v>7</v>
      </c>
      <c r="EO659" s="27" t="s">
        <v>8</v>
      </c>
      <c r="EP659" s="27" t="s">
        <v>7</v>
      </c>
      <c r="FY659" s="27" t="s">
        <v>8</v>
      </c>
      <c r="GJ659" s="27" t="s">
        <v>7</v>
      </c>
      <c r="GL659" s="27" t="s">
        <v>7</v>
      </c>
      <c r="GM659" s="27" t="s">
        <v>8</v>
      </c>
      <c r="GN659" s="27" t="s">
        <v>7</v>
      </c>
      <c r="GO659" s="27" t="s">
        <v>8</v>
      </c>
      <c r="GP659" s="27" t="s">
        <v>7</v>
      </c>
      <c r="GQ659" s="27" t="s">
        <v>8</v>
      </c>
      <c r="GR659" s="27" t="s">
        <v>7</v>
      </c>
      <c r="GS659" s="27" t="s">
        <v>8</v>
      </c>
      <c r="GT659" s="27" t="s">
        <v>7</v>
      </c>
      <c r="GV659" s="27" t="s">
        <v>7</v>
      </c>
      <c r="GW659" s="27" t="s">
        <v>8</v>
      </c>
      <c r="GX659" s="27" t="s">
        <v>7</v>
      </c>
      <c r="GY659" s="27" t="s">
        <v>8</v>
      </c>
      <c r="HT659" s="27" t="s">
        <v>7</v>
      </c>
      <c r="HU659" s="27" t="s">
        <v>8</v>
      </c>
      <c r="HV659" s="27" t="s">
        <v>7</v>
      </c>
      <c r="HY659" s="27" t="s">
        <v>8</v>
      </c>
      <c r="HZ659" s="27" t="s">
        <v>7</v>
      </c>
      <c r="IA659" s="27" t="s">
        <v>8</v>
      </c>
      <c r="IB659" s="27" t="s">
        <v>7</v>
      </c>
      <c r="IC659" s="27" t="s">
        <v>8</v>
      </c>
      <c r="IN659" s="27" t="s">
        <v>7</v>
      </c>
    </row>
    <row r="660" spans="1:251" x14ac:dyDescent="0.25">
      <c r="A660" s="7">
        <v>0.23560660504047748</v>
      </c>
      <c r="B660"/>
      <c r="C660"/>
      <c r="D660"/>
      <c r="E660"/>
      <c r="CV660" s="27" t="s">
        <v>7</v>
      </c>
      <c r="CW660" s="27" t="s">
        <v>8</v>
      </c>
      <c r="CX660" s="27" t="s">
        <v>7</v>
      </c>
      <c r="CY660" s="27" t="s">
        <v>8</v>
      </c>
      <c r="DL660" s="27" t="s">
        <v>7</v>
      </c>
      <c r="DW660" s="27" t="s">
        <v>8</v>
      </c>
      <c r="DX660" s="27" t="s">
        <v>7</v>
      </c>
      <c r="DY660" s="27" t="s">
        <v>8</v>
      </c>
      <c r="DZ660" s="27" t="s">
        <v>7</v>
      </c>
      <c r="EA660" s="27" t="s">
        <v>8</v>
      </c>
      <c r="EB660" s="27" t="s">
        <v>7</v>
      </c>
      <c r="EC660" s="27" t="s">
        <v>8</v>
      </c>
      <c r="EL660" s="27" t="s">
        <v>7</v>
      </c>
      <c r="EM660" s="27" t="s">
        <v>8</v>
      </c>
      <c r="EN660" s="27" t="s">
        <v>7</v>
      </c>
      <c r="EO660" s="27" t="s">
        <v>8</v>
      </c>
      <c r="EP660" s="27" t="s">
        <v>7</v>
      </c>
      <c r="FI660" s="27" t="s">
        <v>8</v>
      </c>
      <c r="FY660" s="27" t="s">
        <v>8</v>
      </c>
      <c r="GL660" s="27" t="s">
        <v>7</v>
      </c>
      <c r="GM660" s="27" t="s">
        <v>8</v>
      </c>
      <c r="GN660" s="27" t="s">
        <v>7</v>
      </c>
      <c r="GP660" s="27" t="s">
        <v>7</v>
      </c>
      <c r="GQ660" s="27" t="s">
        <v>8</v>
      </c>
      <c r="GR660" s="27" t="s">
        <v>7</v>
      </c>
      <c r="GS660" s="27" t="s">
        <v>8</v>
      </c>
      <c r="GV660" s="27" t="s">
        <v>7</v>
      </c>
      <c r="GW660" s="27" t="s">
        <v>8</v>
      </c>
      <c r="GX660" s="27" t="s">
        <v>7</v>
      </c>
      <c r="GY660" s="27" t="s">
        <v>8</v>
      </c>
      <c r="HT660" s="27" t="s">
        <v>7</v>
      </c>
      <c r="HU660" s="27" t="s">
        <v>8</v>
      </c>
      <c r="HV660" s="27" t="s">
        <v>7</v>
      </c>
      <c r="HW660" s="27" t="s">
        <v>8</v>
      </c>
      <c r="HY660" s="27" t="s">
        <v>8</v>
      </c>
      <c r="HZ660" s="27" t="s">
        <v>7</v>
      </c>
      <c r="IA660" s="27" t="s">
        <v>8</v>
      </c>
      <c r="IB660" s="27" t="s">
        <v>7</v>
      </c>
      <c r="IC660" s="27" t="s">
        <v>8</v>
      </c>
    </row>
    <row r="661" spans="1:251" x14ac:dyDescent="0.25">
      <c r="A661" s="7">
        <v>0.23098686768674265</v>
      </c>
      <c r="B661"/>
      <c r="C661"/>
      <c r="D661"/>
      <c r="E661"/>
      <c r="CV661" s="27" t="s">
        <v>7</v>
      </c>
      <c r="CW661" s="27" t="s">
        <v>8</v>
      </c>
      <c r="CX661" s="27" t="s">
        <v>7</v>
      </c>
      <c r="DL661" s="27" t="s">
        <v>7</v>
      </c>
      <c r="DM661" s="27" t="s">
        <v>8</v>
      </c>
      <c r="DO661" s="27" t="s">
        <v>8</v>
      </c>
      <c r="DW661" s="27" t="s">
        <v>8</v>
      </c>
      <c r="DX661" s="27" t="s">
        <v>7</v>
      </c>
      <c r="DY661" s="27" t="s">
        <v>8</v>
      </c>
      <c r="DZ661" s="27" t="s">
        <v>7</v>
      </c>
      <c r="EA661" s="27" t="s">
        <v>8</v>
      </c>
      <c r="EB661" s="27" t="s">
        <v>7</v>
      </c>
      <c r="EC661" s="27" t="s">
        <v>8</v>
      </c>
      <c r="EL661" s="27" t="s">
        <v>7</v>
      </c>
      <c r="EM661" s="27" t="s">
        <v>8</v>
      </c>
      <c r="EN661" s="27" t="s">
        <v>7</v>
      </c>
      <c r="EO661" s="27" t="s">
        <v>8</v>
      </c>
      <c r="EP661" s="27" t="s">
        <v>7</v>
      </c>
      <c r="FI661" s="27" t="s">
        <v>8</v>
      </c>
      <c r="FJ661" s="27" t="s">
        <v>7</v>
      </c>
      <c r="FY661" s="27" t="s">
        <v>8</v>
      </c>
      <c r="GL661" s="27" t="s">
        <v>7</v>
      </c>
      <c r="GP661" s="27" t="s">
        <v>7</v>
      </c>
      <c r="GQ661" s="27" t="s">
        <v>8</v>
      </c>
      <c r="GR661" s="27" t="s">
        <v>7</v>
      </c>
      <c r="GV661" s="27" t="s">
        <v>7</v>
      </c>
      <c r="GX661" s="27" t="s">
        <v>7</v>
      </c>
      <c r="HT661" s="27" t="s">
        <v>7</v>
      </c>
      <c r="HU661" s="27" t="s">
        <v>8</v>
      </c>
      <c r="HV661" s="27" t="s">
        <v>7</v>
      </c>
      <c r="HW661" s="27" t="s">
        <v>8</v>
      </c>
      <c r="HX661" s="27" t="s">
        <v>7</v>
      </c>
      <c r="HY661" s="27" t="s">
        <v>8</v>
      </c>
      <c r="HZ661" s="27" t="s">
        <v>7</v>
      </c>
      <c r="IA661" s="27" t="s">
        <v>8</v>
      </c>
      <c r="IB661" s="27" t="s">
        <v>7</v>
      </c>
      <c r="IC661" s="27" t="s">
        <v>8</v>
      </c>
    </row>
    <row r="662" spans="1:251" x14ac:dyDescent="0.25">
      <c r="A662" s="7">
        <v>0.22645771341837515</v>
      </c>
      <c r="B662"/>
      <c r="C662"/>
      <c r="D662"/>
      <c r="E662"/>
      <c r="CV662" s="27" t="s">
        <v>7</v>
      </c>
      <c r="CW662" s="27" t="s">
        <v>8</v>
      </c>
      <c r="DL662" s="27" t="s">
        <v>7</v>
      </c>
      <c r="DM662" s="27" t="s">
        <v>8</v>
      </c>
      <c r="DN662" s="27" t="s">
        <v>7</v>
      </c>
      <c r="DO662" s="27" t="s">
        <v>8</v>
      </c>
      <c r="DP662" s="27" t="s">
        <v>7</v>
      </c>
      <c r="DW662" s="27" t="s">
        <v>8</v>
      </c>
      <c r="DX662" s="27" t="s">
        <v>7</v>
      </c>
      <c r="DZ662" s="27" t="s">
        <v>7</v>
      </c>
      <c r="EB662" s="27" t="s">
        <v>7</v>
      </c>
      <c r="EC662" s="27" t="s">
        <v>8</v>
      </c>
      <c r="EL662" s="27" t="s">
        <v>7</v>
      </c>
      <c r="EN662" s="27" t="s">
        <v>7</v>
      </c>
      <c r="EP662" s="27" t="s">
        <v>7</v>
      </c>
      <c r="FI662" s="27" t="s">
        <v>8</v>
      </c>
      <c r="FJ662" s="27" t="s">
        <v>7</v>
      </c>
      <c r="FK662" s="27" t="s">
        <v>8</v>
      </c>
      <c r="FY662" s="27" t="s">
        <v>8</v>
      </c>
      <c r="GP662" s="27" t="s">
        <v>7</v>
      </c>
      <c r="GQ662" s="27" t="s">
        <v>8</v>
      </c>
      <c r="HT662" s="27" t="s">
        <v>7</v>
      </c>
      <c r="HU662" s="27" t="s">
        <v>8</v>
      </c>
      <c r="HV662" s="27" t="s">
        <v>7</v>
      </c>
      <c r="HW662" s="27" t="s">
        <v>8</v>
      </c>
      <c r="HX662" s="27" t="s">
        <v>7</v>
      </c>
      <c r="HY662" s="27" t="s">
        <v>8</v>
      </c>
      <c r="HZ662" s="27" t="s">
        <v>7</v>
      </c>
      <c r="IA662" s="27" t="s">
        <v>8</v>
      </c>
      <c r="IB662" s="27" t="s">
        <v>7</v>
      </c>
      <c r="IC662" s="27" t="s">
        <v>8</v>
      </c>
    </row>
    <row r="663" spans="1:251" x14ac:dyDescent="0.25">
      <c r="A663" s="7">
        <v>0.22201736609644623</v>
      </c>
      <c r="B663"/>
      <c r="C663"/>
      <c r="D663"/>
      <c r="E663"/>
      <c r="CV663" s="27" t="s">
        <v>7</v>
      </c>
      <c r="CW663" s="27" t="s">
        <v>8</v>
      </c>
      <c r="DL663" s="27" t="s">
        <v>7</v>
      </c>
      <c r="DM663" s="27" t="s">
        <v>8</v>
      </c>
      <c r="DN663" s="27" t="s">
        <v>7</v>
      </c>
      <c r="DO663" s="27" t="s">
        <v>8</v>
      </c>
      <c r="DP663" s="27" t="s">
        <v>7</v>
      </c>
      <c r="DU663" s="27" t="s">
        <v>8</v>
      </c>
      <c r="DW663" s="27" t="s">
        <v>8</v>
      </c>
      <c r="EB663" s="27" t="s">
        <v>7</v>
      </c>
      <c r="EC663" s="27" t="s">
        <v>8</v>
      </c>
      <c r="EP663" s="27" t="s">
        <v>7</v>
      </c>
      <c r="FI663" s="27" t="s">
        <v>8</v>
      </c>
      <c r="FJ663" s="27" t="s">
        <v>7</v>
      </c>
      <c r="FK663" s="27" t="s">
        <v>8</v>
      </c>
      <c r="FL663" s="27" t="s">
        <v>7</v>
      </c>
      <c r="FM663" s="27" t="s">
        <v>8</v>
      </c>
      <c r="FY663" s="27" t="s">
        <v>8</v>
      </c>
      <c r="GP663" s="27" t="s">
        <v>7</v>
      </c>
      <c r="HT663" s="27" t="s">
        <v>7</v>
      </c>
      <c r="HU663" s="27" t="s">
        <v>8</v>
      </c>
      <c r="HV663" s="27" t="s">
        <v>7</v>
      </c>
      <c r="HW663" s="27" t="s">
        <v>8</v>
      </c>
      <c r="HX663" s="27" t="s">
        <v>7</v>
      </c>
      <c r="HY663" s="27" t="s">
        <v>8</v>
      </c>
      <c r="HZ663" s="27" t="s">
        <v>7</v>
      </c>
      <c r="IA663" s="27" t="s">
        <v>8</v>
      </c>
      <c r="IB663" s="27" t="s">
        <v>7</v>
      </c>
    </row>
    <row r="664" spans="1:251" x14ac:dyDescent="0.25">
      <c r="A664" s="7">
        <v>0.21766408440828061</v>
      </c>
      <c r="B664"/>
      <c r="C664"/>
      <c r="D664"/>
      <c r="E664"/>
      <c r="CV664" s="27" t="s">
        <v>7</v>
      </c>
      <c r="CW664" s="27" t="s">
        <v>8</v>
      </c>
      <c r="DL664" s="27" t="s">
        <v>7</v>
      </c>
      <c r="DM664" s="27" t="s">
        <v>8</v>
      </c>
      <c r="DN664" s="27" t="s">
        <v>7</v>
      </c>
      <c r="DO664" s="27" t="s">
        <v>8</v>
      </c>
      <c r="DP664" s="27" t="s">
        <v>7</v>
      </c>
      <c r="DU664" s="27" t="s">
        <v>8</v>
      </c>
      <c r="DV664" s="27" t="s">
        <v>7</v>
      </c>
      <c r="DW664" s="27" t="s">
        <v>8</v>
      </c>
      <c r="EB664" s="27" t="s">
        <v>7</v>
      </c>
      <c r="EP664" s="27" t="s">
        <v>7</v>
      </c>
      <c r="FI664" s="27" t="s">
        <v>8</v>
      </c>
      <c r="FJ664" s="27" t="s">
        <v>7</v>
      </c>
      <c r="FK664" s="27" t="s">
        <v>8</v>
      </c>
      <c r="FL664" s="27" t="s">
        <v>7</v>
      </c>
      <c r="FM664" s="27" t="s">
        <v>8</v>
      </c>
      <c r="FN664" s="27" t="s">
        <v>7</v>
      </c>
      <c r="FY664" s="27" t="s">
        <v>8</v>
      </c>
      <c r="HT664" s="27" t="s">
        <v>7</v>
      </c>
      <c r="HU664" s="27" t="s">
        <v>8</v>
      </c>
      <c r="HV664" s="27" t="s">
        <v>7</v>
      </c>
      <c r="HW664" s="27" t="s">
        <v>8</v>
      </c>
      <c r="HX664" s="27" t="s">
        <v>7</v>
      </c>
      <c r="HY664" s="27" t="s">
        <v>8</v>
      </c>
      <c r="HZ664" s="27" t="s">
        <v>7</v>
      </c>
      <c r="IA664" s="27" t="s">
        <v>8</v>
      </c>
    </row>
    <row r="665" spans="1:251" x14ac:dyDescent="0.25">
      <c r="A665" s="7">
        <v>0.21339616118458882</v>
      </c>
      <c r="B665"/>
      <c r="C665"/>
      <c r="D665"/>
      <c r="E665"/>
      <c r="CV665" s="27" t="s">
        <v>7</v>
      </c>
      <c r="DL665" s="27" t="s">
        <v>7</v>
      </c>
      <c r="DM665" s="27" t="s">
        <v>8</v>
      </c>
      <c r="DN665" s="27" t="s">
        <v>7</v>
      </c>
      <c r="DP665" s="27" t="s">
        <v>7</v>
      </c>
      <c r="DU665" s="27" t="s">
        <v>8</v>
      </c>
      <c r="DV665" s="27" t="s">
        <v>7</v>
      </c>
      <c r="DW665" s="27" t="s">
        <v>8</v>
      </c>
      <c r="EP665" s="27" t="s">
        <v>7</v>
      </c>
      <c r="EQ665" s="27" t="s">
        <v>8</v>
      </c>
      <c r="FI665" s="27" t="s">
        <v>8</v>
      </c>
      <c r="FJ665" s="27" t="s">
        <v>7</v>
      </c>
      <c r="FL665" s="27" t="s">
        <v>7</v>
      </c>
      <c r="FM665" s="27" t="s">
        <v>8</v>
      </c>
      <c r="FN665" s="27" t="s">
        <v>7</v>
      </c>
      <c r="FQ665" s="27" t="s">
        <v>8</v>
      </c>
      <c r="FY665" s="27" t="s">
        <v>8</v>
      </c>
      <c r="HT665" s="27" t="s">
        <v>7</v>
      </c>
      <c r="HV665" s="27" t="s">
        <v>7</v>
      </c>
      <c r="HW665" s="27" t="s">
        <v>8</v>
      </c>
      <c r="HX665" s="27" t="s">
        <v>7</v>
      </c>
      <c r="HY665" s="27" t="s">
        <v>8</v>
      </c>
      <c r="HZ665" s="27" t="s">
        <v>7</v>
      </c>
    </row>
    <row r="666" spans="1:251" x14ac:dyDescent="0.25">
      <c r="A666" s="7">
        <v>0.20921192272998904</v>
      </c>
      <c r="B666"/>
      <c r="C666"/>
      <c r="D666"/>
      <c r="E666"/>
      <c r="DL666" s="27" t="s">
        <v>7</v>
      </c>
      <c r="DM666" s="27" t="s">
        <v>8</v>
      </c>
      <c r="DP666" s="27" t="s">
        <v>7</v>
      </c>
      <c r="DU666" s="27" t="s">
        <v>8</v>
      </c>
      <c r="DV666" s="27" t="s">
        <v>7</v>
      </c>
      <c r="DW666" s="27" t="s">
        <v>8</v>
      </c>
      <c r="EP666" s="27" t="s">
        <v>7</v>
      </c>
      <c r="EQ666" s="27" t="s">
        <v>8</v>
      </c>
      <c r="ER666" s="27" t="s">
        <v>7</v>
      </c>
      <c r="FI666" s="27" t="s">
        <v>8</v>
      </c>
      <c r="FL666" s="27" t="s">
        <v>7</v>
      </c>
      <c r="FN666" s="27" t="s">
        <v>7</v>
      </c>
      <c r="FQ666" s="27" t="s">
        <v>8</v>
      </c>
      <c r="FR666" s="27" t="s">
        <v>7</v>
      </c>
      <c r="FU666" s="27" t="s">
        <v>8</v>
      </c>
      <c r="FY666" s="27" t="s">
        <v>8</v>
      </c>
      <c r="HV666" s="27" t="s">
        <v>7</v>
      </c>
      <c r="HW666" s="27" t="s">
        <v>8</v>
      </c>
      <c r="HX666" s="27" t="s">
        <v>7</v>
      </c>
    </row>
    <row r="667" spans="1:251" x14ac:dyDescent="0.25">
      <c r="A667" s="7">
        <v>0.20510972816665593</v>
      </c>
      <c r="B667"/>
      <c r="C667"/>
      <c r="D667"/>
      <c r="E667"/>
      <c r="DL667" s="27" t="s">
        <v>7</v>
      </c>
      <c r="DM667" s="27" t="s">
        <v>8</v>
      </c>
      <c r="DP667" s="27" t="s">
        <v>7</v>
      </c>
      <c r="DU667" s="27" t="s">
        <v>8</v>
      </c>
      <c r="DV667" s="27" t="s">
        <v>7</v>
      </c>
      <c r="DW667" s="27" t="s">
        <v>8</v>
      </c>
      <c r="EP667" s="27" t="s">
        <v>7</v>
      </c>
      <c r="EQ667" s="27" t="s">
        <v>8</v>
      </c>
      <c r="ER667" s="27" t="s">
        <v>7</v>
      </c>
      <c r="FC667" s="27" t="s">
        <v>8</v>
      </c>
      <c r="FI667" s="27" t="s">
        <v>8</v>
      </c>
      <c r="FN667" s="27" t="s">
        <v>7</v>
      </c>
      <c r="FO667" s="27" t="s">
        <v>8</v>
      </c>
      <c r="FQ667" s="27" t="s">
        <v>8</v>
      </c>
      <c r="FR667" s="27" t="s">
        <v>7</v>
      </c>
      <c r="FU667" s="27" t="s">
        <v>8</v>
      </c>
      <c r="FV667" s="27" t="s">
        <v>7</v>
      </c>
      <c r="FW667" s="27" t="s">
        <v>8</v>
      </c>
      <c r="FY667" s="27" t="s">
        <v>8</v>
      </c>
      <c r="HV667" s="27" t="s">
        <v>7</v>
      </c>
      <c r="HW667" s="27" t="s">
        <v>8</v>
      </c>
    </row>
    <row r="668" spans="1:251" x14ac:dyDescent="0.25">
      <c r="A668" s="7">
        <v>0.20108796879083912</v>
      </c>
      <c r="B668"/>
      <c r="C668"/>
      <c r="D668"/>
      <c r="E668"/>
      <c r="DL668" s="27" t="s">
        <v>7</v>
      </c>
      <c r="DP668" s="27" t="s">
        <v>7</v>
      </c>
      <c r="DU668" s="27" t="s">
        <v>8</v>
      </c>
      <c r="DV668" s="27" t="s">
        <v>7</v>
      </c>
      <c r="EP668" s="27" t="s">
        <v>7</v>
      </c>
      <c r="ER668" s="27" t="s">
        <v>7</v>
      </c>
      <c r="FC668" s="27" t="s">
        <v>8</v>
      </c>
      <c r="FD668" s="27" t="s">
        <v>7</v>
      </c>
      <c r="FI668" s="27" t="s">
        <v>8</v>
      </c>
      <c r="FN668" s="27" t="s">
        <v>7</v>
      </c>
      <c r="FO668" s="27" t="s">
        <v>8</v>
      </c>
      <c r="FP668" s="27" t="s">
        <v>7</v>
      </c>
      <c r="FQ668" s="27" t="s">
        <v>8</v>
      </c>
      <c r="FR668" s="27" t="s">
        <v>7</v>
      </c>
      <c r="FU668" s="27" t="s">
        <v>8</v>
      </c>
      <c r="FV668" s="27" t="s">
        <v>7</v>
      </c>
      <c r="FW668" s="27" t="s">
        <v>8</v>
      </c>
      <c r="FX668" s="27" t="s">
        <v>7</v>
      </c>
      <c r="FY668" s="27" t="s">
        <v>8</v>
      </c>
      <c r="HV668" s="27" t="s">
        <v>7</v>
      </c>
      <c r="HW668" s="27" t="s">
        <v>8</v>
      </c>
    </row>
    <row r="669" spans="1:251" x14ac:dyDescent="0.25">
      <c r="A669" s="7">
        <v>0.19714506744199917</v>
      </c>
      <c r="B669"/>
      <c r="C669"/>
      <c r="D669"/>
      <c r="E669"/>
      <c r="DP669" s="27" t="s">
        <v>7</v>
      </c>
      <c r="DQ669" s="27" t="s">
        <v>8</v>
      </c>
      <c r="DS669" s="27" t="s">
        <v>8</v>
      </c>
      <c r="DU669" s="27" t="s">
        <v>8</v>
      </c>
      <c r="ER669" s="27" t="s">
        <v>7</v>
      </c>
      <c r="FC669" s="27" t="s">
        <v>8</v>
      </c>
      <c r="FD669" s="27" t="s">
        <v>7</v>
      </c>
      <c r="FG669" s="27" t="s">
        <v>8</v>
      </c>
      <c r="FI669" s="27" t="s">
        <v>8</v>
      </c>
      <c r="FN669" s="27" t="s">
        <v>7</v>
      </c>
      <c r="FO669" s="27" t="s">
        <v>8</v>
      </c>
      <c r="FP669" s="27" t="s">
        <v>7</v>
      </c>
      <c r="FQ669" s="27" t="s">
        <v>8</v>
      </c>
      <c r="FR669" s="27" t="s">
        <v>7</v>
      </c>
      <c r="FS669" s="27" t="s">
        <v>8</v>
      </c>
      <c r="FU669" s="27" t="s">
        <v>8</v>
      </c>
      <c r="FV669" s="27" t="s">
        <v>7</v>
      </c>
      <c r="FW669" s="27" t="s">
        <v>8</v>
      </c>
      <c r="FX669" s="27" t="s">
        <v>7</v>
      </c>
      <c r="FY669" s="27" t="s">
        <v>8</v>
      </c>
      <c r="HV669" s="27" t="s">
        <v>7</v>
      </c>
      <c r="HW669" s="27" t="s">
        <v>8</v>
      </c>
    </row>
    <row r="670" spans="1:251" x14ac:dyDescent="0.25">
      <c r="A670" s="7">
        <v>0.19327947788431293</v>
      </c>
      <c r="B670"/>
      <c r="C670"/>
      <c r="D670"/>
      <c r="E670"/>
      <c r="DP670" s="27" t="s">
        <v>7</v>
      </c>
      <c r="DQ670" s="27" t="s">
        <v>8</v>
      </c>
      <c r="DR670" s="27" t="s">
        <v>7</v>
      </c>
      <c r="DS670" s="27" t="s">
        <v>8</v>
      </c>
      <c r="DT670" s="27" t="s">
        <v>7</v>
      </c>
      <c r="DU670" s="27" t="s">
        <v>8</v>
      </c>
      <c r="ER670" s="27" t="s">
        <v>7</v>
      </c>
      <c r="FC670" s="27" t="s">
        <v>8</v>
      </c>
      <c r="FD670" s="27" t="s">
        <v>7</v>
      </c>
      <c r="FE670" s="27" t="s">
        <v>8</v>
      </c>
      <c r="FG670" s="27" t="s">
        <v>8</v>
      </c>
      <c r="FH670" s="27" t="s">
        <v>7</v>
      </c>
      <c r="FI670" s="27" t="s">
        <v>8</v>
      </c>
      <c r="FN670" s="27" t="s">
        <v>7</v>
      </c>
      <c r="FO670" s="27" t="s">
        <v>8</v>
      </c>
      <c r="FP670" s="27" t="s">
        <v>7</v>
      </c>
      <c r="FQ670" s="27" t="s">
        <v>8</v>
      </c>
      <c r="FR670" s="27" t="s">
        <v>7</v>
      </c>
      <c r="FS670" s="27" t="s">
        <v>8</v>
      </c>
      <c r="FT670" s="27" t="s">
        <v>7</v>
      </c>
      <c r="FU670" s="27" t="s">
        <v>8</v>
      </c>
      <c r="FV670" s="27" t="s">
        <v>7</v>
      </c>
      <c r="FX670" s="27" t="s">
        <v>7</v>
      </c>
      <c r="FY670" s="27" t="s">
        <v>8</v>
      </c>
      <c r="HV670" s="27" t="s">
        <v>7</v>
      </c>
      <c r="HW670" s="27" t="s">
        <v>8</v>
      </c>
    </row>
    <row r="671" spans="1:251" x14ac:dyDescent="0.25">
      <c r="A671" s="7">
        <v>0.18948968420030682</v>
      </c>
      <c r="B671"/>
      <c r="C671"/>
      <c r="D671"/>
      <c r="E671"/>
      <c r="DP671" s="27" t="s">
        <v>7</v>
      </c>
      <c r="DQ671" s="27" t="s">
        <v>8</v>
      </c>
      <c r="DR671" s="27" t="s">
        <v>7</v>
      </c>
      <c r="DS671" s="27" t="s">
        <v>8</v>
      </c>
      <c r="DT671" s="27" t="s">
        <v>7</v>
      </c>
      <c r="DU671" s="27" t="s">
        <v>8</v>
      </c>
      <c r="ER671" s="27" t="s">
        <v>7</v>
      </c>
      <c r="FC671" s="27" t="s">
        <v>8</v>
      </c>
      <c r="FD671" s="27" t="s">
        <v>7</v>
      </c>
      <c r="FE671" s="27" t="s">
        <v>8</v>
      </c>
      <c r="FF671" s="27" t="s">
        <v>7</v>
      </c>
      <c r="FG671" s="27" t="s">
        <v>8</v>
      </c>
      <c r="FH671" s="27" t="s">
        <v>7</v>
      </c>
      <c r="FI671" s="27" t="s">
        <v>8</v>
      </c>
      <c r="FN671" s="27" t="s">
        <v>7</v>
      </c>
      <c r="FO671" s="27" t="s">
        <v>8</v>
      </c>
      <c r="FP671" s="27" t="s">
        <v>7</v>
      </c>
      <c r="FR671" s="27" t="s">
        <v>7</v>
      </c>
      <c r="FS671" s="27" t="s">
        <v>8</v>
      </c>
      <c r="FT671" s="27" t="s">
        <v>7</v>
      </c>
      <c r="FU671" s="27" t="s">
        <v>8</v>
      </c>
      <c r="FX671" s="27" t="s">
        <v>7</v>
      </c>
      <c r="HV671" s="27" t="s">
        <v>7</v>
      </c>
      <c r="HW671" s="27" t="s">
        <v>8</v>
      </c>
    </row>
    <row r="672" spans="1:251" x14ac:dyDescent="0.25">
      <c r="A672" s="7">
        <v>0.18577420019637925</v>
      </c>
      <c r="B672"/>
      <c r="C672"/>
      <c r="D672"/>
      <c r="E672"/>
      <c r="DP672" s="27" t="s">
        <v>7</v>
      </c>
      <c r="DQ672" s="27" t="s">
        <v>8</v>
      </c>
      <c r="DR672" s="27" t="s">
        <v>7</v>
      </c>
      <c r="DT672" s="27" t="s">
        <v>7</v>
      </c>
      <c r="ER672" s="27" t="s">
        <v>7</v>
      </c>
      <c r="FA672" s="27" t="s">
        <v>8</v>
      </c>
      <c r="FC672" s="27" t="s">
        <v>8</v>
      </c>
      <c r="FD672" s="27" t="s">
        <v>7</v>
      </c>
      <c r="FE672" s="27" t="s">
        <v>8</v>
      </c>
      <c r="FF672" s="27" t="s">
        <v>7</v>
      </c>
      <c r="FG672" s="27" t="s">
        <v>8</v>
      </c>
      <c r="FH672" s="27" t="s">
        <v>7</v>
      </c>
      <c r="FI672" s="27" t="s">
        <v>8</v>
      </c>
      <c r="FN672" s="27" t="s">
        <v>7</v>
      </c>
      <c r="FO672" s="27" t="s">
        <v>8</v>
      </c>
      <c r="FR672" s="27" t="s">
        <v>7</v>
      </c>
      <c r="FS672" s="27" t="s">
        <v>8</v>
      </c>
      <c r="FT672" s="27" t="s">
        <v>7</v>
      </c>
      <c r="FU672" s="27" t="s">
        <v>8</v>
      </c>
      <c r="HV672" s="27" t="s">
        <v>7</v>
      </c>
      <c r="HW672" s="27" t="s">
        <v>8</v>
      </c>
    </row>
    <row r="673" spans="1:231" x14ac:dyDescent="0.25">
      <c r="A673" s="7">
        <v>0.18213156881997963</v>
      </c>
      <c r="B673"/>
      <c r="C673"/>
      <c r="D673"/>
      <c r="E673"/>
      <c r="DP673" s="27" t="s">
        <v>7</v>
      </c>
      <c r="DQ673" s="27" t="s">
        <v>8</v>
      </c>
      <c r="ER673" s="27" t="s">
        <v>7</v>
      </c>
      <c r="FA673" s="27" t="s">
        <v>8</v>
      </c>
      <c r="FB673" s="27" t="s">
        <v>7</v>
      </c>
      <c r="FC673" s="27" t="s">
        <v>8</v>
      </c>
      <c r="FD673" s="27" t="s">
        <v>7</v>
      </c>
      <c r="FF673" s="27" t="s">
        <v>7</v>
      </c>
      <c r="FG673" s="27" t="s">
        <v>8</v>
      </c>
      <c r="FH673" s="27" t="s">
        <v>7</v>
      </c>
      <c r="FI673" s="27" t="s">
        <v>8</v>
      </c>
      <c r="FN673" s="27" t="s">
        <v>7</v>
      </c>
      <c r="FO673" s="27" t="s">
        <v>8</v>
      </c>
      <c r="FR673" s="27" t="s">
        <v>7</v>
      </c>
      <c r="FT673" s="27" t="s">
        <v>7</v>
      </c>
      <c r="FU673" s="27" t="s">
        <v>8</v>
      </c>
      <c r="HV673" s="27" t="s">
        <v>7</v>
      </c>
      <c r="HW673" s="27" t="s">
        <v>8</v>
      </c>
    </row>
    <row r="674" spans="1:231" x14ac:dyDescent="0.25">
      <c r="A674" s="7">
        <v>0.17856036158821534</v>
      </c>
      <c r="B674"/>
      <c r="C674"/>
      <c r="D674"/>
      <c r="E674"/>
      <c r="DP674" s="27" t="s">
        <v>7</v>
      </c>
      <c r="DQ674" s="27" t="s">
        <v>8</v>
      </c>
      <c r="ER674" s="27" t="s">
        <v>7</v>
      </c>
      <c r="FA674" s="27" t="s">
        <v>8</v>
      </c>
      <c r="FB674" s="27" t="s">
        <v>7</v>
      </c>
      <c r="FC674" s="27" t="s">
        <v>8</v>
      </c>
      <c r="FF674" s="27" t="s">
        <v>7</v>
      </c>
      <c r="FG674" s="27" t="s">
        <v>8</v>
      </c>
      <c r="FH674" s="27" t="s">
        <v>7</v>
      </c>
      <c r="FN674" s="27" t="s">
        <v>7</v>
      </c>
      <c r="FT674" s="27" t="s">
        <v>7</v>
      </c>
      <c r="FU674" s="27" t="s">
        <v>8</v>
      </c>
      <c r="HV674" s="27" t="s">
        <v>7</v>
      </c>
      <c r="HW674" s="27" t="s">
        <v>8</v>
      </c>
    </row>
    <row r="675" spans="1:231" x14ac:dyDescent="0.25">
      <c r="A675" s="7">
        <v>0.17505917802766208</v>
      </c>
      <c r="B675"/>
      <c r="C675"/>
      <c r="D675"/>
      <c r="E675"/>
      <c r="DP675" s="27" t="s">
        <v>7</v>
      </c>
      <c r="ER675" s="27" t="s">
        <v>7</v>
      </c>
      <c r="FA675" s="27" t="s">
        <v>8</v>
      </c>
      <c r="FB675" s="27" t="s">
        <v>7</v>
      </c>
      <c r="FC675" s="27" t="s">
        <v>8</v>
      </c>
      <c r="FF675" s="27" t="s">
        <v>7</v>
      </c>
      <c r="FT675" s="27" t="s">
        <v>7</v>
      </c>
      <c r="FU675" s="27" t="s">
        <v>8</v>
      </c>
      <c r="HV675" s="27" t="s">
        <v>7</v>
      </c>
    </row>
    <row r="676" spans="1:231" x14ac:dyDescent="0.25">
      <c r="A676" s="7">
        <v>0.17162664512515888</v>
      </c>
      <c r="B676"/>
      <c r="C676"/>
      <c r="D676"/>
      <c r="E676"/>
      <c r="ER676" s="27" t="s">
        <v>7</v>
      </c>
      <c r="EW676" s="27" t="s">
        <v>8</v>
      </c>
      <c r="FA676" s="27" t="s">
        <v>8</v>
      </c>
      <c r="FB676" s="27" t="s">
        <v>7</v>
      </c>
      <c r="FC676" s="27" t="s">
        <v>8</v>
      </c>
      <c r="FT676" s="27" t="s">
        <v>7</v>
      </c>
    </row>
    <row r="677" spans="1:231" x14ac:dyDescent="0.25">
      <c r="A677" s="7">
        <v>0.16826141678937145</v>
      </c>
      <c r="B677"/>
      <c r="C677"/>
      <c r="D677"/>
      <c r="E677"/>
      <c r="ER677" s="27" t="s">
        <v>7</v>
      </c>
      <c r="EW677" s="27" t="s">
        <v>8</v>
      </c>
      <c r="EX677" s="27" t="s">
        <v>7</v>
      </c>
      <c r="FA677" s="27" t="s">
        <v>8</v>
      </c>
      <c r="FB677" s="27" t="s">
        <v>7</v>
      </c>
      <c r="FC677" s="27" t="s">
        <v>8</v>
      </c>
    </row>
    <row r="678" spans="1:231" x14ac:dyDescent="0.25">
      <c r="A678" s="7">
        <v>0.16496217332291319</v>
      </c>
      <c r="B678"/>
      <c r="C678"/>
      <c r="D678"/>
      <c r="E678"/>
      <c r="ER678" s="27" t="s">
        <v>7</v>
      </c>
      <c r="EW678" s="27" t="s">
        <v>8</v>
      </c>
      <c r="EX678" s="27" t="s">
        <v>7</v>
      </c>
      <c r="FA678" s="27" t="s">
        <v>8</v>
      </c>
      <c r="FB678" s="27" t="s">
        <v>7</v>
      </c>
    </row>
    <row r="679" spans="1:231" x14ac:dyDescent="0.25">
      <c r="A679" s="7">
        <v>0.16172762090481685</v>
      </c>
      <c r="B679"/>
      <c r="C679"/>
      <c r="D679"/>
      <c r="E679"/>
      <c r="ER679" s="27" t="s">
        <v>7</v>
      </c>
      <c r="ES679" s="27" t="s">
        <v>8</v>
      </c>
      <c r="EW679" s="27" t="s">
        <v>8</v>
      </c>
      <c r="EX679" s="27" t="s">
        <v>7</v>
      </c>
      <c r="EY679" s="27" t="s">
        <v>8</v>
      </c>
      <c r="FA679" s="27" t="s">
        <v>8</v>
      </c>
    </row>
    <row r="680" spans="1:231" x14ac:dyDescent="0.25">
      <c r="A680" s="7">
        <v>0.15855649108315376</v>
      </c>
      <c r="B680"/>
      <c r="C680"/>
      <c r="D680"/>
      <c r="E680"/>
      <c r="ER680" s="27" t="s">
        <v>7</v>
      </c>
      <c r="ES680" s="27" t="s">
        <v>8</v>
      </c>
      <c r="ET680" s="27" t="s">
        <v>7</v>
      </c>
      <c r="EW680" s="27" t="s">
        <v>8</v>
      </c>
      <c r="EX680" s="27" t="s">
        <v>7</v>
      </c>
      <c r="EY680" s="27" t="s">
        <v>8</v>
      </c>
      <c r="EZ680" s="27" t="s">
        <v>7</v>
      </c>
      <c r="FA680" s="27" t="s">
        <v>8</v>
      </c>
    </row>
    <row r="681" spans="1:231" x14ac:dyDescent="0.25">
      <c r="A681" s="7">
        <v>0.15544754027760171</v>
      </c>
      <c r="B681"/>
      <c r="C681"/>
      <c r="D681"/>
      <c r="E681"/>
      <c r="ER681" s="27" t="s">
        <v>7</v>
      </c>
      <c r="ES681" s="27" t="s">
        <v>8</v>
      </c>
      <c r="ET681" s="27" t="s">
        <v>7</v>
      </c>
      <c r="EW681" s="27" t="s">
        <v>8</v>
      </c>
      <c r="EX681" s="27" t="s">
        <v>7</v>
      </c>
      <c r="EY681" s="27" t="s">
        <v>8</v>
      </c>
      <c r="EZ681" s="27" t="s">
        <v>7</v>
      </c>
      <c r="FA681" s="27" t="s">
        <v>8</v>
      </c>
    </row>
    <row r="682" spans="1:231" x14ac:dyDescent="0.25">
      <c r="A682" s="7">
        <v>0.15239954929176638</v>
      </c>
      <c r="B682"/>
      <c r="C682"/>
      <c r="D682"/>
      <c r="E682"/>
      <c r="ER682" s="27" t="s">
        <v>7</v>
      </c>
      <c r="ES682" s="27" t="s">
        <v>8</v>
      </c>
      <c r="ET682" s="27" t="s">
        <v>7</v>
      </c>
      <c r="EW682" s="27" t="s">
        <v>8</v>
      </c>
      <c r="EX682" s="27" t="s">
        <v>7</v>
      </c>
      <c r="EY682" s="27" t="s">
        <v>8</v>
      </c>
      <c r="EZ682" s="27" t="s">
        <v>7</v>
      </c>
      <c r="FA682" s="27" t="s">
        <v>8</v>
      </c>
    </row>
    <row r="683" spans="1:231" x14ac:dyDescent="0.25">
      <c r="A683" s="7">
        <v>0.14941132283506509</v>
      </c>
      <c r="B683"/>
      <c r="C683"/>
      <c r="D683"/>
      <c r="E683"/>
      <c r="ER683" s="27" t="s">
        <v>7</v>
      </c>
      <c r="ES683" s="27" t="s">
        <v>8</v>
      </c>
      <c r="ET683" s="27" t="s">
        <v>7</v>
      </c>
      <c r="EU683" s="27" t="s">
        <v>8</v>
      </c>
      <c r="EW683" s="27" t="s">
        <v>8</v>
      </c>
      <c r="EX683" s="27" t="s">
        <v>7</v>
      </c>
      <c r="EY683" s="27" t="s">
        <v>8</v>
      </c>
      <c r="EZ683" s="27" t="s">
        <v>7</v>
      </c>
      <c r="FA683" s="27" t="s">
        <v>8</v>
      </c>
    </row>
    <row r="684" spans="1:231" x14ac:dyDescent="0.25">
      <c r="A684" s="7">
        <v>0.14648168905398537</v>
      </c>
      <c r="B684"/>
      <c r="C684"/>
      <c r="D684"/>
      <c r="E684"/>
      <c r="ER684" s="27" t="s">
        <v>7</v>
      </c>
      <c r="ES684" s="27" t="s">
        <v>8</v>
      </c>
      <c r="ET684" s="27" t="s">
        <v>7</v>
      </c>
      <c r="EU684" s="27" t="s">
        <v>8</v>
      </c>
      <c r="EV684" s="27" t="s">
        <v>7</v>
      </c>
      <c r="EW684" s="27" t="s">
        <v>8</v>
      </c>
      <c r="EX684" s="27" t="s">
        <v>7</v>
      </c>
      <c r="EZ684" s="27" t="s">
        <v>7</v>
      </c>
    </row>
    <row r="685" spans="1:231" x14ac:dyDescent="0.25">
      <c r="A685" s="7">
        <v>0.14360949907253467</v>
      </c>
      <c r="B685"/>
      <c r="C685"/>
      <c r="D685"/>
      <c r="E685"/>
      <c r="ER685" s="27" t="s">
        <v>7</v>
      </c>
      <c r="ES685" s="27" t="s">
        <v>8</v>
      </c>
      <c r="ET685" s="27" t="s">
        <v>7</v>
      </c>
      <c r="EU685" s="27" t="s">
        <v>8</v>
      </c>
      <c r="EV685" s="27" t="s">
        <v>7</v>
      </c>
      <c r="EW685" s="27" t="s">
        <v>8</v>
      </c>
    </row>
    <row r="686" spans="1:231" x14ac:dyDescent="0.25">
      <c r="A686" s="7">
        <v>0.14079362654170066</v>
      </c>
      <c r="B686"/>
      <c r="C686"/>
      <c r="D686"/>
      <c r="E686"/>
      <c r="ER686" s="27" t="s">
        <v>7</v>
      </c>
      <c r="ES686" s="27" t="s">
        <v>8</v>
      </c>
      <c r="ET686" s="27" t="s">
        <v>7</v>
      </c>
      <c r="EU686" s="27" t="s">
        <v>8</v>
      </c>
      <c r="EV686" s="27" t="s">
        <v>7</v>
      </c>
    </row>
    <row r="687" spans="1:231" x14ac:dyDescent="0.25">
      <c r="A687" s="7">
        <v>0.13803296719774574</v>
      </c>
      <c r="B687"/>
      <c r="C687"/>
      <c r="D687"/>
      <c r="E687"/>
      <c r="ER687" s="27" t="s">
        <v>7</v>
      </c>
      <c r="ES687" s="27" t="s">
        <v>8</v>
      </c>
      <c r="ET687" s="27" t="s">
        <v>7</v>
      </c>
      <c r="EU687" s="27" t="s">
        <v>8</v>
      </c>
    </row>
    <row r="688" spans="1:231" x14ac:dyDescent="0.25">
      <c r="A688" s="7">
        <v>0.1353264384291625</v>
      </c>
      <c r="B688"/>
      <c r="C688"/>
      <c r="D688"/>
      <c r="E688"/>
      <c r="ER688" s="27" t="s">
        <v>7</v>
      </c>
      <c r="ES688" s="27" t="s">
        <v>8</v>
      </c>
      <c r="ET688" s="27" t="s">
        <v>7</v>
      </c>
      <c r="EU688" s="27" t="s">
        <v>8</v>
      </c>
    </row>
    <row r="689" spans="1:151" x14ac:dyDescent="0.25">
      <c r="A689" s="7">
        <v>0.13267297885212009</v>
      </c>
      <c r="B689"/>
      <c r="C689"/>
      <c r="D689"/>
      <c r="E689"/>
      <c r="ER689" s="27" t="s">
        <v>7</v>
      </c>
      <c r="ES689" s="27" t="s">
        <v>8</v>
      </c>
      <c r="ET689" s="27" t="s">
        <v>7</v>
      </c>
      <c r="EU689" s="27" t="s">
        <v>8</v>
      </c>
    </row>
    <row r="690" spans="1:151" x14ac:dyDescent="0.25">
      <c r="A690" s="7">
        <v>0.13007154789423539</v>
      </c>
      <c r="B690"/>
      <c r="C690"/>
      <c r="D690"/>
      <c r="E690"/>
      <c r="ER690" s="27" t="s">
        <v>7</v>
      </c>
      <c r="ES690" s="27" t="s">
        <v>8</v>
      </c>
      <c r="ET690" s="27" t="s">
        <v>7</v>
      </c>
    </row>
    <row r="691" spans="1:151" x14ac:dyDescent="0.25">
      <c r="A691" s="7">
        <v>0.12752112538650529</v>
      </c>
      <c r="B691"/>
      <c r="C691"/>
      <c r="D691"/>
      <c r="E691"/>
      <c r="ER691" s="27" t="s">
        <v>7</v>
      </c>
      <c r="ES691" s="27" t="s">
        <v>8</v>
      </c>
    </row>
    <row r="692" spans="1:151" x14ac:dyDescent="0.25">
      <c r="A692" s="7">
        <v>0.12502071116324048</v>
      </c>
      <c r="B692"/>
      <c r="C692"/>
      <c r="D692"/>
      <c r="E692"/>
      <c r="ER692" s="27" t="s">
        <v>7</v>
      </c>
      <c r="ES692" s="27" t="s">
        <v>8</v>
      </c>
    </row>
    <row r="693" spans="1:151" x14ac:dyDescent="0.25">
      <c r="A693" s="7">
        <v>0.1225693246698436</v>
      </c>
      <c r="B693"/>
      <c r="C693"/>
      <c r="D693"/>
      <c r="E693"/>
      <c r="ER693" s="27" t="s">
        <v>7</v>
      </c>
      <c r="ES693" s="27" t="s">
        <v>8</v>
      </c>
    </row>
    <row r="694" spans="1:151" x14ac:dyDescent="0.25">
      <c r="A694" s="7">
        <v>0.12016600457827803</v>
      </c>
      <c r="B694"/>
      <c r="C694"/>
      <c r="D694"/>
      <c r="E694"/>
      <c r="ER694" s="27" t="s">
        <v>7</v>
      </c>
      <c r="ES694" s="27" t="s">
        <v>8</v>
      </c>
    </row>
    <row r="695" spans="1:151" x14ac:dyDescent="0.25">
      <c r="A695" s="7">
        <v>0.1178098084100765</v>
      </c>
      <c r="B695"/>
      <c r="C695"/>
      <c r="D695"/>
      <c r="E695"/>
      <c r="ER695" s="27" t="s">
        <v>7</v>
      </c>
      <c r="ES695" s="27" t="s">
        <v>8</v>
      </c>
    </row>
    <row r="696" spans="1:151" x14ac:dyDescent="0.25">
      <c r="A696" s="7">
        <v>0.11549981216674166</v>
      </c>
      <c r="B696"/>
      <c r="C696"/>
      <c r="D696"/>
      <c r="E696"/>
      <c r="ER696" s="27" t="s">
        <v>7</v>
      </c>
      <c r="ES696" s="27" t="s">
        <v>8</v>
      </c>
    </row>
    <row r="697" spans="1:151" x14ac:dyDescent="0.25">
      <c r="A697" s="7">
        <v>0.11323510996739378</v>
      </c>
      <c r="B697"/>
      <c r="C697"/>
      <c r="D697"/>
      <c r="E697"/>
      <c r="ER697" s="27" t="s">
        <v>7</v>
      </c>
      <c r="ES697" s="27" t="s">
        <v>8</v>
      </c>
    </row>
    <row r="698" spans="1:151" x14ac:dyDescent="0.25">
      <c r="A698" s="7">
        <v>0.11101481369352331</v>
      </c>
      <c r="B698"/>
      <c r="C698"/>
      <c r="D698"/>
      <c r="E698"/>
      <c r="ER698" s="27" t="s">
        <v>7</v>
      </c>
      <c r="ES698" s="27" t="s">
        <v>8</v>
      </c>
    </row>
    <row r="699" spans="1:151" x14ac:dyDescent="0.25">
      <c r="A699" s="7">
        <v>0.10883805264070913</v>
      </c>
      <c r="B699"/>
      <c r="C699"/>
      <c r="D699"/>
      <c r="E699"/>
      <c r="ER699" s="27" t="s">
        <v>7</v>
      </c>
      <c r="ES699" s="27" t="s">
        <v>8</v>
      </c>
    </row>
    <row r="700" spans="1:151" x14ac:dyDescent="0.25">
      <c r="A700" s="7">
        <v>0.10670397317716582</v>
      </c>
      <c r="B700"/>
      <c r="C700"/>
      <c r="D700"/>
      <c r="E700"/>
      <c r="ER700" s="27" t="s">
        <v>7</v>
      </c>
      <c r="ES700" s="27" t="s">
        <v>8</v>
      </c>
    </row>
    <row r="701" spans="1:151" x14ac:dyDescent="0.25">
      <c r="A701" s="7">
        <v>0.1046117384089861</v>
      </c>
      <c r="B701"/>
      <c r="C701"/>
      <c r="D701"/>
      <c r="E701"/>
      <c r="ER701" s="27" t="s">
        <v>7</v>
      </c>
      <c r="ES701" s="27" t="s">
        <v>8</v>
      </c>
    </row>
    <row r="702" spans="1:151" x14ac:dyDescent="0.25">
      <c r="A702" s="7">
        <v>0.10256052785194716</v>
      </c>
      <c r="B702"/>
      <c r="C702"/>
      <c r="D702"/>
      <c r="E702"/>
      <c r="ER702" s="27" t="s">
        <v>7</v>
      </c>
    </row>
    <row r="703" spans="1:151" x14ac:dyDescent="0.25">
      <c r="A703" s="7">
        <v>0.10054953710975212</v>
      </c>
      <c r="B703"/>
      <c r="C703"/>
      <c r="D703"/>
      <c r="E703"/>
    </row>
    <row r="704" spans="1:151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4" zoomScale="90" zoomScaleNormal="90" workbookViewId="0">
      <pane xSplit="4" topLeftCell="CF1" activePane="topRight" state="frozen"/>
      <selection activeCell="A109" sqref="A109"/>
      <selection pane="topRight" activeCell="DY249" sqref="DY24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$A$248</v>
      </c>
      <c r="D111" s="1" t="str">
        <f>ADDRESS(C121-1,D121,1,1)</f>
        <v>$DY$248</v>
      </c>
      <c r="E111"/>
    </row>
    <row r="112" spans="1:5" x14ac:dyDescent="0.25">
      <c r="A112" s="30">
        <v>515.50191262726139</v>
      </c>
      <c r="C112" s="1" t="str">
        <f>ADDRESS(C121,1,1,1)</f>
        <v>$A$249</v>
      </c>
      <c r="D112" s="1" t="str">
        <f>ADDRESS(C121,D121-1,1,1)</f>
        <v>$DX$249</v>
      </c>
      <c r="E112"/>
    </row>
    <row r="113" spans="1:5" x14ac:dyDescent="0.25">
      <c r="A113" s="30">
        <v>490.95420250215363</v>
      </c>
      <c r="C113" s="1" t="str">
        <f>ADDRESS(C121+1,1,1,1)</f>
        <v>$A$250</v>
      </c>
      <c r="D113" s="1" t="str">
        <f>ADDRESS(C121-1,D121+1,1,1)</f>
        <v>$DZ$248</v>
      </c>
    </row>
    <row r="114" spans="1:5" x14ac:dyDescent="0.25">
      <c r="A114" s="30">
        <v>467.57543095443202</v>
      </c>
      <c r="C114" s="1" t="str">
        <f>ADDRESS(C121,D121,1,1)</f>
        <v>$DY$249</v>
      </c>
      <c r="D114" s="1" t="str">
        <f>ADDRESS(C121+1,D121+1,1,1)</f>
        <v>$DZ$250</v>
      </c>
    </row>
    <row r="115" spans="1:5" x14ac:dyDescent="0.25">
      <c r="A115" s="30">
        <v>445.30993424231622</v>
      </c>
      <c r="C115" s="1" t="str">
        <f>ADDRESS(C121+1,D121,1,1)</f>
        <v>$DY$250</v>
      </c>
    </row>
    <row r="116" spans="1:5" x14ac:dyDescent="0.25">
      <c r="A116" s="30">
        <v>424.10469927839637</v>
      </c>
      <c r="C116" s="1">
        <f>C117-1</f>
        <v>248</v>
      </c>
    </row>
    <row r="117" spans="1:5" x14ac:dyDescent="0.25">
      <c r="A117" s="30">
        <v>403.9092374079965</v>
      </c>
      <c r="C117" s="1">
        <f>C121</f>
        <v>249</v>
      </c>
      <c r="D117" s="1">
        <f>D121</f>
        <v>129</v>
      </c>
    </row>
    <row r="118" spans="1:5" x14ac:dyDescent="0.25">
      <c r="A118" s="30">
        <v>384.6754641980919</v>
      </c>
      <c r="C118" s="1">
        <f>C117+1</f>
        <v>250</v>
      </c>
      <c r="D118" s="1">
        <f>D117+1</f>
        <v>130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249</v>
      </c>
      <c r="D121" s="19">
        <v>129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R249</v>
      </c>
      <c r="D123" s="1" t="str">
        <f>"C"&amp;D121</f>
        <v>C129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0.64460891621779492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29" x14ac:dyDescent="0.25">
      <c r="A225" s="30">
        <v>2.0789281794113688</v>
      </c>
      <c r="E225"/>
    </row>
    <row r="226" spans="1:129" x14ac:dyDescent="0.25">
      <c r="A226" s="30">
        <v>1.9799315994393987</v>
      </c>
      <c r="E226"/>
    </row>
    <row r="227" spans="1:129" x14ac:dyDescent="0.25">
      <c r="A227" s="30">
        <v>1.8856491423232367</v>
      </c>
      <c r="E227"/>
      <c r="CE227" s="27" t="s">
        <v>8</v>
      </c>
    </row>
    <row r="228" spans="1:129" x14ac:dyDescent="0.25">
      <c r="A228" s="30">
        <v>1.7958563260221301</v>
      </c>
      <c r="C228" s="7"/>
      <c r="D228"/>
      <c r="E228"/>
      <c r="CE228" s="27" t="s">
        <v>8</v>
      </c>
      <c r="CF228" s="27" t="s">
        <v>7</v>
      </c>
    </row>
    <row r="229" spans="1:129" x14ac:dyDescent="0.25">
      <c r="A229" s="30">
        <v>1.7103393581163142</v>
      </c>
      <c r="E229"/>
      <c r="CE229" s="27" t="s">
        <v>8</v>
      </c>
      <c r="CF229" s="27" t="s">
        <v>7</v>
      </c>
      <c r="CG229" s="27" t="s">
        <v>8</v>
      </c>
      <c r="CQ229" s="27" t="s">
        <v>8</v>
      </c>
    </row>
    <row r="230" spans="1:129" x14ac:dyDescent="0.25">
      <c r="A230" s="30">
        <v>1.628894626777442</v>
      </c>
      <c r="E230"/>
      <c r="CE230" s="27" t="s">
        <v>8</v>
      </c>
      <c r="CF230" s="27" t="s">
        <v>7</v>
      </c>
      <c r="CG230" s="27" t="s">
        <v>8</v>
      </c>
      <c r="CH230" s="27" t="s">
        <v>7</v>
      </c>
      <c r="CO230" s="27" t="s">
        <v>8</v>
      </c>
      <c r="CQ230" s="27" t="s">
        <v>8</v>
      </c>
      <c r="CR230" s="27" t="s">
        <v>7</v>
      </c>
      <c r="CW230" s="31" t="s">
        <v>8</v>
      </c>
    </row>
    <row r="231" spans="1:129" x14ac:dyDescent="0.25">
      <c r="A231" s="30">
        <v>1.5513282159785162</v>
      </c>
      <c r="C231"/>
      <c r="D231"/>
      <c r="E231"/>
      <c r="CE231" s="27" t="s">
        <v>8</v>
      </c>
      <c r="CF231" s="27" t="s">
        <v>7</v>
      </c>
      <c r="CG231" s="27" t="s">
        <v>8</v>
      </c>
      <c r="CH231" s="27" t="s">
        <v>7</v>
      </c>
      <c r="CO231" s="27" t="s">
        <v>8</v>
      </c>
      <c r="CP231" s="27" t="s">
        <v>7</v>
      </c>
      <c r="CQ231" s="27" t="s">
        <v>8</v>
      </c>
      <c r="CR231" s="27" t="s">
        <v>7</v>
      </c>
      <c r="CU231" s="33" t="s">
        <v>8</v>
      </c>
      <c r="CW231" s="27" t="s">
        <v>8</v>
      </c>
      <c r="CX231" s="31" t="s">
        <v>7</v>
      </c>
    </row>
    <row r="232" spans="1:129" x14ac:dyDescent="0.25">
      <c r="A232" s="30">
        <v>1.477455443789063</v>
      </c>
      <c r="E232"/>
      <c r="CE232" s="27" t="s">
        <v>8</v>
      </c>
      <c r="CF232" s="27" t="s">
        <v>7</v>
      </c>
      <c r="CH232" s="27" t="s">
        <v>7</v>
      </c>
      <c r="CI232" s="27" t="s">
        <v>8</v>
      </c>
      <c r="CO232" s="27" t="s">
        <v>8</v>
      </c>
      <c r="CP232" s="27" t="s">
        <v>7</v>
      </c>
      <c r="CQ232" s="27" t="s">
        <v>8</v>
      </c>
      <c r="CR232" s="27" t="s">
        <v>7</v>
      </c>
      <c r="CS232" s="27" t="s">
        <v>8</v>
      </c>
      <c r="CU232" s="27" t="s">
        <v>8</v>
      </c>
      <c r="CV232" s="27" t="s">
        <v>7</v>
      </c>
      <c r="CW232" s="27" t="s">
        <v>8</v>
      </c>
      <c r="CX232" s="27" t="s">
        <v>7</v>
      </c>
      <c r="CY232" s="31"/>
    </row>
    <row r="233" spans="1:129" x14ac:dyDescent="0.25">
      <c r="A233" s="30">
        <v>1.4071004226562505</v>
      </c>
      <c r="E233"/>
      <c r="CE233" s="27" t="s">
        <v>8</v>
      </c>
      <c r="CH233" s="32" t="s">
        <v>7</v>
      </c>
      <c r="CI233" s="27" t="s">
        <v>8</v>
      </c>
      <c r="CJ233" s="27" t="s">
        <v>7</v>
      </c>
      <c r="CK233" s="27" t="s">
        <v>8</v>
      </c>
      <c r="CO233" s="27" t="s">
        <v>8</v>
      </c>
      <c r="CP233" s="27" t="s">
        <v>7</v>
      </c>
      <c r="CQ233" s="27" t="s">
        <v>8</v>
      </c>
      <c r="CR233" s="27" t="s">
        <v>7</v>
      </c>
      <c r="CS233" s="27" t="s">
        <v>8</v>
      </c>
      <c r="CT233" s="27" t="s">
        <v>7</v>
      </c>
      <c r="CU233" s="27" t="s">
        <v>8</v>
      </c>
      <c r="CV233" s="27" t="s">
        <v>7</v>
      </c>
      <c r="CW233" s="27" t="s">
        <v>8</v>
      </c>
      <c r="CX233" s="27" t="s">
        <v>7</v>
      </c>
      <c r="CZ233" s="31"/>
      <c r="DM233" s="27" t="s">
        <v>8</v>
      </c>
    </row>
    <row r="234" spans="1:129" x14ac:dyDescent="0.25">
      <c r="A234" s="30">
        <v>1.3400956406250004</v>
      </c>
      <c r="E234"/>
      <c r="CE234" s="27" t="s">
        <v>8</v>
      </c>
      <c r="CH234" s="27" t="s">
        <v>7</v>
      </c>
      <c r="CI234" s="27" t="s">
        <v>8</v>
      </c>
      <c r="CJ234" s="27" t="s">
        <v>7</v>
      </c>
      <c r="CK234" s="27" t="s">
        <v>8</v>
      </c>
      <c r="CL234" s="27" t="s">
        <v>7</v>
      </c>
      <c r="CO234" s="27" t="s">
        <v>8</v>
      </c>
      <c r="CP234" s="27" t="s">
        <v>7</v>
      </c>
      <c r="CR234" s="27" t="s">
        <v>7</v>
      </c>
      <c r="CS234" s="27" t="s">
        <v>8</v>
      </c>
      <c r="CT234" s="27" t="s">
        <v>7</v>
      </c>
      <c r="CU234" s="27" t="s">
        <v>8</v>
      </c>
      <c r="CV234" s="27" t="s">
        <v>7</v>
      </c>
      <c r="CX234" s="27" t="s">
        <v>7</v>
      </c>
      <c r="DA234" s="31"/>
      <c r="DI234" s="27" t="s">
        <v>8</v>
      </c>
      <c r="DM234" s="27" t="s">
        <v>8</v>
      </c>
      <c r="DN234" s="27" t="s">
        <v>7</v>
      </c>
      <c r="DS234" s="31" t="s">
        <v>8</v>
      </c>
    </row>
    <row r="235" spans="1:129" x14ac:dyDescent="0.25">
      <c r="A235" s="30">
        <v>1.2762815625000004</v>
      </c>
      <c r="C235"/>
      <c r="E235"/>
      <c r="CE235" s="27" t="s">
        <v>8</v>
      </c>
      <c r="CH235" s="27" t="s">
        <v>7</v>
      </c>
      <c r="CI235" s="27" t="s">
        <v>8</v>
      </c>
      <c r="CJ235" s="27" t="s">
        <v>7</v>
      </c>
      <c r="CK235" s="27" t="s">
        <v>8</v>
      </c>
      <c r="CL235" s="27" t="s">
        <v>7</v>
      </c>
      <c r="CO235" s="27" t="s">
        <v>8</v>
      </c>
      <c r="CR235" s="32" t="s">
        <v>7</v>
      </c>
      <c r="CS235" s="27" t="s">
        <v>8</v>
      </c>
      <c r="CT235" s="27" t="s">
        <v>7</v>
      </c>
      <c r="CU235" s="27" t="s">
        <v>8</v>
      </c>
      <c r="CX235" s="32" t="s">
        <v>7</v>
      </c>
      <c r="DB235" s="31"/>
      <c r="DI235" s="27" t="s">
        <v>8</v>
      </c>
      <c r="DJ235" s="27" t="s">
        <v>7</v>
      </c>
      <c r="DK235" s="27" t="s">
        <v>8</v>
      </c>
      <c r="DM235" s="27" t="s">
        <v>8</v>
      </c>
      <c r="DN235" s="27" t="s">
        <v>7</v>
      </c>
      <c r="DS235" s="27" t="s">
        <v>8</v>
      </c>
      <c r="DT235" s="31" t="s">
        <v>7</v>
      </c>
    </row>
    <row r="236" spans="1:129" x14ac:dyDescent="0.25">
      <c r="A236" s="30">
        <v>1.2155062500000002</v>
      </c>
      <c r="E236"/>
      <c r="CE236" s="27" t="s">
        <v>8</v>
      </c>
      <c r="CH236" s="34" t="s">
        <v>7</v>
      </c>
      <c r="CJ236" s="34" t="s">
        <v>7</v>
      </c>
      <c r="CL236" s="27" t="s">
        <v>7</v>
      </c>
      <c r="CO236" s="33" t="s">
        <v>8</v>
      </c>
      <c r="CR236" s="34" t="s">
        <v>7</v>
      </c>
      <c r="CT236" s="34" t="s">
        <v>7</v>
      </c>
      <c r="CW236" s="31"/>
      <c r="CX236" s="27" t="s">
        <v>7</v>
      </c>
      <c r="CY236" s="27" t="s">
        <v>8</v>
      </c>
      <c r="DC236" s="31"/>
      <c r="DI236" s="27" t="s">
        <v>8</v>
      </c>
      <c r="DJ236" s="27" t="s">
        <v>7</v>
      </c>
      <c r="DK236" s="27" t="s">
        <v>8</v>
      </c>
      <c r="DL236" s="27" t="s">
        <v>7</v>
      </c>
      <c r="DM236" s="27" t="s">
        <v>8</v>
      </c>
      <c r="DN236" s="27" t="s">
        <v>7</v>
      </c>
      <c r="DO236" s="27" t="s">
        <v>8</v>
      </c>
      <c r="DQ236" s="27" t="s">
        <v>8</v>
      </c>
      <c r="DS236" s="27" t="s">
        <v>8</v>
      </c>
      <c r="DT236" s="27" t="s">
        <v>7</v>
      </c>
      <c r="DU236" s="31"/>
    </row>
    <row r="237" spans="1:12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CE237" s="27" t="s">
        <v>8</v>
      </c>
      <c r="CL237" s="27" t="s">
        <v>7</v>
      </c>
      <c r="CM237" s="27" t="s">
        <v>8</v>
      </c>
      <c r="CO237" s="27" t="s">
        <v>8</v>
      </c>
      <c r="CV237" s="31"/>
      <c r="CX237" s="27" t="s">
        <v>7</v>
      </c>
      <c r="CY237" s="27" t="s">
        <v>8</v>
      </c>
      <c r="CZ237" s="27" t="s">
        <v>7</v>
      </c>
      <c r="DD237" s="31"/>
      <c r="DI237" s="27" t="s">
        <v>8</v>
      </c>
      <c r="DJ237" s="27" t="s">
        <v>7</v>
      </c>
      <c r="DK237" s="27" t="s">
        <v>8</v>
      </c>
      <c r="DL237" s="27" t="s">
        <v>7</v>
      </c>
      <c r="DM237" s="27" t="s">
        <v>8</v>
      </c>
      <c r="DN237" s="27" t="s">
        <v>7</v>
      </c>
      <c r="DO237" s="27" t="s">
        <v>8</v>
      </c>
      <c r="DP237" s="27" t="s">
        <v>7</v>
      </c>
      <c r="DQ237" s="27" t="s">
        <v>8</v>
      </c>
      <c r="DR237" s="27" t="s">
        <v>7</v>
      </c>
      <c r="DS237" s="27" t="s">
        <v>8</v>
      </c>
      <c r="DT237" s="27" t="s">
        <v>7</v>
      </c>
      <c r="DV237" s="31"/>
    </row>
    <row r="238" spans="1:129" x14ac:dyDescent="0.25">
      <c r="A238" s="30">
        <v>1.1025</v>
      </c>
      <c r="E238"/>
      <c r="CC238" s="27" t="s">
        <v>8</v>
      </c>
      <c r="CE238" s="27" t="s">
        <v>8</v>
      </c>
      <c r="CL238" s="27" t="s">
        <v>7</v>
      </c>
      <c r="CM238" s="27" t="s">
        <v>8</v>
      </c>
      <c r="CN238" s="27" t="s">
        <v>7</v>
      </c>
      <c r="CO238" s="27" t="s">
        <v>8</v>
      </c>
      <c r="CU238" s="31"/>
      <c r="CX238" s="27" t="s">
        <v>7</v>
      </c>
      <c r="CY238" s="27" t="s">
        <v>8</v>
      </c>
      <c r="CZ238" s="27" t="s">
        <v>7</v>
      </c>
      <c r="DE238" s="31"/>
      <c r="DI238" s="27" t="s">
        <v>8</v>
      </c>
      <c r="DJ238" s="27" t="s">
        <v>7</v>
      </c>
      <c r="DL238" s="27" t="s">
        <v>7</v>
      </c>
      <c r="DN238" s="27" t="s">
        <v>7</v>
      </c>
      <c r="DO238" s="27" t="s">
        <v>8</v>
      </c>
      <c r="DP238" s="27" t="s">
        <v>7</v>
      </c>
      <c r="DQ238" s="27" t="s">
        <v>8</v>
      </c>
      <c r="DR238" s="27" t="s">
        <v>7</v>
      </c>
      <c r="DS238" s="27" t="s">
        <v>8</v>
      </c>
      <c r="DT238" s="27" t="s">
        <v>7</v>
      </c>
      <c r="DW238" s="31"/>
    </row>
    <row r="239" spans="1:129" x14ac:dyDescent="0.25">
      <c r="A239" s="30">
        <v>1.05</v>
      </c>
      <c r="E239"/>
      <c r="CC239" s="27" t="s">
        <v>8</v>
      </c>
      <c r="CD239" s="27" t="s">
        <v>7</v>
      </c>
      <c r="CE239" s="27" t="s">
        <v>8</v>
      </c>
      <c r="CL239" s="27" t="s">
        <v>7</v>
      </c>
      <c r="CM239" s="27" t="s">
        <v>8</v>
      </c>
      <c r="CN239" s="27" t="s">
        <v>7</v>
      </c>
      <c r="CO239" s="27" t="s">
        <v>8</v>
      </c>
      <c r="CT239" s="31"/>
      <c r="CX239" s="27" t="s">
        <v>7</v>
      </c>
      <c r="CY239" s="27" t="s">
        <v>8</v>
      </c>
      <c r="CZ239" s="27" t="s">
        <v>7</v>
      </c>
      <c r="DA239" s="34" t="s">
        <v>8</v>
      </c>
      <c r="DC239" s="34" t="s">
        <v>8</v>
      </c>
      <c r="DF239" s="31"/>
      <c r="DI239" s="27" t="s">
        <v>8</v>
      </c>
      <c r="DN239" s="27" t="s">
        <v>7</v>
      </c>
      <c r="DO239" s="27" t="s">
        <v>8</v>
      </c>
      <c r="DP239" s="27" t="s">
        <v>7</v>
      </c>
      <c r="DQ239" s="27" t="s">
        <v>8</v>
      </c>
      <c r="DR239" s="27" t="s">
        <v>7</v>
      </c>
      <c r="DS239" s="27" t="s">
        <v>8</v>
      </c>
      <c r="DT239" s="27" t="s">
        <v>7</v>
      </c>
      <c r="DX239" s="31"/>
    </row>
    <row r="240" spans="1:129" x14ac:dyDescent="0.25">
      <c r="A240" s="30">
        <v>1</v>
      </c>
      <c r="E240" s="29" t="s">
        <v>8</v>
      </c>
      <c r="CC240" s="27" t="s">
        <v>8</v>
      </c>
      <c r="CD240" s="27" t="s">
        <v>7</v>
      </c>
      <c r="CE240" s="27" t="s">
        <v>8</v>
      </c>
      <c r="CL240" s="27" t="s">
        <v>7</v>
      </c>
      <c r="CM240" s="27" t="s">
        <v>8</v>
      </c>
      <c r="CN240" s="27" t="s">
        <v>7</v>
      </c>
      <c r="CO240" s="27" t="s">
        <v>8</v>
      </c>
      <c r="CS240" s="31"/>
      <c r="CX240" s="27" t="s">
        <v>7</v>
      </c>
      <c r="CY240" s="27" t="s">
        <v>8</v>
      </c>
      <c r="CZ240" s="27" t="s">
        <v>7</v>
      </c>
      <c r="DA240" s="27" t="s">
        <v>8</v>
      </c>
      <c r="DB240" s="27" t="s">
        <v>7</v>
      </c>
      <c r="DC240" s="27" t="s">
        <v>8</v>
      </c>
      <c r="DD240" s="27" t="s">
        <v>7</v>
      </c>
      <c r="DG240" s="31"/>
      <c r="DI240" s="27" t="s">
        <v>8</v>
      </c>
      <c r="DN240" s="27" t="s">
        <v>7</v>
      </c>
      <c r="DP240" s="27" t="s">
        <v>7</v>
      </c>
      <c r="DQ240" s="27" t="s">
        <v>8</v>
      </c>
      <c r="DR240" s="27" t="s">
        <v>7</v>
      </c>
      <c r="DS240" s="27" t="s">
        <v>8</v>
      </c>
      <c r="DT240" s="27" t="s">
        <v>7</v>
      </c>
      <c r="DW240" s="27" t="s">
        <v>8</v>
      </c>
      <c r="DY240" s="31"/>
    </row>
    <row r="241" spans="1:129" x14ac:dyDescent="0.25">
      <c r="A241" s="30">
        <v>0.952380952380952</v>
      </c>
      <c r="B241"/>
      <c r="C241"/>
      <c r="D241"/>
      <c r="E241"/>
      <c r="F241" s="27" t="s">
        <v>7</v>
      </c>
      <c r="CC241" s="27" t="s">
        <v>8</v>
      </c>
      <c r="CD241" s="27" t="s">
        <v>7</v>
      </c>
      <c r="CE241" s="27" t="s">
        <v>8</v>
      </c>
      <c r="CL241" s="27" t="s">
        <v>7</v>
      </c>
      <c r="CM241" s="27" t="s">
        <v>8</v>
      </c>
      <c r="CN241" s="27" t="s">
        <v>7</v>
      </c>
      <c r="CR241" s="31"/>
      <c r="CX241" s="27" t="s">
        <v>7</v>
      </c>
      <c r="CY241" s="27" t="s">
        <v>8</v>
      </c>
      <c r="CZ241" s="27" t="s">
        <v>7</v>
      </c>
      <c r="DA241" s="27" t="s">
        <v>8</v>
      </c>
      <c r="DB241" s="27" t="s">
        <v>7</v>
      </c>
      <c r="DC241" s="27" t="s">
        <v>8</v>
      </c>
      <c r="DD241" s="27" t="s">
        <v>7</v>
      </c>
      <c r="DH241" s="31"/>
      <c r="DI241" s="27" t="s">
        <v>8</v>
      </c>
      <c r="DP241" s="27" t="s">
        <v>7</v>
      </c>
      <c r="DQ241" s="27" t="s">
        <v>8</v>
      </c>
      <c r="DR241" s="27" t="s">
        <v>7</v>
      </c>
      <c r="DT241" s="31" t="s">
        <v>7</v>
      </c>
      <c r="DW241" s="27" t="s">
        <v>8</v>
      </c>
      <c r="DX241" s="27" t="s">
        <v>7</v>
      </c>
    </row>
    <row r="242" spans="1:129" x14ac:dyDescent="0.25">
      <c r="A242" s="30">
        <v>0.90702947845804915</v>
      </c>
      <c r="B242"/>
      <c r="C242"/>
      <c r="D242"/>
      <c r="E242"/>
      <c r="F242" s="27" t="s">
        <v>7</v>
      </c>
      <c r="CC242" s="27" t="s">
        <v>8</v>
      </c>
      <c r="CD242" s="27" t="s">
        <v>7</v>
      </c>
      <c r="CE242" s="27" t="s">
        <v>8</v>
      </c>
      <c r="CL242" s="27" t="s">
        <v>7</v>
      </c>
      <c r="CQ242" s="31"/>
      <c r="CX242" s="27" t="s">
        <v>7</v>
      </c>
      <c r="CY242" s="27" t="s">
        <v>8</v>
      </c>
      <c r="CZ242" s="27" t="s">
        <v>7</v>
      </c>
      <c r="DA242" s="27" t="s">
        <v>8</v>
      </c>
      <c r="DB242" s="27" t="s">
        <v>7</v>
      </c>
      <c r="DC242" s="27" t="s">
        <v>8</v>
      </c>
      <c r="DD242" s="27" t="s">
        <v>7</v>
      </c>
      <c r="DI242" s="31" t="s">
        <v>8</v>
      </c>
      <c r="DP242" s="27" t="s">
        <v>7</v>
      </c>
      <c r="DQ242" s="27" t="s">
        <v>8</v>
      </c>
      <c r="DS242" s="31"/>
      <c r="DT242" s="27" t="s">
        <v>7</v>
      </c>
      <c r="DU242" s="27" t="s">
        <v>8</v>
      </c>
      <c r="DW242" s="27" t="s">
        <v>8</v>
      </c>
      <c r="DX242" s="27" t="s">
        <v>7</v>
      </c>
    </row>
    <row r="243" spans="1:129" x14ac:dyDescent="0.25">
      <c r="A243" s="30">
        <v>0.86383759853147501</v>
      </c>
      <c r="B243"/>
      <c r="C243"/>
      <c r="D243"/>
      <c r="E243"/>
      <c r="F243" s="27" t="s">
        <v>7</v>
      </c>
      <c r="CC243" s="27" t="s">
        <v>8</v>
      </c>
      <c r="CD243" s="27" t="s">
        <v>7</v>
      </c>
      <c r="CP243" s="31"/>
      <c r="CX243" s="27" t="s">
        <v>7</v>
      </c>
      <c r="CZ243" s="27" t="s">
        <v>7</v>
      </c>
      <c r="DA243" s="27" t="s">
        <v>8</v>
      </c>
      <c r="DB243" s="27" t="s">
        <v>7</v>
      </c>
      <c r="DC243" s="27" t="s">
        <v>8</v>
      </c>
      <c r="DD243" s="27" t="s">
        <v>7</v>
      </c>
      <c r="DI243" s="27" t="s">
        <v>8</v>
      </c>
      <c r="DJ243" s="31"/>
      <c r="DP243" s="27" t="s">
        <v>7</v>
      </c>
      <c r="DR243" s="31"/>
      <c r="DT243" s="27" t="s">
        <v>7</v>
      </c>
      <c r="DU243" s="27" t="s">
        <v>8</v>
      </c>
      <c r="DV243" s="27" t="s">
        <v>7</v>
      </c>
      <c r="DW243" s="27" t="s">
        <v>8</v>
      </c>
      <c r="DX243" s="27" t="s">
        <v>7</v>
      </c>
    </row>
    <row r="244" spans="1:129" x14ac:dyDescent="0.25">
      <c r="A244" s="30">
        <v>0.82270247479188063</v>
      </c>
      <c r="B244"/>
      <c r="C244"/>
      <c r="D244"/>
      <c r="E244"/>
      <c r="F244" s="27" t="s">
        <v>7</v>
      </c>
      <c r="CC244" s="27" t="s">
        <v>8</v>
      </c>
      <c r="CO244" s="31"/>
      <c r="CZ244" s="27" t="s">
        <v>7</v>
      </c>
      <c r="DA244" s="27" t="s">
        <v>8</v>
      </c>
      <c r="DB244" s="27" t="s">
        <v>7</v>
      </c>
      <c r="DD244" s="27" t="s">
        <v>7</v>
      </c>
      <c r="DI244" s="27" t="s">
        <v>8</v>
      </c>
      <c r="DK244" s="31"/>
      <c r="DQ244" s="31"/>
      <c r="DT244" s="27" t="s">
        <v>7</v>
      </c>
      <c r="DU244" s="27" t="s">
        <v>8</v>
      </c>
      <c r="DV244" s="27" t="s">
        <v>7</v>
      </c>
      <c r="DW244" s="27" t="s">
        <v>8</v>
      </c>
      <c r="DX244" s="27" t="s">
        <v>7</v>
      </c>
    </row>
    <row r="245" spans="1:129" x14ac:dyDescent="0.25">
      <c r="A245" s="30">
        <v>0.78352616646845741</v>
      </c>
      <c r="B245"/>
      <c r="C245"/>
      <c r="D245"/>
      <c r="E245"/>
      <c r="F245" s="27" t="s">
        <v>7</v>
      </c>
      <c r="CC245" s="27" t="s">
        <v>8</v>
      </c>
      <c r="CN245" s="31"/>
      <c r="CZ245" s="27" t="s">
        <v>7</v>
      </c>
      <c r="DA245" s="27" t="s">
        <v>8</v>
      </c>
      <c r="DD245" s="27" t="s">
        <v>7</v>
      </c>
      <c r="DI245" s="27" t="s">
        <v>8</v>
      </c>
      <c r="DP245" s="31"/>
      <c r="DT245" s="27" t="s">
        <v>7</v>
      </c>
      <c r="DU245" s="27" t="s">
        <v>8</v>
      </c>
      <c r="DV245" s="27" t="s">
        <v>7</v>
      </c>
      <c r="DX245" s="27" t="s">
        <v>7</v>
      </c>
    </row>
    <row r="246" spans="1:129" x14ac:dyDescent="0.25">
      <c r="A246" s="30">
        <v>0.74621539663662584</v>
      </c>
      <c r="B246"/>
      <c r="C246"/>
      <c r="D246"/>
      <c r="E246"/>
      <c r="F246" s="27" t="s">
        <v>7</v>
      </c>
      <c r="AW246" s="27" t="s">
        <v>8</v>
      </c>
      <c r="CC246" s="27" t="s">
        <v>8</v>
      </c>
      <c r="CM246" s="31"/>
      <c r="CZ246" s="27" t="s">
        <v>7</v>
      </c>
      <c r="DA246" s="27" t="s">
        <v>8</v>
      </c>
      <c r="DD246" s="27" t="s">
        <v>7</v>
      </c>
      <c r="DI246" s="35" t="s">
        <v>8</v>
      </c>
      <c r="DO246" s="31"/>
      <c r="DT246" s="27" t="s">
        <v>7</v>
      </c>
      <c r="DU246" s="27" t="s">
        <v>8</v>
      </c>
      <c r="DX246" s="32" t="s">
        <v>7</v>
      </c>
    </row>
    <row r="247" spans="1:129" x14ac:dyDescent="0.25">
      <c r="A247" s="30">
        <v>0.71068133013011958</v>
      </c>
      <c r="B247"/>
      <c r="C247"/>
      <c r="D247"/>
      <c r="E247"/>
      <c r="F247" s="27" t="s">
        <v>7</v>
      </c>
      <c r="AW247" s="27" t="s">
        <v>8</v>
      </c>
      <c r="AX247" s="27" t="s">
        <v>7</v>
      </c>
      <c r="CC247" s="27" t="s">
        <v>8</v>
      </c>
      <c r="CL247" s="31"/>
      <c r="CZ247" s="27" t="s">
        <v>7</v>
      </c>
      <c r="DA247" s="27" t="s">
        <v>8</v>
      </c>
      <c r="DD247" s="27" t="s">
        <v>7</v>
      </c>
      <c r="DG247" s="33" t="s">
        <v>8</v>
      </c>
      <c r="DI247" s="27" t="s">
        <v>8</v>
      </c>
      <c r="DN247" s="31"/>
      <c r="DT247" s="27" t="s">
        <v>7</v>
      </c>
      <c r="DU247" s="27" t="s">
        <v>8</v>
      </c>
      <c r="DW247" s="31"/>
      <c r="DX247" s="27" t="s">
        <v>7</v>
      </c>
    </row>
    <row r="248" spans="1:129" x14ac:dyDescent="0.25">
      <c r="A248" s="30">
        <v>0.676839362028685</v>
      </c>
      <c r="B248"/>
      <c r="C248"/>
      <c r="D248"/>
      <c r="E248"/>
      <c r="F248" s="27" t="s">
        <v>7</v>
      </c>
      <c r="AW248" s="27" t="s">
        <v>8</v>
      </c>
      <c r="AX248" s="27" t="s">
        <v>7</v>
      </c>
      <c r="AY248" s="27" t="s">
        <v>8</v>
      </c>
      <c r="CC248" s="27" t="s">
        <v>8</v>
      </c>
      <c r="CK248" s="31"/>
      <c r="CZ248" s="27" t="s">
        <v>7</v>
      </c>
      <c r="DD248" s="27" t="s">
        <v>7</v>
      </c>
      <c r="DE248" s="27" t="s">
        <v>8</v>
      </c>
      <c r="DG248" s="27" t="s">
        <v>8</v>
      </c>
      <c r="DH248" s="27" t="s">
        <v>7</v>
      </c>
      <c r="DI248" s="27" t="s">
        <v>8</v>
      </c>
      <c r="DM248" s="31"/>
      <c r="DT248" s="27" t="s">
        <v>7</v>
      </c>
      <c r="DU248" s="27" t="s">
        <v>8</v>
      </c>
      <c r="DV248" s="31"/>
      <c r="DX248" s="27" t="s">
        <v>7</v>
      </c>
    </row>
    <row r="249" spans="1:129" x14ac:dyDescent="0.25">
      <c r="A249" s="30">
        <v>0.64460891621779492</v>
      </c>
      <c r="B249"/>
      <c r="C249"/>
      <c r="D249"/>
      <c r="E249"/>
      <c r="F249" s="27" t="s">
        <v>7</v>
      </c>
      <c r="AW249" s="27" t="s">
        <v>8</v>
      </c>
      <c r="AX249" s="27" t="s">
        <v>7</v>
      </c>
      <c r="AY249" s="27" t="s">
        <v>8</v>
      </c>
      <c r="AZ249" s="27" t="s">
        <v>7</v>
      </c>
      <c r="BC249" s="27" t="s">
        <v>8</v>
      </c>
      <c r="BW249" s="27" t="s">
        <v>8</v>
      </c>
      <c r="CC249" s="27" t="s">
        <v>8</v>
      </c>
      <c r="CJ249" s="31"/>
      <c r="DD249" s="27" t="s">
        <v>7</v>
      </c>
      <c r="DE249" s="27" t="s">
        <v>8</v>
      </c>
      <c r="DF249" s="27" t="s">
        <v>7</v>
      </c>
      <c r="DG249" s="27" t="s">
        <v>8</v>
      </c>
      <c r="DH249" s="27" t="s">
        <v>7</v>
      </c>
      <c r="DI249" s="27" t="s">
        <v>8</v>
      </c>
      <c r="DL249" s="31"/>
      <c r="DT249" s="27" t="s">
        <v>7</v>
      </c>
      <c r="DU249" s="31" t="s">
        <v>8</v>
      </c>
      <c r="DX249" s="27" t="s">
        <v>7</v>
      </c>
      <c r="DY249" s="27" t="s">
        <v>8</v>
      </c>
    </row>
    <row r="250" spans="1:129" x14ac:dyDescent="0.25">
      <c r="A250" s="30">
        <v>0.61391325354075688</v>
      </c>
      <c r="B250"/>
      <c r="C250"/>
      <c r="D250"/>
      <c r="E250"/>
      <c r="F250" s="27" t="s">
        <v>7</v>
      </c>
      <c r="AW250" s="27" t="s">
        <v>8</v>
      </c>
      <c r="AX250" s="27" t="s">
        <v>7</v>
      </c>
      <c r="AY250" s="27" t="s">
        <v>8</v>
      </c>
      <c r="AZ250" s="27" t="s">
        <v>7</v>
      </c>
      <c r="BC250" s="27" t="s">
        <v>8</v>
      </c>
      <c r="BD250" s="27" t="s">
        <v>7</v>
      </c>
      <c r="BU250" s="27" t="s">
        <v>8</v>
      </c>
      <c r="BW250" s="27" t="s">
        <v>8</v>
      </c>
      <c r="BX250" s="27" t="s">
        <v>7</v>
      </c>
      <c r="CC250" s="27" t="s">
        <v>8</v>
      </c>
      <c r="CI250" s="31"/>
      <c r="DD250" s="27" t="s">
        <v>7</v>
      </c>
      <c r="DE250" s="27" t="s">
        <v>8</v>
      </c>
      <c r="DF250" s="27" t="s">
        <v>7</v>
      </c>
      <c r="DG250" s="27" t="s">
        <v>8</v>
      </c>
      <c r="DH250" s="27" t="s">
        <v>7</v>
      </c>
      <c r="DI250" s="27" t="s">
        <v>8</v>
      </c>
      <c r="DK250" s="31"/>
      <c r="DT250" s="31" t="s">
        <v>7</v>
      </c>
      <c r="DX250" s="27" t="s">
        <v>7</v>
      </c>
      <c r="DY250" s="27" t="s">
        <v>8</v>
      </c>
    </row>
    <row r="251" spans="1:129" x14ac:dyDescent="0.25">
      <c r="A251" s="30">
        <v>0.58467928908643485</v>
      </c>
      <c r="B251"/>
      <c r="C251"/>
      <c r="D251"/>
      <c r="E251"/>
      <c r="F251" s="27" t="s">
        <v>7</v>
      </c>
      <c r="AW251" s="27" t="s">
        <v>8</v>
      </c>
      <c r="AX251" s="27" t="s">
        <v>7</v>
      </c>
      <c r="AY251" s="27" t="s">
        <v>8</v>
      </c>
      <c r="AZ251" s="27" t="s">
        <v>7</v>
      </c>
      <c r="BA251" s="27" t="s">
        <v>8</v>
      </c>
      <c r="BC251" s="27" t="s">
        <v>8</v>
      </c>
      <c r="BD251" s="27" t="s">
        <v>7</v>
      </c>
      <c r="BU251" s="27" t="s">
        <v>8</v>
      </c>
      <c r="BV251" s="27" t="s">
        <v>7</v>
      </c>
      <c r="BW251" s="27" t="s">
        <v>8</v>
      </c>
      <c r="BX251" s="27" t="s">
        <v>7</v>
      </c>
      <c r="CA251" s="27" t="s">
        <v>8</v>
      </c>
      <c r="CC251" s="27" t="s">
        <v>8</v>
      </c>
      <c r="CH251" s="31"/>
      <c r="DD251" s="27" t="s">
        <v>7</v>
      </c>
      <c r="DE251" s="27" t="s">
        <v>8</v>
      </c>
      <c r="DF251" s="27" t="s">
        <v>7</v>
      </c>
      <c r="DH251" s="27" t="s">
        <v>7</v>
      </c>
      <c r="DI251" s="27" t="s">
        <v>8</v>
      </c>
      <c r="DJ251" s="31"/>
      <c r="DX251" s="27" t="s">
        <v>7</v>
      </c>
      <c r="DY251" s="27" t="s">
        <v>8</v>
      </c>
    </row>
    <row r="252" spans="1:129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AW252" s="27" t="s">
        <v>8</v>
      </c>
      <c r="AX252" s="27" t="s">
        <v>7</v>
      </c>
      <c r="AY252" s="27" t="s">
        <v>8</v>
      </c>
      <c r="AZ252" s="27" t="s">
        <v>7</v>
      </c>
      <c r="BA252" s="27" t="s">
        <v>8</v>
      </c>
      <c r="BB252" s="27" t="s">
        <v>7</v>
      </c>
      <c r="BC252" s="27" t="s">
        <v>8</v>
      </c>
      <c r="BD252" s="27" t="s">
        <v>7</v>
      </c>
      <c r="BU252" s="27" t="s">
        <v>8</v>
      </c>
      <c r="BV252" s="27" t="s">
        <v>7</v>
      </c>
      <c r="BW252" s="27" t="s">
        <v>8</v>
      </c>
      <c r="BX252" s="27" t="s">
        <v>7</v>
      </c>
      <c r="CA252" s="27" t="s">
        <v>8</v>
      </c>
      <c r="CB252" s="27" t="s">
        <v>7</v>
      </c>
      <c r="CC252" s="27" t="s">
        <v>8</v>
      </c>
      <c r="CG252" s="31"/>
      <c r="DD252" s="27" t="s">
        <v>7</v>
      </c>
      <c r="DE252" s="27" t="s">
        <v>8</v>
      </c>
      <c r="DH252" s="32" t="s">
        <v>7</v>
      </c>
      <c r="DI252" s="31" t="s">
        <v>8</v>
      </c>
      <c r="DX252" s="27" t="s">
        <v>7</v>
      </c>
    </row>
    <row r="253" spans="1:129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I253" s="27" t="s">
        <v>8</v>
      </c>
      <c r="AW253" s="27" t="s">
        <v>8</v>
      </c>
      <c r="AX253" s="27" t="s">
        <v>7</v>
      </c>
      <c r="AY253" s="27" t="s">
        <v>8</v>
      </c>
      <c r="AZ253" s="27" t="s">
        <v>7</v>
      </c>
      <c r="BA253" s="27" t="s">
        <v>8</v>
      </c>
      <c r="BB253" s="27" t="s">
        <v>7</v>
      </c>
      <c r="BC253" s="27" t="s">
        <v>8</v>
      </c>
      <c r="BD253" s="27" t="s">
        <v>7</v>
      </c>
      <c r="BU253" s="27" t="s">
        <v>8</v>
      </c>
      <c r="BV253" s="27" t="s">
        <v>7</v>
      </c>
      <c r="BW253" s="27" t="s">
        <v>8</v>
      </c>
      <c r="BX253" s="27" t="s">
        <v>7</v>
      </c>
      <c r="CA253" s="27" t="s">
        <v>8</v>
      </c>
      <c r="CB253" s="27" t="s">
        <v>7</v>
      </c>
      <c r="CC253" s="27" t="s">
        <v>8</v>
      </c>
      <c r="CF253" s="31"/>
      <c r="DD253" s="27" t="s">
        <v>7</v>
      </c>
      <c r="DH253" s="31" t="s">
        <v>7</v>
      </c>
    </row>
    <row r="254" spans="1:129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H254" s="27" t="s">
        <v>7</v>
      </c>
      <c r="I254" s="27" t="s">
        <v>8</v>
      </c>
      <c r="J254" s="27" t="s">
        <v>7</v>
      </c>
      <c r="Y254" s="27" t="s">
        <v>8</v>
      </c>
      <c r="AW254" s="27" t="s">
        <v>8</v>
      </c>
      <c r="AX254" s="27" t="s">
        <v>7</v>
      </c>
      <c r="AY254" s="27" t="s">
        <v>8</v>
      </c>
      <c r="AZ254" s="27" t="s">
        <v>7</v>
      </c>
      <c r="BB254" s="27" t="s">
        <v>7</v>
      </c>
      <c r="BC254" s="27" t="s">
        <v>8</v>
      </c>
      <c r="BD254" s="27" t="s">
        <v>7</v>
      </c>
      <c r="BQ254" s="27" t="s">
        <v>8</v>
      </c>
      <c r="BU254" s="27" t="s">
        <v>8</v>
      </c>
      <c r="BV254" s="27" t="s">
        <v>7</v>
      </c>
      <c r="BW254" s="27" t="s">
        <v>8</v>
      </c>
      <c r="BX254" s="27" t="s">
        <v>7</v>
      </c>
      <c r="CA254" s="33" t="s">
        <v>8</v>
      </c>
      <c r="CB254" s="27" t="s">
        <v>7</v>
      </c>
      <c r="CC254" s="27" t="s">
        <v>8</v>
      </c>
      <c r="CE254" s="31"/>
    </row>
    <row r="255" spans="1:129" x14ac:dyDescent="0.25">
      <c r="A255" s="30">
        <v>0.48101709809096732</v>
      </c>
      <c r="E255"/>
      <c r="F255" s="27" t="s">
        <v>7</v>
      </c>
      <c r="G255" s="27" t="s">
        <v>8</v>
      </c>
      <c r="H255" s="27" t="s">
        <v>7</v>
      </c>
      <c r="I255" s="27" t="s">
        <v>8</v>
      </c>
      <c r="J255" s="27" t="s">
        <v>7</v>
      </c>
      <c r="Y255" s="27" t="s">
        <v>8</v>
      </c>
      <c r="Z255" s="27" t="s">
        <v>7</v>
      </c>
      <c r="AW255" s="27" t="s">
        <v>8</v>
      </c>
      <c r="AX255" s="27" t="s">
        <v>7</v>
      </c>
      <c r="AY255" s="27" t="s">
        <v>8</v>
      </c>
      <c r="BB255" s="27" t="s">
        <v>7</v>
      </c>
      <c r="BC255" s="27" t="s">
        <v>8</v>
      </c>
      <c r="BD255" s="27" t="s">
        <v>7</v>
      </c>
      <c r="BQ255" s="27" t="s">
        <v>8</v>
      </c>
      <c r="BR255" s="27" t="s">
        <v>7</v>
      </c>
      <c r="BS255" s="27" t="s">
        <v>8</v>
      </c>
      <c r="BU255" s="27" t="s">
        <v>8</v>
      </c>
      <c r="BV255" s="27" t="s">
        <v>7</v>
      </c>
      <c r="BX255" s="27" t="s">
        <v>7</v>
      </c>
      <c r="BY255" s="27" t="s">
        <v>8</v>
      </c>
      <c r="CA255" s="27" t="s">
        <v>8</v>
      </c>
      <c r="CB255" s="27" t="s">
        <v>7</v>
      </c>
      <c r="CC255" s="27" t="s">
        <v>8</v>
      </c>
      <c r="CD255" s="31"/>
    </row>
    <row r="256" spans="1:129" x14ac:dyDescent="0.25">
      <c r="A256" s="30">
        <v>0.45811152199139726</v>
      </c>
      <c r="E256"/>
      <c r="F256" s="27" t="s">
        <v>7</v>
      </c>
      <c r="G256" s="27" t="s">
        <v>8</v>
      </c>
      <c r="H256" s="27" t="s">
        <v>7</v>
      </c>
      <c r="I256" s="27" t="s">
        <v>8</v>
      </c>
      <c r="J256" s="27" t="s">
        <v>7</v>
      </c>
      <c r="U256" s="27" t="s">
        <v>8</v>
      </c>
      <c r="W256" s="27" t="s">
        <v>8</v>
      </c>
      <c r="Y256" s="27" t="s">
        <v>8</v>
      </c>
      <c r="Z256" s="27" t="s">
        <v>7</v>
      </c>
      <c r="AW256" s="27" t="s">
        <v>8</v>
      </c>
      <c r="AX256" s="27" t="s">
        <v>7</v>
      </c>
      <c r="BB256" s="27" t="s">
        <v>7</v>
      </c>
      <c r="BD256" s="27" t="s">
        <v>7</v>
      </c>
      <c r="BQ256" s="27" t="s">
        <v>8</v>
      </c>
      <c r="BR256" s="27" t="s">
        <v>7</v>
      </c>
      <c r="BS256" s="27" t="s">
        <v>8</v>
      </c>
      <c r="BT256" s="27" t="s">
        <v>7</v>
      </c>
      <c r="BU256" s="27" t="s">
        <v>8</v>
      </c>
      <c r="BX256" s="32" t="s">
        <v>7</v>
      </c>
      <c r="BY256" s="27" t="s">
        <v>8</v>
      </c>
      <c r="BZ256" s="27" t="s">
        <v>7</v>
      </c>
      <c r="CA256" s="27" t="s">
        <v>8</v>
      </c>
      <c r="CB256" s="27" t="s">
        <v>7</v>
      </c>
      <c r="CC256" s="31"/>
    </row>
    <row r="257" spans="1:80" x14ac:dyDescent="0.25">
      <c r="A257" s="30">
        <v>0.43629668761085438</v>
      </c>
      <c r="B257"/>
      <c r="C257"/>
      <c r="D257"/>
      <c r="E257"/>
      <c r="F257" s="27" t="s">
        <v>7</v>
      </c>
      <c r="H257" s="27" t="s">
        <v>7</v>
      </c>
      <c r="J257" s="27" t="s">
        <v>7</v>
      </c>
      <c r="M257" s="27" t="s">
        <v>8</v>
      </c>
      <c r="U257" s="27" t="s">
        <v>8</v>
      </c>
      <c r="V257" s="27" t="s">
        <v>7</v>
      </c>
      <c r="W257" s="27" t="s">
        <v>8</v>
      </c>
      <c r="X257" s="27" t="s">
        <v>7</v>
      </c>
      <c r="Y257" s="27" t="s">
        <v>8</v>
      </c>
      <c r="Z257" s="27" t="s">
        <v>7</v>
      </c>
      <c r="AW257" s="27" t="s">
        <v>8</v>
      </c>
      <c r="BD257" s="27" t="s">
        <v>7</v>
      </c>
      <c r="BQ257" s="27" t="s">
        <v>8</v>
      </c>
      <c r="BR257" s="27" t="s">
        <v>7</v>
      </c>
      <c r="BS257" s="27" t="s">
        <v>8</v>
      </c>
      <c r="BT257" s="27" t="s">
        <v>7</v>
      </c>
      <c r="BU257" s="27" t="s">
        <v>8</v>
      </c>
      <c r="BX257" s="27" t="s">
        <v>7</v>
      </c>
      <c r="BY257" s="27" t="s">
        <v>8</v>
      </c>
      <c r="BZ257" s="27" t="s">
        <v>7</v>
      </c>
      <c r="CA257" s="27" t="s">
        <v>8</v>
      </c>
      <c r="CB257" s="31"/>
    </row>
    <row r="258" spans="1:80" x14ac:dyDescent="0.25">
      <c r="A258" s="30">
        <v>0.41552065486748019</v>
      </c>
      <c r="B258"/>
      <c r="C258"/>
      <c r="D258"/>
      <c r="E258"/>
      <c r="J258" s="27" t="s">
        <v>7</v>
      </c>
      <c r="M258" s="27" t="s">
        <v>8</v>
      </c>
      <c r="N258" s="27" t="s">
        <v>7</v>
      </c>
      <c r="U258" s="27" t="s">
        <v>8</v>
      </c>
      <c r="V258" s="27" t="s">
        <v>7</v>
      </c>
      <c r="W258" s="27" t="s">
        <v>8</v>
      </c>
      <c r="X258" s="27" t="s">
        <v>7</v>
      </c>
      <c r="Y258" s="27" t="s">
        <v>8</v>
      </c>
      <c r="Z258" s="27" t="s">
        <v>7</v>
      </c>
      <c r="AW258" s="27" t="s">
        <v>8</v>
      </c>
      <c r="BD258" s="27" t="s">
        <v>7</v>
      </c>
      <c r="BQ258" s="27" t="s">
        <v>8</v>
      </c>
      <c r="BR258" s="27" t="s">
        <v>7</v>
      </c>
      <c r="BS258" s="27" t="s">
        <v>8</v>
      </c>
      <c r="BT258" s="27" t="s">
        <v>7</v>
      </c>
      <c r="BU258" s="27" t="s">
        <v>8</v>
      </c>
      <c r="BX258" s="27" t="s">
        <v>7</v>
      </c>
      <c r="BY258" s="27" t="s">
        <v>8</v>
      </c>
      <c r="BZ258" s="27" t="s">
        <v>7</v>
      </c>
      <c r="CA258" s="31" t="s">
        <v>8</v>
      </c>
    </row>
    <row r="259" spans="1:80" x14ac:dyDescent="0.25">
      <c r="A259" s="30">
        <v>0.39573395701664765</v>
      </c>
      <c r="B259"/>
      <c r="C259"/>
      <c r="D259"/>
      <c r="E259"/>
      <c r="J259" s="27" t="s">
        <v>7</v>
      </c>
      <c r="K259" s="27" t="s">
        <v>8</v>
      </c>
      <c r="M259" s="27" t="s">
        <v>8</v>
      </c>
      <c r="N259" s="27" t="s">
        <v>7</v>
      </c>
      <c r="U259" s="27" t="s">
        <v>8</v>
      </c>
      <c r="V259" s="27" t="s">
        <v>7</v>
      </c>
      <c r="W259" s="27" t="s">
        <v>8</v>
      </c>
      <c r="X259" s="27" t="s">
        <v>7</v>
      </c>
      <c r="Y259" s="27" t="s">
        <v>8</v>
      </c>
      <c r="Z259" s="27" t="s">
        <v>7</v>
      </c>
      <c r="AW259" s="27" t="s">
        <v>8</v>
      </c>
      <c r="BD259" s="27" t="s">
        <v>7</v>
      </c>
      <c r="BQ259" s="27" t="s">
        <v>8</v>
      </c>
      <c r="BR259" s="27" t="s">
        <v>7</v>
      </c>
      <c r="BS259" s="27" t="s">
        <v>8</v>
      </c>
      <c r="BT259" s="27" t="s">
        <v>7</v>
      </c>
      <c r="BX259" s="27" t="s">
        <v>7</v>
      </c>
      <c r="BY259" s="27" t="s">
        <v>8</v>
      </c>
      <c r="BZ259" s="31" t="s">
        <v>7</v>
      </c>
    </row>
    <row r="260" spans="1:80" x14ac:dyDescent="0.25">
      <c r="A260" s="30">
        <v>0.37688948287299762</v>
      </c>
      <c r="B260"/>
      <c r="C260"/>
      <c r="D260"/>
      <c r="E260"/>
      <c r="J260" s="27" t="s">
        <v>7</v>
      </c>
      <c r="K260" s="27" t="s">
        <v>8</v>
      </c>
      <c r="L260" s="27" t="s">
        <v>7</v>
      </c>
      <c r="M260" s="27" t="s">
        <v>8</v>
      </c>
      <c r="N260" s="27" t="s">
        <v>7</v>
      </c>
      <c r="O260" s="27" t="s">
        <v>8</v>
      </c>
      <c r="S260" s="27" t="s">
        <v>8</v>
      </c>
      <c r="U260" s="27" t="s">
        <v>8</v>
      </c>
      <c r="V260" s="27" t="s">
        <v>7</v>
      </c>
      <c r="W260" s="27" t="s">
        <v>8</v>
      </c>
      <c r="X260" s="27" t="s">
        <v>7</v>
      </c>
      <c r="Z260" s="27" t="s">
        <v>7</v>
      </c>
      <c r="AW260" s="27" t="s">
        <v>8</v>
      </c>
      <c r="BD260" s="27" t="s">
        <v>7</v>
      </c>
      <c r="BE260" s="27" t="s">
        <v>8</v>
      </c>
      <c r="BQ260" s="27" t="s">
        <v>8</v>
      </c>
      <c r="BR260" s="27" t="s">
        <v>7</v>
      </c>
      <c r="BS260" s="27" t="s">
        <v>8</v>
      </c>
      <c r="BX260" s="27" t="s">
        <v>7</v>
      </c>
      <c r="BY260" s="31"/>
    </row>
    <row r="261" spans="1:80" x14ac:dyDescent="0.25">
      <c r="A261" s="30">
        <v>0.35894236464094997</v>
      </c>
      <c r="B261"/>
      <c r="C261"/>
      <c r="D261"/>
      <c r="E261"/>
      <c r="J261" s="27" t="s">
        <v>7</v>
      </c>
      <c r="K261" s="27" t="s">
        <v>8</v>
      </c>
      <c r="L261" s="27" t="s">
        <v>7</v>
      </c>
      <c r="M261" s="27" t="s">
        <v>8</v>
      </c>
      <c r="N261" s="27" t="s">
        <v>7</v>
      </c>
      <c r="O261" s="27" t="s">
        <v>8</v>
      </c>
      <c r="P261" s="27" t="s">
        <v>7</v>
      </c>
      <c r="S261" s="27" t="s">
        <v>8</v>
      </c>
      <c r="T261" s="27" t="s">
        <v>7</v>
      </c>
      <c r="U261" s="27" t="s">
        <v>8</v>
      </c>
      <c r="V261" s="27" t="s">
        <v>7</v>
      </c>
      <c r="Z261" s="27" t="s">
        <v>7</v>
      </c>
      <c r="AW261" s="27" t="s">
        <v>8</v>
      </c>
      <c r="BD261" s="27" t="s">
        <v>7</v>
      </c>
      <c r="BE261" s="27" t="s">
        <v>8</v>
      </c>
      <c r="BF261" s="27" t="s">
        <v>7</v>
      </c>
      <c r="BK261" s="34" t="s">
        <v>8</v>
      </c>
      <c r="BM261" s="34" t="s">
        <v>8</v>
      </c>
      <c r="BQ261" s="27" t="s">
        <v>8</v>
      </c>
      <c r="BR261" s="27" t="s">
        <v>7</v>
      </c>
      <c r="BS261" s="27" t="s">
        <v>8</v>
      </c>
      <c r="BX261" s="31"/>
    </row>
    <row r="262" spans="1:80" x14ac:dyDescent="0.25">
      <c r="A262" s="30">
        <v>0.34184987108661891</v>
      </c>
      <c r="B262"/>
      <c r="C262"/>
      <c r="D262"/>
      <c r="E262"/>
      <c r="J262" s="27" t="s">
        <v>7</v>
      </c>
      <c r="L262" s="27" t="s">
        <v>7</v>
      </c>
      <c r="M262" s="27" t="s">
        <v>8</v>
      </c>
      <c r="N262" s="27" t="s">
        <v>7</v>
      </c>
      <c r="O262" s="27" t="s">
        <v>8</v>
      </c>
      <c r="P262" s="27" t="s">
        <v>7</v>
      </c>
      <c r="Q262" s="27" t="s">
        <v>8</v>
      </c>
      <c r="S262" s="27" t="s">
        <v>8</v>
      </c>
      <c r="T262" s="27" t="s">
        <v>7</v>
      </c>
      <c r="U262" s="27" t="s">
        <v>8</v>
      </c>
      <c r="Z262" s="27" t="s">
        <v>7</v>
      </c>
      <c r="AG262" s="27" t="s">
        <v>8</v>
      </c>
      <c r="AW262" s="27" t="s">
        <v>8</v>
      </c>
      <c r="BD262" s="27" t="s">
        <v>7</v>
      </c>
      <c r="BE262" s="27" t="s">
        <v>8</v>
      </c>
      <c r="BF262" s="27" t="s">
        <v>7</v>
      </c>
      <c r="BK262" s="27" t="s">
        <v>8</v>
      </c>
      <c r="BL262" s="27" t="s">
        <v>7</v>
      </c>
      <c r="BM262" s="27" t="s">
        <v>8</v>
      </c>
      <c r="BN262" s="27" t="s">
        <v>7</v>
      </c>
      <c r="BQ262" s="27" t="s">
        <v>8</v>
      </c>
      <c r="BR262" s="27" t="s">
        <v>7</v>
      </c>
      <c r="BW262" s="31"/>
    </row>
    <row r="263" spans="1:80" x14ac:dyDescent="0.25">
      <c r="A263" s="30">
        <v>0.32557130579677979</v>
      </c>
      <c r="B263"/>
      <c r="C263"/>
      <c r="D263"/>
      <c r="E263"/>
      <c r="L263" s="27" t="s">
        <v>7</v>
      </c>
      <c r="M263" s="27" t="s">
        <v>8</v>
      </c>
      <c r="N263" s="27" t="s">
        <v>7</v>
      </c>
      <c r="P263" s="27" t="s">
        <v>7</v>
      </c>
      <c r="Q263" s="27" t="s">
        <v>8</v>
      </c>
      <c r="R263" s="27" t="s">
        <v>7</v>
      </c>
      <c r="S263" s="27" t="s">
        <v>8</v>
      </c>
      <c r="T263" s="27" t="s">
        <v>7</v>
      </c>
      <c r="U263" s="27" t="s">
        <v>8</v>
      </c>
      <c r="Z263" s="27" t="s">
        <v>7</v>
      </c>
      <c r="AA263" s="27" t="s">
        <v>8</v>
      </c>
      <c r="AG263" s="27" t="s">
        <v>8</v>
      </c>
      <c r="AH263" s="27" t="s">
        <v>7</v>
      </c>
      <c r="AQ263" s="27" t="s">
        <v>8</v>
      </c>
      <c r="AS263" s="27" t="s">
        <v>8</v>
      </c>
      <c r="AW263" s="27" t="s">
        <v>8</v>
      </c>
      <c r="BD263" s="27" t="s">
        <v>7</v>
      </c>
      <c r="BE263" s="27" t="s">
        <v>8</v>
      </c>
      <c r="BF263" s="27" t="s">
        <v>7</v>
      </c>
      <c r="BG263" s="27" t="s">
        <v>8</v>
      </c>
      <c r="BK263" s="27" t="s">
        <v>8</v>
      </c>
      <c r="BL263" s="27" t="s">
        <v>7</v>
      </c>
      <c r="BM263" s="27" t="s">
        <v>8</v>
      </c>
      <c r="BN263" s="27" t="s">
        <v>7</v>
      </c>
      <c r="BO263" s="27" t="s">
        <v>8</v>
      </c>
      <c r="BQ263" s="27" t="s">
        <v>8</v>
      </c>
      <c r="BV263" s="31"/>
    </row>
    <row r="264" spans="1:80" x14ac:dyDescent="0.25">
      <c r="A264" s="30">
        <v>0.3100679102826473</v>
      </c>
      <c r="B264"/>
      <c r="C264"/>
      <c r="D264"/>
      <c r="E264"/>
      <c r="L264" s="27" t="s">
        <v>7</v>
      </c>
      <c r="M264" s="27" t="s">
        <v>8</v>
      </c>
      <c r="P264" s="27" t="s">
        <v>7</v>
      </c>
      <c r="Q264" s="27" t="s">
        <v>8</v>
      </c>
      <c r="R264" s="27" t="s">
        <v>7</v>
      </c>
      <c r="S264" s="27" t="s">
        <v>8</v>
      </c>
      <c r="T264" s="27" t="s">
        <v>7</v>
      </c>
      <c r="U264" s="27" t="s">
        <v>8</v>
      </c>
      <c r="Z264" s="27" t="s">
        <v>7</v>
      </c>
      <c r="AA264" s="27" t="s">
        <v>8</v>
      </c>
      <c r="AB264" s="27" t="s">
        <v>7</v>
      </c>
      <c r="AE264" s="27" t="s">
        <v>8</v>
      </c>
      <c r="AG264" s="27" t="s">
        <v>8</v>
      </c>
      <c r="AH264" s="27" t="s">
        <v>7</v>
      </c>
      <c r="AQ264" s="27" t="s">
        <v>8</v>
      </c>
      <c r="AR264" s="27" t="s">
        <v>7</v>
      </c>
      <c r="AS264" s="27" t="s">
        <v>8</v>
      </c>
      <c r="AT264" s="27" t="s">
        <v>7</v>
      </c>
      <c r="AW264" s="27" t="s">
        <v>8</v>
      </c>
      <c r="BD264" s="27" t="s">
        <v>7</v>
      </c>
      <c r="BE264" s="27" t="s">
        <v>8</v>
      </c>
      <c r="BF264" s="27" t="s">
        <v>7</v>
      </c>
      <c r="BG264" s="27" t="s">
        <v>8</v>
      </c>
      <c r="BH264" s="27" t="s">
        <v>7</v>
      </c>
      <c r="BK264" s="27" t="s">
        <v>8</v>
      </c>
      <c r="BL264" s="27" t="s">
        <v>7</v>
      </c>
      <c r="BM264" s="27" t="s">
        <v>8</v>
      </c>
      <c r="BN264" s="27" t="s">
        <v>7</v>
      </c>
      <c r="BO264" s="27" t="s">
        <v>8</v>
      </c>
      <c r="BP264" s="27" t="s">
        <v>7</v>
      </c>
      <c r="BQ264" s="27" t="s">
        <v>8</v>
      </c>
      <c r="BU264" s="31"/>
    </row>
    <row r="265" spans="1:80" x14ac:dyDescent="0.25">
      <c r="A265" s="30">
        <v>0.2953027716977592</v>
      </c>
      <c r="B265"/>
      <c r="C265"/>
      <c r="D265"/>
      <c r="E265"/>
      <c r="L265" s="27" t="s">
        <v>7</v>
      </c>
      <c r="M265" s="27" t="s">
        <v>8</v>
      </c>
      <c r="P265" s="27" t="s">
        <v>7</v>
      </c>
      <c r="Q265" s="27" t="s">
        <v>8</v>
      </c>
      <c r="R265" s="27" t="s">
        <v>7</v>
      </c>
      <c r="T265" s="27" t="s">
        <v>7</v>
      </c>
      <c r="Z265" s="27" t="s">
        <v>7</v>
      </c>
      <c r="AA265" s="27" t="s">
        <v>8</v>
      </c>
      <c r="AB265" s="27" t="s">
        <v>7</v>
      </c>
      <c r="AC265" s="27" t="s">
        <v>8</v>
      </c>
      <c r="AE265" s="27" t="s">
        <v>8</v>
      </c>
      <c r="AF265" s="27" t="s">
        <v>7</v>
      </c>
      <c r="AG265" s="27" t="s">
        <v>8</v>
      </c>
      <c r="AH265" s="27" t="s">
        <v>7</v>
      </c>
      <c r="AQ265" s="27" t="s">
        <v>8</v>
      </c>
      <c r="AR265" s="27" t="s">
        <v>7</v>
      </c>
      <c r="AS265" s="27" t="s">
        <v>8</v>
      </c>
      <c r="AT265" s="27" t="s">
        <v>7</v>
      </c>
      <c r="AU265" s="27" t="s">
        <v>8</v>
      </c>
      <c r="AW265" s="27" t="s">
        <v>8</v>
      </c>
      <c r="BD265" s="27" t="s">
        <v>7</v>
      </c>
      <c r="BE265" s="27" t="s">
        <v>8</v>
      </c>
      <c r="BF265" s="27" t="s">
        <v>7</v>
      </c>
      <c r="BG265" s="27" t="s">
        <v>8</v>
      </c>
      <c r="BH265" s="27" t="s">
        <v>7</v>
      </c>
      <c r="BK265" s="27" t="s">
        <v>8</v>
      </c>
      <c r="BL265" s="27" t="s">
        <v>7</v>
      </c>
      <c r="BN265" s="27" t="s">
        <v>7</v>
      </c>
      <c r="BO265" s="27" t="s">
        <v>8</v>
      </c>
      <c r="BP265" s="27" t="s">
        <v>7</v>
      </c>
      <c r="BQ265" s="27" t="s">
        <v>8</v>
      </c>
      <c r="BT265" s="31"/>
    </row>
    <row r="266" spans="1:80" x14ac:dyDescent="0.25">
      <c r="A266" s="30">
        <v>0.28124073495024676</v>
      </c>
      <c r="B266"/>
      <c r="C266"/>
      <c r="D266"/>
      <c r="E266"/>
      <c r="L266" s="27" t="s">
        <v>7</v>
      </c>
      <c r="P266" s="27" t="s">
        <v>7</v>
      </c>
      <c r="Z266" s="27" t="s">
        <v>7</v>
      </c>
      <c r="AA266" s="27" t="s">
        <v>8</v>
      </c>
      <c r="AB266" s="27" t="s">
        <v>7</v>
      </c>
      <c r="AC266" s="27" t="s">
        <v>8</v>
      </c>
      <c r="AD266" s="27" t="s">
        <v>7</v>
      </c>
      <c r="AE266" s="27" t="s">
        <v>8</v>
      </c>
      <c r="AF266" s="27" t="s">
        <v>7</v>
      </c>
      <c r="AG266" s="27" t="s">
        <v>8</v>
      </c>
      <c r="AH266" s="27" t="s">
        <v>7</v>
      </c>
      <c r="AQ266" s="27" t="s">
        <v>8</v>
      </c>
      <c r="AR266" s="27" t="s">
        <v>7</v>
      </c>
      <c r="AS266" s="27" t="s">
        <v>8</v>
      </c>
      <c r="AT266" s="27" t="s">
        <v>7</v>
      </c>
      <c r="AU266" s="27" t="s">
        <v>8</v>
      </c>
      <c r="AV266" s="27" t="s">
        <v>7</v>
      </c>
      <c r="AW266" s="27" t="s">
        <v>8</v>
      </c>
      <c r="BD266" s="27" t="s">
        <v>7</v>
      </c>
      <c r="BE266" s="27" t="s">
        <v>8</v>
      </c>
      <c r="BF266" s="27" t="s">
        <v>7</v>
      </c>
      <c r="BH266" s="27" t="s">
        <v>7</v>
      </c>
      <c r="BK266" s="27" t="s">
        <v>8</v>
      </c>
      <c r="BN266" s="27" t="s">
        <v>7</v>
      </c>
      <c r="BO266" s="27" t="s">
        <v>8</v>
      </c>
      <c r="BP266" s="27" t="s">
        <v>7</v>
      </c>
      <c r="BQ266" s="27" t="s">
        <v>8</v>
      </c>
      <c r="BS266" s="31"/>
    </row>
    <row r="267" spans="1:80" x14ac:dyDescent="0.25">
      <c r="A267" s="30">
        <v>0.26784831900023492</v>
      </c>
      <c r="B267"/>
      <c r="C267"/>
      <c r="D267"/>
      <c r="E267"/>
      <c r="Z267" s="27" t="s">
        <v>7</v>
      </c>
      <c r="AA267" s="27" t="s">
        <v>8</v>
      </c>
      <c r="AB267" s="27" t="s">
        <v>7</v>
      </c>
      <c r="AC267" s="27" t="s">
        <v>8</v>
      </c>
      <c r="AD267" s="27" t="s">
        <v>7</v>
      </c>
      <c r="AE267" s="27" t="s">
        <v>8</v>
      </c>
      <c r="AF267" s="27" t="s">
        <v>7</v>
      </c>
      <c r="AG267" s="27" t="s">
        <v>8</v>
      </c>
      <c r="AH267" s="27" t="s">
        <v>7</v>
      </c>
      <c r="AQ267" s="27" t="s">
        <v>8</v>
      </c>
      <c r="AR267" s="27" t="s">
        <v>7</v>
      </c>
      <c r="AT267" s="27" t="s">
        <v>7</v>
      </c>
      <c r="AU267" s="27" t="s">
        <v>8</v>
      </c>
      <c r="AV267" s="27" t="s">
        <v>7</v>
      </c>
      <c r="AW267" s="27" t="s">
        <v>8</v>
      </c>
      <c r="BD267" s="27" t="s">
        <v>7</v>
      </c>
      <c r="BE267" s="27" t="s">
        <v>8</v>
      </c>
      <c r="BH267" s="27" t="s">
        <v>7</v>
      </c>
      <c r="BK267" s="27" t="s">
        <v>8</v>
      </c>
      <c r="BN267" s="27" t="s">
        <v>7</v>
      </c>
      <c r="BO267" s="27" t="s">
        <v>8</v>
      </c>
      <c r="BP267" s="27" t="s">
        <v>7</v>
      </c>
      <c r="BQ267" s="27" t="s">
        <v>8</v>
      </c>
      <c r="BR267" s="31"/>
    </row>
    <row r="268" spans="1:80" x14ac:dyDescent="0.25">
      <c r="A268" s="30">
        <v>0.25509363714308075</v>
      </c>
      <c r="B268"/>
      <c r="C268"/>
      <c r="D268"/>
      <c r="E268"/>
      <c r="Z268" s="27" t="s">
        <v>7</v>
      </c>
      <c r="AB268" s="27" t="s">
        <v>7</v>
      </c>
      <c r="AC268" s="27" t="s">
        <v>8</v>
      </c>
      <c r="AD268" s="27" t="s">
        <v>7</v>
      </c>
      <c r="AF268" s="27" t="s">
        <v>7</v>
      </c>
      <c r="AG268" s="27" t="s">
        <v>8</v>
      </c>
      <c r="AH268" s="27" t="s">
        <v>7</v>
      </c>
      <c r="AQ268" s="27" t="s">
        <v>8</v>
      </c>
      <c r="AT268" s="27" t="s">
        <v>7</v>
      </c>
      <c r="AV268" s="27" t="s">
        <v>7</v>
      </c>
      <c r="AW268" s="27" t="s">
        <v>8</v>
      </c>
      <c r="BD268" s="27" t="s">
        <v>7</v>
      </c>
      <c r="BE268" s="27" t="s">
        <v>8</v>
      </c>
      <c r="BH268" s="27" t="s">
        <v>7</v>
      </c>
      <c r="BI268" s="27" t="s">
        <v>8</v>
      </c>
      <c r="BK268" s="27" t="s">
        <v>8</v>
      </c>
      <c r="BN268" s="27" t="s">
        <v>7</v>
      </c>
      <c r="BP268" s="27" t="s">
        <v>7</v>
      </c>
      <c r="BQ268" s="31" t="s">
        <v>8</v>
      </c>
    </row>
    <row r="269" spans="1:80" x14ac:dyDescent="0.25">
      <c r="A269" s="30">
        <v>0.24294632108864825</v>
      </c>
      <c r="B269"/>
      <c r="C269"/>
      <c r="D269"/>
      <c r="E269"/>
      <c r="AB269" s="27" t="s">
        <v>7</v>
      </c>
      <c r="AC269" s="27" t="s">
        <v>8</v>
      </c>
      <c r="AF269" s="27" t="s">
        <v>7</v>
      </c>
      <c r="AG269" s="27" t="s">
        <v>8</v>
      </c>
      <c r="AH269" s="27" t="s">
        <v>7</v>
      </c>
      <c r="AQ269" s="27" t="s">
        <v>8</v>
      </c>
      <c r="AV269" s="27" t="s">
        <v>7</v>
      </c>
      <c r="AW269" s="27" t="s">
        <v>8</v>
      </c>
      <c r="BD269" s="27" t="s">
        <v>7</v>
      </c>
      <c r="BE269" s="27" t="s">
        <v>8</v>
      </c>
      <c r="BH269" s="27" t="s">
        <v>7</v>
      </c>
      <c r="BI269" s="27" t="s">
        <v>8</v>
      </c>
      <c r="BJ269" s="27" t="s">
        <v>7</v>
      </c>
      <c r="BK269" s="27" t="s">
        <v>8</v>
      </c>
      <c r="BP269" s="31" t="s">
        <v>7</v>
      </c>
    </row>
    <row r="270" spans="1:80" x14ac:dyDescent="0.25">
      <c r="A270" s="30">
        <v>0.23137744865585538</v>
      </c>
      <c r="B270"/>
      <c r="C270"/>
      <c r="D270"/>
      <c r="E270"/>
      <c r="AB270" s="27" t="s">
        <v>7</v>
      </c>
      <c r="AC270" s="27" t="s">
        <v>8</v>
      </c>
      <c r="AF270" s="27" t="s">
        <v>7</v>
      </c>
      <c r="AG270" s="27" t="s">
        <v>8</v>
      </c>
      <c r="AH270" s="27" t="s">
        <v>7</v>
      </c>
      <c r="AM270" s="27" t="s">
        <v>8</v>
      </c>
      <c r="AQ270" s="27" t="s">
        <v>8</v>
      </c>
      <c r="AV270" s="27" t="s">
        <v>7</v>
      </c>
      <c r="AW270" s="27" t="s">
        <v>8</v>
      </c>
      <c r="BD270" s="27" t="s">
        <v>7</v>
      </c>
      <c r="BE270" s="27" t="s">
        <v>8</v>
      </c>
      <c r="BH270" s="27" t="s">
        <v>7</v>
      </c>
      <c r="BI270" s="27" t="s">
        <v>8</v>
      </c>
      <c r="BJ270" s="27" t="s">
        <v>7</v>
      </c>
      <c r="BK270" s="27" t="s">
        <v>8</v>
      </c>
    </row>
    <row r="271" spans="1:80" x14ac:dyDescent="0.25">
      <c r="A271" s="30">
        <v>0.22035947491033836</v>
      </c>
      <c r="B271"/>
      <c r="C271"/>
      <c r="D271"/>
      <c r="E271"/>
      <c r="AB271" s="27" t="s">
        <v>7</v>
      </c>
      <c r="AF271" s="27" t="s">
        <v>7</v>
      </c>
      <c r="AG271" s="27" t="s">
        <v>8</v>
      </c>
      <c r="AH271" s="27" t="s">
        <v>7</v>
      </c>
      <c r="AM271" s="27" t="s">
        <v>8</v>
      </c>
      <c r="AN271" s="27" t="s">
        <v>7</v>
      </c>
      <c r="AQ271" s="27" t="s">
        <v>8</v>
      </c>
      <c r="AV271" s="27" t="s">
        <v>7</v>
      </c>
      <c r="BD271" s="27" t="s">
        <v>7</v>
      </c>
      <c r="BH271" s="27" t="s">
        <v>7</v>
      </c>
      <c r="BI271" s="27" t="s">
        <v>8</v>
      </c>
      <c r="BJ271" s="27" t="s">
        <v>7</v>
      </c>
    </row>
    <row r="272" spans="1:80" x14ac:dyDescent="0.25">
      <c r="A272" s="30">
        <v>0.20986616658127455</v>
      </c>
      <c r="B272"/>
      <c r="C272"/>
      <c r="D272"/>
      <c r="E272"/>
      <c r="AF272" s="27" t="s">
        <v>7</v>
      </c>
      <c r="AG272" s="27" t="s">
        <v>8</v>
      </c>
      <c r="AH272" s="27" t="s">
        <v>7</v>
      </c>
      <c r="AM272" s="27" t="s">
        <v>8</v>
      </c>
      <c r="AN272" s="27" t="s">
        <v>7</v>
      </c>
      <c r="AO272" s="27" t="s">
        <v>8</v>
      </c>
      <c r="AQ272" s="27" t="s">
        <v>8</v>
      </c>
      <c r="BH272" s="27" t="s">
        <v>7</v>
      </c>
      <c r="BI272" s="27" t="s">
        <v>8</v>
      </c>
    </row>
    <row r="273" spans="1:61" x14ac:dyDescent="0.25">
      <c r="A273" s="30">
        <v>0.19987253960121379</v>
      </c>
      <c r="B273"/>
      <c r="C273"/>
      <c r="D273"/>
      <c r="E273"/>
      <c r="AF273" s="27" t="s">
        <v>7</v>
      </c>
      <c r="AG273" s="27" t="s">
        <v>8</v>
      </c>
      <c r="AH273" s="27" t="s">
        <v>7</v>
      </c>
      <c r="AM273" s="27" t="s">
        <v>8</v>
      </c>
      <c r="AN273" s="27" t="s">
        <v>7</v>
      </c>
      <c r="AO273" s="27" t="s">
        <v>8</v>
      </c>
      <c r="AP273" s="27" t="s">
        <v>7</v>
      </c>
      <c r="AQ273" s="27" t="s">
        <v>8</v>
      </c>
      <c r="BH273" s="27" t="s">
        <v>7</v>
      </c>
      <c r="BI273" s="27" t="s">
        <v>8</v>
      </c>
    </row>
    <row r="274" spans="1:61" x14ac:dyDescent="0.25">
      <c r="A274" s="30">
        <v>0.19035479962020352</v>
      </c>
      <c r="B274"/>
      <c r="C274"/>
      <c r="D274"/>
      <c r="E274"/>
      <c r="AF274" s="27" t="s">
        <v>7</v>
      </c>
      <c r="AG274" s="27" t="s">
        <v>8</v>
      </c>
      <c r="AH274" s="27" t="s">
        <v>7</v>
      </c>
      <c r="AM274" s="27" t="s">
        <v>8</v>
      </c>
      <c r="AN274" s="27" t="s">
        <v>7</v>
      </c>
      <c r="AO274" s="27" t="s">
        <v>8</v>
      </c>
      <c r="AP274" s="27" t="s">
        <v>7</v>
      </c>
      <c r="AQ274" s="27" t="s">
        <v>8</v>
      </c>
      <c r="BH274" s="27" t="s">
        <v>7</v>
      </c>
      <c r="BI274" s="27" t="s">
        <v>8</v>
      </c>
    </row>
    <row r="275" spans="1:61" x14ac:dyDescent="0.25">
      <c r="A275" s="30">
        <v>0.18129028535257471</v>
      </c>
      <c r="B275"/>
      <c r="C275"/>
      <c r="D275"/>
      <c r="E275"/>
      <c r="AF275" s="27" t="s">
        <v>7</v>
      </c>
      <c r="AH275" s="27" t="s">
        <v>7</v>
      </c>
      <c r="AM275" s="27" t="s">
        <v>8</v>
      </c>
      <c r="AN275" s="27" t="s">
        <v>7</v>
      </c>
      <c r="AP275" s="27" t="s">
        <v>7</v>
      </c>
      <c r="AQ275" s="27" t="s">
        <v>8</v>
      </c>
      <c r="BH275" s="27" t="s">
        <v>7</v>
      </c>
    </row>
    <row r="276" spans="1:61" x14ac:dyDescent="0.25">
      <c r="A276" s="30">
        <v>0.17265741462149967</v>
      </c>
      <c r="B276"/>
      <c r="C276"/>
      <c r="D276"/>
      <c r="E276"/>
      <c r="AH276" s="27" t="s">
        <v>7</v>
      </c>
      <c r="AK276" s="27" t="s">
        <v>8</v>
      </c>
      <c r="AM276" s="27" t="s">
        <v>8</v>
      </c>
      <c r="AP276" s="27" t="s">
        <v>7</v>
      </c>
    </row>
    <row r="277" spans="1:61" x14ac:dyDescent="0.25">
      <c r="A277" s="30">
        <v>0.16443563297285677</v>
      </c>
      <c r="B277"/>
      <c r="C277"/>
      <c r="D277"/>
      <c r="E277"/>
      <c r="AH277" s="27" t="s">
        <v>7</v>
      </c>
      <c r="AK277" s="27" t="s">
        <v>8</v>
      </c>
      <c r="AL277" s="27" t="s">
        <v>7</v>
      </c>
      <c r="AM277" s="27" t="s">
        <v>8</v>
      </c>
    </row>
    <row r="278" spans="1:61" x14ac:dyDescent="0.25">
      <c r="A278" s="30">
        <v>0.15660536473605399</v>
      </c>
      <c r="B278"/>
      <c r="C278"/>
      <c r="D278"/>
      <c r="E278"/>
      <c r="AH278" s="27" t="s">
        <v>7</v>
      </c>
      <c r="AI278" s="27" t="s">
        <v>8</v>
      </c>
      <c r="AK278" s="27" t="s">
        <v>8</v>
      </c>
      <c r="AL278" s="27" t="s">
        <v>7</v>
      </c>
      <c r="AM278" s="27" t="s">
        <v>8</v>
      </c>
    </row>
    <row r="279" spans="1:61" x14ac:dyDescent="0.25">
      <c r="A279" s="30">
        <v>0.14914796641528946</v>
      </c>
      <c r="B279"/>
      <c r="C279"/>
      <c r="D279"/>
      <c r="E279"/>
      <c r="AH279" s="27" t="s">
        <v>7</v>
      </c>
      <c r="AI279" s="27" t="s">
        <v>8</v>
      </c>
      <c r="AJ279" s="27" t="s">
        <v>7</v>
      </c>
      <c r="AK279" s="27" t="s">
        <v>8</v>
      </c>
      <c r="AL279" s="27" t="s">
        <v>7</v>
      </c>
    </row>
    <row r="280" spans="1:61" x14ac:dyDescent="0.25">
      <c r="A280" s="30">
        <v>0.14204568230027562</v>
      </c>
      <c r="B280"/>
      <c r="C280"/>
      <c r="D280"/>
      <c r="E280"/>
      <c r="AH280" s="27" t="s">
        <v>7</v>
      </c>
      <c r="AI280" s="27" t="s">
        <v>8</v>
      </c>
      <c r="AJ280" s="27" t="s">
        <v>7</v>
      </c>
      <c r="AK280" s="27" t="s">
        <v>8</v>
      </c>
    </row>
    <row r="281" spans="1:61" x14ac:dyDescent="0.25">
      <c r="A281" s="30">
        <v>0.13528160219073862</v>
      </c>
      <c r="B281"/>
      <c r="C281"/>
      <c r="D281"/>
      <c r="E281"/>
      <c r="AH281" s="27" t="s">
        <v>7</v>
      </c>
      <c r="AI281" s="27" t="s">
        <v>8</v>
      </c>
      <c r="AJ281" s="27" t="s">
        <v>7</v>
      </c>
      <c r="AK281" s="27" t="s">
        <v>8</v>
      </c>
    </row>
    <row r="282" spans="1:61" x14ac:dyDescent="0.25">
      <c r="A282" s="30">
        <v>0.12883962113403674</v>
      </c>
      <c r="B282"/>
      <c r="C282"/>
      <c r="D282"/>
      <c r="E282"/>
      <c r="AH282" s="27" t="s">
        <v>7</v>
      </c>
      <c r="AI282" s="27" t="s">
        <v>8</v>
      </c>
      <c r="AJ282" s="27" t="s">
        <v>7</v>
      </c>
    </row>
    <row r="283" spans="1:61" x14ac:dyDescent="0.25">
      <c r="A283" s="30">
        <v>0.12270440108003494</v>
      </c>
      <c r="B283"/>
      <c r="C283"/>
      <c r="D283"/>
      <c r="E283"/>
      <c r="AH283" s="27" t="s">
        <v>7</v>
      </c>
      <c r="AI283" s="27" t="s">
        <v>8</v>
      </c>
    </row>
    <row r="284" spans="1:61" x14ac:dyDescent="0.25">
      <c r="A284" s="30">
        <v>0.11686133436193799</v>
      </c>
      <c r="B284"/>
      <c r="C284"/>
      <c r="D284"/>
      <c r="E284"/>
      <c r="AH284" s="27" t="s">
        <v>7</v>
      </c>
      <c r="AI284" s="27" t="s">
        <v>8</v>
      </c>
    </row>
    <row r="285" spans="1:61" x14ac:dyDescent="0.25">
      <c r="A285" s="30">
        <v>0.11129650891613138</v>
      </c>
      <c r="B285"/>
      <c r="C285"/>
      <c r="D285"/>
      <c r="E285"/>
      <c r="AH285" s="27" t="s">
        <v>7</v>
      </c>
      <c r="AI285" s="27" t="s">
        <v>8</v>
      </c>
    </row>
    <row r="286" spans="1:61" x14ac:dyDescent="0.25">
      <c r="A286" s="30">
        <v>0.10599667515822032</v>
      </c>
      <c r="B286"/>
      <c r="C286"/>
      <c r="D286"/>
      <c r="E286"/>
      <c r="AH286" s="27" t="s">
        <v>7</v>
      </c>
    </row>
    <row r="287" spans="1:61" x14ac:dyDescent="0.25">
      <c r="A287" s="30">
        <v>0.10094921443640027</v>
      </c>
      <c r="B287"/>
      <c r="C287"/>
      <c r="D287"/>
      <c r="E287"/>
    </row>
    <row r="288" spans="1:61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8" zoomScale="90" zoomScaleNormal="90" workbookViewId="0">
      <pane xSplit="4" topLeftCell="G1" activePane="topRight" state="frozen"/>
      <selection activeCell="A109" sqref="A109"/>
      <selection pane="topRight" activeCell="AV127" sqref="AV12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$A$126</v>
      </c>
      <c r="D111" s="1" t="str">
        <f>ADDRESS(C121-1,D121,1,1)</f>
        <v>$AV$126</v>
      </c>
      <c r="E111"/>
    </row>
    <row r="112" spans="1:5" x14ac:dyDescent="0.25">
      <c r="A112" s="30">
        <v>2.3579476910000019</v>
      </c>
      <c r="C112" s="1" t="str">
        <f>ADDRESS(C121,1,1,1)</f>
        <v>$A$127</v>
      </c>
      <c r="D112" s="1" t="str">
        <f>ADDRESS(C121,D121-1,1,1)</f>
        <v>$AU$127</v>
      </c>
      <c r="E112"/>
    </row>
    <row r="113" spans="1:48" x14ac:dyDescent="0.25">
      <c r="A113" s="30">
        <v>2.1435888100000016</v>
      </c>
      <c r="C113" s="1" t="str">
        <f>ADDRESS(C121+1,1,1,1)</f>
        <v>$A$128</v>
      </c>
      <c r="D113" s="1" t="str">
        <f>ADDRESS(C121-1,D121+1,1,1)</f>
        <v>$AW$126</v>
      </c>
    </row>
    <row r="114" spans="1:48" x14ac:dyDescent="0.25">
      <c r="A114" s="30">
        <v>1.9487171000000014</v>
      </c>
      <c r="C114" s="1" t="str">
        <f>ADDRESS(C121,D121,1,1)</f>
        <v>$AV$127</v>
      </c>
      <c r="D114" s="1" t="str">
        <f>ADDRESS(C121+1,D121+1,1,1)</f>
        <v>$AW$128</v>
      </c>
      <c r="AG114" s="27" t="s">
        <v>8</v>
      </c>
    </row>
    <row r="115" spans="1:48" x14ac:dyDescent="0.25">
      <c r="A115" s="30">
        <v>1.7715610000000011</v>
      </c>
      <c r="C115" s="1" t="str">
        <f>ADDRESS(C121+1,D121,1,1)</f>
        <v>$AV$128</v>
      </c>
      <c r="AG115" s="27" t="s">
        <v>8</v>
      </c>
      <c r="AH115" s="27" t="s">
        <v>7</v>
      </c>
    </row>
    <row r="116" spans="1:48" x14ac:dyDescent="0.25">
      <c r="A116" s="30">
        <v>1.6105100000000008</v>
      </c>
      <c r="C116" s="1">
        <f>C117-1</f>
        <v>126</v>
      </c>
      <c r="AG116" s="27" t="s">
        <v>8</v>
      </c>
      <c r="AH116" s="27" t="s">
        <v>7</v>
      </c>
      <c r="AI116" s="34" t="s">
        <v>8</v>
      </c>
      <c r="AK116" s="34" t="s">
        <v>8</v>
      </c>
    </row>
    <row r="117" spans="1:48" x14ac:dyDescent="0.25">
      <c r="A117" s="30">
        <v>1.4641000000000006</v>
      </c>
      <c r="C117" s="1">
        <f>C121</f>
        <v>127</v>
      </c>
      <c r="D117" s="1">
        <f>D121</f>
        <v>48</v>
      </c>
      <c r="AG117" s="27" t="s">
        <v>8</v>
      </c>
      <c r="AH117" s="27" t="s">
        <v>7</v>
      </c>
      <c r="AI117" s="27" t="s">
        <v>8</v>
      </c>
      <c r="AJ117" s="27" t="s">
        <v>7</v>
      </c>
      <c r="AK117" s="27" t="s">
        <v>8</v>
      </c>
      <c r="AL117" s="31" t="s">
        <v>7</v>
      </c>
    </row>
    <row r="118" spans="1:48" x14ac:dyDescent="0.25">
      <c r="A118" s="30">
        <v>1.3310000000000004</v>
      </c>
      <c r="C118" s="1">
        <f>C117+1</f>
        <v>128</v>
      </c>
      <c r="D118" s="1">
        <f>D117+1</f>
        <v>49</v>
      </c>
      <c r="AG118" s="27" t="s">
        <v>8</v>
      </c>
      <c r="AH118" s="27" t="s">
        <v>7</v>
      </c>
      <c r="AI118" s="27" t="s">
        <v>8</v>
      </c>
      <c r="AJ118" s="27" t="s">
        <v>7</v>
      </c>
      <c r="AK118" s="27" t="s">
        <v>8</v>
      </c>
      <c r="AL118" s="27" t="s">
        <v>7</v>
      </c>
      <c r="AM118" s="31"/>
      <c r="AQ118" s="34" t="s">
        <v>8</v>
      </c>
      <c r="AS118" s="34" t="s">
        <v>8</v>
      </c>
    </row>
    <row r="119" spans="1:48" x14ac:dyDescent="0.25">
      <c r="A119" s="30">
        <v>1.2100000000000002</v>
      </c>
      <c r="AG119" s="27" t="s">
        <v>8</v>
      </c>
      <c r="AH119" s="27" t="s">
        <v>7</v>
      </c>
      <c r="AI119" s="27" t="s">
        <v>8</v>
      </c>
      <c r="AJ119" s="27" t="s">
        <v>7</v>
      </c>
      <c r="AL119" s="27" t="s">
        <v>7</v>
      </c>
      <c r="AM119" s="27" t="s">
        <v>8</v>
      </c>
      <c r="AN119" s="31"/>
      <c r="AQ119" s="27" t="s">
        <v>8</v>
      </c>
      <c r="AR119" s="27" t="s">
        <v>7</v>
      </c>
      <c r="AS119" s="27" t="s">
        <v>8</v>
      </c>
      <c r="AT119" s="27" t="s">
        <v>7</v>
      </c>
    </row>
    <row r="120" spans="1:48" x14ac:dyDescent="0.25">
      <c r="A120" s="30">
        <v>1.1000000000000001</v>
      </c>
      <c r="C120" s="1" t="s">
        <v>9</v>
      </c>
      <c r="AG120" s="27" t="s">
        <v>8</v>
      </c>
      <c r="AH120" s="27" t="s">
        <v>7</v>
      </c>
      <c r="AI120" s="27" t="s">
        <v>8</v>
      </c>
      <c r="AL120" s="32" t="s">
        <v>7</v>
      </c>
      <c r="AM120" s="27" t="s">
        <v>8</v>
      </c>
      <c r="AN120" s="27" t="s">
        <v>7</v>
      </c>
      <c r="AO120" s="31"/>
      <c r="AQ120" s="27" t="s">
        <v>8</v>
      </c>
      <c r="AR120" s="27" t="s">
        <v>7</v>
      </c>
      <c r="AS120" s="27" t="s">
        <v>8</v>
      </c>
      <c r="AT120" s="27" t="s">
        <v>7</v>
      </c>
    </row>
    <row r="121" spans="1:48" x14ac:dyDescent="0.25">
      <c r="A121" s="30">
        <v>1</v>
      </c>
      <c r="C121" s="18">
        <v>127</v>
      </c>
      <c r="D121" s="19">
        <v>48</v>
      </c>
      <c r="E121" s="18" t="s">
        <v>8</v>
      </c>
      <c r="AG121" s="27" t="s">
        <v>8</v>
      </c>
      <c r="AH121" s="27" t="s">
        <v>7</v>
      </c>
      <c r="AI121" s="27" t="s">
        <v>8</v>
      </c>
      <c r="AL121" s="27" t="s">
        <v>7</v>
      </c>
      <c r="AM121" s="27" t="s">
        <v>8</v>
      </c>
      <c r="AN121" s="27" t="s">
        <v>7</v>
      </c>
      <c r="AO121" s="27" t="s">
        <v>8</v>
      </c>
      <c r="AP121" s="31"/>
      <c r="AQ121" s="27" t="s">
        <v>8</v>
      </c>
      <c r="AR121" s="27" t="s">
        <v>7</v>
      </c>
      <c r="AS121" s="27" t="s">
        <v>8</v>
      </c>
      <c r="AT121" s="27" t="s">
        <v>7</v>
      </c>
      <c r="AU121" s="27" t="s">
        <v>8</v>
      </c>
    </row>
    <row r="122" spans="1:48" x14ac:dyDescent="0.25">
      <c r="A122" s="30">
        <v>0.90909090909090895</v>
      </c>
      <c r="C122" s="1" t="str">
        <f>INDEX(1:1048576,C117,D117)</f>
        <v>O</v>
      </c>
      <c r="F122" s="27" t="s">
        <v>7</v>
      </c>
      <c r="AG122" s="27" t="s">
        <v>8</v>
      </c>
      <c r="AH122" s="27" t="s">
        <v>7</v>
      </c>
      <c r="AL122" s="27" t="s">
        <v>7</v>
      </c>
      <c r="AN122" s="27" t="s">
        <v>7</v>
      </c>
      <c r="AO122" s="27" t="s">
        <v>8</v>
      </c>
      <c r="AP122" s="27" t="s">
        <v>7</v>
      </c>
      <c r="AQ122" s="31" t="s">
        <v>8</v>
      </c>
      <c r="AR122" s="27" t="s">
        <v>7</v>
      </c>
      <c r="AT122" s="27" t="s">
        <v>7</v>
      </c>
      <c r="AU122" s="27" t="s">
        <v>8</v>
      </c>
      <c r="AV122" s="19" t="s">
        <v>7</v>
      </c>
    </row>
    <row r="123" spans="1:48" x14ac:dyDescent="0.25">
      <c r="A123" s="30">
        <v>0.82644628099173523</v>
      </c>
      <c r="C123" s="1" t="str">
        <f>"R"&amp;C121</f>
        <v>R127</v>
      </c>
      <c r="D123" s="1" t="str">
        <f>"C"&amp;D121</f>
        <v>C48</v>
      </c>
      <c r="F123" s="27" t="s">
        <v>7</v>
      </c>
      <c r="AG123" s="27" t="s">
        <v>8</v>
      </c>
      <c r="AN123" s="31" t="s">
        <v>7</v>
      </c>
      <c r="AO123" s="27" t="s">
        <v>8</v>
      </c>
      <c r="AP123" s="27" t="s">
        <v>7</v>
      </c>
      <c r="AQ123" s="27" t="s">
        <v>8</v>
      </c>
      <c r="AR123" s="19"/>
      <c r="AT123" s="27" t="s">
        <v>7</v>
      </c>
      <c r="AU123" s="19" t="s">
        <v>8</v>
      </c>
      <c r="AV123" s="27" t="s">
        <v>7</v>
      </c>
    </row>
    <row r="124" spans="1:4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Q124" s="27" t="s">
        <v>8</v>
      </c>
      <c r="AC124" s="27" t="s">
        <v>8</v>
      </c>
      <c r="AG124" s="27" t="s">
        <v>8</v>
      </c>
      <c r="AM124" s="31"/>
      <c r="AN124" s="27" t="s">
        <v>7</v>
      </c>
      <c r="AO124" s="27" t="s">
        <v>8</v>
      </c>
      <c r="AP124" s="27" t="s">
        <v>7</v>
      </c>
      <c r="AQ124" s="27" t="s">
        <v>8</v>
      </c>
      <c r="AT124" s="31" t="s">
        <v>7</v>
      </c>
      <c r="AU124" s="27" t="s">
        <v>8</v>
      </c>
      <c r="AV124" s="27" t="s">
        <v>7</v>
      </c>
    </row>
    <row r="125" spans="1:48" x14ac:dyDescent="0.25">
      <c r="A125" s="30">
        <v>0.68301345536507019</v>
      </c>
      <c r="F125" s="27" t="s">
        <v>7</v>
      </c>
      <c r="Q125" s="27" t="s">
        <v>8</v>
      </c>
      <c r="R125" s="27" t="s">
        <v>7</v>
      </c>
      <c r="AC125" s="27" t="s">
        <v>8</v>
      </c>
      <c r="AD125" s="27" t="s">
        <v>7</v>
      </c>
      <c r="AG125" s="33" t="s">
        <v>8</v>
      </c>
      <c r="AL125" s="31"/>
      <c r="AN125" s="27" t="s">
        <v>7</v>
      </c>
      <c r="AP125" s="27" t="s">
        <v>7</v>
      </c>
      <c r="AQ125" s="18" t="s">
        <v>8</v>
      </c>
      <c r="AS125" s="31"/>
      <c r="AT125" s="27" t="s">
        <v>7</v>
      </c>
      <c r="AU125" s="27" t="s">
        <v>8</v>
      </c>
      <c r="AV125" s="27" t="s">
        <v>7</v>
      </c>
    </row>
    <row r="126" spans="1:48" x14ac:dyDescent="0.25">
      <c r="A126" s="30">
        <v>0.6209213230591546</v>
      </c>
      <c r="C126" s="1" t="s">
        <v>10</v>
      </c>
      <c r="F126" s="27" t="s">
        <v>7</v>
      </c>
      <c r="Q126" s="27" t="s">
        <v>8</v>
      </c>
      <c r="R126" s="27" t="s">
        <v>7</v>
      </c>
      <c r="S126" s="34" t="s">
        <v>8</v>
      </c>
      <c r="U126" s="34" t="s">
        <v>8</v>
      </c>
      <c r="AC126" s="27" t="s">
        <v>8</v>
      </c>
      <c r="AD126" s="27" t="s">
        <v>7</v>
      </c>
      <c r="AE126" s="27" t="s">
        <v>8</v>
      </c>
      <c r="AG126" s="27" t="s">
        <v>8</v>
      </c>
      <c r="AK126" s="31"/>
      <c r="AP126" s="27" t="s">
        <v>7</v>
      </c>
      <c r="AQ126" s="27" t="s">
        <v>8</v>
      </c>
      <c r="AR126" s="31"/>
      <c r="AT126" s="27" t="s">
        <v>7</v>
      </c>
      <c r="AV126" s="27" t="s">
        <v>7</v>
      </c>
    </row>
    <row r="127" spans="1:48" x14ac:dyDescent="0.25">
      <c r="A127" s="30">
        <v>0.56447393005377677</v>
      </c>
      <c r="C127" s="30">
        <v>0.56447393005377677</v>
      </c>
      <c r="D127"/>
      <c r="F127" s="27" t="s">
        <v>7</v>
      </c>
      <c r="Q127" s="27" t="s">
        <v>8</v>
      </c>
      <c r="R127" s="27" t="s">
        <v>7</v>
      </c>
      <c r="S127" s="27" t="s">
        <v>8</v>
      </c>
      <c r="T127" s="19" t="s">
        <v>7</v>
      </c>
      <c r="U127" s="27" t="s">
        <v>8</v>
      </c>
      <c r="V127" s="27" t="s">
        <v>7</v>
      </c>
      <c r="AC127" s="27" t="s">
        <v>8</v>
      </c>
      <c r="AD127" s="27" t="s">
        <v>7</v>
      </c>
      <c r="AE127" s="27" t="s">
        <v>8</v>
      </c>
      <c r="AF127" s="27" t="s">
        <v>7</v>
      </c>
      <c r="AG127" s="27" t="s">
        <v>8</v>
      </c>
      <c r="AJ127" s="31"/>
      <c r="AP127" s="27" t="s">
        <v>7</v>
      </c>
      <c r="AQ127" s="31" t="s">
        <v>8</v>
      </c>
      <c r="AV127" s="27" t="s">
        <v>7</v>
      </c>
    </row>
    <row r="128" spans="1:48" x14ac:dyDescent="0.25">
      <c r="A128" s="30">
        <v>0.51315811823070612</v>
      </c>
      <c r="F128" s="27" t="s">
        <v>7</v>
      </c>
      <c r="Q128" s="27" t="s">
        <v>8</v>
      </c>
      <c r="R128" s="27" t="s">
        <v>7</v>
      </c>
      <c r="S128" s="27" t="s">
        <v>8</v>
      </c>
      <c r="T128" s="27" t="s">
        <v>7</v>
      </c>
      <c r="U128" s="27" t="s">
        <v>8</v>
      </c>
      <c r="V128" s="27" t="s">
        <v>7</v>
      </c>
      <c r="AA128" s="27" t="s">
        <v>8</v>
      </c>
      <c r="AC128" s="27" t="s">
        <v>8</v>
      </c>
      <c r="AD128" s="27" t="s">
        <v>7</v>
      </c>
      <c r="AE128" s="27" t="s">
        <v>8</v>
      </c>
      <c r="AF128" s="27" t="s">
        <v>7</v>
      </c>
      <c r="AG128" s="27" t="s">
        <v>8</v>
      </c>
      <c r="AI128" s="31"/>
      <c r="AP128" s="31" t="s">
        <v>7</v>
      </c>
    </row>
    <row r="129" spans="1:3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I129" s="27" t="s">
        <v>8</v>
      </c>
      <c r="Q129" s="27" t="s">
        <v>8</v>
      </c>
      <c r="R129" s="34" t="s">
        <v>7</v>
      </c>
      <c r="T129" s="34" t="s">
        <v>7</v>
      </c>
      <c r="V129" s="27" t="s">
        <v>7</v>
      </c>
      <c r="AA129" s="27" t="s">
        <v>8</v>
      </c>
      <c r="AB129" s="27" t="s">
        <v>7</v>
      </c>
      <c r="AC129" s="27" t="s">
        <v>8</v>
      </c>
      <c r="AD129" s="27" t="s">
        <v>7</v>
      </c>
      <c r="AE129" s="27" t="s">
        <v>8</v>
      </c>
      <c r="AF129" s="27" t="s">
        <v>7</v>
      </c>
      <c r="AG129" s="27" t="s">
        <v>8</v>
      </c>
      <c r="AH129" s="31"/>
    </row>
    <row r="130" spans="1:34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I130" s="27" t="s">
        <v>8</v>
      </c>
      <c r="J130" s="27" t="s">
        <v>7</v>
      </c>
      <c r="Q130" s="27" t="s">
        <v>8</v>
      </c>
      <c r="V130" s="32" t="s">
        <v>7</v>
      </c>
      <c r="AA130" s="27" t="s">
        <v>8</v>
      </c>
      <c r="AB130" s="27" t="s">
        <v>7</v>
      </c>
      <c r="AC130" s="27" t="s">
        <v>8</v>
      </c>
      <c r="AD130" s="27" t="s">
        <v>7</v>
      </c>
      <c r="AE130" s="27" t="s">
        <v>8</v>
      </c>
      <c r="AF130" s="27" t="s">
        <v>7</v>
      </c>
      <c r="AG130" s="31" t="s">
        <v>8</v>
      </c>
    </row>
    <row r="131" spans="1:34" x14ac:dyDescent="0.25">
      <c r="A131" s="30">
        <v>0.38554328942953109</v>
      </c>
      <c r="E131"/>
      <c r="F131" s="27" t="s">
        <v>7</v>
      </c>
      <c r="G131" s="27" t="s">
        <v>8</v>
      </c>
      <c r="H131" s="27" t="s">
        <v>7</v>
      </c>
      <c r="I131" s="27" t="s">
        <v>8</v>
      </c>
      <c r="J131" s="27" t="s">
        <v>7</v>
      </c>
      <c r="Q131" s="27" t="s">
        <v>8</v>
      </c>
      <c r="V131" s="27" t="s">
        <v>7</v>
      </c>
      <c r="AA131" s="33" t="s">
        <v>8</v>
      </c>
      <c r="AB131" s="27" t="s">
        <v>7</v>
      </c>
      <c r="AD131" s="27" t="s">
        <v>7</v>
      </c>
      <c r="AE131" s="27" t="s">
        <v>8</v>
      </c>
      <c r="AF131" s="31" t="s">
        <v>7</v>
      </c>
    </row>
    <row r="132" spans="1:34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I132" s="27" t="s">
        <v>8</v>
      </c>
      <c r="J132" s="27" t="s">
        <v>7</v>
      </c>
      <c r="Q132" s="33" t="s">
        <v>8</v>
      </c>
      <c r="V132" s="27" t="s">
        <v>7</v>
      </c>
      <c r="W132" s="34" t="s">
        <v>8</v>
      </c>
      <c r="Y132" s="34" t="s">
        <v>8</v>
      </c>
      <c r="AA132" s="27" t="s">
        <v>8</v>
      </c>
      <c r="AD132" s="32" t="s">
        <v>7</v>
      </c>
      <c r="AE132" s="31"/>
    </row>
    <row r="133" spans="1:34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  <c r="J133" s="27" t="s">
        <v>7</v>
      </c>
      <c r="M133" s="34" t="s">
        <v>8</v>
      </c>
      <c r="O133" s="34" t="s">
        <v>8</v>
      </c>
      <c r="Q133" s="27" t="s">
        <v>8</v>
      </c>
      <c r="V133" s="27" t="s">
        <v>7</v>
      </c>
      <c r="W133" s="27" t="s">
        <v>8</v>
      </c>
      <c r="X133" s="27" t="s">
        <v>7</v>
      </c>
      <c r="Y133" s="27" t="s">
        <v>8</v>
      </c>
      <c r="Z133" s="27" t="s">
        <v>7</v>
      </c>
      <c r="AA133" s="27" t="s">
        <v>8</v>
      </c>
      <c r="AD133" s="31"/>
    </row>
    <row r="134" spans="1:34" x14ac:dyDescent="0.25">
      <c r="A134" s="30">
        <v>0.28966437973668741</v>
      </c>
      <c r="C134"/>
      <c r="D134"/>
      <c r="E134"/>
      <c r="F134" s="27" t="s">
        <v>7</v>
      </c>
      <c r="H134" s="27" t="s">
        <v>7</v>
      </c>
      <c r="J134" s="27" t="s">
        <v>7</v>
      </c>
      <c r="K134" s="27" t="s">
        <v>8</v>
      </c>
      <c r="M134" s="27" t="s">
        <v>8</v>
      </c>
      <c r="N134" s="27" t="s">
        <v>7</v>
      </c>
      <c r="O134" s="27" t="s">
        <v>8</v>
      </c>
      <c r="P134" s="27" t="s">
        <v>7</v>
      </c>
      <c r="Q134" s="27" t="s">
        <v>8</v>
      </c>
      <c r="V134" s="27" t="s">
        <v>7</v>
      </c>
      <c r="W134" s="27" t="s">
        <v>8</v>
      </c>
      <c r="X134" s="27" t="s">
        <v>7</v>
      </c>
      <c r="Y134" s="27" t="s">
        <v>8</v>
      </c>
      <c r="Z134" s="27" t="s">
        <v>7</v>
      </c>
      <c r="AA134" s="27" t="s">
        <v>8</v>
      </c>
      <c r="AC134" s="31"/>
    </row>
    <row r="135" spans="1:34" x14ac:dyDescent="0.25">
      <c r="A135" s="30">
        <v>0.2633312543060794</v>
      </c>
      <c r="C135" s="1" t="s">
        <v>14</v>
      </c>
      <c r="E135"/>
      <c r="J135" s="27" t="s">
        <v>7</v>
      </c>
      <c r="K135" s="27" t="s">
        <v>8</v>
      </c>
      <c r="L135" s="27" t="s">
        <v>7</v>
      </c>
      <c r="M135" s="27" t="s">
        <v>8</v>
      </c>
      <c r="N135" s="27" t="s">
        <v>7</v>
      </c>
      <c r="O135" s="27" t="s">
        <v>8</v>
      </c>
      <c r="P135" s="27" t="s">
        <v>7</v>
      </c>
      <c r="Q135" s="27" t="s">
        <v>8</v>
      </c>
      <c r="V135" s="27" t="s">
        <v>7</v>
      </c>
      <c r="W135" s="27" t="s">
        <v>8</v>
      </c>
      <c r="X135" s="27" t="s">
        <v>7</v>
      </c>
      <c r="Y135" s="27" t="s">
        <v>8</v>
      </c>
      <c r="Z135" s="27" t="s">
        <v>7</v>
      </c>
      <c r="AB135" s="31"/>
    </row>
    <row r="136" spans="1:3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J136" s="27" t="s">
        <v>7</v>
      </c>
      <c r="K136" s="27" t="s">
        <v>8</v>
      </c>
      <c r="L136" s="27" t="s">
        <v>7</v>
      </c>
      <c r="M136" s="27" t="s">
        <v>8</v>
      </c>
      <c r="N136" s="27" t="s">
        <v>7</v>
      </c>
      <c r="O136" s="27" t="s">
        <v>8</v>
      </c>
      <c r="P136" s="27" t="s">
        <v>7</v>
      </c>
      <c r="V136" s="27" t="s">
        <v>7</v>
      </c>
      <c r="W136" s="27" t="s">
        <v>8</v>
      </c>
      <c r="X136" s="27" t="s">
        <v>7</v>
      </c>
      <c r="Y136" s="27" t="s">
        <v>8</v>
      </c>
      <c r="AA136" s="31"/>
    </row>
    <row r="137" spans="1:34" x14ac:dyDescent="0.25">
      <c r="A137" s="30">
        <v>0.2176291357901482</v>
      </c>
      <c r="E137"/>
      <c r="J137" s="27" t="s">
        <v>7</v>
      </c>
      <c r="L137" s="27" t="s">
        <v>7</v>
      </c>
      <c r="M137" s="27" t="s">
        <v>8</v>
      </c>
      <c r="N137" s="27" t="s">
        <v>7</v>
      </c>
      <c r="O137" s="27" t="s">
        <v>8</v>
      </c>
      <c r="V137" s="27" t="s">
        <v>7</v>
      </c>
      <c r="X137" s="27" t="s">
        <v>7</v>
      </c>
      <c r="Y137" s="27" t="s">
        <v>8</v>
      </c>
      <c r="Z137" s="31"/>
    </row>
    <row r="138" spans="1:3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L138" s="27" t="s">
        <v>7</v>
      </c>
      <c r="M138" s="27" t="s">
        <v>8</v>
      </c>
      <c r="N138" s="27" t="s">
        <v>7</v>
      </c>
      <c r="O138" s="27" t="s">
        <v>8</v>
      </c>
      <c r="X138" s="27" t="s">
        <v>7</v>
      </c>
      <c r="Y138" s="31" t="s">
        <v>8</v>
      </c>
    </row>
    <row r="139" spans="1:34" x14ac:dyDescent="0.25">
      <c r="A139" s="30">
        <v>0.17985878990921333</v>
      </c>
      <c r="E139"/>
      <c r="L139" s="27" t="s">
        <v>7</v>
      </c>
      <c r="N139" s="27" t="s">
        <v>7</v>
      </c>
      <c r="O139" s="27" t="s">
        <v>8</v>
      </c>
      <c r="X139" s="31" t="s">
        <v>7</v>
      </c>
    </row>
    <row r="140" spans="1:34" x14ac:dyDescent="0.25">
      <c r="A140" s="30">
        <v>0.16350799082655756</v>
      </c>
      <c r="C140" s="1">
        <v>0</v>
      </c>
      <c r="E140"/>
      <c r="N140" s="27" t="s">
        <v>7</v>
      </c>
      <c r="O140" s="27" t="s">
        <v>8</v>
      </c>
    </row>
    <row r="141" spans="1:34" x14ac:dyDescent="0.25">
      <c r="A141" s="30">
        <v>0.14864362802414322</v>
      </c>
      <c r="C141" s="1">
        <v>1</v>
      </c>
      <c r="E141"/>
      <c r="N141" s="27" t="s">
        <v>7</v>
      </c>
      <c r="O141" s="27" t="s">
        <v>8</v>
      </c>
    </row>
    <row r="142" spans="1:34" x14ac:dyDescent="0.25">
      <c r="A142" s="30">
        <v>0.13513057093103928</v>
      </c>
      <c r="C142" s="1">
        <v>2</v>
      </c>
      <c r="E142"/>
      <c r="N142" s="27" t="s">
        <v>7</v>
      </c>
      <c r="O142" s="27" t="s">
        <v>8</v>
      </c>
    </row>
    <row r="143" spans="1:34" x14ac:dyDescent="0.25">
      <c r="A143" s="30">
        <v>0.12284597357367205</v>
      </c>
      <c r="C143" s="1">
        <v>3</v>
      </c>
      <c r="E143"/>
      <c r="N143" s="27" t="s">
        <v>7</v>
      </c>
      <c r="O143" s="27" t="s">
        <v>8</v>
      </c>
    </row>
    <row r="144" spans="1:34" x14ac:dyDescent="0.25">
      <c r="A144" s="30">
        <v>0.11167815779424731</v>
      </c>
      <c r="C144" s="1">
        <v>4</v>
      </c>
      <c r="E144"/>
      <c r="N144" s="27" t="s">
        <v>7</v>
      </c>
      <c r="O144" s="27" t="s">
        <v>8</v>
      </c>
    </row>
    <row r="145" spans="1:14" x14ac:dyDescent="0.25">
      <c r="A145" s="30">
        <v>0.10152559799477026</v>
      </c>
      <c r="B145"/>
      <c r="C145"/>
      <c r="D145"/>
      <c r="E145"/>
      <c r="N145" s="27" t="s">
        <v>7</v>
      </c>
    </row>
    <row r="146" spans="1:14" x14ac:dyDescent="0.25">
      <c r="A146" s="30">
        <v>9.2295998177063854E-2</v>
      </c>
      <c r="B146"/>
      <c r="C146"/>
      <c r="D146"/>
      <c r="E146"/>
    </row>
    <row r="147" spans="1:14" x14ac:dyDescent="0.25">
      <c r="A147" s="30">
        <v>8.3905452888239848E-2</v>
      </c>
      <c r="B147"/>
      <c r="C147"/>
      <c r="D147"/>
      <c r="E147"/>
    </row>
    <row r="148" spans="1:14" x14ac:dyDescent="0.25">
      <c r="A148" s="30">
        <v>7.6277684443854396E-2</v>
      </c>
      <c r="B148"/>
      <c r="C148"/>
      <c r="D148"/>
      <c r="E148"/>
    </row>
    <row r="149" spans="1:14" x14ac:dyDescent="0.25">
      <c r="A149" s="30">
        <v>6.9343349494413078E-2</v>
      </c>
      <c r="B149"/>
      <c r="C149"/>
      <c r="D149"/>
      <c r="E149"/>
    </row>
    <row r="150" spans="1:14" x14ac:dyDescent="0.25">
      <c r="A150" s="30">
        <v>6.3039408631284613E-2</v>
      </c>
      <c r="B150"/>
      <c r="C150"/>
      <c r="D150"/>
      <c r="E150"/>
    </row>
    <row r="151" spans="1:14" x14ac:dyDescent="0.25">
      <c r="A151" s="30">
        <v>5.7308553301167818E-2</v>
      </c>
      <c r="B151"/>
      <c r="C151"/>
      <c r="D151"/>
      <c r="E151"/>
    </row>
    <row r="152" spans="1:14" x14ac:dyDescent="0.25">
      <c r="A152" s="30">
        <v>5.2098684819243464E-2</v>
      </c>
      <c r="B152"/>
      <c r="C152"/>
      <c r="D152"/>
      <c r="E152"/>
    </row>
    <row r="153" spans="1:14" x14ac:dyDescent="0.25">
      <c r="A153" s="30">
        <v>4.7362440744766775E-2</v>
      </c>
      <c r="B153"/>
      <c r="C153"/>
      <c r="D153"/>
      <c r="E153"/>
    </row>
    <row r="154" spans="1:14" x14ac:dyDescent="0.25">
      <c r="A154" s="30">
        <v>4.3056764313424332E-2</v>
      </c>
      <c r="B154"/>
      <c r="C154"/>
      <c r="D154"/>
      <c r="E154"/>
    </row>
    <row r="155" spans="1:14" x14ac:dyDescent="0.25">
      <c r="A155" s="30">
        <v>3.9142513012203929E-2</v>
      </c>
      <c r="B155"/>
      <c r="C155"/>
      <c r="D155"/>
      <c r="E155"/>
    </row>
    <row r="156" spans="1:14" x14ac:dyDescent="0.25">
      <c r="A156" s="30">
        <v>3.55841027383672E-2</v>
      </c>
      <c r="B156"/>
      <c r="C156"/>
      <c r="D156"/>
      <c r="E156"/>
    </row>
    <row r="157" spans="1:14" x14ac:dyDescent="0.25">
      <c r="A157" s="30">
        <v>3.2349184307606541E-2</v>
      </c>
      <c r="B157"/>
      <c r="C157"/>
      <c r="D157"/>
      <c r="E157"/>
    </row>
    <row r="158" spans="1:14" x14ac:dyDescent="0.25">
      <c r="A158" s="30">
        <v>2.9408349370551395E-2</v>
      </c>
      <c r="B158"/>
      <c r="C158"/>
      <c r="D158"/>
      <c r="E158"/>
    </row>
    <row r="159" spans="1:14" x14ac:dyDescent="0.25">
      <c r="A159" s="30">
        <v>2.6734863064137627E-2</v>
      </c>
      <c r="B159"/>
      <c r="C159"/>
      <c r="D159"/>
      <c r="E159"/>
    </row>
    <row r="160" spans="1:14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0.53032135064529184</v>
      </c>
      <c r="F3" s="30">
        <v>0.55683741817755672</v>
      </c>
      <c r="G3" s="30">
        <v>1.3400956406250004</v>
      </c>
      <c r="H3" s="25">
        <f>IF(G3="","",(3*(G3-F3))+E3)</f>
        <v>2.8800960179876229</v>
      </c>
      <c r="I3" s="7"/>
      <c r="J3" s="7">
        <f>(E3+G3)/2</f>
        <v>0.93520849563514608</v>
      </c>
      <c r="K3" s="7">
        <f>H3/2</f>
        <v>1.4400480089938115</v>
      </c>
      <c r="M3" s="26">
        <f>IF(OR(J3="",H3=""),"",H3/J3)</f>
        <v>3.0796298701623837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2022-01-28T01:23:20Z</dcterms:modified>
</cp:coreProperties>
</file>