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921FBE6-F9F7-4CB4-8430-F3C92DA299D2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H5" i="6"/>
  <c r="M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8" i="4"/>
  <c r="C122" i="4"/>
  <c r="C133" i="4" s="1"/>
  <c r="D136" i="4" s="1"/>
  <c r="R765" i="1"/>
  <c r="C122" i="3"/>
  <c r="C133" i="3" s="1"/>
  <c r="D136" i="3" s="1"/>
  <c r="C116" i="3"/>
  <c r="C118" i="3"/>
  <c r="C136" i="5" l="1"/>
  <c r="C138" i="5" s="1"/>
  <c r="C136" i="4"/>
  <c r="C138" i="4" s="1"/>
  <c r="R764" i="1"/>
  <c r="S765" i="1"/>
  <c r="T765" i="1" s="1"/>
  <c r="C136" i="3"/>
  <c r="C138" i="3" s="1"/>
  <c r="R763" i="1" l="1"/>
  <c r="S764" i="1"/>
  <c r="T764" i="1" s="1"/>
  <c r="R762" i="1" l="1"/>
  <c r="S763" i="1"/>
  <c r="T763" i="1" s="1"/>
  <c r="R761" i="1" l="1"/>
  <c r="S762" i="1"/>
  <c r="T762" i="1" s="1"/>
  <c r="S761" i="1" l="1"/>
  <c r="T761" i="1" s="1"/>
  <c r="R760" i="1"/>
  <c r="R759" i="1" l="1"/>
  <c r="S760" i="1"/>
  <c r="T760" i="1" s="1"/>
  <c r="S759" i="1" l="1"/>
  <c r="T759" i="1" s="1"/>
  <c r="R758" i="1"/>
  <c r="S758" i="1" l="1"/>
  <c r="T758" i="1" s="1"/>
  <c r="R757" i="1"/>
  <c r="S757" i="1" l="1"/>
  <c r="T757" i="1" s="1"/>
  <c r="R756" i="1"/>
  <c r="R755" i="1" l="1"/>
  <c r="S756" i="1"/>
  <c r="T756" i="1" s="1"/>
  <c r="S755" i="1" l="1"/>
  <c r="T755" i="1" s="1"/>
  <c r="R754" i="1"/>
  <c r="R753" i="1" l="1"/>
  <c r="S754" i="1"/>
  <c r="T754" i="1" s="1"/>
  <c r="R752" i="1" l="1"/>
  <c r="S753" i="1"/>
  <c r="T753" i="1" s="1"/>
  <c r="R751" i="1" l="1"/>
  <c r="S752" i="1"/>
  <c r="T752" i="1" s="1"/>
  <c r="S751" i="1" l="1"/>
  <c r="T751" i="1" s="1"/>
  <c r="R750" i="1"/>
  <c r="R749" i="1" l="1"/>
  <c r="S750" i="1"/>
  <c r="T750" i="1" s="1"/>
  <c r="S749" i="1" l="1"/>
  <c r="T749" i="1" s="1"/>
  <c r="R748" i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S735" i="1" l="1"/>
  <c r="T735" i="1" s="1"/>
  <c r="R734" i="1"/>
  <c r="S734" i="1" l="1"/>
  <c r="T734" i="1" s="1"/>
  <c r="R733" i="1"/>
  <c r="S733" i="1" l="1"/>
  <c r="T733" i="1" s="1"/>
  <c r="R732" i="1"/>
  <c r="R731" i="1" l="1"/>
  <c r="S732" i="1"/>
  <c r="T732" i="1" s="1"/>
  <c r="S731" i="1" l="1"/>
  <c r="T731" i="1" s="1"/>
  <c r="R730" i="1"/>
  <c r="S730" i="1" l="1"/>
  <c r="T730" i="1" s="1"/>
  <c r="R729" i="1"/>
  <c r="S729" i="1" l="1"/>
  <c r="T729" i="1" s="1"/>
  <c r="R728" i="1"/>
  <c r="S728" i="1" l="1"/>
  <c r="T728" i="1" s="1"/>
  <c r="R727" i="1"/>
  <c r="S727" i="1" l="1"/>
  <c r="T727" i="1" s="1"/>
  <c r="R726" i="1"/>
  <c r="S726" i="1" l="1"/>
  <c r="T726" i="1" s="1"/>
  <c r="R725" i="1"/>
  <c r="R724" i="1" l="1"/>
  <c r="S725" i="1"/>
  <c r="T725" i="1" s="1"/>
  <c r="R723" i="1" l="1"/>
  <c r="S724" i="1"/>
  <c r="T724" i="1" s="1"/>
  <c r="R722" i="1" l="1"/>
  <c r="S723" i="1"/>
  <c r="T723" i="1" s="1"/>
  <c r="S722" i="1" l="1"/>
  <c r="T722" i="1" s="1"/>
  <c r="R721" i="1"/>
  <c r="R720" i="1" l="1"/>
  <c r="S721" i="1"/>
  <c r="T721" i="1" s="1"/>
  <c r="S720" i="1" l="1"/>
  <c r="T720" i="1" s="1"/>
  <c r="R719" i="1"/>
  <c r="S719" i="1" l="1"/>
  <c r="T719" i="1" s="1"/>
  <c r="R718" i="1"/>
  <c r="S718" i="1" l="1"/>
  <c r="T718" i="1" s="1"/>
  <c r="R717" i="1"/>
  <c r="S717" i="1" l="1"/>
  <c r="T717" i="1" s="1"/>
  <c r="R716" i="1"/>
  <c r="S716" i="1" l="1"/>
  <c r="T716" i="1" s="1"/>
  <c r="R715" i="1"/>
  <c r="R714" i="1" l="1"/>
  <c r="S715" i="1"/>
  <c r="T715" i="1" s="1"/>
  <c r="R713" i="1" l="1"/>
  <c r="S714" i="1"/>
  <c r="T714" i="1" s="1"/>
  <c r="S713" i="1" l="1"/>
  <c r="T713" i="1" s="1"/>
  <c r="R712" i="1"/>
  <c r="R711" i="1" l="1"/>
  <c r="S712" i="1"/>
  <c r="T712" i="1" s="1"/>
  <c r="R710" i="1" l="1"/>
  <c r="S711" i="1"/>
  <c r="T711" i="1" s="1"/>
  <c r="R709" i="1" l="1"/>
  <c r="S710" i="1"/>
  <c r="T710" i="1" s="1"/>
  <c r="S709" i="1" l="1"/>
  <c r="T709" i="1" s="1"/>
  <c r="R708" i="1"/>
  <c r="R707" i="1" l="1"/>
  <c r="S708" i="1"/>
  <c r="T708" i="1" s="1"/>
  <c r="S707" i="1" l="1"/>
  <c r="T707" i="1" s="1"/>
  <c r="R706" i="1"/>
  <c r="S706" i="1" l="1"/>
  <c r="T706" i="1" s="1"/>
  <c r="R705" i="1"/>
  <c r="S705" i="1" l="1"/>
  <c r="T705" i="1" s="1"/>
  <c r="R704" i="1"/>
  <c r="S704" i="1" l="1"/>
  <c r="T704" i="1" s="1"/>
  <c r="R703" i="1"/>
  <c r="S703" i="1" l="1"/>
  <c r="T703" i="1" s="1"/>
  <c r="R702" i="1"/>
  <c r="S702" i="1" l="1"/>
  <c r="T702" i="1" s="1"/>
  <c r="R701" i="1"/>
  <c r="S701" i="1" l="1"/>
  <c r="T701" i="1" s="1"/>
  <c r="R700" i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S693" i="1" l="1"/>
  <c r="T693" i="1" s="1"/>
  <c r="R692" i="1"/>
  <c r="S692" i="1" l="1"/>
  <c r="T692" i="1" s="1"/>
  <c r="R691" i="1"/>
  <c r="S691" i="1" l="1"/>
  <c r="T691" i="1" s="1"/>
  <c r="R690" i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S682" i="1" l="1"/>
  <c r="T682" i="1" s="1"/>
  <c r="R681" i="1"/>
  <c r="S681" i="1" l="1"/>
  <c r="T681" i="1" s="1"/>
  <c r="R680" i="1"/>
  <c r="R679" i="1" l="1"/>
  <c r="S680" i="1"/>
  <c r="T680" i="1" s="1"/>
  <c r="S679" i="1" l="1"/>
  <c r="T679" i="1" s="1"/>
  <c r="R678" i="1"/>
  <c r="S678" i="1" l="1"/>
  <c r="T678" i="1" s="1"/>
  <c r="R677" i="1"/>
  <c r="R676" i="1" l="1"/>
  <c r="S677" i="1"/>
  <c r="T677" i="1" s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S671" i="1" l="1"/>
  <c r="T671" i="1" s="1"/>
  <c r="R670" i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R665" i="1" l="1"/>
  <c r="S666" i="1"/>
  <c r="T666" i="1" s="1"/>
  <c r="S665" i="1" l="1"/>
  <c r="T665" i="1" s="1"/>
  <c r="R664" i="1"/>
  <c r="R663" i="1" l="1"/>
  <c r="S664" i="1"/>
  <c r="T664" i="1" s="1"/>
  <c r="S663" i="1" l="1"/>
  <c r="T663" i="1" s="1"/>
  <c r="R662" i="1"/>
  <c r="R661" i="1" l="1"/>
  <c r="S662" i="1"/>
  <c r="T662" i="1" s="1"/>
  <c r="S661" i="1" l="1"/>
  <c r="T661" i="1" s="1"/>
  <c r="R660" i="1"/>
  <c r="S660" i="1" l="1"/>
  <c r="T660" i="1" s="1"/>
  <c r="R659" i="1"/>
  <c r="S659" i="1" l="1"/>
  <c r="T659" i="1" s="1"/>
  <c r="R658" i="1"/>
  <c r="R657" i="1" l="1"/>
  <c r="S658" i="1"/>
  <c r="T658" i="1" s="1"/>
  <c r="S657" i="1" l="1"/>
  <c r="T657" i="1" s="1"/>
  <c r="R656" i="1"/>
  <c r="R655" i="1" l="1"/>
  <c r="S656" i="1"/>
  <c r="T656" i="1" s="1"/>
  <c r="R654" i="1" l="1"/>
  <c r="S655" i="1"/>
  <c r="T655" i="1" s="1"/>
  <c r="R653" i="1" l="1"/>
  <c r="S654" i="1"/>
  <c r="T654" i="1" s="1"/>
  <c r="S653" i="1" l="1"/>
  <c r="T653" i="1" s="1"/>
  <c r="R652" i="1"/>
  <c r="R651" i="1" l="1"/>
  <c r="S652" i="1"/>
  <c r="T652" i="1" s="1"/>
  <c r="S651" i="1" l="1"/>
  <c r="T651" i="1" s="1"/>
  <c r="R650" i="1"/>
  <c r="S650" i="1" l="1"/>
  <c r="T650" i="1" s="1"/>
  <c r="R649" i="1"/>
  <c r="S649" i="1" l="1"/>
  <c r="T649" i="1" s="1"/>
  <c r="R648" i="1"/>
  <c r="R647" i="1" l="1"/>
  <c r="S648" i="1"/>
  <c r="T648" i="1" s="1"/>
  <c r="S647" i="1" l="1"/>
  <c r="T647" i="1" s="1"/>
  <c r="R646" i="1"/>
  <c r="S646" i="1" l="1"/>
  <c r="T646" i="1" s="1"/>
  <c r="R645" i="1"/>
  <c r="R644" i="1" l="1"/>
  <c r="S645" i="1"/>
  <c r="T645" i="1" s="1"/>
  <c r="S644" i="1" l="1"/>
  <c r="T644" i="1" s="1"/>
  <c r="R643" i="1"/>
  <c r="S643" i="1" l="1"/>
  <c r="T643" i="1" s="1"/>
  <c r="R642" i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S638" i="1" l="1"/>
  <c r="T638" i="1" s="1"/>
  <c r="R637" i="1"/>
  <c r="R636" i="1" l="1"/>
  <c r="S637" i="1"/>
  <c r="T637" i="1" s="1"/>
  <c r="S636" i="1" l="1"/>
  <c r="T636" i="1" s="1"/>
  <c r="R635" i="1"/>
  <c r="R634" i="1" l="1"/>
  <c r="S635" i="1"/>
  <c r="T635" i="1" s="1"/>
  <c r="S634" i="1" l="1"/>
  <c r="T634" i="1" s="1"/>
  <c r="R633" i="1"/>
  <c r="R632" i="1" l="1"/>
  <c r="S633" i="1"/>
  <c r="T633" i="1" s="1"/>
  <c r="S632" i="1" l="1"/>
  <c r="T632" i="1" s="1"/>
  <c r="R631" i="1"/>
  <c r="R630" i="1" l="1"/>
  <c r="S631" i="1"/>
  <c r="T631" i="1" s="1"/>
  <c r="S630" i="1" l="1"/>
  <c r="T630" i="1" s="1"/>
  <c r="R629" i="1"/>
  <c r="R628" i="1" l="1"/>
  <c r="S629" i="1"/>
  <c r="T629" i="1" s="1"/>
  <c r="S628" i="1" l="1"/>
  <c r="T628" i="1" s="1"/>
  <c r="R627" i="1"/>
  <c r="R626" i="1" l="1"/>
  <c r="S627" i="1"/>
  <c r="T627" i="1" s="1"/>
  <c r="S626" i="1" l="1"/>
  <c r="T626" i="1" s="1"/>
  <c r="R625" i="1"/>
  <c r="R624" i="1" l="1"/>
  <c r="S625" i="1"/>
  <c r="T625" i="1" s="1"/>
  <c r="S624" i="1" l="1"/>
  <c r="T624" i="1" s="1"/>
  <c r="R623" i="1"/>
  <c r="R622" i="1" l="1"/>
  <c r="S623" i="1"/>
  <c r="T623" i="1" s="1"/>
  <c r="S622" i="1" l="1"/>
  <c r="T622" i="1" s="1"/>
  <c r="R621" i="1"/>
  <c r="R620" i="1" l="1"/>
  <c r="S621" i="1"/>
  <c r="T621" i="1" s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R614" i="1" l="1"/>
  <c r="S615" i="1"/>
  <c r="T615" i="1" s="1"/>
  <c r="R613" i="1" l="1"/>
  <c r="S614" i="1"/>
  <c r="T614" i="1" s="1"/>
  <c r="S613" i="1" l="1"/>
  <c r="T613" i="1" s="1"/>
  <c r="R612" i="1"/>
  <c r="S612" i="1" l="1"/>
  <c r="T612" i="1" s="1"/>
  <c r="R611" i="1"/>
  <c r="R610" i="1" l="1"/>
  <c r="S611" i="1"/>
  <c r="T611" i="1" s="1"/>
  <c r="S610" i="1" l="1"/>
  <c r="T610" i="1" s="1"/>
  <c r="R609" i="1"/>
  <c r="S609" i="1" l="1"/>
  <c r="T609" i="1" s="1"/>
  <c r="R608" i="1"/>
  <c r="S608" i="1" l="1"/>
  <c r="T608" i="1" s="1"/>
  <c r="R607" i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S602" i="1" l="1"/>
  <c r="T602" i="1" s="1"/>
  <c r="R601" i="1"/>
  <c r="S601" i="1" l="1"/>
  <c r="T601" i="1" s="1"/>
  <c r="R600" i="1"/>
  <c r="S600" i="1" l="1"/>
  <c r="T600" i="1" s="1"/>
  <c r="R599" i="1"/>
  <c r="S599" i="1" l="1"/>
  <c r="T599" i="1" s="1"/>
  <c r="R598" i="1"/>
  <c r="S598" i="1" l="1"/>
  <c r="T598" i="1" s="1"/>
  <c r="R597" i="1"/>
  <c r="R596" i="1" l="1"/>
  <c r="S597" i="1"/>
  <c r="T597" i="1" s="1"/>
  <c r="R595" i="1" l="1"/>
  <c r="S596" i="1"/>
  <c r="T596" i="1" s="1"/>
  <c r="R594" i="1" l="1"/>
  <c r="S595" i="1"/>
  <c r="T595" i="1" s="1"/>
  <c r="S594" i="1" l="1"/>
  <c r="T594" i="1" s="1"/>
  <c r="R593" i="1"/>
  <c r="S593" i="1" l="1"/>
  <c r="T593" i="1" s="1"/>
  <c r="R592" i="1"/>
  <c r="S592" i="1" l="1"/>
  <c r="T592" i="1" s="1"/>
  <c r="R591" i="1"/>
  <c r="S591" i="1" l="1"/>
  <c r="T591" i="1" s="1"/>
  <c r="R590" i="1"/>
  <c r="S590" i="1" l="1"/>
  <c r="T590" i="1" s="1"/>
  <c r="R589" i="1"/>
  <c r="S589" i="1" l="1"/>
  <c r="T589" i="1" s="1"/>
  <c r="R588" i="1"/>
  <c r="S588" i="1" l="1"/>
  <c r="T588" i="1" s="1"/>
  <c r="R587" i="1"/>
  <c r="S587" i="1" l="1"/>
  <c r="T587" i="1" s="1"/>
  <c r="R586" i="1"/>
  <c r="S586" i="1" l="1"/>
  <c r="T586" i="1" s="1"/>
  <c r="R585" i="1"/>
  <c r="R584" i="1" l="1"/>
  <c r="S585" i="1"/>
  <c r="T585" i="1" s="1"/>
  <c r="R583" i="1" l="1"/>
  <c r="S584" i="1"/>
  <c r="T584" i="1" s="1"/>
  <c r="R582" i="1" l="1"/>
  <c r="S583" i="1"/>
  <c r="T583" i="1" s="1"/>
  <c r="S582" i="1" l="1"/>
  <c r="T582" i="1" s="1"/>
  <c r="R581" i="1"/>
  <c r="R580" i="1" l="1"/>
  <c r="S581" i="1"/>
  <c r="T581" i="1" s="1"/>
  <c r="S580" i="1" l="1"/>
  <c r="T580" i="1" s="1"/>
  <c r="R579" i="1"/>
  <c r="S579" i="1" l="1"/>
  <c r="T579" i="1" s="1"/>
  <c r="R578" i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S573" i="1" l="1"/>
  <c r="T573" i="1" s="1"/>
  <c r="R572" i="1"/>
  <c r="S572" i="1" l="1"/>
  <c r="T572" i="1" s="1"/>
  <c r="R571" i="1"/>
  <c r="S571" i="1" l="1"/>
  <c r="T571" i="1" s="1"/>
  <c r="R570" i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S566" i="1" l="1"/>
  <c r="T566" i="1" s="1"/>
  <c r="R565" i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R560" i="1" l="1"/>
  <c r="S561" i="1"/>
  <c r="T561" i="1" s="1"/>
  <c r="S560" i="1" l="1"/>
  <c r="T560" i="1" s="1"/>
  <c r="R559" i="1"/>
  <c r="S559" i="1" l="1"/>
  <c r="T559" i="1" s="1"/>
  <c r="R558" i="1"/>
  <c r="R557" i="1" l="1"/>
  <c r="S558" i="1"/>
  <c r="T558" i="1" s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R546" i="1" l="1"/>
  <c r="S547" i="1"/>
  <c r="T547" i="1" s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R534" i="1" l="1"/>
  <c r="S535" i="1"/>
  <c r="T535" i="1" s="1"/>
  <c r="R533" i="1" l="1"/>
  <c r="S534" i="1"/>
  <c r="T534" i="1" s="1"/>
  <c r="S533" i="1" l="1"/>
  <c r="T533" i="1" s="1"/>
  <c r="R532" i="1"/>
  <c r="R531" i="1" l="1"/>
  <c r="S532" i="1"/>
  <c r="T532" i="1" s="1"/>
  <c r="S531" i="1" l="1"/>
  <c r="T531" i="1" s="1"/>
  <c r="R530" i="1"/>
  <c r="S530" i="1" l="1"/>
  <c r="T530" i="1" s="1"/>
  <c r="R529" i="1"/>
  <c r="S529" i="1" l="1"/>
  <c r="T529" i="1" s="1"/>
  <c r="R528" i="1"/>
  <c r="R527" i="1" l="1"/>
  <c r="S528" i="1"/>
  <c r="T528" i="1" s="1"/>
  <c r="S527" i="1" l="1"/>
  <c r="T527" i="1" s="1"/>
  <c r="R526" i="1"/>
  <c r="R525" i="1" l="1"/>
  <c r="S526" i="1"/>
  <c r="T526" i="1" s="1"/>
  <c r="S525" i="1" l="1"/>
  <c r="T525" i="1" s="1"/>
  <c r="R524" i="1"/>
  <c r="R523" i="1" l="1"/>
  <c r="S524" i="1"/>
  <c r="T524" i="1" s="1"/>
  <c r="S523" i="1" l="1"/>
  <c r="T523" i="1" s="1"/>
  <c r="R522" i="1"/>
  <c r="R521" i="1" l="1"/>
  <c r="S522" i="1"/>
  <c r="T522" i="1" s="1"/>
  <c r="S521" i="1" l="1"/>
  <c r="T521" i="1" s="1"/>
  <c r="R520" i="1"/>
  <c r="R519" i="1" l="1"/>
  <c r="S520" i="1"/>
  <c r="T520" i="1" s="1"/>
  <c r="S519" i="1" l="1"/>
  <c r="T519" i="1" s="1"/>
  <c r="R518" i="1"/>
  <c r="R517" i="1" l="1"/>
  <c r="S518" i="1"/>
  <c r="T518" i="1" s="1"/>
  <c r="S517" i="1" l="1"/>
  <c r="T517" i="1" s="1"/>
  <c r="R516" i="1"/>
  <c r="R515" i="1" l="1"/>
  <c r="S516" i="1"/>
  <c r="T516" i="1" s="1"/>
  <c r="S515" i="1" l="1"/>
  <c r="T515" i="1" s="1"/>
  <c r="R514" i="1"/>
  <c r="R513" i="1" l="1"/>
  <c r="S514" i="1"/>
  <c r="T514" i="1" s="1"/>
  <c r="S513" i="1" l="1"/>
  <c r="T513" i="1" s="1"/>
  <c r="R512" i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S507" i="1" l="1"/>
  <c r="T507" i="1" s="1"/>
  <c r="R506" i="1"/>
  <c r="R505" i="1" l="1"/>
  <c r="S506" i="1"/>
  <c r="T506" i="1" s="1"/>
  <c r="R504" i="1" l="1"/>
  <c r="S505" i="1"/>
  <c r="T505" i="1" s="1"/>
  <c r="R503" i="1" l="1"/>
  <c r="S504" i="1"/>
  <c r="T504" i="1" s="1"/>
  <c r="S503" i="1" l="1"/>
  <c r="T503" i="1" s="1"/>
  <c r="R502" i="1"/>
  <c r="R501" i="1" l="1"/>
  <c r="S502" i="1"/>
  <c r="T502" i="1" s="1"/>
  <c r="S501" i="1" l="1"/>
  <c r="T501" i="1" s="1"/>
  <c r="R500" i="1"/>
  <c r="S500" i="1" l="1"/>
  <c r="T500" i="1" s="1"/>
  <c r="R499" i="1"/>
  <c r="S499" i="1" l="1"/>
  <c r="T499" i="1" s="1"/>
  <c r="R498" i="1"/>
  <c r="R497" i="1" l="1"/>
  <c r="S498" i="1"/>
  <c r="T498" i="1" s="1"/>
  <c r="S497" i="1" l="1"/>
  <c r="T497" i="1" s="1"/>
  <c r="R496" i="1"/>
  <c r="R495" i="1" l="1"/>
  <c r="S496" i="1"/>
  <c r="T496" i="1" s="1"/>
  <c r="R494" i="1" l="1"/>
  <c r="S495" i="1"/>
  <c r="T495" i="1" s="1"/>
  <c r="S494" i="1" l="1"/>
  <c r="T494" i="1" s="1"/>
  <c r="R493" i="1"/>
  <c r="S493" i="1" l="1"/>
  <c r="T493" i="1" s="1"/>
  <c r="R492" i="1"/>
  <c r="R491" i="1" l="1"/>
  <c r="S492" i="1"/>
  <c r="T492" i="1" s="1"/>
  <c r="S491" i="1" l="1"/>
  <c r="T491" i="1" s="1"/>
  <c r="R490" i="1"/>
  <c r="R489" i="1" l="1"/>
  <c r="S490" i="1"/>
  <c r="T490" i="1" s="1"/>
  <c r="S489" i="1" l="1"/>
  <c r="T489" i="1" s="1"/>
  <c r="R488" i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S482" i="1" l="1"/>
  <c r="T482" i="1" s="1"/>
  <c r="R481" i="1"/>
  <c r="S481" i="1" l="1"/>
  <c r="T481" i="1" s="1"/>
  <c r="R480" i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S474" i="1" l="1"/>
  <c r="T474" i="1" s="1"/>
  <c r="R473" i="1"/>
  <c r="R472" i="1" l="1"/>
  <c r="S473" i="1"/>
  <c r="T473" i="1" s="1"/>
  <c r="S472" i="1" l="1"/>
  <c r="T472" i="1" s="1"/>
  <c r="R471" i="1"/>
  <c r="S471" i="1" l="1"/>
  <c r="T471" i="1" s="1"/>
  <c r="R470" i="1"/>
  <c r="S470" i="1" l="1"/>
  <c r="T470" i="1" s="1"/>
  <c r="R469" i="1"/>
  <c r="S469" i="1" l="1"/>
  <c r="T469" i="1" s="1"/>
  <c r="R468" i="1"/>
  <c r="S468" i="1" l="1"/>
  <c r="T468" i="1" s="1"/>
  <c r="R467" i="1"/>
  <c r="S467" i="1" l="1"/>
  <c r="T467" i="1" s="1"/>
  <c r="R466" i="1"/>
  <c r="S466" i="1" l="1"/>
  <c r="T466" i="1" s="1"/>
  <c r="R465" i="1"/>
  <c r="S465" i="1" l="1"/>
  <c r="T465" i="1" s="1"/>
  <c r="R464" i="1"/>
  <c r="S464" i="1" l="1"/>
  <c r="T464" i="1" s="1"/>
  <c r="R463" i="1"/>
  <c r="R462" i="1" l="1"/>
  <c r="S463" i="1"/>
  <c r="T463" i="1" s="1"/>
  <c r="S462" i="1" l="1"/>
  <c r="T462" i="1" s="1"/>
  <c r="R461" i="1"/>
  <c r="R460" i="1" l="1"/>
  <c r="S461" i="1"/>
  <c r="T461" i="1" s="1"/>
  <c r="R459" i="1" l="1"/>
  <c r="S460" i="1"/>
  <c r="T460" i="1" s="1"/>
  <c r="R458" i="1" l="1"/>
  <c r="S459" i="1"/>
  <c r="T459" i="1" s="1"/>
  <c r="S458" i="1" l="1"/>
  <c r="T458" i="1" s="1"/>
  <c r="R457" i="1"/>
  <c r="R456" i="1" l="1"/>
  <c r="S457" i="1"/>
  <c r="T457" i="1" s="1"/>
  <c r="S456" i="1" l="1"/>
  <c r="T456" i="1" s="1"/>
  <c r="R455" i="1"/>
  <c r="R454" i="1" l="1"/>
  <c r="S455" i="1"/>
  <c r="T455" i="1" s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S449" i="1" l="1"/>
  <c r="T449" i="1" s="1"/>
  <c r="R448" i="1"/>
  <c r="S448" i="1" l="1"/>
  <c r="T448" i="1" s="1"/>
  <c r="R447" i="1"/>
  <c r="R446" i="1" l="1"/>
  <c r="S447" i="1"/>
  <c r="T447" i="1" s="1"/>
  <c r="S446" i="1" l="1"/>
  <c r="T446" i="1" s="1"/>
  <c r="R445" i="1"/>
  <c r="S445" i="1" l="1"/>
  <c r="T445" i="1" s="1"/>
  <c r="R444" i="1"/>
  <c r="R443" i="1" l="1"/>
  <c r="S444" i="1"/>
  <c r="T444" i="1" s="1"/>
  <c r="R442" i="1" l="1"/>
  <c r="S443" i="1"/>
  <c r="T443" i="1" s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R433" i="1" l="1"/>
  <c r="S434" i="1"/>
  <c r="T434" i="1" s="1"/>
  <c r="S433" i="1" l="1"/>
  <c r="T433" i="1" s="1"/>
  <c r="R432" i="1"/>
  <c r="S432" i="1" l="1"/>
  <c r="T432" i="1" s="1"/>
  <c r="R431" i="1"/>
  <c r="R430" i="1" l="1"/>
  <c r="S431" i="1"/>
  <c r="T431" i="1" s="1"/>
  <c r="S430" i="1" l="1"/>
  <c r="T430" i="1" s="1"/>
  <c r="R429" i="1"/>
  <c r="S429" i="1" l="1"/>
  <c r="T429" i="1" s="1"/>
  <c r="R428" i="1"/>
  <c r="R427" i="1" l="1"/>
  <c r="S428" i="1"/>
  <c r="T428" i="1" s="1"/>
  <c r="R426" i="1" l="1"/>
  <c r="S427" i="1"/>
  <c r="T427" i="1" s="1"/>
  <c r="S426" i="1" l="1"/>
  <c r="T426" i="1" s="1"/>
  <c r="R425" i="1"/>
  <c r="R424" i="1" l="1"/>
  <c r="S425" i="1"/>
  <c r="T425" i="1" s="1"/>
  <c r="R423" i="1" l="1"/>
  <c r="S424" i="1"/>
  <c r="T424" i="1" s="1"/>
  <c r="R422" i="1" l="1"/>
  <c r="S423" i="1"/>
  <c r="T423" i="1" s="1"/>
  <c r="S422" i="1" l="1"/>
  <c r="T422" i="1" s="1"/>
  <c r="R421" i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S417" i="1" l="1"/>
  <c r="T417" i="1" s="1"/>
  <c r="R416" i="1"/>
  <c r="S416" i="1" l="1"/>
  <c r="T416" i="1" s="1"/>
  <c r="R415" i="1"/>
  <c r="R414" i="1" l="1"/>
  <c r="S415" i="1"/>
  <c r="T415" i="1" s="1"/>
  <c r="R413" i="1" l="1"/>
  <c r="S414" i="1"/>
  <c r="T414" i="1" s="1"/>
  <c r="S413" i="1" l="1"/>
  <c r="T413" i="1" s="1"/>
  <c r="R412" i="1"/>
  <c r="S412" i="1" l="1"/>
  <c r="T412" i="1" s="1"/>
  <c r="R411" i="1"/>
  <c r="R410" i="1" l="1"/>
  <c r="S411" i="1"/>
  <c r="T411" i="1" s="1"/>
  <c r="S410" i="1" l="1"/>
  <c r="T410" i="1" s="1"/>
  <c r="R409" i="1"/>
  <c r="S409" i="1" l="1"/>
  <c r="T409" i="1" s="1"/>
  <c r="R408" i="1"/>
  <c r="S408" i="1" l="1"/>
  <c r="T408" i="1" s="1"/>
  <c r="R407" i="1"/>
  <c r="S407" i="1" l="1"/>
  <c r="T407" i="1" s="1"/>
  <c r="R406" i="1"/>
  <c r="R405" i="1" l="1"/>
  <c r="S406" i="1"/>
  <c r="T406" i="1" s="1"/>
  <c r="S405" i="1" l="1"/>
  <c r="T405" i="1" s="1"/>
  <c r="R404" i="1"/>
  <c r="R403" i="1" l="1"/>
  <c r="S404" i="1"/>
  <c r="T404" i="1" s="1"/>
  <c r="R402" i="1" l="1"/>
  <c r="S403" i="1"/>
  <c r="T403" i="1" s="1"/>
  <c r="R401" i="1" l="1"/>
  <c r="S402" i="1"/>
  <c r="T402" i="1" s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S392" i="1" l="1"/>
  <c r="T392" i="1" s="1"/>
  <c r="R391" i="1"/>
  <c r="S391" i="1" l="1"/>
  <c r="T391" i="1" s="1"/>
  <c r="R390" i="1"/>
  <c r="R389" i="1" l="1"/>
  <c r="S390" i="1"/>
  <c r="T390" i="1" s="1"/>
  <c r="S389" i="1" l="1"/>
  <c r="T389" i="1" s="1"/>
  <c r="R388" i="1"/>
  <c r="S388" i="1" l="1"/>
  <c r="T388" i="1" s="1"/>
  <c r="R387" i="1"/>
  <c r="S387" i="1" l="1"/>
  <c r="T387" i="1" s="1"/>
  <c r="R386" i="1"/>
  <c r="R385" i="1" l="1"/>
  <c r="S386" i="1"/>
  <c r="T386" i="1" s="1"/>
  <c r="S385" i="1" l="1"/>
  <c r="T385" i="1" s="1"/>
  <c r="R384" i="1"/>
  <c r="S384" i="1" l="1"/>
  <c r="T384" i="1" s="1"/>
  <c r="R383" i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S379" i="1" l="1"/>
  <c r="T379" i="1" s="1"/>
  <c r="R378" i="1"/>
  <c r="S378" i="1" l="1"/>
  <c r="T378" i="1" s="1"/>
  <c r="R377" i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S373" i="1" l="1"/>
  <c r="T373" i="1" s="1"/>
  <c r="R372" i="1"/>
  <c r="R371" i="1" l="1"/>
  <c r="S372" i="1"/>
  <c r="T372" i="1" s="1"/>
  <c r="S371" i="1" l="1"/>
  <c r="T371" i="1" s="1"/>
  <c r="R370" i="1"/>
  <c r="S370" i="1" l="1"/>
  <c r="T370" i="1" s="1"/>
  <c r="R369" i="1"/>
  <c r="S369" i="1" l="1"/>
  <c r="T369" i="1" s="1"/>
  <c r="R368" i="1"/>
  <c r="R367" i="1" l="1"/>
  <c r="S368" i="1"/>
  <c r="T368" i="1" s="1"/>
  <c r="S367" i="1" l="1"/>
  <c r="T367" i="1" s="1"/>
  <c r="R366" i="1"/>
  <c r="R365" i="1" l="1"/>
  <c r="S366" i="1"/>
  <c r="T366" i="1" s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S360" i="1" l="1"/>
  <c r="T360" i="1" s="1"/>
  <c r="R359" i="1"/>
  <c r="R358" i="1" l="1"/>
  <c r="S359" i="1"/>
  <c r="T359" i="1" s="1"/>
  <c r="S358" i="1" l="1"/>
  <c r="T358" i="1" s="1"/>
  <c r="R357" i="1"/>
  <c r="R356" i="1" l="1"/>
  <c r="S357" i="1"/>
  <c r="T357" i="1" s="1"/>
  <c r="S356" i="1" l="1"/>
  <c r="T356" i="1" s="1"/>
  <c r="R355" i="1"/>
  <c r="R354" i="1" l="1"/>
  <c r="S355" i="1"/>
  <c r="T355" i="1" s="1"/>
  <c r="S354" i="1" l="1"/>
  <c r="T354" i="1" s="1"/>
  <c r="R353" i="1"/>
  <c r="S353" i="1" l="1"/>
  <c r="T353" i="1" s="1"/>
  <c r="R352" i="1"/>
  <c r="S352" i="1" l="1"/>
  <c r="T352" i="1" s="1"/>
  <c r="R351" i="1"/>
  <c r="R350" i="1" l="1"/>
  <c r="S351" i="1"/>
  <c r="T351" i="1" s="1"/>
  <c r="S350" i="1" l="1"/>
  <c r="T350" i="1" s="1"/>
  <c r="R349" i="1"/>
  <c r="S349" i="1" l="1"/>
  <c r="T349" i="1" s="1"/>
  <c r="R348" i="1"/>
  <c r="S348" i="1" l="1"/>
  <c r="T348" i="1" s="1"/>
  <c r="R347" i="1"/>
  <c r="R346" i="1" l="1"/>
  <c r="S347" i="1"/>
  <c r="T347" i="1" s="1"/>
  <c r="S346" i="1" l="1"/>
  <c r="T346" i="1" s="1"/>
  <c r="R345" i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R340" i="1" l="1"/>
  <c r="S341" i="1"/>
  <c r="T341" i="1" s="1"/>
  <c r="S340" i="1" l="1"/>
  <c r="T340" i="1" s="1"/>
  <c r="R339" i="1"/>
  <c r="R338" i="1" l="1"/>
  <c r="S339" i="1"/>
  <c r="T339" i="1" s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S334" i="1" l="1"/>
  <c r="T334" i="1" s="1"/>
  <c r="R333" i="1"/>
  <c r="S333" i="1" l="1"/>
  <c r="T333" i="1" s="1"/>
  <c r="R332" i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S317" i="1" l="1"/>
  <c r="T317" i="1" s="1"/>
  <c r="R316" i="1"/>
  <c r="S316" i="1" l="1"/>
  <c r="T316" i="1" s="1"/>
  <c r="R315" i="1"/>
  <c r="S315" i="1" l="1"/>
  <c r="T315" i="1" s="1"/>
  <c r="R314" i="1"/>
  <c r="S314" i="1" l="1"/>
  <c r="T314" i="1" s="1"/>
  <c r="R313" i="1"/>
  <c r="R312" i="1" l="1"/>
  <c r="S313" i="1"/>
  <c r="T313" i="1" s="1"/>
  <c r="S312" i="1" l="1"/>
  <c r="T312" i="1" s="1"/>
  <c r="R311" i="1"/>
  <c r="R310" i="1" l="1"/>
  <c r="S311" i="1"/>
  <c r="T311" i="1" s="1"/>
  <c r="S310" i="1" l="1"/>
  <c r="T310" i="1" s="1"/>
  <c r="R309" i="1"/>
  <c r="R308" i="1" l="1"/>
  <c r="S309" i="1"/>
  <c r="T309" i="1" s="1"/>
  <c r="S308" i="1" l="1"/>
  <c r="T308" i="1" s="1"/>
  <c r="R307" i="1"/>
  <c r="R306" i="1" l="1"/>
  <c r="S307" i="1"/>
  <c r="T307" i="1" s="1"/>
  <c r="S306" i="1" l="1"/>
  <c r="T306" i="1" s="1"/>
  <c r="R305" i="1"/>
  <c r="R304" i="1" l="1"/>
  <c r="S305" i="1"/>
  <c r="T305" i="1" s="1"/>
  <c r="S304" i="1" l="1"/>
  <c r="T304" i="1" s="1"/>
  <c r="R303" i="1"/>
  <c r="R302" i="1" l="1"/>
  <c r="S303" i="1"/>
  <c r="T303" i="1" s="1"/>
  <c r="S302" i="1" l="1"/>
  <c r="T302" i="1" s="1"/>
  <c r="R301" i="1"/>
  <c r="S301" i="1" l="1"/>
  <c r="T301" i="1" s="1"/>
  <c r="R300" i="1"/>
  <c r="R299" i="1" l="1"/>
  <c r="S300" i="1"/>
  <c r="T300" i="1" s="1"/>
  <c r="S299" i="1" l="1"/>
  <c r="T299" i="1" s="1"/>
  <c r="R298" i="1"/>
  <c r="S298" i="1" l="1"/>
  <c r="T298" i="1" s="1"/>
  <c r="R297" i="1"/>
  <c r="R296" i="1" l="1"/>
  <c r="S297" i="1"/>
  <c r="T297" i="1" s="1"/>
  <c r="R295" i="1" l="1"/>
  <c r="S296" i="1"/>
  <c r="T296" i="1" s="1"/>
  <c r="S295" i="1" l="1"/>
  <c r="T295" i="1" s="1"/>
  <c r="R294" i="1"/>
  <c r="R293" i="1" l="1"/>
  <c r="S294" i="1"/>
  <c r="T294" i="1" s="1"/>
  <c r="R292" i="1" l="1"/>
  <c r="S293" i="1"/>
  <c r="T293" i="1" s="1"/>
  <c r="S292" i="1" l="1"/>
  <c r="T292" i="1" s="1"/>
  <c r="R291" i="1"/>
  <c r="R290" i="1" l="1"/>
  <c r="S291" i="1"/>
  <c r="T291" i="1" s="1"/>
  <c r="S290" i="1" l="1"/>
  <c r="T290" i="1" s="1"/>
  <c r="R289" i="1"/>
  <c r="S289" i="1" l="1"/>
  <c r="T289" i="1" s="1"/>
  <c r="R288" i="1"/>
  <c r="S288" i="1" l="1"/>
  <c r="T288" i="1" s="1"/>
  <c r="R287" i="1"/>
  <c r="S287" i="1" l="1"/>
  <c r="T287" i="1" s="1"/>
  <c r="R286" i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S278" i="1" l="1"/>
  <c r="T278" i="1" s="1"/>
  <c r="R277" i="1"/>
  <c r="S277" i="1" l="1"/>
  <c r="T277" i="1" s="1"/>
  <c r="R276" i="1"/>
  <c r="S276" i="1" l="1"/>
  <c r="T276" i="1" s="1"/>
  <c r="R275" i="1"/>
  <c r="S275" i="1" l="1"/>
  <c r="T275" i="1" s="1"/>
  <c r="R274" i="1"/>
  <c r="R273" i="1" l="1"/>
  <c r="S274" i="1"/>
  <c r="T274" i="1" s="1"/>
  <c r="S273" i="1" l="1"/>
  <c r="T273" i="1" s="1"/>
  <c r="R272" i="1"/>
  <c r="S272" i="1" l="1"/>
  <c r="T272" i="1" s="1"/>
  <c r="R271" i="1"/>
  <c r="R270" i="1" l="1"/>
  <c r="S271" i="1"/>
  <c r="T271" i="1" s="1"/>
  <c r="R269" i="1" l="1"/>
  <c r="S270" i="1"/>
  <c r="T270" i="1" s="1"/>
  <c r="S269" i="1" l="1"/>
  <c r="T269" i="1" s="1"/>
  <c r="R268" i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S241" i="1" l="1"/>
  <c r="T241" i="1" s="1"/>
  <c r="R240" i="1"/>
  <c r="S240" i="1" l="1"/>
  <c r="T240" i="1" s="1"/>
  <c r="R239" i="1"/>
  <c r="R238" i="1" l="1"/>
  <c r="S239" i="1"/>
  <c r="T239" i="1" s="1"/>
  <c r="R237" i="1" l="1"/>
  <c r="S238" i="1"/>
  <c r="T238" i="1" s="1"/>
  <c r="S237" i="1" l="1"/>
  <c r="T237" i="1" s="1"/>
  <c r="R236" i="1"/>
  <c r="R235" i="1" l="1"/>
  <c r="S236" i="1"/>
  <c r="T236" i="1" s="1"/>
  <c r="R234" i="1" l="1"/>
  <c r="S235" i="1"/>
  <c r="T235" i="1" s="1"/>
  <c r="S234" i="1" l="1"/>
  <c r="T234" i="1" s="1"/>
  <c r="R233" i="1"/>
  <c r="S233" i="1" l="1"/>
  <c r="T233" i="1" s="1"/>
  <c r="R232" i="1"/>
  <c r="S232" i="1" l="1"/>
  <c r="T232" i="1" s="1"/>
  <c r="R231" i="1"/>
  <c r="S231" i="1" l="1"/>
  <c r="T231" i="1" s="1"/>
  <c r="R230" i="1"/>
  <c r="S230" i="1" l="1"/>
  <c r="T230" i="1" s="1"/>
  <c r="R229" i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S222" i="1" l="1"/>
  <c r="T222" i="1" s="1"/>
  <c r="R221" i="1"/>
  <c r="R220" i="1" l="1"/>
  <c r="S221" i="1"/>
  <c r="T221" i="1" s="1"/>
  <c r="S220" i="1" l="1"/>
  <c r="T220" i="1" s="1"/>
  <c r="R219" i="1"/>
  <c r="R218" i="1" l="1"/>
  <c r="S219" i="1"/>
  <c r="T219" i="1" s="1"/>
  <c r="S218" i="1" l="1"/>
  <c r="T218" i="1" s="1"/>
  <c r="R217" i="1"/>
  <c r="R216" i="1" l="1"/>
  <c r="S217" i="1"/>
  <c r="T217" i="1" s="1"/>
  <c r="S216" i="1" l="1"/>
  <c r="T216" i="1" s="1"/>
  <c r="R215" i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S201" i="1" l="1"/>
  <c r="T201" i="1" s="1"/>
  <c r="R200" i="1"/>
  <c r="S200" i="1" l="1"/>
  <c r="T200" i="1" s="1"/>
  <c r="R199" i="1"/>
  <c r="S199" i="1" l="1"/>
  <c r="T199" i="1" s="1"/>
  <c r="R198" i="1"/>
  <c r="R197" i="1" l="1"/>
  <c r="S198" i="1"/>
  <c r="T198" i="1" s="1"/>
  <c r="S197" i="1" l="1"/>
  <c r="T197" i="1" s="1"/>
  <c r="R196" i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S190" i="1" l="1"/>
  <c r="T190" i="1" s="1"/>
  <c r="R189" i="1"/>
  <c r="S189" i="1" l="1"/>
  <c r="T189" i="1" s="1"/>
  <c r="R188" i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R179" i="1" l="1"/>
  <c r="S180" i="1"/>
  <c r="T180" i="1" s="1"/>
  <c r="S179" i="1" l="1"/>
  <c r="T179" i="1" s="1"/>
  <c r="R178" i="1"/>
  <c r="S178" i="1" l="1"/>
  <c r="T178" i="1" s="1"/>
  <c r="R177" i="1"/>
  <c r="S177" i="1" l="1"/>
  <c r="T177" i="1" s="1"/>
  <c r="R176" i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S169" i="1" l="1"/>
  <c r="T169" i="1" s="1"/>
  <c r="R168" i="1"/>
  <c r="S168" i="1" l="1"/>
  <c r="T168" i="1" s="1"/>
  <c r="R167" i="1"/>
  <c r="S167" i="1" l="1"/>
  <c r="T167" i="1" s="1"/>
  <c r="R166" i="1"/>
  <c r="R165" i="1" l="1"/>
  <c r="S166" i="1"/>
  <c r="T166" i="1" s="1"/>
  <c r="S165" i="1" l="1"/>
  <c r="T165" i="1" s="1"/>
  <c r="R164" i="1"/>
  <c r="R163" i="1" l="1"/>
  <c r="S164" i="1"/>
  <c r="T164" i="1" s="1"/>
  <c r="R162" i="1" l="1"/>
  <c r="S163" i="1"/>
  <c r="T163" i="1" s="1"/>
  <c r="R161" i="1" l="1"/>
  <c r="S162" i="1"/>
  <c r="T162" i="1" s="1"/>
  <c r="S161" i="1" l="1"/>
  <c r="T161" i="1" s="1"/>
  <c r="R160" i="1"/>
  <c r="R159" i="1" l="1"/>
  <c r="S160" i="1"/>
  <c r="T160" i="1" s="1"/>
  <c r="S159" i="1" l="1"/>
  <c r="T159" i="1" s="1"/>
  <c r="R158" i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R153" i="1" l="1"/>
  <c r="S154" i="1"/>
  <c r="T154" i="1" s="1"/>
  <c r="S153" i="1" l="1"/>
  <c r="T153" i="1" s="1"/>
  <c r="R152" i="1"/>
  <c r="R151" i="1" l="1"/>
  <c r="S152" i="1"/>
  <c r="T152" i="1" s="1"/>
  <c r="R150" i="1" l="1"/>
  <c r="S151" i="1"/>
  <c r="T151" i="1" s="1"/>
  <c r="S150" i="1" l="1"/>
  <c r="T150" i="1" s="1"/>
  <c r="R149" i="1"/>
  <c r="S149" i="1" l="1"/>
  <c r="T149" i="1" s="1"/>
  <c r="R148" i="1"/>
  <c r="S148" i="1" l="1"/>
  <c r="T148" i="1" s="1"/>
  <c r="R147" i="1"/>
  <c r="S147" i="1" l="1"/>
  <c r="T147" i="1" s="1"/>
  <c r="R146" i="1"/>
  <c r="S146" i="1" l="1"/>
  <c r="T146" i="1" s="1"/>
  <c r="R145" i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S134" i="1" l="1"/>
  <c r="T134" i="1" s="1"/>
  <c r="R133" i="1"/>
  <c r="S133" i="1" l="1"/>
  <c r="T133" i="1" s="1"/>
  <c r="R132" i="1"/>
  <c r="S132" i="1" l="1"/>
  <c r="T132" i="1" s="1"/>
  <c r="R131" i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S122" i="1" l="1"/>
  <c r="T122" i="1" s="1"/>
  <c r="R121" i="1"/>
  <c r="S121" i="1" l="1"/>
  <c r="T121" i="1" s="1"/>
  <c r="R120" i="1"/>
  <c r="S120" i="1" l="1"/>
  <c r="T120" i="1" s="1"/>
  <c r="R119" i="1"/>
  <c r="S119" i="1" l="1"/>
  <c r="T119" i="1" s="1"/>
  <c r="R118" i="1"/>
  <c r="S118" i="1" l="1"/>
  <c r="T118" i="1" s="1"/>
  <c r="R117" i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S110" i="1" l="1"/>
  <c r="T110" i="1" s="1"/>
  <c r="R109" i="1"/>
  <c r="S109" i="1" l="1"/>
  <c r="T109" i="1" s="1"/>
  <c r="R108" i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R98" i="1" l="1"/>
  <c r="S99" i="1"/>
  <c r="T99" i="1" s="1"/>
  <c r="S98" i="1" l="1"/>
  <c r="T98" i="1" s="1"/>
  <c r="R97" i="1"/>
  <c r="S97" i="1" l="1"/>
  <c r="T97" i="1" s="1"/>
  <c r="R96" i="1"/>
  <c r="R95" i="1" l="1"/>
  <c r="S96" i="1"/>
  <c r="T96" i="1" s="1"/>
  <c r="S95" i="1" l="1"/>
  <c r="T95" i="1" s="1"/>
  <c r="R94" i="1"/>
  <c r="S94" i="1" l="1"/>
  <c r="T94" i="1" s="1"/>
  <c r="R93" i="1"/>
  <c r="S93" i="1" l="1"/>
  <c r="T93" i="1" s="1"/>
  <c r="R92" i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S80" i="1" l="1"/>
  <c r="T80" i="1" s="1"/>
  <c r="R79" i="1"/>
  <c r="S79" i="1" l="1"/>
  <c r="T79" i="1" s="1"/>
  <c r="R78" i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S56" i="1" l="1"/>
  <c r="T56" i="1" s="1"/>
  <c r="R55" i="1"/>
  <c r="R54" i="1" l="1"/>
  <c r="S55" i="1"/>
  <c r="T55" i="1" s="1"/>
  <c r="S54" i="1" l="1"/>
  <c r="T54" i="1" s="1"/>
  <c r="R53" i="1"/>
  <c r="S53" i="1" l="1"/>
  <c r="T53" i="1" s="1"/>
  <c r="R52" i="1"/>
  <c r="S52" i="1" l="1"/>
  <c r="T52" i="1" s="1"/>
  <c r="R51" i="1"/>
  <c r="R50" i="1" l="1"/>
  <c r="S51" i="1"/>
  <c r="T51" i="1" s="1"/>
  <c r="S50" i="1" l="1"/>
  <c r="T50" i="1" s="1"/>
  <c r="R49" i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<sst xmlns="http://schemas.openxmlformats.org/spreadsheetml/2006/main" count="6817" uniqueCount="34">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</sst>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2.7789999999999999</c:v>
                </c:pt>
                <c:pt idx="1">
                  <c:v>2.87</c:v>
                </c:pt>
                <c:pt idx="2">
                  <c:v>3.0150000000000001</c:v>
                </c:pt>
                <c:pt idx="3">
                  <c:v>2.8180000000000001</c:v>
                </c:pt>
                <c:pt idx="4">
                  <c:v>3.0190000000000001</c:v>
                </c:pt>
                <c:pt idx="5">
                  <c:v>2.8849999999999998</c:v>
                </c:pt>
                <c:pt idx="6">
                  <c:v>3.3079999999999998</c:v>
                </c:pt>
                <c:pt idx="7">
                  <c:v>3.964</c:v>
                </c:pt>
                <c:pt idx="8">
                  <c:v>4.1879999999999997</c:v>
                </c:pt>
                <c:pt idx="9">
                  <c:v>4.5549999999999997</c:v>
                </c:pt>
                <c:pt idx="10">
                  <c:v>4.78</c:v>
                </c:pt>
                <c:pt idx="11">
                  <c:v>5.141</c:v>
                </c:pt>
                <c:pt idx="12">
                  <c:v>5.2759999999999998</c:v>
                </c:pt>
                <c:pt idx="13">
                  <c:v>5.3410000000000002</c:v>
                </c:pt>
                <c:pt idx="14">
                  <c:v>5.0250000000000004</c:v>
                </c:pt>
                <c:pt idx="15">
                  <c:v>4.9039999999999999</c:v>
                </c:pt>
                <c:pt idx="16">
                  <c:v>4.6070000000000002</c:v>
                </c:pt>
                <c:pt idx="17">
                  <c:v>4.3170000000000002</c:v>
                </c:pt>
                <c:pt idx="18">
                  <c:v>4.5030000000000001</c:v>
                </c:pt>
                <c:pt idx="19">
                  <c:v>4.6020000000000003</c:v>
                </c:pt>
                <c:pt idx="20">
                  <c:v>5.0030000000000001</c:v>
                </c:pt>
                <c:pt idx="21">
                  <c:v>5.4029999999999996</c:v>
                </c:pt>
                <c:pt idx="22">
                  <c:v>5.4029999999999996</c:v>
                </c:pt>
                <c:pt idx="23">
                  <c:v>6.0780000000000003</c:v>
                </c:pt>
                <c:pt idx="24">
                  <c:v>6.5179999999999998</c:v>
                </c:pt>
                <c:pt idx="25">
                  <c:v>6.0410000000000004</c:v>
                </c:pt>
                <c:pt idx="26">
                  <c:v>6.2030000000000003</c:v>
                </c:pt>
                <c:pt idx="27">
                  <c:v>5.319</c:v>
                </c:pt>
                <c:pt idx="28">
                  <c:v>5.1139999999999999</c:v>
                </c:pt>
                <c:pt idx="29">
                  <c:v>4.851</c:v>
                </c:pt>
                <c:pt idx="30">
                  <c:v>4.7190000000000003</c:v>
                </c:pt>
                <c:pt idx="31">
                  <c:v>5.2779999999999996</c:v>
                </c:pt>
                <c:pt idx="32">
                  <c:v>5.7389999999999999</c:v>
                </c:pt>
                <c:pt idx="33">
                  <c:v>5.8339999999999996</c:v>
                </c:pt>
                <c:pt idx="34">
                  <c:v>5.1890000000000001</c:v>
                </c:pt>
                <c:pt idx="35">
                  <c:v>5.1920000000000002</c:v>
                </c:pt>
                <c:pt idx="36">
                  <c:v>5.0529999999999999</c:v>
                </c:pt>
                <c:pt idx="37">
                  <c:v>4.6210000000000004</c:v>
                </c:pt>
                <c:pt idx="38">
                  <c:v>4.1210000000000004</c:v>
                </c:pt>
                <c:pt idx="39">
                  <c:v>4.17</c:v>
                </c:pt>
                <c:pt idx="40">
                  <c:v>4.5140000000000002</c:v>
                </c:pt>
                <c:pt idx="41">
                  <c:v>4.2759999999999998</c:v>
                </c:pt>
                <c:pt idx="42">
                  <c:v>3.827</c:v>
                </c:pt>
                <c:pt idx="43">
                  <c:v>3.7010000000000001</c:v>
                </c:pt>
                <c:pt idx="44">
                  <c:v>3.4279999999999999</c:v>
                </c:pt>
                <c:pt idx="45">
                  <c:v>3.33</c:v>
                </c:pt>
                <c:pt idx="46">
                  <c:v>3.8330000000000002</c:v>
                </c:pt>
                <c:pt idx="47">
                  <c:v>3.3860000000000001</c:v>
                </c:pt>
                <c:pt idx="48">
                  <c:v>3.3410000000000002</c:v>
                </c:pt>
                <c:pt idx="49">
                  <c:v>3.6629999999999998</c:v>
                </c:pt>
                <c:pt idx="50">
                  <c:v>4.1779999999999999</c:v>
                </c:pt>
                <c:pt idx="51">
                  <c:v>4.1580000000000004</c:v>
                </c:pt>
                <c:pt idx="52">
                  <c:v>3.71</c:v>
                </c:pt>
                <c:pt idx="53">
                  <c:v>3.62</c:v>
                </c:pt>
                <c:pt idx="54">
                  <c:v>3.7469999999999999</c:v>
                </c:pt>
                <c:pt idx="55">
                  <c:v>4.3630000000000004</c:v>
                </c:pt>
                <c:pt idx="56">
                  <c:v>4.74</c:v>
                </c:pt>
                <c:pt idx="57">
                  <c:v>4.9889999999999999</c:v>
                </c:pt>
                <c:pt idx="58">
                  <c:v>5.0170000000000003</c:v>
                </c:pt>
                <c:pt idx="59">
                  <c:v>4.694</c:v>
                </c:pt>
                <c:pt idx="60">
                  <c:v>4.8780000000000001</c:v>
                </c:pt>
                <c:pt idx="61">
                  <c:v>4.8380000000000001</c:v>
                </c:pt>
                <c:pt idx="62">
                  <c:v>4.9320000000000004</c:v>
                </c:pt>
                <c:pt idx="63">
                  <c:v>5.93</c:v>
                </c:pt>
                <c:pt idx="64">
                  <c:v>4.782</c:v>
                </c:pt>
                <c:pt idx="65">
                  <c:v>5.0599999999999996</c:v>
                </c:pt>
                <c:pt idx="66">
                  <c:v>4.2590000000000003</c:v>
                </c:pt>
                <c:pt idx="67">
                  <c:v>3.7970000000000002</c:v>
                </c:pt>
                <c:pt idx="68">
                  <c:v>3.9409999999999998</c:v>
                </c:pt>
                <c:pt idx="69">
                  <c:v>3.9710000000000001</c:v>
                </c:pt>
                <c:pt idx="70">
                  <c:v>4.1230000000000002</c:v>
                </c:pt>
                <c:pt idx="71">
                  <c:v>4.03</c:v>
                </c:pt>
                <c:pt idx="72">
                  <c:v>3.71</c:v>
                </c:pt>
                <c:pt idx="73">
                  <c:v>3.9350000000000001</c:v>
                </c:pt>
                <c:pt idx="74">
                  <c:v>4.13</c:v>
                </c:pt>
                <c:pt idx="75">
                  <c:v>4.2240000000000002</c:v>
                </c:pt>
                <c:pt idx="76">
                  <c:v>4.0270000000000001</c:v>
                </c:pt>
                <c:pt idx="77">
                  <c:v>4.1630000000000003</c:v>
                </c:pt>
                <c:pt idx="78">
                  <c:v>4.0830000000000002</c:v>
                </c:pt>
                <c:pt idx="79">
                  <c:v>4.5209999999999999</c:v>
                </c:pt>
                <c:pt idx="80">
                  <c:v>4.6369999999999996</c:v>
                </c:pt>
                <c:pt idx="81">
                  <c:v>4.4930000000000003</c:v>
                </c:pt>
                <c:pt idx="82">
                  <c:v>4.1100000000000003</c:v>
                </c:pt>
                <c:pt idx="83">
                  <c:v>4.0730000000000004</c:v>
                </c:pt>
                <c:pt idx="84">
                  <c:v>4.1589999999999998</c:v>
                </c:pt>
                <c:pt idx="85">
                  <c:v>4.3940000000000001</c:v>
                </c:pt>
                <c:pt idx="86">
                  <c:v>4.2880000000000003</c:v>
                </c:pt>
                <c:pt idx="87">
                  <c:v>4.508</c:v>
                </c:pt>
                <c:pt idx="88">
                  <c:v>4.42</c:v>
                </c:pt>
                <c:pt idx="89">
                  <c:v>4.7359999999999998</c:v>
                </c:pt>
                <c:pt idx="90">
                  <c:v>4.673</c:v>
                </c:pt>
                <c:pt idx="91">
                  <c:v>4.7569999999999997</c:v>
                </c:pt>
                <c:pt idx="92">
                  <c:v>4.4480000000000004</c:v>
                </c:pt>
                <c:pt idx="93">
                  <c:v>4.6369999999999996</c:v>
                </c:pt>
                <c:pt idx="94">
                  <c:v>4.798</c:v>
                </c:pt>
                <c:pt idx="95">
                  <c:v>3.5019999999999998</c:v>
                </c:pt>
                <c:pt idx="96">
                  <c:v>3.6920000000000002</c:v>
                </c:pt>
                <c:pt idx="97">
                  <c:v>3.3380000000000001</c:v>
                </c:pt>
                <c:pt idx="98">
                  <c:v>2.8570000000000002</c:v>
                </c:pt>
                <c:pt idx="99">
                  <c:v>2.9380000000000002</c:v>
                </c:pt>
                <c:pt idx="100">
                  <c:v>2.7919999999999998</c:v>
                </c:pt>
                <c:pt idx="101">
                  <c:v>2.7949999999999999</c:v>
                </c:pt>
                <c:pt idx="102">
                  <c:v>2.8690000000000002</c:v>
                </c:pt>
                <c:pt idx="103">
                  <c:v>2.91</c:v>
                </c:pt>
                <c:pt idx="104">
                  <c:v>2.8980000000000001</c:v>
                </c:pt>
                <c:pt idx="105">
                  <c:v>2.891</c:v>
                </c:pt>
                <c:pt idx="106">
                  <c:v>2.96</c:v>
                </c:pt>
                <c:pt idx="107">
                  <c:v>2.6890000000000001</c:v>
                </c:pt>
                <c:pt idx="108">
                  <c:v>2.6949999999999998</c:v>
                </c:pt>
                <c:pt idx="109">
                  <c:v>2.698</c:v>
                </c:pt>
                <c:pt idx="110">
                  <c:v>2.907</c:v>
                </c:pt>
                <c:pt idx="111">
                  <c:v>2.9590000000000001</c:v>
                </c:pt>
                <c:pt idx="112">
                  <c:v>2.8130000000000002</c:v>
                </c:pt>
                <c:pt idx="113">
                  <c:v>2.738</c:v>
                </c:pt>
                <c:pt idx="114">
                  <c:v>2.9359999999999999</c:v>
                </c:pt>
                <c:pt idx="115">
                  <c:v>2.827</c:v>
                </c:pt>
                <c:pt idx="116">
                  <c:v>2.8479999999999999</c:v>
                </c:pt>
                <c:pt idx="117">
                  <c:v>2.5350000000000001</c:v>
                </c:pt>
                <c:pt idx="118">
                  <c:v>2.532</c:v>
                </c:pt>
                <c:pt idx="119">
                  <c:v>2.3359999999999999</c:v>
                </c:pt>
                <c:pt idx="120">
                  <c:v>2.2890000000000001</c:v>
                </c:pt>
                <c:pt idx="121">
                  <c:v>2.226</c:v>
                </c:pt>
                <c:pt idx="122">
                  <c:v>2.3690000000000002</c:v>
                </c:pt>
                <c:pt idx="123">
                  <c:v>2.5430000000000001</c:v>
                </c:pt>
                <c:pt idx="124">
                  <c:v>2.31</c:v>
                </c:pt>
                <c:pt idx="125">
                  <c:v>2.4260000000000002</c:v>
                </c:pt>
                <c:pt idx="126">
                  <c:v>2.7879999999999998</c:v>
                </c:pt>
                <c:pt idx="127">
                  <c:v>2.4500000000000002</c:v>
                </c:pt>
                <c:pt idx="128">
                  <c:v>2.2000000000000002</c:v>
                </c:pt>
                <c:pt idx="129">
                  <c:v>2.6</c:v>
                </c:pt>
                <c:pt idx="130">
                  <c:v>3.0459999999999998</c:v>
                </c:pt>
                <c:pt idx="131">
                  <c:v>2.8849999999999998</c:v>
                </c:pt>
                <c:pt idx="132">
                  <c:v>2.8069999999999999</c:v>
                </c:pt>
                <c:pt idx="133">
                  <c:v>3.1070000000000002</c:v>
                </c:pt>
                <c:pt idx="134">
                  <c:v>3.0129999999999999</c:v>
                </c:pt>
                <c:pt idx="135">
                  <c:v>2.8</c:v>
                </c:pt>
                <c:pt idx="136">
                  <c:v>2.359</c:v>
                </c:pt>
                <c:pt idx="137">
                  <c:v>2.4209999999999998</c:v>
                </c:pt>
                <c:pt idx="138">
                  <c:v>2.2690000000000001</c:v>
                </c:pt>
                <c:pt idx="139">
                  <c:v>2.1440000000000001</c:v>
                </c:pt>
                <c:pt idx="140">
                  <c:v>2.3839999999999999</c:v>
                </c:pt>
                <c:pt idx="141">
                  <c:v>1.9870000000000001</c:v>
                </c:pt>
                <c:pt idx="142">
                  <c:v>1.992</c:v>
                </c:pt>
                <c:pt idx="143">
                  <c:v>2.4860000000000002</c:v>
                </c:pt>
                <c:pt idx="144">
                  <c:v>2.48</c:v>
                </c:pt>
                <c:pt idx="145">
                  <c:v>2.2709999999999999</c:v>
                </c:pt>
                <c:pt idx="146">
                  <c:v>2.206</c:v>
                </c:pt>
                <c:pt idx="147">
                  <c:v>2.2050000000000001</c:v>
                </c:pt>
                <c:pt idx="148">
                  <c:v>2.3069999999999999</c:v>
                </c:pt>
                <c:pt idx="149">
                  <c:v>2.2349999999999999</c:v>
                </c:pt>
                <c:pt idx="150">
                  <c:v>2.0950000000000002</c:v>
                </c:pt>
                <c:pt idx="151">
                  <c:v>2.1030000000000002</c:v>
                </c:pt>
                <c:pt idx="152">
                  <c:v>2.0960000000000001</c:v>
                </c:pt>
                <c:pt idx="153">
                  <c:v>2.1819999999999999</c:v>
                </c:pt>
                <c:pt idx="154">
                  <c:v>2.0489999999999999</c:v>
                </c:pt>
                <c:pt idx="155">
                  <c:v>2.1970000000000001</c:v>
                </c:pt>
                <c:pt idx="156">
                  <c:v>2.0960000000000001</c:v>
                </c:pt>
                <c:pt idx="157">
                  <c:v>2.367</c:v>
                </c:pt>
                <c:pt idx="158">
                  <c:v>2.2789999999999999</c:v>
                </c:pt>
                <c:pt idx="159">
                  <c:v>2.222</c:v>
                </c:pt>
                <c:pt idx="160">
                  <c:v>2.2690000000000001</c:v>
                </c:pt>
                <c:pt idx="161">
                  <c:v>2.1509999999999998</c:v>
                </c:pt>
                <c:pt idx="162">
                  <c:v>1.911</c:v>
                </c:pt>
                <c:pt idx="163">
                  <c:v>1.921</c:v>
                </c:pt>
                <c:pt idx="164">
                  <c:v>2.121</c:v>
                </c:pt>
                <c:pt idx="165">
                  <c:v>2.2200000000000002</c:v>
                </c:pt>
                <c:pt idx="166">
                  <c:v>2.262</c:v>
                </c:pt>
                <c:pt idx="167">
                  <c:v>2.36</c:v>
                </c:pt>
                <c:pt idx="168">
                  <c:v>2.032</c:v>
                </c:pt>
                <c:pt idx="169">
                  <c:v>2.0390000000000001</c:v>
                </c:pt>
                <c:pt idx="170">
                  <c:v>2.0649999999999999</c:v>
                </c:pt>
                <c:pt idx="171">
                  <c:v>1.875</c:v>
                </c:pt>
                <c:pt idx="172">
                  <c:v>1.7549999999999999</c:v>
                </c:pt>
                <c:pt idx="173">
                  <c:v>1.9119999999999999</c:v>
                </c:pt>
                <c:pt idx="174">
                  <c:v>1.923</c:v>
                </c:pt>
                <c:pt idx="175">
                  <c:v>1.7709999999999999</c:v>
                </c:pt>
                <c:pt idx="176">
                  <c:v>1.6240000000000001</c:v>
                </c:pt>
                <c:pt idx="177">
                  <c:v>1.5680000000000001</c:v>
                </c:pt>
                <c:pt idx="178">
                  <c:v>1.6259999999999999</c:v>
                </c:pt>
                <c:pt idx="179">
                  <c:v>1.6579999999999999</c:v>
                </c:pt>
                <c:pt idx="180">
                  <c:v>1.712</c:v>
                </c:pt>
                <c:pt idx="181">
                  <c:v>1.698</c:v>
                </c:pt>
                <c:pt idx="182">
                  <c:v>1.623</c:v>
                </c:pt>
                <c:pt idx="183">
                  <c:v>1.5429999999999999</c:v>
                </c:pt>
                <c:pt idx="184">
                  <c:v>1.569</c:v>
                </c:pt>
                <c:pt idx="185">
                  <c:v>1.53</c:v>
                </c:pt>
                <c:pt idx="186">
                  <c:v>1.524</c:v>
                </c:pt>
                <c:pt idx="187">
                  <c:v>1.548</c:v>
                </c:pt>
                <c:pt idx="188">
                  <c:v>1.603</c:v>
                </c:pt>
                <c:pt idx="189">
                  <c:v>1.5429999999999999</c:v>
                </c:pt>
                <c:pt idx="190">
                  <c:v>1.4490000000000001</c:v>
                </c:pt>
                <c:pt idx="191">
                  <c:v>1.282</c:v>
                </c:pt>
                <c:pt idx="192">
                  <c:v>1.341</c:v>
                </c:pt>
                <c:pt idx="193">
                  <c:v>1.4119999999999999</c:v>
                </c:pt>
                <c:pt idx="194">
                  <c:v>1.425</c:v>
                </c:pt>
                <c:pt idx="195">
                  <c:v>1.4159999999999999</c:v>
                </c:pt>
                <c:pt idx="196">
                  <c:v>1.5049999999999999</c:v>
                </c:pt>
                <c:pt idx="197">
                  <c:v>1.597</c:v>
                </c:pt>
                <c:pt idx="198">
                  <c:v>1.605</c:v>
                </c:pt>
                <c:pt idx="199">
                  <c:v>1.68</c:v>
                </c:pt>
                <c:pt idx="200">
                  <c:v>1.76</c:v>
                </c:pt>
                <c:pt idx="201">
                  <c:v>1.7490000000000001</c:v>
                </c:pt>
                <c:pt idx="202">
                  <c:v>1.768</c:v>
                </c:pt>
                <c:pt idx="203">
                  <c:v>1.756</c:v>
                </c:pt>
                <c:pt idx="204">
                  <c:v>1.94</c:v>
                </c:pt>
                <c:pt idx="205">
                  <c:v>1.9670000000000001</c:v>
                </c:pt>
                <c:pt idx="206">
                  <c:v>1.7969999999999999</c:v>
                </c:pt>
                <c:pt idx="207">
                  <c:v>1.839</c:v>
                </c:pt>
                <c:pt idx="208">
                  <c:v>1.7569999999999999</c:v>
                </c:pt>
                <c:pt idx="209">
                  <c:v>1.661</c:v>
                </c:pt>
                <c:pt idx="210">
                  <c:v>1.6870000000000001</c:v>
                </c:pt>
                <c:pt idx="211">
                  <c:v>1.8149999999999999</c:v>
                </c:pt>
                <c:pt idx="212">
                  <c:v>1.7949999999999999</c:v>
                </c:pt>
                <c:pt idx="213">
                  <c:v>1.617</c:v>
                </c:pt>
                <c:pt idx="214">
                  <c:v>1.587</c:v>
                </c:pt>
                <c:pt idx="215">
                  <c:v>1.4910000000000001</c:v>
                </c:pt>
                <c:pt idx="216">
                  <c:v>1.44</c:v>
                </c:pt>
                <c:pt idx="217">
                  <c:v>1.681</c:v>
                </c:pt>
                <c:pt idx="218">
                  <c:v>1.504</c:v>
                </c:pt>
                <c:pt idx="219">
                  <c:v>1.4039999999999999</c:v>
                </c:pt>
                <c:pt idx="220">
                  <c:v>1.446</c:v>
                </c:pt>
                <c:pt idx="221">
                  <c:v>1.921</c:v>
                </c:pt>
                <c:pt idx="222">
                  <c:v>1.8540000000000001</c:v>
                </c:pt>
                <c:pt idx="223">
                  <c:v>1.925</c:v>
                </c:pt>
                <c:pt idx="224">
                  <c:v>2.0960000000000001</c:v>
                </c:pt>
                <c:pt idx="225">
                  <c:v>2.0750000000000002</c:v>
                </c:pt>
                <c:pt idx="226">
                  <c:v>2.2360000000000002</c:v>
                </c:pt>
                <c:pt idx="227">
                  <c:v>2.2730000000000001</c:v>
                </c:pt>
                <c:pt idx="228">
                  <c:v>2.2050000000000001</c:v>
                </c:pt>
                <c:pt idx="229">
                  <c:v>2.0859999999999999</c:v>
                </c:pt>
                <c:pt idx="230">
                  <c:v>2.1619999999999999</c:v>
                </c:pt>
                <c:pt idx="231">
                  <c:v>2.2650000000000001</c:v>
                </c:pt>
                <c:pt idx="232">
                  <c:v>2.5249999999999999</c:v>
                </c:pt>
                <c:pt idx="233">
                  <c:v>2.3149999999999999</c:v>
                </c:pt>
                <c:pt idx="234">
                  <c:v>2.1509999999999998</c:v>
                </c:pt>
                <c:pt idx="235">
                  <c:v>2.4569999999999999</c:v>
                </c:pt>
                <c:pt idx="236">
                  <c:v>2.5310000000000001</c:v>
                </c:pt>
                <c:pt idx="237">
                  <c:v>2.6859999999999999</c:v>
                </c:pt>
                <c:pt idx="238">
                  <c:v>2.5030000000000001</c:v>
                </c:pt>
                <c:pt idx="239">
                  <c:v>2.3330000000000002</c:v>
                </c:pt>
                <c:pt idx="240">
                  <c:v>2.0499999999999998</c:v>
                </c:pt>
                <c:pt idx="241">
                  <c:v>1.956</c:v>
                </c:pt>
                <c:pt idx="242">
                  <c:v>1.679</c:v>
                </c:pt>
                <c:pt idx="243">
                  <c:v>1.742</c:v>
                </c:pt>
                <c:pt idx="244">
                  <c:v>1.589</c:v>
                </c:pt>
                <c:pt idx="245">
                  <c:v>1.7569999999999999</c:v>
                </c:pt>
                <c:pt idx="246">
                  <c:v>1.8939999999999999</c:v>
                </c:pt>
                <c:pt idx="247">
                  <c:v>1.6120000000000001</c:v>
                </c:pt>
                <c:pt idx="248">
                  <c:v>1.6259999999999999</c:v>
                </c:pt>
                <c:pt idx="249">
                  <c:v>1.32</c:v>
                </c:pt>
                <c:pt idx="250">
                  <c:v>1.6279999999999999</c:v>
                </c:pt>
                <c:pt idx="251">
                  <c:v>1.8460000000000001</c:v>
                </c:pt>
                <c:pt idx="252">
                  <c:v>2.202</c:v>
                </c:pt>
                <c:pt idx="253">
                  <c:v>1.9430000000000001</c:v>
                </c:pt>
                <c:pt idx="254">
                  <c:v>3.4889999999999999</c:v>
                </c:pt>
                <c:pt idx="255">
                  <c:v>3.08</c:v>
                </c:pt>
                <c:pt idx="256">
                  <c:v>3.2719999999999998</c:v>
                </c:pt>
                <c:pt idx="257">
                  <c:v>3.2189999999999999</c:v>
                </c:pt>
                <c:pt idx="258">
                  <c:v>3.677</c:v>
                </c:pt>
                <c:pt idx="259">
                  <c:v>3.3660000000000001</c:v>
                </c:pt>
                <c:pt idx="260">
                  <c:v>3.3260000000000001</c:v>
                </c:pt>
                <c:pt idx="261">
                  <c:v>3.3119999999999998</c:v>
                </c:pt>
                <c:pt idx="262">
                  <c:v>3.089</c:v>
                </c:pt>
                <c:pt idx="263">
                  <c:v>3.4470000000000001</c:v>
                </c:pt>
                <c:pt idx="264">
                  <c:v>3.5659999999999998</c:v>
                </c:pt>
                <c:pt idx="265">
                  <c:v>3.65</c:v>
                </c:pt>
                <c:pt idx="266">
                  <c:v>3.242</c:v>
                </c:pt>
                <c:pt idx="267">
                  <c:v>3.0950000000000002</c:v>
                </c:pt>
                <c:pt idx="268">
                  <c:v>2.8210000000000002</c:v>
                </c:pt>
                <c:pt idx="269">
                  <c:v>3.2450000000000001</c:v>
                </c:pt>
                <c:pt idx="270">
                  <c:v>3.2789999999999999</c:v>
                </c:pt>
                <c:pt idx="271">
                  <c:v>3.403</c:v>
                </c:pt>
                <c:pt idx="272">
                  <c:v>3.3380000000000001</c:v>
                </c:pt>
                <c:pt idx="273">
                  <c:v>3.0219999999999998</c:v>
                </c:pt>
                <c:pt idx="274">
                  <c:v>3.036</c:v>
                </c:pt>
                <c:pt idx="275">
                  <c:v>3.1280000000000001</c:v>
                </c:pt>
                <c:pt idx="276">
                  <c:v>2.7810000000000001</c:v>
                </c:pt>
                <c:pt idx="277">
                  <c:v>2.3820000000000001</c:v>
                </c:pt>
                <c:pt idx="278">
                  <c:v>2.3759999999999999</c:v>
                </c:pt>
                <c:pt idx="279">
                  <c:v>2.641</c:v>
                </c:pt>
                <c:pt idx="280">
                  <c:v>2.7519999999999998</c:v>
                </c:pt>
                <c:pt idx="281">
                  <c:v>2.887</c:v>
                </c:pt>
                <c:pt idx="282">
                  <c:v>3.0270000000000001</c:v>
                </c:pt>
                <c:pt idx="283">
                  <c:v>2.8210000000000002</c:v>
                </c:pt>
                <c:pt idx="284">
                  <c:v>3.2229999999999999</c:v>
                </c:pt>
                <c:pt idx="285">
                  <c:v>3.7839999999999998</c:v>
                </c:pt>
                <c:pt idx="286">
                  <c:v>3.91</c:v>
                </c:pt>
                <c:pt idx="287">
                  <c:v>4.0279999999999996</c:v>
                </c:pt>
                <c:pt idx="288">
                  <c:v>3.1560000000000001</c:v>
                </c:pt>
                <c:pt idx="289">
                  <c:v>3.12</c:v>
                </c:pt>
                <c:pt idx="290">
                  <c:v>3.032</c:v>
                </c:pt>
                <c:pt idx="291">
                  <c:v>3.1110000000000002</c:v>
                </c:pt>
                <c:pt idx="292">
                  <c:v>2.9609999999999999</c:v>
                </c:pt>
                <c:pt idx="293">
                  <c:v>2.98</c:v>
                </c:pt>
                <c:pt idx="294">
                  <c:v>3.0739999999999998</c:v>
                </c:pt>
                <c:pt idx="295">
                  <c:v>2.895</c:v>
                </c:pt>
                <c:pt idx="296">
                  <c:v>3.181</c:v>
                </c:pt>
                <c:pt idx="297">
                  <c:v>3.3159999999999998</c:v>
                </c:pt>
                <c:pt idx="298">
                  <c:v>3.1030000000000002</c:v>
                </c:pt>
                <c:pt idx="299">
                  <c:v>2.9220000000000002</c:v>
                </c:pt>
                <c:pt idx="300">
                  <c:v>3.3479999999999999</c:v>
                </c:pt>
                <c:pt idx="301">
                  <c:v>3.32</c:v>
                </c:pt>
                <c:pt idx="302">
                  <c:v>3.1339999999999999</c:v>
                </c:pt>
                <c:pt idx="303">
                  <c:v>3.286</c:v>
                </c:pt>
                <c:pt idx="304">
                  <c:v>3.5230000000000001</c:v>
                </c:pt>
                <c:pt idx="305">
                  <c:v>3.024</c:v>
                </c:pt>
                <c:pt idx="306">
                  <c:v>3.1230000000000002</c:v>
                </c:pt>
                <c:pt idx="307">
                  <c:v>2.6219999999999999</c:v>
                </c:pt>
                <c:pt idx="308">
                  <c:v>2.3839999999999999</c:v>
                </c:pt>
                <c:pt idx="309">
                  <c:v>2.5190000000000001</c:v>
                </c:pt>
                <c:pt idx="310">
                  <c:v>2.8820000000000001</c:v>
                </c:pt>
                <c:pt idx="311">
                  <c:v>2.3519999999999999</c:v>
                </c:pt>
                <c:pt idx="312">
                  <c:v>2.5939999999999999</c:v>
                </c:pt>
                <c:pt idx="313">
                  <c:v>2.702</c:v>
                </c:pt>
                <c:pt idx="314">
                  <c:v>2.746</c:v>
                </c:pt>
                <c:pt idx="315">
                  <c:v>2.609</c:v>
                </c:pt>
                <c:pt idx="316">
                  <c:v>2.4249999999999998</c:v>
                </c:pt>
                <c:pt idx="317">
                  <c:v>2.5960000000000001</c:v>
                </c:pt>
                <c:pt idx="318">
                  <c:v>2.2240000000000002</c:v>
                </c:pt>
                <c:pt idx="319">
                  <c:v>2.1070000000000002</c:v>
                </c:pt>
                <c:pt idx="320">
                  <c:v>2.3780000000000001</c:v>
                </c:pt>
                <c:pt idx="321">
                  <c:v>2.0590000000000002</c:v>
                </c:pt>
                <c:pt idx="322">
                  <c:v>2.173</c:v>
                </c:pt>
                <c:pt idx="323">
                  <c:v>2.2120000000000002</c:v>
                </c:pt>
                <c:pt idx="324">
                  <c:v>2.4060000000000001</c:v>
                </c:pt>
                <c:pt idx="325">
                  <c:v>2.395</c:v>
                </c:pt>
                <c:pt idx="326">
                  <c:v>2.2450000000000001</c:v>
                </c:pt>
                <c:pt idx="327">
                  <c:v>2.0470000000000002</c:v>
                </c:pt>
                <c:pt idx="328">
                  <c:v>2.052</c:v>
                </c:pt>
                <c:pt idx="329">
                  <c:v>2.0859999999999999</c:v>
                </c:pt>
                <c:pt idx="330">
                  <c:v>2.2789999999999999</c:v>
                </c:pt>
                <c:pt idx="331">
                  <c:v>2.508</c:v>
                </c:pt>
                <c:pt idx="332">
                  <c:v>2.0009999999999999</c:v>
                </c:pt>
                <c:pt idx="333">
                  <c:v>1.7689999999999999</c:v>
                </c:pt>
                <c:pt idx="334">
                  <c:v>1.964</c:v>
                </c:pt>
                <c:pt idx="335">
                  <c:v>1.921</c:v>
                </c:pt>
                <c:pt idx="336">
                  <c:v>2.0070000000000001</c:v>
                </c:pt>
                <c:pt idx="337">
                  <c:v>2.1520000000000001</c:v>
                </c:pt>
                <c:pt idx="338">
                  <c:v>2.1379999999999999</c:v>
                </c:pt>
                <c:pt idx="339">
                  <c:v>2.58</c:v>
                </c:pt>
                <c:pt idx="340">
                  <c:v>2.9049999999999998</c:v>
                </c:pt>
                <c:pt idx="341">
                  <c:v>2.8879999999999999</c:v>
                </c:pt>
                <c:pt idx="342">
                  <c:v>2.63</c:v>
                </c:pt>
                <c:pt idx="343">
                  <c:v>2.8109999999999999</c:v>
                </c:pt>
                <c:pt idx="344">
                  <c:v>2.786</c:v>
                </c:pt>
                <c:pt idx="345">
                  <c:v>2.6739999999999999</c:v>
                </c:pt>
                <c:pt idx="346">
                  <c:v>2.7170000000000001</c:v>
                </c:pt>
                <c:pt idx="347">
                  <c:v>2.9550000000000001</c:v>
                </c:pt>
                <c:pt idx="348">
                  <c:v>3.2890000000000001</c:v>
                </c:pt>
                <c:pt idx="349">
                  <c:v>3.387</c:v>
                </c:pt>
                <c:pt idx="350">
                  <c:v>3.5619999999999998</c:v>
                </c:pt>
                <c:pt idx="351">
                  <c:v>3.0870000000000002</c:v>
                </c:pt>
                <c:pt idx="352">
                  <c:v>3.1749999999999998</c:v>
                </c:pt>
                <c:pt idx="353">
                  <c:v>3.06</c:v>
                </c:pt>
                <c:pt idx="354">
                  <c:v>2.9809999999999999</c:v>
                </c:pt>
                <c:pt idx="355">
                  <c:v>3.15</c:v>
                </c:pt>
                <c:pt idx="356">
                  <c:v>3.2629999999999999</c:v>
                </c:pt>
                <c:pt idx="357">
                  <c:v>3.0259999999999998</c:v>
                </c:pt>
                <c:pt idx="358">
                  <c:v>2.637</c:v>
                </c:pt>
                <c:pt idx="359">
                  <c:v>2.5</c:v>
                </c:pt>
                <c:pt idx="360">
                  <c:v>2.54</c:v>
                </c:pt>
                <c:pt idx="361">
                  <c:v>2.5110000000000001</c:v>
                </c:pt>
                <c:pt idx="362">
                  <c:v>2.548</c:v>
                </c:pt>
                <c:pt idx="363">
                  <c:v>2.0459999999999998</c:v>
                </c:pt>
                <c:pt idx="364">
                  <c:v>2.08</c:v>
                </c:pt>
                <c:pt idx="365">
                  <c:v>1.8140000000000001</c:v>
                </c:pt>
                <c:pt idx="366">
                  <c:v>2.1459999999999999</c:v>
                </c:pt>
                <c:pt idx="367">
                  <c:v>2.0049999999999999</c:v>
                </c:pt>
                <c:pt idx="368">
                  <c:v>2.2599999999999998</c:v>
                </c:pt>
                <c:pt idx="369">
                  <c:v>2.14</c:v>
                </c:pt>
                <c:pt idx="370">
                  <c:v>1.9630000000000001</c:v>
                </c:pt>
                <c:pt idx="371">
                  <c:v>1.681</c:v>
                </c:pt>
                <c:pt idx="372">
                  <c:v>1.629</c:v>
                </c:pt>
                <c:pt idx="373">
                  <c:v>1.331</c:v>
                </c:pt>
                <c:pt idx="374">
                  <c:v>1.605</c:v>
                </c:pt>
                <c:pt idx="375">
                  <c:v>1.6910000000000001</c:v>
                </c:pt>
                <c:pt idx="376">
                  <c:v>1.1080000000000001</c:v>
                </c:pt>
                <c:pt idx="377">
                  <c:v>1.149</c:v>
                </c:pt>
                <c:pt idx="378">
                  <c:v>0.79600000000000004</c:v>
                </c:pt>
                <c:pt idx="379">
                  <c:v>0.68700000000000006</c:v>
                </c:pt>
                <c:pt idx="380">
                  <c:v>0.624</c:v>
                </c:pt>
                <c:pt idx="381">
                  <c:v>0.622</c:v>
                </c:pt>
                <c:pt idx="382">
                  <c:v>0.754</c:v>
                </c:pt>
                <c:pt idx="383">
                  <c:v>0.76700000000000002</c:v>
                </c:pt>
                <c:pt idx="384">
                  <c:v>0.69399999999999995</c:v>
                </c:pt>
                <c:pt idx="385">
                  <c:v>0.71599999999999997</c:v>
                </c:pt>
                <c:pt idx="386">
                  <c:v>0.73099999999999998</c:v>
                </c:pt>
                <c:pt idx="387">
                  <c:v>0.68799999999999994</c:v>
                </c:pt>
                <c:pt idx="388">
                  <c:v>0.67600000000000005</c:v>
                </c:pt>
                <c:pt idx="389">
                  <c:v>0.67700000000000005</c:v>
                </c:pt>
                <c:pt idx="390">
                  <c:v>0.61299999999999999</c:v>
                </c:pt>
                <c:pt idx="391">
                  <c:v>0.62</c:v>
                </c:pt>
                <c:pt idx="392">
                  <c:v>0.627</c:v>
                </c:pt>
                <c:pt idx="393">
                  <c:v>0.58199999999999996</c:v>
                </c:pt>
                <c:pt idx="394">
                  <c:v>0.47399999999999998</c:v>
                </c:pt>
                <c:pt idx="395">
                  <c:v>0.498</c:v>
                </c:pt>
                <c:pt idx="396">
                  <c:v>0.47199999999999998</c:v>
                </c:pt>
                <c:pt idx="397">
                  <c:v>0.47</c:v>
                </c:pt>
                <c:pt idx="398">
                  <c:v>0.48899999999999999</c:v>
                </c:pt>
                <c:pt idx="399">
                  <c:v>0.47899999999999998</c:v>
                </c:pt>
                <c:pt idx="400">
                  <c:v>0.42</c:v>
                </c:pt>
                <c:pt idx="401">
                  <c:v>0.55800000000000005</c:v>
                </c:pt>
                <c:pt idx="402">
                  <c:v>0.55800000000000005</c:v>
                </c:pt>
                <c:pt idx="403">
                  <c:v>0.61599999999999999</c:v>
                </c:pt>
                <c:pt idx="404">
                  <c:v>0.66400000000000003</c:v>
                </c:pt>
                <c:pt idx="405">
                  <c:v>0.64500000000000002</c:v>
                </c:pt>
                <c:pt idx="406">
                  <c:v>0.65500000000000003</c:v>
                </c:pt>
                <c:pt idx="407">
                  <c:v>0.65100000000000002</c:v>
                </c:pt>
                <c:pt idx="408">
                  <c:v>0.628</c:v>
                </c:pt>
                <c:pt idx="409">
                  <c:v>0.63800000000000001</c:v>
                </c:pt>
                <c:pt idx="410">
                  <c:v>0.61699999999999999</c:v>
                </c:pt>
                <c:pt idx="411">
                  <c:v>0.59099999999999997</c:v>
                </c:pt>
                <c:pt idx="412">
                  <c:v>0.55700000000000005</c:v>
                </c:pt>
                <c:pt idx="413">
                  <c:v>0.59899999999999998</c:v>
                </c:pt>
                <c:pt idx="414">
                  <c:v>0.63300000000000001</c:v>
                </c:pt>
                <c:pt idx="415">
                  <c:v>0.60899999999999999</c:v>
                </c:pt>
                <c:pt idx="416">
                  <c:v>0.70799999999999996</c:v>
                </c:pt>
                <c:pt idx="417">
                  <c:v>0.70199999999999996</c:v>
                </c:pt>
                <c:pt idx="418">
                  <c:v>0.74099999999999999</c:v>
                </c:pt>
                <c:pt idx="419">
                  <c:v>0.68500000000000005</c:v>
                </c:pt>
                <c:pt idx="420">
                  <c:v>0.82899999999999996</c:v>
                </c:pt>
                <c:pt idx="421">
                  <c:v>0.80100000000000005</c:v>
                </c:pt>
                <c:pt idx="422">
                  <c:v>0.67900000000000005</c:v>
                </c:pt>
                <c:pt idx="423">
                  <c:v>0.67500000000000004</c:v>
                </c:pt>
                <c:pt idx="424">
                  <c:v>0.65600000000000003</c:v>
                </c:pt>
                <c:pt idx="425">
                  <c:v>0.60799999999999998</c:v>
                </c:pt>
                <c:pt idx="426">
                  <c:v>0.64100000000000001</c:v>
                </c:pt>
                <c:pt idx="427">
                  <c:v>0.59399999999999997</c:v>
                </c:pt>
                <c:pt idx="428">
                  <c:v>0.64100000000000001</c:v>
                </c:pt>
                <c:pt idx="429">
                  <c:v>0.68600000000000005</c:v>
                </c:pt>
                <c:pt idx="430">
                  <c:v>0.74199999999999999</c:v>
                </c:pt>
                <c:pt idx="431">
                  <c:v>0.746</c:v>
                </c:pt>
                <c:pt idx="432">
                  <c:v>0.85299999999999998</c:v>
                </c:pt>
                <c:pt idx="433">
                  <c:v>0.85699999999999998</c:v>
                </c:pt>
                <c:pt idx="434">
                  <c:v>0.80100000000000005</c:v>
                </c:pt>
                <c:pt idx="435">
                  <c:v>0.75900000000000001</c:v>
                </c:pt>
                <c:pt idx="436">
                  <c:v>0.876</c:v>
                </c:pt>
                <c:pt idx="437">
                  <c:v>0.82499999999999996</c:v>
                </c:pt>
                <c:pt idx="438">
                  <c:v>0.78</c:v>
                </c:pt>
                <c:pt idx="439">
                  <c:v>0.71</c:v>
                </c:pt>
                <c:pt idx="440">
                  <c:v>0.68400000000000005</c:v>
                </c:pt>
                <c:pt idx="441">
                  <c:v>0.56299999999999994</c:v>
                </c:pt>
                <c:pt idx="442">
                  <c:v>0.54400000000000004</c:v>
                </c:pt>
                <c:pt idx="443">
                  <c:v>0.56599999999999995</c:v>
                </c:pt>
                <c:pt idx="444">
                  <c:v>0.45400000000000001</c:v>
                </c:pt>
                <c:pt idx="445">
                  <c:v>0.47099999999999997</c:v>
                </c:pt>
                <c:pt idx="446">
                  <c:v>0.43</c:v>
                </c:pt>
                <c:pt idx="447">
                  <c:v>0.438</c:v>
                </c:pt>
                <c:pt idx="448">
                  <c:v>0.36</c:v>
                </c:pt>
                <c:pt idx="449">
                  <c:v>0.34200000000000003</c:v>
                </c:pt>
                <c:pt idx="450">
                  <c:v>0.35599999999999998</c:v>
                </c:pt>
                <c:pt idx="451">
                  <c:v>0.36099999999999999</c:v>
                </c:pt>
                <c:pt idx="452">
                  <c:v>0.40100000000000002</c:v>
                </c:pt>
                <c:pt idx="453">
                  <c:v>0.41799999999999998</c:v>
                </c:pt>
                <c:pt idx="454">
                  <c:v>0.39300000000000002</c:v>
                </c:pt>
                <c:pt idx="455">
                  <c:v>0.44600000000000001</c:v>
                </c:pt>
                <c:pt idx="456">
                  <c:v>0.49099999999999999</c:v>
                </c:pt>
                <c:pt idx="457">
                  <c:v>0.65700000000000003</c:v>
                </c:pt>
                <c:pt idx="458">
                  <c:v>0.40500000000000003</c:v>
                </c:pt>
                <c:pt idx="459">
                  <c:v>0.33700000000000002</c:v>
                </c:pt>
                <c:pt idx="460">
                  <c:v>0.372</c:v>
                </c:pt>
                <c:pt idx="461">
                  <c:v>0.379</c:v>
                </c:pt>
                <c:pt idx="462">
                  <c:v>0.40899999999999997</c:v>
                </c:pt>
                <c:pt idx="463">
                  <c:v>0.38400000000000001</c:v>
                </c:pt>
                <c:pt idx="464">
                  <c:v>0.35899999999999999</c:v>
                </c:pt>
                <c:pt idx="465">
                  <c:v>0.41299999999999998</c:v>
                </c:pt>
                <c:pt idx="466">
                  <c:v>0.45500000000000002</c:v>
                </c:pt>
                <c:pt idx="467">
                  <c:v>0.436</c:v>
                </c:pt>
                <c:pt idx="468">
                  <c:v>0.43099999999999999</c:v>
                </c:pt>
                <c:pt idx="469">
                  <c:v>0.499</c:v>
                </c:pt>
                <c:pt idx="470">
                  <c:v>0.503</c:v>
                </c:pt>
                <c:pt idx="471">
                  <c:v>0.54500000000000004</c:v>
                </c:pt>
                <c:pt idx="472">
                  <c:v>0.57099999999999995</c:v>
                </c:pt>
                <c:pt idx="473">
                  <c:v>0.55900000000000005</c:v>
                </c:pt>
                <c:pt idx="474">
                  <c:v>0.55800000000000005</c:v>
                </c:pt>
                <c:pt idx="475">
                  <c:v>0.623</c:v>
                </c:pt>
                <c:pt idx="476">
                  <c:v>0.56100000000000005</c:v>
                </c:pt>
                <c:pt idx="477">
                  <c:v>0.52600000000000002</c:v>
                </c:pt>
                <c:pt idx="478">
                  <c:v>0.50700000000000001</c:v>
                </c:pt>
                <c:pt idx="479">
                  <c:v>0.63200000000000001</c:v>
                </c:pt>
                <c:pt idx="480">
                  <c:v>0.69699999999999995</c:v>
                </c:pt>
                <c:pt idx="481">
                  <c:v>0.76800000000000002</c:v>
                </c:pt>
                <c:pt idx="482">
                  <c:v>0.76500000000000001</c:v>
                </c:pt>
                <c:pt idx="483">
                  <c:v>0.86399999999999999</c:v>
                </c:pt>
                <c:pt idx="484">
                  <c:v>0.94899999999999995</c:v>
                </c:pt>
                <c:pt idx="485">
                  <c:v>0.95099999999999996</c:v>
                </c:pt>
                <c:pt idx="486">
                  <c:v>1.002</c:v>
                </c:pt>
                <c:pt idx="487">
                  <c:v>1.04</c:v>
                </c:pt>
                <c:pt idx="488">
                  <c:v>1.1140000000000001</c:v>
                </c:pt>
                <c:pt idx="489">
                  <c:v>0.97499999999999998</c:v>
                </c:pt>
                <c:pt idx="490">
                  <c:v>0.99299999999999999</c:v>
                </c:pt>
                <c:pt idx="491">
                  <c:v>0.88800000000000001</c:v>
                </c:pt>
                <c:pt idx="492">
                  <c:v>1.077</c:v>
                </c:pt>
                <c:pt idx="493">
                  <c:v>1.0880000000000001</c:v>
                </c:pt>
                <c:pt idx="494">
                  <c:v>1.361</c:v>
                </c:pt>
                <c:pt idx="495">
                  <c:v>1.4830000000000001</c:v>
                </c:pt>
                <c:pt idx="496">
                  <c:v>1.258</c:v>
                </c:pt>
                <c:pt idx="497">
                  <c:v>1.333</c:v>
                </c:pt>
                <c:pt idx="498">
                  <c:v>1.2809999999999999</c:v>
                </c:pt>
                <c:pt idx="499">
                  <c:v>1.415</c:v>
                </c:pt>
                <c:pt idx="500">
                  <c:v>1.843</c:v>
                </c:pt>
                <c:pt idx="501">
                  <c:v>1.9079999999999999</c:v>
                </c:pt>
                <c:pt idx="502">
                  <c:v>2.1030000000000002</c:v>
                </c:pt>
                <c:pt idx="503">
                  <c:v>1.901</c:v>
                </c:pt>
                <c:pt idx="504">
                  <c:v>1.96</c:v>
                </c:pt>
                <c:pt idx="505">
                  <c:v>1.9730000000000001</c:v>
                </c:pt>
                <c:pt idx="506">
                  <c:v>1.839</c:v>
                </c:pt>
                <c:pt idx="507">
                  <c:v>2.097</c:v>
                </c:pt>
                <c:pt idx="508">
                  <c:v>2.16</c:v>
                </c:pt>
                <c:pt idx="509">
                  <c:v>1.901</c:v>
                </c:pt>
                <c:pt idx="510">
                  <c:v>2.85</c:v>
                </c:pt>
                <c:pt idx="511">
                  <c:v>2.9129999999999998</c:v>
                </c:pt>
                <c:pt idx="512">
                  <c:v>4.3259999999999996</c:v>
                </c:pt>
                <c:pt idx="513">
                  <c:v>5.335</c:v>
                </c:pt>
                <c:pt idx="514">
                  <c:v>4.3369999999999997</c:v>
                </c:pt>
                <c:pt idx="515">
                  <c:v>3.5539999999999998</c:v>
                </c:pt>
                <c:pt idx="516">
                  <c:v>3.109</c:v>
                </c:pt>
                <c:pt idx="517">
                  <c:v>3.5270000000000001</c:v>
                </c:pt>
                <c:pt idx="518">
                  <c:v>3.3439999999999999</c:v>
                </c:pt>
                <c:pt idx="519">
                  <c:v>3.556</c:v>
                </c:pt>
                <c:pt idx="520">
                  <c:v>2.8570000000000002</c:v>
                </c:pt>
                <c:pt idx="521">
                  <c:v>2.8969999999999998</c:v>
                </c:pt>
                <c:pt idx="522">
                  <c:v>2.6949999999999998</c:v>
                </c:pt>
                <c:pt idx="523">
                  <c:v>3.0569999999999999</c:v>
                </c:pt>
                <c:pt idx="524">
                  <c:v>3.23</c:v>
                </c:pt>
                <c:pt idx="525">
                  <c:v>3.89</c:v>
                </c:pt>
                <c:pt idx="526">
                  <c:v>3.919</c:v>
                </c:pt>
                <c:pt idx="527">
                  <c:v>3.6</c:v>
                </c:pt>
                <c:pt idx="528">
                  <c:v>4.38</c:v>
                </c:pt>
                <c:pt idx="529">
                  <c:v>5.782</c:v>
                </c:pt>
                <c:pt idx="530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A-4703-9A67-BE55EE61820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4.3792459686974956</c:v>
                </c:pt>
                <c:pt idx="1">
                  <c:v>4.3971362116090607</c:v>
                </c:pt>
                <c:pt idx="2">
                  <c:v>4.6838951541769607</c:v>
                </c:pt>
                <c:pt idx="3">
                  <c:v>4.525723394838832</c:v>
                </c:pt>
                <c:pt idx="4">
                  <c:v>4.3770234860242416</c:v>
                </c:pt>
                <c:pt idx="5">
                  <c:v>4.3299458005057234</c:v>
                </c:pt>
                <c:pt idx="6">
                  <c:v>4.4571087312671507</c:v>
                </c:pt>
                <c:pt idx="7">
                  <c:v>4.7473322733803576</c:v>
                </c:pt>
                <c:pt idx="8">
                  <c:v>4.939344994820873</c:v>
                </c:pt>
                <c:pt idx="9">
                  <c:v>5.1408746674551438</c:v>
                </c:pt>
                <c:pt idx="10">
                  <c:v>5.1978447542346542</c:v>
                </c:pt>
                <c:pt idx="11">
                  <c:v>5.2850561601370929</c:v>
                </c:pt>
                <c:pt idx="12">
                  <c:v>5.3559928716532221</c:v>
                </c:pt>
                <c:pt idx="13">
                  <c:v>5.4960242263934811</c:v>
                </c:pt>
                <c:pt idx="14">
                  <c:v>5.2542832645763919</c:v>
                </c:pt>
                <c:pt idx="15">
                  <c:v>5.185239670400466</c:v>
                </c:pt>
                <c:pt idx="16">
                  <c:v>5.0707887912466196</c:v>
                </c:pt>
                <c:pt idx="17">
                  <c:v>4.9227820144609051</c:v>
                </c:pt>
                <c:pt idx="18">
                  <c:v>4.9186053734032429</c:v>
                </c:pt>
                <c:pt idx="19">
                  <c:v>5.1598548810628184</c:v>
                </c:pt>
                <c:pt idx="20">
                  <c:v>5.3010977358393552</c:v>
                </c:pt>
                <c:pt idx="21">
                  <c:v>5.3815967224107828</c:v>
                </c:pt>
                <c:pt idx="22">
                  <c:v>5.2323509472911249</c:v>
                </c:pt>
                <c:pt idx="23">
                  <c:v>5.3858119378922362</c:v>
                </c:pt>
                <c:pt idx="24">
                  <c:v>5.7138503499587596</c:v>
                </c:pt>
                <c:pt idx="25">
                  <c:v>5.4810862503134716</c:v>
                </c:pt>
                <c:pt idx="26">
                  <c:v>5.6209379941164732</c:v>
                </c:pt>
                <c:pt idx="27">
                  <c:v>5.3485226166286681</c:v>
                </c:pt>
                <c:pt idx="28">
                  <c:v>5.3849019474728967</c:v>
                </c:pt>
                <c:pt idx="29">
                  <c:v>5.2685712840984964</c:v>
                </c:pt>
                <c:pt idx="30">
                  <c:v>5.3981469413947192</c:v>
                </c:pt>
                <c:pt idx="31">
                  <c:v>5.6261630928737878</c:v>
                </c:pt>
                <c:pt idx="32">
                  <c:v>5.7716316783439368</c:v>
                </c:pt>
                <c:pt idx="33">
                  <c:v>5.8901280844518036</c:v>
                </c:pt>
                <c:pt idx="34">
                  <c:v>5.7129304948622233</c:v>
                </c:pt>
                <c:pt idx="35">
                  <c:v>5.8147089323444563</c:v>
                </c:pt>
                <c:pt idx="36">
                  <c:v>5.7919367445249073</c:v>
                </c:pt>
                <c:pt idx="37">
                  <c:v>5.6893538803907786</c:v>
                </c:pt>
                <c:pt idx="38">
                  <c:v>5.5302701535308119</c:v>
                </c:pt>
                <c:pt idx="39">
                  <c:v>5.4548617121587171</c:v>
                </c:pt>
                <c:pt idx="40">
                  <c:v>5.5564897180067652</c:v>
                </c:pt>
                <c:pt idx="41">
                  <c:v>5.3528600943052149</c:v>
                </c:pt>
                <c:pt idx="42">
                  <c:v>5.2031217713102471</c:v>
                </c:pt>
                <c:pt idx="43">
                  <c:v>5.2662779646503486</c:v>
                </c:pt>
                <c:pt idx="44">
                  <c:v>5.1622300175048323</c:v>
                </c:pt>
                <c:pt idx="45">
                  <c:v>5.1001327337620941</c:v>
                </c:pt>
                <c:pt idx="46">
                  <c:v>5.2201398295260875</c:v>
                </c:pt>
                <c:pt idx="47">
                  <c:v>5.159057076112294</c:v>
                </c:pt>
                <c:pt idx="48">
                  <c:v>5.1549168084297543</c:v>
                </c:pt>
                <c:pt idx="49">
                  <c:v>5.2684542434405541</c:v>
                </c:pt>
                <c:pt idx="50">
                  <c:v>5.3898022673155541</c:v>
                </c:pt>
                <c:pt idx="51">
                  <c:v>5.2690932186369821</c:v>
                </c:pt>
                <c:pt idx="52">
                  <c:v>5.0995805399001393</c:v>
                </c:pt>
                <c:pt idx="53">
                  <c:v>4.9521964338691316</c:v>
                </c:pt>
                <c:pt idx="54">
                  <c:v>4.9718548945956815</c:v>
                </c:pt>
                <c:pt idx="55">
                  <c:v>4.8917947101523893</c:v>
                </c:pt>
                <c:pt idx="56">
                  <c:v>4.9103991000310296</c:v>
                </c:pt>
                <c:pt idx="57">
                  <c:v>4.9653062754786212</c:v>
                </c:pt>
                <c:pt idx="58">
                  <c:v>5.0685052314506391</c:v>
                </c:pt>
                <c:pt idx="59">
                  <c:v>4.9371048024651314</c:v>
                </c:pt>
                <c:pt idx="60">
                  <c:v>5.0210555749421957</c:v>
                </c:pt>
                <c:pt idx="61">
                  <c:v>4.8339048260591877</c:v>
                </c:pt>
                <c:pt idx="62">
                  <c:v>4.9489209587860721</c:v>
                </c:pt>
                <c:pt idx="63">
                  <c:v>5.2582872217600976</c:v>
                </c:pt>
                <c:pt idx="64">
                  <c:v>5.2681458843360627</c:v>
                </c:pt>
                <c:pt idx="65">
                  <c:v>5.3646129411945989</c:v>
                </c:pt>
                <c:pt idx="66">
                  <c:v>4.9770099466566053</c:v>
                </c:pt>
                <c:pt idx="67">
                  <c:v>4.8502455793402408</c:v>
                </c:pt>
                <c:pt idx="68">
                  <c:v>4.8933019126075674</c:v>
                </c:pt>
                <c:pt idx="69">
                  <c:v>4.9345544862531012</c:v>
                </c:pt>
                <c:pt idx="70">
                  <c:v>5.0320198230161344</c:v>
                </c:pt>
                <c:pt idx="71">
                  <c:v>4.882947690471207</c:v>
                </c:pt>
                <c:pt idx="72">
                  <c:v>4.7311194000945838</c:v>
                </c:pt>
                <c:pt idx="73">
                  <c:v>4.6772994013872671</c:v>
                </c:pt>
                <c:pt idx="74">
                  <c:v>4.7288576676564968</c:v>
                </c:pt>
                <c:pt idx="75">
                  <c:v>4.761670882674041</c:v>
                </c:pt>
                <c:pt idx="76">
                  <c:v>4.7488714856910379</c:v>
                </c:pt>
                <c:pt idx="77">
                  <c:v>4.7835402846570574</c:v>
                </c:pt>
                <c:pt idx="78">
                  <c:v>4.8342063990372655</c:v>
                </c:pt>
                <c:pt idx="79">
                  <c:v>4.8571528625198743</c:v>
                </c:pt>
                <c:pt idx="80">
                  <c:v>4.9975645349639306</c:v>
                </c:pt>
                <c:pt idx="81">
                  <c:v>4.8700900404321246</c:v>
                </c:pt>
                <c:pt idx="82">
                  <c:v>4.8222457978530198</c:v>
                </c:pt>
                <c:pt idx="83">
                  <c:v>4.8065364978907557</c:v>
                </c:pt>
                <c:pt idx="84">
                  <c:v>4.8370157486867749</c:v>
                </c:pt>
                <c:pt idx="85">
                  <c:v>4.9010473209840724</c:v>
                </c:pt>
                <c:pt idx="86">
                  <c:v>4.8488271160861132</c:v>
                </c:pt>
                <c:pt idx="87">
                  <c:v>4.9310875446640949</c:v>
                </c:pt>
                <c:pt idx="88">
                  <c:v>4.8069121238509069</c:v>
                </c:pt>
                <c:pt idx="89">
                  <c:v>4.8762333438645129</c:v>
                </c:pt>
                <c:pt idx="90">
                  <c:v>5.03263112565699</c:v>
                </c:pt>
                <c:pt idx="91">
                  <c:v>5.1357574888899569</c:v>
                </c:pt>
                <c:pt idx="92">
                  <c:v>5.3624538242298065</c:v>
                </c:pt>
                <c:pt idx="93">
                  <c:v>5.2850023018723533</c:v>
                </c:pt>
                <c:pt idx="94">
                  <c:v>5.6993762983135028</c:v>
                </c:pt>
                <c:pt idx="95">
                  <c:v>5.1717358521749643</c:v>
                </c:pt>
                <c:pt idx="96">
                  <c:v>5.3871155674321569</c:v>
                </c:pt>
                <c:pt idx="97">
                  <c:v>5.2051912790138095</c:v>
                </c:pt>
                <c:pt idx="98">
                  <c:v>5.0176463090369756</c:v>
                </c:pt>
                <c:pt idx="99">
                  <c:v>5.1103145512950396</c:v>
                </c:pt>
                <c:pt idx="100">
                  <c:v>5.0481517972061507</c:v>
                </c:pt>
                <c:pt idx="101">
                  <c:v>5.0255621509169943</c:v>
                </c:pt>
                <c:pt idx="102">
                  <c:v>5.0282847599235305</c:v>
                </c:pt>
                <c:pt idx="103">
                  <c:v>4.9873103852344114</c:v>
                </c:pt>
                <c:pt idx="104">
                  <c:v>5.0584362275509935</c:v>
                </c:pt>
                <c:pt idx="105">
                  <c:v>5.0766661539933891</c:v>
                </c:pt>
                <c:pt idx="106">
                  <c:v>5.1988943561305128</c:v>
                </c:pt>
                <c:pt idx="107">
                  <c:v>5.0558305944864461</c:v>
                </c:pt>
                <c:pt idx="108">
                  <c:v>4.9885008229409902</c:v>
                </c:pt>
                <c:pt idx="109">
                  <c:v>5.0132839033409908</c:v>
                </c:pt>
                <c:pt idx="110">
                  <c:v>5.0957094793967856</c:v>
                </c:pt>
                <c:pt idx="111">
                  <c:v>5.2093841219933514</c:v>
                </c:pt>
                <c:pt idx="112">
                  <c:v>5.0979378905540988</c:v>
                </c:pt>
                <c:pt idx="113">
                  <c:v>5.0545547973700984</c:v>
                </c:pt>
                <c:pt idx="114">
                  <c:v>5.0944442094455695</c:v>
                </c:pt>
                <c:pt idx="115">
                  <c:v>5.0354030937221657</c:v>
                </c:pt>
                <c:pt idx="116">
                  <c:v>4.9304814853130754</c:v>
                </c:pt>
                <c:pt idx="117">
                  <c:v>4.7943782565288426</c:v>
                </c:pt>
                <c:pt idx="118">
                  <c:v>4.8236814069842886</c:v>
                </c:pt>
                <c:pt idx="119">
                  <c:v>4.7007252616985733</c:v>
                </c:pt>
                <c:pt idx="120">
                  <c:v>4.6880165325643466</c:v>
                </c:pt>
                <c:pt idx="121">
                  <c:v>4.7091861210828645</c:v>
                </c:pt>
                <c:pt idx="122">
                  <c:v>4.9071505962818689</c:v>
                </c:pt>
                <c:pt idx="123">
                  <c:v>5.2186056786109836</c:v>
                </c:pt>
                <c:pt idx="124">
                  <c:v>5.0109414846684341</c:v>
                </c:pt>
                <c:pt idx="125">
                  <c:v>5.0816667618435494</c:v>
                </c:pt>
                <c:pt idx="126">
                  <c:v>5.1907908072073523</c:v>
                </c:pt>
                <c:pt idx="127">
                  <c:v>5.0002656619174966</c:v>
                </c:pt>
                <c:pt idx="128">
                  <c:v>4.8977983511254966</c:v>
                </c:pt>
                <c:pt idx="129">
                  <c:v>5.1145498169221693</c:v>
                </c:pt>
                <c:pt idx="130">
                  <c:v>5.2619806133844333</c:v>
                </c:pt>
                <c:pt idx="131">
                  <c:v>5.0953109076701475</c:v>
                </c:pt>
                <c:pt idx="132">
                  <c:v>5.016259651089503</c:v>
                </c:pt>
                <c:pt idx="133">
                  <c:v>5.3163328918124471</c:v>
                </c:pt>
                <c:pt idx="134">
                  <c:v>5.4463925846069987</c:v>
                </c:pt>
                <c:pt idx="135">
                  <c:v>5.3631208980123013</c:v>
                </c:pt>
                <c:pt idx="136">
                  <c:v>5.0310093912596354</c:v>
                </c:pt>
                <c:pt idx="137">
                  <c:v>4.9306203869369813</c:v>
                </c:pt>
                <c:pt idx="138">
                  <c:v>4.831952727560358</c:v>
                </c:pt>
                <c:pt idx="139">
                  <c:v>4.787041872473818</c:v>
                </c:pt>
                <c:pt idx="140">
                  <c:v>4.9369570776833429</c:v>
                </c:pt>
                <c:pt idx="141">
                  <c:v>4.7738130129040721</c:v>
                </c:pt>
                <c:pt idx="142">
                  <c:v>4.6917475499888175</c:v>
                </c:pt>
                <c:pt idx="143">
                  <c:v>4.7557076825231928</c:v>
                </c:pt>
                <c:pt idx="144">
                  <c:v>4.7789693289046911</c:v>
                </c:pt>
                <c:pt idx="145">
                  <c:v>4.6305040339142565</c:v>
                </c:pt>
                <c:pt idx="146">
                  <c:v>4.6150366446510978</c:v>
                </c:pt>
                <c:pt idx="147">
                  <c:v>4.6360882372510979</c:v>
                </c:pt>
                <c:pt idx="148">
                  <c:v>4.7305708237651167</c:v>
                </c:pt>
                <c:pt idx="149">
                  <c:v>4.5927346678035779</c:v>
                </c:pt>
                <c:pt idx="150">
                  <c:v>4.5707893364702166</c:v>
                </c:pt>
                <c:pt idx="151">
                  <c:v>4.6641478516737074</c:v>
                </c:pt>
                <c:pt idx="152">
                  <c:v>4.6620280936518093</c:v>
                </c:pt>
                <c:pt idx="153">
                  <c:v>4.7295259221037869</c:v>
                </c:pt>
                <c:pt idx="154">
                  <c:v>4.6179952013430281</c:v>
                </c:pt>
                <c:pt idx="155">
                  <c:v>4.6838914952223387</c:v>
                </c:pt>
                <c:pt idx="156">
                  <c:v>4.6281303690985807</c:v>
                </c:pt>
                <c:pt idx="157">
                  <c:v>4.8086533178696165</c:v>
                </c:pt>
                <c:pt idx="158">
                  <c:v>4.8559665381356165</c:v>
                </c:pt>
                <c:pt idx="159">
                  <c:v>4.826365305043077</c:v>
                </c:pt>
                <c:pt idx="160">
                  <c:v>4.865457810351697</c:v>
                </c:pt>
                <c:pt idx="161">
                  <c:v>4.82039251341625</c:v>
                </c:pt>
                <c:pt idx="162">
                  <c:v>4.6686714844373771</c:v>
                </c:pt>
                <c:pt idx="163">
                  <c:v>4.7028585000867889</c:v>
                </c:pt>
                <c:pt idx="164">
                  <c:v>4.8807848650492884</c:v>
                </c:pt>
                <c:pt idx="165">
                  <c:v>4.983327275455089</c:v>
                </c:pt>
                <c:pt idx="166">
                  <c:v>4.9313821137884224</c:v>
                </c:pt>
                <c:pt idx="167">
                  <c:v>4.9285400090715292</c:v>
                </c:pt>
                <c:pt idx="168">
                  <c:v>4.7577679589347124</c:v>
                </c:pt>
                <c:pt idx="169">
                  <c:v>4.7661728833200039</c:v>
                </c:pt>
                <c:pt idx="170">
                  <c:v>4.9019039607022261</c:v>
                </c:pt>
                <c:pt idx="171">
                  <c:v>4.7750448463416992</c:v>
                </c:pt>
                <c:pt idx="172">
                  <c:v>4.7072171657648338</c:v>
                </c:pt>
                <c:pt idx="173">
                  <c:v>4.7814235344534701</c:v>
                </c:pt>
                <c:pt idx="174">
                  <c:v>4.7587416181146898</c:v>
                </c:pt>
                <c:pt idx="175">
                  <c:v>4.659054268462782</c:v>
                </c:pt>
                <c:pt idx="176">
                  <c:v>4.5666597374005971</c:v>
                </c:pt>
                <c:pt idx="177">
                  <c:v>4.5115917018911054</c:v>
                </c:pt>
                <c:pt idx="178">
                  <c:v>4.5417385052415904</c:v>
                </c:pt>
                <c:pt idx="179">
                  <c:v>4.5908354580657766</c:v>
                </c:pt>
                <c:pt idx="180">
                  <c:v>4.6671311848852213</c:v>
                </c:pt>
                <c:pt idx="181">
                  <c:v>4.6503921313965657</c:v>
                </c:pt>
                <c:pt idx="182">
                  <c:v>4.528652808440512</c:v>
                </c:pt>
                <c:pt idx="183">
                  <c:v>4.4247970948201116</c:v>
                </c:pt>
                <c:pt idx="184">
                  <c:v>4.416857776648464</c:v>
                </c:pt>
                <c:pt idx="185">
                  <c:v>4.3556528592660078</c:v>
                </c:pt>
                <c:pt idx="186">
                  <c:v>4.4998099236002354</c:v>
                </c:pt>
                <c:pt idx="187">
                  <c:v>4.4756483239445792</c:v>
                </c:pt>
                <c:pt idx="188">
                  <c:v>4.5054299759961172</c:v>
                </c:pt>
                <c:pt idx="189">
                  <c:v>4.4315979171382454</c:v>
                </c:pt>
                <c:pt idx="190">
                  <c:v>4.347069142572022</c:v>
                </c:pt>
                <c:pt idx="191">
                  <c:v>4.2763715110189784</c:v>
                </c:pt>
                <c:pt idx="192">
                  <c:v>4.2929483534538786</c:v>
                </c:pt>
                <c:pt idx="193">
                  <c:v>4.333627342921301</c:v>
                </c:pt>
                <c:pt idx="194">
                  <c:v>4.3696651559909556</c:v>
                </c:pt>
                <c:pt idx="195">
                  <c:v>4.3752168337042896</c:v>
                </c:pt>
                <c:pt idx="196">
                  <c:v>4.4378052768817522</c:v>
                </c:pt>
                <c:pt idx="197">
                  <c:v>4.491693327970709</c:v>
                </c:pt>
                <c:pt idx="198">
                  <c:v>4.4554891855393022</c:v>
                </c:pt>
                <c:pt idx="199">
                  <c:v>4.4772456683463764</c:v>
                </c:pt>
                <c:pt idx="200">
                  <c:v>4.5054968101601913</c:v>
                </c:pt>
                <c:pt idx="201">
                  <c:v>4.4842209343255766</c:v>
                </c:pt>
                <c:pt idx="202">
                  <c:v>4.4705432219612717</c:v>
                </c:pt>
                <c:pt idx="203">
                  <c:v>4.4290402901746058</c:v>
                </c:pt>
                <c:pt idx="204">
                  <c:v>4.5156264927495435</c:v>
                </c:pt>
                <c:pt idx="205">
                  <c:v>4.6230309111086552</c:v>
                </c:pt>
                <c:pt idx="206">
                  <c:v>4.5649808902516664</c:v>
                </c:pt>
                <c:pt idx="207">
                  <c:v>4.5222176747027847</c:v>
                </c:pt>
                <c:pt idx="208">
                  <c:v>4.4830609989542616</c:v>
                </c:pt>
                <c:pt idx="209">
                  <c:v>4.4415401096970646</c:v>
                </c:pt>
                <c:pt idx="210">
                  <c:v>4.4225792807464392</c:v>
                </c:pt>
                <c:pt idx="211">
                  <c:v>4.5083055871996587</c:v>
                </c:pt>
                <c:pt idx="212">
                  <c:v>4.4297734474087918</c:v>
                </c:pt>
                <c:pt idx="213">
                  <c:v>4.3558462188808003</c:v>
                </c:pt>
                <c:pt idx="214">
                  <c:v>4.3416474094068862</c:v>
                </c:pt>
                <c:pt idx="215">
                  <c:v>4.2382151104165189</c:v>
                </c:pt>
                <c:pt idx="216">
                  <c:v>4.111157577631821</c:v>
                </c:pt>
                <c:pt idx="217">
                  <c:v>4.3217449038824665</c:v>
                </c:pt>
                <c:pt idx="218">
                  <c:v>4.1954756280066912</c:v>
                </c:pt>
                <c:pt idx="219">
                  <c:v>4.1222219286776012</c:v>
                </c:pt>
                <c:pt idx="220">
                  <c:v>4.1213273495326401</c:v>
                </c:pt>
                <c:pt idx="221">
                  <c:v>4.3303014073316053</c:v>
                </c:pt>
                <c:pt idx="222">
                  <c:v>4.2464875202850934</c:v>
                </c:pt>
                <c:pt idx="223">
                  <c:v>4.3355776739950933</c:v>
                </c:pt>
                <c:pt idx="224">
                  <c:v>4.4032783903004491</c:v>
                </c:pt>
                <c:pt idx="225">
                  <c:v>4.398821787136546</c:v>
                </c:pt>
                <c:pt idx="226">
                  <c:v>4.4899087939856068</c:v>
                </c:pt>
                <c:pt idx="227">
                  <c:v>4.5599416211156063</c:v>
                </c:pt>
                <c:pt idx="228">
                  <c:v>4.4920368238341615</c:v>
                </c:pt>
                <c:pt idx="229">
                  <c:v>4.4380847268615593</c:v>
                </c:pt>
                <c:pt idx="230">
                  <c:v>4.5185506988794337</c:v>
                </c:pt>
                <c:pt idx="231">
                  <c:v>4.5580421003491081</c:v>
                </c:pt>
                <c:pt idx="232">
                  <c:v>4.7029340490891078</c:v>
                </c:pt>
                <c:pt idx="233">
                  <c:v>4.4580449876149855</c:v>
                </c:pt>
                <c:pt idx="234">
                  <c:v>4.2544948929203503</c:v>
                </c:pt>
                <c:pt idx="235">
                  <c:v>4.4522991514888526</c:v>
                </c:pt>
                <c:pt idx="236">
                  <c:v>4.5692885570295836</c:v>
                </c:pt>
                <c:pt idx="237">
                  <c:v>4.7439043097740239</c:v>
                </c:pt>
                <c:pt idx="238">
                  <c:v>4.4478171891204381</c:v>
                </c:pt>
                <c:pt idx="239">
                  <c:v>4.4802045930361274</c:v>
                </c:pt>
                <c:pt idx="240">
                  <c:v>4.3374004718814536</c:v>
                </c:pt>
                <c:pt idx="241">
                  <c:v>4.17987529656659</c:v>
                </c:pt>
                <c:pt idx="242">
                  <c:v>3.998521768014963</c:v>
                </c:pt>
                <c:pt idx="243">
                  <c:v>4.0658863462785311</c:v>
                </c:pt>
                <c:pt idx="244">
                  <c:v>3.8852545999196297</c:v>
                </c:pt>
                <c:pt idx="245">
                  <c:v>3.9799466921488107</c:v>
                </c:pt>
                <c:pt idx="246">
                  <c:v>4.0347396046583883</c:v>
                </c:pt>
                <c:pt idx="247">
                  <c:v>3.8104377606786124</c:v>
                </c:pt>
                <c:pt idx="248">
                  <c:v>3.6737274882621569</c:v>
                </c:pt>
                <c:pt idx="249">
                  <c:v>3.3312653344196037</c:v>
                </c:pt>
                <c:pt idx="250">
                  <c:v>3.4246929784642601</c:v>
                </c:pt>
                <c:pt idx="251">
                  <c:v>3.6542362213772557</c:v>
                </c:pt>
                <c:pt idx="252">
                  <c:v>3.7431898643019403</c:v>
                </c:pt>
                <c:pt idx="253">
                  <c:v>3.5191602161251176</c:v>
                </c:pt>
                <c:pt idx="254">
                  <c:v>3.935761610036637</c:v>
                </c:pt>
                <c:pt idx="255">
                  <c:v>3.7241865644289396</c:v>
                </c:pt>
                <c:pt idx="256">
                  <c:v>3.700794402646959</c:v>
                </c:pt>
                <c:pt idx="257">
                  <c:v>3.6781688043681591</c:v>
                </c:pt>
                <c:pt idx="258">
                  <c:v>3.9480021974108244</c:v>
                </c:pt>
                <c:pt idx="259">
                  <c:v>3.8242387287378361</c:v>
                </c:pt>
                <c:pt idx="260">
                  <c:v>4.1719136482189434</c:v>
                </c:pt>
                <c:pt idx="261">
                  <c:v>4.45866007756924</c:v>
                </c:pt>
                <c:pt idx="262">
                  <c:v>4.3140135617199302</c:v>
                </c:pt>
                <c:pt idx="263">
                  <c:v>4.4143671727132485</c:v>
                </c:pt>
                <c:pt idx="264">
                  <c:v>4.3920035803172208</c:v>
                </c:pt>
                <c:pt idx="265">
                  <c:v>4.5274021204101063</c:v>
                </c:pt>
                <c:pt idx="266">
                  <c:v>4.3807751926475778</c:v>
                </c:pt>
                <c:pt idx="267">
                  <c:v>4.3504394045417465</c:v>
                </c:pt>
                <c:pt idx="268">
                  <c:v>4.2294437391381985</c:v>
                </c:pt>
                <c:pt idx="269">
                  <c:v>4.4220895976029952</c:v>
                </c:pt>
                <c:pt idx="270">
                  <c:v>4.4685180575389554</c:v>
                </c:pt>
                <c:pt idx="271">
                  <c:v>4.4482372323135886</c:v>
                </c:pt>
                <c:pt idx="272">
                  <c:v>4.3686698900726908</c:v>
                </c:pt>
                <c:pt idx="273">
                  <c:v>4.2329139415196693</c:v>
                </c:pt>
                <c:pt idx="274">
                  <c:v>4.2861026970861502</c:v>
                </c:pt>
                <c:pt idx="275">
                  <c:v>4.2619542844462002</c:v>
                </c:pt>
                <c:pt idx="276">
                  <c:v>4.0882244328384951</c:v>
                </c:pt>
                <c:pt idx="277">
                  <c:v>3.8975262697801245</c:v>
                </c:pt>
                <c:pt idx="278">
                  <c:v>3.8925391135366878</c:v>
                </c:pt>
                <c:pt idx="279">
                  <c:v>3.9941459120509015</c:v>
                </c:pt>
                <c:pt idx="280">
                  <c:v>3.9054600748300814</c:v>
                </c:pt>
                <c:pt idx="281">
                  <c:v>4.1133572791227149</c:v>
                </c:pt>
                <c:pt idx="282">
                  <c:v>4.2326737650168331</c:v>
                </c:pt>
                <c:pt idx="283">
                  <c:v>4.0539969264163798</c:v>
                </c:pt>
                <c:pt idx="284">
                  <c:v>4.3126932405140233</c:v>
                </c:pt>
                <c:pt idx="285">
                  <c:v>4.2558979729651263</c:v>
                </c:pt>
                <c:pt idx="286">
                  <c:v>4.4581062882171612</c:v>
                </c:pt>
                <c:pt idx="287">
                  <c:v>4.768537992896281</c:v>
                </c:pt>
                <c:pt idx="288">
                  <c:v>4.3605137013977844</c:v>
                </c:pt>
                <c:pt idx="289">
                  <c:v>4.3409023132528617</c:v>
                </c:pt>
                <c:pt idx="290">
                  <c:v>4.2943000199432255</c:v>
                </c:pt>
                <c:pt idx="291">
                  <c:v>4.2879665430278084</c:v>
                </c:pt>
                <c:pt idx="292">
                  <c:v>4.23716406422965</c:v>
                </c:pt>
                <c:pt idx="293">
                  <c:v>4.235090348403876</c:v>
                </c:pt>
                <c:pt idx="294">
                  <c:v>4.2854931355430237</c:v>
                </c:pt>
                <c:pt idx="295">
                  <c:v>4.1965137746436687</c:v>
                </c:pt>
                <c:pt idx="296">
                  <c:v>4.324271445965179</c:v>
                </c:pt>
                <c:pt idx="297">
                  <c:v>4.338798004409389</c:v>
                </c:pt>
                <c:pt idx="298">
                  <c:v>4.2583719623252536</c:v>
                </c:pt>
                <c:pt idx="299">
                  <c:v>4.1495779991420454</c:v>
                </c:pt>
                <c:pt idx="300">
                  <c:v>4.3006233521720638</c:v>
                </c:pt>
                <c:pt idx="301">
                  <c:v>4.3273651710440149</c:v>
                </c:pt>
                <c:pt idx="302">
                  <c:v>4.280277483617696</c:v>
                </c:pt>
                <c:pt idx="303">
                  <c:v>4.2713140366312983</c:v>
                </c:pt>
                <c:pt idx="304">
                  <c:v>4.3123115158273722</c:v>
                </c:pt>
                <c:pt idx="305">
                  <c:v>4.0678903794357675</c:v>
                </c:pt>
                <c:pt idx="306">
                  <c:v>4.2497959529852611</c:v>
                </c:pt>
                <c:pt idx="307">
                  <c:v>4.0177357314483046</c:v>
                </c:pt>
                <c:pt idx="308">
                  <c:v>3.8621102678773958</c:v>
                </c:pt>
                <c:pt idx="309">
                  <c:v>4.1034426422955432</c:v>
                </c:pt>
                <c:pt idx="310">
                  <c:v>4.2577080756404699</c:v>
                </c:pt>
                <c:pt idx="311">
                  <c:v>4.1370592660055507</c:v>
                </c:pt>
                <c:pt idx="312">
                  <c:v>4.249459265534993</c:v>
                </c:pt>
                <c:pt idx="313">
                  <c:v>4.2832232581895751</c:v>
                </c:pt>
                <c:pt idx="314">
                  <c:v>4.4077654903709549</c:v>
                </c:pt>
                <c:pt idx="315">
                  <c:v>4.300511086150828</c:v>
                </c:pt>
                <c:pt idx="316">
                  <c:v>4.292634672078341</c:v>
                </c:pt>
                <c:pt idx="317">
                  <c:v>4.3051803011440377</c:v>
                </c:pt>
                <c:pt idx="318">
                  <c:v>4.0827649763871801</c:v>
                </c:pt>
                <c:pt idx="319">
                  <c:v>4.0541246456543281</c:v>
                </c:pt>
                <c:pt idx="320">
                  <c:v>4.1796978868201808</c:v>
                </c:pt>
                <c:pt idx="321">
                  <c:v>4.020740743094378</c:v>
                </c:pt>
                <c:pt idx="322">
                  <c:v>4.0605880367931277</c:v>
                </c:pt>
                <c:pt idx="323">
                  <c:v>4.0073261767360497</c:v>
                </c:pt>
                <c:pt idx="324">
                  <c:v>4.1265703977197035</c:v>
                </c:pt>
                <c:pt idx="325">
                  <c:v>4.0809826584336362</c:v>
                </c:pt>
                <c:pt idx="326">
                  <c:v>3.8418658275996047</c:v>
                </c:pt>
                <c:pt idx="327">
                  <c:v>3.7061250818374072</c:v>
                </c:pt>
                <c:pt idx="328">
                  <c:v>3.7017900833704194</c:v>
                </c:pt>
                <c:pt idx="329">
                  <c:v>3.6436286907872155</c:v>
                </c:pt>
                <c:pt idx="330">
                  <c:v>3.7833028809574292</c:v>
                </c:pt>
                <c:pt idx="331">
                  <c:v>4.0494097685192569</c:v>
                </c:pt>
                <c:pt idx="332">
                  <c:v>3.7360666608671402</c:v>
                </c:pt>
                <c:pt idx="333">
                  <c:v>3.618475139312471</c:v>
                </c:pt>
                <c:pt idx="334">
                  <c:v>3.6515830090252734</c:v>
                </c:pt>
                <c:pt idx="335">
                  <c:v>3.707380601978536</c:v>
                </c:pt>
                <c:pt idx="336">
                  <c:v>3.7347740510406418</c:v>
                </c:pt>
                <c:pt idx="337">
                  <c:v>3.8674712382308996</c:v>
                </c:pt>
                <c:pt idx="338">
                  <c:v>3.9148592613386071</c:v>
                </c:pt>
                <c:pt idx="339">
                  <c:v>3.9328436297002143</c:v>
                </c:pt>
                <c:pt idx="340">
                  <c:v>3.8623967042170873</c:v>
                </c:pt>
                <c:pt idx="341">
                  <c:v>3.9108313912685047</c:v>
                </c:pt>
                <c:pt idx="342">
                  <c:v>3.9385026403878243</c:v>
                </c:pt>
                <c:pt idx="343">
                  <c:v>4.0209337690599263</c:v>
                </c:pt>
                <c:pt idx="344">
                  <c:v>4.0765863129964197</c:v>
                </c:pt>
                <c:pt idx="345">
                  <c:v>3.9991391016240279</c:v>
                </c:pt>
                <c:pt idx="346">
                  <c:v>4.0255201981184578</c:v>
                </c:pt>
                <c:pt idx="347">
                  <c:v>3.9209106585870952</c:v>
                </c:pt>
                <c:pt idx="348">
                  <c:v>4.0464401112264481</c:v>
                </c:pt>
                <c:pt idx="349">
                  <c:v>4.0773712826183717</c:v>
                </c:pt>
                <c:pt idx="350">
                  <c:v>4.1011800624926966</c:v>
                </c:pt>
                <c:pt idx="351">
                  <c:v>3.9184689167475035</c:v>
                </c:pt>
                <c:pt idx="352">
                  <c:v>3.943904647913544</c:v>
                </c:pt>
                <c:pt idx="353">
                  <c:v>3.8764656761542335</c:v>
                </c:pt>
                <c:pt idx="354">
                  <c:v>3.8627842090231566</c:v>
                </c:pt>
                <c:pt idx="355">
                  <c:v>3.8191188230652302</c:v>
                </c:pt>
                <c:pt idx="356">
                  <c:v>3.9737499744927978</c:v>
                </c:pt>
                <c:pt idx="357">
                  <c:v>3.8828422727424545</c:v>
                </c:pt>
                <c:pt idx="358">
                  <c:v>3.6906115628318932</c:v>
                </c:pt>
                <c:pt idx="359">
                  <c:v>3.5649611767059062</c:v>
                </c:pt>
                <c:pt idx="360">
                  <c:v>3.6788972371492394</c:v>
                </c:pt>
                <c:pt idx="361">
                  <c:v>3.6131208160169321</c:v>
                </c:pt>
                <c:pt idx="362">
                  <c:v>3.698580223893281</c:v>
                </c:pt>
                <c:pt idx="363">
                  <c:v>3.3708999618295965</c:v>
                </c:pt>
                <c:pt idx="364">
                  <c:v>3.2479460442841424</c:v>
                </c:pt>
                <c:pt idx="365">
                  <c:v>3.0732947769637882</c:v>
                </c:pt>
                <c:pt idx="366">
                  <c:v>3.3073637412200987</c:v>
                </c:pt>
                <c:pt idx="367">
                  <c:v>3.0678217279296232</c:v>
                </c:pt>
                <c:pt idx="368">
                  <c:v>3.3315301829596233</c:v>
                </c:pt>
                <c:pt idx="369">
                  <c:v>3.1403190493500697</c:v>
                </c:pt>
                <c:pt idx="370">
                  <c:v>3.0458852638440539</c:v>
                </c:pt>
                <c:pt idx="371">
                  <c:v>2.6078813906071163</c:v>
                </c:pt>
                <c:pt idx="372">
                  <c:v>2.6413475570419909</c:v>
                </c:pt>
                <c:pt idx="373">
                  <c:v>1.964011370805256</c:v>
                </c:pt>
                <c:pt idx="374">
                  <c:v>2.2925890437406102</c:v>
                </c:pt>
                <c:pt idx="375">
                  <c:v>2.2402305661079973</c:v>
                </c:pt>
                <c:pt idx="376">
                  <c:v>1.4806500441520267</c:v>
                </c:pt>
                <c:pt idx="377">
                  <c:v>1.7102055913304872</c:v>
                </c:pt>
                <c:pt idx="378">
                  <c:v>0.70451052967383654</c:v>
                </c:pt>
                <c:pt idx="379">
                  <c:v>0.48503632129485102</c:v>
                </c:pt>
                <c:pt idx="380">
                  <c:v>0.3180525065828505</c:v>
                </c:pt>
                <c:pt idx="381">
                  <c:v>0.36271289768947707</c:v>
                </c:pt>
                <c:pt idx="382">
                  <c:v>0.43602348771649935</c:v>
                </c:pt>
                <c:pt idx="383">
                  <c:v>0.5146047739787214</c:v>
                </c:pt>
                <c:pt idx="384">
                  <c:v>0.35236570613372148</c:v>
                </c:pt>
                <c:pt idx="385">
                  <c:v>0.27009942754615646</c:v>
                </c:pt>
                <c:pt idx="386">
                  <c:v>0.37376054688319388</c:v>
                </c:pt>
                <c:pt idx="387">
                  <c:v>0.34890201696806378</c:v>
                </c:pt>
                <c:pt idx="388">
                  <c:v>0.2693939955537783</c:v>
                </c:pt>
                <c:pt idx="389">
                  <c:v>0.16708963332877794</c:v>
                </c:pt>
                <c:pt idx="390">
                  <c:v>-2.0510278005767987E-2</c:v>
                </c:pt>
                <c:pt idx="391">
                  <c:v>-0.20109493106937454</c:v>
                </c:pt>
                <c:pt idx="392">
                  <c:v>-1.8562300328541174E-2</c:v>
                </c:pt>
                <c:pt idx="393">
                  <c:v>-0.30738514320984195</c:v>
                </c:pt>
                <c:pt idx="394">
                  <c:v>-0.71389852376287211</c:v>
                </c:pt>
                <c:pt idx="395">
                  <c:v>-0.69562121283470291</c:v>
                </c:pt>
                <c:pt idx="396">
                  <c:v>-0.70524233938398861</c:v>
                </c:pt>
                <c:pt idx="397">
                  <c:v>-0.682462740625014</c:v>
                </c:pt>
                <c:pt idx="398">
                  <c:v>-0.68013276246123611</c:v>
                </c:pt>
                <c:pt idx="399">
                  <c:v>-0.60725257104691155</c:v>
                </c:pt>
                <c:pt idx="400">
                  <c:v>-0.77798268366177636</c:v>
                </c:pt>
                <c:pt idx="401">
                  <c:v>-0.62124921701177627</c:v>
                </c:pt>
                <c:pt idx="402">
                  <c:v>-0.70759852273500246</c:v>
                </c:pt>
                <c:pt idx="403">
                  <c:v>-0.61032083402455317</c:v>
                </c:pt>
                <c:pt idx="404">
                  <c:v>-0.51707570665055325</c:v>
                </c:pt>
                <c:pt idx="405">
                  <c:v>-0.49171108923334034</c:v>
                </c:pt>
                <c:pt idx="406">
                  <c:v>-0.53602287870334031</c:v>
                </c:pt>
                <c:pt idx="407">
                  <c:v>-0.56313382663361422</c:v>
                </c:pt>
                <c:pt idx="408">
                  <c:v>-0.6872194559463729</c:v>
                </c:pt>
                <c:pt idx="409">
                  <c:v>-0.58030296781237289</c:v>
                </c:pt>
                <c:pt idx="410">
                  <c:v>-0.67137134323002001</c:v>
                </c:pt>
                <c:pt idx="411">
                  <c:v>-0.71606714595215115</c:v>
                </c:pt>
                <c:pt idx="412">
                  <c:v>-0.78418886921308129</c:v>
                </c:pt>
                <c:pt idx="413">
                  <c:v>-0.72567130008014025</c:v>
                </c:pt>
                <c:pt idx="414">
                  <c:v>-0.67869249253915664</c:v>
                </c:pt>
                <c:pt idx="415">
                  <c:v>-0.82307796314515669</c:v>
                </c:pt>
                <c:pt idx="416">
                  <c:v>-0.66438491407710798</c:v>
                </c:pt>
                <c:pt idx="417">
                  <c:v>-0.63169138161310767</c:v>
                </c:pt>
                <c:pt idx="418">
                  <c:v>-0.60500891736823559</c:v>
                </c:pt>
                <c:pt idx="419">
                  <c:v>-0.80229709379526248</c:v>
                </c:pt>
                <c:pt idx="420">
                  <c:v>-0.58428264820993336</c:v>
                </c:pt>
                <c:pt idx="421">
                  <c:v>-0.68639984608070226</c:v>
                </c:pt>
                <c:pt idx="422">
                  <c:v>-0.9879602888539103</c:v>
                </c:pt>
                <c:pt idx="423">
                  <c:v>-0.90562858705618321</c:v>
                </c:pt>
                <c:pt idx="424">
                  <c:v>-0.80096880683348071</c:v>
                </c:pt>
                <c:pt idx="425">
                  <c:v>-0.86980646991348098</c:v>
                </c:pt>
                <c:pt idx="426">
                  <c:v>-0.8154675088168144</c:v>
                </c:pt>
                <c:pt idx="427">
                  <c:v>-1.1186150025856261</c:v>
                </c:pt>
                <c:pt idx="428">
                  <c:v>-1.2100190810058506</c:v>
                </c:pt>
                <c:pt idx="429">
                  <c:v>-0.99248721554372965</c:v>
                </c:pt>
                <c:pt idx="430">
                  <c:v>-0.81041846345351087</c:v>
                </c:pt>
                <c:pt idx="431">
                  <c:v>-0.72738814153724718</c:v>
                </c:pt>
                <c:pt idx="432">
                  <c:v>-0.57299795507658435</c:v>
                </c:pt>
                <c:pt idx="433">
                  <c:v>-0.62586302947976169</c:v>
                </c:pt>
                <c:pt idx="434">
                  <c:v>-0.53375115261279193</c:v>
                </c:pt>
                <c:pt idx="435">
                  <c:v>-0.65392290120908858</c:v>
                </c:pt>
                <c:pt idx="436">
                  <c:v>-0.52454660480929283</c:v>
                </c:pt>
                <c:pt idx="437">
                  <c:v>-0.6484825948092926</c:v>
                </c:pt>
                <c:pt idx="438">
                  <c:v>-0.91662346828982577</c:v>
                </c:pt>
                <c:pt idx="439">
                  <c:v>-0.95442459990762751</c:v>
                </c:pt>
                <c:pt idx="440">
                  <c:v>-1.17151529233868</c:v>
                </c:pt>
                <c:pt idx="441">
                  <c:v>-1.4424216467343667</c:v>
                </c:pt>
                <c:pt idx="442">
                  <c:v>-1.490673267274246</c:v>
                </c:pt>
                <c:pt idx="443">
                  <c:v>-1.2021906933074717</c:v>
                </c:pt>
                <c:pt idx="444">
                  <c:v>-1.3684399555100033</c:v>
                </c:pt>
                <c:pt idx="445">
                  <c:v>-1.3433683735343278</c:v>
                </c:pt>
                <c:pt idx="446">
                  <c:v>-1.4276841811140459</c:v>
                </c:pt>
                <c:pt idx="447">
                  <c:v>-1.203561169955353</c:v>
                </c:pt>
                <c:pt idx="448">
                  <c:v>-1.3569743351466574</c:v>
                </c:pt>
                <c:pt idx="449">
                  <c:v>-1.3661833789073983</c:v>
                </c:pt>
                <c:pt idx="450">
                  <c:v>-1.3133605207473984</c:v>
                </c:pt>
                <c:pt idx="451">
                  <c:v>-1.3202633923467315</c:v>
                </c:pt>
                <c:pt idx="452">
                  <c:v>-1.2331162883409343</c:v>
                </c:pt>
                <c:pt idx="453">
                  <c:v>-1.2114573131255058</c:v>
                </c:pt>
                <c:pt idx="454">
                  <c:v>-1.2024430314101724</c:v>
                </c:pt>
                <c:pt idx="455">
                  <c:v>-1.0456913751227306</c:v>
                </c:pt>
                <c:pt idx="456">
                  <c:v>-0.88484988810358167</c:v>
                </c:pt>
                <c:pt idx="457">
                  <c:v>-0.63485585857582449</c:v>
                </c:pt>
                <c:pt idx="458">
                  <c:v>-1.0572293436378934</c:v>
                </c:pt>
                <c:pt idx="459">
                  <c:v>-1.1445389452778936</c:v>
                </c:pt>
                <c:pt idx="460">
                  <c:v>-1.0735746061378937</c:v>
                </c:pt>
                <c:pt idx="461">
                  <c:v>-1.1020339873654801</c:v>
                </c:pt>
                <c:pt idx="462">
                  <c:v>-1.05570457368048</c:v>
                </c:pt>
                <c:pt idx="463">
                  <c:v>-1.0671506771896637</c:v>
                </c:pt>
                <c:pt idx="464">
                  <c:v>-1.0865748158203019</c:v>
                </c:pt>
                <c:pt idx="465">
                  <c:v>-0.95843535018696846</c:v>
                </c:pt>
                <c:pt idx="466">
                  <c:v>-0.87762226855496839</c:v>
                </c:pt>
                <c:pt idx="467">
                  <c:v>-0.87935686307326122</c:v>
                </c:pt>
                <c:pt idx="468">
                  <c:v>-0.87507021440484012</c:v>
                </c:pt>
                <c:pt idx="469">
                  <c:v>-0.77566469733832333</c:v>
                </c:pt>
                <c:pt idx="470">
                  <c:v>-0.80204081543475181</c:v>
                </c:pt>
                <c:pt idx="471">
                  <c:v>-0.76517283700106764</c:v>
                </c:pt>
                <c:pt idx="472">
                  <c:v>-0.74024122087154387</c:v>
                </c:pt>
                <c:pt idx="473">
                  <c:v>-0.74959877070487713</c:v>
                </c:pt>
                <c:pt idx="474">
                  <c:v>-0.76942197906378651</c:v>
                </c:pt>
                <c:pt idx="475">
                  <c:v>-0.67958795788818649</c:v>
                </c:pt>
                <c:pt idx="476">
                  <c:v>-0.81139004989942609</c:v>
                </c:pt>
                <c:pt idx="477">
                  <c:v>-0.93734617395788788</c:v>
                </c:pt>
                <c:pt idx="478">
                  <c:v>-1.1026374641876211</c:v>
                </c:pt>
                <c:pt idx="479">
                  <c:v>-0.9545223790256212</c:v>
                </c:pt>
                <c:pt idx="480">
                  <c:v>-0.88787550721076125</c:v>
                </c:pt>
                <c:pt idx="481">
                  <c:v>-0.84155019547286647</c:v>
                </c:pt>
                <c:pt idx="482">
                  <c:v>-0.82401865161924337</c:v>
                </c:pt>
                <c:pt idx="483">
                  <c:v>-0.77446677384480622</c:v>
                </c:pt>
                <c:pt idx="484">
                  <c:v>-0.72937288232381869</c:v>
                </c:pt>
                <c:pt idx="485">
                  <c:v>-0.75093219688217927</c:v>
                </c:pt>
                <c:pt idx="486">
                  <c:v>-0.73503218254087488</c:v>
                </c:pt>
                <c:pt idx="487">
                  <c:v>-0.68595988213560333</c:v>
                </c:pt>
                <c:pt idx="488">
                  <c:v>-0.66667798556381996</c:v>
                </c:pt>
                <c:pt idx="489">
                  <c:v>-0.75387384379908029</c:v>
                </c:pt>
                <c:pt idx="490">
                  <c:v>-0.77579181144926201</c:v>
                </c:pt>
                <c:pt idx="491">
                  <c:v>-0.85453808927174268</c:v>
                </c:pt>
                <c:pt idx="492">
                  <c:v>-0.75462749062650114</c:v>
                </c:pt>
                <c:pt idx="493">
                  <c:v>-0.75612323652965907</c:v>
                </c:pt>
                <c:pt idx="494">
                  <c:v>-0.62525861069830768</c:v>
                </c:pt>
                <c:pt idx="495">
                  <c:v>-0.52678802894889787</c:v>
                </c:pt>
                <c:pt idx="496">
                  <c:v>-0.55920688155610931</c:v>
                </c:pt>
                <c:pt idx="497">
                  <c:v>-0.48991376613236531</c:v>
                </c:pt>
                <c:pt idx="498">
                  <c:v>-0.50675105687417965</c:v>
                </c:pt>
                <c:pt idx="499">
                  <c:v>-0.4587294986621418</c:v>
                </c:pt>
                <c:pt idx="500">
                  <c:v>-0.38093105702866353</c:v>
                </c:pt>
                <c:pt idx="501">
                  <c:v>-0.35040761725661224</c:v>
                </c:pt>
                <c:pt idx="502">
                  <c:v>-0.329180641468928</c:v>
                </c:pt>
                <c:pt idx="503">
                  <c:v>-0.41651848358145049</c:v>
                </c:pt>
                <c:pt idx="504">
                  <c:v>-0.44116110031968586</c:v>
                </c:pt>
                <c:pt idx="505">
                  <c:v>-0.36813361584542109</c:v>
                </c:pt>
                <c:pt idx="506">
                  <c:v>-0.3755003221267959</c:v>
                </c:pt>
                <c:pt idx="507">
                  <c:v>-0.33761543743705036</c:v>
                </c:pt>
                <c:pt idx="508">
                  <c:v>-0.3640649975429367</c:v>
                </c:pt>
                <c:pt idx="509">
                  <c:v>-0.43865520971646965</c:v>
                </c:pt>
                <c:pt idx="510">
                  <c:v>-0.38014464890413374</c:v>
                </c:pt>
                <c:pt idx="511">
                  <c:v>-0.34283673840572615</c:v>
                </c:pt>
                <c:pt idx="512">
                  <c:v>-0.23482538065251576</c:v>
                </c:pt>
                <c:pt idx="513">
                  <c:v>-0.19128437453220345</c:v>
                </c:pt>
                <c:pt idx="514">
                  <c:v>-0.30375122897612661</c:v>
                </c:pt>
                <c:pt idx="515">
                  <c:v>-0.36329126006185208</c:v>
                </c:pt>
                <c:pt idx="516">
                  <c:v>-0.39445478219462821</c:v>
                </c:pt>
                <c:pt idx="517">
                  <c:v>-0.3539147393254865</c:v>
                </c:pt>
                <c:pt idx="518">
                  <c:v>-0.33021252915315324</c:v>
                </c:pt>
                <c:pt idx="519">
                  <c:v>-0.25140249287476607</c:v>
                </c:pt>
                <c:pt idx="520">
                  <c:v>-0.26216065080323797</c:v>
                </c:pt>
                <c:pt idx="521">
                  <c:v>-0.23393582188587816</c:v>
                </c:pt>
                <c:pt idx="522">
                  <c:v>-0.24226595798609596</c:v>
                </c:pt>
                <c:pt idx="523">
                  <c:v>-0.22330878657040965</c:v>
                </c:pt>
                <c:pt idx="524">
                  <c:v>-0.23122863234111235</c:v>
                </c:pt>
                <c:pt idx="525">
                  <c:v>-0.18617227372986955</c:v>
                </c:pt>
                <c:pt idx="526">
                  <c:v>-0.14956049285966169</c:v>
                </c:pt>
                <c:pt idx="527">
                  <c:v>-0.12753442581279212</c:v>
                </c:pt>
                <c:pt idx="528">
                  <c:v>-0.10693955186232754</c:v>
                </c:pt>
                <c:pt idx="529">
                  <c:v>-7.031835183000669E-2</c:v>
                </c:pt>
                <c:pt idx="530">
                  <c:v>-3.9653608598814026E-2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7A-4703-9A67-BE55EE61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7353071"/>
        <c:axId val="1627346415"/>
      </c:lineChart>
      <c:dateAx>
        <c:axId val="16273530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7346415"/>
        <c:crosses val="autoZero"/>
        <c:auto val="1"/>
        <c:lblOffset val="100"/>
        <c:baseTimeUnit val="days"/>
      </c:dateAx>
      <c:valAx>
        <c:axId val="162734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7353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D3966C8-EC9C-4DB8-A91C-F3888E48C67A}">
  <sheetPr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25F1AE-5E6C-42A2-AE0E-3003CE78BF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23.254999999999999</v>
      </c>
      <c r="D2" s="4">
        <f>MIN(D3:D1912)</f>
        <v>0.32800000000000001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2.87</v>
      </c>
      <c r="C5">
        <v>2.9159999999999999</v>
      </c>
      <c r="D5">
        <v>2.7690000000000001</v>
      </c>
      <c r="E5">
        <v>2.7789999999999999</v>
      </c>
      <c r="F5">
        <v>2070760.4</v>
      </c>
      <c r="G5">
        <v>2.7789999999999999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-0.86394557823129525</v>
      </c>
      <c r="Q5">
        <f t="shared" ref="Q5" si="1">F5*P5</f>
        <v>-1789024.2911564682</v>
      </c>
      <c r="R5">
        <f t="shared" ref="R5" si="2">R6+Q5</f>
        <v>437924596.86974955</v>
      </c>
      <c r="S5">
        <f t="shared" ref="S5" si="3">R5/100000</f>
        <v>4379.2459686974953</v>
      </c>
      <c r="T5">
        <f t="shared" ref="T5" si="4">S5/1000</f>
        <v>4.3792459686974956</v>
      </c>
    </row>
    <row r="6" spans="1:20" x14ac:dyDescent="0.25">
      <c r="A6" s="5">
        <v>44587</v>
      </c>
      <c r="B6">
        <v>3.016</v>
      </c>
      <c r="C6">
        <v>3.2959999999999998</v>
      </c>
      <c r="D6">
        <v>2.81</v>
      </c>
      <c r="E6">
        <v>2.87</v>
      </c>
      <c r="F6">
        <v>38077826.799999997</v>
      </c>
      <c r="G6">
        <v>2.87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-0.7530864197530861</v>
      </c>
      <c r="Q6">
        <f t="shared" ref="Q6" si="6">F6*P6</f>
        <v>-28675894.256790109</v>
      </c>
      <c r="R6">
        <f t="shared" ref="R6" si="7">R7+Q6</f>
        <v>439713621.16090602</v>
      </c>
      <c r="S6">
        <f t="shared" ref="S6" si="8">R6/100000</f>
        <v>4397.1362116090604</v>
      </c>
      <c r="T6">
        <f t="shared" ref="T6" si="9">S6/1000</f>
        <v>4.3971362116090607</v>
      </c>
    </row>
    <row r="7" spans="1:20" x14ac:dyDescent="0.25">
      <c r="A7" s="5">
        <v>44586</v>
      </c>
      <c r="B7">
        <v>2.8170000000000002</v>
      </c>
      <c r="C7">
        <v>3.1190000000000002</v>
      </c>
      <c r="D7">
        <v>2.702</v>
      </c>
      <c r="E7">
        <v>3.0150000000000001</v>
      </c>
      <c r="F7">
        <v>31558671.600000001</v>
      </c>
      <c r="G7">
        <v>3.0150000000000001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0.50119904076738597</v>
      </c>
      <c r="Q7">
        <f t="shared" ref="Q7" si="11">F7*P7</f>
        <v>15817175.933812946</v>
      </c>
      <c r="R7">
        <f t="shared" ref="R7" si="12">R8+Q7</f>
        <v>468389515.41769612</v>
      </c>
      <c r="S7">
        <f t="shared" ref="S7" si="13">R7/100000</f>
        <v>4683.8951541769611</v>
      </c>
      <c r="T7">
        <f t="shared" ref="T7" si="14">S7/1000</f>
        <v>4.6838951541769607</v>
      </c>
    </row>
    <row r="8" spans="1:20" x14ac:dyDescent="0.25">
      <c r="A8" s="5">
        <v>44585</v>
      </c>
      <c r="B8">
        <v>3.0179999999999998</v>
      </c>
      <c r="C8">
        <v>3.0219999999999998</v>
      </c>
      <c r="D8">
        <v>2.3639999999999999</v>
      </c>
      <c r="E8">
        <v>2.8180000000000001</v>
      </c>
      <c r="F8">
        <v>39137816</v>
      </c>
      <c r="G8">
        <v>2.8180000000000001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0.37993920972644452</v>
      </c>
      <c r="Q8">
        <f t="shared" ref="Q8" si="16">F8*P8</f>
        <v>14869990.881458996</v>
      </c>
      <c r="R8">
        <f t="shared" ref="R8" si="17">R9+Q8</f>
        <v>452572339.4838832</v>
      </c>
      <c r="S8">
        <f t="shared" ref="S8" si="18">R8/100000</f>
        <v>4525.7233948388321</v>
      </c>
      <c r="T8">
        <f t="shared" ref="T8" si="19">S8/1000</f>
        <v>4.525723394838832</v>
      </c>
    </row>
    <row r="9" spans="1:20" x14ac:dyDescent="0.25">
      <c r="A9" s="5">
        <v>44584</v>
      </c>
      <c r="B9">
        <v>2.8839999999999999</v>
      </c>
      <c r="C9">
        <v>3.1480000000000001</v>
      </c>
      <c r="D9">
        <v>2.8239999999999998</v>
      </c>
      <c r="E9">
        <v>3.0190000000000001</v>
      </c>
      <c r="F9">
        <v>23110863.800000001</v>
      </c>
      <c r="G9">
        <v>3.0190000000000001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0.20370370370370439</v>
      </c>
      <c r="Q9">
        <f t="shared" ref="Q9" si="21">F9*P9</f>
        <v>4707768.5518518677</v>
      </c>
      <c r="R9">
        <f t="shared" ref="R9" si="22">R10+Q9</f>
        <v>437702348.6024242</v>
      </c>
      <c r="S9">
        <f t="shared" ref="S9" si="23">R9/100000</f>
        <v>4377.0234860242417</v>
      </c>
      <c r="T9">
        <f t="shared" ref="T9" si="24">S9/1000</f>
        <v>4.3770234860242416</v>
      </c>
    </row>
    <row r="10" spans="1:20" x14ac:dyDescent="0.25">
      <c r="A10" s="5">
        <v>44583</v>
      </c>
      <c r="B10">
        <v>3.3050000000000002</v>
      </c>
      <c r="C10">
        <v>3.4540000000000002</v>
      </c>
      <c r="D10">
        <v>2.5569999999999999</v>
      </c>
      <c r="E10">
        <v>2.8849999999999998</v>
      </c>
      <c r="F10">
        <v>47329937.299999997</v>
      </c>
      <c r="G10">
        <v>2.8849999999999998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-0.26867335562987793</v>
      </c>
      <c r="Q10">
        <f t="shared" ref="Q10" si="26">F10*P10</f>
        <v>-12716293.076142723</v>
      </c>
      <c r="R10">
        <f t="shared" ref="R10" si="27">R11+Q10</f>
        <v>432994580.05057234</v>
      </c>
      <c r="S10">
        <f t="shared" ref="S10" si="28">R10/100000</f>
        <v>4329.9458005057231</v>
      </c>
      <c r="T10">
        <f t="shared" ref="T10" si="29">S10/1000</f>
        <v>4.3299458005057234</v>
      </c>
    </row>
    <row r="11" spans="1:20" x14ac:dyDescent="0.25">
      <c r="A11" s="5">
        <v>44582</v>
      </c>
      <c r="B11">
        <v>3.964</v>
      </c>
      <c r="C11">
        <v>4.0579999999999998</v>
      </c>
      <c r="D11">
        <v>3.21</v>
      </c>
      <c r="E11">
        <v>3.3079999999999998</v>
      </c>
      <c r="F11">
        <v>37746865.600000001</v>
      </c>
      <c r="G11">
        <v>3.3079999999999998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-0.76886792452830222</v>
      </c>
      <c r="Q11">
        <f t="shared" ref="Q11" si="31">F11*P11</f>
        <v>-29022354.211320769</v>
      </c>
      <c r="R11">
        <f t="shared" ref="R11" si="32">R12+Q11</f>
        <v>445710873.12671506</v>
      </c>
      <c r="S11">
        <f t="shared" ref="S11" si="33">R11/100000</f>
        <v>4457.1087312671507</v>
      </c>
      <c r="T11">
        <f t="shared" ref="T11" si="34">S11/1000</f>
        <v>4.4571087312671507</v>
      </c>
    </row>
    <row r="12" spans="1:20" x14ac:dyDescent="0.25">
      <c r="A12" s="5">
        <v>44581</v>
      </c>
      <c r="B12">
        <v>4.1879999999999997</v>
      </c>
      <c r="C12">
        <v>4.5590000000000002</v>
      </c>
      <c r="D12">
        <v>3.9369999999999998</v>
      </c>
      <c r="E12">
        <v>3.964</v>
      </c>
      <c r="F12">
        <v>21026745.199999999</v>
      </c>
      <c r="G12">
        <v>3.964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-0.91318327974276492</v>
      </c>
      <c r="Q12">
        <f t="shared" ref="Q12" si="36">F12*P12</f>
        <v>-19201272.14405144</v>
      </c>
      <c r="R12">
        <f t="shared" ref="R12" si="37">R13+Q12</f>
        <v>474733227.33803582</v>
      </c>
      <c r="S12">
        <f t="shared" ref="S12" si="38">R12/100000</f>
        <v>4747.3322733803579</v>
      </c>
      <c r="T12">
        <f t="shared" ref="T12" si="39">S12/1000</f>
        <v>4.7473322733803576</v>
      </c>
    </row>
    <row r="13" spans="1:20" x14ac:dyDescent="0.25">
      <c r="A13" s="5">
        <v>44580</v>
      </c>
      <c r="B13">
        <v>4.5529999999999999</v>
      </c>
      <c r="C13">
        <v>4.5709999999999997</v>
      </c>
      <c r="D13">
        <v>4.18</v>
      </c>
      <c r="E13">
        <v>4.1879999999999997</v>
      </c>
      <c r="F13">
        <v>21012827.199999999</v>
      </c>
      <c r="G13">
        <v>4.1879999999999997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-0.95907928388746799</v>
      </c>
      <c r="Q13">
        <f t="shared" ref="Q13" si="41">F13*P13</f>
        <v>-20152967.263427109</v>
      </c>
      <c r="R13">
        <f t="shared" ref="R13" si="42">R14+Q13</f>
        <v>493934499.48208725</v>
      </c>
      <c r="S13">
        <f t="shared" ref="S13" si="43">R13/100000</f>
        <v>4939.3449948208727</v>
      </c>
      <c r="T13">
        <f t="shared" ref="T13" si="44">S13/1000</f>
        <v>4.939344994820873</v>
      </c>
    </row>
    <row r="14" spans="1:20" x14ac:dyDescent="0.25">
      <c r="A14" s="5">
        <v>44579</v>
      </c>
      <c r="B14">
        <v>4.78</v>
      </c>
      <c r="C14">
        <v>4.8490000000000002</v>
      </c>
      <c r="D14">
        <v>4.4000000000000004</v>
      </c>
      <c r="E14">
        <v>4.5549999999999997</v>
      </c>
      <c r="F14">
        <v>18402567.600000001</v>
      </c>
      <c r="G14">
        <v>4.5549999999999997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-0.30957683741648367</v>
      </c>
      <c r="Q14">
        <f t="shared" ref="Q14" si="46">F14*P14</f>
        <v>-5697008.6779510509</v>
      </c>
      <c r="R14">
        <f t="shared" ref="R14" si="47">R15+Q14</f>
        <v>514087466.74551439</v>
      </c>
      <c r="S14">
        <f t="shared" ref="S14" si="48">R14/100000</f>
        <v>5140.8746674551439</v>
      </c>
      <c r="T14">
        <f t="shared" ref="T14" si="49">S14/1000</f>
        <v>5.1408746674551438</v>
      </c>
    </row>
    <row r="15" spans="1:20" x14ac:dyDescent="0.25">
      <c r="A15" s="5">
        <v>44578</v>
      </c>
      <c r="B15">
        <v>5.1420000000000003</v>
      </c>
      <c r="C15">
        <v>5.1779999999999999</v>
      </c>
      <c r="D15">
        <v>4.6040000000000001</v>
      </c>
      <c r="E15">
        <v>4.78</v>
      </c>
      <c r="F15">
        <v>22549255.399999999</v>
      </c>
      <c r="G15">
        <v>4.78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-0.38675958188153237</v>
      </c>
      <c r="Q15">
        <f t="shared" ref="Q15" si="51">F15*P15</f>
        <v>-8721140.5902438853</v>
      </c>
      <c r="R15">
        <f t="shared" ref="R15" si="52">R16+Q15</f>
        <v>519784475.42346543</v>
      </c>
      <c r="S15">
        <f t="shared" ref="S15" si="53">R15/100000</f>
        <v>5197.8447542346539</v>
      </c>
      <c r="T15">
        <f t="shared" ref="T15" si="54">S15/1000</f>
        <v>5.1978447542346542</v>
      </c>
    </row>
    <row r="16" spans="1:20" x14ac:dyDescent="0.25">
      <c r="A16" s="5">
        <v>44577</v>
      </c>
      <c r="B16">
        <v>5.2770000000000001</v>
      </c>
      <c r="C16">
        <v>5.3689999999999998</v>
      </c>
      <c r="D16">
        <v>5.0590000000000002</v>
      </c>
      <c r="E16">
        <v>5.141</v>
      </c>
      <c r="F16">
        <v>15061904.5</v>
      </c>
      <c r="G16">
        <v>5.141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-0.47096774193548419</v>
      </c>
      <c r="Q16">
        <f t="shared" ref="Q16" si="56">F16*P16</f>
        <v>-7093671.1516129076</v>
      </c>
      <c r="R16">
        <f t="shared" ref="R16" si="57">R17+Q16</f>
        <v>528505616.01370931</v>
      </c>
      <c r="S16">
        <f t="shared" ref="S16" si="58">R16/100000</f>
        <v>5285.0561601370928</v>
      </c>
      <c r="T16">
        <f t="shared" ref="T16" si="59">S16/1000</f>
        <v>5.2850561601370929</v>
      </c>
    </row>
    <row r="17" spans="1:20" x14ac:dyDescent="0.25">
      <c r="A17" s="5">
        <v>44576</v>
      </c>
      <c r="B17">
        <v>5.3419999999999996</v>
      </c>
      <c r="C17">
        <v>5.48</v>
      </c>
      <c r="D17">
        <v>5.2489999999999997</v>
      </c>
      <c r="E17">
        <v>5.2759999999999998</v>
      </c>
      <c r="F17">
        <v>18275278.5</v>
      </c>
      <c r="G17">
        <v>5.2759999999999998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-0.76623376623376582</v>
      </c>
      <c r="Q17">
        <f t="shared" ref="Q17" si="61">F17*P17</f>
        <v>-14003135.474025967</v>
      </c>
      <c r="R17">
        <f t="shared" ref="R17" si="62">R18+Q17</f>
        <v>535599287.16532218</v>
      </c>
      <c r="S17">
        <f t="shared" ref="S17" si="63">R17/100000</f>
        <v>5355.9928716532222</v>
      </c>
      <c r="T17">
        <f t="shared" ref="T17" si="64">S17/1000</f>
        <v>5.3559928716532221</v>
      </c>
    </row>
    <row r="18" spans="1:20" x14ac:dyDescent="0.25">
      <c r="A18" s="5">
        <v>44575</v>
      </c>
      <c r="B18">
        <v>5.0250000000000004</v>
      </c>
      <c r="C18">
        <v>5.4</v>
      </c>
      <c r="D18">
        <v>4.6509999999999998</v>
      </c>
      <c r="E18">
        <v>5.3410000000000002</v>
      </c>
      <c r="F18">
        <v>28694767.100000001</v>
      </c>
      <c r="G18">
        <v>5.3410000000000002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0.84245660881174866</v>
      </c>
      <c r="Q18">
        <f t="shared" ref="Q18" si="66">F18*P18</f>
        <v>24174096.181708936</v>
      </c>
      <c r="R18">
        <f t="shared" ref="R18" si="67">R19+Q18</f>
        <v>549602422.63934815</v>
      </c>
      <c r="S18">
        <f t="shared" ref="S18" si="68">R18/100000</f>
        <v>5496.0242263934815</v>
      </c>
      <c r="T18">
        <f t="shared" ref="T18" si="69">S18/1000</f>
        <v>5.4960242263934811</v>
      </c>
    </row>
    <row r="19" spans="1:20" x14ac:dyDescent="0.25">
      <c r="A19" s="5">
        <v>44574</v>
      </c>
      <c r="B19">
        <v>4.9020000000000001</v>
      </c>
      <c r="C19">
        <v>5.1879999999999997</v>
      </c>
      <c r="D19">
        <v>4.7560000000000002</v>
      </c>
      <c r="E19">
        <v>5.0250000000000004</v>
      </c>
      <c r="F19">
        <v>28138521.399999999</v>
      </c>
      <c r="G19">
        <v>5.0250000000000004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0.2453703703703724</v>
      </c>
      <c r="Q19">
        <f t="shared" ref="Q19" si="71">F19*P19</f>
        <v>6904359.4175926493</v>
      </c>
      <c r="R19">
        <f t="shared" ref="R19" si="72">R20+Q19</f>
        <v>525428326.45763922</v>
      </c>
      <c r="S19">
        <f t="shared" ref="S19" si="73">R19/100000</f>
        <v>5254.283264576392</v>
      </c>
      <c r="T19">
        <f t="shared" ref="T19" si="74">S19/1000</f>
        <v>5.2542832645763919</v>
      </c>
    </row>
    <row r="20" spans="1:20" x14ac:dyDescent="0.25">
      <c r="A20" s="5">
        <v>44573</v>
      </c>
      <c r="B20">
        <v>4.6100000000000003</v>
      </c>
      <c r="C20">
        <v>5.0179999999999998</v>
      </c>
      <c r="D20">
        <v>4.5759999999999996</v>
      </c>
      <c r="E20">
        <v>4.9039999999999999</v>
      </c>
      <c r="F20">
        <v>23638919.899999999</v>
      </c>
      <c r="G20">
        <v>4.9039999999999999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0.48416289592760253</v>
      </c>
      <c r="Q20">
        <f t="shared" ref="Q20" si="76">F20*P20</f>
        <v>11445087.915384632</v>
      </c>
      <c r="R20">
        <f t="shared" ref="R20" si="77">R21+Q20</f>
        <v>518523967.04004657</v>
      </c>
      <c r="S20">
        <f t="shared" ref="S20" si="78">R20/100000</f>
        <v>5185.2396704004659</v>
      </c>
      <c r="T20">
        <f t="shared" ref="T20" si="79">S20/1000</f>
        <v>5.185239670400466</v>
      </c>
    </row>
    <row r="21" spans="1:20" x14ac:dyDescent="0.25">
      <c r="A21" s="5">
        <v>44572</v>
      </c>
      <c r="B21">
        <v>4.3170000000000002</v>
      </c>
      <c r="C21">
        <v>4.6760000000000002</v>
      </c>
      <c r="D21">
        <v>4.2560000000000002</v>
      </c>
      <c r="E21">
        <v>4.6070000000000002</v>
      </c>
      <c r="F21">
        <v>22043562.5</v>
      </c>
      <c r="G21">
        <v>4.6070000000000002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0.6714285714285716</v>
      </c>
      <c r="Q21">
        <f t="shared" ref="Q21" si="81">F21*P21</f>
        <v>14800677.678571433</v>
      </c>
      <c r="R21">
        <f t="shared" ref="R21" si="82">R22+Q21</f>
        <v>507078879.12466192</v>
      </c>
      <c r="S21">
        <f t="shared" ref="S21" si="83">R21/100000</f>
        <v>5070.7887912466194</v>
      </c>
      <c r="T21">
        <f t="shared" ref="T21" si="84">S21/1000</f>
        <v>5.0707887912466196</v>
      </c>
    </row>
    <row r="22" spans="1:20" x14ac:dyDescent="0.25">
      <c r="A22" s="5">
        <v>44571</v>
      </c>
      <c r="B22">
        <v>4.4989999999999997</v>
      </c>
      <c r="C22">
        <v>4.617</v>
      </c>
      <c r="D22">
        <v>4.01</v>
      </c>
      <c r="E22">
        <v>4.3170000000000002</v>
      </c>
      <c r="F22">
        <v>36217444.600000001</v>
      </c>
      <c r="G22">
        <v>4.3170000000000002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1.1532125205931727E-2</v>
      </c>
      <c r="Q22">
        <f t="shared" ref="Q22" si="86">F22*P22</f>
        <v>417664.10576609592</v>
      </c>
      <c r="R22">
        <f t="shared" ref="R22" si="87">R23+Q22</f>
        <v>492278201.44609046</v>
      </c>
      <c r="S22">
        <f t="shared" ref="S22" si="88">R22/100000</f>
        <v>4922.782014460905</v>
      </c>
      <c r="T22">
        <f t="shared" ref="T22" si="89">S22/1000</f>
        <v>4.9227820144609051</v>
      </c>
    </row>
    <row r="23" spans="1:20" x14ac:dyDescent="0.25">
      <c r="A23" s="5">
        <v>44570</v>
      </c>
      <c r="B23">
        <v>4.6029999999999998</v>
      </c>
      <c r="C23">
        <v>4.8710000000000004</v>
      </c>
      <c r="D23">
        <v>4.4950000000000001</v>
      </c>
      <c r="E23">
        <v>4.5030000000000001</v>
      </c>
      <c r="F23">
        <v>25197170.800000001</v>
      </c>
      <c r="G23">
        <v>4.5030000000000001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-0.95744680851063835</v>
      </c>
      <c r="Q23">
        <f t="shared" ref="Q23" si="91">F23*P23</f>
        <v>-24124950.765957449</v>
      </c>
      <c r="R23">
        <f t="shared" ref="R23" si="92">R24+Q23</f>
        <v>491860537.34032434</v>
      </c>
      <c r="S23">
        <f t="shared" ref="S23" si="93">R23/100000</f>
        <v>4918.605373403243</v>
      </c>
      <c r="T23">
        <f t="shared" ref="T23" si="94">S23/1000</f>
        <v>4.9186053734032429</v>
      </c>
    </row>
    <row r="24" spans="1:20" x14ac:dyDescent="0.25">
      <c r="A24" s="5">
        <v>44569</v>
      </c>
      <c r="B24">
        <v>5.0039999999999996</v>
      </c>
      <c r="C24">
        <v>5.2670000000000003</v>
      </c>
      <c r="D24">
        <v>4.3719999999999999</v>
      </c>
      <c r="E24">
        <v>4.6020000000000003</v>
      </c>
      <c r="F24">
        <v>29060311.5</v>
      </c>
      <c r="G24">
        <v>4.6020000000000003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-0.48603351955307195</v>
      </c>
      <c r="Q24">
        <f t="shared" ref="Q24" si="96">F24*P24</f>
        <v>-14124285.477653611</v>
      </c>
      <c r="R24">
        <f t="shared" ref="R24" si="97">R25+Q24</f>
        <v>515985488.10628182</v>
      </c>
      <c r="S24">
        <f t="shared" ref="S24" si="98">R24/100000</f>
        <v>5159.8548810628181</v>
      </c>
      <c r="T24">
        <f t="shared" ref="T24" si="99">S24/1000</f>
        <v>5.1598548810628184</v>
      </c>
    </row>
    <row r="25" spans="1:20" x14ac:dyDescent="0.25">
      <c r="A25" s="5">
        <v>44568</v>
      </c>
      <c r="B25">
        <v>5.4039999999999999</v>
      </c>
      <c r="C25">
        <v>5.4340000000000002</v>
      </c>
      <c r="D25">
        <v>4.72</v>
      </c>
      <c r="E25">
        <v>5.0030000000000001</v>
      </c>
      <c r="F25">
        <v>38835321.899999999</v>
      </c>
      <c r="G25">
        <v>5.0030000000000001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-0.20728291316526554</v>
      </c>
      <c r="Q25">
        <f t="shared" ref="Q25" si="101">F25*P25</f>
        <v>-8049898.6571428347</v>
      </c>
      <c r="R25">
        <f t="shared" ref="R25" si="102">R26+Q25</f>
        <v>530109773.58393544</v>
      </c>
      <c r="S25">
        <f t="shared" ref="S25" si="103">R25/100000</f>
        <v>5301.0977358393548</v>
      </c>
      <c r="T25">
        <f t="shared" ref="T25" si="104">S25/1000</f>
        <v>5.3010977358393552</v>
      </c>
    </row>
    <row r="26" spans="1:20" x14ac:dyDescent="0.25">
      <c r="A26" s="5">
        <v>44567</v>
      </c>
      <c r="B26">
        <v>5.4009999999999998</v>
      </c>
      <c r="C26">
        <v>5.5389999999999997</v>
      </c>
      <c r="D26">
        <v>5.0709999999999997</v>
      </c>
      <c r="E26">
        <v>5.4029999999999996</v>
      </c>
      <c r="F26">
        <v>35636236.100000001</v>
      </c>
      <c r="G26">
        <v>5.4029999999999996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0.41880341880341826</v>
      </c>
      <c r="Q26">
        <f t="shared" ref="Q26" si="106">F26*P26</f>
        <v>14924577.511965793</v>
      </c>
      <c r="R26">
        <f t="shared" ref="R26" si="107">R27+Q26</f>
        <v>538159672.24107826</v>
      </c>
      <c r="S26">
        <f t="shared" ref="S26" si="108">R26/100000</f>
        <v>5381.5967224107826</v>
      </c>
      <c r="T26">
        <f t="shared" ref="T26" si="109">S26/1000</f>
        <v>5.3815967224107828</v>
      </c>
    </row>
    <row r="27" spans="1:20" x14ac:dyDescent="0.25">
      <c r="A27" s="5">
        <v>44566</v>
      </c>
      <c r="B27">
        <v>6.0780000000000003</v>
      </c>
      <c r="C27">
        <v>6.43</v>
      </c>
      <c r="D27">
        <v>4.9909999999999997</v>
      </c>
      <c r="E27">
        <v>5.4029999999999996</v>
      </c>
      <c r="F27">
        <v>35907376.5</v>
      </c>
      <c r="G27">
        <v>5.4029999999999996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-0.42738012508686601</v>
      </c>
      <c r="Q27">
        <f t="shared" ref="Q27" si="111">F27*P27</f>
        <v>-15346099.060111193</v>
      </c>
      <c r="R27">
        <f t="shared" ref="R27" si="112">R28+Q27</f>
        <v>523235094.72911251</v>
      </c>
      <c r="S27">
        <f t="shared" ref="S27" si="113">R27/100000</f>
        <v>5232.3509472911246</v>
      </c>
      <c r="T27">
        <f t="shared" ref="T27" si="114">S27/1000</f>
        <v>5.2323509472911249</v>
      </c>
    </row>
    <row r="28" spans="1:20" x14ac:dyDescent="0.25">
      <c r="A28" s="5">
        <v>44565</v>
      </c>
      <c r="B28">
        <v>6.5179999999999998</v>
      </c>
      <c r="C28">
        <v>6.8</v>
      </c>
      <c r="D28">
        <v>6.0519999999999996</v>
      </c>
      <c r="E28">
        <v>6.0780000000000003</v>
      </c>
      <c r="F28">
        <v>35254702.906000003</v>
      </c>
      <c r="G28">
        <v>6.0780000000000003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-0.93048128342245806</v>
      </c>
      <c r="Q28">
        <f t="shared" ref="Q28" si="116">F28*P28</f>
        <v>-32803841.206652343</v>
      </c>
      <c r="R28">
        <f t="shared" ref="R28" si="117">R29+Q28</f>
        <v>538581193.78922367</v>
      </c>
      <c r="S28">
        <f t="shared" ref="S28" si="118">R28/100000</f>
        <v>5385.8119378922365</v>
      </c>
      <c r="T28">
        <f t="shared" ref="T28" si="119">S28/1000</f>
        <v>5.3858119378922362</v>
      </c>
    </row>
    <row r="29" spans="1:20" x14ac:dyDescent="0.25">
      <c r="A29" s="5">
        <v>44564</v>
      </c>
      <c r="B29">
        <v>6.04</v>
      </c>
      <c r="C29">
        <v>6.7380000000000004</v>
      </c>
      <c r="D29">
        <v>5.7320000000000002</v>
      </c>
      <c r="E29">
        <v>6.5179999999999998</v>
      </c>
      <c r="F29">
        <v>41371145.626000002</v>
      </c>
      <c r="G29">
        <v>6.5179999999999998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0.56262425447315989</v>
      </c>
      <c r="Q29">
        <f t="shared" ref="Q29" si="121">F29*P29</f>
        <v>23276409.96452878</v>
      </c>
      <c r="R29">
        <f t="shared" ref="R29" si="122">R30+Q29</f>
        <v>571385034.99587595</v>
      </c>
      <c r="S29">
        <f t="shared" ref="S29" si="123">R29/100000</f>
        <v>5713.8503499587596</v>
      </c>
      <c r="T29">
        <f t="shared" ref="T29" si="124">S29/1000</f>
        <v>5.7138503499587596</v>
      </c>
    </row>
    <row r="30" spans="1:20" x14ac:dyDescent="0.25">
      <c r="A30" s="5">
        <v>44563</v>
      </c>
      <c r="B30">
        <v>6.2030000000000003</v>
      </c>
      <c r="C30">
        <v>6.4580000000000002</v>
      </c>
      <c r="D30">
        <v>5.9050000000000002</v>
      </c>
      <c r="E30">
        <v>6.0410000000000004</v>
      </c>
      <c r="F30">
        <v>27522425.026000001</v>
      </c>
      <c r="G30">
        <v>6.0410000000000004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-0.50813743218806462</v>
      </c>
      <c r="Q30">
        <f t="shared" ref="Q30" si="126">F30*P30</f>
        <v>-13985174.380300168</v>
      </c>
      <c r="R30">
        <f t="shared" ref="R30" si="127">R31+Q30</f>
        <v>548108625.03134716</v>
      </c>
      <c r="S30">
        <f t="shared" ref="S30" si="128">R30/100000</f>
        <v>5481.0862503134713</v>
      </c>
      <c r="T30">
        <f t="shared" ref="T30" si="129">S30/1000</f>
        <v>5.4810862503134716</v>
      </c>
    </row>
    <row r="31" spans="1:20" x14ac:dyDescent="0.25">
      <c r="A31" s="5">
        <v>44562</v>
      </c>
      <c r="B31">
        <v>5.3159999999999998</v>
      </c>
      <c r="C31">
        <v>6.2990000000000004</v>
      </c>
      <c r="D31">
        <v>5.3150000000000004</v>
      </c>
      <c r="E31">
        <v>6.2030000000000003</v>
      </c>
      <c r="F31">
        <v>33845546.899999999</v>
      </c>
      <c r="G31">
        <v>6.2030000000000003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0.80487804878048763</v>
      </c>
      <c r="Q31">
        <f t="shared" ref="Q31" si="131">F31*P31</f>
        <v>27241537.748780482</v>
      </c>
      <c r="R31">
        <f t="shared" ref="R31" si="132">R32+Q31</f>
        <v>562093799.41164732</v>
      </c>
      <c r="S31">
        <f t="shared" ref="S31" si="133">R31/100000</f>
        <v>5620.9379941164734</v>
      </c>
      <c r="T31">
        <f t="shared" ref="T31" si="134">S31/1000</f>
        <v>5.6209379941164732</v>
      </c>
    </row>
    <row r="32" spans="1:20" x14ac:dyDescent="0.25">
      <c r="A32" s="5">
        <v>44561</v>
      </c>
      <c r="B32">
        <v>5.1150000000000002</v>
      </c>
      <c r="C32">
        <v>5.7220000000000004</v>
      </c>
      <c r="D32">
        <v>5.0030000000000001</v>
      </c>
      <c r="E32">
        <v>5.319</v>
      </c>
      <c r="F32">
        <v>30065217.100000001</v>
      </c>
      <c r="G32">
        <v>5.319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-0.12100139082058498</v>
      </c>
      <c r="Q32">
        <f t="shared" ref="Q32" si="136">F32*P32</f>
        <v>-3637933.0844228347</v>
      </c>
      <c r="R32">
        <f t="shared" ref="R32" si="137">R33+Q32</f>
        <v>534852261.66286683</v>
      </c>
      <c r="S32">
        <f t="shared" ref="S32" si="138">R32/100000</f>
        <v>5348.5226166286684</v>
      </c>
      <c r="T32">
        <f t="shared" ref="T32" si="139">S32/1000</f>
        <v>5.3485226166286681</v>
      </c>
    </row>
    <row r="33" spans="1:20" x14ac:dyDescent="0.25">
      <c r="A33" s="5">
        <v>44560</v>
      </c>
      <c r="B33">
        <v>4.8520000000000003</v>
      </c>
      <c r="C33">
        <v>5.28</v>
      </c>
      <c r="D33">
        <v>4.6550000000000002</v>
      </c>
      <c r="E33">
        <v>5.1139999999999999</v>
      </c>
      <c r="F33">
        <v>24814561.300000001</v>
      </c>
      <c r="G33">
        <v>5.1139999999999999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0.46879999999999883</v>
      </c>
      <c r="Q33">
        <f t="shared" ref="Q33" si="141">F33*P33</f>
        <v>11633066.337439971</v>
      </c>
      <c r="R33">
        <f t="shared" ref="R33" si="142">R34+Q33</f>
        <v>538490194.74728966</v>
      </c>
      <c r="S33">
        <f t="shared" ref="S33" si="143">R33/100000</f>
        <v>5384.9019474728966</v>
      </c>
      <c r="T33">
        <f t="shared" ref="T33" si="144">S33/1000</f>
        <v>5.3849019474728967</v>
      </c>
    </row>
    <row r="34" spans="1:20" x14ac:dyDescent="0.25">
      <c r="A34" s="5">
        <v>44559</v>
      </c>
      <c r="B34">
        <v>4.7190000000000003</v>
      </c>
      <c r="C34">
        <v>5.202</v>
      </c>
      <c r="D34">
        <v>4.6989999999999998</v>
      </c>
      <c r="E34">
        <v>4.851</v>
      </c>
      <c r="F34">
        <v>32752038</v>
      </c>
      <c r="G34">
        <v>4.851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-0.39562624254473122</v>
      </c>
      <c r="Q34">
        <f t="shared" ref="Q34" si="146">F34*P34</f>
        <v>-12957565.729622254</v>
      </c>
      <c r="R34">
        <f t="shared" ref="R34" si="147">R35+Q34</f>
        <v>526857128.40984964</v>
      </c>
      <c r="S34">
        <f t="shared" ref="S34" si="148">R34/100000</f>
        <v>5268.5712840984961</v>
      </c>
      <c r="T34">
        <f t="shared" ref="T34" si="149">S34/1000</f>
        <v>5.2685712840984964</v>
      </c>
    </row>
    <row r="35" spans="1:20" x14ac:dyDescent="0.25">
      <c r="A35" s="5">
        <v>44558</v>
      </c>
      <c r="B35">
        <v>5.2770000000000001</v>
      </c>
      <c r="C35">
        <v>5.2910000000000004</v>
      </c>
      <c r="D35">
        <v>4.6459999999999999</v>
      </c>
      <c r="E35">
        <v>4.7190000000000003</v>
      </c>
      <c r="F35">
        <v>29473029.600000001</v>
      </c>
      <c r="G35">
        <v>4.7190000000000003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-0.77364341085271215</v>
      </c>
      <c r="Q35">
        <f t="shared" ref="Q35" si="151">F35*P35</f>
        <v>-22801615.147906948</v>
      </c>
      <c r="R35">
        <f t="shared" ref="R35" si="152">R36+Q35</f>
        <v>539814694.13947189</v>
      </c>
      <c r="S35">
        <f t="shared" ref="S35" si="153">R35/100000</f>
        <v>5398.1469413947189</v>
      </c>
      <c r="T35">
        <f t="shared" ref="T35" si="154">S35/1000</f>
        <v>5.3981469413947192</v>
      </c>
    </row>
    <row r="36" spans="1:20" x14ac:dyDescent="0.25">
      <c r="A36" s="5">
        <v>44557</v>
      </c>
      <c r="B36">
        <v>5.7359999999999998</v>
      </c>
      <c r="C36">
        <v>5.8</v>
      </c>
      <c r="D36">
        <v>5.2640000000000002</v>
      </c>
      <c r="E36">
        <v>5.2779999999999996</v>
      </c>
      <c r="F36">
        <v>15348653.9</v>
      </c>
      <c r="G36">
        <v>5.2779999999999996</v>
      </c>
      <c r="L36" t="s">
        <v>7</v>
      </c>
      <c r="M36" t="s">
        <v>8</v>
      </c>
      <c r="N36" t="s">
        <v>8</v>
      </c>
      <c r="P36">
        <f t="shared" ref="P36" si="155">IF(C36=D36,0,((E36-D36)-(C36-E36))/(C36-D36))</f>
        <v>-0.94776119402985315</v>
      </c>
      <c r="Q36">
        <f t="shared" ref="Q36" si="156">F36*P36</f>
        <v>-14546858.547014963</v>
      </c>
      <c r="R36">
        <f t="shared" ref="R36" si="157">R37+Q36</f>
        <v>562616309.28737879</v>
      </c>
      <c r="S36">
        <f t="shared" ref="S36" si="158">R36/100000</f>
        <v>5626.1630928737877</v>
      </c>
      <c r="T36">
        <f t="shared" ref="T36" si="159">S36/1000</f>
        <v>5.6261630928737878</v>
      </c>
    </row>
    <row r="37" spans="1:20" x14ac:dyDescent="0.25">
      <c r="A37" s="5">
        <v>44556</v>
      </c>
      <c r="B37">
        <v>5.8339999999999996</v>
      </c>
      <c r="C37">
        <v>6.0759999999999996</v>
      </c>
      <c r="D37">
        <v>5.6310000000000002</v>
      </c>
      <c r="E37">
        <v>5.7389999999999999</v>
      </c>
      <c r="F37">
        <v>23026594.199999999</v>
      </c>
      <c r="G37">
        <v>5.7389999999999999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-0.51460674157303465</v>
      </c>
      <c r="Q37">
        <f t="shared" ref="Q37" si="161">F37*P37</f>
        <v>-11849640.610786539</v>
      </c>
      <c r="R37">
        <f t="shared" ref="R37" si="162">R38+Q37</f>
        <v>577163167.83439374</v>
      </c>
      <c r="S37">
        <f t="shared" ref="S37" si="163">R37/100000</f>
        <v>5771.631678343937</v>
      </c>
      <c r="T37">
        <f t="shared" ref="T37" si="164">S37/1000</f>
        <v>5.7716316783439368</v>
      </c>
    </row>
    <row r="38" spans="1:20" x14ac:dyDescent="0.25">
      <c r="A38" s="5">
        <v>44555</v>
      </c>
      <c r="B38">
        <v>5.19</v>
      </c>
      <c r="C38">
        <v>5.907</v>
      </c>
      <c r="D38">
        <v>5.12</v>
      </c>
      <c r="E38">
        <v>5.8339999999999996</v>
      </c>
      <c r="F38">
        <v>21755772.699999999</v>
      </c>
      <c r="G38">
        <v>5.8339999999999996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0.81448538754764832</v>
      </c>
      <c r="Q38">
        <f t="shared" ref="Q38" si="166">F38*P38</f>
        <v>17719758.958958048</v>
      </c>
      <c r="R38">
        <f t="shared" ref="R38" si="167">R39+Q38</f>
        <v>589012808.4451803</v>
      </c>
      <c r="S38">
        <f t="shared" ref="S38" si="168">R38/100000</f>
        <v>5890.1280844518033</v>
      </c>
      <c r="T38">
        <f t="shared" ref="T38" si="169">S38/1000</f>
        <v>5.8901280844518036</v>
      </c>
    </row>
    <row r="39" spans="1:20" x14ac:dyDescent="0.25">
      <c r="A39" s="5">
        <v>44554</v>
      </c>
      <c r="B39">
        <v>5.1929999999999996</v>
      </c>
      <c r="C39">
        <v>5.6180000000000003</v>
      </c>
      <c r="D39">
        <v>5.0270000000000001</v>
      </c>
      <c r="E39">
        <v>5.1890000000000001</v>
      </c>
      <c r="F39">
        <v>22528485.600000001</v>
      </c>
      <c r="G39">
        <v>5.1890000000000001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-0.45177664974619336</v>
      </c>
      <c r="Q39">
        <f t="shared" ref="Q39" si="171">F39*P39</f>
        <v>-10177843.748223361</v>
      </c>
      <c r="R39">
        <f t="shared" ref="R39" si="172">R40+Q39</f>
        <v>571293049.48622227</v>
      </c>
      <c r="S39">
        <f t="shared" ref="S39" si="173">R39/100000</f>
        <v>5712.930494862223</v>
      </c>
      <c r="T39">
        <f t="shared" ref="T39" si="174">S39/1000</f>
        <v>5.7129304948622233</v>
      </c>
    </row>
    <row r="40" spans="1:20" x14ac:dyDescent="0.25">
      <c r="A40" s="5">
        <v>44553</v>
      </c>
      <c r="B40">
        <v>5.0540000000000003</v>
      </c>
      <c r="C40">
        <v>5.4379999999999997</v>
      </c>
      <c r="D40">
        <v>4.9059999999999997</v>
      </c>
      <c r="E40">
        <v>5.1920000000000002</v>
      </c>
      <c r="F40">
        <v>30287009.800000001</v>
      </c>
      <c r="G40">
        <v>5.1920000000000002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7.5187969924813761E-2</v>
      </c>
      <c r="Q40">
        <f t="shared" ref="Q40" si="176">F40*P40</f>
        <v>2277218.7819549395</v>
      </c>
      <c r="R40">
        <f t="shared" ref="R40" si="177">R41+Q40</f>
        <v>581470893.23444557</v>
      </c>
      <c r="S40">
        <f t="shared" ref="S40" si="178">R40/100000</f>
        <v>5814.7089323444561</v>
      </c>
      <c r="T40">
        <f t="shared" ref="T40" si="179">S40/1000</f>
        <v>5.8147089323444563</v>
      </c>
    </row>
    <row r="41" spans="1:20" x14ac:dyDescent="0.25">
      <c r="A41" s="5">
        <v>44552</v>
      </c>
      <c r="B41">
        <v>4.6210000000000004</v>
      </c>
      <c r="C41">
        <v>5.2850000000000001</v>
      </c>
      <c r="D41">
        <v>4.6139999999999999</v>
      </c>
      <c r="E41">
        <v>5.0529999999999999</v>
      </c>
      <c r="F41">
        <v>33252706.199999999</v>
      </c>
      <c r="G41">
        <v>5.0529999999999999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0.30849478390461965</v>
      </c>
      <c r="Q41">
        <f t="shared" ref="Q41" si="181">F41*P41</f>
        <v>10258286.413412806</v>
      </c>
      <c r="R41">
        <f t="shared" ref="R41" si="182">R42+Q41</f>
        <v>579193674.45249069</v>
      </c>
      <c r="S41">
        <f t="shared" ref="S41" si="183">R41/100000</f>
        <v>5791.9367445249072</v>
      </c>
      <c r="T41">
        <f t="shared" ref="T41" si="184">S41/1000</f>
        <v>5.7919367445249073</v>
      </c>
    </row>
    <row r="42" spans="1:20" x14ac:dyDescent="0.25">
      <c r="A42" s="5">
        <v>44551</v>
      </c>
      <c r="B42">
        <v>4.1189999999999998</v>
      </c>
      <c r="C42">
        <v>4.6390000000000002</v>
      </c>
      <c r="D42">
        <v>4.032</v>
      </c>
      <c r="E42">
        <v>4.6210000000000004</v>
      </c>
      <c r="F42">
        <v>16911352.399999999</v>
      </c>
      <c r="G42">
        <v>4.6210000000000004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0.94069192751235653</v>
      </c>
      <c r="Q42">
        <f t="shared" ref="Q42" si="186">F42*P42</f>
        <v>15908372.685996715</v>
      </c>
      <c r="R42">
        <f t="shared" ref="R42" si="187">R43+Q42</f>
        <v>568935388.03907788</v>
      </c>
      <c r="S42">
        <f t="shared" ref="S42" si="188">R42/100000</f>
        <v>5689.3538803907786</v>
      </c>
      <c r="T42">
        <f t="shared" ref="T42" si="189">S42/1000</f>
        <v>5.6893538803907786</v>
      </c>
    </row>
    <row r="43" spans="1:20" x14ac:dyDescent="0.25">
      <c r="A43" s="5">
        <v>44550</v>
      </c>
      <c r="B43">
        <v>4.1669999999999998</v>
      </c>
      <c r="C43">
        <v>4.3</v>
      </c>
      <c r="D43">
        <v>3.7839999999999998</v>
      </c>
      <c r="E43">
        <v>4.1210000000000004</v>
      </c>
      <c r="F43">
        <v>24627060.600000001</v>
      </c>
      <c r="G43">
        <v>4.1210000000000004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0.30620155038759933</v>
      </c>
      <c r="Q43">
        <f t="shared" ref="Q43" si="191">F43*P43</f>
        <v>7540844.1372093624</v>
      </c>
      <c r="R43">
        <f t="shared" ref="R43" si="192">R44+Q43</f>
        <v>553027015.35308111</v>
      </c>
      <c r="S43">
        <f t="shared" ref="S43" si="193">R43/100000</f>
        <v>5530.2701535308115</v>
      </c>
      <c r="T43">
        <f t="shared" ref="T43" si="194">S43/1000</f>
        <v>5.5302701535308119</v>
      </c>
    </row>
    <row r="44" spans="1:20" x14ac:dyDescent="0.25">
      <c r="A44" s="5">
        <v>44549</v>
      </c>
      <c r="B44">
        <v>4.516</v>
      </c>
      <c r="C44">
        <v>4.5999999999999996</v>
      </c>
      <c r="D44">
        <v>4.1130000000000004</v>
      </c>
      <c r="E44">
        <v>4.17</v>
      </c>
      <c r="F44">
        <v>13268857.6</v>
      </c>
      <c r="G44">
        <v>4.17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-0.76591375770020698</v>
      </c>
      <c r="Q44">
        <f t="shared" ref="Q44" si="196">F44*P44</f>
        <v>-10162800.58480495</v>
      </c>
      <c r="R44">
        <f t="shared" ref="R44" si="197">R45+Q44</f>
        <v>545486171.21587169</v>
      </c>
      <c r="S44">
        <f t="shared" ref="S44" si="198">R44/100000</f>
        <v>5454.8617121587167</v>
      </c>
      <c r="T44">
        <f t="shared" ref="T44" si="199">S44/1000</f>
        <v>5.4548617121587171</v>
      </c>
    </row>
    <row r="45" spans="1:20" x14ac:dyDescent="0.25">
      <c r="A45" s="5">
        <v>44548</v>
      </c>
      <c r="B45">
        <v>4.2779999999999996</v>
      </c>
      <c r="C45">
        <v>4.617</v>
      </c>
      <c r="D45">
        <v>4.101</v>
      </c>
      <c r="E45">
        <v>4.5140000000000002</v>
      </c>
      <c r="F45">
        <v>33894479.299999997</v>
      </c>
      <c r="G45">
        <v>4.5140000000000002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0.60077519379845057</v>
      </c>
      <c r="Q45">
        <f t="shared" ref="Q45" si="201">F45*P45</f>
        <v>20362962.37015507</v>
      </c>
      <c r="R45">
        <f t="shared" ref="R45" si="202">R46+Q45</f>
        <v>555648971.80067658</v>
      </c>
      <c r="S45">
        <f t="shared" ref="S45" si="203">R45/100000</f>
        <v>5556.4897180067655</v>
      </c>
      <c r="T45">
        <f t="shared" ref="T45" si="204">S45/1000</f>
        <v>5.5564897180067652</v>
      </c>
    </row>
    <row r="46" spans="1:20" x14ac:dyDescent="0.25">
      <c r="A46" s="5">
        <v>44547</v>
      </c>
      <c r="B46">
        <v>3.8260000000000001</v>
      </c>
      <c r="C46">
        <v>4.5</v>
      </c>
      <c r="D46">
        <v>3.7050000000000001</v>
      </c>
      <c r="E46">
        <v>4.2759999999999998</v>
      </c>
      <c r="F46">
        <v>34306042.299999997</v>
      </c>
      <c r="G46">
        <v>4.2759999999999998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0.43647798742138311</v>
      </c>
      <c r="Q46">
        <f t="shared" ref="Q46" si="206">F46*P46</f>
        <v>14973832.299496835</v>
      </c>
      <c r="R46">
        <f t="shared" ref="R46" si="207">R47+Q46</f>
        <v>535286009.43052149</v>
      </c>
      <c r="S46">
        <f t="shared" ref="S46" si="208">R46/100000</f>
        <v>5352.8600943052152</v>
      </c>
      <c r="T46">
        <f t="shared" ref="T46" si="209">S46/1000</f>
        <v>5.3528600943052149</v>
      </c>
    </row>
    <row r="47" spans="1:20" x14ac:dyDescent="0.25">
      <c r="A47" s="5">
        <v>44546</v>
      </c>
      <c r="B47">
        <v>3.702</v>
      </c>
      <c r="C47">
        <v>4.09</v>
      </c>
      <c r="D47">
        <v>3.6960000000000002</v>
      </c>
      <c r="E47">
        <v>3.827</v>
      </c>
      <c r="F47">
        <v>18851166.800000001</v>
      </c>
      <c r="G47">
        <v>3.827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-0.33502538071066046</v>
      </c>
      <c r="Q47">
        <f t="shared" ref="Q47" si="211">F47*P47</f>
        <v>-6315619.3340101633</v>
      </c>
      <c r="R47">
        <f t="shared" ref="R47" si="212">R48+Q47</f>
        <v>520312177.13102466</v>
      </c>
      <c r="S47">
        <f t="shared" ref="S47" si="213">R47/100000</f>
        <v>5203.1217713102469</v>
      </c>
      <c r="T47">
        <f t="shared" ref="T47" si="214">S47/1000</f>
        <v>5.2031217713102471</v>
      </c>
    </row>
    <row r="48" spans="1:20" x14ac:dyDescent="0.25">
      <c r="A48" s="5">
        <v>44545</v>
      </c>
      <c r="B48">
        <v>3.427</v>
      </c>
      <c r="C48">
        <v>3.8159999999999998</v>
      </c>
      <c r="D48">
        <v>3.2250000000000001</v>
      </c>
      <c r="E48">
        <v>3.7010000000000001</v>
      </c>
      <c r="F48">
        <v>17033888.300000001</v>
      </c>
      <c r="G48">
        <v>3.7010000000000001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0.61082910321489059</v>
      </c>
      <c r="Q48">
        <f t="shared" ref="Q48" si="216">F48*P48</f>
        <v>10404794.714551618</v>
      </c>
      <c r="R48">
        <f t="shared" ref="R48" si="217">R49+Q48</f>
        <v>526627796.46503484</v>
      </c>
      <c r="S48">
        <f t="shared" ref="S48" si="218">R48/100000</f>
        <v>5266.2779646503486</v>
      </c>
      <c r="T48">
        <f t="shared" ref="T48" si="219">S48/1000</f>
        <v>5.2662779646503486</v>
      </c>
    </row>
    <row r="49" spans="1:20" x14ac:dyDescent="0.25">
      <c r="A49" s="5">
        <v>44544</v>
      </c>
      <c r="B49">
        <v>3.327</v>
      </c>
      <c r="C49">
        <v>3.4689999999999999</v>
      </c>
      <c r="D49">
        <v>3.2280000000000002</v>
      </c>
      <c r="E49">
        <v>3.4279999999999999</v>
      </c>
      <c r="F49">
        <v>9412229.8000000007</v>
      </c>
      <c r="G49">
        <v>3.4279999999999999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0.65975103734439844</v>
      </c>
      <c r="Q49">
        <f t="shared" ref="Q49" si="221">F49*P49</f>
        <v>6209728.3742738599</v>
      </c>
      <c r="R49">
        <f t="shared" ref="R49" si="222">R50+Q49</f>
        <v>516223001.75048321</v>
      </c>
      <c r="S49">
        <f t="shared" ref="S49" si="223">R49/100000</f>
        <v>5162.2300175048322</v>
      </c>
      <c r="T49">
        <f t="shared" ref="T49" si="224">S49/1000</f>
        <v>5.1622300175048323</v>
      </c>
    </row>
    <row r="50" spans="1:20" x14ac:dyDescent="0.25">
      <c r="A50" s="5">
        <v>44543</v>
      </c>
      <c r="B50">
        <v>3.835</v>
      </c>
      <c r="C50">
        <v>3.8980000000000001</v>
      </c>
      <c r="D50">
        <v>3.2370000000000001</v>
      </c>
      <c r="E50">
        <v>3.33</v>
      </c>
      <c r="F50">
        <v>16699934.800000001</v>
      </c>
      <c r="G50">
        <v>3.33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-0.71860816944024219</v>
      </c>
      <c r="Q50">
        <f t="shared" ref="Q50" si="226">F50*P50</f>
        <v>-12000709.576399397</v>
      </c>
      <c r="R50">
        <f t="shared" ref="R50" si="227">R51+Q50</f>
        <v>510013273.37620938</v>
      </c>
      <c r="S50">
        <f t="shared" ref="S50" si="228">R50/100000</f>
        <v>5100.1327337620942</v>
      </c>
      <c r="T50">
        <f t="shared" ref="T50" si="229">S50/1000</f>
        <v>5.1001327337620941</v>
      </c>
    </row>
    <row r="51" spans="1:20" x14ac:dyDescent="0.25">
      <c r="A51" s="5">
        <v>44542</v>
      </c>
      <c r="B51">
        <v>3.7480000000000002</v>
      </c>
      <c r="C51">
        <v>3.8879999999999999</v>
      </c>
      <c r="D51">
        <v>3.569</v>
      </c>
      <c r="E51">
        <v>3.8330000000000002</v>
      </c>
      <c r="F51">
        <v>9323157.0999999996</v>
      </c>
      <c r="G51">
        <v>3.8330000000000002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0.6551724137931052</v>
      </c>
      <c r="Q51">
        <f t="shared" ref="Q51" si="231">F51*P51</f>
        <v>6108275.3413793268</v>
      </c>
      <c r="R51">
        <f t="shared" ref="R51" si="232">R52+Q51</f>
        <v>522013982.95260876</v>
      </c>
      <c r="S51">
        <f t="shared" ref="S51" si="233">R51/100000</f>
        <v>5220.1398295260879</v>
      </c>
      <c r="T51">
        <f t="shared" ref="T51" si="234">S51/1000</f>
        <v>5.2201398295260875</v>
      </c>
    </row>
    <row r="52" spans="1:20" x14ac:dyDescent="0.25">
      <c r="A52" s="5">
        <v>44541</v>
      </c>
      <c r="B52">
        <v>3.3439999999999999</v>
      </c>
      <c r="C52">
        <v>3.411</v>
      </c>
      <c r="D52">
        <v>3.2850000000000001</v>
      </c>
      <c r="E52">
        <v>3.3860000000000001</v>
      </c>
      <c r="F52">
        <v>686412.80000000005</v>
      </c>
      <c r="G52">
        <v>3.3860000000000001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0.60317460317460425</v>
      </c>
      <c r="Q52">
        <f t="shared" ref="Q52" si="236">F52*P52</f>
        <v>414026.76825396903</v>
      </c>
      <c r="R52">
        <f t="shared" ref="R52" si="237">R53+Q52</f>
        <v>515905707.61122942</v>
      </c>
      <c r="S52">
        <f t="shared" ref="S52" si="238">R52/100000</f>
        <v>5159.0570761122945</v>
      </c>
      <c r="T52">
        <f t="shared" ref="T52" si="239">S52/1000</f>
        <v>5.159057076112294</v>
      </c>
    </row>
    <row r="53" spans="1:20" x14ac:dyDescent="0.25">
      <c r="A53" s="5">
        <v>44540</v>
      </c>
      <c r="B53">
        <v>3.6579999999999999</v>
      </c>
      <c r="C53">
        <v>3.7890000000000001</v>
      </c>
      <c r="D53">
        <v>3.3260000000000001</v>
      </c>
      <c r="E53">
        <v>3.3410000000000002</v>
      </c>
      <c r="F53">
        <v>12140377</v>
      </c>
      <c r="G53">
        <v>3.3410000000000002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-0.93520518358531268</v>
      </c>
      <c r="Q53">
        <f t="shared" ref="Q53" si="241">F53*P53</f>
        <v>-11353743.501079908</v>
      </c>
      <c r="R53">
        <f t="shared" ref="R53" si="242">R54+Q53</f>
        <v>515491680.84297544</v>
      </c>
      <c r="S53">
        <f t="shared" ref="S53" si="243">R53/100000</f>
        <v>5154.9168084297544</v>
      </c>
      <c r="T53">
        <f t="shared" ref="T53" si="244">S53/1000</f>
        <v>5.1549168084297543</v>
      </c>
    </row>
    <row r="54" spans="1:20" x14ac:dyDescent="0.25">
      <c r="A54" s="5">
        <v>44539</v>
      </c>
      <c r="B54">
        <v>4.18</v>
      </c>
      <c r="C54">
        <v>4.2720000000000002</v>
      </c>
      <c r="D54">
        <v>3.6</v>
      </c>
      <c r="E54">
        <v>3.6629999999999998</v>
      </c>
      <c r="F54">
        <v>14935141.4</v>
      </c>
      <c r="G54">
        <v>3.6629999999999998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-0.81250000000000089</v>
      </c>
      <c r="Q54">
        <f t="shared" ref="Q54" si="246">F54*P54</f>
        <v>-12134802.387500014</v>
      </c>
      <c r="R54">
        <f t="shared" ref="R54" si="247">R55+Q54</f>
        <v>526845424.34405535</v>
      </c>
      <c r="S54">
        <f t="shared" ref="S54" si="248">R54/100000</f>
        <v>5268.4542434405539</v>
      </c>
      <c r="T54">
        <f t="shared" ref="T54" si="249">S54/1000</f>
        <v>5.2684542434405541</v>
      </c>
    </row>
    <row r="55" spans="1:20" x14ac:dyDescent="0.25">
      <c r="A55" s="5">
        <v>44538</v>
      </c>
      <c r="B55">
        <v>4.157</v>
      </c>
      <c r="C55">
        <v>4.2210000000000001</v>
      </c>
      <c r="D55">
        <v>3.7730000000000001</v>
      </c>
      <c r="E55">
        <v>4.1779999999999999</v>
      </c>
      <c r="F55">
        <v>14938578.4</v>
      </c>
      <c r="G55">
        <v>4.1779999999999999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0.80803571428571364</v>
      </c>
      <c r="Q55">
        <f t="shared" ref="Q55" si="251">F55*P55</f>
        <v>12070904.867857134</v>
      </c>
      <c r="R55">
        <f t="shared" ref="R55" si="252">R56+Q55</f>
        <v>538980226.73155534</v>
      </c>
      <c r="S55">
        <f t="shared" ref="S55" si="253">R55/100000</f>
        <v>5389.8022673155538</v>
      </c>
      <c r="T55">
        <f t="shared" ref="T55" si="254">S55/1000</f>
        <v>5.3898022673155541</v>
      </c>
    </row>
    <row r="56" spans="1:20" x14ac:dyDescent="0.25">
      <c r="A56" s="5">
        <v>44537</v>
      </c>
      <c r="B56">
        <v>3.7090000000000001</v>
      </c>
      <c r="C56">
        <v>4.2</v>
      </c>
      <c r="D56">
        <v>3.6680000000000001</v>
      </c>
      <c r="E56">
        <v>4.1580000000000004</v>
      </c>
      <c r="F56">
        <v>20129630.600000001</v>
      </c>
      <c r="G56">
        <v>4.1580000000000004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0.84210526315789547</v>
      </c>
      <c r="Q56">
        <f t="shared" ref="Q56" si="256">F56*P56</f>
        <v>16951267.873684227</v>
      </c>
      <c r="R56">
        <f t="shared" ref="R56" si="257">R57+Q56</f>
        <v>526909321.86369818</v>
      </c>
      <c r="S56">
        <f t="shared" ref="S56" si="258">R56/100000</f>
        <v>5269.0932186369819</v>
      </c>
      <c r="T56">
        <f t="shared" ref="T56" si="259">S56/1000</f>
        <v>5.2690932186369821</v>
      </c>
    </row>
    <row r="57" spans="1:20" x14ac:dyDescent="0.25">
      <c r="A57" s="5">
        <v>44536</v>
      </c>
      <c r="B57">
        <v>3.6259999999999999</v>
      </c>
      <c r="C57">
        <v>3.85</v>
      </c>
      <c r="D57">
        <v>3.2050000000000001</v>
      </c>
      <c r="E57">
        <v>3.71</v>
      </c>
      <c r="F57">
        <v>26044588.600000001</v>
      </c>
      <c r="G57">
        <v>3.71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0.56589147286821673</v>
      </c>
      <c r="Q57">
        <f t="shared" ref="Q57" si="261">F57*P57</f>
        <v>14738410.603100767</v>
      </c>
      <c r="R57">
        <f t="shared" ref="R57" si="262">R58+Q57</f>
        <v>509958053.99001396</v>
      </c>
      <c r="S57">
        <f t="shared" ref="S57" si="263">R57/100000</f>
        <v>5099.5805399001392</v>
      </c>
      <c r="T57">
        <f t="shared" ref="T57" si="264">S57/1000</f>
        <v>5.0995805399001393</v>
      </c>
    </row>
    <row r="58" spans="1:20" x14ac:dyDescent="0.25">
      <c r="A58" s="5">
        <v>44535</v>
      </c>
      <c r="B58">
        <v>3.746</v>
      </c>
      <c r="C58">
        <v>3.964</v>
      </c>
      <c r="D58">
        <v>3.335</v>
      </c>
      <c r="E58">
        <v>3.62</v>
      </c>
      <c r="F58">
        <v>20957918.300000001</v>
      </c>
      <c r="G58">
        <v>3.62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-9.3799682034975712E-2</v>
      </c>
      <c r="Q58">
        <f t="shared" ref="Q58" si="266">F58*P58</f>
        <v>-1965846.0726549989</v>
      </c>
      <c r="R58">
        <f t="shared" ref="R58" si="267">R59+Q58</f>
        <v>495219643.38691318</v>
      </c>
      <c r="S58">
        <f t="shared" ref="S58" si="268">R58/100000</f>
        <v>4952.1964338691314</v>
      </c>
      <c r="T58">
        <f t="shared" ref="T58" si="269">S58/1000</f>
        <v>4.9521964338691316</v>
      </c>
    </row>
    <row r="59" spans="1:20" x14ac:dyDescent="0.25">
      <c r="A59" s="5">
        <v>44534</v>
      </c>
      <c r="B59">
        <v>4.3650000000000002</v>
      </c>
      <c r="C59">
        <v>4.4290000000000003</v>
      </c>
      <c r="D59">
        <v>2.6920000000000002</v>
      </c>
      <c r="E59">
        <v>3.7469999999999999</v>
      </c>
      <c r="F59">
        <v>37282718.600000001</v>
      </c>
      <c r="G59">
        <v>3.7469999999999999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0.21473805411629207</v>
      </c>
      <c r="Q59">
        <f t="shared" ref="Q59" si="271">F59*P59</f>
        <v>8006018.4443292897</v>
      </c>
      <c r="R59">
        <f t="shared" ref="R59" si="272">R60+Q59</f>
        <v>497185489.4595682</v>
      </c>
      <c r="S59">
        <f t="shared" ref="S59" si="273">R59/100000</f>
        <v>4971.8548945956818</v>
      </c>
      <c r="T59">
        <f t="shared" ref="T59" si="274">S59/1000</f>
        <v>4.9718548945956815</v>
      </c>
    </row>
    <row r="60" spans="1:20" x14ac:dyDescent="0.25">
      <c r="A60" s="5">
        <v>44533</v>
      </c>
      <c r="B60">
        <v>4.74</v>
      </c>
      <c r="C60">
        <v>4.8220000000000001</v>
      </c>
      <c r="D60">
        <v>3.9980000000000002</v>
      </c>
      <c r="E60">
        <v>4.3630000000000004</v>
      </c>
      <c r="F60">
        <v>16308529</v>
      </c>
      <c r="G60">
        <v>4.3630000000000004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-0.11407766990291193</v>
      </c>
      <c r="Q60">
        <f t="shared" ref="Q60" si="276">F60*P60</f>
        <v>-1860438.9878640664</v>
      </c>
      <c r="R60">
        <f t="shared" ref="R60" si="277">R61+Q60</f>
        <v>489179471.01523894</v>
      </c>
      <c r="S60">
        <f t="shared" ref="S60" si="278">R60/100000</f>
        <v>4891.7947101523896</v>
      </c>
      <c r="T60">
        <f t="shared" ref="T60" si="279">S60/1000</f>
        <v>4.8917947101523893</v>
      </c>
    </row>
    <row r="61" spans="1:20" x14ac:dyDescent="0.25">
      <c r="A61" s="5">
        <v>44532</v>
      </c>
      <c r="B61">
        <v>4.9930000000000003</v>
      </c>
      <c r="C61">
        <v>4.9930000000000003</v>
      </c>
      <c r="D61">
        <v>4.6399999999999997</v>
      </c>
      <c r="E61">
        <v>4.74</v>
      </c>
      <c r="F61">
        <v>12668126.1</v>
      </c>
      <c r="G61">
        <v>4.74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-0.43342776203965805</v>
      </c>
      <c r="Q61">
        <f t="shared" ref="Q61" si="281">F61*P61</f>
        <v>-5490717.5447591813</v>
      </c>
      <c r="R61">
        <f t="shared" ref="R61" si="282">R62+Q61</f>
        <v>491039910.00310302</v>
      </c>
      <c r="S61">
        <f t="shared" ref="S61" si="283">R61/100000</f>
        <v>4910.3991000310298</v>
      </c>
      <c r="T61">
        <f t="shared" ref="T61" si="284">S61/1000</f>
        <v>4.9103991000310296</v>
      </c>
    </row>
    <row r="62" spans="1:20" x14ac:dyDescent="0.25">
      <c r="A62" s="5">
        <v>44531</v>
      </c>
      <c r="B62">
        <v>5.0170000000000003</v>
      </c>
      <c r="C62">
        <v>5.4809999999999999</v>
      </c>
      <c r="D62">
        <v>4.8019999999999996</v>
      </c>
      <c r="E62">
        <v>4.9889999999999999</v>
      </c>
      <c r="F62">
        <v>22974456.100000001</v>
      </c>
      <c r="G62">
        <v>4.9889999999999999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-0.4491899852724589</v>
      </c>
      <c r="Q62">
        <f t="shared" ref="Q62" si="286">F62*P62</f>
        <v>-10319895.597201753</v>
      </c>
      <c r="R62">
        <f t="shared" ref="R62" si="287">R63+Q62</f>
        <v>496530627.54786217</v>
      </c>
      <c r="S62">
        <f t="shared" ref="S62" si="288">R62/100000</f>
        <v>4965.3062754786215</v>
      </c>
      <c r="T62">
        <f t="shared" ref="T62" si="289">S62/1000</f>
        <v>4.9653062754786212</v>
      </c>
    </row>
    <row r="63" spans="1:20" x14ac:dyDescent="0.25">
      <c r="A63" s="5">
        <v>44530</v>
      </c>
      <c r="B63">
        <v>4.6909999999999998</v>
      </c>
      <c r="C63">
        <v>5.069</v>
      </c>
      <c r="D63">
        <v>4.5170000000000003</v>
      </c>
      <c r="E63">
        <v>5.0170000000000003</v>
      </c>
      <c r="F63">
        <v>16190410</v>
      </c>
      <c r="G63">
        <v>5.0170000000000003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0.811594202898552</v>
      </c>
      <c r="Q63">
        <f t="shared" ref="Q63" si="291">F63*P63</f>
        <v>13140042.898550745</v>
      </c>
      <c r="R63">
        <f t="shared" ref="R63" si="292">R64+Q63</f>
        <v>506850523.14506394</v>
      </c>
      <c r="S63">
        <f t="shared" ref="S63" si="293">R63/100000</f>
        <v>5068.5052314506393</v>
      </c>
      <c r="T63">
        <f t="shared" ref="T63" si="294">S63/1000</f>
        <v>5.0685052314506391</v>
      </c>
    </row>
    <row r="64" spans="1:20" x14ac:dyDescent="0.25">
      <c r="A64" s="5">
        <v>44529</v>
      </c>
      <c r="B64">
        <v>4.8780000000000001</v>
      </c>
      <c r="C64">
        <v>5.0350000000000001</v>
      </c>
      <c r="D64">
        <v>4.5990000000000002</v>
      </c>
      <c r="E64">
        <v>4.694</v>
      </c>
      <c r="F64">
        <v>14879080</v>
      </c>
      <c r="G64">
        <v>4.694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-0.56422018348623959</v>
      </c>
      <c r="Q64">
        <f t="shared" ref="Q64" si="296">F64*P64</f>
        <v>-8395077.2477064375</v>
      </c>
      <c r="R64">
        <f t="shared" ref="R64" si="297">R65+Q64</f>
        <v>493710480.24651319</v>
      </c>
      <c r="S64">
        <f t="shared" ref="S64" si="298">R64/100000</f>
        <v>4937.1048024651318</v>
      </c>
      <c r="T64">
        <f t="shared" ref="T64" si="299">S64/1000</f>
        <v>4.9371048024651314</v>
      </c>
    </row>
    <row r="65" spans="1:20" x14ac:dyDescent="0.25">
      <c r="A65" s="5">
        <v>44528</v>
      </c>
      <c r="B65">
        <v>4.8360000000000003</v>
      </c>
      <c r="C65">
        <v>4.8979999999999997</v>
      </c>
      <c r="D65">
        <v>4.18</v>
      </c>
      <c r="E65">
        <v>4.8780000000000001</v>
      </c>
      <c r="F65">
        <v>19819209.100000001</v>
      </c>
      <c r="G65">
        <v>4.8780000000000001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0.94428969359331594</v>
      </c>
      <c r="Q65">
        <f t="shared" ref="Q65" si="301">F65*P65</f>
        <v>18715074.888300862</v>
      </c>
      <c r="R65">
        <f t="shared" ref="R65" si="302">R66+Q65</f>
        <v>502105557.4942196</v>
      </c>
      <c r="S65">
        <f t="shared" ref="S65" si="303">R65/100000</f>
        <v>5021.0555749421956</v>
      </c>
      <c r="T65">
        <f t="shared" ref="T65" si="304">S65/1000</f>
        <v>5.0210555749421957</v>
      </c>
    </row>
    <row r="66" spans="1:20" x14ac:dyDescent="0.25">
      <c r="A66" s="5">
        <v>44527</v>
      </c>
      <c r="B66">
        <v>4.9260000000000002</v>
      </c>
      <c r="C66">
        <v>5.3680000000000003</v>
      </c>
      <c r="D66">
        <v>4.665</v>
      </c>
      <c r="E66">
        <v>4.8380000000000001</v>
      </c>
      <c r="F66">
        <v>22648835.100000001</v>
      </c>
      <c r="G66">
        <v>4.8380000000000001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-0.50782361308677104</v>
      </c>
      <c r="Q66">
        <f t="shared" ref="Q66" si="306">F66*P66</f>
        <v>-11501613.27268848</v>
      </c>
      <c r="R66">
        <f t="shared" ref="R66" si="307">R67+Q66</f>
        <v>483390482.60591877</v>
      </c>
      <c r="S66">
        <f t="shared" ref="S66" si="308">R66/100000</f>
        <v>4833.9048260591881</v>
      </c>
      <c r="T66">
        <f t="shared" ref="T66" si="309">S66/1000</f>
        <v>4.8339048260591877</v>
      </c>
    </row>
    <row r="67" spans="1:20" x14ac:dyDescent="0.25">
      <c r="A67" s="5">
        <v>44526</v>
      </c>
      <c r="B67">
        <v>5.931</v>
      </c>
      <c r="C67">
        <v>6.1059999999999999</v>
      </c>
      <c r="D67">
        <v>4.72</v>
      </c>
      <c r="E67">
        <v>4.9320000000000004</v>
      </c>
      <c r="F67">
        <v>44571896.100000001</v>
      </c>
      <c r="G67">
        <v>4.9320000000000004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-0.69408369408369319</v>
      </c>
      <c r="Q67">
        <f t="shared" ref="Q67" si="311">F67*P67</f>
        <v>-30936626.297402557</v>
      </c>
      <c r="R67">
        <f t="shared" ref="R67" si="312">R68+Q67</f>
        <v>494892095.87860727</v>
      </c>
      <c r="S67">
        <f t="shared" ref="S67" si="313">R67/100000</f>
        <v>4948.9209587860723</v>
      </c>
      <c r="T67">
        <f t="shared" ref="T67" si="314">S67/1000</f>
        <v>4.9489209587860721</v>
      </c>
    </row>
    <row r="68" spans="1:20" x14ac:dyDescent="0.25">
      <c r="A68" s="5">
        <v>44525</v>
      </c>
      <c r="B68">
        <v>5.8490000000000002</v>
      </c>
      <c r="C68">
        <v>6.399</v>
      </c>
      <c r="D68">
        <v>5.48</v>
      </c>
      <c r="E68">
        <v>5.93</v>
      </c>
      <c r="F68">
        <v>47684794.248999998</v>
      </c>
      <c r="G68">
        <v>5.93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-2.0674646354734521E-2</v>
      </c>
      <c r="Q68">
        <f t="shared" ref="Q68" si="316">F68*P68</f>
        <v>-985866.25759635342</v>
      </c>
      <c r="R68">
        <f t="shared" ref="R68" si="317">R69+Q68</f>
        <v>525828722.17600983</v>
      </c>
      <c r="S68">
        <f t="shared" ref="S68" si="318">R68/100000</f>
        <v>5258.287221760098</v>
      </c>
      <c r="T68">
        <f t="shared" ref="T68" si="319">S68/1000</f>
        <v>5.2582872217600976</v>
      </c>
    </row>
    <row r="69" spans="1:20" x14ac:dyDescent="0.25">
      <c r="A69" s="5">
        <v>44524</v>
      </c>
      <c r="B69">
        <v>5.0599999999999996</v>
      </c>
      <c r="C69">
        <v>5.1310000000000002</v>
      </c>
      <c r="D69">
        <v>4.7210000000000001</v>
      </c>
      <c r="E69">
        <v>4.782</v>
      </c>
      <c r="F69">
        <v>13733157.4</v>
      </c>
      <c r="G69">
        <v>4.782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-0.7024390243902443</v>
      </c>
      <c r="Q69">
        <f t="shared" ref="Q69" si="321">F69*P69</f>
        <v>-9646705.6858536638</v>
      </c>
      <c r="R69">
        <f t="shared" ref="R69" si="322">R70+Q69</f>
        <v>526814588.43360621</v>
      </c>
      <c r="S69">
        <f t="shared" ref="S69" si="323">R69/100000</f>
        <v>5268.1458843360624</v>
      </c>
      <c r="T69">
        <f t="shared" ref="T69" si="324">S69/1000</f>
        <v>5.2681458843360627</v>
      </c>
    </row>
    <row r="70" spans="1:20" x14ac:dyDescent="0.25">
      <c r="A70" s="5">
        <v>44523</v>
      </c>
      <c r="B70">
        <v>4.2619999999999996</v>
      </c>
      <c r="C70">
        <v>5.09</v>
      </c>
      <c r="D70">
        <v>4.1029999999999998</v>
      </c>
      <c r="E70">
        <v>5.0599999999999996</v>
      </c>
      <c r="F70">
        <v>41269056.700000003</v>
      </c>
      <c r="G70">
        <v>5.0599999999999996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0.93920972644376854</v>
      </c>
      <c r="Q70">
        <f t="shared" ref="Q70" si="326">F70*P70</f>
        <v>38760299.453799374</v>
      </c>
      <c r="R70">
        <f t="shared" ref="R70" si="327">R71+Q70</f>
        <v>536461294.11945987</v>
      </c>
      <c r="S70">
        <f t="shared" ref="S70" si="328">R70/100000</f>
        <v>5364.6129411945985</v>
      </c>
      <c r="T70">
        <f t="shared" ref="T70" si="329">S70/1000</f>
        <v>5.3646129411945989</v>
      </c>
    </row>
    <row r="71" spans="1:20" x14ac:dyDescent="0.25">
      <c r="A71" s="5">
        <v>44522</v>
      </c>
      <c r="B71">
        <v>3.7970000000000002</v>
      </c>
      <c r="C71">
        <v>4.5350000000000001</v>
      </c>
      <c r="D71">
        <v>3.71</v>
      </c>
      <c r="E71">
        <v>4.2590000000000003</v>
      </c>
      <c r="F71">
        <v>38307913.200000003</v>
      </c>
      <c r="G71">
        <v>4.2590000000000003</v>
      </c>
      <c r="L71" t="s">
        <v>8</v>
      </c>
      <c r="M71" t="s">
        <v>8</v>
      </c>
      <c r="N71" t="s">
        <v>7</v>
      </c>
      <c r="P71">
        <f t="shared" ref="P71" si="330">IF(C71=D71,0,((E71-D71)-(C71-E71))/(C71-D71))</f>
        <v>0.33090909090909154</v>
      </c>
      <c r="Q71">
        <f t="shared" ref="Q71" si="331">F71*P71</f>
        <v>12676436.731636388</v>
      </c>
      <c r="R71">
        <f t="shared" ref="R71" si="332">R72+Q71</f>
        <v>497700994.6656605</v>
      </c>
      <c r="S71">
        <f t="shared" ref="S71" si="333">R71/100000</f>
        <v>4977.0099466566053</v>
      </c>
      <c r="T71">
        <f t="shared" ref="T71" si="334">S71/1000</f>
        <v>4.9770099466566053</v>
      </c>
    </row>
    <row r="72" spans="1:20" x14ac:dyDescent="0.25">
      <c r="A72" s="5">
        <v>44521</v>
      </c>
      <c r="B72">
        <v>3.9380000000000002</v>
      </c>
      <c r="C72">
        <v>3.9430000000000001</v>
      </c>
      <c r="D72">
        <v>3.7410000000000001</v>
      </c>
      <c r="E72">
        <v>3.7970000000000002</v>
      </c>
      <c r="F72">
        <v>9663754.8000000007</v>
      </c>
      <c r="G72">
        <v>3.7970000000000002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-0.44554455445544494</v>
      </c>
      <c r="Q72">
        <f t="shared" ref="Q72" si="336">F72*P72</f>
        <v>-4305633.3267326681</v>
      </c>
      <c r="R72">
        <f t="shared" ref="R72" si="337">R73+Q72</f>
        <v>485024557.9340241</v>
      </c>
      <c r="S72">
        <f t="shared" ref="S72" si="338">R72/100000</f>
        <v>4850.2455793402405</v>
      </c>
      <c r="T72">
        <f t="shared" ref="T72" si="339">S72/1000</f>
        <v>4.8502455793402408</v>
      </c>
    </row>
    <row r="73" spans="1:20" x14ac:dyDescent="0.25">
      <c r="A73" s="5">
        <v>44520</v>
      </c>
      <c r="B73">
        <v>3.9710000000000001</v>
      </c>
      <c r="C73">
        <v>4.1820000000000004</v>
      </c>
      <c r="D73">
        <v>3.835</v>
      </c>
      <c r="E73">
        <v>3.9409999999999998</v>
      </c>
      <c r="F73">
        <v>10603439.300000001</v>
      </c>
      <c r="G73">
        <v>3.9409999999999998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-0.38904899135446835</v>
      </c>
      <c r="Q73">
        <f t="shared" ref="Q73" si="341">F73*P73</f>
        <v>-4125257.3645533305</v>
      </c>
      <c r="R73">
        <f t="shared" ref="R73" si="342">R74+Q73</f>
        <v>489330191.26075679</v>
      </c>
      <c r="S73">
        <f t="shared" ref="S73" si="343">R73/100000</f>
        <v>4893.3019126075678</v>
      </c>
      <c r="T73">
        <f t="shared" ref="T73" si="344">S73/1000</f>
        <v>4.8933019126075674</v>
      </c>
    </row>
    <row r="74" spans="1:20" x14ac:dyDescent="0.25">
      <c r="A74" s="5">
        <v>44519</v>
      </c>
      <c r="B74">
        <v>4.1219999999999999</v>
      </c>
      <c r="C74">
        <v>4.2990000000000004</v>
      </c>
      <c r="D74">
        <v>3.8769999999999998</v>
      </c>
      <c r="E74">
        <v>3.9710000000000001</v>
      </c>
      <c r="F74">
        <v>17577082.100000001</v>
      </c>
      <c r="G74">
        <v>3.9710000000000001</v>
      </c>
      <c r="L74" t="s">
        <v>7</v>
      </c>
      <c r="M74" t="s">
        <v>8</v>
      </c>
      <c r="N74" t="s">
        <v>7</v>
      </c>
      <c r="P74">
        <f t="shared" ref="P74" si="345">IF(C74=D74,0,((E74-D74)-(C74-E74))/(C74-D74))</f>
        <v>-0.55450236966824562</v>
      </c>
      <c r="Q74">
        <f t="shared" ref="Q74" si="346">F74*P74</f>
        <v>-9746533.6763033047</v>
      </c>
      <c r="R74">
        <f t="shared" ref="R74" si="347">R75+Q74</f>
        <v>493455448.62531012</v>
      </c>
      <c r="S74">
        <f t="shared" ref="S74" si="348">R74/100000</f>
        <v>4934.5544862531015</v>
      </c>
      <c r="T74">
        <f t="shared" ref="T74" si="349">S74/1000</f>
        <v>4.9345544862531012</v>
      </c>
    </row>
    <row r="75" spans="1:20" x14ac:dyDescent="0.25">
      <c r="A75" s="5">
        <v>44518</v>
      </c>
      <c r="B75">
        <v>4.03</v>
      </c>
      <c r="C75">
        <v>4.26</v>
      </c>
      <c r="D75">
        <v>3.57</v>
      </c>
      <c r="E75">
        <v>4.1230000000000002</v>
      </c>
      <c r="F75">
        <v>24725906.600000001</v>
      </c>
      <c r="G75">
        <v>4.1230000000000002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0.60289855072463894</v>
      </c>
      <c r="Q75">
        <f t="shared" ref="Q75" si="351">F75*P75</f>
        <v>14907213.254492786</v>
      </c>
      <c r="R75">
        <f t="shared" ref="R75" si="352">R76+Q75</f>
        <v>503201982.30161345</v>
      </c>
      <c r="S75">
        <f t="shared" ref="S75" si="353">R75/100000</f>
        <v>5032.0198230161341</v>
      </c>
      <c r="T75">
        <f t="shared" ref="T75" si="354">S75/1000</f>
        <v>5.0320198230161344</v>
      </c>
    </row>
    <row r="76" spans="1:20" x14ac:dyDescent="0.25">
      <c r="A76" s="5">
        <v>44517</v>
      </c>
      <c r="B76">
        <v>3.706</v>
      </c>
      <c r="C76">
        <v>4.0640000000000001</v>
      </c>
      <c r="D76">
        <v>3.6789999999999998</v>
      </c>
      <c r="E76">
        <v>4.03</v>
      </c>
      <c r="F76">
        <v>18439713.5</v>
      </c>
      <c r="G76">
        <v>4.03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0.82337662337662443</v>
      </c>
      <c r="Q76">
        <f t="shared" ref="Q76" si="356">F76*P76</f>
        <v>15182829.037662357</v>
      </c>
      <c r="R76">
        <f t="shared" ref="R76" si="357">R77+Q76</f>
        <v>488294769.04712069</v>
      </c>
      <c r="S76">
        <f t="shared" ref="S76" si="358">R76/100000</f>
        <v>4882.9476904712074</v>
      </c>
      <c r="T76">
        <f t="shared" ref="T76" si="359">S76/1000</f>
        <v>4.882947690471207</v>
      </c>
    </row>
    <row r="77" spans="1:20" x14ac:dyDescent="0.25">
      <c r="A77" s="5">
        <v>44516</v>
      </c>
      <c r="B77">
        <v>3.9369999999999998</v>
      </c>
      <c r="C77">
        <v>3.9569999999999999</v>
      </c>
      <c r="D77">
        <v>3.26</v>
      </c>
      <c r="E77">
        <v>3.71</v>
      </c>
      <c r="F77">
        <v>18479083.300000001</v>
      </c>
      <c r="G77">
        <v>3.71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0.29124820659971346</v>
      </c>
      <c r="Q77">
        <f t="shared" ref="Q77" si="361">F77*P77</f>
        <v>5381999.8707317151</v>
      </c>
      <c r="R77">
        <f t="shared" ref="R77" si="362">R78+Q77</f>
        <v>473111940.00945836</v>
      </c>
      <c r="S77">
        <f t="shared" ref="S77" si="363">R77/100000</f>
        <v>4731.1194000945834</v>
      </c>
      <c r="T77">
        <f t="shared" ref="T77" si="364">S77/1000</f>
        <v>4.7311194000945838</v>
      </c>
    </row>
    <row r="78" spans="1:20" x14ac:dyDescent="0.25">
      <c r="A78" s="5">
        <v>44515</v>
      </c>
      <c r="B78">
        <v>4.13</v>
      </c>
      <c r="C78">
        <v>4.16</v>
      </c>
      <c r="D78">
        <v>3.9</v>
      </c>
      <c r="E78">
        <v>3.9350000000000001</v>
      </c>
      <c r="F78">
        <v>7055341.7000000002</v>
      </c>
      <c r="G78">
        <v>3.9350000000000001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-0.73076923076922995</v>
      </c>
      <c r="Q78">
        <f t="shared" ref="Q78" si="366">F78*P78</f>
        <v>-5155826.6269230712</v>
      </c>
      <c r="R78">
        <f t="shared" ref="R78" si="367">R79+Q78</f>
        <v>467729940.13872665</v>
      </c>
      <c r="S78">
        <f t="shared" ref="S78" si="368">R78/100000</f>
        <v>4677.2994013872667</v>
      </c>
      <c r="T78">
        <f t="shared" ref="T78" si="369">S78/1000</f>
        <v>4.6772994013872671</v>
      </c>
    </row>
    <row r="79" spans="1:20" x14ac:dyDescent="0.25">
      <c r="A79" s="5">
        <v>44514</v>
      </c>
      <c r="B79">
        <v>4.2240000000000002</v>
      </c>
      <c r="C79">
        <v>4.375</v>
      </c>
      <c r="D79">
        <v>4.0330000000000004</v>
      </c>
      <c r="E79">
        <v>4.13</v>
      </c>
      <c r="F79">
        <v>7582513.2000000002</v>
      </c>
      <c r="G79">
        <v>4.13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-0.43274853801169805</v>
      </c>
      <c r="Q79">
        <f t="shared" ref="Q79" si="371">F79*P79</f>
        <v>-3281321.5017544022</v>
      </c>
      <c r="R79">
        <f t="shared" ref="R79" si="372">R80+Q79</f>
        <v>472885766.76564974</v>
      </c>
      <c r="S79">
        <f t="shared" ref="S79" si="373">R79/100000</f>
        <v>4728.8576676564971</v>
      </c>
      <c r="T79">
        <f t="shared" ref="T79" si="374">S79/1000</f>
        <v>4.7288576676564968</v>
      </c>
    </row>
    <row r="80" spans="1:20" x14ac:dyDescent="0.25">
      <c r="A80" s="5">
        <v>44513</v>
      </c>
      <c r="B80">
        <v>4.03</v>
      </c>
      <c r="C80">
        <v>4.383</v>
      </c>
      <c r="D80">
        <v>4.03</v>
      </c>
      <c r="E80">
        <v>4.2240000000000002</v>
      </c>
      <c r="F80">
        <v>12909106.1</v>
      </c>
      <c r="G80">
        <v>4.2240000000000002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9.9150141643059964E-2</v>
      </c>
      <c r="Q80">
        <f t="shared" ref="Q80" si="376">F80*P80</f>
        <v>1279939.6983002895</v>
      </c>
      <c r="R80">
        <f t="shared" ref="R80" si="377">R81+Q80</f>
        <v>476167088.26740414</v>
      </c>
      <c r="S80">
        <f t="shared" ref="S80" si="378">R80/100000</f>
        <v>4761.6708826740414</v>
      </c>
      <c r="T80">
        <f t="shared" ref="T80" si="379">S80/1000</f>
        <v>4.761670882674041</v>
      </c>
    </row>
    <row r="81" spans="1:20" x14ac:dyDescent="0.25">
      <c r="A81" s="5">
        <v>44512</v>
      </c>
      <c r="B81">
        <v>4.1660000000000004</v>
      </c>
      <c r="C81">
        <v>4.2919999999999998</v>
      </c>
      <c r="D81">
        <v>3.88</v>
      </c>
      <c r="E81">
        <v>4.0270000000000001</v>
      </c>
      <c r="F81">
        <v>12104699.300000001</v>
      </c>
      <c r="G81">
        <v>4.0270000000000001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-0.28640776699028997</v>
      </c>
      <c r="Q81">
        <f t="shared" ref="Q81" si="381">F81*P81</f>
        <v>-3466879.8966019265</v>
      </c>
      <c r="R81">
        <f t="shared" ref="R81" si="382">R82+Q81</f>
        <v>474887148.56910384</v>
      </c>
      <c r="S81">
        <f t="shared" ref="S81" si="383">R81/100000</f>
        <v>4748.8714856910383</v>
      </c>
      <c r="T81">
        <f t="shared" ref="T81" si="384">S81/1000</f>
        <v>4.7488714856910379</v>
      </c>
    </row>
    <row r="82" spans="1:20" x14ac:dyDescent="0.25">
      <c r="A82" s="5">
        <v>44511</v>
      </c>
      <c r="B82">
        <v>4.0830000000000002</v>
      </c>
      <c r="C82">
        <v>4.4260000000000002</v>
      </c>
      <c r="D82">
        <v>4.0419999999999998</v>
      </c>
      <c r="E82">
        <v>4.1630000000000003</v>
      </c>
      <c r="F82">
        <v>13701259.1</v>
      </c>
      <c r="G82">
        <v>4.1630000000000003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-0.36979166666666491</v>
      </c>
      <c r="Q82">
        <f t="shared" ref="Q82" si="386">F82*P82</f>
        <v>-5066611.4380208096</v>
      </c>
      <c r="R82">
        <f t="shared" ref="R82" si="387">R83+Q82</f>
        <v>478354028.46570575</v>
      </c>
      <c r="S82">
        <f t="shared" ref="S82" si="388">R82/100000</f>
        <v>4783.5402846570578</v>
      </c>
      <c r="T82">
        <f t="shared" ref="T82" si="389">S82/1000</f>
        <v>4.7835402846570574</v>
      </c>
    </row>
    <row r="83" spans="1:20" x14ac:dyDescent="0.25">
      <c r="A83" s="5">
        <v>44510</v>
      </c>
      <c r="B83">
        <v>4.5259999999999998</v>
      </c>
      <c r="C83">
        <v>4.5999999999999996</v>
      </c>
      <c r="D83">
        <v>3.68</v>
      </c>
      <c r="E83">
        <v>4.0830000000000002</v>
      </c>
      <c r="F83">
        <v>18518198.600000001</v>
      </c>
      <c r="G83">
        <v>4.0830000000000002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-0.12391304347826032</v>
      </c>
      <c r="Q83">
        <f t="shared" ref="Q83" si="391">F83*P83</f>
        <v>-2294646.3482608595</v>
      </c>
      <c r="R83">
        <f t="shared" ref="R83" si="392">R84+Q83</f>
        <v>483420639.90372658</v>
      </c>
      <c r="S83">
        <f t="shared" ref="S83" si="393">R83/100000</f>
        <v>4834.2063990372653</v>
      </c>
      <c r="T83">
        <f t="shared" ref="T83" si="394">S83/1000</f>
        <v>4.8342063990372655</v>
      </c>
    </row>
    <row r="84" spans="1:20" x14ac:dyDescent="0.25">
      <c r="A84" s="5">
        <v>44509</v>
      </c>
      <c r="B84">
        <v>4.6349999999999998</v>
      </c>
      <c r="C84">
        <v>5</v>
      </c>
      <c r="D84">
        <v>4.4279999999999999</v>
      </c>
      <c r="E84">
        <v>4.5209999999999999</v>
      </c>
      <c r="F84">
        <v>20807118.300000001</v>
      </c>
      <c r="G84">
        <v>4.5209999999999999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-0.67482517482517501</v>
      </c>
      <c r="Q84">
        <f t="shared" ref="Q84" si="396">F84*P84</f>
        <v>-14041167.244405599</v>
      </c>
      <c r="R84">
        <f t="shared" ref="R84" si="397">R85+Q84</f>
        <v>485715286.25198746</v>
      </c>
      <c r="S84">
        <f t="shared" ref="S84" si="398">R84/100000</f>
        <v>4857.1528625198744</v>
      </c>
      <c r="T84">
        <f t="shared" ref="T84" si="399">S84/1000</f>
        <v>4.8571528625198743</v>
      </c>
    </row>
    <row r="85" spans="1:20" x14ac:dyDescent="0.25">
      <c r="A85" s="5">
        <v>44508</v>
      </c>
      <c r="B85">
        <v>4.4969999999999999</v>
      </c>
      <c r="C85">
        <v>4.6749999999999998</v>
      </c>
      <c r="D85">
        <v>4.282</v>
      </c>
      <c r="E85">
        <v>4.6369999999999996</v>
      </c>
      <c r="F85">
        <v>15803620.300000001</v>
      </c>
      <c r="G85">
        <v>4.6369999999999996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0.80661577608142354</v>
      </c>
      <c r="Q85">
        <f t="shared" ref="Q85" si="401">F85*P85</f>
        <v>12747449.453180641</v>
      </c>
      <c r="R85">
        <f t="shared" ref="R85" si="402">R86+Q85</f>
        <v>499756453.49639308</v>
      </c>
      <c r="S85">
        <f t="shared" ref="S85" si="403">R85/100000</f>
        <v>4997.5645349639308</v>
      </c>
      <c r="T85">
        <f t="shared" ref="T85" si="404">S85/1000</f>
        <v>4.9975645349639306</v>
      </c>
    </row>
    <row r="86" spans="1:20" x14ac:dyDescent="0.25">
      <c r="A86" s="5">
        <v>44507</v>
      </c>
      <c r="B86">
        <v>4.109</v>
      </c>
      <c r="C86">
        <v>4.75</v>
      </c>
      <c r="D86">
        <v>4.08</v>
      </c>
      <c r="E86">
        <v>4.4930000000000003</v>
      </c>
      <c r="F86">
        <v>20548488.800000001</v>
      </c>
      <c r="G86">
        <v>4.4930000000000003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0.23283582089552329</v>
      </c>
      <c r="Q86">
        <f t="shared" ref="Q86" si="406">F86*P86</f>
        <v>4784424.2579104668</v>
      </c>
      <c r="R86">
        <f t="shared" ref="R86" si="407">R87+Q86</f>
        <v>487009004.04321247</v>
      </c>
      <c r="S86">
        <f t="shared" ref="S86" si="408">R86/100000</f>
        <v>4870.0900404321246</v>
      </c>
      <c r="T86">
        <f t="shared" ref="T86" si="409">S86/1000</f>
        <v>4.8700900404321246</v>
      </c>
    </row>
    <row r="87" spans="1:20" x14ac:dyDescent="0.25">
      <c r="A87" s="5">
        <v>44506</v>
      </c>
      <c r="B87">
        <v>4.0739999999999998</v>
      </c>
      <c r="C87">
        <v>4.2949999999999999</v>
      </c>
      <c r="D87">
        <v>3.871</v>
      </c>
      <c r="E87">
        <v>4.1100000000000003</v>
      </c>
      <c r="F87">
        <v>12334709.6</v>
      </c>
      <c r="G87">
        <v>4.1100000000000003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0.12735849056603943</v>
      </c>
      <c r="Q87">
        <f t="shared" ref="Q87" si="411">F87*P87</f>
        <v>1570929.996226436</v>
      </c>
      <c r="R87">
        <f t="shared" ref="R87" si="412">R88+Q87</f>
        <v>482224579.78530198</v>
      </c>
      <c r="S87">
        <f t="shared" ref="S87" si="413">R87/100000</f>
        <v>4822.2457978530201</v>
      </c>
      <c r="T87">
        <f t="shared" ref="T87" si="414">S87/1000</f>
        <v>4.8222457978530198</v>
      </c>
    </row>
    <row r="88" spans="1:20" x14ac:dyDescent="0.25">
      <c r="A88" s="5">
        <v>44505</v>
      </c>
      <c r="B88">
        <v>4.1589999999999998</v>
      </c>
      <c r="C88">
        <v>4.2210000000000001</v>
      </c>
      <c r="D88">
        <v>4.0199999999999996</v>
      </c>
      <c r="E88">
        <v>4.0730000000000004</v>
      </c>
      <c r="F88">
        <v>6448767.7999999998</v>
      </c>
      <c r="G88">
        <v>4.0730000000000004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-0.47263681592039114</v>
      </c>
      <c r="Q88">
        <f t="shared" ref="Q88" si="416">F88*P88</f>
        <v>-3047925.0796019458</v>
      </c>
      <c r="R88">
        <f t="shared" ref="R88" si="417">R89+Q88</f>
        <v>480653649.78907555</v>
      </c>
      <c r="S88">
        <f t="shared" ref="S88" si="418">R88/100000</f>
        <v>4806.5364978907555</v>
      </c>
      <c r="T88">
        <f t="shared" ref="T88" si="419">S88/1000</f>
        <v>4.8065364978907557</v>
      </c>
    </row>
    <row r="89" spans="1:20" x14ac:dyDescent="0.25">
      <c r="A89" s="5">
        <v>44504</v>
      </c>
      <c r="B89">
        <v>4.3940000000000001</v>
      </c>
      <c r="C89">
        <v>4.5369999999999999</v>
      </c>
      <c r="D89">
        <v>4.056</v>
      </c>
      <c r="E89">
        <v>4.1589999999999998</v>
      </c>
      <c r="F89">
        <v>11199704.1</v>
      </c>
      <c r="G89">
        <v>4.1589999999999998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-0.57172557172557259</v>
      </c>
      <c r="Q89">
        <f t="shared" ref="Q89" si="421">F89*P89</f>
        <v>-6403157.229729739</v>
      </c>
      <c r="R89">
        <f t="shared" ref="R89" si="422">R90+Q89</f>
        <v>483701574.8686775</v>
      </c>
      <c r="S89">
        <f t="shared" ref="S89" si="423">R89/100000</f>
        <v>4837.0157486867747</v>
      </c>
      <c r="T89">
        <f t="shared" ref="T89" si="424">S89/1000</f>
        <v>4.8370157486867749</v>
      </c>
    </row>
    <row r="90" spans="1:20" x14ac:dyDescent="0.25">
      <c r="A90" s="5">
        <v>44503</v>
      </c>
      <c r="B90">
        <v>4.2869999999999999</v>
      </c>
      <c r="C90">
        <v>4.6079999999999997</v>
      </c>
      <c r="D90">
        <v>4.0199999999999996</v>
      </c>
      <c r="E90">
        <v>4.3940000000000001</v>
      </c>
      <c r="F90">
        <v>19190925.300000001</v>
      </c>
      <c r="G90">
        <v>4.3940000000000001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0.27210884353741666</v>
      </c>
      <c r="Q90">
        <f t="shared" ref="Q90" si="426">F90*P90</f>
        <v>5222020.4897959512</v>
      </c>
      <c r="R90">
        <f t="shared" ref="R90" si="427">R91+Q90</f>
        <v>490104732.09840721</v>
      </c>
      <c r="S90">
        <f t="shared" ref="S90" si="428">R90/100000</f>
        <v>4901.047320984072</v>
      </c>
      <c r="T90">
        <f t="shared" ref="T90" si="429">S90/1000</f>
        <v>4.9010473209840724</v>
      </c>
    </row>
    <row r="91" spans="1:20" x14ac:dyDescent="0.25">
      <c r="A91" s="5">
        <v>44502</v>
      </c>
      <c r="B91">
        <v>4.5090000000000003</v>
      </c>
      <c r="C91">
        <v>4.6360000000000001</v>
      </c>
      <c r="D91">
        <v>4.2</v>
      </c>
      <c r="E91">
        <v>4.2880000000000003</v>
      </c>
      <c r="F91">
        <v>13794441.1</v>
      </c>
      <c r="G91">
        <v>4.2880000000000003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-0.59633027522935733</v>
      </c>
      <c r="Q91">
        <f t="shared" ref="Q91" si="431">F91*P91</f>
        <v>-8226042.8577981582</v>
      </c>
      <c r="R91">
        <f t="shared" ref="R91" si="432">R92+Q91</f>
        <v>484882711.60861129</v>
      </c>
      <c r="S91">
        <f t="shared" ref="S91" si="433">R91/100000</f>
        <v>4848.8271160861132</v>
      </c>
      <c r="T91">
        <f t="shared" ref="T91" si="434">S91/1000</f>
        <v>4.8488271160861132</v>
      </c>
    </row>
    <row r="92" spans="1:20" x14ac:dyDescent="0.25">
      <c r="A92" s="5">
        <v>44501</v>
      </c>
      <c r="B92">
        <v>4.4219999999999997</v>
      </c>
      <c r="C92">
        <v>4.5389999999999997</v>
      </c>
      <c r="D92">
        <v>4.1749999999999998</v>
      </c>
      <c r="E92">
        <v>4.508</v>
      </c>
      <c r="F92">
        <v>14966838.800000001</v>
      </c>
      <c r="G92">
        <v>4.508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0.82967032967033127</v>
      </c>
      <c r="Q92">
        <f t="shared" ref="Q92" si="436">F92*P92</f>
        <v>12417542.081318706</v>
      </c>
      <c r="R92">
        <f t="shared" ref="R92" si="437">R93+Q92</f>
        <v>493108754.46640944</v>
      </c>
      <c r="S92">
        <f t="shared" ref="S92" si="438">R92/100000</f>
        <v>4931.0875446640948</v>
      </c>
      <c r="T92">
        <f t="shared" ref="T92" si="439">S92/1000</f>
        <v>4.9310875446640949</v>
      </c>
    </row>
    <row r="93" spans="1:20" x14ac:dyDescent="0.25">
      <c r="A93" s="5">
        <v>44500</v>
      </c>
      <c r="B93">
        <v>4.7359999999999998</v>
      </c>
      <c r="C93">
        <v>4.7409999999999997</v>
      </c>
      <c r="D93">
        <v>4.3</v>
      </c>
      <c r="E93">
        <v>4.42</v>
      </c>
      <c r="F93">
        <v>15209282.6</v>
      </c>
      <c r="G93">
        <v>4.42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-0.45578231292516941</v>
      </c>
      <c r="Q93">
        <f t="shared" ref="Q93" si="441">F93*P93</f>
        <v>-6932122.0013605338</v>
      </c>
      <c r="R93">
        <f t="shared" ref="R93" si="442">R94+Q93</f>
        <v>480691212.38509071</v>
      </c>
      <c r="S93">
        <f t="shared" ref="S93" si="443">R93/100000</f>
        <v>4806.9121238509069</v>
      </c>
      <c r="T93">
        <f t="shared" ref="T93" si="444">S93/1000</f>
        <v>4.8069121238509069</v>
      </c>
    </row>
    <row r="94" spans="1:20" x14ac:dyDescent="0.25">
      <c r="A94" s="5">
        <v>44499</v>
      </c>
      <c r="B94">
        <v>4.673</v>
      </c>
      <c r="C94">
        <v>5.3220000000000001</v>
      </c>
      <c r="D94">
        <v>4.5510000000000002</v>
      </c>
      <c r="E94">
        <v>4.7359999999999998</v>
      </c>
      <c r="F94">
        <v>30070496.199999999</v>
      </c>
      <c r="G94">
        <v>4.7359999999999998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-0.52010376134889846</v>
      </c>
      <c r="Q94">
        <f t="shared" ref="Q94" si="446">F94*P94</f>
        <v>-15639778.179247757</v>
      </c>
      <c r="R94">
        <f t="shared" ref="R94" si="447">R95+Q94</f>
        <v>487623334.38645124</v>
      </c>
      <c r="S94">
        <f t="shared" ref="S94" si="448">R94/100000</f>
        <v>4876.2333438645128</v>
      </c>
      <c r="T94">
        <f t="shared" ref="T94" si="449">S94/1000</f>
        <v>4.8762333438645129</v>
      </c>
    </row>
    <row r="95" spans="1:20" x14ac:dyDescent="0.25">
      <c r="A95" s="5">
        <v>44498</v>
      </c>
      <c r="B95">
        <v>4.7560000000000002</v>
      </c>
      <c r="C95">
        <v>5.0119999999999996</v>
      </c>
      <c r="D95">
        <v>4.5570000000000004</v>
      </c>
      <c r="E95">
        <v>4.673</v>
      </c>
      <c r="F95">
        <v>21041477.699999999</v>
      </c>
      <c r="G95">
        <v>4.673</v>
      </c>
      <c r="L95" t="s">
        <v>7</v>
      </c>
      <c r="M95" t="s">
        <v>8</v>
      </c>
      <c r="N95" t="s">
        <v>8</v>
      </c>
      <c r="P95">
        <f t="shared" ref="P95" si="450">IF(C95=D95,0,((E95-D95)-(C95-E95))/(C95-D95))</f>
        <v>-0.4901098901098907</v>
      </c>
      <c r="Q95">
        <f t="shared" ref="Q95" si="451">F95*P95</f>
        <v>-10312636.323296715</v>
      </c>
      <c r="R95">
        <f t="shared" ref="R95" si="452">R96+Q95</f>
        <v>503263112.56569898</v>
      </c>
      <c r="S95">
        <f t="shared" ref="S95" si="453">R95/100000</f>
        <v>5032.6311256569898</v>
      </c>
      <c r="T95">
        <f t="shared" ref="T95" si="454">S95/1000</f>
        <v>5.03263112565699</v>
      </c>
    </row>
    <row r="96" spans="1:20" x14ac:dyDescent="0.25">
      <c r="A96" s="5">
        <v>44497</v>
      </c>
      <c r="B96">
        <v>4.444</v>
      </c>
      <c r="C96">
        <v>5.5</v>
      </c>
      <c r="D96">
        <v>4.4400000000000004</v>
      </c>
      <c r="E96">
        <v>4.7569999999999997</v>
      </c>
      <c r="F96">
        <v>56408008.324000001</v>
      </c>
      <c r="G96">
        <v>4.7569999999999997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-0.40188679245283132</v>
      </c>
      <c r="Q96">
        <f t="shared" ref="Q96" si="456">F96*P96</f>
        <v>-22669633.53398497</v>
      </c>
      <c r="R96">
        <f t="shared" ref="R96" si="457">R97+Q96</f>
        <v>513575748.88899571</v>
      </c>
      <c r="S96">
        <f t="shared" ref="S96" si="458">R96/100000</f>
        <v>5135.7574888899571</v>
      </c>
      <c r="T96">
        <f t="shared" ref="T96" si="459">S96/1000</f>
        <v>5.1357574888899569</v>
      </c>
    </row>
    <row r="97" spans="1:20" x14ac:dyDescent="0.25">
      <c r="A97" s="5">
        <v>44496</v>
      </c>
      <c r="B97">
        <v>4.6379999999999999</v>
      </c>
      <c r="C97">
        <v>4.7240000000000002</v>
      </c>
      <c r="D97">
        <v>4.0330000000000004</v>
      </c>
      <c r="E97">
        <v>4.4480000000000004</v>
      </c>
      <c r="F97">
        <v>38502879.100000001</v>
      </c>
      <c r="G97">
        <v>4.4480000000000004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0.20115774240231588</v>
      </c>
      <c r="Q97">
        <f t="shared" ref="Q97" si="461">F97*P97</f>
        <v>7745152.2357453117</v>
      </c>
      <c r="R97">
        <f t="shared" ref="R97" si="462">R98+Q97</f>
        <v>536245382.42298067</v>
      </c>
      <c r="S97">
        <f t="shared" ref="S97" si="463">R97/100000</f>
        <v>5362.4538242298067</v>
      </c>
      <c r="T97">
        <f t="shared" ref="T97" si="464">S97/1000</f>
        <v>5.3624538242298065</v>
      </c>
    </row>
    <row r="98" spans="1:20" x14ac:dyDescent="0.25">
      <c r="A98" s="5">
        <v>44495</v>
      </c>
      <c r="B98">
        <v>4.7949999999999999</v>
      </c>
      <c r="C98">
        <v>5.2880000000000003</v>
      </c>
      <c r="D98">
        <v>4.5220000000000002</v>
      </c>
      <c r="E98">
        <v>4.6369999999999996</v>
      </c>
      <c r="F98">
        <v>59218373.372000001</v>
      </c>
      <c r="G98">
        <v>4.6369999999999996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-0.69973890339425759</v>
      </c>
      <c r="Q98">
        <f t="shared" ref="Q98" si="466">F98*P98</f>
        <v>-41437399.644114986</v>
      </c>
      <c r="R98">
        <f t="shared" ref="R98" si="467">R99+Q98</f>
        <v>528500230.18723536</v>
      </c>
      <c r="S98">
        <f t="shared" ref="S98" si="468">R98/100000</f>
        <v>5285.0023018723532</v>
      </c>
      <c r="T98">
        <f t="shared" ref="T98" si="469">S98/1000</f>
        <v>5.2850023018723533</v>
      </c>
    </row>
    <row r="99" spans="1:20" x14ac:dyDescent="0.25">
      <c r="A99" s="5">
        <v>44494</v>
      </c>
      <c r="B99">
        <v>3.5019999999999998</v>
      </c>
      <c r="C99">
        <v>4.84</v>
      </c>
      <c r="D99">
        <v>3.4849999999999999</v>
      </c>
      <c r="E99">
        <v>4.798</v>
      </c>
      <c r="F99">
        <v>56251204.131999999</v>
      </c>
      <c r="G99">
        <v>4.798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0.93800738007380102</v>
      </c>
      <c r="Q99">
        <f t="shared" ref="Q99" si="471">F99*P99</f>
        <v>52764044.613853887</v>
      </c>
      <c r="R99">
        <f t="shared" ref="R99" si="472">R100+Q99</f>
        <v>569937629.83135033</v>
      </c>
      <c r="S99">
        <f t="shared" ref="S99" si="473">R99/100000</f>
        <v>5699.376298313503</v>
      </c>
      <c r="T99">
        <f t="shared" ref="T99" si="474">S99/1000</f>
        <v>5.6993762983135028</v>
      </c>
    </row>
    <row r="100" spans="1:20" x14ac:dyDescent="0.25">
      <c r="A100" s="5">
        <v>44493</v>
      </c>
      <c r="B100">
        <v>3.6920000000000002</v>
      </c>
      <c r="C100">
        <v>3.95</v>
      </c>
      <c r="D100">
        <v>3.4550000000000001</v>
      </c>
      <c r="E100">
        <v>3.5019999999999998</v>
      </c>
      <c r="F100">
        <v>26586772.831</v>
      </c>
      <c r="G100">
        <v>3.5019999999999998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-0.81010101010101132</v>
      </c>
      <c r="Q100">
        <f t="shared" ref="Q100" si="476">F100*P100</f>
        <v>-21537971.525719225</v>
      </c>
      <c r="R100">
        <f t="shared" ref="R100" si="477">R101+Q100</f>
        <v>517173585.21749645</v>
      </c>
      <c r="S100">
        <f t="shared" ref="S100" si="478">R100/100000</f>
        <v>5171.7358521749647</v>
      </c>
      <c r="T100">
        <f t="shared" ref="T100" si="479">S100/1000</f>
        <v>5.1717358521749643</v>
      </c>
    </row>
    <row r="101" spans="1:20" x14ac:dyDescent="0.25">
      <c r="A101" s="5">
        <v>44492</v>
      </c>
      <c r="B101">
        <v>3.3380000000000001</v>
      </c>
      <c r="C101">
        <v>3.79</v>
      </c>
      <c r="D101">
        <v>3.173</v>
      </c>
      <c r="E101">
        <v>3.6920000000000002</v>
      </c>
      <c r="F101">
        <v>26662063.171999998</v>
      </c>
      <c r="G101">
        <v>3.6920000000000002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0.68233387358184805</v>
      </c>
      <c r="Q101">
        <f t="shared" ref="Q101" si="481">F101*P101</f>
        <v>18192428.841834694</v>
      </c>
      <c r="R101">
        <f t="shared" ref="R101" si="482">R102+Q101</f>
        <v>538711556.74321568</v>
      </c>
      <c r="S101">
        <f t="shared" ref="S101" si="483">R101/100000</f>
        <v>5387.1155674321571</v>
      </c>
      <c r="T101">
        <f t="shared" ref="T101" si="484">S101/1000</f>
        <v>5.3871155674321569</v>
      </c>
    </row>
    <row r="102" spans="1:20" x14ac:dyDescent="0.25">
      <c r="A102" s="5">
        <v>44491</v>
      </c>
      <c r="B102">
        <v>2.8570000000000002</v>
      </c>
      <c r="C102">
        <v>3.3740000000000001</v>
      </c>
      <c r="D102">
        <v>2.8559999999999999</v>
      </c>
      <c r="E102">
        <v>3.3380000000000001</v>
      </c>
      <c r="F102">
        <v>21782128.800000001</v>
      </c>
      <c r="G102">
        <v>3.3380000000000001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0.86100386100386095</v>
      </c>
      <c r="Q102">
        <f t="shared" ref="Q102" si="486">F102*P102</f>
        <v>18754496.997683398</v>
      </c>
      <c r="R102">
        <f t="shared" ref="R102" si="487">R103+Q102</f>
        <v>520519127.90138096</v>
      </c>
      <c r="S102">
        <f t="shared" ref="S102" si="488">R102/100000</f>
        <v>5205.1912790138094</v>
      </c>
      <c r="T102">
        <f t="shared" ref="T102" si="489">S102/1000</f>
        <v>5.2051912790138095</v>
      </c>
    </row>
    <row r="103" spans="1:20" x14ac:dyDescent="0.25">
      <c r="A103" s="5">
        <v>44490</v>
      </c>
      <c r="B103">
        <v>2.9369999999999998</v>
      </c>
      <c r="C103">
        <v>3.0550000000000002</v>
      </c>
      <c r="D103">
        <v>2.8380000000000001</v>
      </c>
      <c r="E103">
        <v>2.8570000000000002</v>
      </c>
      <c r="F103">
        <v>11234083</v>
      </c>
      <c r="G103">
        <v>2.8570000000000002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-0.82488479262672698</v>
      </c>
      <c r="Q103">
        <f t="shared" ref="Q103" si="491">F103*P103</f>
        <v>-9266824.2258064393</v>
      </c>
      <c r="R103">
        <f t="shared" ref="R103" si="492">R104+Q103</f>
        <v>501764630.90369755</v>
      </c>
      <c r="S103">
        <f t="shared" ref="S103" si="493">R103/100000</f>
        <v>5017.6463090369753</v>
      </c>
      <c r="T103">
        <f t="shared" ref="T103" si="494">S103/1000</f>
        <v>5.0176463090369756</v>
      </c>
    </row>
    <row r="104" spans="1:20" x14ac:dyDescent="0.25">
      <c r="A104" s="5">
        <v>44489</v>
      </c>
      <c r="B104">
        <v>2.7919999999999998</v>
      </c>
      <c r="C104">
        <v>2.97</v>
      </c>
      <c r="D104">
        <v>2.79</v>
      </c>
      <c r="E104">
        <v>2.9380000000000002</v>
      </c>
      <c r="F104">
        <v>9645944.5999999996</v>
      </c>
      <c r="G104">
        <v>2.9380000000000002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0.64444444444444449</v>
      </c>
      <c r="Q104">
        <f t="shared" ref="Q104" si="496">F104*P104</f>
        <v>6216275.4088888895</v>
      </c>
      <c r="R104">
        <f t="shared" ref="R104" si="497">R105+Q104</f>
        <v>511031455.12950397</v>
      </c>
      <c r="S104">
        <f t="shared" ref="S104" si="498">R104/100000</f>
        <v>5110.3145512950396</v>
      </c>
      <c r="T104">
        <f t="shared" ref="T104" si="499">S104/1000</f>
        <v>5.1103145512950396</v>
      </c>
    </row>
    <row r="105" spans="1:20" x14ac:dyDescent="0.25">
      <c r="A105" s="5">
        <v>44488</v>
      </c>
      <c r="B105">
        <v>2.7949999999999999</v>
      </c>
      <c r="C105">
        <v>2.8479999999999999</v>
      </c>
      <c r="D105">
        <v>2.6819999999999999</v>
      </c>
      <c r="E105">
        <v>2.7919999999999998</v>
      </c>
      <c r="F105">
        <v>6944224.5999999996</v>
      </c>
      <c r="G105">
        <v>2.7919999999999998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0.32530120481927621</v>
      </c>
      <c r="Q105">
        <f t="shared" ref="Q105" si="501">F105*P105</f>
        <v>2258964.6289156564</v>
      </c>
      <c r="R105">
        <f t="shared" ref="R105" si="502">R106+Q105</f>
        <v>504815179.72061509</v>
      </c>
      <c r="S105">
        <f t="shared" ref="S105" si="503">R105/100000</f>
        <v>5048.1517972061511</v>
      </c>
      <c r="T105">
        <f t="shared" ref="T105" si="504">S105/1000</f>
        <v>5.0481517972061507</v>
      </c>
    </row>
    <row r="106" spans="1:20" x14ac:dyDescent="0.25">
      <c r="A106" s="5">
        <v>44487</v>
      </c>
      <c r="B106">
        <v>2.8690000000000002</v>
      </c>
      <c r="C106">
        <v>2.875</v>
      </c>
      <c r="D106">
        <v>2.722</v>
      </c>
      <c r="E106">
        <v>2.7949999999999999</v>
      </c>
      <c r="F106">
        <v>5950845.4000000004</v>
      </c>
      <c r="G106">
        <v>2.7949999999999999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-4.5751633986928865E-2</v>
      </c>
      <c r="Q106">
        <f t="shared" ref="Q106" si="506">F106*P106</f>
        <v>-272260.9006535993</v>
      </c>
      <c r="R106">
        <f t="shared" ref="R106" si="507">R107+Q106</f>
        <v>502556215.09169942</v>
      </c>
      <c r="S106">
        <f t="shared" ref="S106" si="508">R106/100000</f>
        <v>5025.5621509169941</v>
      </c>
      <c r="T106">
        <f t="shared" ref="T106" si="509">S106/1000</f>
        <v>5.0255621509169943</v>
      </c>
    </row>
    <row r="107" spans="1:20" x14ac:dyDescent="0.25">
      <c r="A107" s="5">
        <v>44486</v>
      </c>
      <c r="B107">
        <v>2.911</v>
      </c>
      <c r="C107">
        <v>2.9180000000000001</v>
      </c>
      <c r="D107">
        <v>2.7250000000000001</v>
      </c>
      <c r="E107">
        <v>2.8690000000000002</v>
      </c>
      <c r="F107">
        <v>8324267.7000000002</v>
      </c>
      <c r="G107">
        <v>2.8690000000000002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0.49222797927461226</v>
      </c>
      <c r="Q107">
        <f t="shared" ref="Q107" si="511">F107*P107</f>
        <v>4097437.4689119244</v>
      </c>
      <c r="R107">
        <f t="shared" ref="R107" si="512">R108+Q107</f>
        <v>502828475.99235302</v>
      </c>
      <c r="S107">
        <f t="shared" ref="S107" si="513">R107/100000</f>
        <v>5028.2847599235301</v>
      </c>
      <c r="T107">
        <f t="shared" ref="T107" si="514">S107/1000</f>
        <v>5.0282847599235305</v>
      </c>
    </row>
    <row r="108" spans="1:20" x14ac:dyDescent="0.25">
      <c r="A108" s="5">
        <v>44485</v>
      </c>
      <c r="B108">
        <v>2.899</v>
      </c>
      <c r="C108">
        <v>3.08</v>
      </c>
      <c r="D108">
        <v>2.8809999999999998</v>
      </c>
      <c r="E108">
        <v>2.91</v>
      </c>
      <c r="F108">
        <v>10038328.1</v>
      </c>
      <c r="G108">
        <v>2.91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-0.70854271356783605</v>
      </c>
      <c r="Q108">
        <f t="shared" ref="Q108" si="516">F108*P108</f>
        <v>-7112584.2316582594</v>
      </c>
      <c r="R108">
        <f t="shared" ref="R108" si="517">R109+Q108</f>
        <v>498731038.52344108</v>
      </c>
      <c r="S108">
        <f t="shared" ref="S108" si="518">R108/100000</f>
        <v>4987.3103852344111</v>
      </c>
      <c r="T108">
        <f t="shared" ref="T108" si="519">S108/1000</f>
        <v>4.9873103852344114</v>
      </c>
    </row>
    <row r="109" spans="1:20" x14ac:dyDescent="0.25">
      <c r="A109" s="5">
        <v>44484</v>
      </c>
      <c r="B109">
        <v>2.89</v>
      </c>
      <c r="C109">
        <v>3.02</v>
      </c>
      <c r="D109">
        <v>2.8029999999999999</v>
      </c>
      <c r="E109">
        <v>2.8980000000000001</v>
      </c>
      <c r="F109">
        <v>14651459.4</v>
      </c>
      <c r="G109">
        <v>2.8980000000000001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-0.12442396313363908</v>
      </c>
      <c r="Q109">
        <f t="shared" ref="Q109" si="521">F109*P109</f>
        <v>-1822992.6442396098</v>
      </c>
      <c r="R109">
        <f t="shared" ref="R109" si="522">R110+Q109</f>
        <v>505843622.75509936</v>
      </c>
      <c r="S109">
        <f t="shared" ref="S109" si="523">R109/100000</f>
        <v>5058.4362275509939</v>
      </c>
      <c r="T109">
        <f t="shared" ref="T109" si="524">S109/1000</f>
        <v>5.0584362275509935</v>
      </c>
    </row>
    <row r="110" spans="1:20" x14ac:dyDescent="0.25">
      <c r="A110" s="5">
        <v>44483</v>
      </c>
      <c r="B110">
        <v>2.96</v>
      </c>
      <c r="C110">
        <v>3.157</v>
      </c>
      <c r="D110">
        <v>2.8580000000000001</v>
      </c>
      <c r="E110">
        <v>2.891</v>
      </c>
      <c r="F110">
        <v>15685078.300000001</v>
      </c>
      <c r="G110">
        <v>2.891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-0.77926421404682322</v>
      </c>
      <c r="Q110">
        <f t="shared" ref="Q110" si="526">F110*P110</f>
        <v>-12222820.213712383</v>
      </c>
      <c r="R110">
        <f t="shared" ref="R110" si="527">R111+Q110</f>
        <v>507666615.39933896</v>
      </c>
      <c r="S110">
        <f t="shared" ref="S110" si="528">R110/100000</f>
        <v>5076.6661539933893</v>
      </c>
      <c r="T110">
        <f t="shared" ref="T110" si="529">S110/1000</f>
        <v>5.0766661539933891</v>
      </c>
    </row>
    <row r="111" spans="1:20" x14ac:dyDescent="0.25">
      <c r="A111" s="5">
        <v>44482</v>
      </c>
      <c r="B111">
        <v>2.6880000000000002</v>
      </c>
      <c r="C111">
        <v>3</v>
      </c>
      <c r="D111">
        <v>2.6459999999999999</v>
      </c>
      <c r="E111">
        <v>2.96</v>
      </c>
      <c r="F111">
        <v>18483420.300000001</v>
      </c>
      <c r="G111">
        <v>2.96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0.77401129943502811</v>
      </c>
      <c r="Q111">
        <f t="shared" ref="Q111" si="531">F111*P111</f>
        <v>14306376.164406778</v>
      </c>
      <c r="R111">
        <f t="shared" ref="R111" si="532">R112+Q111</f>
        <v>519889435.61305135</v>
      </c>
      <c r="S111">
        <f t="shared" ref="S111" si="533">R111/100000</f>
        <v>5198.8943561305132</v>
      </c>
      <c r="T111">
        <f t="shared" ref="T111" si="534">S111/1000</f>
        <v>5.1988943561305128</v>
      </c>
    </row>
    <row r="112" spans="1:20" x14ac:dyDescent="0.25">
      <c r="A112" s="5">
        <v>44481</v>
      </c>
      <c r="B112">
        <v>2.6960000000000002</v>
      </c>
      <c r="C112">
        <v>2.706</v>
      </c>
      <c r="D112">
        <v>2.5190000000000001</v>
      </c>
      <c r="E112">
        <v>2.6890000000000001</v>
      </c>
      <c r="F112">
        <v>8229194.2999999998</v>
      </c>
      <c r="G112">
        <v>2.6890000000000001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0.81818181818181901</v>
      </c>
      <c r="Q112">
        <f t="shared" ref="Q112" si="536">F112*P112</f>
        <v>6732977.1545454608</v>
      </c>
      <c r="R112">
        <f t="shared" ref="R112" si="537">R113+Q112</f>
        <v>505583059.44864458</v>
      </c>
      <c r="S112">
        <f t="shared" ref="S112" si="538">R112/100000</f>
        <v>5055.830594486446</v>
      </c>
      <c r="T112">
        <f t="shared" ref="T112" si="539">S112/1000</f>
        <v>5.0558305944864461</v>
      </c>
    </row>
    <row r="113" spans="1:20" x14ac:dyDescent="0.25">
      <c r="A113" s="5">
        <v>44480</v>
      </c>
      <c r="B113">
        <v>2.6970000000000001</v>
      </c>
      <c r="C113">
        <v>2.8119999999999998</v>
      </c>
      <c r="D113">
        <v>2.6320000000000001</v>
      </c>
      <c r="E113">
        <v>2.6949999999999998</v>
      </c>
      <c r="F113">
        <v>8261026.7999999998</v>
      </c>
      <c r="G113">
        <v>2.6949999999999998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-0.30000000000000199</v>
      </c>
      <c r="Q113">
        <f t="shared" ref="Q113" si="541">F113*P113</f>
        <v>-2478308.0400000163</v>
      </c>
      <c r="R113">
        <f t="shared" ref="R113" si="542">R114+Q113</f>
        <v>498850082.29409909</v>
      </c>
      <c r="S113">
        <f t="shared" ref="S113" si="543">R113/100000</f>
        <v>4988.5008229409905</v>
      </c>
      <c r="T113">
        <f t="shared" ref="T113" si="544">S113/1000</f>
        <v>4.9885008229409902</v>
      </c>
    </row>
    <row r="114" spans="1:20" x14ac:dyDescent="0.25">
      <c r="A114" s="5">
        <v>44479</v>
      </c>
      <c r="B114">
        <v>2.9079999999999999</v>
      </c>
      <c r="C114">
        <v>2.911</v>
      </c>
      <c r="D114">
        <v>2.6779999999999999</v>
      </c>
      <c r="E114">
        <v>2.698</v>
      </c>
      <c r="F114">
        <v>9950859.6999999993</v>
      </c>
      <c r="G114">
        <v>2.698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-0.8283261802575107</v>
      </c>
      <c r="Q114">
        <f t="shared" ref="Q114" si="546">F114*P114</f>
        <v>-8242557.6055793986</v>
      </c>
      <c r="R114">
        <f t="shared" ref="R114" si="547">R115+Q114</f>
        <v>501328390.33409911</v>
      </c>
      <c r="S114">
        <f t="shared" ref="S114" si="548">R114/100000</f>
        <v>5013.2839033409909</v>
      </c>
      <c r="T114">
        <f t="shared" ref="T114" si="549">S114/1000</f>
        <v>5.0132839033409908</v>
      </c>
    </row>
    <row r="115" spans="1:20" x14ac:dyDescent="0.25">
      <c r="A115" s="5">
        <v>44478</v>
      </c>
      <c r="B115">
        <v>2.9590000000000001</v>
      </c>
      <c r="C115">
        <v>3.097</v>
      </c>
      <c r="D115">
        <v>2.8639999999999999</v>
      </c>
      <c r="E115">
        <v>2.907</v>
      </c>
      <c r="F115">
        <v>18017817.5</v>
      </c>
      <c r="G115">
        <v>2.907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-0.63090128755364694</v>
      </c>
      <c r="Q115">
        <f t="shared" ref="Q115" si="551">F115*P115</f>
        <v>-11367464.259656632</v>
      </c>
      <c r="R115">
        <f t="shared" ref="R115" si="552">R116+Q115</f>
        <v>509570947.93967849</v>
      </c>
      <c r="S115">
        <f t="shared" ref="S115" si="553">R115/100000</f>
        <v>5095.7094793967854</v>
      </c>
      <c r="T115">
        <f t="shared" ref="T115" si="554">S115/1000</f>
        <v>5.0957094793967856</v>
      </c>
    </row>
    <row r="116" spans="1:20" x14ac:dyDescent="0.25">
      <c r="A116" s="5">
        <v>44477</v>
      </c>
      <c r="B116">
        <v>2.8149999999999999</v>
      </c>
      <c r="C116">
        <v>2.964</v>
      </c>
      <c r="D116">
        <v>2.75</v>
      </c>
      <c r="E116">
        <v>2.9590000000000001</v>
      </c>
      <c r="F116">
        <v>11690928.199999999</v>
      </c>
      <c r="G116">
        <v>2.9590000000000001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0.95327102803738417</v>
      </c>
      <c r="Q116">
        <f t="shared" ref="Q116" si="556">F116*P116</f>
        <v>11144623.143925244</v>
      </c>
      <c r="R116">
        <f t="shared" ref="R116" si="557">R117+Q116</f>
        <v>520938412.1993351</v>
      </c>
      <c r="S116">
        <f t="shared" ref="S116" si="558">R116/100000</f>
        <v>5209.3841219933511</v>
      </c>
      <c r="T116">
        <f t="shared" ref="T116" si="559">S116/1000</f>
        <v>5.2093841219933514</v>
      </c>
    </row>
    <row r="117" spans="1:20" x14ac:dyDescent="0.25">
      <c r="A117" s="5">
        <v>44476</v>
      </c>
      <c r="B117">
        <v>2.7389999999999999</v>
      </c>
      <c r="C117">
        <v>2.9009999999999998</v>
      </c>
      <c r="D117">
        <v>2.6509999999999998</v>
      </c>
      <c r="E117">
        <v>2.8130000000000002</v>
      </c>
      <c r="F117">
        <v>14656450.4</v>
      </c>
      <c r="G117">
        <v>2.8130000000000002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0.29600000000000293</v>
      </c>
      <c r="Q117">
        <f t="shared" ref="Q117" si="561">F117*P117</f>
        <v>4338309.3184000431</v>
      </c>
      <c r="R117">
        <f t="shared" ref="R117" si="562">R118+Q117</f>
        <v>509793789.05540985</v>
      </c>
      <c r="S117">
        <f t="shared" ref="S117" si="563">R117/100000</f>
        <v>5097.9378905540989</v>
      </c>
      <c r="T117">
        <f t="shared" ref="T117" si="564">S117/1000</f>
        <v>5.0979378905540988</v>
      </c>
    </row>
    <row r="118" spans="1:20" x14ac:dyDescent="0.25">
      <c r="A118" s="5">
        <v>44475</v>
      </c>
      <c r="B118">
        <v>2.9359999999999999</v>
      </c>
      <c r="C118">
        <v>2.9430000000000001</v>
      </c>
      <c r="D118">
        <v>2.625</v>
      </c>
      <c r="E118">
        <v>2.738</v>
      </c>
      <c r="F118">
        <v>13787862</v>
      </c>
      <c r="G118">
        <v>2.738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-0.28930817610062914</v>
      </c>
      <c r="Q118">
        <f t="shared" ref="Q118" si="566">F118*P118</f>
        <v>-3988941.2075471729</v>
      </c>
      <c r="R118">
        <f t="shared" ref="R118" si="567">R119+Q118</f>
        <v>505455479.73700982</v>
      </c>
      <c r="S118">
        <f t="shared" ref="S118" si="568">R118/100000</f>
        <v>5054.5547973700986</v>
      </c>
      <c r="T118">
        <f t="shared" ref="T118" si="569">S118/1000</f>
        <v>5.0545547973700984</v>
      </c>
    </row>
    <row r="119" spans="1:20" x14ac:dyDescent="0.25">
      <c r="A119" s="5">
        <v>44474</v>
      </c>
      <c r="B119">
        <v>2.883</v>
      </c>
      <c r="C119">
        <v>3.036</v>
      </c>
      <c r="D119">
        <v>2.754</v>
      </c>
      <c r="E119">
        <v>2.9359999999999999</v>
      </c>
      <c r="F119">
        <v>20304383.699999999</v>
      </c>
      <c r="G119">
        <v>2.9359999999999999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0.29078014184397105</v>
      </c>
      <c r="Q119">
        <f t="shared" ref="Q119" si="571">F119*P119</f>
        <v>5904111.5723404139</v>
      </c>
      <c r="R119">
        <f t="shared" ref="R119" si="572">R120+Q119</f>
        <v>509444420.94455701</v>
      </c>
      <c r="S119">
        <f t="shared" ref="S119" si="573">R119/100000</f>
        <v>5094.4442094455699</v>
      </c>
      <c r="T119">
        <f t="shared" ref="T119" si="574">S119/1000</f>
        <v>5.0944442094455695</v>
      </c>
    </row>
    <row r="120" spans="1:20" x14ac:dyDescent="0.25">
      <c r="A120" s="5">
        <v>44473</v>
      </c>
      <c r="B120">
        <v>2.8170000000000002</v>
      </c>
      <c r="C120">
        <v>2.8940000000000001</v>
      </c>
      <c r="D120">
        <v>2.63</v>
      </c>
      <c r="E120">
        <v>2.827</v>
      </c>
      <c r="F120">
        <v>21307157.399999999</v>
      </c>
      <c r="G120">
        <v>2.827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0.4924242424242416</v>
      </c>
      <c r="Q120">
        <f t="shared" ref="Q120" si="576">F120*P120</f>
        <v>10492160.840909073</v>
      </c>
      <c r="R120">
        <f t="shared" ref="R120" si="577">R121+Q120</f>
        <v>503540309.37221658</v>
      </c>
      <c r="S120">
        <f t="shared" ref="S120" si="578">R120/100000</f>
        <v>5035.403093722166</v>
      </c>
      <c r="T120">
        <f t="shared" ref="T120" si="579">S120/1000</f>
        <v>5.0354030937221657</v>
      </c>
    </row>
    <row r="121" spans="1:20" x14ac:dyDescent="0.25">
      <c r="A121" s="5">
        <v>44472</v>
      </c>
      <c r="B121">
        <v>2.5339999999999998</v>
      </c>
      <c r="C121">
        <v>2.9620000000000002</v>
      </c>
      <c r="D121">
        <v>2.48</v>
      </c>
      <c r="E121">
        <v>2.8479999999999999</v>
      </c>
      <c r="F121">
        <v>25827463.100000001</v>
      </c>
      <c r="G121">
        <v>2.8479999999999999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0.52697095435684538</v>
      </c>
      <c r="Q121">
        <f t="shared" ref="Q121" si="581">F121*P121</f>
        <v>13610322.878423208</v>
      </c>
      <c r="R121">
        <f t="shared" ref="R121" si="582">R122+Q121</f>
        <v>493048148.53130752</v>
      </c>
      <c r="S121">
        <f t="shared" ref="S121" si="583">R121/100000</f>
        <v>4930.4814853130756</v>
      </c>
      <c r="T121">
        <f t="shared" ref="T121" si="584">S121/1000</f>
        <v>4.9304814853130754</v>
      </c>
    </row>
    <row r="122" spans="1:20" x14ac:dyDescent="0.25">
      <c r="A122" s="5">
        <v>44471</v>
      </c>
      <c r="B122">
        <v>2.532</v>
      </c>
      <c r="C122">
        <v>2.6589999999999998</v>
      </c>
      <c r="D122">
        <v>2.4569999999999999</v>
      </c>
      <c r="E122">
        <v>2.5350000000000001</v>
      </c>
      <c r="F122">
        <v>12867905.199999999</v>
      </c>
      <c r="G122">
        <v>2.5350000000000001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-0.22772277227722468</v>
      </c>
      <c r="Q122">
        <f t="shared" ref="Q122" si="586">F122*P122</f>
        <v>-2930315.0455445149</v>
      </c>
      <c r="R122">
        <f t="shared" ref="R122" si="587">R123+Q122</f>
        <v>479437825.6528843</v>
      </c>
      <c r="S122">
        <f t="shared" ref="S122" si="588">R122/100000</f>
        <v>4794.3782565288429</v>
      </c>
      <c r="T122">
        <f t="shared" ref="T122" si="589">S122/1000</f>
        <v>4.7943782565288426</v>
      </c>
    </row>
    <row r="123" spans="1:20" x14ac:dyDescent="0.25">
      <c r="A123" s="5">
        <v>44470</v>
      </c>
      <c r="B123">
        <v>2.3359999999999999</v>
      </c>
      <c r="C123">
        <v>2.5579999999999998</v>
      </c>
      <c r="D123">
        <v>2.2850000000000001</v>
      </c>
      <c r="E123">
        <v>2.532</v>
      </c>
      <c r="F123">
        <v>15188700.300000001</v>
      </c>
      <c r="G123">
        <v>2.532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0.80952380952381076</v>
      </c>
      <c r="Q123">
        <f t="shared" ref="Q123" si="591">F123*P123</f>
        <v>12295614.528571447</v>
      </c>
      <c r="R123">
        <f t="shared" ref="R123" si="592">R124+Q123</f>
        <v>482368140.69842881</v>
      </c>
      <c r="S123">
        <f t="shared" ref="S123" si="593">R123/100000</f>
        <v>4823.6814069842885</v>
      </c>
      <c r="T123">
        <f t="shared" ref="T123" si="594">S123/1000</f>
        <v>4.8236814069842886</v>
      </c>
    </row>
    <row r="124" spans="1:20" x14ac:dyDescent="0.25">
      <c r="A124" s="5">
        <v>44469</v>
      </c>
      <c r="B124">
        <v>2.2890000000000001</v>
      </c>
      <c r="C124">
        <v>2.4020000000000001</v>
      </c>
      <c r="D124">
        <v>2.2530000000000001</v>
      </c>
      <c r="E124">
        <v>2.3359999999999999</v>
      </c>
      <c r="F124">
        <v>11138827.300000001</v>
      </c>
      <c r="G124">
        <v>2.3359999999999999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0.11409395973153999</v>
      </c>
      <c r="Q124">
        <f t="shared" ref="Q124" si="596">F124*P124</f>
        <v>1270872.9134227785</v>
      </c>
      <c r="R124">
        <f t="shared" ref="R124" si="597">R125+Q124</f>
        <v>470072526.16985738</v>
      </c>
      <c r="S124">
        <f t="shared" ref="S124" si="598">R124/100000</f>
        <v>4700.7252616985734</v>
      </c>
      <c r="T124">
        <f t="shared" ref="T124" si="599">S124/1000</f>
        <v>4.7007252616985733</v>
      </c>
    </row>
    <row r="125" spans="1:20" x14ac:dyDescent="0.25">
      <c r="A125" s="5">
        <v>44468</v>
      </c>
      <c r="B125">
        <v>2.2250000000000001</v>
      </c>
      <c r="C125">
        <v>2.4009999999999998</v>
      </c>
      <c r="D125">
        <v>2.2120000000000002</v>
      </c>
      <c r="E125">
        <v>2.2890000000000001</v>
      </c>
      <c r="F125">
        <v>11431577.800000001</v>
      </c>
      <c r="G125">
        <v>2.2890000000000001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-0.18518518518518395</v>
      </c>
      <c r="Q125">
        <f t="shared" ref="Q125" si="601">F125*P125</f>
        <v>-2116958.8518518377</v>
      </c>
      <c r="R125">
        <f t="shared" ref="R125" si="602">R126+Q125</f>
        <v>468801653.25643462</v>
      </c>
      <c r="S125">
        <f t="shared" ref="S125" si="603">R125/100000</f>
        <v>4688.0165325643466</v>
      </c>
      <c r="T125">
        <f t="shared" ref="T125" si="604">S125/1000</f>
        <v>4.6880165325643466</v>
      </c>
    </row>
    <row r="126" spans="1:20" x14ac:dyDescent="0.25">
      <c r="A126" s="5">
        <v>44467</v>
      </c>
      <c r="B126">
        <v>2.3690000000000002</v>
      </c>
      <c r="C126">
        <v>2.42</v>
      </c>
      <c r="D126">
        <v>2.2189999999999999</v>
      </c>
      <c r="E126">
        <v>2.226</v>
      </c>
      <c r="F126">
        <v>21278534.5</v>
      </c>
      <c r="G126">
        <v>2.226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-0.93034825870646654</v>
      </c>
      <c r="Q126">
        <f t="shared" ref="Q126" si="606">F126*P126</f>
        <v>-19796447.519900475</v>
      </c>
      <c r="R126">
        <f t="shared" ref="R126" si="607">R127+Q126</f>
        <v>470918612.10828644</v>
      </c>
      <c r="S126">
        <f t="shared" ref="S126" si="608">R126/100000</f>
        <v>4709.1861210828647</v>
      </c>
      <c r="T126">
        <f t="shared" ref="T126" si="609">S126/1000</f>
        <v>4.7091861210828645</v>
      </c>
    </row>
    <row r="127" spans="1:20" x14ac:dyDescent="0.25">
      <c r="A127" s="5">
        <v>44466</v>
      </c>
      <c r="B127">
        <v>2.5430000000000001</v>
      </c>
      <c r="C127">
        <v>2.7519999999999998</v>
      </c>
      <c r="D127">
        <v>2.3570000000000002</v>
      </c>
      <c r="E127">
        <v>2.3690000000000002</v>
      </c>
      <c r="F127">
        <v>33160312</v>
      </c>
      <c r="G127">
        <v>2.3690000000000002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-0.93924050632911382</v>
      </c>
      <c r="Q127">
        <f t="shared" ref="Q127" si="611">F127*P127</f>
        <v>-31145508.232911389</v>
      </c>
      <c r="R127">
        <f t="shared" ref="R127" si="612">R128+Q127</f>
        <v>490715059.62818694</v>
      </c>
      <c r="S127">
        <f t="shared" ref="S127" si="613">R127/100000</f>
        <v>4907.1505962818692</v>
      </c>
      <c r="T127">
        <f t="shared" ref="T127" si="614">S127/1000</f>
        <v>4.9071505962818689</v>
      </c>
    </row>
    <row r="128" spans="1:20" x14ac:dyDescent="0.25">
      <c r="A128" s="5">
        <v>44465</v>
      </c>
      <c r="B128">
        <v>2.3079999999999998</v>
      </c>
      <c r="C128">
        <v>2.62</v>
      </c>
      <c r="D128">
        <v>2.0630000000000002</v>
      </c>
      <c r="E128">
        <v>2.5430000000000001</v>
      </c>
      <c r="F128">
        <v>28701974.199999999</v>
      </c>
      <c r="G128">
        <v>2.5430000000000001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0.72351885098743285</v>
      </c>
      <c r="Q128">
        <f t="shared" ref="Q128" si="616">F128*P128</f>
        <v>20766419.394254941</v>
      </c>
      <c r="R128">
        <f t="shared" ref="R128" si="617">R129+Q128</f>
        <v>521860567.86109835</v>
      </c>
      <c r="S128">
        <f t="shared" ref="S128" si="618">R128/100000</f>
        <v>5218.6056786109839</v>
      </c>
      <c r="T128">
        <f t="shared" ref="T128" si="619">S128/1000</f>
        <v>5.2186056786109836</v>
      </c>
    </row>
    <row r="129" spans="1:20" x14ac:dyDescent="0.25">
      <c r="A129" s="5">
        <v>44464</v>
      </c>
      <c r="B129">
        <v>2.4279999999999999</v>
      </c>
      <c r="C129">
        <v>2.48</v>
      </c>
      <c r="D129">
        <v>2.2629999999999999</v>
      </c>
      <c r="E129">
        <v>2.31</v>
      </c>
      <c r="F129">
        <v>12477548.9</v>
      </c>
      <c r="G129">
        <v>2.31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-0.56682027649769462</v>
      </c>
      <c r="Q129">
        <f t="shared" ref="Q129" si="621">F129*P129</f>
        <v>-7072527.7175115058</v>
      </c>
      <c r="R129">
        <f t="shared" ref="R129" si="622">R130+Q129</f>
        <v>501094148.46684343</v>
      </c>
      <c r="S129">
        <f t="shared" ref="S129" si="623">R129/100000</f>
        <v>5010.941484668434</v>
      </c>
      <c r="T129">
        <f t="shared" ref="T129" si="624">S129/1000</f>
        <v>5.0109414846684341</v>
      </c>
    </row>
    <row r="130" spans="1:20" x14ac:dyDescent="0.25">
      <c r="A130" s="5">
        <v>44463</v>
      </c>
      <c r="B130">
        <v>2.7869999999999999</v>
      </c>
      <c r="C130">
        <v>2.7949999999999999</v>
      </c>
      <c r="D130">
        <v>2.2480000000000002</v>
      </c>
      <c r="E130">
        <v>2.4260000000000002</v>
      </c>
      <c r="F130">
        <v>31251755.399999999</v>
      </c>
      <c r="G130">
        <v>2.4260000000000002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-0.34917733089579511</v>
      </c>
      <c r="Q130">
        <f t="shared" ref="Q130" si="626">F130*P130</f>
        <v>-10912404.536380252</v>
      </c>
      <c r="R130">
        <f t="shared" ref="R130" si="627">R131+Q130</f>
        <v>508166676.18435496</v>
      </c>
      <c r="S130">
        <f t="shared" ref="S130" si="628">R130/100000</f>
        <v>5081.6667618435495</v>
      </c>
      <c r="T130">
        <f t="shared" ref="T130" si="629">S130/1000</f>
        <v>5.0816667618435494</v>
      </c>
    </row>
    <row r="131" spans="1:20" x14ac:dyDescent="0.25">
      <c r="A131" s="5">
        <v>44462</v>
      </c>
      <c r="B131">
        <v>2.4489999999999998</v>
      </c>
      <c r="C131">
        <v>2.8370000000000002</v>
      </c>
      <c r="D131">
        <v>2.3540000000000001</v>
      </c>
      <c r="E131">
        <v>2.7879999999999998</v>
      </c>
      <c r="F131">
        <v>23902245.5</v>
      </c>
      <c r="G131">
        <v>2.7879999999999998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0.79710144927536075</v>
      </c>
      <c r="Q131">
        <f t="shared" ref="Q131" si="631">F131*P131</f>
        <v>19052514.528985471</v>
      </c>
      <c r="R131">
        <f t="shared" ref="R131" si="632">R132+Q131</f>
        <v>519079080.72073519</v>
      </c>
      <c r="S131">
        <f t="shared" ref="S131" si="633">R131/100000</f>
        <v>5190.7908072073524</v>
      </c>
      <c r="T131">
        <f t="shared" ref="T131" si="634">S131/1000</f>
        <v>5.1907908072073523</v>
      </c>
    </row>
    <row r="132" spans="1:20" x14ac:dyDescent="0.25">
      <c r="A132" s="5">
        <v>44461</v>
      </c>
      <c r="B132">
        <v>2.1989999999999998</v>
      </c>
      <c r="C132">
        <v>2.5219999999999998</v>
      </c>
      <c r="D132">
        <v>2.1469999999999998</v>
      </c>
      <c r="E132">
        <v>2.4500000000000002</v>
      </c>
      <c r="F132">
        <v>16634303.699999999</v>
      </c>
      <c r="G132">
        <v>2.4500000000000002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0.61600000000000199</v>
      </c>
      <c r="Q132">
        <f t="shared" ref="Q132" si="636">F132*P132</f>
        <v>10246731.079200033</v>
      </c>
      <c r="R132">
        <f t="shared" ref="R132" si="637">R133+Q132</f>
        <v>500026566.19174969</v>
      </c>
      <c r="S132">
        <f t="shared" ref="S132" si="638">R132/100000</f>
        <v>5000.2656619174968</v>
      </c>
      <c r="T132">
        <f t="shared" ref="T132" si="639">S132/1000</f>
        <v>5.0002656619174966</v>
      </c>
    </row>
    <row r="133" spans="1:20" x14ac:dyDescent="0.25">
      <c r="A133" s="5">
        <v>44460</v>
      </c>
      <c r="B133">
        <v>2.4089999999999998</v>
      </c>
      <c r="C133">
        <v>2.6669999999999998</v>
      </c>
      <c r="D133">
        <v>2.1259999999999999</v>
      </c>
      <c r="E133">
        <v>2.2000000000000002</v>
      </c>
      <c r="F133">
        <v>29837797.199999999</v>
      </c>
      <c r="G133">
        <v>2.2000000000000002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-0.72643253234750349</v>
      </c>
      <c r="Q133">
        <f t="shared" ref="Q133" si="641">F133*P133</f>
        <v>-21675146.579667248</v>
      </c>
      <c r="R133">
        <f t="shared" ref="R133" si="642">R134+Q133</f>
        <v>489779835.11254966</v>
      </c>
      <c r="S133">
        <f t="shared" ref="S133" si="643">R133/100000</f>
        <v>4897.798351125497</v>
      </c>
      <c r="T133">
        <f t="shared" ref="T133" si="644">S133/1000</f>
        <v>4.8977983511254966</v>
      </c>
    </row>
    <row r="134" spans="1:20" x14ac:dyDescent="0.25">
      <c r="A134" s="5">
        <v>44459</v>
      </c>
      <c r="B134">
        <v>3.044</v>
      </c>
      <c r="C134">
        <v>3.1429999999999998</v>
      </c>
      <c r="D134">
        <v>2.5070000000000001</v>
      </c>
      <c r="E134">
        <v>2.6</v>
      </c>
      <c r="F134">
        <v>20836885.899999999</v>
      </c>
      <c r="G134">
        <v>2.6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-0.70754716981132071</v>
      </c>
      <c r="Q134">
        <f t="shared" ref="Q134" si="646">F134*P134</f>
        <v>-14743079.646226414</v>
      </c>
      <c r="R134">
        <f t="shared" ref="R134" si="647">R135+Q134</f>
        <v>511454981.69221693</v>
      </c>
      <c r="S134">
        <f t="shared" ref="S134" si="648">R134/100000</f>
        <v>5114.5498169221692</v>
      </c>
      <c r="T134">
        <f t="shared" ref="T134" si="649">S134/1000</f>
        <v>5.1145498169221693</v>
      </c>
    </row>
    <row r="135" spans="1:20" x14ac:dyDescent="0.25">
      <c r="A135" s="5">
        <v>44458</v>
      </c>
      <c r="B135">
        <v>2.8849999999999998</v>
      </c>
      <c r="C135">
        <v>3.097</v>
      </c>
      <c r="D135">
        <v>2.677</v>
      </c>
      <c r="E135">
        <v>3.0459999999999998</v>
      </c>
      <c r="F135">
        <v>22012980</v>
      </c>
      <c r="G135">
        <v>3.0459999999999998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0.75714285714285634</v>
      </c>
      <c r="Q135">
        <f t="shared" ref="Q135" si="651">F135*P135</f>
        <v>16666970.571428554</v>
      </c>
      <c r="R135">
        <f t="shared" ref="R135" si="652">R136+Q135</f>
        <v>526198061.33844334</v>
      </c>
      <c r="S135">
        <f t="shared" ref="S135" si="653">R135/100000</f>
        <v>5261.9806133844331</v>
      </c>
      <c r="T135">
        <f t="shared" ref="T135" si="654">S135/1000</f>
        <v>5.2619806133844333</v>
      </c>
    </row>
    <row r="136" spans="1:20" x14ac:dyDescent="0.25">
      <c r="A136" s="5">
        <v>44457</v>
      </c>
      <c r="B136">
        <v>2.8069999999999999</v>
      </c>
      <c r="C136">
        <v>2.9750000000000001</v>
      </c>
      <c r="D136">
        <v>2.6960000000000002</v>
      </c>
      <c r="E136">
        <v>2.8849999999999998</v>
      </c>
      <c r="F136">
        <v>22278081.399999999</v>
      </c>
      <c r="G136">
        <v>2.8849999999999998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0.35483870967741699</v>
      </c>
      <c r="Q136">
        <f t="shared" ref="Q136" si="656">F136*P136</f>
        <v>7905125.6580644632</v>
      </c>
      <c r="R136">
        <f t="shared" ref="R136" si="657">R137+Q136</f>
        <v>509531090.7670148</v>
      </c>
      <c r="S136">
        <f t="shared" ref="S136" si="658">R136/100000</f>
        <v>5095.3109076701476</v>
      </c>
      <c r="T136">
        <f t="shared" ref="T136" si="659">S136/1000</f>
        <v>5.0953109076701475</v>
      </c>
    </row>
    <row r="137" spans="1:20" x14ac:dyDescent="0.25">
      <c r="A137" s="5">
        <v>44456</v>
      </c>
      <c r="B137">
        <v>3.1080000000000001</v>
      </c>
      <c r="C137">
        <v>3.2349999999999999</v>
      </c>
      <c r="D137">
        <v>2.7730000000000001</v>
      </c>
      <c r="E137">
        <v>2.8069999999999999</v>
      </c>
      <c r="F137">
        <v>35186253.100000001</v>
      </c>
      <c r="G137">
        <v>2.8069999999999999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-0.85281385281385358</v>
      </c>
      <c r="Q137">
        <f t="shared" ref="Q137" si="661">F137*P137</f>
        <v>-30007324.072294399</v>
      </c>
      <c r="R137">
        <f t="shared" ref="R137" si="662">R138+Q137</f>
        <v>501625965.10895032</v>
      </c>
      <c r="S137">
        <f t="shared" ref="S137" si="663">R137/100000</f>
        <v>5016.2596510895028</v>
      </c>
      <c r="T137">
        <f t="shared" ref="T137" si="664">S137/1000</f>
        <v>5.016259651089503</v>
      </c>
    </row>
    <row r="138" spans="1:20" x14ac:dyDescent="0.25">
      <c r="A138" s="5">
        <v>44455</v>
      </c>
      <c r="B138">
        <v>3.0129999999999999</v>
      </c>
      <c r="C138">
        <v>3.4449999999999998</v>
      </c>
      <c r="D138">
        <v>2.92</v>
      </c>
      <c r="E138">
        <v>3.1070000000000002</v>
      </c>
      <c r="F138">
        <v>45219429.614</v>
      </c>
      <c r="G138">
        <v>3.1070000000000002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-0.28761904761904644</v>
      </c>
      <c r="Q138">
        <f t="shared" ref="Q138" si="666">F138*P138</f>
        <v>-13005969.279455185</v>
      </c>
      <c r="R138">
        <f t="shared" ref="R138" si="667">R139+Q138</f>
        <v>531633289.18124473</v>
      </c>
      <c r="S138">
        <f t="shared" ref="S138" si="668">R138/100000</f>
        <v>5316.3328918124471</v>
      </c>
      <c r="T138">
        <f t="shared" ref="T138" si="669">S138/1000</f>
        <v>5.3163328918124471</v>
      </c>
    </row>
    <row r="139" spans="1:20" x14ac:dyDescent="0.25">
      <c r="A139" s="5">
        <v>44454</v>
      </c>
      <c r="B139">
        <v>2.798</v>
      </c>
      <c r="C139">
        <v>3.214</v>
      </c>
      <c r="D139">
        <v>2.7160000000000002</v>
      </c>
      <c r="E139">
        <v>3.0129999999999999</v>
      </c>
      <c r="F139">
        <v>43197187.420999996</v>
      </c>
      <c r="G139">
        <v>3.0129999999999999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0.19277108433734877</v>
      </c>
      <c r="Q139">
        <f t="shared" ref="Q139" si="671">F139*P139</f>
        <v>8327168.6594698513</v>
      </c>
      <c r="R139">
        <f t="shared" ref="R139" si="672">R140+Q139</f>
        <v>544639258.46069992</v>
      </c>
      <c r="S139">
        <f t="shared" ref="S139" si="673">R139/100000</f>
        <v>5446.3925846069988</v>
      </c>
      <c r="T139">
        <f t="shared" ref="T139" si="674">S139/1000</f>
        <v>5.4463925846069987</v>
      </c>
    </row>
    <row r="140" spans="1:20" x14ac:dyDescent="0.25">
      <c r="A140" s="5">
        <v>44453</v>
      </c>
      <c r="B140">
        <v>2.359</v>
      </c>
      <c r="C140">
        <v>2.8540000000000001</v>
      </c>
      <c r="D140">
        <v>2.355</v>
      </c>
      <c r="E140">
        <v>2.8</v>
      </c>
      <c r="F140">
        <v>42384563.137999997</v>
      </c>
      <c r="G140">
        <v>2.8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0.78356713426853608</v>
      </c>
      <c r="Q140">
        <f t="shared" ref="Q140" si="676">F140*P140</f>
        <v>33211150.675266489</v>
      </c>
      <c r="R140">
        <f t="shared" ref="R140" si="677">R141+Q140</f>
        <v>536312089.80123007</v>
      </c>
      <c r="S140">
        <f t="shared" ref="S140" si="678">R140/100000</f>
        <v>5363.120898012301</v>
      </c>
      <c r="T140">
        <f t="shared" ref="T140" si="679">S140/1000</f>
        <v>5.3631208980123013</v>
      </c>
    </row>
    <row r="141" spans="1:20" x14ac:dyDescent="0.25">
      <c r="A141" s="5">
        <v>44452</v>
      </c>
      <c r="B141">
        <v>2.4209999999999998</v>
      </c>
      <c r="C141">
        <v>2.4809999999999999</v>
      </c>
      <c r="D141">
        <v>2.044</v>
      </c>
      <c r="E141">
        <v>2.359</v>
      </c>
      <c r="F141">
        <v>22730567.300000001</v>
      </c>
      <c r="G141">
        <v>2.359</v>
      </c>
      <c r="L141" t="s">
        <v>8</v>
      </c>
      <c r="M141" t="s">
        <v>7</v>
      </c>
      <c r="N141" t="s">
        <v>8</v>
      </c>
      <c r="P141">
        <f t="shared" ref="P141" si="680">IF(C141=D141,0,((E141-D141)-(C141-E141))/(C141-D141))</f>
        <v>0.44164759725400488</v>
      </c>
      <c r="Q141">
        <f t="shared" ref="Q141" si="681">F141*P141</f>
        <v>10038900.432265453</v>
      </c>
      <c r="R141">
        <f t="shared" ref="R141" si="682">R142+Q141</f>
        <v>503100939.12596357</v>
      </c>
      <c r="S141">
        <f t="shared" ref="S141" si="683">R141/100000</f>
        <v>5031.0093912596358</v>
      </c>
      <c r="T141">
        <f t="shared" ref="T141" si="684">S141/1000</f>
        <v>5.0310093912596354</v>
      </c>
    </row>
    <row r="142" spans="1:20" x14ac:dyDescent="0.25">
      <c r="A142" s="5">
        <v>44451</v>
      </c>
      <c r="B142">
        <v>2.27</v>
      </c>
      <c r="C142">
        <v>2.4329999999999998</v>
      </c>
      <c r="D142">
        <v>2.202</v>
      </c>
      <c r="E142">
        <v>2.4209999999999998</v>
      </c>
      <c r="F142">
        <v>11010738.800000001</v>
      </c>
      <c r="G142">
        <v>2.4209999999999998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0.89610389610389596</v>
      </c>
      <c r="Q142">
        <f t="shared" ref="Q142" si="686">F142*P142</f>
        <v>9866765.937662337</v>
      </c>
      <c r="R142">
        <f t="shared" ref="R142" si="687">R143+Q142</f>
        <v>493062038.69369811</v>
      </c>
      <c r="S142">
        <f t="shared" ref="S142" si="688">R142/100000</f>
        <v>4930.620386936981</v>
      </c>
      <c r="T142">
        <f t="shared" ref="T142" si="689">S142/1000</f>
        <v>4.9306203869369813</v>
      </c>
    </row>
    <row r="143" spans="1:20" x14ac:dyDescent="0.25">
      <c r="A143" s="5">
        <v>44450</v>
      </c>
      <c r="B143">
        <v>2.1440000000000001</v>
      </c>
      <c r="C143">
        <v>2.33</v>
      </c>
      <c r="D143">
        <v>2.1219999999999999</v>
      </c>
      <c r="E143">
        <v>2.2690000000000001</v>
      </c>
      <c r="F143">
        <v>10862160.300000001</v>
      </c>
      <c r="G143">
        <v>2.2690000000000001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0.41346153846153955</v>
      </c>
      <c r="Q143">
        <f t="shared" ref="Q143" si="691">F143*P143</f>
        <v>4491085.5086538587</v>
      </c>
      <c r="R143">
        <f t="shared" ref="R143" si="692">R144+Q143</f>
        <v>483195272.75603575</v>
      </c>
      <c r="S143">
        <f t="shared" ref="S143" si="693">R143/100000</f>
        <v>4831.9527275603577</v>
      </c>
      <c r="T143">
        <f t="shared" ref="T143" si="694">S143/1000</f>
        <v>4.831952727560358</v>
      </c>
    </row>
    <row r="144" spans="1:20" x14ac:dyDescent="0.25">
      <c r="A144" s="5">
        <v>44449</v>
      </c>
      <c r="B144">
        <v>2.3839999999999999</v>
      </c>
      <c r="C144">
        <v>2.4750000000000001</v>
      </c>
      <c r="D144">
        <v>2.0550000000000002</v>
      </c>
      <c r="E144">
        <v>2.1440000000000001</v>
      </c>
      <c r="F144">
        <v>26018341.399999999</v>
      </c>
      <c r="G144">
        <v>2.1440000000000001</v>
      </c>
      <c r="L144" t="s">
        <v>8</v>
      </c>
      <c r="M144" t="s">
        <v>7</v>
      </c>
      <c r="N144" t="s">
        <v>8</v>
      </c>
      <c r="P144">
        <f t="shared" ref="P144" si="695">IF(C144=D144,0,((E144-D144)-(C144-E144))/(C144-D144))</f>
        <v>-0.57619047619047625</v>
      </c>
      <c r="Q144">
        <f t="shared" ref="Q144" si="696">F144*P144</f>
        <v>-14991520.520952381</v>
      </c>
      <c r="R144">
        <f t="shared" ref="R144" si="697">R145+Q144</f>
        <v>478704187.24738187</v>
      </c>
      <c r="S144">
        <f t="shared" ref="S144" si="698">R144/100000</f>
        <v>4787.0418724738183</v>
      </c>
      <c r="T144">
        <f t="shared" ref="T144" si="699">S144/1000</f>
        <v>4.787041872473818</v>
      </c>
    </row>
    <row r="145" spans="1:20" x14ac:dyDescent="0.25">
      <c r="A145" s="5">
        <v>44448</v>
      </c>
      <c r="B145">
        <v>1.99</v>
      </c>
      <c r="C145">
        <v>2.4319999999999999</v>
      </c>
      <c r="D145">
        <v>1.911</v>
      </c>
      <c r="E145">
        <v>2.3839999999999999</v>
      </c>
      <c r="F145">
        <v>19999543</v>
      </c>
      <c r="G145">
        <v>2.3839999999999999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0.81573896353166964</v>
      </c>
      <c r="Q145">
        <f t="shared" ref="Q145" si="701">F145*P145</f>
        <v>16314406.477927059</v>
      </c>
      <c r="R145">
        <f t="shared" ref="R145" si="702">R146+Q145</f>
        <v>493695707.76833427</v>
      </c>
      <c r="S145">
        <f t="shared" ref="S145" si="703">R145/100000</f>
        <v>4936.9570776833425</v>
      </c>
      <c r="T145">
        <f t="shared" ref="T145" si="704">S145/1000</f>
        <v>4.9369570776833429</v>
      </c>
    </row>
    <row r="146" spans="1:20" x14ac:dyDescent="0.25">
      <c r="A146" s="5">
        <v>44447</v>
      </c>
      <c r="B146">
        <v>1.9930000000000001</v>
      </c>
      <c r="C146">
        <v>2.0569999999999999</v>
      </c>
      <c r="D146">
        <v>1.821</v>
      </c>
      <c r="E146">
        <v>1.9870000000000001</v>
      </c>
      <c r="F146">
        <v>20174426.300000001</v>
      </c>
      <c r="G146">
        <v>1.9870000000000001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0.40677966101695046</v>
      </c>
      <c r="Q146">
        <f t="shared" ref="Q146" si="706">F146*P146</f>
        <v>8206546.2915254505</v>
      </c>
      <c r="R146">
        <f t="shared" ref="R146" si="707">R147+Q146</f>
        <v>477381301.29040718</v>
      </c>
      <c r="S146">
        <f t="shared" ref="S146" si="708">R146/100000</f>
        <v>4773.8130129040719</v>
      </c>
      <c r="T146">
        <f t="shared" ref="T146" si="709">S146/1000</f>
        <v>4.7738130129040721</v>
      </c>
    </row>
    <row r="147" spans="1:20" x14ac:dyDescent="0.25">
      <c r="A147" s="5">
        <v>44446</v>
      </c>
      <c r="B147">
        <v>2.488</v>
      </c>
      <c r="C147">
        <v>2.5009999999999999</v>
      </c>
      <c r="D147">
        <v>1.637</v>
      </c>
      <c r="E147">
        <v>1.992</v>
      </c>
      <c r="F147">
        <v>35884126.305</v>
      </c>
      <c r="G147">
        <v>1.992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-0.17824074074074067</v>
      </c>
      <c r="Q147">
        <f t="shared" ref="Q147" si="711">F147*P147</f>
        <v>-6396013.2534374977</v>
      </c>
      <c r="R147">
        <f t="shared" ref="R147" si="712">R148+Q147</f>
        <v>469174754.99888176</v>
      </c>
      <c r="S147">
        <f t="shared" ref="S147" si="713">R147/100000</f>
        <v>4691.7475499888178</v>
      </c>
      <c r="T147">
        <f t="shared" ref="T147" si="714">S147/1000</f>
        <v>4.6917475499888175</v>
      </c>
    </row>
    <row r="148" spans="1:20" x14ac:dyDescent="0.25">
      <c r="A148" s="5">
        <v>44445</v>
      </c>
      <c r="B148">
        <v>2.4809999999999999</v>
      </c>
      <c r="C148">
        <v>2.6669999999999998</v>
      </c>
      <c r="D148">
        <v>2.34</v>
      </c>
      <c r="E148">
        <v>2.4860000000000002</v>
      </c>
      <c r="F148">
        <v>21733023.905000001</v>
      </c>
      <c r="G148">
        <v>2.4860000000000002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-0.10703363914372863</v>
      </c>
      <c r="Q148">
        <f t="shared" ref="Q148" si="716">F148*P148</f>
        <v>-2326164.6381497979</v>
      </c>
      <c r="R148">
        <f t="shared" ref="R148" si="717">R149+Q148</f>
        <v>475570768.25231928</v>
      </c>
      <c r="S148">
        <f t="shared" ref="S148" si="718">R148/100000</f>
        <v>4755.7076825231925</v>
      </c>
      <c r="T148">
        <f t="shared" ref="T148" si="719">S148/1000</f>
        <v>4.7557076825231928</v>
      </c>
    </row>
    <row r="149" spans="1:20" x14ac:dyDescent="0.25">
      <c r="A149" s="5">
        <v>44444</v>
      </c>
      <c r="B149">
        <v>2.2709999999999999</v>
      </c>
      <c r="C149">
        <v>2.5449999999999999</v>
      </c>
      <c r="D149">
        <v>2.246</v>
      </c>
      <c r="E149">
        <v>2.48</v>
      </c>
      <c r="F149">
        <v>26266936.806000002</v>
      </c>
      <c r="G149">
        <v>2.48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0.56521739130434812</v>
      </c>
      <c r="Q149">
        <f t="shared" ref="Q149" si="721">F149*P149</f>
        <v>14846529.499043487</v>
      </c>
      <c r="R149">
        <f t="shared" ref="R149" si="722">R150+Q149</f>
        <v>477896932.89046907</v>
      </c>
      <c r="S149">
        <f t="shared" ref="S149" si="723">R149/100000</f>
        <v>4778.9693289046909</v>
      </c>
      <c r="T149">
        <f t="shared" ref="T149" si="724">S149/1000</f>
        <v>4.7789693289046911</v>
      </c>
    </row>
    <row r="150" spans="1:20" x14ac:dyDescent="0.25">
      <c r="A150" s="5">
        <v>44443</v>
      </c>
      <c r="B150">
        <v>2.2069999999999999</v>
      </c>
      <c r="C150">
        <v>2.339</v>
      </c>
      <c r="D150">
        <v>2.1869999999999998</v>
      </c>
      <c r="E150">
        <v>2.2709999999999999</v>
      </c>
      <c r="F150">
        <v>14694019.800000001</v>
      </c>
      <c r="G150">
        <v>2.2709999999999999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0.10526315789473684</v>
      </c>
      <c r="Q150">
        <f t="shared" ref="Q150" si="726">F150*P150</f>
        <v>1546738.9263157896</v>
      </c>
      <c r="R150">
        <f t="shared" ref="R150" si="727">R151+Q150</f>
        <v>463050403.39142561</v>
      </c>
      <c r="S150">
        <f t="shared" ref="S150" si="728">R150/100000</f>
        <v>4630.5040339142561</v>
      </c>
      <c r="T150">
        <f t="shared" ref="T150" si="729">S150/1000</f>
        <v>4.6305040339142565</v>
      </c>
    </row>
    <row r="151" spans="1:20" x14ac:dyDescent="0.25">
      <c r="A151" s="5">
        <v>44442</v>
      </c>
      <c r="B151">
        <v>2.2050000000000001</v>
      </c>
      <c r="C151">
        <v>2.2749999999999999</v>
      </c>
      <c r="D151">
        <v>2.16</v>
      </c>
      <c r="E151">
        <v>2.206</v>
      </c>
      <c r="F151">
        <v>10525796.300000001</v>
      </c>
      <c r="G151">
        <v>2.206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-0.20000000000000154</v>
      </c>
      <c r="Q151">
        <f t="shared" ref="Q151" si="731">F151*P151</f>
        <v>-2105159.2600000165</v>
      </c>
      <c r="R151">
        <f t="shared" ref="R151" si="732">R152+Q151</f>
        <v>461503664.46510983</v>
      </c>
      <c r="S151">
        <f t="shared" ref="S151" si="733">R151/100000</f>
        <v>4615.036644651098</v>
      </c>
      <c r="T151">
        <f t="shared" ref="T151" si="734">S151/1000</f>
        <v>4.6150366446510978</v>
      </c>
    </row>
    <row r="152" spans="1:20" x14ac:dyDescent="0.25">
      <c r="A152" s="5">
        <v>44441</v>
      </c>
      <c r="B152">
        <v>2.3079999999999998</v>
      </c>
      <c r="C152">
        <v>2.3079999999999998</v>
      </c>
      <c r="D152">
        <v>2.2010000000000001</v>
      </c>
      <c r="E152">
        <v>2.2050000000000001</v>
      </c>
      <c r="F152">
        <v>10211754.300000001</v>
      </c>
      <c r="G152">
        <v>2.2050000000000001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-0.92523364485981285</v>
      </c>
      <c r="Q152">
        <f t="shared" ref="Q152" si="736">F152*P152</f>
        <v>-9448258.6514018681</v>
      </c>
      <c r="R152">
        <f t="shared" ref="R152" si="737">R153+Q152</f>
        <v>463608823.72510982</v>
      </c>
      <c r="S152">
        <f t="shared" ref="S152" si="738">R152/100000</f>
        <v>4636.0882372510978</v>
      </c>
      <c r="T152">
        <f t="shared" ref="T152" si="739">S152/1000</f>
        <v>4.6360882372510979</v>
      </c>
    </row>
    <row r="153" spans="1:20" x14ac:dyDescent="0.25">
      <c r="A153" s="5">
        <v>44440</v>
      </c>
      <c r="B153">
        <v>2.234</v>
      </c>
      <c r="C153">
        <v>2.3159999999999998</v>
      </c>
      <c r="D153">
        <v>2.16</v>
      </c>
      <c r="E153">
        <v>2.3069999999999999</v>
      </c>
      <c r="F153">
        <v>15581478.5</v>
      </c>
      <c r="G153">
        <v>2.3069999999999999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0.88461538461538569</v>
      </c>
      <c r="Q153">
        <f t="shared" ref="Q153" si="741">F153*P153</f>
        <v>13783615.596153863</v>
      </c>
      <c r="R153">
        <f t="shared" ref="R153" si="742">R154+Q153</f>
        <v>473057082.37651169</v>
      </c>
      <c r="S153">
        <f t="shared" ref="S153" si="743">R153/100000</f>
        <v>4730.570823765117</v>
      </c>
      <c r="T153">
        <f t="shared" ref="T153" si="744">S153/1000</f>
        <v>4.7305708237651167</v>
      </c>
    </row>
    <row r="154" spans="1:20" x14ac:dyDescent="0.25">
      <c r="A154" s="5">
        <v>44439</v>
      </c>
      <c r="B154">
        <v>2.097</v>
      </c>
      <c r="C154">
        <v>2.4</v>
      </c>
      <c r="D154">
        <v>2.0430000000000001</v>
      </c>
      <c r="E154">
        <v>2.2349999999999999</v>
      </c>
      <c r="F154">
        <v>29016604.763</v>
      </c>
      <c r="G154">
        <v>2.2349999999999999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7.5630252100839526E-2</v>
      </c>
      <c r="Q154">
        <f t="shared" ref="Q154" si="746">F154*P154</f>
        <v>2194533.133336111</v>
      </c>
      <c r="R154">
        <f t="shared" ref="R154" si="747">R155+Q154</f>
        <v>459273466.78035784</v>
      </c>
      <c r="S154">
        <f t="shared" ref="S154" si="748">R154/100000</f>
        <v>4592.7346678035783</v>
      </c>
      <c r="T154">
        <f t="shared" ref="T154" si="749">S154/1000</f>
        <v>4.5927346678035779</v>
      </c>
    </row>
    <row r="155" spans="1:20" x14ac:dyDescent="0.25">
      <c r="A155" s="5">
        <v>44438</v>
      </c>
      <c r="B155">
        <v>2.1030000000000002</v>
      </c>
      <c r="C155">
        <v>2.274</v>
      </c>
      <c r="D155">
        <v>2.0190000000000001</v>
      </c>
      <c r="E155">
        <v>2.0950000000000002</v>
      </c>
      <c r="F155">
        <v>23113030.463</v>
      </c>
      <c r="G155">
        <v>2.0950000000000002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-0.40392156862745021</v>
      </c>
      <c r="Q155">
        <f t="shared" ref="Q155" si="751">F155*P155</f>
        <v>-9335851.5203490015</v>
      </c>
      <c r="R155">
        <f t="shared" ref="R155" si="752">R156+Q155</f>
        <v>457078933.64702171</v>
      </c>
      <c r="S155">
        <f t="shared" ref="S155" si="753">R155/100000</f>
        <v>4570.7893364702168</v>
      </c>
      <c r="T155">
        <f t="shared" ref="T155" si="754">S155/1000</f>
        <v>4.5707893364702166</v>
      </c>
    </row>
    <row r="156" spans="1:20" x14ac:dyDescent="0.25">
      <c r="A156" s="5">
        <v>44437</v>
      </c>
      <c r="B156">
        <v>2.0960000000000001</v>
      </c>
      <c r="C156">
        <v>2.17</v>
      </c>
      <c r="D156">
        <v>2.0329999999999999</v>
      </c>
      <c r="E156">
        <v>2.1030000000000002</v>
      </c>
      <c r="F156">
        <v>9680228.3000000007</v>
      </c>
      <c r="G156">
        <v>2.1030000000000002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2.1897810218982173E-2</v>
      </c>
      <c r="Q156">
        <f t="shared" ref="Q156" si="756">F156*P156</f>
        <v>211975.80218982045</v>
      </c>
      <c r="R156">
        <f t="shared" ref="R156" si="757">R157+Q156</f>
        <v>466414785.16737074</v>
      </c>
      <c r="S156">
        <f t="shared" ref="S156" si="758">R156/100000</f>
        <v>4664.147851673707</v>
      </c>
      <c r="T156">
        <f t="shared" ref="T156" si="759">S156/1000</f>
        <v>4.6641478516737074</v>
      </c>
    </row>
    <row r="157" spans="1:20" x14ac:dyDescent="0.25">
      <c r="A157" s="5">
        <v>44436</v>
      </c>
      <c r="B157">
        <v>2.1819999999999999</v>
      </c>
      <c r="C157">
        <v>2.25</v>
      </c>
      <c r="D157">
        <v>2.073</v>
      </c>
      <c r="E157">
        <v>2.0960000000000001</v>
      </c>
      <c r="F157">
        <v>9119935.5999999996</v>
      </c>
      <c r="G157">
        <v>2.0960000000000001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-0.74011299435028111</v>
      </c>
      <c r="Q157">
        <f t="shared" ref="Q157" si="761">F157*P157</f>
        <v>-6749782.845197727</v>
      </c>
      <c r="R157">
        <f t="shared" ref="R157" si="762">R158+Q157</f>
        <v>466202809.36518091</v>
      </c>
      <c r="S157">
        <f t="shared" ref="S157" si="763">R157/100000</f>
        <v>4662.0280936518093</v>
      </c>
      <c r="T157">
        <f t="shared" ref="T157" si="764">S157/1000</f>
        <v>4.6620280936518093</v>
      </c>
    </row>
    <row r="158" spans="1:20" x14ac:dyDescent="0.25">
      <c r="A158" s="5">
        <v>44435</v>
      </c>
      <c r="B158">
        <v>2.0489999999999999</v>
      </c>
      <c r="C158">
        <v>2.194</v>
      </c>
      <c r="D158">
        <v>1.9830000000000001</v>
      </c>
      <c r="E158">
        <v>2.1819999999999999</v>
      </c>
      <c r="F158">
        <v>12584482.396</v>
      </c>
      <c r="G158">
        <v>2.1819999999999999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0.88625592417061594</v>
      </c>
      <c r="Q158">
        <f t="shared" ref="Q158" si="766">F158*P158</f>
        <v>11153072.076075828</v>
      </c>
      <c r="R158">
        <f t="shared" ref="R158" si="767">R159+Q158</f>
        <v>472952592.21037865</v>
      </c>
      <c r="S158">
        <f t="shared" ref="S158" si="768">R158/100000</f>
        <v>4729.5259221037868</v>
      </c>
      <c r="T158">
        <f t="shared" ref="T158" si="769">S158/1000</f>
        <v>4.7295259221037869</v>
      </c>
    </row>
    <row r="159" spans="1:20" x14ac:dyDescent="0.25">
      <c r="A159" s="5">
        <v>44434</v>
      </c>
      <c r="B159">
        <v>2.1970000000000001</v>
      </c>
      <c r="C159">
        <v>2.2400000000000002</v>
      </c>
      <c r="D159">
        <v>2.008</v>
      </c>
      <c r="E159">
        <v>2.0489999999999999</v>
      </c>
      <c r="F159">
        <v>10191960.119999999</v>
      </c>
      <c r="G159">
        <v>2.0489999999999999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-0.64655172413793194</v>
      </c>
      <c r="Q159">
        <f t="shared" ref="Q159" si="771">F159*P159</f>
        <v>-6589629.3879310433</v>
      </c>
      <c r="R159">
        <f t="shared" ref="R159" si="772">R160+Q159</f>
        <v>461799520.13430279</v>
      </c>
      <c r="S159">
        <f t="shared" ref="S159" si="773">R159/100000</f>
        <v>4617.9952013430284</v>
      </c>
      <c r="T159">
        <f t="shared" ref="T159" si="774">S159/1000</f>
        <v>4.6179952013430281</v>
      </c>
    </row>
    <row r="160" spans="1:20" x14ac:dyDescent="0.25">
      <c r="A160" s="5">
        <v>44433</v>
      </c>
      <c r="B160">
        <v>2.0960000000000001</v>
      </c>
      <c r="C160">
        <v>2.25</v>
      </c>
      <c r="D160">
        <v>2.085</v>
      </c>
      <c r="E160">
        <v>2.1970000000000001</v>
      </c>
      <c r="F160">
        <v>15594213.238</v>
      </c>
      <c r="G160">
        <v>2.1970000000000001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0.35757575757575849</v>
      </c>
      <c r="Q160">
        <f t="shared" ref="Q160" si="776">F160*P160</f>
        <v>5576112.6123757716</v>
      </c>
      <c r="R160">
        <f t="shared" ref="R160" si="777">R161+Q160</f>
        <v>468389149.52223384</v>
      </c>
      <c r="S160">
        <f t="shared" ref="S160" si="778">R160/100000</f>
        <v>4683.8914952223386</v>
      </c>
      <c r="T160">
        <f t="shared" ref="T160" si="779">S160/1000</f>
        <v>4.6838914952223387</v>
      </c>
    </row>
    <row r="161" spans="1:20" x14ac:dyDescent="0.25">
      <c r="A161" s="5">
        <v>44432</v>
      </c>
      <c r="B161">
        <v>2.3660000000000001</v>
      </c>
      <c r="C161">
        <v>2.3879999999999999</v>
      </c>
      <c r="D161">
        <v>2.0790000000000002</v>
      </c>
      <c r="E161">
        <v>2.0960000000000001</v>
      </c>
      <c r="F161">
        <v>20284214.971000001</v>
      </c>
      <c r="G161">
        <v>2.0960000000000001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-0.8899676375404536</v>
      </c>
      <c r="Q161">
        <f t="shared" ref="Q161" si="781">F161*P161</f>
        <v>-18052294.877103571</v>
      </c>
      <c r="R161">
        <f t="shared" ref="R161" si="782">R162+Q161</f>
        <v>462813036.90985805</v>
      </c>
      <c r="S161">
        <f t="shared" ref="S161" si="783">R161/100000</f>
        <v>4628.1303690985806</v>
      </c>
      <c r="T161">
        <f t="shared" ref="T161" si="784">S161/1000</f>
        <v>4.6281303690985807</v>
      </c>
    </row>
    <row r="162" spans="1:20" x14ac:dyDescent="0.25">
      <c r="A162" s="5">
        <v>44431</v>
      </c>
      <c r="B162">
        <v>2.4420000000000002</v>
      </c>
      <c r="C162">
        <v>2.516</v>
      </c>
      <c r="D162">
        <v>2.2759999999999998</v>
      </c>
      <c r="E162">
        <v>2.367</v>
      </c>
      <c r="F162">
        <v>19577884.248</v>
      </c>
      <c r="G162">
        <v>2.367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-0.24166666666666575</v>
      </c>
      <c r="Q162">
        <f t="shared" ref="Q162" si="786">F162*P162</f>
        <v>-4731322.0265999818</v>
      </c>
      <c r="R162">
        <f t="shared" ref="R162" si="787">R163+Q162</f>
        <v>480865331.78696162</v>
      </c>
      <c r="S162">
        <f t="shared" ref="S162" si="788">R162/100000</f>
        <v>4808.6533178696163</v>
      </c>
      <c r="T162">
        <f t="shared" ref="T162" si="789">S162/1000</f>
        <v>4.8086533178696165</v>
      </c>
    </row>
    <row r="163" spans="1:20" x14ac:dyDescent="0.25">
      <c r="A163" s="5">
        <v>44430</v>
      </c>
      <c r="B163">
        <v>2.2210000000000001</v>
      </c>
      <c r="C163">
        <v>2.3050000000000002</v>
      </c>
      <c r="D163">
        <v>2.1789999999999998</v>
      </c>
      <c r="E163">
        <v>2.2789999999999999</v>
      </c>
      <c r="F163">
        <v>5040209.9589999998</v>
      </c>
      <c r="G163">
        <v>2.2789999999999999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0.58730158730158455</v>
      </c>
      <c r="Q163">
        <f t="shared" ref="Q163" si="791">F163*P163</f>
        <v>2960123.3092539543</v>
      </c>
      <c r="R163">
        <f t="shared" ref="R163" si="792">R164+Q163</f>
        <v>485596653.81356162</v>
      </c>
      <c r="S163">
        <f t="shared" ref="S163" si="793">R163/100000</f>
        <v>4855.9665381356162</v>
      </c>
      <c r="T163">
        <f t="shared" ref="T163" si="794">S163/1000</f>
        <v>4.8559665381356165</v>
      </c>
    </row>
    <row r="164" spans="1:20" x14ac:dyDescent="0.25">
      <c r="A164" s="5">
        <v>44429</v>
      </c>
      <c r="B164">
        <v>2.2679999999999998</v>
      </c>
      <c r="C164">
        <v>2.3239999999999998</v>
      </c>
      <c r="D164">
        <v>2.15</v>
      </c>
      <c r="E164">
        <v>2.222</v>
      </c>
      <c r="F164">
        <v>22673653.079</v>
      </c>
      <c r="G164">
        <v>2.222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-0.17241379310344723</v>
      </c>
      <c r="Q164">
        <f t="shared" ref="Q164" si="796">F164*P164</f>
        <v>-3909250.5308620455</v>
      </c>
      <c r="R164">
        <f t="shared" ref="R164" si="797">R165+Q164</f>
        <v>482636530.50430769</v>
      </c>
      <c r="S164">
        <f t="shared" ref="S164" si="798">R164/100000</f>
        <v>4826.3653050430767</v>
      </c>
      <c r="T164">
        <f t="shared" ref="T164" si="799">S164/1000</f>
        <v>4.826365305043077</v>
      </c>
    </row>
    <row r="165" spans="1:20" x14ac:dyDescent="0.25">
      <c r="A165" s="5">
        <v>44428</v>
      </c>
      <c r="B165">
        <v>2.1509999999999998</v>
      </c>
      <c r="C165">
        <v>2.35</v>
      </c>
      <c r="D165">
        <v>2.1259999999999999</v>
      </c>
      <c r="E165">
        <v>2.2690000000000001</v>
      </c>
      <c r="F165">
        <v>16281655.666999999</v>
      </c>
      <c r="G165">
        <v>2.2690000000000001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0.2767857142857153</v>
      </c>
      <c r="Q165">
        <f t="shared" ref="Q165" si="801">F165*P165</f>
        <v>4506529.6935446588</v>
      </c>
      <c r="R165">
        <f t="shared" ref="R165" si="802">R166+Q165</f>
        <v>486545781.03516972</v>
      </c>
      <c r="S165">
        <f t="shared" ref="S165" si="803">R165/100000</f>
        <v>4865.4578103516969</v>
      </c>
      <c r="T165">
        <f t="shared" ref="T165" si="804">S165/1000</f>
        <v>4.865457810351697</v>
      </c>
    </row>
    <row r="166" spans="1:20" x14ac:dyDescent="0.25">
      <c r="A166" s="5">
        <v>44427</v>
      </c>
      <c r="B166">
        <v>1.9139999999999999</v>
      </c>
      <c r="C166">
        <v>2.153</v>
      </c>
      <c r="D166">
        <v>1.869</v>
      </c>
      <c r="E166">
        <v>2.1509999999999998</v>
      </c>
      <c r="F166">
        <v>15388847.225</v>
      </c>
      <c r="G166">
        <v>2.1509999999999998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0.98591549295774494</v>
      </c>
      <c r="Q166">
        <f t="shared" ref="Q166" si="806">F166*P166</f>
        <v>15172102.897887301</v>
      </c>
      <c r="R166">
        <f t="shared" ref="R166" si="807">R167+Q166</f>
        <v>482039251.34162503</v>
      </c>
      <c r="S166">
        <f t="shared" ref="S166" si="808">R166/100000</f>
        <v>4820.39251341625</v>
      </c>
      <c r="T166">
        <f t="shared" ref="T166" si="809">S166/1000</f>
        <v>4.82039251341625</v>
      </c>
    </row>
    <row r="167" spans="1:20" x14ac:dyDescent="0.25">
      <c r="A167" s="5">
        <v>44426</v>
      </c>
      <c r="B167">
        <v>1.921</v>
      </c>
      <c r="C167">
        <v>2.016</v>
      </c>
      <c r="D167">
        <v>1.8460000000000001</v>
      </c>
      <c r="E167">
        <v>1.911</v>
      </c>
      <c r="F167">
        <v>14529481.651000001</v>
      </c>
      <c r="G167">
        <v>1.911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-0.23529411764705913</v>
      </c>
      <c r="Q167">
        <f t="shared" ref="Q167" si="811">F167*P167</f>
        <v>-3418701.5649411809</v>
      </c>
      <c r="R167">
        <f t="shared" ref="R167" si="812">R168+Q167</f>
        <v>466867148.44373775</v>
      </c>
      <c r="S167">
        <f t="shared" ref="S167" si="813">R167/100000</f>
        <v>4668.6714844373773</v>
      </c>
      <c r="T167">
        <f t="shared" ref="T167" si="814">S167/1000</f>
        <v>4.6686714844373771</v>
      </c>
    </row>
    <row r="168" spans="1:20" x14ac:dyDescent="0.25">
      <c r="A168" s="5">
        <v>44425</v>
      </c>
      <c r="B168">
        <v>2.121</v>
      </c>
      <c r="C168">
        <v>2.2360000000000002</v>
      </c>
      <c r="D168">
        <v>1.9</v>
      </c>
      <c r="E168">
        <v>1.921</v>
      </c>
      <c r="F168">
        <v>20334441.710000001</v>
      </c>
      <c r="G168">
        <v>1.921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-0.87499999999999933</v>
      </c>
      <c r="Q168">
        <f t="shared" ref="Q168" si="816">F168*P168</f>
        <v>-17792636.496249989</v>
      </c>
      <c r="R168">
        <f t="shared" ref="R168" si="817">R169+Q168</f>
        <v>470285850.00867891</v>
      </c>
      <c r="S168">
        <f t="shared" ref="S168" si="818">R168/100000</f>
        <v>4702.8585000867888</v>
      </c>
      <c r="T168">
        <f t="shared" ref="T168" si="819">S168/1000</f>
        <v>4.7028585000867889</v>
      </c>
    </row>
    <row r="169" spans="1:20" x14ac:dyDescent="0.25">
      <c r="A169" s="5">
        <v>44424</v>
      </c>
      <c r="B169">
        <v>2.2210000000000001</v>
      </c>
      <c r="C169">
        <v>2.2879999999999998</v>
      </c>
      <c r="D169">
        <v>2.0880000000000001</v>
      </c>
      <c r="E169">
        <v>2.121</v>
      </c>
      <c r="F169">
        <v>15304837.374</v>
      </c>
      <c r="G169">
        <v>2.121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-0.67000000000000037</v>
      </c>
      <c r="Q169">
        <f t="shared" ref="Q169" si="821">F169*P169</f>
        <v>-10254241.040580006</v>
      </c>
      <c r="R169">
        <f t="shared" ref="R169" si="822">R170+Q169</f>
        <v>488078486.50492889</v>
      </c>
      <c r="S169">
        <f t="shared" ref="S169" si="823">R169/100000</f>
        <v>4880.7848650492888</v>
      </c>
      <c r="T169">
        <f t="shared" ref="T169" si="824">S169/1000</f>
        <v>4.8807848650492884</v>
      </c>
    </row>
    <row r="170" spans="1:20" x14ac:dyDescent="0.25">
      <c r="A170" s="5">
        <v>44423</v>
      </c>
      <c r="B170">
        <v>2.2610000000000001</v>
      </c>
      <c r="C170">
        <v>2.2919999999999998</v>
      </c>
      <c r="D170">
        <v>2.0760000000000001</v>
      </c>
      <c r="E170">
        <v>2.2200000000000002</v>
      </c>
      <c r="F170">
        <v>15583548.5</v>
      </c>
      <c r="G170">
        <v>2.2200000000000002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0.33333333333333609</v>
      </c>
      <c r="Q170">
        <f t="shared" ref="Q170" si="826">F170*P170</f>
        <v>5194516.1666667098</v>
      </c>
      <c r="R170">
        <f t="shared" ref="R170" si="827">R171+Q170</f>
        <v>498332727.54550892</v>
      </c>
      <c r="S170">
        <f t="shared" ref="S170" si="828">R170/100000</f>
        <v>4983.327275455089</v>
      </c>
      <c r="T170">
        <f t="shared" ref="T170" si="829">S170/1000</f>
        <v>4.983327275455089</v>
      </c>
    </row>
    <row r="171" spans="1:20" x14ac:dyDescent="0.25">
      <c r="A171" s="5">
        <v>44422</v>
      </c>
      <c r="B171">
        <v>2.3620000000000001</v>
      </c>
      <c r="C171">
        <v>2.363</v>
      </c>
      <c r="D171">
        <v>2.157</v>
      </c>
      <c r="E171">
        <v>2.262</v>
      </c>
      <c r="F171">
        <v>14636839.291999999</v>
      </c>
      <c r="G171">
        <v>2.262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1.9417475728155362E-2</v>
      </c>
      <c r="Q171">
        <f t="shared" ref="Q171" si="831">F171*P171</f>
        <v>284210.47168932069</v>
      </c>
      <c r="R171">
        <f t="shared" ref="R171" si="832">R172+Q171</f>
        <v>493138211.37884223</v>
      </c>
      <c r="S171">
        <f t="shared" ref="S171" si="833">R171/100000</f>
        <v>4931.3821137884224</v>
      </c>
      <c r="T171">
        <f t="shared" ref="T171" si="834">S171/1000</f>
        <v>4.9313821137884224</v>
      </c>
    </row>
    <row r="172" spans="1:20" x14ac:dyDescent="0.25">
      <c r="A172" s="5">
        <v>44421</v>
      </c>
      <c r="B172">
        <v>2.0299999999999998</v>
      </c>
      <c r="C172">
        <v>2.3780000000000001</v>
      </c>
      <c r="D172">
        <v>2.0230000000000001</v>
      </c>
      <c r="E172">
        <v>2.36</v>
      </c>
      <c r="F172">
        <v>19004413.103</v>
      </c>
      <c r="G172">
        <v>2.36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0.89859154929577334</v>
      </c>
      <c r="Q172">
        <f t="shared" ref="Q172" si="836">F172*P172</f>
        <v>17077205.013681665</v>
      </c>
      <c r="R172">
        <f t="shared" ref="R172" si="837">R173+Q172</f>
        <v>492854000.90715289</v>
      </c>
      <c r="S172">
        <f t="shared" ref="S172" si="838">R172/100000</f>
        <v>4928.5400090715293</v>
      </c>
      <c r="T172">
        <f t="shared" ref="T172" si="839">S172/1000</f>
        <v>4.9285400090715292</v>
      </c>
    </row>
    <row r="173" spans="1:20" x14ac:dyDescent="0.25">
      <c r="A173" s="5">
        <v>44420</v>
      </c>
      <c r="B173">
        <v>2.0379999999999998</v>
      </c>
      <c r="C173">
        <v>2.15</v>
      </c>
      <c r="D173">
        <v>1.927</v>
      </c>
      <c r="E173">
        <v>2.032</v>
      </c>
      <c r="F173">
        <v>14417677.983999999</v>
      </c>
      <c r="G173">
        <v>2.032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-5.829596412556013E-2</v>
      </c>
      <c r="Q173">
        <f t="shared" ref="Q173" si="841">F173*P173</f>
        <v>-840492.43852914206</v>
      </c>
      <c r="R173">
        <f t="shared" ref="R173" si="842">R174+Q173</f>
        <v>475776795.89347124</v>
      </c>
      <c r="S173">
        <f t="shared" ref="S173" si="843">R173/100000</f>
        <v>4757.7679589347126</v>
      </c>
      <c r="T173">
        <f t="shared" ref="T173" si="844">S173/1000</f>
        <v>4.7577679589347124</v>
      </c>
    </row>
    <row r="174" spans="1:20" x14ac:dyDescent="0.25">
      <c r="A174" s="5">
        <v>44419</v>
      </c>
      <c r="B174">
        <v>2.0649999999999999</v>
      </c>
      <c r="C174">
        <v>2.1930000000000001</v>
      </c>
      <c r="D174">
        <v>2.0219999999999998</v>
      </c>
      <c r="E174">
        <v>2.0390000000000001</v>
      </c>
      <c r="F174">
        <v>16941616.228</v>
      </c>
      <c r="G174">
        <v>2.0390000000000001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-0.80116959064327109</v>
      </c>
      <c r="Q174">
        <f t="shared" ref="Q174" si="846">F174*P174</f>
        <v>-13573107.738222159</v>
      </c>
      <c r="R174">
        <f t="shared" ref="R174" si="847">R175+Q174</f>
        <v>476617288.33200037</v>
      </c>
      <c r="S174">
        <f t="shared" ref="S174" si="848">R174/100000</f>
        <v>4766.1728833200041</v>
      </c>
      <c r="T174">
        <f t="shared" ref="T174" si="849">S174/1000</f>
        <v>4.7661728833200039</v>
      </c>
    </row>
    <row r="175" spans="1:20" x14ac:dyDescent="0.25">
      <c r="A175" s="5">
        <v>44418</v>
      </c>
      <c r="B175">
        <v>1.873</v>
      </c>
      <c r="C175">
        <v>2.0779999999999998</v>
      </c>
      <c r="D175">
        <v>1.831</v>
      </c>
      <c r="E175">
        <v>2.0649999999999999</v>
      </c>
      <c r="F175">
        <v>14178371.605</v>
      </c>
      <c r="G175">
        <v>2.0649999999999999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0.89473684210526394</v>
      </c>
      <c r="Q175">
        <f t="shared" ref="Q175" si="851">F175*P175</f>
        <v>12685911.436052643</v>
      </c>
      <c r="R175">
        <f t="shared" ref="R175" si="852">R176+Q175</f>
        <v>490190396.07022256</v>
      </c>
      <c r="S175">
        <f t="shared" ref="S175" si="853">R175/100000</f>
        <v>4901.903960702226</v>
      </c>
      <c r="T175">
        <f t="shared" ref="T175" si="854">S175/1000</f>
        <v>4.9019039607022261</v>
      </c>
    </row>
    <row r="176" spans="1:20" x14ac:dyDescent="0.25">
      <c r="A176" s="5">
        <v>44417</v>
      </c>
      <c r="B176">
        <v>1.756</v>
      </c>
      <c r="C176">
        <v>1.9079999999999999</v>
      </c>
      <c r="D176">
        <v>1.7070000000000001</v>
      </c>
      <c r="E176">
        <v>1.875</v>
      </c>
      <c r="F176">
        <v>10098787.997</v>
      </c>
      <c r="G176">
        <v>1.875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0.67164179104477673</v>
      </c>
      <c r="Q176">
        <f t="shared" ref="Q176" si="856">F176*P176</f>
        <v>6782768.0576865729</v>
      </c>
      <c r="R176">
        <f t="shared" ref="R176" si="857">R177+Q176</f>
        <v>477504484.63416994</v>
      </c>
      <c r="S176">
        <f t="shared" ref="S176" si="858">R176/100000</f>
        <v>4775.0448463416997</v>
      </c>
      <c r="T176">
        <f t="shared" ref="T176" si="859">S176/1000</f>
        <v>4.7750448463416992</v>
      </c>
    </row>
    <row r="177" spans="1:20" x14ac:dyDescent="0.25">
      <c r="A177" s="5">
        <v>44416</v>
      </c>
      <c r="B177">
        <v>1.9139999999999999</v>
      </c>
      <c r="C177">
        <v>1.94</v>
      </c>
      <c r="D177">
        <v>1.72</v>
      </c>
      <c r="E177">
        <v>1.7549999999999999</v>
      </c>
      <c r="F177">
        <v>10883600.741</v>
      </c>
      <c r="G177">
        <v>1.7549999999999999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-0.68181818181818254</v>
      </c>
      <c r="Q177">
        <f t="shared" ref="Q177" si="861">F177*P177</f>
        <v>-7420636.8688636441</v>
      </c>
      <c r="R177">
        <f t="shared" ref="R177" si="862">R178+Q177</f>
        <v>470721716.57648337</v>
      </c>
      <c r="S177">
        <f t="shared" ref="S177" si="863">R177/100000</f>
        <v>4707.2171657648341</v>
      </c>
      <c r="T177">
        <f t="shared" ref="T177" si="864">S177/1000</f>
        <v>4.7072171657648338</v>
      </c>
    </row>
    <row r="178" spans="1:20" x14ac:dyDescent="0.25">
      <c r="A178" s="5">
        <v>44415</v>
      </c>
      <c r="B178">
        <v>1.9239999999999999</v>
      </c>
      <c r="C178">
        <v>1.98</v>
      </c>
      <c r="D178">
        <v>1.8160000000000001</v>
      </c>
      <c r="E178">
        <v>1.9119999999999999</v>
      </c>
      <c r="F178">
        <v>13285122.426999999</v>
      </c>
      <c r="G178">
        <v>1.9119999999999999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0.17073170731707205</v>
      </c>
      <c r="Q178">
        <f t="shared" ref="Q178" si="866">F178*P178</f>
        <v>2268191.6338780336</v>
      </c>
      <c r="R178">
        <f t="shared" ref="R178" si="867">R179+Q178</f>
        <v>478142353.44534701</v>
      </c>
      <c r="S178">
        <f t="shared" ref="S178" si="868">R178/100000</f>
        <v>4781.42353445347</v>
      </c>
      <c r="T178">
        <f t="shared" ref="T178" si="869">S178/1000</f>
        <v>4.7814235344534701</v>
      </c>
    </row>
    <row r="179" spans="1:20" x14ac:dyDescent="0.25">
      <c r="A179" s="5">
        <v>44414</v>
      </c>
      <c r="B179">
        <v>1.7709999999999999</v>
      </c>
      <c r="C179">
        <v>1.976</v>
      </c>
      <c r="D179">
        <v>1.6930000000000001</v>
      </c>
      <c r="E179">
        <v>1.923</v>
      </c>
      <c r="F179">
        <v>15938711.836999999</v>
      </c>
      <c r="G179">
        <v>1.923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0.62544169611307454</v>
      </c>
      <c r="Q179">
        <f t="shared" ref="Q179" si="871">F179*P179</f>
        <v>9968734.9651908185</v>
      </c>
      <c r="R179">
        <f t="shared" ref="R179" si="872">R180+Q179</f>
        <v>475874161.81146896</v>
      </c>
      <c r="S179">
        <f t="shared" ref="S179" si="873">R179/100000</f>
        <v>4758.74161811469</v>
      </c>
      <c r="T179">
        <f t="shared" ref="T179" si="874">S179/1000</f>
        <v>4.7587416181146898</v>
      </c>
    </row>
    <row r="180" spans="1:20" x14ac:dyDescent="0.25">
      <c r="A180" s="5">
        <v>44413</v>
      </c>
      <c r="B180">
        <v>1.625</v>
      </c>
      <c r="C180">
        <v>1.825</v>
      </c>
      <c r="D180">
        <v>1.587</v>
      </c>
      <c r="E180">
        <v>1.7709999999999999</v>
      </c>
      <c r="F180">
        <v>16915306.456</v>
      </c>
      <c r="G180">
        <v>1.7709999999999999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0.5462184873949576</v>
      </c>
      <c r="Q180">
        <f t="shared" ref="Q180" si="876">F180*P180</f>
        <v>9239453.1062184814</v>
      </c>
      <c r="R180">
        <f t="shared" ref="R180" si="877">R181+Q180</f>
        <v>465905426.84627813</v>
      </c>
      <c r="S180">
        <f t="shared" ref="S180" si="878">R180/100000</f>
        <v>4659.0542684627817</v>
      </c>
      <c r="T180">
        <f t="shared" ref="T180" si="879">S180/1000</f>
        <v>4.659054268462782</v>
      </c>
    </row>
    <row r="181" spans="1:20" x14ac:dyDescent="0.25">
      <c r="A181" s="5">
        <v>44412</v>
      </c>
      <c r="B181">
        <v>1.569</v>
      </c>
      <c r="C181">
        <v>1.649</v>
      </c>
      <c r="D181">
        <v>1.5309999999999999</v>
      </c>
      <c r="E181">
        <v>1.6240000000000001</v>
      </c>
      <c r="F181">
        <v>9555923.8090000004</v>
      </c>
      <c r="G181">
        <v>1.6240000000000001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0.57627118644067987</v>
      </c>
      <c r="Q181">
        <f t="shared" ref="Q181" si="881">F181*P181</f>
        <v>5506803.5509491712</v>
      </c>
      <c r="R181">
        <f t="shared" ref="R181" si="882">R182+Q181</f>
        <v>456665973.74005967</v>
      </c>
      <c r="S181">
        <f t="shared" ref="S181" si="883">R181/100000</f>
        <v>4566.6597374005969</v>
      </c>
      <c r="T181">
        <f t="shared" ref="T181" si="884">S181/1000</f>
        <v>4.5666597374005971</v>
      </c>
    </row>
    <row r="182" spans="1:20" x14ac:dyDescent="0.25">
      <c r="A182" s="5">
        <v>44411</v>
      </c>
      <c r="B182">
        <v>1.6240000000000001</v>
      </c>
      <c r="C182">
        <v>1.6379999999999999</v>
      </c>
      <c r="D182">
        <v>1.5349999999999999</v>
      </c>
      <c r="E182">
        <v>1.5680000000000001</v>
      </c>
      <c r="F182">
        <v>8392218.2300000004</v>
      </c>
      <c r="G182">
        <v>1.5680000000000001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-0.35922330097087096</v>
      </c>
      <c r="Q182">
        <f t="shared" ref="Q182" si="886">F182*P182</f>
        <v>-3014680.33504852</v>
      </c>
      <c r="R182">
        <f t="shared" ref="R182" si="887">R183+Q182</f>
        <v>451159170.18911052</v>
      </c>
      <c r="S182">
        <f t="shared" ref="S182" si="888">R182/100000</f>
        <v>4511.591701891105</v>
      </c>
      <c r="T182">
        <f t="shared" ref="T182" si="889">S182/1000</f>
        <v>4.5115917018911054</v>
      </c>
    </row>
    <row r="183" spans="1:20" x14ac:dyDescent="0.25">
      <c r="A183" s="5">
        <v>44410</v>
      </c>
      <c r="B183">
        <v>1.6579999999999999</v>
      </c>
      <c r="C183">
        <v>1.6919999999999999</v>
      </c>
      <c r="D183">
        <v>1.6060000000000001</v>
      </c>
      <c r="E183">
        <v>1.6259999999999999</v>
      </c>
      <c r="F183">
        <v>9178995.5280000009</v>
      </c>
      <c r="G183">
        <v>1.6259999999999999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-0.53488372093023651</v>
      </c>
      <c r="Q183">
        <f t="shared" ref="Q183" si="891">F183*P183</f>
        <v>-4909695.2824186413</v>
      </c>
      <c r="R183">
        <f t="shared" ref="R183" si="892">R184+Q183</f>
        <v>454173850.52415901</v>
      </c>
      <c r="S183">
        <f t="shared" ref="S183" si="893">R183/100000</f>
        <v>4541.7385052415902</v>
      </c>
      <c r="T183">
        <f t="shared" ref="T183" si="894">S183/1000</f>
        <v>4.5417385052415904</v>
      </c>
    </row>
    <row r="184" spans="1:20" x14ac:dyDescent="0.25">
      <c r="A184" s="5">
        <v>44409</v>
      </c>
      <c r="B184">
        <v>1.71</v>
      </c>
      <c r="C184">
        <v>1.78</v>
      </c>
      <c r="D184">
        <v>1.6359999999999999</v>
      </c>
      <c r="E184">
        <v>1.6579999999999999</v>
      </c>
      <c r="F184">
        <v>10986584.662</v>
      </c>
      <c r="G184">
        <v>1.6579999999999999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-0.69444444444444442</v>
      </c>
      <c r="Q184">
        <f t="shared" ref="Q184" si="896">F184*P184</f>
        <v>-7629572.6819444448</v>
      </c>
      <c r="R184">
        <f t="shared" ref="R184" si="897">R185+Q184</f>
        <v>459083545.80657768</v>
      </c>
      <c r="S184">
        <f t="shared" ref="S184" si="898">R184/100000</f>
        <v>4590.8354580657769</v>
      </c>
      <c r="T184">
        <f t="shared" ref="T184" si="899">S184/1000</f>
        <v>4.5908354580657766</v>
      </c>
    </row>
    <row r="185" spans="1:20" x14ac:dyDescent="0.25">
      <c r="A185" s="5">
        <v>44408</v>
      </c>
      <c r="B185">
        <v>1.6990000000000001</v>
      </c>
      <c r="C185">
        <v>1.764</v>
      </c>
      <c r="D185">
        <v>1.645</v>
      </c>
      <c r="E185">
        <v>1.712</v>
      </c>
      <c r="F185">
        <v>13279649.101</v>
      </c>
      <c r="G185">
        <v>1.712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0.12605042016806642</v>
      </c>
      <c r="Q185">
        <f t="shared" ref="Q185" si="901">F185*P185</f>
        <v>1673905.3488655353</v>
      </c>
      <c r="R185">
        <f t="shared" ref="R185" si="902">R186+Q185</f>
        <v>466713118.48852211</v>
      </c>
      <c r="S185">
        <f t="shared" ref="S185" si="903">R185/100000</f>
        <v>4667.131184885221</v>
      </c>
      <c r="T185">
        <f t="shared" ref="T185" si="904">S185/1000</f>
        <v>4.6671311848852213</v>
      </c>
    </row>
    <row r="186" spans="1:20" x14ac:dyDescent="0.25">
      <c r="A186" s="5">
        <v>44407</v>
      </c>
      <c r="B186">
        <v>1.623</v>
      </c>
      <c r="C186">
        <v>1.71</v>
      </c>
      <c r="D186">
        <v>1.5249999999999999</v>
      </c>
      <c r="E186">
        <v>1.698</v>
      </c>
      <c r="F186">
        <v>13988679.967</v>
      </c>
      <c r="G186">
        <v>1.698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0.87027027027027015</v>
      </c>
      <c r="Q186">
        <f t="shared" ref="Q186" si="906">F186*P186</f>
        <v>12173932.295605404</v>
      </c>
      <c r="R186">
        <f t="shared" ref="R186" si="907">R187+Q186</f>
        <v>465039213.1396566</v>
      </c>
      <c r="S186">
        <f t="shared" ref="S186" si="908">R186/100000</f>
        <v>4650.3921313965657</v>
      </c>
      <c r="T186">
        <f t="shared" ref="T186" si="909">S186/1000</f>
        <v>4.6503921313965657</v>
      </c>
    </row>
    <row r="187" spans="1:20" x14ac:dyDescent="0.25">
      <c r="A187" s="5">
        <v>44406</v>
      </c>
      <c r="B187">
        <v>1.544</v>
      </c>
      <c r="C187">
        <v>1.633</v>
      </c>
      <c r="D187">
        <v>1.508</v>
      </c>
      <c r="E187">
        <v>1.623</v>
      </c>
      <c r="F187">
        <v>12363775.431</v>
      </c>
      <c r="G187">
        <v>1.623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0.83999999999999986</v>
      </c>
      <c r="Q187">
        <f t="shared" ref="Q187" si="911">F187*P187</f>
        <v>10385571.362039998</v>
      </c>
      <c r="R187">
        <f t="shared" ref="R187" si="912">R188+Q187</f>
        <v>452865280.84405118</v>
      </c>
      <c r="S187">
        <f t="shared" ref="S187" si="913">R187/100000</f>
        <v>4528.6528084405118</v>
      </c>
      <c r="T187">
        <f t="shared" ref="T187" si="914">S187/1000</f>
        <v>4.528652808440512</v>
      </c>
    </row>
    <row r="188" spans="1:20" x14ac:dyDescent="0.25">
      <c r="A188" s="5">
        <v>44405</v>
      </c>
      <c r="B188">
        <v>1.569</v>
      </c>
      <c r="C188">
        <v>1.5840000000000001</v>
      </c>
      <c r="D188">
        <v>1.4930000000000001</v>
      </c>
      <c r="E188">
        <v>1.5429999999999999</v>
      </c>
      <c r="F188">
        <v>8027532.818</v>
      </c>
      <c r="G188">
        <v>1.5429999999999999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9.8901098901095358E-2</v>
      </c>
      <c r="Q188">
        <f t="shared" ref="Q188" si="916">F188*P188</f>
        <v>793931.81716480677</v>
      </c>
      <c r="R188">
        <f t="shared" ref="R188" si="917">R189+Q188</f>
        <v>442479709.4820112</v>
      </c>
      <c r="S188">
        <f t="shared" ref="S188" si="918">R188/100000</f>
        <v>4424.7970948201119</v>
      </c>
      <c r="T188">
        <f t="shared" ref="T188" si="919">S188/1000</f>
        <v>4.4247970948201116</v>
      </c>
    </row>
    <row r="189" spans="1:20" x14ac:dyDescent="0.25">
      <c r="A189" s="5">
        <v>44404</v>
      </c>
      <c r="B189">
        <v>1.5309999999999999</v>
      </c>
      <c r="C189">
        <v>1.5860000000000001</v>
      </c>
      <c r="D189">
        <v>1.472</v>
      </c>
      <c r="E189">
        <v>1.569</v>
      </c>
      <c r="F189">
        <v>8721700.727</v>
      </c>
      <c r="G189">
        <v>1.569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0.70175438596491035</v>
      </c>
      <c r="Q189">
        <f t="shared" ref="Q189" si="921">F189*P189</f>
        <v>6120491.7382455971</v>
      </c>
      <c r="R189">
        <f t="shared" ref="R189" si="922">R190+Q189</f>
        <v>441685777.66484642</v>
      </c>
      <c r="S189">
        <f t="shared" ref="S189" si="923">R189/100000</f>
        <v>4416.8577766484641</v>
      </c>
      <c r="T189">
        <f t="shared" ref="T189" si="924">S189/1000</f>
        <v>4.416857776648464</v>
      </c>
    </row>
    <row r="190" spans="1:20" x14ac:dyDescent="0.25">
      <c r="A190" s="5">
        <v>44403</v>
      </c>
      <c r="B190">
        <v>1.5249999999999999</v>
      </c>
      <c r="C190">
        <v>1.71</v>
      </c>
      <c r="D190">
        <v>1.516</v>
      </c>
      <c r="E190">
        <v>1.53</v>
      </c>
      <c r="F190">
        <v>16847271.374000002</v>
      </c>
      <c r="G190">
        <v>1.53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-0.85567010309278335</v>
      </c>
      <c r="Q190">
        <f t="shared" ref="Q190" si="926">F190*P190</f>
        <v>-14415706.433422679</v>
      </c>
      <c r="R190">
        <f t="shared" ref="R190" si="927">R191+Q190</f>
        <v>435565285.92660081</v>
      </c>
      <c r="S190">
        <f t="shared" ref="S190" si="928">R190/100000</f>
        <v>4355.6528592660079</v>
      </c>
      <c r="T190">
        <f t="shared" ref="T190" si="929">S190/1000</f>
        <v>4.3556528592660078</v>
      </c>
    </row>
    <row r="191" spans="1:20" x14ac:dyDescent="0.25">
      <c r="A191" s="5">
        <v>44402</v>
      </c>
      <c r="B191">
        <v>1.5449999999999999</v>
      </c>
      <c r="C191">
        <v>1.5580000000000001</v>
      </c>
      <c r="D191">
        <v>1.4590000000000001</v>
      </c>
      <c r="E191">
        <v>1.524</v>
      </c>
      <c r="F191">
        <v>7716123.7609999999</v>
      </c>
      <c r="G191">
        <v>1.524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0.31313131313131237</v>
      </c>
      <c r="Q191">
        <f t="shared" ref="Q191" si="931">F191*P191</f>
        <v>2416159.9655656507</v>
      </c>
      <c r="R191">
        <f t="shared" ref="R191" si="932">R192+Q191</f>
        <v>449980992.3600235</v>
      </c>
      <c r="S191">
        <f t="shared" ref="S191" si="933">R191/100000</f>
        <v>4499.8099236002354</v>
      </c>
      <c r="T191">
        <f t="shared" ref="T191:T197" si="934">S191/1000</f>
        <v>4.4998099236002354</v>
      </c>
    </row>
    <row r="192" spans="1:20" x14ac:dyDescent="0.25">
      <c r="A192" s="5">
        <v>44401</v>
      </c>
      <c r="B192">
        <v>1.6040000000000001</v>
      </c>
      <c r="C192">
        <v>1.617</v>
      </c>
      <c r="D192">
        <v>1.5129999999999999</v>
      </c>
      <c r="E192">
        <v>1.548</v>
      </c>
      <c r="F192">
        <v>9109681.8039999995</v>
      </c>
      <c r="G192">
        <v>1.548</v>
      </c>
      <c r="L192" t="s">
        <v>7</v>
      </c>
      <c r="M192" t="s">
        <v>8</v>
      </c>
      <c r="N192" t="s">
        <v>7</v>
      </c>
      <c r="P192">
        <f t="shared" ref="P192" si="935">IF(C192=D192,0,((E192-D192)-(C192-E192))/(C192-D192))</f>
        <v>-0.32692307692307476</v>
      </c>
      <c r="Q192">
        <f t="shared" ref="Q192" si="936">F192*P192</f>
        <v>-2978165.2051538262</v>
      </c>
      <c r="R192">
        <f t="shared" ref="R192" si="937">R193+Q192</f>
        <v>447564832.39445788</v>
      </c>
      <c r="S192">
        <f t="shared" ref="S192" si="938">R192/100000</f>
        <v>4475.6483239445788</v>
      </c>
      <c r="T192">
        <f t="shared" si="934"/>
        <v>4.4756483239445792</v>
      </c>
    </row>
    <row r="193" spans="1:20" x14ac:dyDescent="0.25">
      <c r="A193" s="5">
        <v>44400</v>
      </c>
      <c r="B193">
        <v>1.5429999999999999</v>
      </c>
      <c r="C193">
        <v>1.6180000000000001</v>
      </c>
      <c r="D193">
        <v>1.4770000000000001</v>
      </c>
      <c r="E193">
        <v>1.603</v>
      </c>
      <c r="F193">
        <v>9378666.9360000007</v>
      </c>
      <c r="G193">
        <v>1.603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0.78723404255318974</v>
      </c>
      <c r="Q193">
        <f t="shared" ref="Q193" si="940">F193*P193</f>
        <v>7383205.8857872179</v>
      </c>
      <c r="R193">
        <f t="shared" ref="R193" si="941">R194+Q193</f>
        <v>450542997.5996117</v>
      </c>
      <c r="S193">
        <f t="shared" ref="S193" si="942">R193/100000</f>
        <v>4505.4299759961168</v>
      </c>
      <c r="T193">
        <f t="shared" si="934"/>
        <v>4.5054299759961172</v>
      </c>
    </row>
    <row r="194" spans="1:20" x14ac:dyDescent="0.25">
      <c r="A194" s="5">
        <v>44399</v>
      </c>
      <c r="B194">
        <v>1.448</v>
      </c>
      <c r="C194">
        <v>1.5489999999999999</v>
      </c>
      <c r="D194">
        <v>1.4139999999999999</v>
      </c>
      <c r="E194">
        <v>1.5429999999999999</v>
      </c>
      <c r="F194">
        <v>9277548.4279999994</v>
      </c>
      <c r="G194">
        <v>1.5429999999999999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0.91111111111111098</v>
      </c>
      <c r="Q194">
        <f t="shared" ref="Q194" si="944">F194*P194</f>
        <v>8452877.4566222206</v>
      </c>
      <c r="R194">
        <f t="shared" ref="R194" si="945">R195+Q194</f>
        <v>443159791.71382451</v>
      </c>
      <c r="S194">
        <f t="shared" ref="S194" si="946">R194/100000</f>
        <v>4431.5979171382451</v>
      </c>
      <c r="T194">
        <f t="shared" si="934"/>
        <v>4.4315979171382454</v>
      </c>
    </row>
    <row r="195" spans="1:20" x14ac:dyDescent="0.25">
      <c r="A195" s="5">
        <v>44398</v>
      </c>
      <c r="B195">
        <v>1.28</v>
      </c>
      <c r="C195">
        <v>1.474</v>
      </c>
      <c r="D195">
        <v>1.244</v>
      </c>
      <c r="E195">
        <v>1.4490000000000001</v>
      </c>
      <c r="F195">
        <v>9033586.2540000007</v>
      </c>
      <c r="G195">
        <v>1.4490000000000001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0.78260869565217472</v>
      </c>
      <c r="Q195">
        <f t="shared" ref="Q195" si="948">F195*P195</f>
        <v>7069763.1553043555</v>
      </c>
      <c r="R195">
        <f t="shared" ref="R195" si="949">R196+Q195</f>
        <v>434706914.25720227</v>
      </c>
      <c r="S195">
        <f t="shared" ref="S195" si="950">R195/100000</f>
        <v>4347.0691425720224</v>
      </c>
      <c r="T195">
        <f t="shared" si="934"/>
        <v>4.347069142572022</v>
      </c>
    </row>
    <row r="196" spans="1:20" x14ac:dyDescent="0.25">
      <c r="A196" s="5">
        <v>44397</v>
      </c>
      <c r="B196">
        <v>1.341</v>
      </c>
      <c r="C196">
        <v>1.371</v>
      </c>
      <c r="D196">
        <v>1.222</v>
      </c>
      <c r="E196">
        <v>1.282</v>
      </c>
      <c r="F196">
        <v>8517067.3200000003</v>
      </c>
      <c r="G196">
        <v>1.282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-0.19463087248322086</v>
      </c>
      <c r="Q196">
        <f t="shared" ref="Q196" si="952">F196*P196</f>
        <v>-1657684.2434899276</v>
      </c>
      <c r="R196">
        <f t="shared" ref="R196" si="953">R197+Q196</f>
        <v>427637151.1018979</v>
      </c>
      <c r="S196">
        <f t="shared" ref="S196" si="954">R196/100000</f>
        <v>4276.3715110189787</v>
      </c>
      <c r="T196">
        <f t="shared" si="934"/>
        <v>4.2763715110189784</v>
      </c>
    </row>
    <row r="197" spans="1:20" x14ac:dyDescent="0.25">
      <c r="A197" s="5">
        <v>44396</v>
      </c>
      <c r="B197">
        <v>1.4119999999999999</v>
      </c>
      <c r="C197">
        <v>1.42</v>
      </c>
      <c r="D197">
        <v>1.323</v>
      </c>
      <c r="E197">
        <v>1.341</v>
      </c>
      <c r="F197">
        <v>6468626.1940000001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-0.62886597938144284</v>
      </c>
      <c r="Q197">
        <f t="shared" ref="Q197" si="956">F197*P197</f>
        <v>-4067898.946742265</v>
      </c>
      <c r="R197">
        <f t="shared" ref="R197" si="957">R198+Q197</f>
        <v>429294835.34538782</v>
      </c>
      <c r="S197">
        <f t="shared" ref="S197" si="958">R197/100000</f>
        <v>4292.9483534538786</v>
      </c>
      <c r="T197">
        <f t="shared" si="934"/>
        <v>4.2929483534538786</v>
      </c>
    </row>
    <row r="198" spans="1:20" x14ac:dyDescent="0.25">
      <c r="A198" s="5">
        <v>44395</v>
      </c>
      <c r="B198">
        <v>1.4259999999999999</v>
      </c>
      <c r="C198">
        <v>1.5089999999999999</v>
      </c>
      <c r="D198">
        <v>1.393</v>
      </c>
      <c r="E198">
        <v>1.4119999999999999</v>
      </c>
      <c r="F198">
        <v>5359469.6359999999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-0.67241379310344951</v>
      </c>
      <c r="Q198">
        <f t="shared" ref="Q198:Q261" si="960">F198*P198</f>
        <v>-3603781.3069655239</v>
      </c>
      <c r="R198">
        <f t="shared" ref="R198:R261" si="961">R199+Q198</f>
        <v>433362734.29213005</v>
      </c>
      <c r="S198">
        <f t="shared" ref="S198:S261" si="962">R198/100000</f>
        <v>4333.6273429213006</v>
      </c>
      <c r="T198">
        <f t="shared" ref="T198:T261" si="963">S198/1000</f>
        <v>4.333627342921301</v>
      </c>
    </row>
    <row r="199" spans="1:20" x14ac:dyDescent="0.25">
      <c r="A199" s="5">
        <v>44394</v>
      </c>
      <c r="B199">
        <v>1.417</v>
      </c>
      <c r="C199">
        <v>1.4650000000000001</v>
      </c>
      <c r="D199">
        <v>1.393</v>
      </c>
      <c r="E199">
        <v>1.425</v>
      </c>
      <c r="F199">
        <v>4996509.9419999998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-0.1111111111111111</v>
      </c>
      <c r="Q199">
        <f t="shared" si="960"/>
        <v>-555167.77133333334</v>
      </c>
      <c r="R199">
        <f t="shared" si="961"/>
        <v>436966515.59909558</v>
      </c>
      <c r="S199">
        <f t="shared" si="962"/>
        <v>4369.665155990956</v>
      </c>
      <c r="T199">
        <f t="shared" si="963"/>
        <v>4.3696651559909556</v>
      </c>
    </row>
    <row r="200" spans="1:20" x14ac:dyDescent="0.25">
      <c r="A200" s="5">
        <v>44393</v>
      </c>
      <c r="B200">
        <v>1.5049999999999999</v>
      </c>
      <c r="C200">
        <v>1.544</v>
      </c>
      <c r="D200">
        <v>1.41</v>
      </c>
      <c r="E200">
        <v>1.4159999999999999</v>
      </c>
      <c r="F200">
        <v>6874468.3490000004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-0.91044776119402981</v>
      </c>
      <c r="Q200">
        <f t="shared" si="960"/>
        <v>-6258844.3177462686</v>
      </c>
      <c r="R200">
        <f t="shared" si="961"/>
        <v>437521683.37042892</v>
      </c>
      <c r="S200">
        <f t="shared" si="962"/>
        <v>4375.2168337042895</v>
      </c>
      <c r="T200">
        <f t="shared" si="963"/>
        <v>4.3752168337042896</v>
      </c>
    </row>
    <row r="201" spans="1:20" x14ac:dyDescent="0.25">
      <c r="A201" s="5">
        <v>44392</v>
      </c>
      <c r="B201">
        <v>1.5980000000000001</v>
      </c>
      <c r="C201">
        <v>1.649</v>
      </c>
      <c r="D201">
        <v>1.486</v>
      </c>
      <c r="E201">
        <v>1.5049999999999999</v>
      </c>
      <c r="F201">
        <v>7027001.8619999997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-0.76687116564417301</v>
      </c>
      <c r="Q201">
        <f t="shared" si="960"/>
        <v>-5388805.1088957144</v>
      </c>
      <c r="R201">
        <f t="shared" si="961"/>
        <v>443780527.6881752</v>
      </c>
      <c r="S201">
        <f t="shared" si="962"/>
        <v>4437.8052768817524</v>
      </c>
      <c r="T201">
        <f t="shared" si="963"/>
        <v>4.4378052768817522</v>
      </c>
    </row>
    <row r="202" spans="1:20" x14ac:dyDescent="0.25">
      <c r="A202" s="5">
        <v>44391</v>
      </c>
      <c r="B202">
        <v>1.6040000000000001</v>
      </c>
      <c r="C202">
        <v>1.6319999999999999</v>
      </c>
      <c r="D202">
        <v>1.504</v>
      </c>
      <c r="E202">
        <v>1.597</v>
      </c>
      <c r="F202">
        <v>7989879.7089999998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0.45312500000000078</v>
      </c>
      <c r="Q202">
        <f t="shared" si="960"/>
        <v>3620414.2431406309</v>
      </c>
      <c r="R202">
        <f t="shared" si="961"/>
        <v>449169332.79707092</v>
      </c>
      <c r="S202">
        <f t="shared" si="962"/>
        <v>4491.6933279707091</v>
      </c>
      <c r="T202">
        <f t="shared" si="963"/>
        <v>4.491693327970709</v>
      </c>
    </row>
    <row r="203" spans="1:20" x14ac:dyDescent="0.25">
      <c r="A203" s="5">
        <v>44390</v>
      </c>
      <c r="B203">
        <v>1.679</v>
      </c>
      <c r="C203">
        <v>1.69</v>
      </c>
      <c r="D203">
        <v>1.5669999999999999</v>
      </c>
      <c r="E203">
        <v>1.605</v>
      </c>
      <c r="F203">
        <v>5693717.841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-0.38211382113821085</v>
      </c>
      <c r="Q203">
        <f t="shared" si="960"/>
        <v>-2175648.2807073141</v>
      </c>
      <c r="R203">
        <f t="shared" si="961"/>
        <v>445548918.55393028</v>
      </c>
      <c r="S203">
        <f t="shared" si="962"/>
        <v>4455.4891855393025</v>
      </c>
      <c r="T203">
        <f t="shared" si="963"/>
        <v>4.4554891855393022</v>
      </c>
    </row>
    <row r="204" spans="1:20" x14ac:dyDescent="0.25">
      <c r="A204" s="5">
        <v>44389</v>
      </c>
      <c r="B204">
        <v>1.76</v>
      </c>
      <c r="C204">
        <v>1.7909999999999999</v>
      </c>
      <c r="D204">
        <v>1.639</v>
      </c>
      <c r="E204">
        <v>1.68</v>
      </c>
      <c r="F204">
        <v>6134533.6509999996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-0.46052631578947434</v>
      </c>
      <c r="Q204">
        <f t="shared" si="960"/>
        <v>-2825114.1813815827</v>
      </c>
      <c r="R204">
        <f t="shared" si="961"/>
        <v>447724566.83463758</v>
      </c>
      <c r="S204">
        <f t="shared" si="962"/>
        <v>4477.2456683463761</v>
      </c>
      <c r="T204">
        <f t="shared" si="963"/>
        <v>4.4772456683463764</v>
      </c>
    </row>
    <row r="205" spans="1:20" x14ac:dyDescent="0.25">
      <c r="A205" s="5">
        <v>44388</v>
      </c>
      <c r="B205">
        <v>1.7490000000000001</v>
      </c>
      <c r="C205">
        <v>1.78</v>
      </c>
      <c r="D205">
        <v>1.7150000000000001</v>
      </c>
      <c r="E205">
        <v>1.76</v>
      </c>
      <c r="F205">
        <v>5531727.7170000002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0.38461538461538358</v>
      </c>
      <c r="Q205">
        <f t="shared" si="960"/>
        <v>2127587.5834615328</v>
      </c>
      <c r="R205">
        <f t="shared" si="961"/>
        <v>450549681.01601917</v>
      </c>
      <c r="S205">
        <f t="shared" si="962"/>
        <v>4505.4968101601917</v>
      </c>
      <c r="T205">
        <f t="shared" si="963"/>
        <v>4.5054968101601913</v>
      </c>
    </row>
    <row r="206" spans="1:20" x14ac:dyDescent="0.25">
      <c r="A206" s="5">
        <v>44387</v>
      </c>
      <c r="B206">
        <v>1.7669999999999999</v>
      </c>
      <c r="C206">
        <v>1.8089999999999999</v>
      </c>
      <c r="D206">
        <v>1.6579999999999999</v>
      </c>
      <c r="E206">
        <v>1.7490000000000001</v>
      </c>
      <c r="F206">
        <v>6662369.5710000005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0.20529801324503547</v>
      </c>
      <c r="Q206">
        <f t="shared" si="960"/>
        <v>1367771.2364304794</v>
      </c>
      <c r="R206">
        <f t="shared" si="961"/>
        <v>448422093.43255764</v>
      </c>
      <c r="S206">
        <f t="shared" si="962"/>
        <v>4484.2209343255763</v>
      </c>
      <c r="T206">
        <f t="shared" si="963"/>
        <v>4.4842209343255766</v>
      </c>
    </row>
    <row r="207" spans="1:20" x14ac:dyDescent="0.25">
      <c r="A207" s="5">
        <v>44386</v>
      </c>
      <c r="B207">
        <v>1.754</v>
      </c>
      <c r="C207">
        <v>1.796</v>
      </c>
      <c r="D207">
        <v>1.6759999999999999</v>
      </c>
      <c r="E207">
        <v>1.768</v>
      </c>
      <c r="F207">
        <v>7781799.71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0.53333333333333333</v>
      </c>
      <c r="Q207">
        <f t="shared" si="960"/>
        <v>4150293.1786666666</v>
      </c>
      <c r="R207">
        <f t="shared" si="961"/>
        <v>447054322.19612718</v>
      </c>
      <c r="S207">
        <f t="shared" si="962"/>
        <v>4470.5432219612721</v>
      </c>
      <c r="T207">
        <f t="shared" si="963"/>
        <v>4.4705432219612717</v>
      </c>
    </row>
    <row r="208" spans="1:20" x14ac:dyDescent="0.25">
      <c r="A208" s="5">
        <v>44385</v>
      </c>
      <c r="B208">
        <v>1.9390000000000001</v>
      </c>
      <c r="C208">
        <v>1.95</v>
      </c>
      <c r="D208">
        <v>1.7090000000000001</v>
      </c>
      <c r="E208">
        <v>1.756</v>
      </c>
      <c r="F208">
        <v>14195425.048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-0.60995850622406678</v>
      </c>
      <c r="Q208">
        <f t="shared" si="960"/>
        <v>-8658620.2574937809</v>
      </c>
      <c r="R208">
        <f t="shared" si="961"/>
        <v>442904029.01746053</v>
      </c>
      <c r="S208">
        <f t="shared" si="962"/>
        <v>4429.0402901746056</v>
      </c>
      <c r="T208">
        <f t="shared" si="963"/>
        <v>4.4290402901746058</v>
      </c>
    </row>
    <row r="209" spans="1:20" x14ac:dyDescent="0.25">
      <c r="A209" s="5">
        <v>44384</v>
      </c>
      <c r="B209">
        <v>1.966</v>
      </c>
      <c r="C209">
        <v>2.0990000000000002</v>
      </c>
      <c r="D209">
        <v>1.93</v>
      </c>
      <c r="E209">
        <v>1.94</v>
      </c>
      <c r="F209">
        <v>12182111.880999999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-0.88165680473372787</v>
      </c>
      <c r="Q209">
        <f t="shared" si="960"/>
        <v>-10740441.835911242</v>
      </c>
      <c r="R209">
        <f t="shared" si="961"/>
        <v>451562649.27495432</v>
      </c>
      <c r="S209">
        <f t="shared" si="962"/>
        <v>4515.6264927495431</v>
      </c>
      <c r="T209">
        <f t="shared" si="963"/>
        <v>4.5156264927495435</v>
      </c>
    </row>
    <row r="210" spans="1:20" x14ac:dyDescent="0.25">
      <c r="A210" s="5">
        <v>44383</v>
      </c>
      <c r="B210">
        <v>1.7969999999999999</v>
      </c>
      <c r="C210">
        <v>2.0619999999999998</v>
      </c>
      <c r="D210">
        <v>1.7929999999999999</v>
      </c>
      <c r="E210">
        <v>1.9670000000000001</v>
      </c>
      <c r="F210">
        <v>19766399.506999999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0.29368029739777113</v>
      </c>
      <c r="Q210">
        <f t="shared" si="960"/>
        <v>5805002.0856989166</v>
      </c>
      <c r="R210">
        <f t="shared" si="961"/>
        <v>462303091.11086553</v>
      </c>
      <c r="S210">
        <f t="shared" si="962"/>
        <v>4623.0309111086553</v>
      </c>
      <c r="T210">
        <f t="shared" si="963"/>
        <v>4.6230309111086552</v>
      </c>
    </row>
    <row r="211" spans="1:20" x14ac:dyDescent="0.25">
      <c r="A211" s="5">
        <v>44382</v>
      </c>
      <c r="B211">
        <v>1.839</v>
      </c>
      <c r="C211">
        <v>1.8480000000000001</v>
      </c>
      <c r="D211">
        <v>1.6870000000000001</v>
      </c>
      <c r="E211">
        <v>1.7969999999999999</v>
      </c>
      <c r="F211">
        <v>11669284.243000001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0.36645962732919074</v>
      </c>
      <c r="Q211">
        <f t="shared" si="960"/>
        <v>4276321.5548881777</v>
      </c>
      <c r="R211">
        <f t="shared" si="961"/>
        <v>456498089.02516663</v>
      </c>
      <c r="S211">
        <f t="shared" si="962"/>
        <v>4564.9808902516661</v>
      </c>
      <c r="T211">
        <f t="shared" si="963"/>
        <v>4.5649808902516664</v>
      </c>
    </row>
    <row r="212" spans="1:20" x14ac:dyDescent="0.25">
      <c r="A212" s="5">
        <v>44381</v>
      </c>
      <c r="B212">
        <v>1.7569999999999999</v>
      </c>
      <c r="C212">
        <v>1.9039999999999999</v>
      </c>
      <c r="D212">
        <v>1.7010000000000001</v>
      </c>
      <c r="E212">
        <v>1.839</v>
      </c>
      <c r="F212">
        <v>10888774.215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0.35960591133004932</v>
      </c>
      <c r="Q212">
        <f t="shared" si="960"/>
        <v>3915667.5748522175</v>
      </c>
      <c r="R212">
        <f t="shared" si="961"/>
        <v>452221767.47027844</v>
      </c>
      <c r="S212">
        <f t="shared" si="962"/>
        <v>4522.2176747027843</v>
      </c>
      <c r="T212">
        <f t="shared" si="963"/>
        <v>4.5222176747027847</v>
      </c>
    </row>
    <row r="213" spans="1:20" x14ac:dyDescent="0.25">
      <c r="A213" s="5">
        <v>44380</v>
      </c>
      <c r="B213">
        <v>1.66</v>
      </c>
      <c r="C213">
        <v>1.7869999999999999</v>
      </c>
      <c r="D213">
        <v>1.63</v>
      </c>
      <c r="E213">
        <v>1.7569999999999999</v>
      </c>
      <c r="F213">
        <v>6720391.3540000003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0.61783439490445835</v>
      </c>
      <c r="Q213">
        <f t="shared" si="960"/>
        <v>4152088.9257197436</v>
      </c>
      <c r="R213">
        <f t="shared" si="961"/>
        <v>448306099.89542621</v>
      </c>
      <c r="S213">
        <f t="shared" si="962"/>
        <v>4483.0609989542618</v>
      </c>
      <c r="T213">
        <f t="shared" si="963"/>
        <v>4.4830609989542616</v>
      </c>
    </row>
    <row r="214" spans="1:20" x14ac:dyDescent="0.25">
      <c r="A214" s="5">
        <v>44379</v>
      </c>
      <c r="B214">
        <v>1.6870000000000001</v>
      </c>
      <c r="C214">
        <v>1.726</v>
      </c>
      <c r="D214">
        <v>1.5660000000000001</v>
      </c>
      <c r="E214">
        <v>1.661</v>
      </c>
      <c r="F214">
        <v>10112442.107000001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0.18750000000000025</v>
      </c>
      <c r="Q214">
        <f t="shared" si="960"/>
        <v>1896082.8950625027</v>
      </c>
      <c r="R214">
        <f t="shared" si="961"/>
        <v>444154010.96970648</v>
      </c>
      <c r="S214">
        <f t="shared" si="962"/>
        <v>4441.5401096970645</v>
      </c>
      <c r="T214">
        <f t="shared" si="963"/>
        <v>4.4415401096970646</v>
      </c>
    </row>
    <row r="215" spans="1:20" x14ac:dyDescent="0.25">
      <c r="A215" s="5">
        <v>44378</v>
      </c>
      <c r="B215">
        <v>1.8160000000000001</v>
      </c>
      <c r="C215">
        <v>1.855</v>
      </c>
      <c r="D215">
        <v>1.65</v>
      </c>
      <c r="E215">
        <v>1.6870000000000001</v>
      </c>
      <c r="F215">
        <v>13415185.361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-0.63902439024390112</v>
      </c>
      <c r="Q215">
        <f t="shared" si="960"/>
        <v>-8572630.6453219336</v>
      </c>
      <c r="R215">
        <f t="shared" si="961"/>
        <v>442257928.07464397</v>
      </c>
      <c r="S215">
        <f t="shared" si="962"/>
        <v>4422.5792807464395</v>
      </c>
      <c r="T215">
        <f t="shared" si="963"/>
        <v>4.4225792807464392</v>
      </c>
    </row>
    <row r="216" spans="1:20" x14ac:dyDescent="0.25">
      <c r="A216" s="5">
        <v>44377</v>
      </c>
      <c r="B216">
        <v>1.7929999999999999</v>
      </c>
      <c r="C216">
        <v>1.847</v>
      </c>
      <c r="D216">
        <v>1.6739999999999999</v>
      </c>
      <c r="E216">
        <v>1.8149999999999999</v>
      </c>
      <c r="F216">
        <v>12464275.398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0.63005780346820783</v>
      </c>
      <c r="Q216">
        <f t="shared" si="960"/>
        <v>7853213.9790867018</v>
      </c>
      <c r="R216">
        <f t="shared" si="961"/>
        <v>450830558.71996588</v>
      </c>
      <c r="S216">
        <f t="shared" si="962"/>
        <v>4508.3055871996585</v>
      </c>
      <c r="T216">
        <f t="shared" si="963"/>
        <v>4.5083055871996587</v>
      </c>
    </row>
    <row r="217" spans="1:20" x14ac:dyDescent="0.25">
      <c r="A217" s="5">
        <v>44376</v>
      </c>
      <c r="B217">
        <v>1.617</v>
      </c>
      <c r="C217">
        <v>1.8620000000000001</v>
      </c>
      <c r="D217">
        <v>1.603</v>
      </c>
      <c r="E217">
        <v>1.7949999999999999</v>
      </c>
      <c r="F217">
        <v>15317721.751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0.48262548262548155</v>
      </c>
      <c r="Q217">
        <f t="shared" si="960"/>
        <v>7392722.8527992116</v>
      </c>
      <c r="R217">
        <f t="shared" si="961"/>
        <v>442977344.74087918</v>
      </c>
      <c r="S217">
        <f t="shared" si="962"/>
        <v>4429.773447408792</v>
      </c>
      <c r="T217">
        <f t="shared" si="963"/>
        <v>4.4297734474087918</v>
      </c>
    </row>
    <row r="218" spans="1:20" x14ac:dyDescent="0.25">
      <c r="A218" s="5">
        <v>44375</v>
      </c>
      <c r="B218">
        <v>1.587</v>
      </c>
      <c r="C218">
        <v>1.667</v>
      </c>
      <c r="D218">
        <v>1.552</v>
      </c>
      <c r="E218">
        <v>1.617</v>
      </c>
      <c r="F218">
        <v>10885753.93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0.13043478260869482</v>
      </c>
      <c r="Q218">
        <f t="shared" si="960"/>
        <v>1419880.9473912951</v>
      </c>
      <c r="R218">
        <f t="shared" si="961"/>
        <v>435584621.88807994</v>
      </c>
      <c r="S218">
        <f t="shared" si="962"/>
        <v>4355.8462188807998</v>
      </c>
      <c r="T218">
        <f t="shared" si="963"/>
        <v>4.3558462188808003</v>
      </c>
    </row>
    <row r="219" spans="1:20" x14ac:dyDescent="0.25">
      <c r="A219" s="5">
        <v>44374</v>
      </c>
      <c r="B219">
        <v>1.49</v>
      </c>
      <c r="C219">
        <v>1.6</v>
      </c>
      <c r="D219">
        <v>1.4370000000000001</v>
      </c>
      <c r="E219">
        <v>1.587</v>
      </c>
      <c r="F219">
        <v>12306178.639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0.84049079754601075</v>
      </c>
      <c r="Q219">
        <f t="shared" si="960"/>
        <v>10343229.899036791</v>
      </c>
      <c r="R219">
        <f t="shared" si="961"/>
        <v>434164740.94068867</v>
      </c>
      <c r="S219">
        <f t="shared" si="962"/>
        <v>4341.6474094068863</v>
      </c>
      <c r="T219">
        <f t="shared" si="963"/>
        <v>4.3416474094068862</v>
      </c>
    </row>
    <row r="220" spans="1:20" x14ac:dyDescent="0.25">
      <c r="A220" s="5">
        <v>44373</v>
      </c>
      <c r="B220">
        <v>1.44</v>
      </c>
      <c r="C220">
        <v>1.514</v>
      </c>
      <c r="D220">
        <v>1.365</v>
      </c>
      <c r="E220">
        <v>1.4910000000000001</v>
      </c>
      <c r="F220">
        <v>18380167.364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0.69127516778523612</v>
      </c>
      <c r="Q220">
        <f t="shared" si="960"/>
        <v>12705753.278469821</v>
      </c>
      <c r="R220">
        <f t="shared" si="961"/>
        <v>423821511.0416519</v>
      </c>
      <c r="S220">
        <f t="shared" si="962"/>
        <v>4238.2151104165187</v>
      </c>
      <c r="T220">
        <f t="shared" si="963"/>
        <v>4.2382151104165189</v>
      </c>
    </row>
    <row r="221" spans="1:20" x14ac:dyDescent="0.25">
      <c r="A221" s="5">
        <v>44372</v>
      </c>
      <c r="B221">
        <v>1.6830000000000001</v>
      </c>
      <c r="C221">
        <v>1.74</v>
      </c>
      <c r="D221">
        <v>1.43</v>
      </c>
      <c r="E221">
        <v>1.44</v>
      </c>
      <c r="F221">
        <v>22511059.013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-0.93548387096774188</v>
      </c>
      <c r="Q221">
        <f t="shared" si="960"/>
        <v>-21058732.625064515</v>
      </c>
      <c r="R221">
        <f t="shared" si="961"/>
        <v>411115757.7631821</v>
      </c>
      <c r="S221">
        <f t="shared" si="962"/>
        <v>4111.1575776318214</v>
      </c>
      <c r="T221">
        <f t="shared" si="963"/>
        <v>4.111157577631821</v>
      </c>
    </row>
    <row r="222" spans="1:20" x14ac:dyDescent="0.25">
      <c r="A222" s="5">
        <v>44371</v>
      </c>
      <c r="B222">
        <v>1.506</v>
      </c>
      <c r="C222">
        <v>1.7250000000000001</v>
      </c>
      <c r="D222">
        <v>1.4410000000000001</v>
      </c>
      <c r="E222">
        <v>1.681</v>
      </c>
      <c r="F222">
        <v>18296160.381999999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0.69014084507042228</v>
      </c>
      <c r="Q222">
        <f t="shared" si="960"/>
        <v>12626927.58757746</v>
      </c>
      <c r="R222">
        <f t="shared" si="961"/>
        <v>432174490.3882466</v>
      </c>
      <c r="S222">
        <f t="shared" si="962"/>
        <v>4321.7449038824661</v>
      </c>
      <c r="T222">
        <f t="shared" si="963"/>
        <v>4.3217449038824665</v>
      </c>
    </row>
    <row r="223" spans="1:20" x14ac:dyDescent="0.25">
      <c r="A223" s="5">
        <v>44370</v>
      </c>
      <c r="B223">
        <v>1.403</v>
      </c>
      <c r="C223">
        <v>1.579</v>
      </c>
      <c r="D223">
        <v>1.337</v>
      </c>
      <c r="E223">
        <v>1.504</v>
      </c>
      <c r="F223">
        <v>19268907.866999999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0.38016528925619869</v>
      </c>
      <c r="Q223">
        <f t="shared" si="960"/>
        <v>7325369.9329090966</v>
      </c>
      <c r="R223">
        <f t="shared" si="961"/>
        <v>419547562.80066913</v>
      </c>
      <c r="S223">
        <f t="shared" si="962"/>
        <v>4195.4756280066913</v>
      </c>
      <c r="T223">
        <f t="shared" si="963"/>
        <v>4.1954756280066912</v>
      </c>
    </row>
    <row r="224" spans="1:20" x14ac:dyDescent="0.25">
      <c r="A224" s="5">
        <v>44369</v>
      </c>
      <c r="B224">
        <v>1.446</v>
      </c>
      <c r="C224">
        <v>1.591</v>
      </c>
      <c r="D224">
        <v>1.216</v>
      </c>
      <c r="E224">
        <v>1.4039999999999999</v>
      </c>
      <c r="F224">
        <v>33546717.936000001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2.666666666666373E-3</v>
      </c>
      <c r="Q224">
        <f t="shared" si="960"/>
        <v>89457.914495990146</v>
      </c>
      <c r="R224">
        <f t="shared" si="961"/>
        <v>412222192.86776006</v>
      </c>
      <c r="S224">
        <f t="shared" si="962"/>
        <v>4122.2219286776008</v>
      </c>
      <c r="T224">
        <f t="shared" si="963"/>
        <v>4.1222219286776012</v>
      </c>
    </row>
    <row r="225" spans="1:20" x14ac:dyDescent="0.25">
      <c r="A225" s="5">
        <v>44368</v>
      </c>
      <c r="B225">
        <v>1.92</v>
      </c>
      <c r="C225">
        <v>1.9490000000000001</v>
      </c>
      <c r="D225">
        <v>1.4179999999999999</v>
      </c>
      <c r="E225">
        <v>1.446</v>
      </c>
      <c r="F225">
        <v>23361099.934999999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-0.89453860640301308</v>
      </c>
      <c r="Q225">
        <f t="shared" si="960"/>
        <v>-20897405.779896419</v>
      </c>
      <c r="R225">
        <f t="shared" si="961"/>
        <v>412132734.95326406</v>
      </c>
      <c r="S225">
        <f t="shared" si="962"/>
        <v>4121.3273495326403</v>
      </c>
      <c r="T225">
        <f t="shared" si="963"/>
        <v>4.1213273495326401</v>
      </c>
    </row>
    <row r="226" spans="1:20" x14ac:dyDescent="0.25">
      <c r="A226" s="5">
        <v>44367</v>
      </c>
      <c r="B226">
        <v>1.853</v>
      </c>
      <c r="C226">
        <v>1.9590000000000001</v>
      </c>
      <c r="D226">
        <v>1.744</v>
      </c>
      <c r="E226">
        <v>1.921</v>
      </c>
      <c r="F226">
        <v>12964018.5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0.64651162790697658</v>
      </c>
      <c r="Q226">
        <f t="shared" si="960"/>
        <v>8381388.7046511611</v>
      </c>
      <c r="R226">
        <f t="shared" si="961"/>
        <v>433030140.7331605</v>
      </c>
      <c r="S226">
        <f t="shared" si="962"/>
        <v>4330.3014073316053</v>
      </c>
      <c r="T226">
        <f t="shared" si="963"/>
        <v>4.3303014073316053</v>
      </c>
    </row>
    <row r="227" spans="1:20" x14ac:dyDescent="0.25">
      <c r="A227" s="5">
        <v>44366</v>
      </c>
      <c r="B227">
        <v>1.925</v>
      </c>
      <c r="C227">
        <v>1.97</v>
      </c>
      <c r="D227">
        <v>1.8540000000000001</v>
      </c>
      <c r="E227">
        <v>1.8540000000000001</v>
      </c>
      <c r="F227">
        <v>8909015.3709999993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-1</v>
      </c>
      <c r="Q227">
        <f t="shared" si="960"/>
        <v>-8909015.3709999993</v>
      </c>
      <c r="R227">
        <f t="shared" si="961"/>
        <v>424648752.02850932</v>
      </c>
      <c r="S227">
        <f t="shared" si="962"/>
        <v>4246.4875202850935</v>
      </c>
      <c r="T227">
        <f t="shared" si="963"/>
        <v>4.2464875202850934</v>
      </c>
    </row>
    <row r="228" spans="1:20" x14ac:dyDescent="0.25">
      <c r="A228" s="5">
        <v>44365</v>
      </c>
      <c r="B228">
        <v>2.0960000000000001</v>
      </c>
      <c r="C228">
        <v>2.137</v>
      </c>
      <c r="D228">
        <v>1.8420000000000001</v>
      </c>
      <c r="E228">
        <v>1.925</v>
      </c>
      <c r="F228">
        <v>15481946.752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-0.43728813559322044</v>
      </c>
      <c r="Q228">
        <f t="shared" si="960"/>
        <v>-6770071.6305355951</v>
      </c>
      <c r="R228">
        <f t="shared" si="961"/>
        <v>433557767.39950931</v>
      </c>
      <c r="S228">
        <f t="shared" si="962"/>
        <v>4335.5776739950934</v>
      </c>
      <c r="T228">
        <f t="shared" si="963"/>
        <v>4.3355776739950933</v>
      </c>
    </row>
    <row r="229" spans="1:20" x14ac:dyDescent="0.25">
      <c r="A229" s="5">
        <v>44364</v>
      </c>
      <c r="B229">
        <v>2.0739999999999998</v>
      </c>
      <c r="C229">
        <v>2.1739999999999999</v>
      </c>
      <c r="D229">
        <v>2.0099999999999998</v>
      </c>
      <c r="E229">
        <v>2.0960000000000001</v>
      </c>
      <c r="F229">
        <v>9136036.4859999996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4.8780487804880757E-2</v>
      </c>
      <c r="Q229">
        <f t="shared" si="960"/>
        <v>445660.31639026862</v>
      </c>
      <c r="R229">
        <f t="shared" si="961"/>
        <v>440327839.03004491</v>
      </c>
      <c r="S229">
        <f t="shared" si="962"/>
        <v>4403.2783903004492</v>
      </c>
      <c r="T229">
        <f t="shared" si="963"/>
        <v>4.4032783903004491</v>
      </c>
    </row>
    <row r="230" spans="1:20" x14ac:dyDescent="0.25">
      <c r="A230" s="5">
        <v>44363</v>
      </c>
      <c r="B230">
        <v>2.2370000000000001</v>
      </c>
      <c r="C230">
        <v>2.254</v>
      </c>
      <c r="D230">
        <v>2.0409999999999999</v>
      </c>
      <c r="E230">
        <v>2.0750000000000002</v>
      </c>
      <c r="F230">
        <v>13380367.213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-0.68075117370891791</v>
      </c>
      <c r="Q230">
        <f t="shared" si="960"/>
        <v>-9108700.6849060729</v>
      </c>
      <c r="R230">
        <f t="shared" si="961"/>
        <v>439882178.71365464</v>
      </c>
      <c r="S230">
        <f t="shared" si="962"/>
        <v>4398.8217871365459</v>
      </c>
      <c r="T230">
        <f t="shared" si="963"/>
        <v>4.398821787136546</v>
      </c>
    </row>
    <row r="231" spans="1:20" x14ac:dyDescent="0.25">
      <c r="A231" s="5">
        <v>44362</v>
      </c>
      <c r="B231">
        <v>2.2709999999999999</v>
      </c>
      <c r="C231">
        <v>2.3559999999999999</v>
      </c>
      <c r="D231">
        <v>2.1920000000000002</v>
      </c>
      <c r="E231">
        <v>2.2360000000000002</v>
      </c>
      <c r="F231">
        <v>15112346.907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-0.46341463414633999</v>
      </c>
      <c r="Q231">
        <f t="shared" si="960"/>
        <v>-7003282.7129999772</v>
      </c>
      <c r="R231">
        <f t="shared" si="961"/>
        <v>448990879.3985607</v>
      </c>
      <c r="S231">
        <f t="shared" si="962"/>
        <v>4489.9087939856072</v>
      </c>
      <c r="T231">
        <f t="shared" si="963"/>
        <v>4.4899087939856068</v>
      </c>
    </row>
    <row r="232" spans="1:20" x14ac:dyDescent="0.25">
      <c r="A232" s="5">
        <v>44361</v>
      </c>
      <c r="B232">
        <v>2.2050000000000001</v>
      </c>
      <c r="C232">
        <v>2.323</v>
      </c>
      <c r="D232">
        <v>2.15</v>
      </c>
      <c r="E232">
        <v>2.2730000000000001</v>
      </c>
      <c r="F232">
        <v>16092506.753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0.42196531791907732</v>
      </c>
      <c r="Q232">
        <f t="shared" si="960"/>
        <v>6790479.7281445442</v>
      </c>
      <c r="R232">
        <f t="shared" si="961"/>
        <v>455994162.1115607</v>
      </c>
      <c r="S232">
        <f t="shared" si="962"/>
        <v>4559.9416211156067</v>
      </c>
      <c r="T232">
        <f t="shared" si="963"/>
        <v>4.5599416211156063</v>
      </c>
    </row>
    <row r="233" spans="1:20" x14ac:dyDescent="0.25">
      <c r="A233" s="5">
        <v>44360</v>
      </c>
      <c r="B233">
        <v>2.085</v>
      </c>
      <c r="C233">
        <v>2.2709999999999999</v>
      </c>
      <c r="D233">
        <v>2.052</v>
      </c>
      <c r="E233">
        <v>2.2050000000000001</v>
      </c>
      <c r="F233">
        <v>13581045.1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0.39726027397260383</v>
      </c>
      <c r="Q233">
        <f t="shared" si="960"/>
        <v>5395209.6972602885</v>
      </c>
      <c r="R233">
        <f t="shared" si="961"/>
        <v>449203682.38341618</v>
      </c>
      <c r="S233">
        <f t="shared" si="962"/>
        <v>4492.0368238341616</v>
      </c>
      <c r="T233">
        <f t="shared" si="963"/>
        <v>4.4920368238341615</v>
      </c>
    </row>
    <row r="234" spans="1:20" x14ac:dyDescent="0.25">
      <c r="A234" s="5">
        <v>44359</v>
      </c>
      <c r="B234">
        <v>2.1619999999999999</v>
      </c>
      <c r="C234">
        <v>2.29</v>
      </c>
      <c r="D234">
        <v>2.0030000000000001</v>
      </c>
      <c r="E234">
        <v>2.0859999999999999</v>
      </c>
      <c r="F234">
        <v>19085730.552999999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-0.42160278745644764</v>
      </c>
      <c r="Q234">
        <f t="shared" si="960"/>
        <v>-8046597.2017874876</v>
      </c>
      <c r="R234">
        <f t="shared" si="961"/>
        <v>443808472.68615592</v>
      </c>
      <c r="S234">
        <f t="shared" si="962"/>
        <v>4438.0847268615589</v>
      </c>
      <c r="T234">
        <f t="shared" si="963"/>
        <v>4.4380847268615593</v>
      </c>
    </row>
    <row r="235" spans="1:20" x14ac:dyDescent="0.25">
      <c r="A235" s="5">
        <v>44358</v>
      </c>
      <c r="B235">
        <v>2.2639999999999998</v>
      </c>
      <c r="C235">
        <v>2.3079999999999998</v>
      </c>
      <c r="D235">
        <v>2.0619999999999998</v>
      </c>
      <c r="E235">
        <v>2.1619999999999999</v>
      </c>
      <c r="F235">
        <v>21119314.699000001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-0.18699186991869846</v>
      </c>
      <c r="Q235">
        <f t="shared" si="960"/>
        <v>-3949140.1469674646</v>
      </c>
      <c r="R235">
        <f t="shared" si="961"/>
        <v>451855069.88794339</v>
      </c>
      <c r="S235">
        <f t="shared" si="962"/>
        <v>4518.5506988794341</v>
      </c>
      <c r="T235">
        <f t="shared" si="963"/>
        <v>4.5185506988794337</v>
      </c>
    </row>
    <row r="236" spans="1:20" x14ac:dyDescent="0.25">
      <c r="A236" s="5">
        <v>44357</v>
      </c>
      <c r="B236">
        <v>2.5249999999999999</v>
      </c>
      <c r="C236">
        <v>2.54</v>
      </c>
      <c r="D236">
        <v>2.21</v>
      </c>
      <c r="E236">
        <v>2.2650000000000001</v>
      </c>
      <c r="F236">
        <v>21733792.311000001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-0.66666666666666574</v>
      </c>
      <c r="Q236">
        <f t="shared" si="960"/>
        <v>-14489194.873999981</v>
      </c>
      <c r="R236">
        <f t="shared" si="961"/>
        <v>455804210.03491086</v>
      </c>
      <c r="S236">
        <f t="shared" si="962"/>
        <v>4558.0421003491083</v>
      </c>
      <c r="T236">
        <f t="shared" si="963"/>
        <v>4.5580421003491081</v>
      </c>
    </row>
    <row r="237" spans="1:20" x14ac:dyDescent="0.25">
      <c r="A237" s="5">
        <v>44356</v>
      </c>
      <c r="B237">
        <v>2.3140000000000001</v>
      </c>
      <c r="C237">
        <v>2.5840000000000001</v>
      </c>
      <c r="D237">
        <v>2.1619999999999999</v>
      </c>
      <c r="E237">
        <v>2.5249999999999999</v>
      </c>
      <c r="F237">
        <v>33994468.402000003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0.72037914691943061</v>
      </c>
      <c r="Q237">
        <f t="shared" si="960"/>
        <v>24488906.1474123</v>
      </c>
      <c r="R237">
        <f t="shared" si="961"/>
        <v>470293404.90891081</v>
      </c>
      <c r="S237">
        <f t="shared" si="962"/>
        <v>4702.9340490891082</v>
      </c>
      <c r="T237">
        <f t="shared" si="963"/>
        <v>4.7029340490891078</v>
      </c>
    </row>
    <row r="238" spans="1:20" x14ac:dyDescent="0.25">
      <c r="A238" s="5">
        <v>44355</v>
      </c>
      <c r="B238">
        <v>2.1509999999999998</v>
      </c>
      <c r="C238">
        <v>2.379</v>
      </c>
      <c r="D238">
        <v>1.982</v>
      </c>
      <c r="E238">
        <v>2.3149999999999999</v>
      </c>
      <c r="F238">
        <v>30040664.533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0.67758186397984854</v>
      </c>
      <c r="Q238">
        <f t="shared" si="960"/>
        <v>20355009.469463468</v>
      </c>
      <c r="R238">
        <f t="shared" si="961"/>
        <v>445804498.76149851</v>
      </c>
      <c r="S238">
        <f t="shared" si="962"/>
        <v>4458.0449876149851</v>
      </c>
      <c r="T238">
        <f t="shared" si="963"/>
        <v>4.4580449876149855</v>
      </c>
    </row>
    <row r="239" spans="1:20" x14ac:dyDescent="0.25">
      <c r="A239" s="5">
        <v>44354</v>
      </c>
      <c r="B239">
        <v>2.4580000000000002</v>
      </c>
      <c r="C239">
        <v>2.573</v>
      </c>
      <c r="D239">
        <v>2.1190000000000002</v>
      </c>
      <c r="E239">
        <v>2.1509999999999998</v>
      </c>
      <c r="F239">
        <v>23026444.458999999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-0.85903083700440708</v>
      </c>
      <c r="Q239">
        <f t="shared" si="960"/>
        <v>-19780425.856850259</v>
      </c>
      <c r="R239">
        <f t="shared" si="961"/>
        <v>425449489.29203504</v>
      </c>
      <c r="S239">
        <f t="shared" si="962"/>
        <v>4254.4948929203501</v>
      </c>
      <c r="T239">
        <f t="shared" si="963"/>
        <v>4.2544948929203503</v>
      </c>
    </row>
    <row r="240" spans="1:20" x14ac:dyDescent="0.25">
      <c r="A240" s="5">
        <v>44353</v>
      </c>
      <c r="B240">
        <v>2.5289999999999999</v>
      </c>
      <c r="C240">
        <v>2.621</v>
      </c>
      <c r="D240">
        <v>2.4020000000000001</v>
      </c>
      <c r="E240">
        <v>2.4569999999999999</v>
      </c>
      <c r="F240">
        <v>23505210.838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-0.49771689497717125</v>
      </c>
      <c r="Q240">
        <f t="shared" si="960"/>
        <v>-11698940.554073114</v>
      </c>
      <c r="R240">
        <f t="shared" si="961"/>
        <v>445229915.14888531</v>
      </c>
      <c r="S240">
        <f t="shared" si="962"/>
        <v>4452.2991514888527</v>
      </c>
      <c r="T240">
        <f t="shared" si="963"/>
        <v>4.4522991514888526</v>
      </c>
    </row>
    <row r="241" spans="1:20" x14ac:dyDescent="0.25">
      <c r="A241" s="5">
        <v>44352</v>
      </c>
      <c r="B241">
        <v>2.681</v>
      </c>
      <c r="C241">
        <v>2.9</v>
      </c>
      <c r="D241">
        <v>2.4</v>
      </c>
      <c r="E241">
        <v>2.5310000000000001</v>
      </c>
      <c r="F241">
        <v>36683981.669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-0.47599999999999909</v>
      </c>
      <c r="Q241">
        <f t="shared" si="960"/>
        <v>-17461575.274443965</v>
      </c>
      <c r="R241">
        <f t="shared" si="961"/>
        <v>456928855.70295841</v>
      </c>
      <c r="S241">
        <f t="shared" si="962"/>
        <v>4569.2885570295839</v>
      </c>
      <c r="T241">
        <f t="shared" si="963"/>
        <v>4.5692885570295836</v>
      </c>
    </row>
    <row r="242" spans="1:20" x14ac:dyDescent="0.25">
      <c r="A242" s="5">
        <v>44351</v>
      </c>
      <c r="B242">
        <v>2.5019999999999998</v>
      </c>
      <c r="C242">
        <v>2.7879999999999998</v>
      </c>
      <c r="D242">
        <v>2.1520000000000001</v>
      </c>
      <c r="E242">
        <v>2.6859999999999999</v>
      </c>
      <c r="F242">
        <v>43590603.873999998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0.67924528301886822</v>
      </c>
      <c r="Q242">
        <f t="shared" si="960"/>
        <v>29608712.065358501</v>
      </c>
      <c r="R242">
        <f t="shared" si="961"/>
        <v>474390430.97740239</v>
      </c>
      <c r="S242">
        <f t="shared" si="962"/>
        <v>4743.9043097740241</v>
      </c>
      <c r="T242">
        <f t="shared" si="963"/>
        <v>4.7439043097740239</v>
      </c>
    </row>
    <row r="243" spans="1:20" x14ac:dyDescent="0.25">
      <c r="A243" s="5">
        <v>44350</v>
      </c>
      <c r="B243">
        <v>2.3330000000000002</v>
      </c>
      <c r="C243">
        <v>2.7469999999999999</v>
      </c>
      <c r="D243">
        <v>2.2970000000000002</v>
      </c>
      <c r="E243">
        <v>2.5030000000000001</v>
      </c>
      <c r="F243">
        <v>38353504.637000002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-8.4444444444444072E-2</v>
      </c>
      <c r="Q243">
        <f t="shared" si="960"/>
        <v>-3238740.3915688749</v>
      </c>
      <c r="R243">
        <f t="shared" si="961"/>
        <v>444781718.91204387</v>
      </c>
      <c r="S243">
        <f t="shared" si="962"/>
        <v>4447.8171891204383</v>
      </c>
      <c r="T243">
        <f t="shared" si="963"/>
        <v>4.4478171891204381</v>
      </c>
    </row>
    <row r="244" spans="1:20" x14ac:dyDescent="0.25">
      <c r="A244" s="5">
        <v>44349</v>
      </c>
      <c r="B244">
        <v>2.0489999999999999</v>
      </c>
      <c r="C244">
        <v>2.5179999999999998</v>
      </c>
      <c r="D244">
        <v>1.9830000000000001</v>
      </c>
      <c r="E244">
        <v>2.3330000000000002</v>
      </c>
      <c r="F244">
        <v>46303154.435000002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0.30841121495327212</v>
      </c>
      <c r="Q244">
        <f t="shared" si="960"/>
        <v>14280412.115467342</v>
      </c>
      <c r="R244">
        <f t="shared" si="961"/>
        <v>448020459.30361277</v>
      </c>
      <c r="S244">
        <f t="shared" si="962"/>
        <v>4480.2045930361273</v>
      </c>
      <c r="T244">
        <f t="shared" si="963"/>
        <v>4.4802045930361274</v>
      </c>
    </row>
    <row r="245" spans="1:20" x14ac:dyDescent="0.25">
      <c r="A245" s="5">
        <v>44348</v>
      </c>
      <c r="B245">
        <v>1.956</v>
      </c>
      <c r="C245">
        <v>2.08</v>
      </c>
      <c r="D245">
        <v>1.784</v>
      </c>
      <c r="E245">
        <v>2.0499999999999998</v>
      </c>
      <c r="F245">
        <v>19757394.870000001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0.79729729729729559</v>
      </c>
      <c r="Q245">
        <f t="shared" si="960"/>
        <v>15752517.531486453</v>
      </c>
      <c r="R245">
        <f t="shared" si="961"/>
        <v>433740047.1881454</v>
      </c>
      <c r="S245">
        <f t="shared" si="962"/>
        <v>4337.400471881454</v>
      </c>
      <c r="T245">
        <f t="shared" si="963"/>
        <v>4.3374004718814536</v>
      </c>
    </row>
    <row r="246" spans="1:20" x14ac:dyDescent="0.25">
      <c r="A246" s="5">
        <v>44347</v>
      </c>
      <c r="B246">
        <v>1.679</v>
      </c>
      <c r="C246">
        <v>1.968</v>
      </c>
      <c r="D246">
        <v>1.599</v>
      </c>
      <c r="E246">
        <v>1.956</v>
      </c>
      <c r="F246">
        <v>19396942.618999999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0.93495934959349591</v>
      </c>
      <c r="Q246">
        <f t="shared" si="960"/>
        <v>18135352.855162602</v>
      </c>
      <c r="R246">
        <f t="shared" si="961"/>
        <v>417987529.65665895</v>
      </c>
      <c r="S246">
        <f t="shared" si="962"/>
        <v>4179.8752965665899</v>
      </c>
      <c r="T246">
        <f t="shared" si="963"/>
        <v>4.17987529656659</v>
      </c>
    </row>
    <row r="247" spans="1:20" x14ac:dyDescent="0.25">
      <c r="A247" s="5">
        <v>44346</v>
      </c>
      <c r="B247">
        <v>1.74</v>
      </c>
      <c r="C247">
        <v>1.8</v>
      </c>
      <c r="D247">
        <v>1.615</v>
      </c>
      <c r="E247">
        <v>1.679</v>
      </c>
      <c r="F247">
        <v>21863942.068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-0.30810810810810768</v>
      </c>
      <c r="Q247">
        <f t="shared" si="960"/>
        <v>-6736457.8263567472</v>
      </c>
      <c r="R247">
        <f t="shared" si="961"/>
        <v>399852176.80149633</v>
      </c>
      <c r="S247">
        <f t="shared" si="962"/>
        <v>3998.5217680149631</v>
      </c>
      <c r="T247">
        <f t="shared" si="963"/>
        <v>3.998521768014963</v>
      </c>
    </row>
    <row r="248" spans="1:20" x14ac:dyDescent="0.25">
      <c r="A248" s="5">
        <v>44345</v>
      </c>
      <c r="B248">
        <v>1.59</v>
      </c>
      <c r="C248">
        <v>1.7529999999999999</v>
      </c>
      <c r="D248">
        <v>1.48</v>
      </c>
      <c r="E248">
        <v>1.742</v>
      </c>
      <c r="F248">
        <v>19646401.098000001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0.91941391941392014</v>
      </c>
      <c r="Q248">
        <f t="shared" si="960"/>
        <v>18063174.635890126</v>
      </c>
      <c r="R248">
        <f t="shared" si="961"/>
        <v>406588634.6278531</v>
      </c>
      <c r="S248">
        <f t="shared" si="962"/>
        <v>4065.8863462785312</v>
      </c>
      <c r="T248">
        <f t="shared" si="963"/>
        <v>4.0658863462785311</v>
      </c>
    </row>
    <row r="249" spans="1:20" x14ac:dyDescent="0.25">
      <c r="A249" s="5">
        <v>44344</v>
      </c>
      <c r="B249">
        <v>1.756</v>
      </c>
      <c r="C249">
        <v>1.7929999999999999</v>
      </c>
      <c r="D249">
        <v>1.5</v>
      </c>
      <c r="E249">
        <v>1.589</v>
      </c>
      <c r="F249">
        <v>24125898.280999999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-0.39249146757679187</v>
      </c>
      <c r="Q249">
        <f t="shared" si="960"/>
        <v>-9469209.2229180895</v>
      </c>
      <c r="R249">
        <f t="shared" si="961"/>
        <v>388525459.99196297</v>
      </c>
      <c r="S249">
        <f t="shared" si="962"/>
        <v>3885.2545999196295</v>
      </c>
      <c r="T249">
        <f t="shared" si="963"/>
        <v>3.8852545999196297</v>
      </c>
    </row>
    <row r="250" spans="1:20" x14ac:dyDescent="0.25">
      <c r="A250" s="5">
        <v>44343</v>
      </c>
      <c r="B250">
        <v>1.893</v>
      </c>
      <c r="C250">
        <v>1.9319999999999999</v>
      </c>
      <c r="D250">
        <v>1.6479999999999999</v>
      </c>
      <c r="E250">
        <v>1.7569999999999999</v>
      </c>
      <c r="F250">
        <v>23577556.291999999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-0.23239436619718329</v>
      </c>
      <c r="Q250">
        <f t="shared" si="960"/>
        <v>-5479291.2509577507</v>
      </c>
      <c r="R250">
        <f t="shared" si="961"/>
        <v>397994669.21488106</v>
      </c>
      <c r="S250">
        <f t="shared" si="962"/>
        <v>3979.9466921488106</v>
      </c>
      <c r="T250">
        <f t="shared" si="963"/>
        <v>3.9799466921488107</v>
      </c>
    </row>
    <row r="251" spans="1:20" x14ac:dyDescent="0.25">
      <c r="A251" s="5">
        <v>44342</v>
      </c>
      <c r="B251">
        <v>1.611</v>
      </c>
      <c r="C251">
        <v>1.93</v>
      </c>
      <c r="D251">
        <v>1.5740000000000001</v>
      </c>
      <c r="E251">
        <v>1.8939999999999999</v>
      </c>
      <c r="F251">
        <v>28116710.02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0.79775280898876377</v>
      </c>
      <c r="Q251">
        <f t="shared" si="960"/>
        <v>22430184.39797752</v>
      </c>
      <c r="R251">
        <f t="shared" si="961"/>
        <v>403473960.46583879</v>
      </c>
      <c r="S251">
        <f t="shared" si="962"/>
        <v>4034.7396046583881</v>
      </c>
      <c r="T251">
        <f t="shared" si="963"/>
        <v>4.0347396046583883</v>
      </c>
    </row>
    <row r="252" spans="1:20" x14ac:dyDescent="0.25">
      <c r="A252" s="5">
        <v>44341</v>
      </c>
      <c r="B252">
        <v>1.6279999999999999</v>
      </c>
      <c r="C252">
        <v>1.7050000000000001</v>
      </c>
      <c r="D252">
        <v>1.389</v>
      </c>
      <c r="E252">
        <v>1.6120000000000001</v>
      </c>
      <c r="F252">
        <v>33231112.372000001</v>
      </c>
      <c r="G252">
        <v>0</v>
      </c>
      <c r="L252" t="s">
        <v>8</v>
      </c>
      <c r="M252" t="s">
        <v>7</v>
      </c>
      <c r="N252" t="s">
        <v>8</v>
      </c>
      <c r="P252">
        <f t="shared" si="959"/>
        <v>0.41139240506329144</v>
      </c>
      <c r="Q252">
        <f t="shared" si="960"/>
        <v>13671027.24164558</v>
      </c>
      <c r="R252">
        <f t="shared" si="961"/>
        <v>381043776.06786126</v>
      </c>
      <c r="S252">
        <f t="shared" si="962"/>
        <v>3810.4377606786124</v>
      </c>
      <c r="T252">
        <f t="shared" si="963"/>
        <v>3.8104377606786124</v>
      </c>
    </row>
    <row r="253" spans="1:20" x14ac:dyDescent="0.25">
      <c r="A253" s="5">
        <v>44340</v>
      </c>
      <c r="B253">
        <v>1.319</v>
      </c>
      <c r="C253">
        <v>1.65</v>
      </c>
      <c r="D253">
        <v>1.274</v>
      </c>
      <c r="E253">
        <v>1.6259999999999999</v>
      </c>
      <c r="F253">
        <v>39257856.659999996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0.87234042553191471</v>
      </c>
      <c r="Q253">
        <f t="shared" si="960"/>
        <v>34246215.384255312</v>
      </c>
      <c r="R253">
        <f t="shared" si="961"/>
        <v>367372748.82621568</v>
      </c>
      <c r="S253">
        <f t="shared" si="962"/>
        <v>3673.7274882621568</v>
      </c>
      <c r="T253">
        <f t="shared" si="963"/>
        <v>3.6737274882621569</v>
      </c>
    </row>
    <row r="254" spans="1:20" x14ac:dyDescent="0.25">
      <c r="A254" s="5">
        <v>44339</v>
      </c>
      <c r="B254">
        <v>1.629</v>
      </c>
      <c r="C254">
        <v>1.712</v>
      </c>
      <c r="D254">
        <v>1.0569999999999999</v>
      </c>
      <c r="E254">
        <v>1.32</v>
      </c>
      <c r="F254">
        <v>47438067.325000003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-0.19694656488549583</v>
      </c>
      <c r="Q254">
        <f t="shared" si="960"/>
        <v>-9342764.4044656325</v>
      </c>
      <c r="R254">
        <f t="shared" si="961"/>
        <v>333126533.44196039</v>
      </c>
      <c r="S254">
        <f t="shared" si="962"/>
        <v>3331.2653344196037</v>
      </c>
      <c r="T254">
        <f t="shared" si="963"/>
        <v>3.3312653344196037</v>
      </c>
    </row>
    <row r="255" spans="1:20" x14ac:dyDescent="0.25">
      <c r="A255" s="5">
        <v>44338</v>
      </c>
      <c r="B255">
        <v>1.8440000000000001</v>
      </c>
      <c r="C255">
        <v>1.994</v>
      </c>
      <c r="D255">
        <v>1.54</v>
      </c>
      <c r="E255">
        <v>1.6279999999999999</v>
      </c>
      <c r="F255">
        <v>37486558.375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-0.61233480176211519</v>
      </c>
      <c r="Q255">
        <f t="shared" si="960"/>
        <v>-22954324.291299585</v>
      </c>
      <c r="R255">
        <f t="shared" si="961"/>
        <v>342469297.84642601</v>
      </c>
      <c r="S255">
        <f t="shared" si="962"/>
        <v>3424.6929784642602</v>
      </c>
      <c r="T255">
        <f t="shared" si="963"/>
        <v>3.4246929784642601</v>
      </c>
    </row>
    <row r="256" spans="1:20" x14ac:dyDescent="0.25">
      <c r="A256" s="5">
        <v>44337</v>
      </c>
      <c r="B256">
        <v>2.2029999999999998</v>
      </c>
      <c r="C256">
        <v>2.3450000000000002</v>
      </c>
      <c r="D256">
        <v>1.5209999999999999</v>
      </c>
      <c r="E256">
        <v>1.8460000000000001</v>
      </c>
      <c r="F256">
        <v>42125173.431000002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-0.21116504854368917</v>
      </c>
      <c r="Q256">
        <f t="shared" si="960"/>
        <v>-8895364.2924684398</v>
      </c>
      <c r="R256">
        <f t="shared" si="961"/>
        <v>365423622.13772559</v>
      </c>
      <c r="S256">
        <f t="shared" si="962"/>
        <v>3654.2362213772558</v>
      </c>
      <c r="T256">
        <f t="shared" si="963"/>
        <v>3.6542362213772557</v>
      </c>
    </row>
    <row r="257" spans="1:20" x14ac:dyDescent="0.25">
      <c r="A257" s="5">
        <v>44336</v>
      </c>
      <c r="B257">
        <v>1.952</v>
      </c>
      <c r="C257">
        <v>2.4350000000000001</v>
      </c>
      <c r="D257">
        <v>1.623</v>
      </c>
      <c r="E257">
        <v>2.202</v>
      </c>
      <c r="F257">
        <v>52575744.023000002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0.42610837438423627</v>
      </c>
      <c r="Q257">
        <f t="shared" si="960"/>
        <v>22402964.817682259</v>
      </c>
      <c r="R257">
        <f t="shared" si="961"/>
        <v>374318986.43019402</v>
      </c>
      <c r="S257">
        <f t="shared" si="962"/>
        <v>3743.1898643019404</v>
      </c>
      <c r="T257">
        <f t="shared" si="963"/>
        <v>3.7431898643019403</v>
      </c>
    </row>
    <row r="258" spans="1:20" x14ac:dyDescent="0.25">
      <c r="A258" s="5">
        <v>44335</v>
      </c>
      <c r="B258">
        <v>3.492</v>
      </c>
      <c r="C258">
        <v>3.5790000000000002</v>
      </c>
      <c r="D258">
        <v>1.5</v>
      </c>
      <c r="E258">
        <v>1.9430000000000001</v>
      </c>
      <c r="F258">
        <v>72599689.685000002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-0.57383357383357381</v>
      </c>
      <c r="Q258">
        <f t="shared" si="960"/>
        <v>-41660139.391151994</v>
      </c>
      <c r="R258">
        <f t="shared" si="961"/>
        <v>351916021.61251175</v>
      </c>
      <c r="S258">
        <f t="shared" si="962"/>
        <v>3519.1602161251176</v>
      </c>
      <c r="T258">
        <f t="shared" si="963"/>
        <v>3.5191602161251176</v>
      </c>
    </row>
    <row r="259" spans="1:20" x14ac:dyDescent="0.25">
      <c r="A259" s="5">
        <v>44334</v>
      </c>
      <c r="B259">
        <v>3.0880000000000001</v>
      </c>
      <c r="C259">
        <v>3.605</v>
      </c>
      <c r="D259">
        <v>3.036</v>
      </c>
      <c r="E259">
        <v>3.4889999999999999</v>
      </c>
      <c r="F259">
        <v>35722908.294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0.59226713532513142</v>
      </c>
      <c r="Q259">
        <f t="shared" si="960"/>
        <v>21157504.560769759</v>
      </c>
      <c r="R259">
        <f t="shared" si="961"/>
        <v>393576161.00366372</v>
      </c>
      <c r="S259">
        <f t="shared" si="962"/>
        <v>3935.7616100366372</v>
      </c>
      <c r="T259">
        <f t="shared" si="963"/>
        <v>3.935761610036637</v>
      </c>
    </row>
    <row r="260" spans="1:20" x14ac:dyDescent="0.25">
      <c r="A260" s="5">
        <v>44333</v>
      </c>
      <c r="B260">
        <v>3.2719999999999998</v>
      </c>
      <c r="C260">
        <v>3.274</v>
      </c>
      <c r="D260">
        <v>2.85</v>
      </c>
      <c r="E260">
        <v>3.08</v>
      </c>
      <c r="F260">
        <v>27550768.320999999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8.4905660377358583E-2</v>
      </c>
      <c r="Q260">
        <f t="shared" si="960"/>
        <v>2339216.1781981154</v>
      </c>
      <c r="R260">
        <f t="shared" si="961"/>
        <v>372418656.44289398</v>
      </c>
      <c r="S260">
        <f t="shared" si="962"/>
        <v>3724.1865644289396</v>
      </c>
      <c r="T260">
        <f t="shared" si="963"/>
        <v>3.7241865644289396</v>
      </c>
    </row>
    <row r="261" spans="1:20" x14ac:dyDescent="0.25">
      <c r="A261" s="5">
        <v>44332</v>
      </c>
      <c r="B261">
        <v>3.2160000000000002</v>
      </c>
      <c r="C261">
        <v>3.5</v>
      </c>
      <c r="D261">
        <v>3</v>
      </c>
      <c r="E261">
        <v>3.2719999999999998</v>
      </c>
      <c r="F261">
        <v>25710907.135000002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8.799999999999919E-2</v>
      </c>
      <c r="Q261">
        <f t="shared" si="960"/>
        <v>2262559.8278799793</v>
      </c>
      <c r="R261">
        <f t="shared" si="961"/>
        <v>370079440.26469588</v>
      </c>
      <c r="S261">
        <f t="shared" si="962"/>
        <v>3700.794402646959</v>
      </c>
      <c r="T261">
        <f t="shared" si="963"/>
        <v>3.700794402646959</v>
      </c>
    </row>
    <row r="262" spans="1:20" x14ac:dyDescent="0.25">
      <c r="A262" s="5">
        <v>44331</v>
      </c>
      <c r="B262">
        <v>3.681</v>
      </c>
      <c r="C262">
        <v>3.9</v>
      </c>
      <c r="D262">
        <v>3.157</v>
      </c>
      <c r="E262">
        <v>3.2189999999999999</v>
      </c>
      <c r="F262">
        <v>32388725.530000001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-0.83310901749663568</v>
      </c>
      <c r="Q262">
        <f t="shared" ref="Q262:Q325" si="965">F262*P262</f>
        <v>-26983339.304266501</v>
      </c>
      <c r="R262">
        <f t="shared" ref="R262:R325" si="966">R263+Q262</f>
        <v>367816880.43681592</v>
      </c>
      <c r="S262">
        <f t="shared" ref="S262:S325" si="967">R262/100000</f>
        <v>3678.1688043681593</v>
      </c>
      <c r="T262">
        <f t="shared" ref="T262:T325" si="968">S262/1000</f>
        <v>3.6781688043681591</v>
      </c>
    </row>
    <row r="263" spans="1:20" x14ac:dyDescent="0.25">
      <c r="A263" s="5">
        <v>44330</v>
      </c>
      <c r="B263">
        <v>3.367</v>
      </c>
      <c r="C263">
        <v>3.8330000000000002</v>
      </c>
      <c r="D263">
        <v>3.3109999999999999</v>
      </c>
      <c r="E263">
        <v>3.677</v>
      </c>
      <c r="F263">
        <v>30764062.213</v>
      </c>
      <c r="G263">
        <v>0</v>
      </c>
      <c r="L263" t="s">
        <v>7</v>
      </c>
      <c r="M263" t="s">
        <v>7</v>
      </c>
      <c r="N263" t="s">
        <v>8</v>
      </c>
      <c r="P263">
        <f t="shared" si="964"/>
        <v>0.40229885057471237</v>
      </c>
      <c r="Q263">
        <f t="shared" si="965"/>
        <v>12376346.867298841</v>
      </c>
      <c r="R263">
        <f t="shared" si="966"/>
        <v>394800219.74108243</v>
      </c>
      <c r="S263">
        <f t="shared" si="967"/>
        <v>3948.0021974108245</v>
      </c>
      <c r="T263">
        <f t="shared" si="968"/>
        <v>3.9480021974108244</v>
      </c>
    </row>
    <row r="264" spans="1:20" x14ac:dyDescent="0.25">
      <c r="A264" s="5">
        <v>44329</v>
      </c>
      <c r="B264">
        <v>3.3109999999999999</v>
      </c>
      <c r="C264">
        <v>4.2640000000000002</v>
      </c>
      <c r="D264">
        <v>3</v>
      </c>
      <c r="E264">
        <v>3.3660000000000001</v>
      </c>
      <c r="F264">
        <v>82605469.591000006</v>
      </c>
      <c r="G264">
        <v>0</v>
      </c>
      <c r="L264" t="s">
        <v>8</v>
      </c>
      <c r="M264" t="s">
        <v>8</v>
      </c>
      <c r="N264" t="s">
        <v>8</v>
      </c>
      <c r="P264">
        <f t="shared" si="964"/>
        <v>-0.42088607594936706</v>
      </c>
      <c r="Q264">
        <f t="shared" si="965"/>
        <v>-34767491.948110759</v>
      </c>
      <c r="R264">
        <f t="shared" si="966"/>
        <v>382423872.87378359</v>
      </c>
      <c r="S264">
        <f t="shared" si="967"/>
        <v>3824.238728737836</v>
      </c>
      <c r="T264">
        <f t="shared" si="968"/>
        <v>3.8242387287378361</v>
      </c>
    </row>
    <row r="265" spans="1:20" x14ac:dyDescent="0.25">
      <c r="A265" s="5">
        <v>44328</v>
      </c>
      <c r="B265">
        <v>3.31</v>
      </c>
      <c r="C265">
        <v>3.8889999999999998</v>
      </c>
      <c r="D265">
        <v>3.1469999999999998</v>
      </c>
      <c r="E265">
        <v>3.3260000000000001</v>
      </c>
      <c r="F265">
        <v>55407773.588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-0.51752021563342243</v>
      </c>
      <c r="Q265">
        <f t="shared" si="965"/>
        <v>-28674642.935029607</v>
      </c>
      <c r="R265">
        <f t="shared" si="966"/>
        <v>417191364.82189435</v>
      </c>
      <c r="S265">
        <f t="shared" si="967"/>
        <v>4171.9136482189433</v>
      </c>
      <c r="T265">
        <f t="shared" si="968"/>
        <v>4.1719136482189434</v>
      </c>
    </row>
    <row r="266" spans="1:20" x14ac:dyDescent="0.25">
      <c r="A266" s="5">
        <v>44327</v>
      </c>
      <c r="B266">
        <v>3.09</v>
      </c>
      <c r="C266">
        <v>3.3479999999999999</v>
      </c>
      <c r="D266">
        <v>2.9569999999999999</v>
      </c>
      <c r="E266">
        <v>3.3119999999999998</v>
      </c>
      <c r="F266">
        <v>17729400.532000002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0.81585677749360597</v>
      </c>
      <c r="Q266">
        <f t="shared" si="965"/>
        <v>14464651.584930945</v>
      </c>
      <c r="R266">
        <f t="shared" si="966"/>
        <v>445866007.75692397</v>
      </c>
      <c r="S266">
        <f t="shared" si="967"/>
        <v>4458.6600775692395</v>
      </c>
      <c r="T266">
        <f t="shared" si="968"/>
        <v>4.45866007756924</v>
      </c>
    </row>
    <row r="267" spans="1:20" x14ac:dyDescent="0.25">
      <c r="A267" s="5">
        <v>44326</v>
      </c>
      <c r="B267">
        <v>3.448</v>
      </c>
      <c r="C267">
        <v>3.698</v>
      </c>
      <c r="D267">
        <v>2.8</v>
      </c>
      <c r="E267">
        <v>3.089</v>
      </c>
      <c r="F267">
        <v>28161732.085000001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-0.35634743875278374</v>
      </c>
      <c r="Q267">
        <f t="shared" si="965"/>
        <v>-10035361.099331843</v>
      </c>
      <c r="R267">
        <f t="shared" si="966"/>
        <v>431401356.17199302</v>
      </c>
      <c r="S267">
        <f t="shared" si="967"/>
        <v>4314.0135617199303</v>
      </c>
      <c r="T267">
        <f t="shared" si="968"/>
        <v>4.3140135617199302</v>
      </c>
    </row>
    <row r="268" spans="1:20" x14ac:dyDescent="0.25">
      <c r="A268" s="5">
        <v>44325</v>
      </c>
      <c r="B268">
        <v>3.5680000000000001</v>
      </c>
      <c r="C268">
        <v>3.6</v>
      </c>
      <c r="D268">
        <v>3.2450000000000001</v>
      </c>
      <c r="E268">
        <v>3.4470000000000001</v>
      </c>
      <c r="F268">
        <v>16202194.491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0.13802816901408432</v>
      </c>
      <c r="Q268">
        <f t="shared" si="965"/>
        <v>2236359.239602814</v>
      </c>
      <c r="R268">
        <f t="shared" si="966"/>
        <v>441436717.27132487</v>
      </c>
      <c r="S268">
        <f t="shared" si="967"/>
        <v>4414.3671727132487</v>
      </c>
      <c r="T268">
        <f t="shared" si="968"/>
        <v>4.4143671727132485</v>
      </c>
    </row>
    <row r="269" spans="1:20" x14ac:dyDescent="0.25">
      <c r="A269" s="5">
        <v>44324</v>
      </c>
      <c r="B269">
        <v>3.653</v>
      </c>
      <c r="C269">
        <v>3.9689999999999999</v>
      </c>
      <c r="D269">
        <v>3.4630000000000001</v>
      </c>
      <c r="E269">
        <v>3.5659999999999998</v>
      </c>
      <c r="F269">
        <v>22837220.429000001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-0.59288537549407194</v>
      </c>
      <c r="Q269">
        <f t="shared" si="965"/>
        <v>-13539854.009288557</v>
      </c>
      <c r="R269">
        <f t="shared" si="966"/>
        <v>439200358.03172207</v>
      </c>
      <c r="S269">
        <f t="shared" si="967"/>
        <v>4392.0035803172204</v>
      </c>
      <c r="T269">
        <f t="shared" si="968"/>
        <v>4.3920035803172208</v>
      </c>
    </row>
    <row r="270" spans="1:20" x14ac:dyDescent="0.25">
      <c r="A270" s="5">
        <v>44323</v>
      </c>
      <c r="B270">
        <v>3.24</v>
      </c>
      <c r="C270">
        <v>3.9</v>
      </c>
      <c r="D270">
        <v>3.109</v>
      </c>
      <c r="E270">
        <v>3.65</v>
      </c>
      <c r="F270">
        <v>39856322.976000004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0.3678887484197218</v>
      </c>
      <c r="Q270">
        <f t="shared" si="965"/>
        <v>14662692.776252843</v>
      </c>
      <c r="R270">
        <f t="shared" si="966"/>
        <v>452740212.04101062</v>
      </c>
      <c r="S270">
        <f t="shared" si="967"/>
        <v>4527.4021204101064</v>
      </c>
      <c r="T270">
        <f t="shared" si="968"/>
        <v>4.5274021204101063</v>
      </c>
    </row>
    <row r="271" spans="1:20" x14ac:dyDescent="0.25">
      <c r="A271" s="5">
        <v>44322</v>
      </c>
      <c r="B271">
        <v>3.0950000000000002</v>
      </c>
      <c r="C271">
        <v>3.42</v>
      </c>
      <c r="D271">
        <v>3.0169999999999999</v>
      </c>
      <c r="E271">
        <v>3.242</v>
      </c>
      <c r="F271">
        <v>26011324.695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0.11662531017369764</v>
      </c>
      <c r="Q271">
        <f t="shared" si="965"/>
        <v>3033578.810583136</v>
      </c>
      <c r="R271">
        <f t="shared" si="966"/>
        <v>438077519.26475775</v>
      </c>
      <c r="S271">
        <f t="shared" si="967"/>
        <v>4380.7751926475776</v>
      </c>
      <c r="T271">
        <f t="shared" si="968"/>
        <v>4.3807751926475778</v>
      </c>
    </row>
    <row r="272" spans="1:20" x14ac:dyDescent="0.25">
      <c r="A272" s="5">
        <v>44321</v>
      </c>
      <c r="B272">
        <v>2.8260000000000001</v>
      </c>
      <c r="C272">
        <v>3.15</v>
      </c>
      <c r="D272">
        <v>2.7440000000000002</v>
      </c>
      <c r="E272">
        <v>3.0950000000000002</v>
      </c>
      <c r="F272">
        <v>16596027.079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0.72906403940886821</v>
      </c>
      <c r="Q272">
        <f t="shared" si="965"/>
        <v>12099566.540354701</v>
      </c>
      <c r="R272">
        <f t="shared" si="966"/>
        <v>435043940.45417464</v>
      </c>
      <c r="S272">
        <f t="shared" si="967"/>
        <v>4350.4394045417466</v>
      </c>
      <c r="T272">
        <f t="shared" si="968"/>
        <v>4.3504394045417465</v>
      </c>
    </row>
    <row r="273" spans="1:20" x14ac:dyDescent="0.25">
      <c r="A273" s="5">
        <v>44320</v>
      </c>
      <c r="B273">
        <v>3.2450000000000001</v>
      </c>
      <c r="C273">
        <v>3.2490000000000001</v>
      </c>
      <c r="D273">
        <v>2.8069999999999999</v>
      </c>
      <c r="E273">
        <v>2.8210000000000002</v>
      </c>
      <c r="F273">
        <v>20567504.695999999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-0.93665158371040624</v>
      </c>
      <c r="Q273">
        <f t="shared" si="965"/>
        <v>-19264585.846479617</v>
      </c>
      <c r="R273">
        <f t="shared" si="966"/>
        <v>422944373.91381991</v>
      </c>
      <c r="S273">
        <f t="shared" si="967"/>
        <v>4229.4437391381989</v>
      </c>
      <c r="T273">
        <f t="shared" si="968"/>
        <v>4.2294437391381985</v>
      </c>
    </row>
    <row r="274" spans="1:20" x14ac:dyDescent="0.25">
      <c r="A274" s="5">
        <v>44319</v>
      </c>
      <c r="B274">
        <v>3.2759999999999998</v>
      </c>
      <c r="C274">
        <v>3.3780000000000001</v>
      </c>
      <c r="D274">
        <v>3.18</v>
      </c>
      <c r="E274">
        <v>3.2450000000000001</v>
      </c>
      <c r="F274">
        <v>13518875.098999999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-0.34343434343434381</v>
      </c>
      <c r="Q274">
        <f t="shared" si="965"/>
        <v>-4642845.9935959643</v>
      </c>
      <c r="R274">
        <f t="shared" si="966"/>
        <v>442208959.7602995</v>
      </c>
      <c r="S274">
        <f t="shared" si="967"/>
        <v>4422.0895976029951</v>
      </c>
      <c r="T274">
        <f t="shared" si="968"/>
        <v>4.4220895976029952</v>
      </c>
    </row>
    <row r="275" spans="1:20" x14ac:dyDescent="0.25">
      <c r="A275" s="5">
        <v>44318</v>
      </c>
      <c r="B275">
        <v>3.4079999999999999</v>
      </c>
      <c r="C275">
        <v>3.419</v>
      </c>
      <c r="D275">
        <v>3.0910000000000002</v>
      </c>
      <c r="E275">
        <v>3.2789999999999999</v>
      </c>
      <c r="F275">
        <v>13858563.903999999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0.146341463414633</v>
      </c>
      <c r="Q275">
        <f t="shared" si="965"/>
        <v>2028082.5225365693</v>
      </c>
      <c r="R275">
        <f t="shared" si="966"/>
        <v>446851805.75389546</v>
      </c>
      <c r="S275">
        <f t="shared" si="967"/>
        <v>4468.518057538955</v>
      </c>
      <c r="T275">
        <f t="shared" si="968"/>
        <v>4.4685180575389554</v>
      </c>
    </row>
    <row r="276" spans="1:20" x14ac:dyDescent="0.25">
      <c r="A276" s="5">
        <v>44317</v>
      </c>
      <c r="B276">
        <v>3.3380000000000001</v>
      </c>
      <c r="C276">
        <v>3.49</v>
      </c>
      <c r="D276">
        <v>3.1669999999999998</v>
      </c>
      <c r="E276">
        <v>3.403</v>
      </c>
      <c r="F276">
        <v>17248490.969000001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0.46130030959752272</v>
      </c>
      <c r="Q276">
        <f t="shared" si="965"/>
        <v>7956734.2240897752</v>
      </c>
      <c r="R276">
        <f t="shared" si="966"/>
        <v>444823723.23135889</v>
      </c>
      <c r="S276">
        <f t="shared" si="967"/>
        <v>4448.2372323135887</v>
      </c>
      <c r="T276">
        <f t="shared" si="968"/>
        <v>4.4482372323135886</v>
      </c>
    </row>
    <row r="277" spans="1:20" x14ac:dyDescent="0.25">
      <c r="A277" s="5">
        <v>44316</v>
      </c>
      <c r="B277">
        <v>3.02</v>
      </c>
      <c r="C277">
        <v>3.3929999999999998</v>
      </c>
      <c r="D277">
        <v>2.956</v>
      </c>
      <c r="E277">
        <v>3.3380000000000001</v>
      </c>
      <c r="F277">
        <v>18142308.721000001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0.74828375286041315</v>
      </c>
      <c r="Q277">
        <f t="shared" si="965"/>
        <v>13575594.855302082</v>
      </c>
      <c r="R277">
        <f t="shared" si="966"/>
        <v>436866989.00726908</v>
      </c>
      <c r="S277">
        <f t="shared" si="967"/>
        <v>4368.6698900726906</v>
      </c>
      <c r="T277">
        <f t="shared" si="968"/>
        <v>4.3686698900726908</v>
      </c>
    </row>
    <row r="278" spans="1:20" x14ac:dyDescent="0.25">
      <c r="A278" s="5">
        <v>44315</v>
      </c>
      <c r="B278">
        <v>3.036</v>
      </c>
      <c r="C278">
        <v>3.2490000000000001</v>
      </c>
      <c r="D278">
        <v>2.891</v>
      </c>
      <c r="E278">
        <v>3.0219999999999998</v>
      </c>
      <c r="F278">
        <v>19834973.43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-0.26815642458100697</v>
      </c>
      <c r="Q278">
        <f t="shared" si="965"/>
        <v>-5318875.5566480719</v>
      </c>
      <c r="R278">
        <f t="shared" si="966"/>
        <v>423291394.15196699</v>
      </c>
      <c r="S278">
        <f t="shared" si="967"/>
        <v>4232.9139415196696</v>
      </c>
      <c r="T278">
        <f t="shared" si="968"/>
        <v>4.2329139415196693</v>
      </c>
    </row>
    <row r="279" spans="1:20" x14ac:dyDescent="0.25">
      <c r="A279" s="5">
        <v>44314</v>
      </c>
      <c r="B279">
        <v>3.1269999999999998</v>
      </c>
      <c r="C279">
        <v>3.2130000000000001</v>
      </c>
      <c r="D279">
        <v>2.8119999999999998</v>
      </c>
      <c r="E279">
        <v>3.036</v>
      </c>
      <c r="F279">
        <v>20603220.146000002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0.1172069825436412</v>
      </c>
      <c r="Q279">
        <f t="shared" si="965"/>
        <v>2414841.2639950188</v>
      </c>
      <c r="R279">
        <f t="shared" si="966"/>
        <v>428610269.70861506</v>
      </c>
      <c r="S279">
        <f t="shared" si="967"/>
        <v>4286.1026970861503</v>
      </c>
      <c r="T279">
        <f t="shared" si="968"/>
        <v>4.2861026970861502</v>
      </c>
    </row>
    <row r="280" spans="1:20" x14ac:dyDescent="0.25">
      <c r="A280" s="5">
        <v>44313</v>
      </c>
      <c r="B280">
        <v>2.7770000000000001</v>
      </c>
      <c r="C280">
        <v>3.198</v>
      </c>
      <c r="D280">
        <v>2.71</v>
      </c>
      <c r="E280">
        <v>3.1280000000000001</v>
      </c>
      <c r="F280">
        <v>24362117.122000001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0.71311475409836134</v>
      </c>
      <c r="Q280">
        <f t="shared" si="965"/>
        <v>17372985.160770509</v>
      </c>
      <c r="R280">
        <f t="shared" si="966"/>
        <v>426195428.44462007</v>
      </c>
      <c r="S280">
        <f t="shared" si="967"/>
        <v>4261.9542844462003</v>
      </c>
      <c r="T280">
        <f t="shared" si="968"/>
        <v>4.2619542844462002</v>
      </c>
    </row>
    <row r="281" spans="1:20" x14ac:dyDescent="0.25">
      <c r="A281" s="5">
        <v>44312</v>
      </c>
      <c r="B281">
        <v>2.3839999999999999</v>
      </c>
      <c r="C281">
        <v>2.8380000000000001</v>
      </c>
      <c r="D281">
        <v>2.347</v>
      </c>
      <c r="E281">
        <v>2.7810000000000001</v>
      </c>
      <c r="F281">
        <v>24836285.958000001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0.76782077393075387</v>
      </c>
      <c r="Q281">
        <f t="shared" si="965"/>
        <v>19069816.305837076</v>
      </c>
      <c r="R281">
        <f t="shared" si="966"/>
        <v>408822443.28384954</v>
      </c>
      <c r="S281">
        <f t="shared" si="967"/>
        <v>4088.2244328384954</v>
      </c>
      <c r="T281">
        <f t="shared" si="968"/>
        <v>4.0882244328384951</v>
      </c>
    </row>
    <row r="282" spans="1:20" x14ac:dyDescent="0.25">
      <c r="A282" s="5">
        <v>44311</v>
      </c>
      <c r="B282">
        <v>2.3740000000000001</v>
      </c>
      <c r="C282">
        <v>2.5499999999999998</v>
      </c>
      <c r="D282">
        <v>2.1949999999999998</v>
      </c>
      <c r="E282">
        <v>2.3820000000000001</v>
      </c>
      <c r="F282">
        <v>9318107.7180000003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5.3521126760564995E-2</v>
      </c>
      <c r="Q282">
        <f t="shared" si="965"/>
        <v>498715.62434367702</v>
      </c>
      <c r="R282">
        <f t="shared" si="966"/>
        <v>389752626.97801244</v>
      </c>
      <c r="S282">
        <f t="shared" si="967"/>
        <v>3897.5262697801245</v>
      </c>
      <c r="T282">
        <f t="shared" si="968"/>
        <v>3.8975262697801245</v>
      </c>
    </row>
    <row r="283" spans="1:20" x14ac:dyDescent="0.25">
      <c r="A283" s="5">
        <v>44310</v>
      </c>
      <c r="B283">
        <v>2.641</v>
      </c>
      <c r="C283">
        <v>2.6480000000000001</v>
      </c>
      <c r="D283">
        <v>2.3490000000000002</v>
      </c>
      <c r="E283">
        <v>2.3759999999999999</v>
      </c>
      <c r="F283">
        <v>12400176.635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-0.8193979933110388</v>
      </c>
      <c r="Q283">
        <f t="shared" si="965"/>
        <v>-10160679.851421429</v>
      </c>
      <c r="R283">
        <f t="shared" si="966"/>
        <v>389253911.35366875</v>
      </c>
      <c r="S283">
        <f t="shared" si="967"/>
        <v>3892.5391135366876</v>
      </c>
      <c r="T283">
        <f t="shared" si="968"/>
        <v>3.8925391135366878</v>
      </c>
    </row>
    <row r="284" spans="1:20" x14ac:dyDescent="0.25">
      <c r="A284" s="5">
        <v>44309</v>
      </c>
      <c r="B284">
        <v>2.7549999999999999</v>
      </c>
      <c r="C284">
        <v>2.8580000000000001</v>
      </c>
      <c r="D284">
        <v>2.2240000000000002</v>
      </c>
      <c r="E284">
        <v>2.641</v>
      </c>
      <c r="F284">
        <v>28113410.399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0.31545741324921101</v>
      </c>
      <c r="Q284">
        <f t="shared" si="965"/>
        <v>8868583.7220820095</v>
      </c>
      <c r="R284">
        <f t="shared" si="966"/>
        <v>399414591.20509017</v>
      </c>
      <c r="S284">
        <f t="shared" si="967"/>
        <v>3994.1459120509016</v>
      </c>
      <c r="T284">
        <f t="shared" si="968"/>
        <v>3.9941459120509015</v>
      </c>
    </row>
    <row r="285" spans="1:20" x14ac:dyDescent="0.25">
      <c r="A285" s="5">
        <v>44308</v>
      </c>
      <c r="B285">
        <v>2.8889999999999998</v>
      </c>
      <c r="C285">
        <v>3.31</v>
      </c>
      <c r="D285">
        <v>2.6720000000000002</v>
      </c>
      <c r="E285">
        <v>2.7519999999999998</v>
      </c>
      <c r="F285">
        <v>27748622.664999999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-0.74921630094044001</v>
      </c>
      <c r="Q285">
        <f t="shared" si="965"/>
        <v>-20789720.429263353</v>
      </c>
      <c r="R285">
        <f t="shared" si="966"/>
        <v>390546007.48300815</v>
      </c>
      <c r="S285">
        <f t="shared" si="967"/>
        <v>3905.4600748300813</v>
      </c>
      <c r="T285">
        <f t="shared" si="968"/>
        <v>3.9054600748300814</v>
      </c>
    </row>
    <row r="286" spans="1:20" x14ac:dyDescent="0.25">
      <c r="A286" s="5">
        <v>44307</v>
      </c>
      <c r="B286">
        <v>3.0259999999999998</v>
      </c>
      <c r="C286">
        <v>3.1619999999999999</v>
      </c>
      <c r="D286">
        <v>2.8220000000000001</v>
      </c>
      <c r="E286">
        <v>2.887</v>
      </c>
      <c r="F286">
        <v>19317907.239999998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-0.61764705882352955</v>
      </c>
      <c r="Q286">
        <f t="shared" si="965"/>
        <v>-11931648.589411767</v>
      </c>
      <c r="R286">
        <f t="shared" si="966"/>
        <v>411335727.9122715</v>
      </c>
      <c r="S286">
        <f t="shared" si="967"/>
        <v>4113.3572791227152</v>
      </c>
      <c r="T286">
        <f t="shared" si="968"/>
        <v>4.1133572791227149</v>
      </c>
    </row>
    <row r="287" spans="1:20" x14ac:dyDescent="0.25">
      <c r="A287" s="5">
        <v>44306</v>
      </c>
      <c r="B287">
        <v>2.8220000000000001</v>
      </c>
      <c r="C287">
        <v>3.1</v>
      </c>
      <c r="D287">
        <v>2.57</v>
      </c>
      <c r="E287">
        <v>3.0270000000000001</v>
      </c>
      <c r="F287">
        <v>24661126.160999998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0.72452830188679274</v>
      </c>
      <c r="Q287">
        <f t="shared" si="965"/>
        <v>17867683.860045288</v>
      </c>
      <c r="R287">
        <f t="shared" si="966"/>
        <v>423267376.50168329</v>
      </c>
      <c r="S287">
        <f t="shared" si="967"/>
        <v>4232.6737650168334</v>
      </c>
      <c r="T287">
        <f t="shared" si="968"/>
        <v>4.2326737650168331</v>
      </c>
    </row>
    <row r="288" spans="1:20" x14ac:dyDescent="0.25">
      <c r="A288" s="5">
        <v>44305</v>
      </c>
      <c r="B288">
        <v>3.22</v>
      </c>
      <c r="C288">
        <v>3.4820000000000002</v>
      </c>
      <c r="D288">
        <v>2.7690000000000001</v>
      </c>
      <c r="E288">
        <v>2.8210000000000002</v>
      </c>
      <c r="F288">
        <v>30287433.818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-0.85413744740532949</v>
      </c>
      <c r="Q288">
        <f t="shared" si="965"/>
        <v>-25869631.409764372</v>
      </c>
      <c r="R288">
        <f t="shared" si="966"/>
        <v>405399692.64163798</v>
      </c>
      <c r="S288">
        <f t="shared" si="967"/>
        <v>4053.9969264163797</v>
      </c>
      <c r="T288">
        <f t="shared" si="968"/>
        <v>4.0539969264163798</v>
      </c>
    </row>
    <row r="289" spans="1:20" x14ac:dyDescent="0.25">
      <c r="A289" s="5">
        <v>44304</v>
      </c>
      <c r="B289">
        <v>3.7839999999999998</v>
      </c>
      <c r="C289">
        <v>3.8679999999999999</v>
      </c>
      <c r="D289">
        <v>2.4</v>
      </c>
      <c r="E289">
        <v>3.2229999999999999</v>
      </c>
      <c r="F289">
        <v>46840142.001000002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0.12125340599455037</v>
      </c>
      <c r="Q289">
        <f t="shared" si="965"/>
        <v>5679526.7548896438</v>
      </c>
      <c r="R289">
        <f t="shared" si="966"/>
        <v>431269324.05140233</v>
      </c>
      <c r="S289">
        <f t="shared" si="967"/>
        <v>4312.6932405140233</v>
      </c>
      <c r="T289">
        <f t="shared" si="968"/>
        <v>4.3126932405140233</v>
      </c>
    </row>
    <row r="290" spans="1:20" x14ac:dyDescent="0.25">
      <c r="A290" s="5">
        <v>44303</v>
      </c>
      <c r="B290">
        <v>3.9129999999999998</v>
      </c>
      <c r="C290">
        <v>4.34</v>
      </c>
      <c r="D290">
        <v>3.75</v>
      </c>
      <c r="E290">
        <v>3.7839999999999998</v>
      </c>
      <c r="F290">
        <v>22854962.835000001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-0.884745762711865</v>
      </c>
      <c r="Q290">
        <f t="shared" si="965"/>
        <v>-20220831.525203403</v>
      </c>
      <c r="R290">
        <f t="shared" si="966"/>
        <v>425589797.29651266</v>
      </c>
      <c r="S290">
        <f t="shared" si="967"/>
        <v>4255.8979729651264</v>
      </c>
      <c r="T290">
        <f t="shared" si="968"/>
        <v>4.2558979729651263</v>
      </c>
    </row>
    <row r="291" spans="1:20" x14ac:dyDescent="0.25">
      <c r="A291" s="5">
        <v>44302</v>
      </c>
      <c r="B291">
        <v>4.0289999999999999</v>
      </c>
      <c r="C291">
        <v>4.6500000000000004</v>
      </c>
      <c r="D291">
        <v>3.6829999999999998</v>
      </c>
      <c r="E291">
        <v>3.91</v>
      </c>
      <c r="F291">
        <v>58516073.766999997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-0.53050672182006164</v>
      </c>
      <c r="Q291">
        <f t="shared" si="965"/>
        <v>-31043170.467912074</v>
      </c>
      <c r="R291">
        <f t="shared" si="966"/>
        <v>445810628.82171607</v>
      </c>
      <c r="S291">
        <f t="shared" si="967"/>
        <v>4458.1062882171609</v>
      </c>
      <c r="T291">
        <f t="shared" si="968"/>
        <v>4.4581062882171612</v>
      </c>
    </row>
    <row r="292" spans="1:20" x14ac:dyDescent="0.25">
      <c r="A292" s="5">
        <v>44301</v>
      </c>
      <c r="B292">
        <v>3.1560000000000001</v>
      </c>
      <c r="C292">
        <v>4.1500000000000004</v>
      </c>
      <c r="D292">
        <v>3.1379999999999999</v>
      </c>
      <c r="E292">
        <v>4.0279999999999996</v>
      </c>
      <c r="F292">
        <v>53765700.910999998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0.75889328063240968</v>
      </c>
      <c r="Q292">
        <f t="shared" si="965"/>
        <v>40802429.149849728</v>
      </c>
      <c r="R292">
        <f t="shared" si="966"/>
        <v>476853799.28962815</v>
      </c>
      <c r="S292">
        <f t="shared" si="967"/>
        <v>4768.5379928962811</v>
      </c>
      <c r="T292">
        <f t="shared" si="968"/>
        <v>4.768537992896281</v>
      </c>
    </row>
    <row r="293" spans="1:20" x14ac:dyDescent="0.25">
      <c r="A293" s="5">
        <v>44300</v>
      </c>
      <c r="B293">
        <v>3.12</v>
      </c>
      <c r="C293">
        <v>3.2989999999999999</v>
      </c>
      <c r="D293">
        <v>2.976</v>
      </c>
      <c r="E293">
        <v>3.1560000000000001</v>
      </c>
      <c r="F293">
        <v>17120211.813000001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0.11455108359133243</v>
      </c>
      <c r="Q293">
        <f t="shared" si="965"/>
        <v>1961138.8144922799</v>
      </c>
      <c r="R293">
        <f t="shared" si="966"/>
        <v>436051370.13977844</v>
      </c>
      <c r="S293">
        <f t="shared" si="967"/>
        <v>4360.5137013977846</v>
      </c>
      <c r="T293">
        <f t="shared" si="968"/>
        <v>4.3605137013977844</v>
      </c>
    </row>
    <row r="294" spans="1:20" x14ac:dyDescent="0.25">
      <c r="A294" s="5">
        <v>44299</v>
      </c>
      <c r="B294">
        <v>3.032</v>
      </c>
      <c r="C294">
        <v>3.1920000000000002</v>
      </c>
      <c r="D294">
        <v>2.972</v>
      </c>
      <c r="E294">
        <v>3.12</v>
      </c>
      <c r="F294">
        <v>13490137.537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0.34545454545454546</v>
      </c>
      <c r="Q294">
        <f t="shared" si="965"/>
        <v>4660229.3309636367</v>
      </c>
      <c r="R294">
        <f t="shared" si="966"/>
        <v>434090231.32528615</v>
      </c>
      <c r="S294">
        <f t="shared" si="967"/>
        <v>4340.9023132528619</v>
      </c>
      <c r="T294">
        <f t="shared" si="968"/>
        <v>4.3409023132528617</v>
      </c>
    </row>
    <row r="295" spans="1:20" x14ac:dyDescent="0.25">
      <c r="A295" s="5">
        <v>44298</v>
      </c>
      <c r="B295">
        <v>3.1110000000000002</v>
      </c>
      <c r="C295">
        <v>3.1240000000000001</v>
      </c>
      <c r="D295">
        <v>2.9319999999999999</v>
      </c>
      <c r="E295">
        <v>3.032</v>
      </c>
      <c r="F295">
        <v>15200344.596999999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4.1666666666666664E-2</v>
      </c>
      <c r="Q295">
        <f t="shared" si="965"/>
        <v>633347.69154166663</v>
      </c>
      <c r="R295">
        <f t="shared" si="966"/>
        <v>429430001.99432254</v>
      </c>
      <c r="S295">
        <f t="shared" si="967"/>
        <v>4294.3000199432254</v>
      </c>
      <c r="T295">
        <f t="shared" si="968"/>
        <v>4.2943000199432255</v>
      </c>
    </row>
    <row r="296" spans="1:20" x14ac:dyDescent="0.25">
      <c r="A296" s="5">
        <v>44297</v>
      </c>
      <c r="B296">
        <v>2.9609999999999999</v>
      </c>
      <c r="C296">
        <v>3.2120000000000002</v>
      </c>
      <c r="D296">
        <v>2.8860000000000001</v>
      </c>
      <c r="E296">
        <v>3.1110000000000002</v>
      </c>
      <c r="F296">
        <v>13356135.555</v>
      </c>
      <c r="G296">
        <v>0</v>
      </c>
      <c r="L296" t="s">
        <v>8</v>
      </c>
      <c r="M296" t="s">
        <v>7</v>
      </c>
      <c r="N296" t="s">
        <v>8</v>
      </c>
      <c r="P296">
        <f t="shared" si="964"/>
        <v>0.38036809815950945</v>
      </c>
      <c r="Q296">
        <f t="shared" si="965"/>
        <v>5080247.8798159538</v>
      </c>
      <c r="R296">
        <f t="shared" si="966"/>
        <v>428796654.30278087</v>
      </c>
      <c r="S296">
        <f t="shared" si="967"/>
        <v>4287.9665430278083</v>
      </c>
      <c r="T296">
        <f t="shared" si="968"/>
        <v>4.2879665430278084</v>
      </c>
    </row>
    <row r="297" spans="1:20" x14ac:dyDescent="0.25">
      <c r="A297" s="5">
        <v>44296</v>
      </c>
      <c r="B297">
        <v>2.9790000000000001</v>
      </c>
      <c r="C297">
        <v>3.056</v>
      </c>
      <c r="D297">
        <v>2.8620000000000001</v>
      </c>
      <c r="E297">
        <v>2.9609999999999999</v>
      </c>
      <c r="F297">
        <v>10057521.755000001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2.0618556701028662E-2</v>
      </c>
      <c r="Q297">
        <f t="shared" si="965"/>
        <v>207371.58257729682</v>
      </c>
      <c r="R297">
        <f t="shared" si="966"/>
        <v>423716406.42296493</v>
      </c>
      <c r="S297">
        <f t="shared" si="967"/>
        <v>4237.1640642296497</v>
      </c>
      <c r="T297">
        <f t="shared" si="968"/>
        <v>4.23716406422965</v>
      </c>
    </row>
    <row r="298" spans="1:20" x14ac:dyDescent="0.25">
      <c r="A298" s="5">
        <v>44295</v>
      </c>
      <c r="B298">
        <v>3.0739999999999998</v>
      </c>
      <c r="C298">
        <v>3.14</v>
      </c>
      <c r="D298">
        <v>2.9289999999999998</v>
      </c>
      <c r="E298">
        <v>2.98</v>
      </c>
      <c r="F298">
        <v>9756869.8039999995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-0.51658767772511771</v>
      </c>
      <c r="Q298">
        <f t="shared" si="965"/>
        <v>-5040278.713914684</v>
      </c>
      <c r="R298">
        <f t="shared" si="966"/>
        <v>423509034.84038764</v>
      </c>
      <c r="S298">
        <f t="shared" si="967"/>
        <v>4235.0903484038763</v>
      </c>
      <c r="T298">
        <f t="shared" si="968"/>
        <v>4.235090348403876</v>
      </c>
    </row>
    <row r="299" spans="1:20" x14ac:dyDescent="0.25">
      <c r="A299" s="5">
        <v>44294</v>
      </c>
      <c r="B299">
        <v>2.8959999999999999</v>
      </c>
      <c r="C299">
        <v>3.0990000000000002</v>
      </c>
      <c r="D299">
        <v>2.851</v>
      </c>
      <c r="E299">
        <v>3.0739999999999998</v>
      </c>
      <c r="F299">
        <v>11144889.648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0.79838709677419084</v>
      </c>
      <c r="Q299">
        <f t="shared" si="965"/>
        <v>8897936.0899354536</v>
      </c>
      <c r="R299">
        <f t="shared" si="966"/>
        <v>428549313.55430233</v>
      </c>
      <c r="S299">
        <f t="shared" si="967"/>
        <v>4285.4931355430235</v>
      </c>
      <c r="T299">
        <f t="shared" si="968"/>
        <v>4.2854931355430237</v>
      </c>
    </row>
    <row r="300" spans="1:20" x14ac:dyDescent="0.25">
      <c r="A300" s="5">
        <v>44293</v>
      </c>
      <c r="B300">
        <v>3.1819999999999999</v>
      </c>
      <c r="C300">
        <v>3.3839999999999999</v>
      </c>
      <c r="D300">
        <v>2.722</v>
      </c>
      <c r="E300">
        <v>2.895</v>
      </c>
      <c r="F300">
        <v>26764423.548999999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-0.47734138972809648</v>
      </c>
      <c r="Q300">
        <f t="shared" si="965"/>
        <v>-12775767.132151052</v>
      </c>
      <c r="R300">
        <f t="shared" si="966"/>
        <v>419651377.46436685</v>
      </c>
      <c r="S300">
        <f t="shared" si="967"/>
        <v>4196.5137746436685</v>
      </c>
      <c r="T300">
        <f t="shared" si="968"/>
        <v>4.1965137746436687</v>
      </c>
    </row>
    <row r="301" spans="1:20" x14ac:dyDescent="0.25">
      <c r="A301" s="5">
        <v>44292</v>
      </c>
      <c r="B301">
        <v>3.3170000000000002</v>
      </c>
      <c r="C301">
        <v>3.4</v>
      </c>
      <c r="D301">
        <v>3.0009999999999999</v>
      </c>
      <c r="E301">
        <v>3.181</v>
      </c>
      <c r="F301">
        <v>14861786.716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-9.7744360902254884E-2</v>
      </c>
      <c r="Q301">
        <f t="shared" si="965"/>
        <v>-1452655.8444210414</v>
      </c>
      <c r="R301">
        <f t="shared" si="966"/>
        <v>432427144.59651792</v>
      </c>
      <c r="S301">
        <f t="shared" si="967"/>
        <v>4324.2714459651788</v>
      </c>
      <c r="T301">
        <f t="shared" si="968"/>
        <v>4.324271445965179</v>
      </c>
    </row>
    <row r="302" spans="1:20" x14ac:dyDescent="0.25">
      <c r="A302" s="5">
        <v>44291</v>
      </c>
      <c r="B302">
        <v>3.105</v>
      </c>
      <c r="C302">
        <v>3.5</v>
      </c>
      <c r="D302">
        <v>2.91</v>
      </c>
      <c r="E302">
        <v>3.3159999999999998</v>
      </c>
      <c r="F302">
        <v>21374488.662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0.37627118644067725</v>
      </c>
      <c r="Q302">
        <f t="shared" si="965"/>
        <v>8042604.2084135441</v>
      </c>
      <c r="R302">
        <f t="shared" si="966"/>
        <v>433879800.44093895</v>
      </c>
      <c r="S302">
        <f t="shared" si="967"/>
        <v>4338.7980044093893</v>
      </c>
      <c r="T302">
        <f t="shared" si="968"/>
        <v>4.338798004409389</v>
      </c>
    </row>
    <row r="303" spans="1:20" x14ac:dyDescent="0.25">
      <c r="A303" s="5">
        <v>44290</v>
      </c>
      <c r="B303">
        <v>2.9220000000000002</v>
      </c>
      <c r="C303">
        <v>3.1219999999999999</v>
      </c>
      <c r="D303">
        <v>2.8540000000000001</v>
      </c>
      <c r="E303">
        <v>3.1030000000000002</v>
      </c>
      <c r="F303">
        <v>12676861.797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0.85820895522388285</v>
      </c>
      <c r="Q303">
        <f t="shared" si="965"/>
        <v>10879396.318320924</v>
      </c>
      <c r="R303">
        <f t="shared" si="966"/>
        <v>425837196.23252541</v>
      </c>
      <c r="S303">
        <f t="shared" si="967"/>
        <v>4258.3719623252537</v>
      </c>
      <c r="T303">
        <f t="shared" si="968"/>
        <v>4.2583719623252536</v>
      </c>
    </row>
    <row r="304" spans="1:20" x14ac:dyDescent="0.25">
      <c r="A304" s="5">
        <v>44289</v>
      </c>
      <c r="B304">
        <v>3.3460000000000001</v>
      </c>
      <c r="C304">
        <v>3.4079999999999999</v>
      </c>
      <c r="D304">
        <v>2.8929999999999998</v>
      </c>
      <c r="E304">
        <v>2.9220000000000002</v>
      </c>
      <c r="F304">
        <v>17021522.278000001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-0.8873786407766977</v>
      </c>
      <c r="Q304">
        <f t="shared" si="965"/>
        <v>-15104535.30300192</v>
      </c>
      <c r="R304">
        <f t="shared" si="966"/>
        <v>414957799.91420448</v>
      </c>
      <c r="S304">
        <f t="shared" si="967"/>
        <v>4149.577999142045</v>
      </c>
      <c r="T304">
        <f t="shared" si="968"/>
        <v>4.1495779991420454</v>
      </c>
    </row>
    <row r="305" spans="1:20" x14ac:dyDescent="0.25">
      <c r="A305" s="5">
        <v>44288</v>
      </c>
      <c r="B305">
        <v>3.319</v>
      </c>
      <c r="C305">
        <v>3.5390000000000001</v>
      </c>
      <c r="D305">
        <v>3.2210000000000001</v>
      </c>
      <c r="E305">
        <v>3.3479999999999999</v>
      </c>
      <c r="F305">
        <v>13287341.252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-0.20125786163522166</v>
      </c>
      <c r="Q305">
        <f t="shared" si="965"/>
        <v>-2674181.8871949892</v>
      </c>
      <c r="R305">
        <f t="shared" si="966"/>
        <v>430062335.21720642</v>
      </c>
      <c r="S305">
        <f t="shared" si="967"/>
        <v>4300.6233521720642</v>
      </c>
      <c r="T305">
        <f t="shared" si="968"/>
        <v>4.3006233521720638</v>
      </c>
    </row>
    <row r="306" spans="1:20" x14ac:dyDescent="0.25">
      <c r="A306" s="5">
        <v>44287</v>
      </c>
      <c r="B306">
        <v>3.1339999999999999</v>
      </c>
      <c r="C306">
        <v>3.4830000000000001</v>
      </c>
      <c r="D306">
        <v>3.0430000000000001</v>
      </c>
      <c r="E306">
        <v>3.32</v>
      </c>
      <c r="F306">
        <v>18174195.147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0.25909090909090782</v>
      </c>
      <c r="Q306">
        <f t="shared" si="965"/>
        <v>4708768.7426317949</v>
      </c>
      <c r="R306">
        <f t="shared" si="966"/>
        <v>432736517.10440141</v>
      </c>
      <c r="S306">
        <f t="shared" si="967"/>
        <v>4327.3651710440145</v>
      </c>
      <c r="T306">
        <f t="shared" si="968"/>
        <v>4.3273651710440149</v>
      </c>
    </row>
    <row r="307" spans="1:20" x14ac:dyDescent="0.25">
      <c r="A307" s="5">
        <v>44286</v>
      </c>
      <c r="B307">
        <v>3.2850000000000001</v>
      </c>
      <c r="C307">
        <v>3.2970000000000002</v>
      </c>
      <c r="D307">
        <v>2.95</v>
      </c>
      <c r="E307">
        <v>3.1339999999999999</v>
      </c>
      <c r="F307">
        <v>14811029.068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6.0518731988471082E-2</v>
      </c>
      <c r="Q307">
        <f t="shared" si="965"/>
        <v>896344.69863974664</v>
      </c>
      <c r="R307">
        <f t="shared" si="966"/>
        <v>428027748.36176962</v>
      </c>
      <c r="S307">
        <f t="shared" si="967"/>
        <v>4280.2774836176959</v>
      </c>
      <c r="T307">
        <f t="shared" si="968"/>
        <v>4.280277483617696</v>
      </c>
    </row>
    <row r="308" spans="1:20" x14ac:dyDescent="0.25">
      <c r="A308" s="5">
        <v>44285</v>
      </c>
      <c r="B308">
        <v>3.52</v>
      </c>
      <c r="C308">
        <v>3.528</v>
      </c>
      <c r="D308">
        <v>3.1459999999999999</v>
      </c>
      <c r="E308">
        <v>3.286</v>
      </c>
      <c r="F308">
        <v>15353957.895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-0.26701570680628228</v>
      </c>
      <c r="Q308">
        <f t="shared" si="965"/>
        <v>-4099747.9196073231</v>
      </c>
      <c r="R308">
        <f t="shared" si="966"/>
        <v>427131403.66312987</v>
      </c>
      <c r="S308">
        <f t="shared" si="967"/>
        <v>4271.3140366312982</v>
      </c>
      <c r="T308">
        <f t="shared" si="968"/>
        <v>4.2713140366312983</v>
      </c>
    </row>
    <row r="309" spans="1:20" x14ac:dyDescent="0.25">
      <c r="A309" s="5">
        <v>44284</v>
      </c>
      <c r="B309">
        <v>3.0219999999999998</v>
      </c>
      <c r="C309">
        <v>3.577</v>
      </c>
      <c r="D309">
        <v>2.9910000000000001</v>
      </c>
      <c r="E309">
        <v>3.5230000000000001</v>
      </c>
      <c r="F309">
        <v>29964599.566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0.81569965870307226</v>
      </c>
      <c r="Q309">
        <f t="shared" si="965"/>
        <v>24442113.639160428</v>
      </c>
      <c r="R309">
        <f t="shared" si="966"/>
        <v>431231151.58273721</v>
      </c>
      <c r="S309">
        <f t="shared" si="967"/>
        <v>4312.3115158273722</v>
      </c>
      <c r="T309">
        <f t="shared" si="968"/>
        <v>4.3123115158273722</v>
      </c>
    </row>
    <row r="310" spans="1:20" x14ac:dyDescent="0.25">
      <c r="A310" s="5">
        <v>44283</v>
      </c>
      <c r="B310">
        <v>3.1230000000000002</v>
      </c>
      <c r="C310">
        <v>3.39</v>
      </c>
      <c r="D310">
        <v>2.9159999999999999</v>
      </c>
      <c r="E310">
        <v>3.024</v>
      </c>
      <c r="F310">
        <v>33419861.186999999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-0.54430379746835422</v>
      </c>
      <c r="Q310">
        <f t="shared" si="965"/>
        <v>-18190557.354949359</v>
      </c>
      <c r="R310">
        <f t="shared" si="966"/>
        <v>406789037.94357675</v>
      </c>
      <c r="S310">
        <f t="shared" si="967"/>
        <v>4067.8903794357675</v>
      </c>
      <c r="T310">
        <f t="shared" si="968"/>
        <v>4.0678903794357675</v>
      </c>
    </row>
    <row r="311" spans="1:20" x14ac:dyDescent="0.25">
      <c r="A311" s="5">
        <v>44282</v>
      </c>
      <c r="B311">
        <v>2.621</v>
      </c>
      <c r="C311">
        <v>3.2</v>
      </c>
      <c r="D311">
        <v>2.556</v>
      </c>
      <c r="E311">
        <v>3.1230000000000002</v>
      </c>
      <c r="F311">
        <v>30499343.401999999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0.76086956521739146</v>
      </c>
      <c r="Q311">
        <f t="shared" si="965"/>
        <v>23206022.153695658</v>
      </c>
      <c r="R311">
        <f t="shared" si="966"/>
        <v>424979595.29852611</v>
      </c>
      <c r="S311">
        <f t="shared" si="967"/>
        <v>4249.7959529852615</v>
      </c>
      <c r="T311">
        <f t="shared" si="968"/>
        <v>4.2497959529852611</v>
      </c>
    </row>
    <row r="312" spans="1:20" x14ac:dyDescent="0.25">
      <c r="A312" s="5">
        <v>44281</v>
      </c>
      <c r="B312">
        <v>2.3860000000000001</v>
      </c>
      <c r="C312">
        <v>2.6459999999999999</v>
      </c>
      <c r="D312">
        <v>2.3820000000000001</v>
      </c>
      <c r="E312">
        <v>2.6219999999999999</v>
      </c>
      <c r="F312">
        <v>19020889.991999999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0.8181818181818179</v>
      </c>
      <c r="Q312">
        <f t="shared" si="965"/>
        <v>15562546.357090903</v>
      </c>
      <c r="R312">
        <f t="shared" si="966"/>
        <v>401773573.14483047</v>
      </c>
      <c r="S312">
        <f t="shared" si="967"/>
        <v>4017.7357314483047</v>
      </c>
      <c r="T312">
        <f t="shared" si="968"/>
        <v>4.0177357314483046</v>
      </c>
    </row>
    <row r="313" spans="1:20" x14ac:dyDescent="0.25">
      <c r="A313" s="5">
        <v>44280</v>
      </c>
      <c r="B313">
        <v>2.516</v>
      </c>
      <c r="C313">
        <v>2.7290000000000001</v>
      </c>
      <c r="D313">
        <v>2.3079999999999998</v>
      </c>
      <c r="E313">
        <v>2.3839999999999999</v>
      </c>
      <c r="F313">
        <v>37769862.316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-0.63895486935866974</v>
      </c>
      <c r="Q313">
        <f t="shared" si="965"/>
        <v>-24133237.441814724</v>
      </c>
      <c r="R313">
        <f t="shared" si="966"/>
        <v>386211026.78773957</v>
      </c>
      <c r="S313">
        <f t="shared" si="967"/>
        <v>3862.1102678773959</v>
      </c>
      <c r="T313">
        <f t="shared" si="968"/>
        <v>3.8621102678773958</v>
      </c>
    </row>
    <row r="314" spans="1:20" x14ac:dyDescent="0.25">
      <c r="A314" s="5">
        <v>44279</v>
      </c>
      <c r="B314">
        <v>2.8809999999999998</v>
      </c>
      <c r="C314">
        <v>2.9870000000000001</v>
      </c>
      <c r="D314">
        <v>2.3660000000000001</v>
      </c>
      <c r="E314">
        <v>2.5190000000000001</v>
      </c>
      <c r="F314">
        <v>30412328.287999999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-0.50724637681159412</v>
      </c>
      <c r="Q314">
        <f t="shared" si="965"/>
        <v>-15426543.33449275</v>
      </c>
      <c r="R314">
        <f t="shared" si="966"/>
        <v>410344264.2295543</v>
      </c>
      <c r="S314">
        <f t="shared" si="967"/>
        <v>4103.442642295543</v>
      </c>
      <c r="T314">
        <f t="shared" si="968"/>
        <v>4.1034426422955432</v>
      </c>
    </row>
    <row r="315" spans="1:20" x14ac:dyDescent="0.25">
      <c r="A315" s="5">
        <v>44278</v>
      </c>
      <c r="B315">
        <v>2.3519999999999999</v>
      </c>
      <c r="C315">
        <v>3.2770000000000001</v>
      </c>
      <c r="D315">
        <v>2.2200000000000002</v>
      </c>
      <c r="E315">
        <v>2.8820000000000001</v>
      </c>
      <c r="F315">
        <v>47762468.832999997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0.25260170293282869</v>
      </c>
      <c r="Q315">
        <f t="shared" si="965"/>
        <v>12064880.963491954</v>
      </c>
      <c r="R315">
        <f t="shared" si="966"/>
        <v>425770807.56404704</v>
      </c>
      <c r="S315">
        <f t="shared" si="967"/>
        <v>4257.7080756404703</v>
      </c>
      <c r="T315">
        <f t="shared" si="968"/>
        <v>4.2577080756404699</v>
      </c>
    </row>
    <row r="316" spans="1:20" x14ac:dyDescent="0.25">
      <c r="A316" s="5">
        <v>44277</v>
      </c>
      <c r="B316">
        <v>2.593</v>
      </c>
      <c r="C316">
        <v>2.7040000000000002</v>
      </c>
      <c r="D316">
        <v>2.327</v>
      </c>
      <c r="E316">
        <v>2.3519999999999999</v>
      </c>
      <c r="F316">
        <v>12958654.380000001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-0.86737400530504039</v>
      </c>
      <c r="Q316">
        <f t="shared" si="965"/>
        <v>-11239999.952944305</v>
      </c>
      <c r="R316">
        <f t="shared" si="966"/>
        <v>413705926.60055506</v>
      </c>
      <c r="S316">
        <f t="shared" si="967"/>
        <v>4137.0592660055509</v>
      </c>
      <c r="T316">
        <f t="shared" si="968"/>
        <v>4.1370592660055507</v>
      </c>
    </row>
    <row r="317" spans="1:20" x14ac:dyDescent="0.25">
      <c r="A317" s="5">
        <v>44276</v>
      </c>
      <c r="B317">
        <v>2.7050000000000001</v>
      </c>
      <c r="C317">
        <v>2.7639999999999998</v>
      </c>
      <c r="D317">
        <v>2.5129999999999999</v>
      </c>
      <c r="E317">
        <v>2.5939999999999999</v>
      </c>
      <c r="F317">
        <v>9522204.6699999999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-0.35458167330677293</v>
      </c>
      <c r="Q317">
        <f t="shared" si="965"/>
        <v>-3376399.2654581675</v>
      </c>
      <c r="R317">
        <f t="shared" si="966"/>
        <v>424945926.55349934</v>
      </c>
      <c r="S317">
        <f t="shared" si="967"/>
        <v>4249.4592655349934</v>
      </c>
      <c r="T317">
        <f t="shared" si="968"/>
        <v>4.249459265534993</v>
      </c>
    </row>
    <row r="318" spans="1:20" x14ac:dyDescent="0.25">
      <c r="A318" s="5">
        <v>44275</v>
      </c>
      <c r="B318">
        <v>2.746</v>
      </c>
      <c r="C318">
        <v>2.9729999999999999</v>
      </c>
      <c r="D318">
        <v>2.6829999999999998</v>
      </c>
      <c r="E318">
        <v>2.702</v>
      </c>
      <c r="F318">
        <v>14332241.005000001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-0.86896551724137849</v>
      </c>
      <c r="Q318">
        <f t="shared" si="965"/>
        <v>-12454223.21813792</v>
      </c>
      <c r="R318">
        <f t="shared" si="966"/>
        <v>428322325.81895751</v>
      </c>
      <c r="S318">
        <f t="shared" si="967"/>
        <v>4283.2232581895751</v>
      </c>
      <c r="T318">
        <f t="shared" si="968"/>
        <v>4.2832232581895751</v>
      </c>
    </row>
    <row r="319" spans="1:20" x14ac:dyDescent="0.25">
      <c r="A319" s="5">
        <v>44274</v>
      </c>
      <c r="B319">
        <v>2.6080000000000001</v>
      </c>
      <c r="C319">
        <v>2.7949999999999999</v>
      </c>
      <c r="D319">
        <v>2.4769999999999999</v>
      </c>
      <c r="E319">
        <v>2.746</v>
      </c>
      <c r="F319">
        <v>15503136.609999999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0.69182389937106969</v>
      </c>
      <c r="Q319">
        <f t="shared" si="965"/>
        <v>10725440.422012586</v>
      </c>
      <c r="R319">
        <f t="shared" si="966"/>
        <v>440776549.03709543</v>
      </c>
      <c r="S319">
        <f t="shared" si="967"/>
        <v>4407.7654903709545</v>
      </c>
      <c r="T319">
        <f t="shared" si="968"/>
        <v>4.4077654903709549</v>
      </c>
    </row>
    <row r="320" spans="1:20" x14ac:dyDescent="0.25">
      <c r="A320" s="5">
        <v>44273</v>
      </c>
      <c r="B320">
        <v>2.423</v>
      </c>
      <c r="C320">
        <v>2.7989999999999999</v>
      </c>
      <c r="D320">
        <v>2.4049999999999998</v>
      </c>
      <c r="E320">
        <v>2.609</v>
      </c>
      <c r="F320">
        <v>22166479.603999998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3.5532994923858453E-2</v>
      </c>
      <c r="Q320">
        <f t="shared" si="965"/>
        <v>787641.40724874393</v>
      </c>
      <c r="R320">
        <f t="shared" si="966"/>
        <v>430051108.61508286</v>
      </c>
      <c r="S320">
        <f t="shared" si="967"/>
        <v>4300.5110861508283</v>
      </c>
      <c r="T320">
        <f t="shared" si="968"/>
        <v>4.300511086150828</v>
      </c>
    </row>
    <row r="321" spans="1:20" x14ac:dyDescent="0.25">
      <c r="A321" s="5">
        <v>44272</v>
      </c>
      <c r="B321">
        <v>2.5939999999999999</v>
      </c>
      <c r="C321">
        <v>2.6</v>
      </c>
      <c r="D321">
        <v>2.2770000000000001</v>
      </c>
      <c r="E321">
        <v>2.4249999999999998</v>
      </c>
      <c r="F321">
        <v>15008289.585999999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-8.3591331269351657E-2</v>
      </c>
      <c r="Q321">
        <f t="shared" si="965"/>
        <v>-1254562.9065696865</v>
      </c>
      <c r="R321">
        <f t="shared" si="966"/>
        <v>429263467.20783412</v>
      </c>
      <c r="S321">
        <f t="shared" si="967"/>
        <v>4292.6346720783413</v>
      </c>
      <c r="T321">
        <f t="shared" si="968"/>
        <v>4.292634672078341</v>
      </c>
    </row>
    <row r="322" spans="1:20" x14ac:dyDescent="0.25">
      <c r="A322" s="5">
        <v>44271</v>
      </c>
      <c r="B322">
        <v>2.2240000000000002</v>
      </c>
      <c r="C322">
        <v>2.6179999999999999</v>
      </c>
      <c r="D322">
        <v>2.093</v>
      </c>
      <c r="E322">
        <v>2.5960000000000001</v>
      </c>
      <c r="F322">
        <v>24276100.934999999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0.916190476190477</v>
      </c>
      <c r="Q322">
        <f t="shared" si="965"/>
        <v>22241532.475685734</v>
      </c>
      <c r="R322">
        <f t="shared" si="966"/>
        <v>430518030.11440378</v>
      </c>
      <c r="S322">
        <f t="shared" si="967"/>
        <v>4305.1803011440379</v>
      </c>
      <c r="T322">
        <f t="shared" si="968"/>
        <v>4.3051803011440377</v>
      </c>
    </row>
    <row r="323" spans="1:20" x14ac:dyDescent="0.25">
      <c r="A323" s="5">
        <v>44270</v>
      </c>
      <c r="B323">
        <v>2.1080000000000001</v>
      </c>
      <c r="C323">
        <v>2.36</v>
      </c>
      <c r="D323">
        <v>2.0409999999999999</v>
      </c>
      <c r="E323">
        <v>2.2240000000000002</v>
      </c>
      <c r="F323">
        <v>19438862.774</v>
      </c>
      <c r="G323">
        <v>0</v>
      </c>
      <c r="L323" t="s">
        <v>7</v>
      </c>
      <c r="M323" t="s">
        <v>8</v>
      </c>
      <c r="N323" t="s">
        <v>7</v>
      </c>
      <c r="P323">
        <f t="shared" si="964"/>
        <v>0.14733542319749407</v>
      </c>
      <c r="Q323">
        <f t="shared" si="965"/>
        <v>2864033.0732853035</v>
      </c>
      <c r="R323">
        <f t="shared" si="966"/>
        <v>408276497.63871807</v>
      </c>
      <c r="S323">
        <f t="shared" si="967"/>
        <v>4082.7649763871805</v>
      </c>
      <c r="T323">
        <f t="shared" si="968"/>
        <v>4.0827649763871801</v>
      </c>
    </row>
    <row r="324" spans="1:20" x14ac:dyDescent="0.25">
      <c r="A324" s="5">
        <v>44269</v>
      </c>
      <c r="B324">
        <v>2.3809999999999998</v>
      </c>
      <c r="C324">
        <v>2.4020000000000001</v>
      </c>
      <c r="D324">
        <v>2.1030000000000002</v>
      </c>
      <c r="E324">
        <v>2.1070000000000002</v>
      </c>
      <c r="F324">
        <v>12902542.649</v>
      </c>
      <c r="G324">
        <v>0</v>
      </c>
      <c r="L324" t="s">
        <v>8</v>
      </c>
      <c r="M324" t="s">
        <v>8</v>
      </c>
      <c r="N324" t="s">
        <v>7</v>
      </c>
      <c r="P324">
        <f t="shared" si="964"/>
        <v>-0.97324414715719065</v>
      </c>
      <c r="Q324">
        <f t="shared" si="965"/>
        <v>-12557324.116585284</v>
      </c>
      <c r="R324">
        <f t="shared" si="966"/>
        <v>405412464.56543279</v>
      </c>
      <c r="S324">
        <f t="shared" si="967"/>
        <v>4054.1246456543277</v>
      </c>
      <c r="T324">
        <f t="shared" si="968"/>
        <v>4.0541246456543281</v>
      </c>
    </row>
    <row r="325" spans="1:20" x14ac:dyDescent="0.25">
      <c r="A325" s="5">
        <v>44268</v>
      </c>
      <c r="B325">
        <v>2.0590000000000002</v>
      </c>
      <c r="C325">
        <v>2.3820000000000001</v>
      </c>
      <c r="D325">
        <v>1.9770000000000001</v>
      </c>
      <c r="E325">
        <v>2.3780000000000001</v>
      </c>
      <c r="F325">
        <v>16216031.035</v>
      </c>
      <c r="G325">
        <v>0</v>
      </c>
      <c r="L325" t="s">
        <v>8</v>
      </c>
      <c r="M325" t="s">
        <v>8</v>
      </c>
      <c r="N325" t="s">
        <v>7</v>
      </c>
      <c r="P325">
        <f t="shared" si="964"/>
        <v>0.98024691358024685</v>
      </c>
      <c r="Q325">
        <f t="shared" si="965"/>
        <v>15895714.372580245</v>
      </c>
      <c r="R325">
        <f t="shared" si="966"/>
        <v>417969788.68201804</v>
      </c>
      <c r="S325">
        <f t="shared" si="967"/>
        <v>4179.6978868201804</v>
      </c>
      <c r="T325">
        <f t="shared" si="968"/>
        <v>4.1796978868201808</v>
      </c>
    </row>
    <row r="326" spans="1:20" x14ac:dyDescent="0.25">
      <c r="A326" s="5">
        <v>44267</v>
      </c>
      <c r="B326">
        <v>2.1739999999999999</v>
      </c>
      <c r="C326">
        <v>2.2320000000000002</v>
      </c>
      <c r="D326">
        <v>1.96</v>
      </c>
      <c r="E326">
        <v>2.0590000000000002</v>
      </c>
      <c r="F326">
        <v>14646572.819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-0.27205882352941096</v>
      </c>
      <c r="Q326">
        <f t="shared" ref="Q326:Q389" si="970">F326*P326</f>
        <v>-3984729.3698749882</v>
      </c>
      <c r="R326">
        <f t="shared" ref="R326:R389" si="971">R327+Q326</f>
        <v>402074074.30943781</v>
      </c>
      <c r="S326">
        <f t="shared" ref="S326:S389" si="972">R326/100000</f>
        <v>4020.7407430943781</v>
      </c>
      <c r="T326">
        <f t="shared" ref="T326:T389" si="973">S326/1000</f>
        <v>4.020740743094378</v>
      </c>
    </row>
    <row r="327" spans="1:20" x14ac:dyDescent="0.25">
      <c r="A327" s="5">
        <v>44266</v>
      </c>
      <c r="B327">
        <v>2.2149999999999999</v>
      </c>
      <c r="C327">
        <v>2.226</v>
      </c>
      <c r="D327">
        <v>2.048</v>
      </c>
      <c r="E327">
        <v>2.173</v>
      </c>
      <c r="F327">
        <v>13167515.403000001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0.4044943820224724</v>
      </c>
      <c r="Q327">
        <f t="shared" si="970"/>
        <v>5326186.0057078721</v>
      </c>
      <c r="R327">
        <f t="shared" si="971"/>
        <v>406058803.67931283</v>
      </c>
      <c r="S327">
        <f t="shared" si="972"/>
        <v>4060.5880367931281</v>
      </c>
      <c r="T327">
        <f t="shared" si="973"/>
        <v>4.0605880367931277</v>
      </c>
    </row>
    <row r="328" spans="1:20" x14ac:dyDescent="0.25">
      <c r="A328" s="5">
        <v>44265</v>
      </c>
      <c r="B328">
        <v>2.4060000000000001</v>
      </c>
      <c r="C328">
        <v>2.4830000000000001</v>
      </c>
      <c r="D328">
        <v>2.1709999999999998</v>
      </c>
      <c r="E328">
        <v>2.2120000000000002</v>
      </c>
      <c r="F328">
        <v>16175737.802999999</v>
      </c>
      <c r="G328">
        <v>0</v>
      </c>
      <c r="L328" t="s">
        <v>7</v>
      </c>
      <c r="M328" t="s">
        <v>8</v>
      </c>
      <c r="N328" t="s">
        <v>7</v>
      </c>
      <c r="P328">
        <f t="shared" si="969"/>
        <v>-0.737179487179485</v>
      </c>
      <c r="Q328">
        <f t="shared" si="970"/>
        <v>-11924422.09836535</v>
      </c>
      <c r="R328">
        <f t="shared" si="971"/>
        <v>400732617.67360497</v>
      </c>
      <c r="S328">
        <f t="shared" si="972"/>
        <v>4007.3261767360495</v>
      </c>
      <c r="T328">
        <f t="shared" si="973"/>
        <v>4.0073261767360497</v>
      </c>
    </row>
    <row r="329" spans="1:20" x14ac:dyDescent="0.25">
      <c r="A329" s="5">
        <v>44264</v>
      </c>
      <c r="B329">
        <v>2.395</v>
      </c>
      <c r="C329">
        <v>2.4849999999999999</v>
      </c>
      <c r="D329">
        <v>2.274</v>
      </c>
      <c r="E329">
        <v>2.4060000000000001</v>
      </c>
      <c r="F329">
        <v>18149081.112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0.25118483412322473</v>
      </c>
      <c r="Q329">
        <f t="shared" si="970"/>
        <v>4558773.9286066713</v>
      </c>
      <c r="R329">
        <f t="shared" si="971"/>
        <v>412657039.77197033</v>
      </c>
      <c r="S329">
        <f t="shared" si="972"/>
        <v>4126.5703977197036</v>
      </c>
      <c r="T329">
        <f t="shared" si="973"/>
        <v>4.1265703977197035</v>
      </c>
    </row>
    <row r="330" spans="1:20" x14ac:dyDescent="0.25">
      <c r="A330" s="5">
        <v>44263</v>
      </c>
      <c r="B330">
        <v>2.2450000000000001</v>
      </c>
      <c r="C330">
        <v>2.41</v>
      </c>
      <c r="D330">
        <v>2.0329999999999999</v>
      </c>
      <c r="E330">
        <v>2.395</v>
      </c>
      <c r="F330">
        <v>25978975.568999998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0.92042440318302321</v>
      </c>
      <c r="Q330">
        <f t="shared" si="970"/>
        <v>23911683.083403163</v>
      </c>
      <c r="R330">
        <f t="shared" si="971"/>
        <v>408098265.84336364</v>
      </c>
      <c r="S330">
        <f t="shared" si="972"/>
        <v>4080.9826584336365</v>
      </c>
      <c r="T330">
        <f t="shared" si="973"/>
        <v>4.0809826584336362</v>
      </c>
    </row>
    <row r="331" spans="1:20" x14ac:dyDescent="0.25">
      <c r="A331" s="5">
        <v>44262</v>
      </c>
      <c r="B331">
        <v>2.048</v>
      </c>
      <c r="C331">
        <v>2.266</v>
      </c>
      <c r="D331">
        <v>2.0430000000000001</v>
      </c>
      <c r="E331">
        <v>2.2450000000000001</v>
      </c>
      <c r="F331">
        <v>16723859.836999999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0.81165919282511279</v>
      </c>
      <c r="Q331">
        <f t="shared" si="970"/>
        <v>13574074.576219741</v>
      </c>
      <c r="R331">
        <f t="shared" si="971"/>
        <v>384186582.75996047</v>
      </c>
      <c r="S331">
        <f t="shared" si="972"/>
        <v>3841.8658275996049</v>
      </c>
      <c r="T331">
        <f t="shared" si="973"/>
        <v>3.8418658275996047</v>
      </c>
    </row>
    <row r="332" spans="1:20" x14ac:dyDescent="0.25">
      <c r="A332" s="5">
        <v>44261</v>
      </c>
      <c r="B332">
        <v>2.0539999999999998</v>
      </c>
      <c r="C332">
        <v>2.1720000000000002</v>
      </c>
      <c r="D332">
        <v>1.913</v>
      </c>
      <c r="E332">
        <v>2.0470000000000002</v>
      </c>
      <c r="F332">
        <v>12475162.255000001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3.4749034749035193E-2</v>
      </c>
      <c r="Q332">
        <f t="shared" si="970"/>
        <v>433499.84669884725</v>
      </c>
      <c r="R332">
        <f t="shared" si="971"/>
        <v>370612508.18374074</v>
      </c>
      <c r="S332">
        <f t="shared" si="972"/>
        <v>3706.1250818374074</v>
      </c>
      <c r="T332">
        <f t="shared" si="973"/>
        <v>3.7061250818374072</v>
      </c>
    </row>
    <row r="333" spans="1:20" x14ac:dyDescent="0.25">
      <c r="A333" s="5">
        <v>44260</v>
      </c>
      <c r="B333">
        <v>2.0830000000000002</v>
      </c>
      <c r="C333">
        <v>2.1160000000000001</v>
      </c>
      <c r="D333">
        <v>1.91</v>
      </c>
      <c r="E333">
        <v>2.052</v>
      </c>
      <c r="F333">
        <v>15360572.913000001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0.37864077669902912</v>
      </c>
      <c r="Q333">
        <f t="shared" si="970"/>
        <v>5816139.2583203884</v>
      </c>
      <c r="R333">
        <f t="shared" si="971"/>
        <v>370179008.33704191</v>
      </c>
      <c r="S333">
        <f t="shared" si="972"/>
        <v>3701.7900833704193</v>
      </c>
      <c r="T333">
        <f t="shared" si="973"/>
        <v>3.7017900833704194</v>
      </c>
    </row>
    <row r="334" spans="1:20" x14ac:dyDescent="0.25">
      <c r="A334" s="5">
        <v>44259</v>
      </c>
      <c r="B334">
        <v>2.278</v>
      </c>
      <c r="C334">
        <v>2.3860000000000001</v>
      </c>
      <c r="D334">
        <v>2.012</v>
      </c>
      <c r="E334">
        <v>2.0859999999999999</v>
      </c>
      <c r="F334">
        <v>23114224.390999999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-0.60427807486631113</v>
      </c>
      <c r="Q334">
        <f t="shared" si="970"/>
        <v>-13967419.017021412</v>
      </c>
      <c r="R334">
        <f t="shared" si="971"/>
        <v>364362869.07872152</v>
      </c>
      <c r="S334">
        <f t="shared" si="972"/>
        <v>3643.6286907872154</v>
      </c>
      <c r="T334">
        <f t="shared" si="973"/>
        <v>3.6436286907872155</v>
      </c>
    </row>
    <row r="335" spans="1:20" x14ac:dyDescent="0.25">
      <c r="A335" s="5">
        <v>44258</v>
      </c>
      <c r="B335">
        <v>2.5070000000000001</v>
      </c>
      <c r="C335">
        <v>2.64</v>
      </c>
      <c r="D335">
        <v>2.2570000000000001</v>
      </c>
      <c r="E335">
        <v>2.2789999999999999</v>
      </c>
      <c r="F335">
        <v>30064583.462000001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-0.88511749347258595</v>
      </c>
      <c r="Q335">
        <f t="shared" si="970"/>
        <v>-26610688.756182801</v>
      </c>
      <c r="R335">
        <f t="shared" si="971"/>
        <v>378330288.09574294</v>
      </c>
      <c r="S335">
        <f t="shared" si="972"/>
        <v>3783.3028809574294</v>
      </c>
      <c r="T335">
        <f t="shared" si="973"/>
        <v>3.7833028809574292</v>
      </c>
    </row>
    <row r="336" spans="1:20" x14ac:dyDescent="0.25">
      <c r="A336" s="5">
        <v>44257</v>
      </c>
      <c r="B336">
        <v>2.0009999999999999</v>
      </c>
      <c r="C336">
        <v>2.5950000000000002</v>
      </c>
      <c r="D336">
        <v>1.9810000000000001</v>
      </c>
      <c r="E336">
        <v>2.508</v>
      </c>
      <c r="F336">
        <v>43725606.386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0.7166123778501623</v>
      </c>
      <c r="Q336">
        <f t="shared" si="970"/>
        <v>31334310.765211701</v>
      </c>
      <c r="R336">
        <f t="shared" si="971"/>
        <v>404940976.85192573</v>
      </c>
      <c r="S336">
        <f t="shared" si="972"/>
        <v>4049.4097685192573</v>
      </c>
      <c r="T336">
        <f t="shared" si="973"/>
        <v>4.0494097685192569</v>
      </c>
    </row>
    <row r="337" spans="1:20" x14ac:dyDescent="0.25">
      <c r="A337" s="5">
        <v>44256</v>
      </c>
      <c r="B337">
        <v>1.7669999999999999</v>
      </c>
      <c r="C337">
        <v>2.0089999999999999</v>
      </c>
      <c r="D337">
        <v>1.752</v>
      </c>
      <c r="E337">
        <v>2.0009999999999999</v>
      </c>
      <c r="F337">
        <v>12539842.755000001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0.93774319066147849</v>
      </c>
      <c r="Q337">
        <f t="shared" si="970"/>
        <v>11759152.155466925</v>
      </c>
      <c r="R337">
        <f t="shared" si="971"/>
        <v>373606666.08671403</v>
      </c>
      <c r="S337">
        <f t="shared" si="972"/>
        <v>3736.0666608671404</v>
      </c>
      <c r="T337">
        <f t="shared" si="973"/>
        <v>3.7360666608671402</v>
      </c>
    </row>
    <row r="338" spans="1:20" x14ac:dyDescent="0.25">
      <c r="A338" s="5">
        <v>44255</v>
      </c>
      <c r="B338">
        <v>1.962</v>
      </c>
      <c r="C338">
        <v>1.984</v>
      </c>
      <c r="D338">
        <v>1.62</v>
      </c>
      <c r="E338">
        <v>1.7689999999999999</v>
      </c>
      <c r="F338">
        <v>18259491.780999999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-0.18131868131868215</v>
      </c>
      <c r="Q338">
        <f t="shared" si="970"/>
        <v>-3310786.9712802349</v>
      </c>
      <c r="R338">
        <f t="shared" si="971"/>
        <v>361847513.93124712</v>
      </c>
      <c r="S338">
        <f t="shared" si="972"/>
        <v>3618.4751393124711</v>
      </c>
      <c r="T338">
        <f t="shared" si="973"/>
        <v>3.618475139312471</v>
      </c>
    </row>
    <row r="339" spans="1:20" x14ac:dyDescent="0.25">
      <c r="A339" s="5">
        <v>44254</v>
      </c>
      <c r="B339">
        <v>1.925</v>
      </c>
      <c r="C339">
        <v>2.105</v>
      </c>
      <c r="D339">
        <v>1.915</v>
      </c>
      <c r="E339">
        <v>1.964</v>
      </c>
      <c r="F339">
        <v>11523415.936000001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-0.48421052631579004</v>
      </c>
      <c r="Q339">
        <f t="shared" si="970"/>
        <v>-5579759.2953263223</v>
      </c>
      <c r="R339">
        <f t="shared" si="971"/>
        <v>365158300.90252733</v>
      </c>
      <c r="S339">
        <f t="shared" si="972"/>
        <v>3651.5830090252734</v>
      </c>
      <c r="T339">
        <f t="shared" si="973"/>
        <v>3.6515830090252734</v>
      </c>
    </row>
    <row r="340" spans="1:20" x14ac:dyDescent="0.25">
      <c r="A340" s="5">
        <v>44253</v>
      </c>
      <c r="B340">
        <v>2.0089999999999999</v>
      </c>
      <c r="C340">
        <v>2.097</v>
      </c>
      <c r="D340">
        <v>1.7929999999999999</v>
      </c>
      <c r="E340">
        <v>1.921</v>
      </c>
      <c r="F340">
        <v>17349184.405999999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-0.15789473684210464</v>
      </c>
      <c r="Q340">
        <f t="shared" si="970"/>
        <v>-2739344.9062105156</v>
      </c>
      <c r="R340">
        <f t="shared" si="971"/>
        <v>370738060.19785362</v>
      </c>
      <c r="S340">
        <f t="shared" si="972"/>
        <v>3707.3806019785361</v>
      </c>
      <c r="T340">
        <f t="shared" si="973"/>
        <v>3.707380601978536</v>
      </c>
    </row>
    <row r="341" spans="1:20" x14ac:dyDescent="0.25">
      <c r="A341" s="5">
        <v>44252</v>
      </c>
      <c r="B341">
        <v>2.153</v>
      </c>
      <c r="C341">
        <v>2.3359999999999999</v>
      </c>
      <c r="D341">
        <v>1.9870000000000001</v>
      </c>
      <c r="E341">
        <v>2.0070000000000001</v>
      </c>
      <c r="F341">
        <v>14987481.66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-0.88538681948424047</v>
      </c>
      <c r="Q341">
        <f t="shared" si="970"/>
        <v>-13269718.719025785</v>
      </c>
      <c r="R341">
        <f t="shared" si="971"/>
        <v>373477405.10406417</v>
      </c>
      <c r="S341">
        <f t="shared" si="972"/>
        <v>3734.7740510406416</v>
      </c>
      <c r="T341">
        <f t="shared" si="973"/>
        <v>3.7347740510406418</v>
      </c>
    </row>
    <row r="342" spans="1:20" x14ac:dyDescent="0.25">
      <c r="A342" s="5">
        <v>44251</v>
      </c>
      <c r="B342">
        <v>2.1389999999999998</v>
      </c>
      <c r="C342">
        <v>2.3969999999999998</v>
      </c>
      <c r="D342">
        <v>2</v>
      </c>
      <c r="E342">
        <v>2.1520000000000001</v>
      </c>
      <c r="F342">
        <v>20229080.831999999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-0.23425692695213998</v>
      </c>
      <c r="Q342">
        <f t="shared" si="970"/>
        <v>-4738802.3107707584</v>
      </c>
      <c r="R342">
        <f t="shared" si="971"/>
        <v>386747123.82308996</v>
      </c>
      <c r="S342">
        <f t="shared" si="972"/>
        <v>3867.4712382308994</v>
      </c>
      <c r="T342">
        <f t="shared" si="973"/>
        <v>3.8674712382308996</v>
      </c>
    </row>
    <row r="343" spans="1:20" x14ac:dyDescent="0.25">
      <c r="A343" s="5">
        <v>44250</v>
      </c>
      <c r="B343">
        <v>2.5819999999999999</v>
      </c>
      <c r="C343">
        <v>2.6059999999999999</v>
      </c>
      <c r="D343">
        <v>1.71</v>
      </c>
      <c r="E343">
        <v>2.1379999999999999</v>
      </c>
      <c r="F343">
        <v>40284985.130000003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-4.4642857142857185E-2</v>
      </c>
      <c r="Q343">
        <f t="shared" si="970"/>
        <v>-1798436.8361607161</v>
      </c>
      <c r="R343">
        <f t="shared" si="971"/>
        <v>391485926.13386071</v>
      </c>
      <c r="S343">
        <f t="shared" si="972"/>
        <v>3914.8592613386072</v>
      </c>
      <c r="T343">
        <f t="shared" si="973"/>
        <v>3.9148592613386071</v>
      </c>
    </row>
    <row r="344" spans="1:20" x14ac:dyDescent="0.25">
      <c r="A344" s="5">
        <v>44249</v>
      </c>
      <c r="B344">
        <v>2.9049999999999998</v>
      </c>
      <c r="C344">
        <v>2.9119999999999999</v>
      </c>
      <c r="D344">
        <v>2.0230000000000001</v>
      </c>
      <c r="E344">
        <v>2.58</v>
      </c>
      <c r="F344">
        <v>27834363.002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0.25309336332958399</v>
      </c>
      <c r="Q344">
        <f t="shared" si="970"/>
        <v>7044692.5483127162</v>
      </c>
      <c r="R344">
        <f t="shared" si="971"/>
        <v>393284362.97002143</v>
      </c>
      <c r="S344">
        <f t="shared" si="972"/>
        <v>3932.8436297002145</v>
      </c>
      <c r="T344">
        <f t="shared" si="973"/>
        <v>3.9328436297002143</v>
      </c>
    </row>
    <row r="345" spans="1:20" x14ac:dyDescent="0.25">
      <c r="A345" s="5">
        <v>44248</v>
      </c>
      <c r="B345">
        <v>2.8879999999999999</v>
      </c>
      <c r="C345">
        <v>3.08</v>
      </c>
      <c r="D345">
        <v>2.8119999999999998</v>
      </c>
      <c r="E345">
        <v>2.9049999999999998</v>
      </c>
      <c r="F345">
        <v>15829873.329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-0.30597014925373217</v>
      </c>
      <c r="Q345">
        <f t="shared" si="970"/>
        <v>-4843468.7051418042</v>
      </c>
      <c r="R345">
        <f t="shared" si="971"/>
        <v>386239670.4217087</v>
      </c>
      <c r="S345">
        <f t="shared" si="972"/>
        <v>3862.3967042170871</v>
      </c>
      <c r="T345">
        <f t="shared" si="973"/>
        <v>3.8623967042170873</v>
      </c>
    </row>
    <row r="346" spans="1:20" x14ac:dyDescent="0.25">
      <c r="A346" s="5">
        <v>44247</v>
      </c>
      <c r="B346">
        <v>2.6309999999999998</v>
      </c>
      <c r="C346">
        <v>3.2690000000000001</v>
      </c>
      <c r="D346">
        <v>2.5640000000000001</v>
      </c>
      <c r="E346">
        <v>2.8879999999999999</v>
      </c>
      <c r="F346">
        <v>34224966.016000003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-8.0851063829787767E-2</v>
      </c>
      <c r="Q346">
        <f t="shared" si="970"/>
        <v>-2767124.9119319334</v>
      </c>
      <c r="R346">
        <f t="shared" si="971"/>
        <v>391083139.12685049</v>
      </c>
      <c r="S346">
        <f t="shared" si="972"/>
        <v>3910.8313912685048</v>
      </c>
      <c r="T346">
        <f t="shared" si="973"/>
        <v>3.9108313912685047</v>
      </c>
    </row>
    <row r="347" spans="1:20" x14ac:dyDescent="0.25">
      <c r="A347" s="5">
        <v>44246</v>
      </c>
      <c r="B347">
        <v>2.8090000000000002</v>
      </c>
      <c r="C347">
        <v>2.875</v>
      </c>
      <c r="D347">
        <v>2.5609999999999999</v>
      </c>
      <c r="E347">
        <v>2.63</v>
      </c>
      <c r="F347">
        <v>14706462.729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-0.56050955414012782</v>
      </c>
      <c r="Q347">
        <f t="shared" si="970"/>
        <v>-8243112.8672101973</v>
      </c>
      <c r="R347">
        <f t="shared" si="971"/>
        <v>393850264.03878242</v>
      </c>
      <c r="S347">
        <f t="shared" si="972"/>
        <v>3938.5026403878242</v>
      </c>
      <c r="T347">
        <f t="shared" si="973"/>
        <v>3.9385026403878243</v>
      </c>
    </row>
    <row r="348" spans="1:20" x14ac:dyDescent="0.25">
      <c r="A348" s="5">
        <v>44245</v>
      </c>
      <c r="B348">
        <v>2.7869999999999999</v>
      </c>
      <c r="C348">
        <v>3.0259999999999998</v>
      </c>
      <c r="D348">
        <v>2.718</v>
      </c>
      <c r="E348">
        <v>2.8109999999999999</v>
      </c>
      <c r="F348">
        <v>14049986.502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-0.39610389610389596</v>
      </c>
      <c r="Q348">
        <f t="shared" si="970"/>
        <v>-5565254.393649349</v>
      </c>
      <c r="R348">
        <f t="shared" si="971"/>
        <v>402093376.90599263</v>
      </c>
      <c r="S348">
        <f t="shared" si="972"/>
        <v>4020.9337690599264</v>
      </c>
      <c r="T348">
        <f t="shared" si="973"/>
        <v>4.0209337690599263</v>
      </c>
    </row>
    <row r="349" spans="1:20" x14ac:dyDescent="0.25">
      <c r="A349" s="5">
        <v>44244</v>
      </c>
      <c r="B349">
        <v>2.673</v>
      </c>
      <c r="C349">
        <v>2.88</v>
      </c>
      <c r="D349">
        <v>2.4870000000000001</v>
      </c>
      <c r="E349">
        <v>2.786</v>
      </c>
      <c r="F349">
        <v>14847197.107000001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0.52162849872773587</v>
      </c>
      <c r="Q349">
        <f t="shared" si="970"/>
        <v>7744721.1372391935</v>
      </c>
      <c r="R349">
        <f t="shared" si="971"/>
        <v>407658631.29964197</v>
      </c>
      <c r="S349">
        <f t="shared" si="972"/>
        <v>4076.5863129964196</v>
      </c>
      <c r="T349">
        <f t="shared" si="973"/>
        <v>4.0765863129964197</v>
      </c>
    </row>
    <row r="350" spans="1:20" x14ac:dyDescent="0.25">
      <c r="A350" s="5">
        <v>44243</v>
      </c>
      <c r="B350">
        <v>2.7189999999999999</v>
      </c>
      <c r="C350">
        <v>2.863</v>
      </c>
      <c r="D350">
        <v>2.5379999999999998</v>
      </c>
      <c r="E350">
        <v>2.6739999999999999</v>
      </c>
      <c r="F350">
        <v>16177087.472999999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-0.16307692307692279</v>
      </c>
      <c r="Q350">
        <f t="shared" si="970"/>
        <v>-2638109.6494430723</v>
      </c>
      <c r="R350">
        <f t="shared" si="971"/>
        <v>399913910.16240275</v>
      </c>
      <c r="S350">
        <f t="shared" si="972"/>
        <v>3999.1391016240277</v>
      </c>
      <c r="T350">
        <f t="shared" si="973"/>
        <v>3.9991391016240279</v>
      </c>
    </row>
    <row r="351" spans="1:20" x14ac:dyDescent="0.25">
      <c r="A351" s="5">
        <v>44242</v>
      </c>
      <c r="B351">
        <v>2.9550000000000001</v>
      </c>
      <c r="C351">
        <v>3.0190000000000001</v>
      </c>
      <c r="D351">
        <v>2.08</v>
      </c>
      <c r="E351">
        <v>2.7170000000000001</v>
      </c>
      <c r="F351">
        <v>29321897.796999998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0.35676251331203401</v>
      </c>
      <c r="Q351">
        <f t="shared" si="970"/>
        <v>10460953.953136312</v>
      </c>
      <c r="R351">
        <f t="shared" si="971"/>
        <v>402552019.81184584</v>
      </c>
      <c r="S351">
        <f t="shared" si="972"/>
        <v>4025.5201981184582</v>
      </c>
      <c r="T351">
        <f t="shared" si="973"/>
        <v>4.0255201981184578</v>
      </c>
    </row>
    <row r="352" spans="1:20" x14ac:dyDescent="0.25">
      <c r="A352" s="5">
        <v>44241</v>
      </c>
      <c r="B352">
        <v>3.29</v>
      </c>
      <c r="C352">
        <v>3.407</v>
      </c>
      <c r="D352">
        <v>2.9279999999999999</v>
      </c>
      <c r="E352">
        <v>2.9550000000000001</v>
      </c>
      <c r="F352">
        <v>14147907.721000001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-0.88726513569937315</v>
      </c>
      <c r="Q352">
        <f t="shared" si="970"/>
        <v>-12552945.263935275</v>
      </c>
      <c r="R352">
        <f t="shared" si="971"/>
        <v>392091065.85870951</v>
      </c>
      <c r="S352">
        <f t="shared" si="972"/>
        <v>3920.910658587095</v>
      </c>
      <c r="T352">
        <f t="shared" si="973"/>
        <v>3.9209106585870952</v>
      </c>
    </row>
    <row r="353" spans="1:20" x14ac:dyDescent="0.25">
      <c r="A353" s="5">
        <v>44240</v>
      </c>
      <c r="B353">
        <v>3.3879999999999999</v>
      </c>
      <c r="C353">
        <v>3.52</v>
      </c>
      <c r="D353">
        <v>3.125</v>
      </c>
      <c r="E353">
        <v>3.2890000000000001</v>
      </c>
      <c r="F353">
        <v>18235541.342999998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-0.16962025316455626</v>
      </c>
      <c r="Q353">
        <f t="shared" si="970"/>
        <v>-3093117.1391923921</v>
      </c>
      <c r="R353">
        <f t="shared" si="971"/>
        <v>404644011.12264478</v>
      </c>
      <c r="S353">
        <f t="shared" si="972"/>
        <v>4046.4401112264477</v>
      </c>
      <c r="T353">
        <f t="shared" si="973"/>
        <v>4.0464401112264481</v>
      </c>
    </row>
    <row r="354" spans="1:20" x14ac:dyDescent="0.25">
      <c r="A354" s="5">
        <v>44239</v>
      </c>
      <c r="B354">
        <v>3.5590000000000002</v>
      </c>
      <c r="C354">
        <v>3.6179999999999999</v>
      </c>
      <c r="D354">
        <v>3.2109999999999999</v>
      </c>
      <c r="E354">
        <v>3.387</v>
      </c>
      <c r="F354">
        <v>17618497.107000001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-0.13513513513513442</v>
      </c>
      <c r="Q354">
        <f t="shared" si="970"/>
        <v>-2380877.9874324198</v>
      </c>
      <c r="R354">
        <f t="shared" si="971"/>
        <v>407737128.26183718</v>
      </c>
      <c r="S354">
        <f t="shared" si="972"/>
        <v>4077.3712826183719</v>
      </c>
      <c r="T354">
        <f t="shared" si="973"/>
        <v>4.0773712826183717</v>
      </c>
    </row>
    <row r="355" spans="1:20" x14ac:dyDescent="0.25">
      <c r="A355" s="5">
        <v>44238</v>
      </c>
      <c r="B355">
        <v>3.09</v>
      </c>
      <c r="C355">
        <v>3.57</v>
      </c>
      <c r="D355">
        <v>3</v>
      </c>
      <c r="E355">
        <v>3.5619999999999998</v>
      </c>
      <c r="F355">
        <v>18798800.193999998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0.97192982456140342</v>
      </c>
      <c r="Q355">
        <f t="shared" si="970"/>
        <v>18271114.574519295</v>
      </c>
      <c r="R355">
        <f t="shared" si="971"/>
        <v>410118006.2492696</v>
      </c>
      <c r="S355">
        <f t="shared" si="972"/>
        <v>4101.1800624926964</v>
      </c>
      <c r="T355">
        <f t="shared" si="973"/>
        <v>4.1011800624926966</v>
      </c>
    </row>
    <row r="356" spans="1:20" x14ac:dyDescent="0.25">
      <c r="A356" s="5">
        <v>44237</v>
      </c>
      <c r="B356">
        <v>3.1749999999999998</v>
      </c>
      <c r="C356">
        <v>3.3849999999999998</v>
      </c>
      <c r="D356">
        <v>2.8519999999999999</v>
      </c>
      <c r="E356">
        <v>3.0870000000000002</v>
      </c>
      <c r="F356">
        <v>21519436.050000001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-0.11819887429643394</v>
      </c>
      <c r="Q356">
        <f t="shared" si="970"/>
        <v>-2543573.1166040991</v>
      </c>
      <c r="R356">
        <f t="shared" si="971"/>
        <v>391846891.67475033</v>
      </c>
      <c r="S356">
        <f t="shared" si="972"/>
        <v>3918.4689167475035</v>
      </c>
      <c r="T356">
        <f t="shared" si="973"/>
        <v>3.9184689167475035</v>
      </c>
    </row>
    <row r="357" spans="1:20" x14ac:dyDescent="0.25">
      <c r="A357" s="5">
        <v>44236</v>
      </c>
      <c r="B357">
        <v>3.0619999999999998</v>
      </c>
      <c r="C357">
        <v>3.286</v>
      </c>
      <c r="D357">
        <v>2.9380000000000002</v>
      </c>
      <c r="E357">
        <v>3.1749999999999998</v>
      </c>
      <c r="F357">
        <v>18626001.723999999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0.36206896551723994</v>
      </c>
      <c r="Q357">
        <f t="shared" si="970"/>
        <v>6743897.1759310076</v>
      </c>
      <c r="R357">
        <f t="shared" si="971"/>
        <v>394390464.79135442</v>
      </c>
      <c r="S357">
        <f t="shared" si="972"/>
        <v>3943.9046479135441</v>
      </c>
      <c r="T357">
        <f t="shared" si="973"/>
        <v>3.943904647913544</v>
      </c>
    </row>
    <row r="358" spans="1:20" x14ac:dyDescent="0.25">
      <c r="A358" s="5">
        <v>44235</v>
      </c>
      <c r="B358">
        <v>2.98</v>
      </c>
      <c r="C358">
        <v>3.2389999999999999</v>
      </c>
      <c r="D358">
        <v>2.8490000000000002</v>
      </c>
      <c r="E358">
        <v>3.06</v>
      </c>
      <c r="F358">
        <v>16674288.066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8.205128205128219E-2</v>
      </c>
      <c r="Q358">
        <f t="shared" si="970"/>
        <v>1368146.7131076946</v>
      </c>
      <c r="R358">
        <f t="shared" si="971"/>
        <v>387646567.61542338</v>
      </c>
      <c r="S358">
        <f t="shared" si="972"/>
        <v>3876.4656761542337</v>
      </c>
      <c r="T358">
        <f t="shared" si="973"/>
        <v>3.8764656761542335</v>
      </c>
    </row>
    <row r="359" spans="1:20" x14ac:dyDescent="0.25">
      <c r="A359" s="5">
        <v>44234</v>
      </c>
      <c r="B359">
        <v>3.1459999999999999</v>
      </c>
      <c r="C359">
        <v>3.1949999999999998</v>
      </c>
      <c r="D359">
        <v>2.65</v>
      </c>
      <c r="E359">
        <v>2.9809999999999999</v>
      </c>
      <c r="F359">
        <v>20339859.271000002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0.21467889908256882</v>
      </c>
      <c r="Q359">
        <f t="shared" si="970"/>
        <v>4366538.5957926614</v>
      </c>
      <c r="R359">
        <f t="shared" si="971"/>
        <v>386278420.90231568</v>
      </c>
      <c r="S359">
        <f t="shared" si="972"/>
        <v>3862.7842090231566</v>
      </c>
      <c r="T359">
        <f t="shared" si="973"/>
        <v>3.8627842090231566</v>
      </c>
    </row>
    <row r="360" spans="1:20" x14ac:dyDescent="0.25">
      <c r="A360" s="5">
        <v>44233</v>
      </c>
      <c r="B360">
        <v>3.2629999999999999</v>
      </c>
      <c r="C360">
        <v>3.6659999999999999</v>
      </c>
      <c r="D360">
        <v>3</v>
      </c>
      <c r="E360">
        <v>3.15</v>
      </c>
      <c r="F360">
        <v>28137799.686000001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-0.54954954954954982</v>
      </c>
      <c r="Q360">
        <f t="shared" si="970"/>
        <v>-15463115.142756764</v>
      </c>
      <c r="R360">
        <f t="shared" si="971"/>
        <v>381911882.30652303</v>
      </c>
      <c r="S360">
        <f t="shared" si="972"/>
        <v>3819.1188230652301</v>
      </c>
      <c r="T360">
        <f t="shared" si="973"/>
        <v>3.8191188230652302</v>
      </c>
    </row>
    <row r="361" spans="1:20" x14ac:dyDescent="0.25">
      <c r="A361" s="5">
        <v>44232</v>
      </c>
      <c r="B361">
        <v>3.0270000000000001</v>
      </c>
      <c r="C361">
        <v>3.3690000000000002</v>
      </c>
      <c r="D361">
        <v>3.02</v>
      </c>
      <c r="E361">
        <v>3.2629999999999999</v>
      </c>
      <c r="F361">
        <v>23158239.351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0.39255014326647419</v>
      </c>
      <c r="Q361">
        <f t="shared" si="970"/>
        <v>9090770.1750343498</v>
      </c>
      <c r="R361">
        <f t="shared" si="971"/>
        <v>397374997.44927979</v>
      </c>
      <c r="S361">
        <f t="shared" si="972"/>
        <v>3973.7499744927977</v>
      </c>
      <c r="T361">
        <f t="shared" si="973"/>
        <v>3.9737499744927978</v>
      </c>
    </row>
    <row r="362" spans="1:20" x14ac:dyDescent="0.25">
      <c r="A362" s="5">
        <v>44231</v>
      </c>
      <c r="B362">
        <v>2.637</v>
      </c>
      <c r="C362">
        <v>3.2050000000000001</v>
      </c>
      <c r="D362">
        <v>2.5459999999999998</v>
      </c>
      <c r="E362">
        <v>3.0259999999999998</v>
      </c>
      <c r="F362">
        <v>42086391.306000002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0.45675265553869437</v>
      </c>
      <c r="Q362">
        <f t="shared" si="970"/>
        <v>19223070.991056122</v>
      </c>
      <c r="R362">
        <f t="shared" si="971"/>
        <v>388284227.27424544</v>
      </c>
      <c r="S362">
        <f t="shared" si="972"/>
        <v>3882.8422727424545</v>
      </c>
      <c r="T362">
        <f t="shared" si="973"/>
        <v>3.8828422727424545</v>
      </c>
    </row>
    <row r="363" spans="1:20" x14ac:dyDescent="0.25">
      <c r="A363" s="5">
        <v>44230</v>
      </c>
      <c r="B363">
        <v>2.5</v>
      </c>
      <c r="C363">
        <v>2.7040000000000002</v>
      </c>
      <c r="D363">
        <v>2.4</v>
      </c>
      <c r="E363">
        <v>2.637</v>
      </c>
      <c r="F363">
        <v>22469245.519000001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0.55921052631578871</v>
      </c>
      <c r="Q363">
        <f t="shared" si="970"/>
        <v>12565038.612598667</v>
      </c>
      <c r="R363">
        <f t="shared" si="971"/>
        <v>369061156.2831893</v>
      </c>
      <c r="S363">
        <f t="shared" si="972"/>
        <v>3690.611562831893</v>
      </c>
      <c r="T363">
        <f t="shared" si="973"/>
        <v>3.6906115628318932</v>
      </c>
    </row>
    <row r="364" spans="1:20" x14ac:dyDescent="0.25">
      <c r="A364" s="5">
        <v>44229</v>
      </c>
      <c r="B364">
        <v>2.5390000000000001</v>
      </c>
      <c r="C364">
        <v>2.7559999999999998</v>
      </c>
      <c r="D364">
        <v>2.42</v>
      </c>
      <c r="E364">
        <v>2.5</v>
      </c>
      <c r="F364">
        <v>21751429.721000001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-0.52380952380952317</v>
      </c>
      <c r="Q364">
        <f t="shared" si="970"/>
        <v>-11393606.04433332</v>
      </c>
      <c r="R364">
        <f t="shared" si="971"/>
        <v>356496117.67059064</v>
      </c>
      <c r="S364">
        <f t="shared" si="972"/>
        <v>3564.9611767059064</v>
      </c>
      <c r="T364">
        <f t="shared" si="973"/>
        <v>3.5649611767059062</v>
      </c>
    </row>
    <row r="365" spans="1:20" x14ac:dyDescent="0.25">
      <c r="A365" s="5">
        <v>44228</v>
      </c>
      <c r="B365">
        <v>2.5139999999999998</v>
      </c>
      <c r="C365">
        <v>2.69</v>
      </c>
      <c r="D365">
        <v>2.2999999999999998</v>
      </c>
      <c r="E365">
        <v>2.54</v>
      </c>
      <c r="F365">
        <v>28503115.824000001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0.23076923076923148</v>
      </c>
      <c r="Q365">
        <f t="shared" si="970"/>
        <v>6577642.11323079</v>
      </c>
      <c r="R365">
        <f t="shared" si="971"/>
        <v>367889723.71492398</v>
      </c>
      <c r="S365">
        <f t="shared" si="972"/>
        <v>3678.8972371492396</v>
      </c>
      <c r="T365">
        <f t="shared" si="973"/>
        <v>3.6788972371492394</v>
      </c>
    </row>
    <row r="366" spans="1:20" x14ac:dyDescent="0.25">
      <c r="A366" s="5">
        <v>44227</v>
      </c>
      <c r="B366">
        <v>2.548</v>
      </c>
      <c r="C366">
        <v>2.8490000000000002</v>
      </c>
      <c r="D366">
        <v>2.282</v>
      </c>
      <c r="E366">
        <v>2.5110000000000001</v>
      </c>
      <c r="F366">
        <v>44454572.721000001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-0.19223985890652548</v>
      </c>
      <c r="Q366">
        <f t="shared" si="970"/>
        <v>-8545940.7876349166</v>
      </c>
      <c r="R366">
        <f t="shared" si="971"/>
        <v>361312081.60169321</v>
      </c>
      <c r="S366">
        <f t="shared" si="972"/>
        <v>3613.1208160169322</v>
      </c>
      <c r="T366">
        <f t="shared" si="973"/>
        <v>3.6131208160169321</v>
      </c>
    </row>
    <row r="367" spans="1:20" x14ac:dyDescent="0.25">
      <c r="A367" s="5">
        <v>44226</v>
      </c>
      <c r="B367">
        <v>2.0459999999999998</v>
      </c>
      <c r="C367">
        <v>2.6720000000000002</v>
      </c>
      <c r="D367">
        <v>1.885</v>
      </c>
      <c r="E367">
        <v>2.548</v>
      </c>
      <c r="F367">
        <v>47844965.908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0.68487928843710266</v>
      </c>
      <c r="Q367">
        <f t="shared" si="970"/>
        <v>32768026.206368476</v>
      </c>
      <c r="R367">
        <f t="shared" si="971"/>
        <v>369858022.38932812</v>
      </c>
      <c r="S367">
        <f t="shared" si="972"/>
        <v>3698.5802238932811</v>
      </c>
      <c r="T367">
        <f t="shared" si="973"/>
        <v>3.698580223893281</v>
      </c>
    </row>
    <row r="368" spans="1:20" x14ac:dyDescent="0.25">
      <c r="A368" s="5">
        <v>44225</v>
      </c>
      <c r="B368">
        <v>2.08</v>
      </c>
      <c r="C368">
        <v>2.1309999999999998</v>
      </c>
      <c r="D368">
        <v>1.8560000000000001</v>
      </c>
      <c r="E368">
        <v>2.0459999999999998</v>
      </c>
      <c r="F368">
        <v>32202216.5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0.38181818181818139</v>
      </c>
      <c r="Q368">
        <f t="shared" si="970"/>
        <v>12295391.754545441</v>
      </c>
      <c r="R368">
        <f t="shared" si="971"/>
        <v>337089996.18295968</v>
      </c>
      <c r="S368">
        <f t="shared" si="972"/>
        <v>3370.8999618295966</v>
      </c>
      <c r="T368">
        <f t="shared" si="973"/>
        <v>3.3708999618295965</v>
      </c>
    </row>
    <row r="369" spans="1:20" x14ac:dyDescent="0.25">
      <c r="A369" s="5">
        <v>44224</v>
      </c>
      <c r="B369">
        <v>1.8149999999999999</v>
      </c>
      <c r="C369">
        <v>2.202</v>
      </c>
      <c r="D369">
        <v>1.75</v>
      </c>
      <c r="E369">
        <v>2.08</v>
      </c>
      <c r="F369">
        <v>37953063.859999999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0.46017699115044292</v>
      </c>
      <c r="Q369">
        <f t="shared" si="970"/>
        <v>17465126.732035413</v>
      </c>
      <c r="R369">
        <f t="shared" si="971"/>
        <v>324794604.42841423</v>
      </c>
      <c r="S369">
        <f t="shared" si="972"/>
        <v>3247.9460442841423</v>
      </c>
      <c r="T369">
        <f t="shared" si="973"/>
        <v>3.2479460442841424</v>
      </c>
    </row>
    <row r="370" spans="1:20" x14ac:dyDescent="0.25">
      <c r="A370" s="5">
        <v>44223</v>
      </c>
      <c r="B370">
        <v>2.1459999999999999</v>
      </c>
      <c r="C370">
        <v>2.1480000000000001</v>
      </c>
      <c r="D370">
        <v>1.736</v>
      </c>
      <c r="E370">
        <v>1.8140000000000001</v>
      </c>
      <c r="F370">
        <v>37670473.935000002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-0.62135922330097071</v>
      </c>
      <c r="Q370">
        <f t="shared" si="970"/>
        <v>-23406896.425631065</v>
      </c>
      <c r="R370">
        <f t="shared" si="971"/>
        <v>307329477.69637883</v>
      </c>
      <c r="S370">
        <f t="shared" si="972"/>
        <v>3073.2947769637881</v>
      </c>
      <c r="T370">
        <f t="shared" si="973"/>
        <v>3.0732947769637882</v>
      </c>
    </row>
    <row r="371" spans="1:20" x14ac:dyDescent="0.25">
      <c r="A371" s="5">
        <v>44222</v>
      </c>
      <c r="B371">
        <v>2.0059999999999998</v>
      </c>
      <c r="C371">
        <v>2.2400000000000002</v>
      </c>
      <c r="D371">
        <v>1.82</v>
      </c>
      <c r="E371">
        <v>2.1459999999999999</v>
      </c>
      <c r="F371">
        <v>43365364.475000001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0.55238095238095108</v>
      </c>
      <c r="Q371">
        <f t="shared" si="970"/>
        <v>23954201.329047564</v>
      </c>
      <c r="R371">
        <f t="shared" si="971"/>
        <v>330736374.12200987</v>
      </c>
      <c r="S371">
        <f t="shared" si="972"/>
        <v>3307.3637412200987</v>
      </c>
      <c r="T371">
        <f t="shared" si="973"/>
        <v>3.3073637412200987</v>
      </c>
    </row>
    <row r="372" spans="1:20" x14ac:dyDescent="0.25">
      <c r="A372" s="5">
        <v>44221</v>
      </c>
      <c r="B372">
        <v>2.2599999999999998</v>
      </c>
      <c r="C372">
        <v>2.3109999999999999</v>
      </c>
      <c r="D372">
        <v>1.9670000000000001</v>
      </c>
      <c r="E372">
        <v>2.0049999999999999</v>
      </c>
      <c r="F372">
        <v>33849144.973999999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-0.77906976744186152</v>
      </c>
      <c r="Q372">
        <f t="shared" si="970"/>
        <v>-26370845.503000036</v>
      </c>
      <c r="R372">
        <f t="shared" si="971"/>
        <v>306782172.79296231</v>
      </c>
      <c r="S372">
        <f t="shared" si="972"/>
        <v>3067.8217279296232</v>
      </c>
      <c r="T372">
        <f t="shared" si="973"/>
        <v>3.0678217279296232</v>
      </c>
    </row>
    <row r="373" spans="1:20" x14ac:dyDescent="0.25">
      <c r="A373" s="5">
        <v>44220</v>
      </c>
      <c r="B373">
        <v>2.1389999999999998</v>
      </c>
      <c r="C373">
        <v>2.35</v>
      </c>
      <c r="D373">
        <v>2.036</v>
      </c>
      <c r="E373">
        <v>2.2599999999999998</v>
      </c>
      <c r="F373">
        <v>44806191.009999998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0.42675159235668608</v>
      </c>
      <c r="Q373">
        <f t="shared" si="970"/>
        <v>19121113.360955331</v>
      </c>
      <c r="R373">
        <f t="shared" si="971"/>
        <v>333153018.29596233</v>
      </c>
      <c r="S373">
        <f t="shared" si="972"/>
        <v>3331.5301829596233</v>
      </c>
      <c r="T373">
        <f t="shared" si="973"/>
        <v>3.3315301829596233</v>
      </c>
    </row>
    <row r="374" spans="1:20" x14ac:dyDescent="0.25">
      <c r="A374" s="5">
        <v>44219</v>
      </c>
      <c r="B374">
        <v>1.9650000000000001</v>
      </c>
      <c r="C374">
        <v>2.2999999999999998</v>
      </c>
      <c r="D374">
        <v>1.911</v>
      </c>
      <c r="E374">
        <v>2.14</v>
      </c>
      <c r="F374">
        <v>53238757.336000003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0.17737789203084944</v>
      </c>
      <c r="Q374">
        <f t="shared" si="970"/>
        <v>9443378.5506016016</v>
      </c>
      <c r="R374">
        <f t="shared" si="971"/>
        <v>314031904.93500698</v>
      </c>
      <c r="S374">
        <f t="shared" si="972"/>
        <v>3140.3190493500697</v>
      </c>
      <c r="T374">
        <f t="shared" si="973"/>
        <v>3.1403190493500697</v>
      </c>
    </row>
    <row r="375" spans="1:20" x14ac:dyDescent="0.25">
      <c r="A375" s="5">
        <v>44218</v>
      </c>
      <c r="B375">
        <v>1.679</v>
      </c>
      <c r="C375">
        <v>2.13</v>
      </c>
      <c r="D375">
        <v>1.415</v>
      </c>
      <c r="E375">
        <v>1.9630000000000001</v>
      </c>
      <c r="F375">
        <v>82197577.261000007</v>
      </c>
      <c r="G375">
        <v>0</v>
      </c>
      <c r="L375" t="s">
        <v>8</v>
      </c>
      <c r="M375" t="s">
        <v>8</v>
      </c>
      <c r="N375" t="s">
        <v>8</v>
      </c>
      <c r="P375">
        <f t="shared" si="969"/>
        <v>0.53286713286713328</v>
      </c>
      <c r="Q375">
        <f t="shared" si="970"/>
        <v>43800387.323693745</v>
      </c>
      <c r="R375">
        <f t="shared" si="971"/>
        <v>304588526.38440537</v>
      </c>
      <c r="S375">
        <f t="shared" si="972"/>
        <v>3045.885263844054</v>
      </c>
      <c r="T375">
        <f t="shared" si="973"/>
        <v>3.0458852638440539</v>
      </c>
    </row>
    <row r="376" spans="1:20" x14ac:dyDescent="0.25">
      <c r="A376" s="5">
        <v>44217</v>
      </c>
      <c r="B376">
        <v>1.6279999999999999</v>
      </c>
      <c r="C376">
        <v>1.93</v>
      </c>
      <c r="D376">
        <v>1.45</v>
      </c>
      <c r="E376">
        <v>1.681</v>
      </c>
      <c r="F376">
        <v>89243110.493000001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-3.7499999999999575E-2</v>
      </c>
      <c r="Q376">
        <f t="shared" si="970"/>
        <v>-3346616.6434874623</v>
      </c>
      <c r="R376">
        <f t="shared" si="971"/>
        <v>260788139.06071162</v>
      </c>
      <c r="S376">
        <f t="shared" si="972"/>
        <v>2607.8813906071164</v>
      </c>
      <c r="T376">
        <f t="shared" si="973"/>
        <v>2.6078813906071163</v>
      </c>
    </row>
    <row r="377" spans="1:20" x14ac:dyDescent="0.25">
      <c r="A377" s="5">
        <v>44216</v>
      </c>
      <c r="B377">
        <v>1.33</v>
      </c>
      <c r="C377">
        <v>1.649</v>
      </c>
      <c r="D377">
        <v>1.2569999999999999</v>
      </c>
      <c r="E377">
        <v>1.629</v>
      </c>
      <c r="F377">
        <v>75430620.739999995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0.89795918367346927</v>
      </c>
      <c r="Q377">
        <f t="shared" si="970"/>
        <v>67733618.623673454</v>
      </c>
      <c r="R377">
        <f t="shared" si="971"/>
        <v>264134755.70419908</v>
      </c>
      <c r="S377">
        <f t="shared" si="972"/>
        <v>2641.347557041991</v>
      </c>
      <c r="T377">
        <f t="shared" si="973"/>
        <v>2.6413475570419909</v>
      </c>
    </row>
    <row r="378" spans="1:20" x14ac:dyDescent="0.25">
      <c r="A378" s="5">
        <v>44215</v>
      </c>
      <c r="B378">
        <v>1.605</v>
      </c>
      <c r="C378">
        <v>1.6639999999999999</v>
      </c>
      <c r="D378">
        <v>1.3109999999999999</v>
      </c>
      <c r="E378">
        <v>1.331</v>
      </c>
      <c r="F378">
        <v>37056842.986000001</v>
      </c>
      <c r="G378">
        <v>0</v>
      </c>
      <c r="L378" t="s">
        <v>7</v>
      </c>
      <c r="M378" t="s">
        <v>7</v>
      </c>
      <c r="N378" t="s">
        <v>7</v>
      </c>
      <c r="P378">
        <f t="shared" si="969"/>
        <v>-0.8866855524079319</v>
      </c>
      <c r="Q378">
        <f t="shared" si="970"/>
        <v>-32857767.293535408</v>
      </c>
      <c r="R378">
        <f t="shared" si="971"/>
        <v>196401137.08052561</v>
      </c>
      <c r="S378">
        <f t="shared" si="972"/>
        <v>1964.0113708052561</v>
      </c>
      <c r="T378">
        <f t="shared" si="973"/>
        <v>1.964011370805256</v>
      </c>
    </row>
    <row r="379" spans="1:20" x14ac:dyDescent="0.25">
      <c r="A379" s="5">
        <v>44214</v>
      </c>
      <c r="B379">
        <v>1.69</v>
      </c>
      <c r="C379">
        <v>1.7829999999999999</v>
      </c>
      <c r="D379">
        <v>1.385</v>
      </c>
      <c r="E379">
        <v>1.605</v>
      </c>
      <c r="F379">
        <v>49615890.708999999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0.1055276381909549</v>
      </c>
      <c r="Q379">
        <f t="shared" si="970"/>
        <v>5235847.7632613126</v>
      </c>
      <c r="R379">
        <f t="shared" si="971"/>
        <v>229258904.37406102</v>
      </c>
      <c r="S379">
        <f t="shared" si="972"/>
        <v>2292.5890437406101</v>
      </c>
      <c r="T379">
        <f t="shared" si="973"/>
        <v>2.2925890437406102</v>
      </c>
    </row>
    <row r="380" spans="1:20" x14ac:dyDescent="0.25">
      <c r="A380" s="5">
        <v>44213</v>
      </c>
      <c r="B380">
        <v>1.1080000000000001</v>
      </c>
      <c r="C380">
        <v>1.79</v>
      </c>
      <c r="D380">
        <v>1.0529999999999999</v>
      </c>
      <c r="E380">
        <v>1.6910000000000001</v>
      </c>
      <c r="F380">
        <v>103861010.145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0.73134328358208966</v>
      </c>
      <c r="Q380">
        <f t="shared" si="970"/>
        <v>75958052.195597023</v>
      </c>
      <c r="R380">
        <f t="shared" si="971"/>
        <v>224023056.6107997</v>
      </c>
      <c r="S380">
        <f t="shared" si="972"/>
        <v>2240.2305661079972</v>
      </c>
      <c r="T380">
        <f t="shared" si="973"/>
        <v>2.2402305661079973</v>
      </c>
    </row>
    <row r="381" spans="1:20" x14ac:dyDescent="0.25">
      <c r="A381" s="5">
        <v>44212</v>
      </c>
      <c r="B381">
        <v>1.147</v>
      </c>
      <c r="C381">
        <v>1.2669999999999999</v>
      </c>
      <c r="D381">
        <v>1.0329999999999999</v>
      </c>
      <c r="E381">
        <v>1.1080000000000001</v>
      </c>
      <c r="F381">
        <v>63947616.714000002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-0.35897435897435742</v>
      </c>
      <c r="Q381">
        <f t="shared" si="970"/>
        <v>-22955554.717846055</v>
      </c>
      <c r="R381">
        <f t="shared" si="971"/>
        <v>148065004.41520268</v>
      </c>
      <c r="S381">
        <f t="shared" si="972"/>
        <v>1480.6500441520268</v>
      </c>
      <c r="T381">
        <f t="shared" si="973"/>
        <v>1.4806500441520267</v>
      </c>
    </row>
    <row r="382" spans="1:20" x14ac:dyDescent="0.25">
      <c r="A382" s="5">
        <v>44211</v>
      </c>
      <c r="B382">
        <v>0.79800000000000004</v>
      </c>
      <c r="C382">
        <v>1.198</v>
      </c>
      <c r="D382">
        <v>0.78600000000000003</v>
      </c>
      <c r="E382">
        <v>1.149</v>
      </c>
      <c r="F382">
        <v>131957441.211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0.76213592233009742</v>
      </c>
      <c r="Q382">
        <f t="shared" si="970"/>
        <v>100569506.16566509</v>
      </c>
      <c r="R382">
        <f t="shared" si="971"/>
        <v>171020559.13304874</v>
      </c>
      <c r="S382">
        <f t="shared" si="972"/>
        <v>1710.2055913304873</v>
      </c>
      <c r="T382">
        <f t="shared" si="973"/>
        <v>1.7102055913304872</v>
      </c>
    </row>
    <row r="383" spans="1:20" x14ac:dyDescent="0.25">
      <c r="A383" s="5">
        <v>44210</v>
      </c>
      <c r="B383">
        <v>0.68600000000000005</v>
      </c>
      <c r="C383">
        <v>0.8</v>
      </c>
      <c r="D383">
        <v>0.66200000000000003</v>
      </c>
      <c r="E383">
        <v>0.79600000000000004</v>
      </c>
      <c r="F383">
        <v>23298031.351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0.94202898550724634</v>
      </c>
      <c r="Q383">
        <f t="shared" si="970"/>
        <v>21947420.837898549</v>
      </c>
      <c r="R383">
        <f t="shared" si="971"/>
        <v>70451052.967383653</v>
      </c>
      <c r="S383">
        <f t="shared" si="972"/>
        <v>704.51052967383657</v>
      </c>
      <c r="T383">
        <f t="shared" si="973"/>
        <v>0.70451052967383654</v>
      </c>
    </row>
    <row r="384" spans="1:20" x14ac:dyDescent="0.25">
      <c r="A384" s="5">
        <v>44209</v>
      </c>
      <c r="B384">
        <v>0.624</v>
      </c>
      <c r="C384">
        <v>0.69299999999999995</v>
      </c>
      <c r="D384">
        <v>0.60299999999999998</v>
      </c>
      <c r="E384">
        <v>0.68700000000000006</v>
      </c>
      <c r="F384">
        <v>19267363.236000001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0.86666666666666892</v>
      </c>
      <c r="Q384">
        <f t="shared" si="970"/>
        <v>16698381.471200045</v>
      </c>
      <c r="R384">
        <f t="shared" si="971"/>
        <v>48503632.129485101</v>
      </c>
      <c r="S384">
        <f t="shared" si="972"/>
        <v>485.03632129485101</v>
      </c>
      <c r="T384">
        <f t="shared" si="973"/>
        <v>0.48503632129485102</v>
      </c>
    </row>
    <row r="385" spans="1:20" x14ac:dyDescent="0.25">
      <c r="A385" s="5">
        <v>44208</v>
      </c>
      <c r="B385">
        <v>0.623</v>
      </c>
      <c r="C385">
        <v>0.67300000000000004</v>
      </c>
      <c r="D385">
        <v>0.59</v>
      </c>
      <c r="E385">
        <v>0.624</v>
      </c>
      <c r="F385">
        <v>24712083.079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-0.18072289156626506</v>
      </c>
      <c r="Q385">
        <f t="shared" si="970"/>
        <v>-4466039.1106626503</v>
      </c>
      <c r="R385">
        <f t="shared" si="971"/>
        <v>31805250.658285055</v>
      </c>
      <c r="S385">
        <f t="shared" si="972"/>
        <v>318.05250658285053</v>
      </c>
      <c r="T385">
        <f t="shared" si="973"/>
        <v>0.3180525065828505</v>
      </c>
    </row>
    <row r="386" spans="1:20" x14ac:dyDescent="0.25">
      <c r="A386" s="5">
        <v>44207</v>
      </c>
      <c r="B386">
        <v>0.753</v>
      </c>
      <c r="C386">
        <v>0.75600000000000001</v>
      </c>
      <c r="D386">
        <v>0.53100000000000003</v>
      </c>
      <c r="E386">
        <v>0.622</v>
      </c>
      <c r="F386">
        <v>38360192.456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-0.19111111111111129</v>
      </c>
      <c r="Q386">
        <f t="shared" si="970"/>
        <v>-7331059.0027022287</v>
      </c>
      <c r="R386">
        <f t="shared" si="971"/>
        <v>36271289.768947706</v>
      </c>
      <c r="S386">
        <f t="shared" si="972"/>
        <v>362.71289768947707</v>
      </c>
      <c r="T386">
        <f t="shared" si="973"/>
        <v>0.36271289768947707</v>
      </c>
    </row>
    <row r="387" spans="1:20" x14ac:dyDescent="0.25">
      <c r="A387" s="5">
        <v>44206</v>
      </c>
      <c r="B387">
        <v>0.76700000000000002</v>
      </c>
      <c r="C387">
        <v>0.84199999999999997</v>
      </c>
      <c r="D387">
        <v>0.69799999999999995</v>
      </c>
      <c r="E387">
        <v>0.754</v>
      </c>
      <c r="F387">
        <v>35361578.818000004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-0.22222222222222163</v>
      </c>
      <c r="Q387">
        <f t="shared" si="970"/>
        <v>-7858128.6262222016</v>
      </c>
      <c r="R387">
        <f t="shared" si="971"/>
        <v>43602348.771649934</v>
      </c>
      <c r="S387">
        <f t="shared" si="972"/>
        <v>436.02348771649935</v>
      </c>
      <c r="T387">
        <f t="shared" si="973"/>
        <v>0.43602348771649935</v>
      </c>
    </row>
    <row r="388" spans="1:20" x14ac:dyDescent="0.25">
      <c r="A388" s="5">
        <v>44205</v>
      </c>
      <c r="B388">
        <v>0.69399999999999995</v>
      </c>
      <c r="C388">
        <v>0.8</v>
      </c>
      <c r="D388">
        <v>0.66800000000000004</v>
      </c>
      <c r="E388">
        <v>0.76700000000000002</v>
      </c>
      <c r="F388">
        <v>32447813.568999998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0.49999999999999956</v>
      </c>
      <c r="Q388">
        <f t="shared" si="970"/>
        <v>16223906.784499984</v>
      </c>
      <c r="R388">
        <f t="shared" si="971"/>
        <v>51460477.397872135</v>
      </c>
      <c r="S388">
        <f t="shared" si="972"/>
        <v>514.60477397872137</v>
      </c>
      <c r="T388">
        <f t="shared" si="973"/>
        <v>0.5146047739787214</v>
      </c>
    </row>
    <row r="389" spans="1:20" x14ac:dyDescent="0.25">
      <c r="A389" s="5">
        <v>44204</v>
      </c>
      <c r="B389">
        <v>0.71899999999999997</v>
      </c>
      <c r="C389">
        <v>0.73499999999999999</v>
      </c>
      <c r="D389">
        <v>0.62</v>
      </c>
      <c r="E389">
        <v>0.69399999999999995</v>
      </c>
      <c r="F389">
        <v>28668551.629000001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0.28695652173912972</v>
      </c>
      <c r="Q389">
        <f t="shared" si="970"/>
        <v>8226627.8587565012</v>
      </c>
      <c r="R389">
        <f t="shared" si="971"/>
        <v>35236570.613372147</v>
      </c>
      <c r="S389">
        <f t="shared" si="972"/>
        <v>352.36570613372146</v>
      </c>
      <c r="T389">
        <f t="shared" si="973"/>
        <v>0.35236570613372148</v>
      </c>
    </row>
    <row r="390" spans="1:20" x14ac:dyDescent="0.25">
      <c r="A390" s="5">
        <v>44203</v>
      </c>
      <c r="B390">
        <v>0.73199999999999998</v>
      </c>
      <c r="C390">
        <v>0.79</v>
      </c>
      <c r="D390">
        <v>0.68200000000000005</v>
      </c>
      <c r="E390">
        <v>0.71599999999999997</v>
      </c>
      <c r="F390">
        <v>27988502.221000001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-0.37037037037037179</v>
      </c>
      <c r="Q390">
        <f t="shared" ref="Q390:Q453" si="975">F390*P390</f>
        <v>-10366111.933703743</v>
      </c>
      <c r="R390">
        <f t="shared" ref="R390:R453" si="976">R391+Q390</f>
        <v>27009942.754615642</v>
      </c>
      <c r="S390">
        <f t="shared" ref="S390:S453" si="977">R390/100000</f>
        <v>270.09942754615645</v>
      </c>
      <c r="T390">
        <f t="shared" ref="T390:T453" si="978">S390/1000</f>
        <v>0.27009942754615646</v>
      </c>
    </row>
    <row r="391" spans="1:20" x14ac:dyDescent="0.25">
      <c r="A391" s="5">
        <v>44202</v>
      </c>
      <c r="B391">
        <v>0.68799999999999994</v>
      </c>
      <c r="C391">
        <v>0.78500000000000003</v>
      </c>
      <c r="D391">
        <v>0.67</v>
      </c>
      <c r="E391">
        <v>0.73099999999999998</v>
      </c>
      <c r="F391">
        <v>40839013.431999996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6.0869565217390398E-2</v>
      </c>
      <c r="Q391">
        <f t="shared" si="975"/>
        <v>2485852.9915130064</v>
      </c>
      <c r="R391">
        <f t="shared" si="976"/>
        <v>37376054.688319385</v>
      </c>
      <c r="S391">
        <f t="shared" si="977"/>
        <v>373.76054688319385</v>
      </c>
      <c r="T391">
        <f t="shared" si="978"/>
        <v>0.37376054688319388</v>
      </c>
    </row>
    <row r="392" spans="1:20" x14ac:dyDescent="0.25">
      <c r="A392" s="5">
        <v>44201</v>
      </c>
      <c r="B392">
        <v>0.67600000000000005</v>
      </c>
      <c r="C392">
        <v>0.72799999999999998</v>
      </c>
      <c r="D392">
        <v>0.623</v>
      </c>
      <c r="E392">
        <v>0.68799999999999994</v>
      </c>
      <c r="F392">
        <v>33393368.993999999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0.23809523809523728</v>
      </c>
      <c r="Q392">
        <f t="shared" si="975"/>
        <v>7950802.1414285442</v>
      </c>
      <c r="R392">
        <f t="shared" si="976"/>
        <v>34890201.696806379</v>
      </c>
      <c r="S392">
        <f t="shared" si="977"/>
        <v>348.90201696806378</v>
      </c>
      <c r="T392">
        <f t="shared" si="978"/>
        <v>0.34890201696806378</v>
      </c>
    </row>
    <row r="393" spans="1:20" x14ac:dyDescent="0.25">
      <c r="A393" s="5">
        <v>44200</v>
      </c>
      <c r="B393">
        <v>0.67800000000000005</v>
      </c>
      <c r="C393">
        <v>0.73299999999999998</v>
      </c>
      <c r="D393">
        <v>0.58099999999999996</v>
      </c>
      <c r="E393">
        <v>0.67600000000000005</v>
      </c>
      <c r="F393">
        <v>40921744.890000001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0.25000000000000089</v>
      </c>
      <c r="Q393">
        <f t="shared" si="975"/>
        <v>10230436.222500037</v>
      </c>
      <c r="R393">
        <f t="shared" si="976"/>
        <v>26939399.555377834</v>
      </c>
      <c r="S393">
        <f t="shared" si="977"/>
        <v>269.39399555377832</v>
      </c>
      <c r="T393">
        <f t="shared" si="978"/>
        <v>0.2693939955537783</v>
      </c>
    </row>
    <row r="394" spans="1:20" x14ac:dyDescent="0.25">
      <c r="A394" s="5">
        <v>44199</v>
      </c>
      <c r="B394">
        <v>0.61299999999999999</v>
      </c>
      <c r="C394">
        <v>0.69599999999999995</v>
      </c>
      <c r="D394">
        <v>0.58599999999999997</v>
      </c>
      <c r="E394">
        <v>0.67700000000000005</v>
      </c>
      <c r="F394">
        <v>28661097.565000001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0.65454545454545621</v>
      </c>
      <c r="Q394">
        <f t="shared" si="975"/>
        <v>18759991.133454595</v>
      </c>
      <c r="R394">
        <f t="shared" si="976"/>
        <v>16708963.332877796</v>
      </c>
      <c r="S394">
        <f t="shared" si="977"/>
        <v>167.08963332877795</v>
      </c>
      <c r="T394">
        <f t="shared" si="978"/>
        <v>0.16708963332877794</v>
      </c>
    </row>
    <row r="395" spans="1:20" x14ac:dyDescent="0.25">
      <c r="A395" s="5">
        <v>44198</v>
      </c>
      <c r="B395">
        <v>0.621</v>
      </c>
      <c r="C395">
        <v>0.625</v>
      </c>
      <c r="D395">
        <v>0.56399999999999995</v>
      </c>
      <c r="E395">
        <v>0.61299999999999999</v>
      </c>
      <c r="F395">
        <v>29772064.423999999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0.60655737704918034</v>
      </c>
      <c r="Q395">
        <f t="shared" si="975"/>
        <v>18058465.306360655</v>
      </c>
      <c r="R395">
        <f t="shared" si="976"/>
        <v>-2051027.8005767986</v>
      </c>
      <c r="S395">
        <f t="shared" si="977"/>
        <v>-20.510278005767987</v>
      </c>
      <c r="T395">
        <f t="shared" si="978"/>
        <v>-2.0510278005767987E-2</v>
      </c>
    </row>
    <row r="396" spans="1:20" x14ac:dyDescent="0.25">
      <c r="A396" s="5">
        <v>44197</v>
      </c>
      <c r="B396">
        <v>0.628</v>
      </c>
      <c r="C396">
        <v>0.67700000000000005</v>
      </c>
      <c r="D396">
        <v>0.60499999999999998</v>
      </c>
      <c r="E396">
        <v>0.62</v>
      </c>
      <c r="F396">
        <v>31291308.127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-0.58333333333333337</v>
      </c>
      <c r="Q396">
        <f t="shared" si="975"/>
        <v>-18253263.074083336</v>
      </c>
      <c r="R396">
        <f t="shared" si="976"/>
        <v>-20109493.106937453</v>
      </c>
      <c r="S396">
        <f t="shared" si="977"/>
        <v>-201.09493106937452</v>
      </c>
      <c r="T396">
        <f t="shared" si="978"/>
        <v>-0.20109493106937454</v>
      </c>
    </row>
    <row r="397" spans="1:20" x14ac:dyDescent="0.25">
      <c r="A397" s="5">
        <v>44196</v>
      </c>
      <c r="B397">
        <v>0.58199999999999996</v>
      </c>
      <c r="C397">
        <v>0.64100000000000001</v>
      </c>
      <c r="D397">
        <v>0.51800000000000002</v>
      </c>
      <c r="E397">
        <v>0.627</v>
      </c>
      <c r="F397">
        <v>37394957.552000001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0.77235772357723553</v>
      </c>
      <c r="Q397">
        <f t="shared" si="975"/>
        <v>28882284.288130075</v>
      </c>
      <c r="R397">
        <f t="shared" si="976"/>
        <v>-1856230.0328541175</v>
      </c>
      <c r="S397">
        <f t="shared" si="977"/>
        <v>-18.562300328541173</v>
      </c>
      <c r="T397">
        <f t="shared" si="978"/>
        <v>-1.8562300328541174E-2</v>
      </c>
    </row>
    <row r="398" spans="1:20" x14ac:dyDescent="0.25">
      <c r="A398" s="5">
        <v>44195</v>
      </c>
      <c r="B398">
        <v>0.47499999999999998</v>
      </c>
      <c r="C398">
        <v>0.59799999999999998</v>
      </c>
      <c r="D398">
        <v>0.46600000000000003</v>
      </c>
      <c r="E398">
        <v>0.58199999999999996</v>
      </c>
      <c r="F398">
        <v>53659766.233000003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0.75757575757575724</v>
      </c>
      <c r="Q398">
        <f t="shared" si="975"/>
        <v>40651338.055303015</v>
      </c>
      <c r="R398">
        <f t="shared" si="976"/>
        <v>-30738514.320984192</v>
      </c>
      <c r="S398">
        <f t="shared" si="977"/>
        <v>-307.38514320984194</v>
      </c>
      <c r="T398">
        <f t="shared" si="978"/>
        <v>-0.30738514320984195</v>
      </c>
    </row>
    <row r="399" spans="1:20" x14ac:dyDescent="0.25">
      <c r="A399" s="5">
        <v>44194</v>
      </c>
      <c r="B399">
        <v>0.498</v>
      </c>
      <c r="C399">
        <v>0.51300000000000001</v>
      </c>
      <c r="D399">
        <v>0.442</v>
      </c>
      <c r="E399">
        <v>0.47399999999999998</v>
      </c>
      <c r="F399">
        <v>18538415.370000001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-9.8591549295775502E-2</v>
      </c>
      <c r="Q399">
        <f t="shared" si="975"/>
        <v>-1827731.0928169175</v>
      </c>
      <c r="R399">
        <f t="shared" si="976"/>
        <v>-71389852.376287207</v>
      </c>
      <c r="S399">
        <f t="shared" si="977"/>
        <v>-713.89852376287206</v>
      </c>
      <c r="T399">
        <f t="shared" si="978"/>
        <v>-0.71389852376287211</v>
      </c>
    </row>
    <row r="400" spans="1:20" x14ac:dyDescent="0.25">
      <c r="A400" s="5">
        <v>44193</v>
      </c>
      <c r="B400">
        <v>0.47299999999999998</v>
      </c>
      <c r="C400">
        <v>0.52400000000000002</v>
      </c>
      <c r="D400">
        <v>0.46800000000000003</v>
      </c>
      <c r="E400">
        <v>0.498</v>
      </c>
      <c r="F400">
        <v>13469577.169</v>
      </c>
      <c r="G400">
        <v>0</v>
      </c>
      <c r="L400" t="s">
        <v>8</v>
      </c>
      <c r="M400" t="s">
        <v>7</v>
      </c>
      <c r="N400" t="s">
        <v>8</v>
      </c>
      <c r="P400">
        <f t="shared" si="974"/>
        <v>7.1428571428570509E-2</v>
      </c>
      <c r="Q400">
        <f t="shared" si="975"/>
        <v>962112.65492855897</v>
      </c>
      <c r="R400">
        <f t="shared" si="976"/>
        <v>-69562121.283470288</v>
      </c>
      <c r="S400">
        <f t="shared" si="977"/>
        <v>-695.62121283470287</v>
      </c>
      <c r="T400">
        <f t="shared" si="978"/>
        <v>-0.69562121283470291</v>
      </c>
    </row>
    <row r="401" spans="1:20" x14ac:dyDescent="0.25">
      <c r="A401" s="5">
        <v>44192</v>
      </c>
      <c r="B401">
        <v>0.47099999999999997</v>
      </c>
      <c r="C401">
        <v>0.51600000000000001</v>
      </c>
      <c r="D401">
        <v>0.438</v>
      </c>
      <c r="E401">
        <v>0.47199999999999998</v>
      </c>
      <c r="F401">
        <v>17768087.032000002</v>
      </c>
      <c r="G401">
        <v>0</v>
      </c>
      <c r="L401" t="s">
        <v>7</v>
      </c>
      <c r="M401" t="s">
        <v>7</v>
      </c>
      <c r="N401" t="s">
        <v>8</v>
      </c>
      <c r="P401">
        <f t="shared" si="974"/>
        <v>-0.128205128205129</v>
      </c>
      <c r="Q401">
        <f t="shared" si="975"/>
        <v>-2277959.8758974504</v>
      </c>
      <c r="R401">
        <f t="shared" si="976"/>
        <v>-70524233.938398853</v>
      </c>
      <c r="S401">
        <f t="shared" si="977"/>
        <v>-705.24233938398856</v>
      </c>
      <c r="T401">
        <f t="shared" si="978"/>
        <v>-0.70524233938398861</v>
      </c>
    </row>
    <row r="402" spans="1:20" x14ac:dyDescent="0.25">
      <c r="A402" s="5">
        <v>44191</v>
      </c>
      <c r="B402">
        <v>0.48899999999999999</v>
      </c>
      <c r="C402">
        <v>0.49299999999999999</v>
      </c>
      <c r="D402">
        <v>0.44800000000000001</v>
      </c>
      <c r="E402">
        <v>0.47</v>
      </c>
      <c r="F402">
        <v>10484901.737</v>
      </c>
      <c r="G402">
        <v>0</v>
      </c>
      <c r="L402" t="s">
        <v>7</v>
      </c>
      <c r="M402" t="s">
        <v>7</v>
      </c>
      <c r="N402" t="s">
        <v>8</v>
      </c>
      <c r="P402">
        <f t="shared" si="974"/>
        <v>-2.2222222222223482E-2</v>
      </c>
      <c r="Q402">
        <f t="shared" si="975"/>
        <v>-232997.81637779099</v>
      </c>
      <c r="R402">
        <f t="shared" si="976"/>
        <v>-68246274.062501401</v>
      </c>
      <c r="S402">
        <f t="shared" si="977"/>
        <v>-682.46274062501402</v>
      </c>
      <c r="T402">
        <f t="shared" si="978"/>
        <v>-0.682462740625014</v>
      </c>
    </row>
    <row r="403" spans="1:20" x14ac:dyDescent="0.25">
      <c r="A403" s="5">
        <v>44190</v>
      </c>
      <c r="B403">
        <v>0.47799999999999998</v>
      </c>
      <c r="C403">
        <v>0.53700000000000003</v>
      </c>
      <c r="D403">
        <v>0.46300000000000002</v>
      </c>
      <c r="E403">
        <v>0.48899999999999999</v>
      </c>
      <c r="F403">
        <v>24514246.203000002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-0.29729729729729826</v>
      </c>
      <c r="Q403">
        <f t="shared" si="975"/>
        <v>-7288019.1414324567</v>
      </c>
      <c r="R403">
        <f t="shared" si="976"/>
        <v>-68013276.246123612</v>
      </c>
      <c r="S403">
        <f t="shared" si="977"/>
        <v>-680.1327624612361</v>
      </c>
      <c r="T403">
        <f t="shared" si="978"/>
        <v>-0.68013276246123611</v>
      </c>
    </row>
    <row r="404" spans="1:20" x14ac:dyDescent="0.25">
      <c r="A404" s="5">
        <v>44189</v>
      </c>
      <c r="B404">
        <v>0.42</v>
      </c>
      <c r="C404">
        <v>0.48099999999999998</v>
      </c>
      <c r="D404">
        <v>0.40699999999999997</v>
      </c>
      <c r="E404">
        <v>0.47899999999999998</v>
      </c>
      <c r="F404">
        <v>18048611.905000001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0.94594594594594594</v>
      </c>
      <c r="Q404">
        <f t="shared" si="975"/>
        <v>17073011.261486489</v>
      </c>
      <c r="R404">
        <f t="shared" si="976"/>
        <v>-60725257.104691148</v>
      </c>
      <c r="S404">
        <f t="shared" si="977"/>
        <v>-607.2525710469115</v>
      </c>
      <c r="T404">
        <f t="shared" si="978"/>
        <v>-0.60725257104691155</v>
      </c>
    </row>
    <row r="405" spans="1:20" x14ac:dyDescent="0.25">
      <c r="A405" s="5">
        <v>44188</v>
      </c>
      <c r="B405">
        <v>0.55800000000000005</v>
      </c>
      <c r="C405">
        <v>0.56999999999999995</v>
      </c>
      <c r="D405">
        <v>0.38500000000000001</v>
      </c>
      <c r="E405">
        <v>0.42</v>
      </c>
      <c r="F405">
        <v>25213644.635000002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-0.62162162162162182</v>
      </c>
      <c r="Q405">
        <f t="shared" si="975"/>
        <v>-15673346.665000007</v>
      </c>
      <c r="R405">
        <f t="shared" si="976"/>
        <v>-77798268.366177633</v>
      </c>
      <c r="S405">
        <f t="shared" si="977"/>
        <v>-777.98268366177638</v>
      </c>
      <c r="T405">
        <f t="shared" si="978"/>
        <v>-0.77798268366177636</v>
      </c>
    </row>
    <row r="406" spans="1:20" x14ac:dyDescent="0.25">
      <c r="A406" s="5">
        <v>44187</v>
      </c>
      <c r="B406">
        <v>0.55800000000000005</v>
      </c>
      <c r="C406">
        <v>0.57099999999999995</v>
      </c>
      <c r="D406">
        <v>0.50900000000000001</v>
      </c>
      <c r="E406">
        <v>0.55800000000000005</v>
      </c>
      <c r="F406">
        <v>14871269.319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0.5806451612903254</v>
      </c>
      <c r="Q406">
        <f t="shared" si="975"/>
        <v>8634930.5723226219</v>
      </c>
      <c r="R406">
        <f t="shared" si="976"/>
        <v>-62124921.701177627</v>
      </c>
      <c r="S406">
        <f t="shared" si="977"/>
        <v>-621.2492170117763</v>
      </c>
      <c r="T406">
        <f t="shared" si="978"/>
        <v>-0.62124921701177627</v>
      </c>
    </row>
    <row r="407" spans="1:20" x14ac:dyDescent="0.25">
      <c r="A407" s="5">
        <v>44186</v>
      </c>
      <c r="B407">
        <v>0.61599999999999999</v>
      </c>
      <c r="C407">
        <v>0.629</v>
      </c>
      <c r="D407">
        <v>0.54</v>
      </c>
      <c r="E407">
        <v>0.55800000000000005</v>
      </c>
      <c r="F407">
        <v>16335309.991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-0.59550561797752755</v>
      </c>
      <c r="Q407">
        <f t="shared" si="975"/>
        <v>-9727768.8710449357</v>
      </c>
      <c r="R407">
        <f t="shared" si="976"/>
        <v>-70759852.273500249</v>
      </c>
      <c r="S407">
        <f t="shared" si="977"/>
        <v>-707.59852273500246</v>
      </c>
      <c r="T407">
        <f t="shared" si="978"/>
        <v>-0.70759852273500246</v>
      </c>
    </row>
    <row r="408" spans="1:20" x14ac:dyDescent="0.25">
      <c r="A408" s="5">
        <v>44185</v>
      </c>
      <c r="B408">
        <v>0.66500000000000004</v>
      </c>
      <c r="C408">
        <v>0.66700000000000004</v>
      </c>
      <c r="D408">
        <v>0.60699999999999998</v>
      </c>
      <c r="E408">
        <v>0.61599999999999999</v>
      </c>
      <c r="F408">
        <v>13320732.482000001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-0.7</v>
      </c>
      <c r="Q408">
        <f t="shared" si="975"/>
        <v>-9324512.7373999991</v>
      </c>
      <c r="R408">
        <f t="shared" si="976"/>
        <v>-61032083.402455315</v>
      </c>
      <c r="S408">
        <f t="shared" si="977"/>
        <v>-610.32083402455316</v>
      </c>
      <c r="T408">
        <f t="shared" si="978"/>
        <v>-0.61032083402455317</v>
      </c>
    </row>
    <row r="409" spans="1:20" x14ac:dyDescent="0.25">
      <c r="A409" s="5">
        <v>44184</v>
      </c>
      <c r="B409">
        <v>0.64400000000000002</v>
      </c>
      <c r="C409">
        <v>0.7</v>
      </c>
      <c r="D409">
        <v>0.63900000000000001</v>
      </c>
      <c r="E409">
        <v>0.66400000000000003</v>
      </c>
      <c r="F409">
        <v>14065833.295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-0.18032786885245752</v>
      </c>
      <c r="Q409">
        <f t="shared" si="975"/>
        <v>-2536461.7417212906</v>
      </c>
      <c r="R409">
        <f t="shared" si="976"/>
        <v>-51707570.66505532</v>
      </c>
      <c r="S409">
        <f t="shared" si="977"/>
        <v>-517.07570665055323</v>
      </c>
      <c r="T409">
        <f t="shared" si="978"/>
        <v>-0.51707570665055325</v>
      </c>
    </row>
    <row r="410" spans="1:20" x14ac:dyDescent="0.25">
      <c r="A410" s="5">
        <v>44183</v>
      </c>
      <c r="B410">
        <v>0.65500000000000003</v>
      </c>
      <c r="C410">
        <v>0.65600000000000003</v>
      </c>
      <c r="D410">
        <v>0.621</v>
      </c>
      <c r="E410">
        <v>0.64500000000000002</v>
      </c>
      <c r="F410">
        <v>11930097.164999999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0.37142857142857144</v>
      </c>
      <c r="Q410">
        <f t="shared" si="975"/>
        <v>4431178.9469999997</v>
      </c>
      <c r="R410">
        <f t="shared" si="976"/>
        <v>-49171108.923334032</v>
      </c>
      <c r="S410">
        <f t="shared" si="977"/>
        <v>-491.71108923334032</v>
      </c>
      <c r="T410">
        <f t="shared" si="978"/>
        <v>-0.49171108923334034</v>
      </c>
    </row>
    <row r="411" spans="1:20" x14ac:dyDescent="0.25">
      <c r="A411" s="5">
        <v>44182</v>
      </c>
      <c r="B411">
        <v>0.65100000000000002</v>
      </c>
      <c r="C411">
        <v>0.68700000000000006</v>
      </c>
      <c r="D411">
        <v>0.61399999999999999</v>
      </c>
      <c r="E411">
        <v>0.65500000000000003</v>
      </c>
      <c r="F411">
        <v>21989991.098999999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0.12328767123287671</v>
      </c>
      <c r="Q411">
        <f t="shared" si="975"/>
        <v>2711094.7930273972</v>
      </c>
      <c r="R411">
        <f t="shared" si="976"/>
        <v>-53602287.870334029</v>
      </c>
      <c r="S411">
        <f t="shared" si="977"/>
        <v>-536.02287870334033</v>
      </c>
      <c r="T411">
        <f t="shared" si="978"/>
        <v>-0.53602287870334031</v>
      </c>
    </row>
    <row r="412" spans="1:20" x14ac:dyDescent="0.25">
      <c r="A412" s="5">
        <v>44181</v>
      </c>
      <c r="B412">
        <v>0.629</v>
      </c>
      <c r="C412">
        <v>0.65300000000000002</v>
      </c>
      <c r="D412">
        <v>0.59499999999999997</v>
      </c>
      <c r="E412">
        <v>0.65100000000000002</v>
      </c>
      <c r="F412">
        <v>13327715.741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0.93103448275862066</v>
      </c>
      <c r="Q412">
        <f t="shared" si="975"/>
        <v>12408562.931275861</v>
      </c>
      <c r="R412">
        <f t="shared" si="976"/>
        <v>-56313382.66336143</v>
      </c>
      <c r="S412">
        <f t="shared" si="977"/>
        <v>-563.13382663361426</v>
      </c>
      <c r="T412">
        <f t="shared" si="978"/>
        <v>-0.56313382663361422</v>
      </c>
    </row>
    <row r="413" spans="1:20" x14ac:dyDescent="0.25">
      <c r="A413" s="5">
        <v>44180</v>
      </c>
      <c r="B413">
        <v>0.63800000000000001</v>
      </c>
      <c r="C413">
        <v>0.67200000000000004</v>
      </c>
      <c r="D413">
        <v>0.622</v>
      </c>
      <c r="E413">
        <v>0.628</v>
      </c>
      <c r="F413">
        <v>14067958.965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-0.76</v>
      </c>
      <c r="Q413">
        <f t="shared" si="975"/>
        <v>-10691648.8134</v>
      </c>
      <c r="R413">
        <f t="shared" si="976"/>
        <v>-68721945.59463729</v>
      </c>
      <c r="S413">
        <f t="shared" si="977"/>
        <v>-687.21945594637293</v>
      </c>
      <c r="T413">
        <f t="shared" si="978"/>
        <v>-0.6872194559463729</v>
      </c>
    </row>
    <row r="414" spans="1:20" x14ac:dyDescent="0.25">
      <c r="A414" s="5">
        <v>44179</v>
      </c>
      <c r="B414">
        <v>0.61599999999999999</v>
      </c>
      <c r="C414">
        <v>0.64300000000000002</v>
      </c>
      <c r="D414">
        <v>0.59199999999999997</v>
      </c>
      <c r="E414">
        <v>0.63800000000000001</v>
      </c>
      <c r="F414">
        <v>11328017.43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0.80392156862745101</v>
      </c>
      <c r="Q414">
        <f t="shared" si="975"/>
        <v>9106837.5417647064</v>
      </c>
      <c r="R414">
        <f t="shared" si="976"/>
        <v>-58030296.781237289</v>
      </c>
      <c r="S414">
        <f t="shared" si="977"/>
        <v>-580.30296781237291</v>
      </c>
      <c r="T414">
        <f t="shared" si="978"/>
        <v>-0.58030296781237289</v>
      </c>
    </row>
    <row r="415" spans="1:20" x14ac:dyDescent="0.25">
      <c r="A415" s="5">
        <v>44178</v>
      </c>
      <c r="B415">
        <v>0.59199999999999997</v>
      </c>
      <c r="C415">
        <v>0.63700000000000001</v>
      </c>
      <c r="D415">
        <v>0.57599999999999996</v>
      </c>
      <c r="E415">
        <v>0.61699999999999999</v>
      </c>
      <c r="F415">
        <v>12983066.505000001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0.34426229508196721</v>
      </c>
      <c r="Q415">
        <f t="shared" si="975"/>
        <v>4469580.2722131154</v>
      </c>
      <c r="R415">
        <f t="shared" si="976"/>
        <v>-67137134.323001996</v>
      </c>
      <c r="S415">
        <f t="shared" si="977"/>
        <v>-671.37134323001999</v>
      </c>
      <c r="T415">
        <f t="shared" si="978"/>
        <v>-0.67137134323002001</v>
      </c>
    </row>
    <row r="416" spans="1:20" x14ac:dyDescent="0.25">
      <c r="A416" s="5">
        <v>44177</v>
      </c>
      <c r="B416">
        <v>0.55700000000000005</v>
      </c>
      <c r="C416">
        <v>0.59899999999999998</v>
      </c>
      <c r="D416">
        <v>0.55600000000000005</v>
      </c>
      <c r="E416">
        <v>0.59099999999999997</v>
      </c>
      <c r="F416">
        <v>10849015.186000001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0.62790697674418505</v>
      </c>
      <c r="Q416">
        <f t="shared" si="975"/>
        <v>6812172.3260930125</v>
      </c>
      <c r="R416">
        <f t="shared" si="976"/>
        <v>-71606714.595215112</v>
      </c>
      <c r="S416">
        <f t="shared" si="977"/>
        <v>-716.06714595215112</v>
      </c>
      <c r="T416">
        <f t="shared" si="978"/>
        <v>-0.71606714595215115</v>
      </c>
    </row>
    <row r="417" spans="1:20" x14ac:dyDescent="0.25">
      <c r="A417" s="5">
        <v>44176</v>
      </c>
      <c r="B417">
        <v>0.60099999999999998</v>
      </c>
      <c r="C417">
        <v>0.60299999999999998</v>
      </c>
      <c r="D417">
        <v>0.53500000000000003</v>
      </c>
      <c r="E417">
        <v>0.55700000000000005</v>
      </c>
      <c r="F417">
        <v>16579977.921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-0.3529411764705872</v>
      </c>
      <c r="Q417">
        <f t="shared" si="975"/>
        <v>-5851756.9132941002</v>
      </c>
      <c r="R417">
        <f t="shared" si="976"/>
        <v>-78418886.92130813</v>
      </c>
      <c r="S417">
        <f t="shared" si="977"/>
        <v>-784.18886921308126</v>
      </c>
      <c r="T417">
        <f t="shared" si="978"/>
        <v>-0.78418886921308129</v>
      </c>
    </row>
    <row r="418" spans="1:20" x14ac:dyDescent="0.25">
      <c r="A418" s="5">
        <v>44175</v>
      </c>
      <c r="B418">
        <v>0.63400000000000001</v>
      </c>
      <c r="C418">
        <v>0.64200000000000002</v>
      </c>
      <c r="D418">
        <v>0.58099999999999996</v>
      </c>
      <c r="E418">
        <v>0.59899999999999998</v>
      </c>
      <c r="F418">
        <v>11462829.039999999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-0.4098360655737705</v>
      </c>
      <c r="Q418">
        <f t="shared" si="975"/>
        <v>-4697880.7540983604</v>
      </c>
      <c r="R418">
        <f t="shared" si="976"/>
        <v>-72567130.008014023</v>
      </c>
      <c r="S418">
        <f t="shared" si="977"/>
        <v>-725.67130008014021</v>
      </c>
      <c r="T418">
        <f t="shared" si="978"/>
        <v>-0.72567130008014025</v>
      </c>
    </row>
    <row r="419" spans="1:20" x14ac:dyDescent="0.25">
      <c r="A419" s="5">
        <v>44174</v>
      </c>
      <c r="B419">
        <v>0.60799999999999998</v>
      </c>
      <c r="C419">
        <v>0.64200000000000002</v>
      </c>
      <c r="D419">
        <v>0.56200000000000006</v>
      </c>
      <c r="E419">
        <v>0.63300000000000001</v>
      </c>
      <c r="F419">
        <v>18630383.304000001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0.77499999999999969</v>
      </c>
      <c r="Q419">
        <f t="shared" si="975"/>
        <v>14438547.060599996</v>
      </c>
      <c r="R419">
        <f t="shared" si="976"/>
        <v>-67869249.253915668</v>
      </c>
      <c r="S419">
        <f t="shared" si="977"/>
        <v>-678.69249253915666</v>
      </c>
      <c r="T419">
        <f t="shared" si="978"/>
        <v>-0.67869249253915664</v>
      </c>
    </row>
    <row r="420" spans="1:20" x14ac:dyDescent="0.25">
      <c r="A420" s="5">
        <v>44173</v>
      </c>
      <c r="B420">
        <v>0.70699999999999996</v>
      </c>
      <c r="C420">
        <v>0.71099999999999997</v>
      </c>
      <c r="D420">
        <v>0.58799999999999997</v>
      </c>
      <c r="E420">
        <v>0.60899999999999999</v>
      </c>
      <c r="F420">
        <v>24097833.377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-0.65853658536585336</v>
      </c>
      <c r="Q420">
        <f t="shared" si="975"/>
        <v>-15869304.906804871</v>
      </c>
      <c r="R420">
        <f t="shared" si="976"/>
        <v>-82307796.314515665</v>
      </c>
      <c r="S420">
        <f t="shared" si="977"/>
        <v>-823.07796314515667</v>
      </c>
      <c r="T420">
        <f t="shared" si="978"/>
        <v>-0.82307796314515669</v>
      </c>
    </row>
    <row r="421" spans="1:20" x14ac:dyDescent="0.25">
      <c r="A421" s="5">
        <v>44172</v>
      </c>
      <c r="B421">
        <v>0.70299999999999996</v>
      </c>
      <c r="C421">
        <v>0.74399999999999999</v>
      </c>
      <c r="D421">
        <v>0.68400000000000005</v>
      </c>
      <c r="E421">
        <v>0.70799999999999996</v>
      </c>
      <c r="F421">
        <v>16346766.232000001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-0.20000000000000223</v>
      </c>
      <c r="Q421">
        <f t="shared" si="975"/>
        <v>-3269353.2464000368</v>
      </c>
      <c r="R421">
        <f t="shared" si="976"/>
        <v>-66438491.407710798</v>
      </c>
      <c r="S421">
        <f t="shared" si="977"/>
        <v>-664.38491407710796</v>
      </c>
      <c r="T421">
        <f t="shared" si="978"/>
        <v>-0.66438491407710798</v>
      </c>
    </row>
    <row r="422" spans="1:20" x14ac:dyDescent="0.25">
      <c r="A422" s="5">
        <v>44171</v>
      </c>
      <c r="B422">
        <v>0.74099999999999999</v>
      </c>
      <c r="C422">
        <v>0.748</v>
      </c>
      <c r="D422">
        <v>0.67</v>
      </c>
      <c r="E422">
        <v>0.70199999999999996</v>
      </c>
      <c r="F422">
        <v>14865944.365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-0.17948717948718115</v>
      </c>
      <c r="Q422">
        <f t="shared" si="975"/>
        <v>-2668246.4244872043</v>
      </c>
      <c r="R422">
        <f t="shared" si="976"/>
        <v>-63169138.161310762</v>
      </c>
      <c r="S422">
        <f t="shared" si="977"/>
        <v>-631.69138161310764</v>
      </c>
      <c r="T422">
        <f t="shared" si="978"/>
        <v>-0.63169138161310767</v>
      </c>
    </row>
    <row r="423" spans="1:20" x14ac:dyDescent="0.25">
      <c r="A423" s="5">
        <v>44170</v>
      </c>
      <c r="B423">
        <v>0.68400000000000005</v>
      </c>
      <c r="C423">
        <v>0.74199999999999999</v>
      </c>
      <c r="D423">
        <v>0.66800000000000004</v>
      </c>
      <c r="E423">
        <v>0.74099999999999999</v>
      </c>
      <c r="F423">
        <v>20276840.355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0.97297297297297292</v>
      </c>
      <c r="Q423">
        <f t="shared" si="975"/>
        <v>19728817.642702702</v>
      </c>
      <c r="R423">
        <f t="shared" si="976"/>
        <v>-60500891.736823559</v>
      </c>
      <c r="S423">
        <f t="shared" si="977"/>
        <v>-605.00891736823564</v>
      </c>
      <c r="T423">
        <f t="shared" si="978"/>
        <v>-0.60500891736823559</v>
      </c>
    </row>
    <row r="424" spans="1:20" x14ac:dyDescent="0.25">
      <c r="A424" s="5">
        <v>44169</v>
      </c>
      <c r="B424">
        <v>0.82899999999999996</v>
      </c>
      <c r="C424">
        <v>0.83499999999999996</v>
      </c>
      <c r="D424">
        <v>0.66800000000000004</v>
      </c>
      <c r="E424">
        <v>0.68500000000000005</v>
      </c>
      <c r="F424">
        <v>27374746.175000001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-0.79640718562874224</v>
      </c>
      <c r="Q424">
        <f t="shared" si="975"/>
        <v>-21801444.558532927</v>
      </c>
      <c r="R424">
        <f t="shared" si="976"/>
        <v>-80229709.379526258</v>
      </c>
      <c r="S424">
        <f t="shared" si="977"/>
        <v>-802.29709379526253</v>
      </c>
      <c r="T424">
        <f t="shared" si="978"/>
        <v>-0.80229709379526248</v>
      </c>
    </row>
    <row r="425" spans="1:20" x14ac:dyDescent="0.25">
      <c r="A425" s="5">
        <v>44168</v>
      </c>
      <c r="B425">
        <v>0.8</v>
      </c>
      <c r="C425">
        <v>0.85799999999999998</v>
      </c>
      <c r="D425">
        <v>0.76700000000000002</v>
      </c>
      <c r="E425">
        <v>0.82899999999999996</v>
      </c>
      <c r="F425">
        <v>28159590.927999999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0.36263736263736185</v>
      </c>
      <c r="Q425">
        <f t="shared" si="975"/>
        <v>10211719.7870769</v>
      </c>
      <c r="R425">
        <f t="shared" si="976"/>
        <v>-58428264.820993327</v>
      </c>
      <c r="S425">
        <f t="shared" si="977"/>
        <v>-584.28264820993331</v>
      </c>
      <c r="T425">
        <f t="shared" si="978"/>
        <v>-0.58428264820993336</v>
      </c>
    </row>
    <row r="426" spans="1:20" x14ac:dyDescent="0.25">
      <c r="A426" s="5">
        <v>44167</v>
      </c>
      <c r="B426">
        <v>0.68</v>
      </c>
      <c r="C426">
        <v>0.81899999999999995</v>
      </c>
      <c r="D426">
        <v>0.66</v>
      </c>
      <c r="E426">
        <v>0.80100000000000005</v>
      </c>
      <c r="F426">
        <v>38982203.578000002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0.77358490566037841</v>
      </c>
      <c r="Q426">
        <f t="shared" si="975"/>
        <v>30156044.277320798</v>
      </c>
      <c r="R426">
        <f t="shared" si="976"/>
        <v>-68639984.608070225</v>
      </c>
      <c r="S426">
        <f t="shared" si="977"/>
        <v>-686.39984608070222</v>
      </c>
      <c r="T426">
        <f t="shared" si="978"/>
        <v>-0.68639984608070226</v>
      </c>
    </row>
    <row r="427" spans="1:20" x14ac:dyDescent="0.25">
      <c r="A427" s="5">
        <v>44166</v>
      </c>
      <c r="B427">
        <v>0.67500000000000004</v>
      </c>
      <c r="C427">
        <v>0.76</v>
      </c>
      <c r="D427">
        <v>0.628</v>
      </c>
      <c r="E427">
        <v>0.67900000000000005</v>
      </c>
      <c r="F427">
        <v>36225948.791000001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-0.22727272727272663</v>
      </c>
      <c r="Q427">
        <f t="shared" si="975"/>
        <v>-8233170.1797727039</v>
      </c>
      <c r="R427">
        <f t="shared" si="976"/>
        <v>-98796028.885391027</v>
      </c>
      <c r="S427">
        <f t="shared" si="977"/>
        <v>-987.96028885391024</v>
      </c>
      <c r="T427">
        <f t="shared" si="978"/>
        <v>-0.9879602888539103</v>
      </c>
    </row>
    <row r="428" spans="1:20" x14ac:dyDescent="0.25">
      <c r="A428" s="5">
        <v>44165</v>
      </c>
      <c r="B428">
        <v>0.65600000000000003</v>
      </c>
      <c r="C428">
        <v>0.73</v>
      </c>
      <c r="D428">
        <v>0.65600000000000003</v>
      </c>
      <c r="E428">
        <v>0.67500000000000004</v>
      </c>
      <c r="F428">
        <v>21513399.267999999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-0.48648648648648574</v>
      </c>
      <c r="Q428">
        <f t="shared" si="975"/>
        <v>-10465978.022270253</v>
      </c>
      <c r="R428">
        <f t="shared" si="976"/>
        <v>-90562858.705618322</v>
      </c>
      <c r="S428">
        <f t="shared" si="977"/>
        <v>-905.62858705618316</v>
      </c>
      <c r="T428">
        <f t="shared" si="978"/>
        <v>-0.90562858705618321</v>
      </c>
    </row>
    <row r="429" spans="1:20" x14ac:dyDescent="0.25">
      <c r="A429" s="5">
        <v>44164</v>
      </c>
      <c r="B429">
        <v>0.60899999999999999</v>
      </c>
      <c r="C429">
        <v>0.68799999999999994</v>
      </c>
      <c r="D429">
        <v>0.59199999999999997</v>
      </c>
      <c r="E429">
        <v>0.65600000000000003</v>
      </c>
      <c r="F429">
        <v>20651298.923999999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0.33333333333333487</v>
      </c>
      <c r="Q429">
        <f t="shared" si="975"/>
        <v>6883766.3080000309</v>
      </c>
      <c r="R429">
        <f t="shared" si="976"/>
        <v>-80096880.683348075</v>
      </c>
      <c r="S429">
        <f t="shared" si="977"/>
        <v>-800.9688068334807</v>
      </c>
      <c r="T429">
        <f t="shared" si="978"/>
        <v>-0.80096880683348071</v>
      </c>
    </row>
    <row r="430" spans="1:20" x14ac:dyDescent="0.25">
      <c r="A430" s="5">
        <v>44163</v>
      </c>
      <c r="B430">
        <v>0.64200000000000002</v>
      </c>
      <c r="C430">
        <v>0.65</v>
      </c>
      <c r="D430">
        <v>0.58699999999999997</v>
      </c>
      <c r="E430">
        <v>0.60799999999999998</v>
      </c>
      <c r="F430">
        <v>16301688.329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-0.33333333333333331</v>
      </c>
      <c r="Q430">
        <f t="shared" si="975"/>
        <v>-5433896.109666666</v>
      </c>
      <c r="R430">
        <f t="shared" si="976"/>
        <v>-86980646.991348103</v>
      </c>
      <c r="S430">
        <f t="shared" si="977"/>
        <v>-869.80646991348101</v>
      </c>
      <c r="T430">
        <f t="shared" si="978"/>
        <v>-0.86980646991348098</v>
      </c>
    </row>
    <row r="431" spans="1:20" x14ac:dyDescent="0.25">
      <c r="A431" s="5">
        <v>44162</v>
      </c>
      <c r="B431">
        <v>0.59399999999999997</v>
      </c>
      <c r="C431">
        <v>0.64400000000000002</v>
      </c>
      <c r="D431">
        <v>0.54300000000000004</v>
      </c>
      <c r="E431">
        <v>0.64100000000000001</v>
      </c>
      <c r="F431">
        <v>32229365.127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0.94059405940594054</v>
      </c>
      <c r="Q431">
        <f t="shared" si="975"/>
        <v>30314749.376881186</v>
      </c>
      <c r="R431">
        <f t="shared" si="976"/>
        <v>-81546750.881681442</v>
      </c>
      <c r="S431">
        <f t="shared" si="977"/>
        <v>-815.46750881681442</v>
      </c>
      <c r="T431">
        <f t="shared" si="978"/>
        <v>-0.8154675088168144</v>
      </c>
    </row>
    <row r="432" spans="1:20" x14ac:dyDescent="0.25">
      <c r="A432" s="5">
        <v>44161</v>
      </c>
      <c r="B432">
        <v>0.64100000000000001</v>
      </c>
      <c r="C432">
        <v>0.66300000000000003</v>
      </c>
      <c r="D432">
        <v>0.48499999999999999</v>
      </c>
      <c r="E432">
        <v>0.59399999999999997</v>
      </c>
      <c r="F432">
        <v>40674814.897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0.22471910112359503</v>
      </c>
      <c r="Q432">
        <f t="shared" si="975"/>
        <v>9140407.8420224525</v>
      </c>
      <c r="R432">
        <f t="shared" si="976"/>
        <v>-111861500.25856262</v>
      </c>
      <c r="S432">
        <f t="shared" si="977"/>
        <v>-1118.6150025856261</v>
      </c>
      <c r="T432">
        <f t="shared" si="978"/>
        <v>-1.1186150025856261</v>
      </c>
    </row>
    <row r="433" spans="1:20" x14ac:dyDescent="0.25">
      <c r="A433" s="5">
        <v>44160</v>
      </c>
      <c r="B433">
        <v>0.68500000000000005</v>
      </c>
      <c r="C433">
        <v>0.75700000000000001</v>
      </c>
      <c r="D433">
        <v>0.625</v>
      </c>
      <c r="E433">
        <v>0.64100000000000001</v>
      </c>
      <c r="F433">
        <v>28714206.241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-0.75757575757575735</v>
      </c>
      <c r="Q433">
        <f t="shared" si="975"/>
        <v>-21753186.546212114</v>
      </c>
      <c r="R433">
        <f t="shared" si="976"/>
        <v>-121001908.10058507</v>
      </c>
      <c r="S433">
        <f t="shared" si="977"/>
        <v>-1210.0190810058507</v>
      </c>
      <c r="T433">
        <f t="shared" si="978"/>
        <v>-1.2100190810058506</v>
      </c>
    </row>
    <row r="434" spans="1:20" x14ac:dyDescent="0.25">
      <c r="A434" s="5">
        <v>44159</v>
      </c>
      <c r="B434">
        <v>0.74199999999999999</v>
      </c>
      <c r="C434">
        <v>0.79600000000000004</v>
      </c>
      <c r="D434">
        <v>0.65900000000000003</v>
      </c>
      <c r="E434">
        <v>0.68600000000000005</v>
      </c>
      <c r="F434">
        <v>30052312.092</v>
      </c>
      <c r="G434">
        <v>0</v>
      </c>
      <c r="L434" t="s">
        <v>7</v>
      </c>
      <c r="M434" t="s">
        <v>7</v>
      </c>
      <c r="N434" t="s">
        <v>7</v>
      </c>
      <c r="P434">
        <f t="shared" si="974"/>
        <v>-0.60583941605839386</v>
      </c>
      <c r="Q434">
        <f t="shared" si="975"/>
        <v>-18206875.209021889</v>
      </c>
      <c r="R434">
        <f t="shared" si="976"/>
        <v>-99248721.554372966</v>
      </c>
      <c r="S434">
        <f t="shared" si="977"/>
        <v>-992.48721554372969</v>
      </c>
      <c r="T434">
        <f t="shared" si="978"/>
        <v>-0.99248721554372965</v>
      </c>
    </row>
    <row r="435" spans="1:20" x14ac:dyDescent="0.25">
      <c r="A435" s="5">
        <v>44158</v>
      </c>
      <c r="B435">
        <v>0.747</v>
      </c>
      <c r="C435">
        <v>0.80400000000000005</v>
      </c>
      <c r="D435">
        <v>0.71299999999999997</v>
      </c>
      <c r="E435">
        <v>0.74199999999999999</v>
      </c>
      <c r="F435">
        <v>22896240.285999998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-0.36263736263736263</v>
      </c>
      <c r="Q435">
        <f t="shared" si="975"/>
        <v>-8303032.1916263727</v>
      </c>
      <c r="R435">
        <f t="shared" si="976"/>
        <v>-81041846.345351085</v>
      </c>
      <c r="S435">
        <f t="shared" si="977"/>
        <v>-810.41846345351087</v>
      </c>
      <c r="T435">
        <f t="shared" si="978"/>
        <v>-0.81041846345351087</v>
      </c>
    </row>
    <row r="436" spans="1:20" x14ac:dyDescent="0.25">
      <c r="A436" s="5">
        <v>44157</v>
      </c>
      <c r="B436">
        <v>0.85299999999999998</v>
      </c>
      <c r="C436">
        <v>0.873</v>
      </c>
      <c r="D436">
        <v>0.69199999999999995</v>
      </c>
      <c r="E436">
        <v>0.746</v>
      </c>
      <c r="F436">
        <v>38280306.505999997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-0.40331491712707146</v>
      </c>
      <c r="Q436">
        <f t="shared" si="975"/>
        <v>-15439018.646066284</v>
      </c>
      <c r="R436">
        <f t="shared" si="976"/>
        <v>-72738814.153724715</v>
      </c>
      <c r="S436">
        <f t="shared" si="977"/>
        <v>-727.38814153724718</v>
      </c>
      <c r="T436">
        <f t="shared" si="978"/>
        <v>-0.72738814153724718</v>
      </c>
    </row>
    <row r="437" spans="1:20" x14ac:dyDescent="0.25">
      <c r="A437" s="5">
        <v>44156</v>
      </c>
      <c r="B437">
        <v>0.85699999999999998</v>
      </c>
      <c r="C437">
        <v>0.89700000000000002</v>
      </c>
      <c r="D437">
        <v>0.79</v>
      </c>
      <c r="E437">
        <v>0.85299999999999998</v>
      </c>
      <c r="F437">
        <v>29771384.006000001</v>
      </c>
      <c r="G437">
        <v>0</v>
      </c>
      <c r="L437" t="s">
        <v>7</v>
      </c>
      <c r="M437" t="s">
        <v>7</v>
      </c>
      <c r="N437" t="s">
        <v>8</v>
      </c>
      <c r="P437">
        <f t="shared" si="974"/>
        <v>0.17757009345794308</v>
      </c>
      <c r="Q437">
        <f t="shared" si="975"/>
        <v>5286507.4403177323</v>
      </c>
      <c r="R437">
        <f t="shared" si="976"/>
        <v>-57299795.507658437</v>
      </c>
      <c r="S437">
        <f t="shared" si="977"/>
        <v>-572.99795507658439</v>
      </c>
      <c r="T437">
        <f t="shared" si="978"/>
        <v>-0.57299795507658435</v>
      </c>
    </row>
    <row r="438" spans="1:20" x14ac:dyDescent="0.25">
      <c r="A438" s="5">
        <v>44155</v>
      </c>
      <c r="B438">
        <v>0.80300000000000005</v>
      </c>
      <c r="C438">
        <v>0.95699999999999996</v>
      </c>
      <c r="D438">
        <v>0.79200000000000004</v>
      </c>
      <c r="E438">
        <v>0.85699999999999998</v>
      </c>
      <c r="F438">
        <v>43424170.523000002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-0.2121212121212124</v>
      </c>
      <c r="Q438">
        <f t="shared" si="975"/>
        <v>-9211187.686696982</v>
      </c>
      <c r="R438">
        <f t="shared" si="976"/>
        <v>-62586302.947976172</v>
      </c>
      <c r="S438">
        <f t="shared" si="977"/>
        <v>-625.86302947976174</v>
      </c>
      <c r="T438">
        <f t="shared" si="978"/>
        <v>-0.62586302947976169</v>
      </c>
    </row>
    <row r="439" spans="1:20" x14ac:dyDescent="0.25">
      <c r="A439" s="5">
        <v>44154</v>
      </c>
      <c r="B439">
        <v>0.75700000000000001</v>
      </c>
      <c r="C439">
        <v>0.84499999999999997</v>
      </c>
      <c r="D439">
        <v>0.71</v>
      </c>
      <c r="E439">
        <v>0.80100000000000005</v>
      </c>
      <c r="F439">
        <v>34517417.149999999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0.34814814814814926</v>
      </c>
      <c r="Q439">
        <f t="shared" si="975"/>
        <v>12017174.859629668</v>
      </c>
      <c r="R439">
        <f t="shared" si="976"/>
        <v>-53375115.261279188</v>
      </c>
      <c r="S439">
        <f t="shared" si="977"/>
        <v>-533.75115261279188</v>
      </c>
      <c r="T439">
        <f t="shared" si="978"/>
        <v>-0.53375115261279193</v>
      </c>
    </row>
    <row r="440" spans="1:20" x14ac:dyDescent="0.25">
      <c r="A440" s="5">
        <v>44153</v>
      </c>
      <c r="B440">
        <v>0.876</v>
      </c>
      <c r="C440">
        <v>0.88800000000000001</v>
      </c>
      <c r="D440">
        <v>0.69199999999999995</v>
      </c>
      <c r="E440">
        <v>0.75900000000000001</v>
      </c>
      <c r="F440">
        <v>40899603.377999999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-0.31632653061224453</v>
      </c>
      <c r="Q440">
        <f t="shared" si="975"/>
        <v>-12937629.639979577</v>
      </c>
      <c r="R440">
        <f t="shared" si="976"/>
        <v>-65392290.120908856</v>
      </c>
      <c r="S440">
        <f t="shared" si="977"/>
        <v>-653.92290120908854</v>
      </c>
      <c r="T440">
        <f t="shared" si="978"/>
        <v>-0.65392290120908858</v>
      </c>
    </row>
    <row r="441" spans="1:20" x14ac:dyDescent="0.25">
      <c r="A441" s="5">
        <v>44152</v>
      </c>
      <c r="B441">
        <v>0.82399999999999995</v>
      </c>
      <c r="C441">
        <v>0.91</v>
      </c>
      <c r="D441">
        <v>0.80200000000000005</v>
      </c>
      <c r="E441">
        <v>0.876</v>
      </c>
      <c r="F441">
        <v>33462717.300000001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0.37037037037036974</v>
      </c>
      <c r="Q441">
        <f t="shared" si="975"/>
        <v>12393598.99999998</v>
      </c>
      <c r="R441">
        <f t="shared" si="976"/>
        <v>-52454660.480929278</v>
      </c>
      <c r="S441">
        <f t="shared" si="977"/>
        <v>-524.54660480929283</v>
      </c>
      <c r="T441">
        <f t="shared" si="978"/>
        <v>-0.52454660480929283</v>
      </c>
    </row>
    <row r="442" spans="1:20" x14ac:dyDescent="0.25">
      <c r="A442" s="5">
        <v>44151</v>
      </c>
      <c r="B442">
        <v>0.77900000000000003</v>
      </c>
      <c r="C442">
        <v>0.84099999999999997</v>
      </c>
      <c r="D442">
        <v>0.69099999999999995</v>
      </c>
      <c r="E442">
        <v>0.82499999999999996</v>
      </c>
      <c r="F442">
        <v>34085704.255999997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0.78666666666666651</v>
      </c>
      <c r="Q442">
        <f t="shared" si="975"/>
        <v>26814087.348053325</v>
      </c>
      <c r="R442">
        <f t="shared" si="976"/>
        <v>-64848259.480929255</v>
      </c>
      <c r="S442">
        <f t="shared" si="977"/>
        <v>-648.48259480929255</v>
      </c>
      <c r="T442">
        <f t="shared" si="978"/>
        <v>-0.6484825948092926</v>
      </c>
    </row>
    <row r="443" spans="1:20" x14ac:dyDescent="0.25">
      <c r="A443" s="5">
        <v>44150</v>
      </c>
      <c r="B443">
        <v>0.71</v>
      </c>
      <c r="C443">
        <v>0.84499999999999997</v>
      </c>
      <c r="D443">
        <v>0.70399999999999996</v>
      </c>
      <c r="E443">
        <v>0.78</v>
      </c>
      <c r="F443">
        <v>48454177.800999999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7.8014184397163969E-2</v>
      </c>
      <c r="Q443">
        <f t="shared" si="975"/>
        <v>3780113.1617801827</v>
      </c>
      <c r="R443">
        <f t="shared" si="976"/>
        <v>-91662346.828982577</v>
      </c>
      <c r="S443">
        <f t="shared" si="977"/>
        <v>-916.62346828982572</v>
      </c>
      <c r="T443">
        <f t="shared" si="978"/>
        <v>-0.91662346828982577</v>
      </c>
    </row>
    <row r="444" spans="1:20" x14ac:dyDescent="0.25">
      <c r="A444" s="5">
        <v>44149</v>
      </c>
      <c r="B444">
        <v>0.68300000000000005</v>
      </c>
      <c r="C444">
        <v>0.747</v>
      </c>
      <c r="D444">
        <v>0.59499999999999997</v>
      </c>
      <c r="E444">
        <v>0.71</v>
      </c>
      <c r="F444">
        <v>42304852.884000003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0.5131578947368417</v>
      </c>
      <c r="Q444">
        <f t="shared" si="975"/>
        <v>21709069.243105248</v>
      </c>
      <c r="R444">
        <f t="shared" si="976"/>
        <v>-95442459.990762755</v>
      </c>
      <c r="S444">
        <f t="shared" si="977"/>
        <v>-954.42459990762757</v>
      </c>
      <c r="T444">
        <f t="shared" si="978"/>
        <v>-0.95442459990762751</v>
      </c>
    </row>
    <row r="445" spans="1:20" x14ac:dyDescent="0.25">
      <c r="A445" s="5">
        <v>44148</v>
      </c>
      <c r="B445">
        <v>0.56399999999999995</v>
      </c>
      <c r="C445">
        <v>0.69899999999999995</v>
      </c>
      <c r="D445">
        <v>0.54600000000000004</v>
      </c>
      <c r="E445">
        <v>0.68400000000000005</v>
      </c>
      <c r="F445">
        <v>33698107.498000003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0.80392156862745212</v>
      </c>
      <c r="Q445">
        <f t="shared" si="975"/>
        <v>27090635.439568669</v>
      </c>
      <c r="R445">
        <f t="shared" si="976"/>
        <v>-117151529.233868</v>
      </c>
      <c r="S445">
        <f t="shared" si="977"/>
        <v>-1171.51529233868</v>
      </c>
      <c r="T445">
        <f t="shared" si="978"/>
        <v>-1.17151529233868</v>
      </c>
    </row>
    <row r="446" spans="1:20" x14ac:dyDescent="0.25">
      <c r="A446" s="5">
        <v>44147</v>
      </c>
      <c r="B446">
        <v>0.54400000000000004</v>
      </c>
      <c r="C446">
        <v>0.59499999999999997</v>
      </c>
      <c r="D446">
        <v>0.51200000000000001</v>
      </c>
      <c r="E446">
        <v>0.56299999999999994</v>
      </c>
      <c r="F446">
        <v>21078339.499000002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0.22891566265060137</v>
      </c>
      <c r="Q446">
        <f t="shared" si="975"/>
        <v>4825162.0539879305</v>
      </c>
      <c r="R446">
        <f t="shared" si="976"/>
        <v>-144242164.67343667</v>
      </c>
      <c r="S446">
        <f t="shared" si="977"/>
        <v>-1442.4216467343667</v>
      </c>
      <c r="T446">
        <f t="shared" si="978"/>
        <v>-1.4424216467343667</v>
      </c>
    </row>
    <row r="447" spans="1:20" x14ac:dyDescent="0.25">
      <c r="A447" s="5">
        <v>44146</v>
      </c>
      <c r="B447">
        <v>0.56499999999999995</v>
      </c>
      <c r="C447">
        <v>0.65500000000000003</v>
      </c>
      <c r="D447">
        <v>0.53100000000000003</v>
      </c>
      <c r="E447">
        <v>0.54400000000000004</v>
      </c>
      <c r="F447">
        <v>36501876.706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-0.79032258064516114</v>
      </c>
      <c r="Q447">
        <f t="shared" si="975"/>
        <v>-28848257.396677416</v>
      </c>
      <c r="R447">
        <f t="shared" si="976"/>
        <v>-149067326.72742459</v>
      </c>
      <c r="S447">
        <f t="shared" si="977"/>
        <v>-1490.673267274246</v>
      </c>
      <c r="T447">
        <f t="shared" si="978"/>
        <v>-1.490673267274246</v>
      </c>
    </row>
    <row r="448" spans="1:20" x14ac:dyDescent="0.25">
      <c r="A448" s="5">
        <v>44145</v>
      </c>
      <c r="B448">
        <v>0.45400000000000001</v>
      </c>
      <c r="C448">
        <v>0.60099999999999998</v>
      </c>
      <c r="D448">
        <v>0.443</v>
      </c>
      <c r="E448">
        <v>0.56599999999999995</v>
      </c>
      <c r="F448">
        <v>29849299.350000001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0.55696202531645522</v>
      </c>
      <c r="Q448">
        <f t="shared" si="975"/>
        <v>16624926.220253151</v>
      </c>
      <c r="R448">
        <f t="shared" si="976"/>
        <v>-120219069.33074717</v>
      </c>
      <c r="S448">
        <f t="shared" si="977"/>
        <v>-1202.1906933074717</v>
      </c>
      <c r="T448">
        <f t="shared" si="978"/>
        <v>-1.2021906933074717</v>
      </c>
    </row>
    <row r="449" spans="1:20" x14ac:dyDescent="0.25">
      <c r="A449" s="5">
        <v>44144</v>
      </c>
      <c r="B449">
        <v>0.47099999999999997</v>
      </c>
      <c r="C449">
        <v>0.496</v>
      </c>
      <c r="D449">
        <v>0.42199999999999999</v>
      </c>
      <c r="E449">
        <v>0.45400000000000001</v>
      </c>
      <c r="F449">
        <v>18552970.662</v>
      </c>
      <c r="G449">
        <v>0</v>
      </c>
      <c r="L449" t="s">
        <v>8</v>
      </c>
      <c r="M449" t="s">
        <v>7</v>
      </c>
      <c r="N449" t="s">
        <v>8</v>
      </c>
      <c r="P449">
        <f t="shared" si="974"/>
        <v>-0.13513513513513448</v>
      </c>
      <c r="Q449">
        <f t="shared" si="975"/>
        <v>-2507158.1975675556</v>
      </c>
      <c r="R449">
        <f t="shared" si="976"/>
        <v>-136843995.55100033</v>
      </c>
      <c r="S449">
        <f t="shared" si="977"/>
        <v>-1368.4399555100033</v>
      </c>
      <c r="T449">
        <f t="shared" si="978"/>
        <v>-1.3684399555100033</v>
      </c>
    </row>
    <row r="450" spans="1:20" x14ac:dyDescent="0.25">
      <c r="A450" s="5">
        <v>44143</v>
      </c>
      <c r="B450">
        <v>0.42899999999999999</v>
      </c>
      <c r="C450">
        <v>0.49</v>
      </c>
      <c r="D450">
        <v>0.41899999999999998</v>
      </c>
      <c r="E450">
        <v>0.47099999999999997</v>
      </c>
      <c r="F450">
        <v>18140673.752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0.4647887323943658</v>
      </c>
      <c r="Q450">
        <f t="shared" si="975"/>
        <v>8431580.7579718232</v>
      </c>
      <c r="R450">
        <f t="shared" si="976"/>
        <v>-134336837.35343277</v>
      </c>
      <c r="S450">
        <f t="shared" si="977"/>
        <v>-1343.3683735343277</v>
      </c>
      <c r="T450">
        <f t="shared" si="978"/>
        <v>-1.3433683735343278</v>
      </c>
    </row>
    <row r="451" spans="1:20" x14ac:dyDescent="0.25">
      <c r="A451" s="5">
        <v>44142</v>
      </c>
      <c r="B451">
        <v>0.437</v>
      </c>
      <c r="C451">
        <v>0.54800000000000004</v>
      </c>
      <c r="D451">
        <v>0.39500000000000002</v>
      </c>
      <c r="E451">
        <v>0.43</v>
      </c>
      <c r="F451">
        <v>41314241.816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-0.54248366013071936</v>
      </c>
      <c r="Q451">
        <f t="shared" si="975"/>
        <v>-22412301.115869299</v>
      </c>
      <c r="R451">
        <f t="shared" si="976"/>
        <v>-142768418.1114046</v>
      </c>
      <c r="S451">
        <f t="shared" si="977"/>
        <v>-1427.6841811140459</v>
      </c>
      <c r="T451">
        <f t="shared" si="978"/>
        <v>-1.4276841811140459</v>
      </c>
    </row>
    <row r="452" spans="1:20" x14ac:dyDescent="0.25">
      <c r="A452" s="5">
        <v>44141</v>
      </c>
      <c r="B452">
        <v>0.36199999999999999</v>
      </c>
      <c r="C452">
        <v>0.44800000000000001</v>
      </c>
      <c r="D452">
        <v>0.35599999999999998</v>
      </c>
      <c r="E452">
        <v>0.438</v>
      </c>
      <c r="F452">
        <v>19602793.329999998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0.78260869565217384</v>
      </c>
      <c r="Q452">
        <f t="shared" si="975"/>
        <v>15341316.519130431</v>
      </c>
      <c r="R452">
        <f t="shared" si="976"/>
        <v>-120356116.99553531</v>
      </c>
      <c r="S452">
        <f t="shared" si="977"/>
        <v>-1203.5611699553531</v>
      </c>
      <c r="T452">
        <f t="shared" si="978"/>
        <v>-1.203561169955353</v>
      </c>
    </row>
    <row r="453" spans="1:20" x14ac:dyDescent="0.25">
      <c r="A453" s="5">
        <v>44140</v>
      </c>
      <c r="B453">
        <v>0.34200000000000003</v>
      </c>
      <c r="C453">
        <v>0.38500000000000001</v>
      </c>
      <c r="D453">
        <v>0.33100000000000002</v>
      </c>
      <c r="E453">
        <v>0.36</v>
      </c>
      <c r="F453">
        <v>12432209.077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7.4074074074073126E-2</v>
      </c>
      <c r="Q453">
        <f t="shared" si="975"/>
        <v>920904.37607406231</v>
      </c>
      <c r="R453">
        <f t="shared" si="976"/>
        <v>-135697433.51466575</v>
      </c>
      <c r="S453">
        <f t="shared" si="977"/>
        <v>-1356.9743351466575</v>
      </c>
      <c r="T453">
        <f t="shared" si="978"/>
        <v>-1.3569743351466574</v>
      </c>
    </row>
    <row r="454" spans="1:20" x14ac:dyDescent="0.25">
      <c r="A454" s="5">
        <v>44139</v>
      </c>
      <c r="B454">
        <v>0.35599999999999998</v>
      </c>
      <c r="C454">
        <v>0.378</v>
      </c>
      <c r="D454">
        <v>0.33</v>
      </c>
      <c r="E454">
        <v>0.34200000000000003</v>
      </c>
      <c r="F454">
        <v>10564571.631999999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-0.49999999999999944</v>
      </c>
      <c r="Q454">
        <f t="shared" ref="Q454:Q517" si="980">F454*P454</f>
        <v>-5282285.8159999941</v>
      </c>
      <c r="R454">
        <f t="shared" ref="R454:R517" si="981">R455+Q454</f>
        <v>-136618337.89073983</v>
      </c>
      <c r="S454">
        <f t="shared" ref="S454:S517" si="982">R454/100000</f>
        <v>-1366.1833789073983</v>
      </c>
      <c r="T454">
        <f t="shared" ref="T454:T517" si="983">S454/1000</f>
        <v>-1.3661833789073983</v>
      </c>
    </row>
    <row r="455" spans="1:20" x14ac:dyDescent="0.25">
      <c r="A455" s="5">
        <v>44138</v>
      </c>
      <c r="B455">
        <v>0.36</v>
      </c>
      <c r="C455">
        <v>0.37</v>
      </c>
      <c r="D455">
        <v>0.34</v>
      </c>
      <c r="E455">
        <v>0.35599999999999998</v>
      </c>
      <c r="F455">
        <v>10354307.399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6.6666666666664945E-2</v>
      </c>
      <c r="Q455">
        <f t="shared" si="980"/>
        <v>690287.15993331547</v>
      </c>
      <c r="R455">
        <f t="shared" si="981"/>
        <v>-131336052.07473983</v>
      </c>
      <c r="S455">
        <f t="shared" si="982"/>
        <v>-1313.3605207473984</v>
      </c>
      <c r="T455">
        <f t="shared" si="983"/>
        <v>-1.3133605207473984</v>
      </c>
    </row>
    <row r="456" spans="1:20" x14ac:dyDescent="0.25">
      <c r="A456" s="5">
        <v>44137</v>
      </c>
      <c r="B456">
        <v>0.40200000000000002</v>
      </c>
      <c r="C456">
        <v>0.42499999999999999</v>
      </c>
      <c r="D456">
        <v>0.35599999999999998</v>
      </c>
      <c r="E456">
        <v>0.36099999999999999</v>
      </c>
      <c r="F456">
        <v>10191779.960000001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-0.85507246376811585</v>
      </c>
      <c r="Q456">
        <f t="shared" si="980"/>
        <v>-8714710.4005797096</v>
      </c>
      <c r="R456">
        <f t="shared" si="981"/>
        <v>-132026339.23467314</v>
      </c>
      <c r="S456">
        <f t="shared" si="982"/>
        <v>-1320.2633923467315</v>
      </c>
      <c r="T456">
        <f t="shared" si="983"/>
        <v>-1.3202633923467315</v>
      </c>
    </row>
    <row r="457" spans="1:20" x14ac:dyDescent="0.25">
      <c r="A457" s="5">
        <v>44136</v>
      </c>
      <c r="B457">
        <v>0.41599999999999998</v>
      </c>
      <c r="C457">
        <v>0.42299999999999999</v>
      </c>
      <c r="D457">
        <v>0.38800000000000001</v>
      </c>
      <c r="E457">
        <v>0.40100000000000002</v>
      </c>
      <c r="F457">
        <v>8422934.8059999999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-0.25714285714285595</v>
      </c>
      <c r="Q457">
        <f t="shared" si="980"/>
        <v>-2165897.5215428472</v>
      </c>
      <c r="R457">
        <f t="shared" si="981"/>
        <v>-123311628.83409344</v>
      </c>
      <c r="S457">
        <f t="shared" si="982"/>
        <v>-1233.1162883409343</v>
      </c>
      <c r="T457">
        <f t="shared" si="983"/>
        <v>-1.2331162883409343</v>
      </c>
    </row>
    <row r="458" spans="1:20" x14ac:dyDescent="0.25">
      <c r="A458" s="5">
        <v>44135</v>
      </c>
      <c r="B458">
        <v>0.39400000000000002</v>
      </c>
      <c r="C458">
        <v>0.45</v>
      </c>
      <c r="D458">
        <v>0.39</v>
      </c>
      <c r="E458">
        <v>0.41799999999999998</v>
      </c>
      <c r="F458">
        <v>13521422.573000001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-6.6666666666667651E-2</v>
      </c>
      <c r="Q458">
        <f t="shared" si="980"/>
        <v>-901428.17153334664</v>
      </c>
      <c r="R458">
        <f t="shared" si="981"/>
        <v>-121145731.31255059</v>
      </c>
      <c r="S458">
        <f t="shared" si="982"/>
        <v>-1211.4573131255058</v>
      </c>
      <c r="T458">
        <f t="shared" si="983"/>
        <v>-1.2114573131255058</v>
      </c>
    </row>
    <row r="459" spans="1:20" x14ac:dyDescent="0.25">
      <c r="A459" s="5">
        <v>44134</v>
      </c>
      <c r="B459">
        <v>0.44500000000000001</v>
      </c>
      <c r="C459">
        <v>0.46300000000000002</v>
      </c>
      <c r="D459">
        <v>0.377</v>
      </c>
      <c r="E459">
        <v>0.39300000000000002</v>
      </c>
      <c r="F459">
        <v>24964152.668000001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-0.62790697674418583</v>
      </c>
      <c r="Q459">
        <f t="shared" si="980"/>
        <v>-15675165.628744181</v>
      </c>
      <c r="R459">
        <f t="shared" si="981"/>
        <v>-120244303.14101724</v>
      </c>
      <c r="S459">
        <f t="shared" si="982"/>
        <v>-1202.4430314101724</v>
      </c>
      <c r="T459">
        <f t="shared" si="983"/>
        <v>-1.2024430314101724</v>
      </c>
    </row>
    <row r="460" spans="1:20" x14ac:dyDescent="0.25">
      <c r="A460" s="5">
        <v>44133</v>
      </c>
      <c r="B460">
        <v>0.49</v>
      </c>
      <c r="C460">
        <v>0.52300000000000002</v>
      </c>
      <c r="D460">
        <v>0.42899999999999999</v>
      </c>
      <c r="E460">
        <v>0.44600000000000001</v>
      </c>
      <c r="F460">
        <v>25198499.633000001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-0.63829787234042534</v>
      </c>
      <c r="Q460">
        <f t="shared" si="980"/>
        <v>-16084148.70191489</v>
      </c>
      <c r="R460">
        <f t="shared" si="981"/>
        <v>-104569137.51227306</v>
      </c>
      <c r="S460">
        <f t="shared" si="982"/>
        <v>-1045.6913751227305</v>
      </c>
      <c r="T460">
        <f t="shared" si="983"/>
        <v>-1.0456913751227306</v>
      </c>
    </row>
    <row r="461" spans="1:20" x14ac:dyDescent="0.25">
      <c r="A461" s="5">
        <v>44132</v>
      </c>
      <c r="B461">
        <v>0.65700000000000003</v>
      </c>
      <c r="C461">
        <v>0.66500000000000004</v>
      </c>
      <c r="D461">
        <v>0.45100000000000001</v>
      </c>
      <c r="E461">
        <v>0.49099999999999999</v>
      </c>
      <c r="F461">
        <v>39924419.641000003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-0.6261682242990656</v>
      </c>
      <c r="Q461">
        <f t="shared" si="980"/>
        <v>-24999402.952775709</v>
      </c>
      <c r="R461">
        <f t="shared" si="981"/>
        <v>-88484988.810358167</v>
      </c>
      <c r="S461">
        <f t="shared" si="982"/>
        <v>-884.84988810358163</v>
      </c>
      <c r="T461">
        <f t="shared" si="983"/>
        <v>-0.88484988810358167</v>
      </c>
    </row>
    <row r="462" spans="1:20" x14ac:dyDescent="0.25">
      <c r="A462" s="5">
        <v>44131</v>
      </c>
      <c r="B462">
        <v>0.40500000000000003</v>
      </c>
      <c r="C462">
        <v>0.67800000000000005</v>
      </c>
      <c r="D462">
        <v>0.38800000000000001</v>
      </c>
      <c r="E462">
        <v>0.65700000000000003</v>
      </c>
      <c r="F462">
        <v>49390447.850000001</v>
      </c>
      <c r="G462">
        <v>0</v>
      </c>
      <c r="L462" t="s">
        <v>8</v>
      </c>
      <c r="M462" t="s">
        <v>8</v>
      </c>
      <c r="N462" t="s">
        <v>8</v>
      </c>
      <c r="P462">
        <f t="shared" si="979"/>
        <v>0.85517241379310338</v>
      </c>
      <c r="Q462">
        <f t="shared" si="980"/>
        <v>42237348.506206892</v>
      </c>
      <c r="R462">
        <f t="shared" si="981"/>
        <v>-63485585.857582457</v>
      </c>
      <c r="S462">
        <f t="shared" si="982"/>
        <v>-634.85585857582453</v>
      </c>
      <c r="T462">
        <f t="shared" si="983"/>
        <v>-0.63485585857582449</v>
      </c>
    </row>
    <row r="463" spans="1:20" x14ac:dyDescent="0.25">
      <c r="A463" s="5">
        <v>44130</v>
      </c>
      <c r="B463">
        <v>0.33700000000000002</v>
      </c>
      <c r="C463">
        <v>0.443</v>
      </c>
      <c r="D463">
        <v>0.33300000000000002</v>
      </c>
      <c r="E463">
        <v>0.40500000000000003</v>
      </c>
      <c r="F463">
        <v>28247224.059999999</v>
      </c>
      <c r="G463">
        <v>0</v>
      </c>
      <c r="L463" t="s">
        <v>8</v>
      </c>
      <c r="M463" t="s">
        <v>8</v>
      </c>
      <c r="N463" t="s">
        <v>7</v>
      </c>
      <c r="P463">
        <f t="shared" si="979"/>
        <v>0.30909090909090942</v>
      </c>
      <c r="Q463">
        <f t="shared" si="980"/>
        <v>8730960.1640000083</v>
      </c>
      <c r="R463">
        <f t="shared" si="981"/>
        <v>-105722934.36378935</v>
      </c>
      <c r="S463">
        <f t="shared" si="982"/>
        <v>-1057.2293436378934</v>
      </c>
      <c r="T463">
        <f t="shared" si="983"/>
        <v>-1.0572293436378934</v>
      </c>
    </row>
    <row r="464" spans="1:20" x14ac:dyDescent="0.25">
      <c r="A464" s="5">
        <v>44129</v>
      </c>
      <c r="B464">
        <v>0.374</v>
      </c>
      <c r="C464">
        <v>0.38200000000000001</v>
      </c>
      <c r="D464">
        <v>0.32800000000000001</v>
      </c>
      <c r="E464">
        <v>0.33700000000000002</v>
      </c>
      <c r="F464">
        <v>10644650.870999999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-0.6666666666666663</v>
      </c>
      <c r="Q464">
        <f t="shared" si="980"/>
        <v>-7096433.9139999952</v>
      </c>
      <c r="R464">
        <f t="shared" si="981"/>
        <v>-114453894.52778935</v>
      </c>
      <c r="S464">
        <f t="shared" si="982"/>
        <v>-1144.5389452778936</v>
      </c>
      <c r="T464">
        <f t="shared" si="983"/>
        <v>-1.1445389452778936</v>
      </c>
    </row>
    <row r="465" spans="1:20" x14ac:dyDescent="0.25">
      <c r="A465" s="5">
        <v>44128</v>
      </c>
      <c r="B465">
        <v>0.379</v>
      </c>
      <c r="C465">
        <v>0.38300000000000001</v>
      </c>
      <c r="D465">
        <v>0.35399999999999998</v>
      </c>
      <c r="E465">
        <v>0.372</v>
      </c>
      <c r="F465">
        <v>11790315.08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0.2413793103448276</v>
      </c>
      <c r="Q465">
        <f t="shared" si="980"/>
        <v>2845938.1227586209</v>
      </c>
      <c r="R465">
        <f t="shared" si="981"/>
        <v>-107357460.61378936</v>
      </c>
      <c r="S465">
        <f t="shared" si="982"/>
        <v>-1073.5746061378936</v>
      </c>
      <c r="T465">
        <f t="shared" si="983"/>
        <v>-1.0735746061378937</v>
      </c>
    </row>
    <row r="466" spans="1:20" x14ac:dyDescent="0.25">
      <c r="A466" s="5">
        <v>44127</v>
      </c>
      <c r="B466">
        <v>0.40799999999999997</v>
      </c>
      <c r="C466">
        <v>0.41199999999999998</v>
      </c>
      <c r="D466">
        <v>0.36799999999999999</v>
      </c>
      <c r="E466">
        <v>0.379</v>
      </c>
      <c r="F466">
        <v>9265882.7369999997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-0.49999999999999939</v>
      </c>
      <c r="Q466">
        <f t="shared" si="980"/>
        <v>-4632941.3684999943</v>
      </c>
      <c r="R466">
        <f t="shared" si="981"/>
        <v>-110203398.73654799</v>
      </c>
      <c r="S466">
        <f t="shared" si="982"/>
        <v>-1102.03398736548</v>
      </c>
      <c r="T466">
        <f t="shared" si="983"/>
        <v>-1.1020339873654801</v>
      </c>
    </row>
    <row r="467" spans="1:20" x14ac:dyDescent="0.25">
      <c r="A467" s="5">
        <v>44126</v>
      </c>
      <c r="B467">
        <v>0.38300000000000001</v>
      </c>
      <c r="C467">
        <v>0.43099999999999999</v>
      </c>
      <c r="D467">
        <v>0.38200000000000001</v>
      </c>
      <c r="E467">
        <v>0.40899999999999997</v>
      </c>
      <c r="F467">
        <v>11217181.438999999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0.1020408163265296</v>
      </c>
      <c r="Q467">
        <f t="shared" si="980"/>
        <v>1144610.3509183559</v>
      </c>
      <c r="R467">
        <f t="shared" si="981"/>
        <v>-105570457.368048</v>
      </c>
      <c r="S467">
        <f t="shared" si="982"/>
        <v>-1055.7045736804801</v>
      </c>
      <c r="T467">
        <f t="shared" si="983"/>
        <v>-1.05570457368048</v>
      </c>
    </row>
    <row r="468" spans="1:20" x14ac:dyDescent="0.25">
      <c r="A468" s="5">
        <v>44125</v>
      </c>
      <c r="B468">
        <v>0.35799999999999998</v>
      </c>
      <c r="C468">
        <v>0.40400000000000003</v>
      </c>
      <c r="D468">
        <v>0.35699999999999998</v>
      </c>
      <c r="E468">
        <v>0.38400000000000001</v>
      </c>
      <c r="F468">
        <v>13041921.652000001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0.14893617021276595</v>
      </c>
      <c r="Q468">
        <f t="shared" si="980"/>
        <v>1942413.8630638297</v>
      </c>
      <c r="R468">
        <f t="shared" si="981"/>
        <v>-106715067.71896635</v>
      </c>
      <c r="S468">
        <f t="shared" si="982"/>
        <v>-1067.1506771896636</v>
      </c>
      <c r="T468">
        <f t="shared" si="983"/>
        <v>-1.0671506771896637</v>
      </c>
    </row>
    <row r="469" spans="1:20" x14ac:dyDescent="0.25">
      <c r="A469" s="5">
        <v>44124</v>
      </c>
      <c r="B469">
        <v>0.41299999999999998</v>
      </c>
      <c r="C469">
        <v>0.41699999999999998</v>
      </c>
      <c r="D469">
        <v>0.35399999999999998</v>
      </c>
      <c r="E469">
        <v>0.35899999999999999</v>
      </c>
      <c r="F469">
        <v>15231672.33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-0.84126984126984117</v>
      </c>
      <c r="Q469">
        <f t="shared" si="980"/>
        <v>-12813946.563333333</v>
      </c>
      <c r="R469">
        <f t="shared" si="981"/>
        <v>-108657481.58203018</v>
      </c>
      <c r="S469">
        <f t="shared" si="982"/>
        <v>-1086.5748158203019</v>
      </c>
      <c r="T469">
        <f t="shared" si="983"/>
        <v>-1.0865748158203019</v>
      </c>
    </row>
    <row r="470" spans="1:20" x14ac:dyDescent="0.25">
      <c r="A470" s="5">
        <v>44123</v>
      </c>
      <c r="B470">
        <v>0.45600000000000002</v>
      </c>
      <c r="C470">
        <v>0.45800000000000002</v>
      </c>
      <c r="D470">
        <v>0.40799999999999997</v>
      </c>
      <c r="E470">
        <v>0.41299999999999998</v>
      </c>
      <c r="F470">
        <v>10101635.204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-0.8</v>
      </c>
      <c r="Q470">
        <f t="shared" si="980"/>
        <v>-8081308.1632000003</v>
      </c>
      <c r="R470">
        <f t="shared" si="981"/>
        <v>-95843535.018696845</v>
      </c>
      <c r="S470">
        <f t="shared" si="982"/>
        <v>-958.43535018696844</v>
      </c>
      <c r="T470">
        <f t="shared" si="983"/>
        <v>-0.95843535018696846</v>
      </c>
    </row>
    <row r="471" spans="1:20" x14ac:dyDescent="0.25">
      <c r="A471" s="5">
        <v>44122</v>
      </c>
      <c r="B471">
        <v>0.435</v>
      </c>
      <c r="C471">
        <v>0.47499999999999998</v>
      </c>
      <c r="D471">
        <v>0.434</v>
      </c>
      <c r="E471">
        <v>0.45500000000000002</v>
      </c>
      <c r="F471">
        <v>7111837.5250000004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2.4390243902440413E-2</v>
      </c>
      <c r="Q471">
        <f t="shared" si="980"/>
        <v>173459.45182927817</v>
      </c>
      <c r="R471">
        <f t="shared" si="981"/>
        <v>-87762226.855496839</v>
      </c>
      <c r="S471">
        <f t="shared" si="982"/>
        <v>-877.6222685549684</v>
      </c>
      <c r="T471">
        <f t="shared" si="983"/>
        <v>-0.87762226855496839</v>
      </c>
    </row>
    <row r="472" spans="1:20" x14ac:dyDescent="0.25">
      <c r="A472" s="5">
        <v>44121</v>
      </c>
      <c r="B472">
        <v>0.43099999999999999</v>
      </c>
      <c r="C472">
        <v>0.45600000000000002</v>
      </c>
      <c r="D472">
        <v>0.41799999999999998</v>
      </c>
      <c r="E472">
        <v>0.436</v>
      </c>
      <c r="F472">
        <v>8144632.4699999997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-5.2631578947368418E-2</v>
      </c>
      <c r="Q472">
        <f t="shared" si="980"/>
        <v>-428664.86684210523</v>
      </c>
      <c r="R472">
        <f t="shared" si="981"/>
        <v>-87935686.307326123</v>
      </c>
      <c r="S472">
        <f t="shared" si="982"/>
        <v>-879.35686307326125</v>
      </c>
      <c r="T472">
        <f t="shared" si="983"/>
        <v>-0.87935686307326122</v>
      </c>
    </row>
    <row r="473" spans="1:20" x14ac:dyDescent="0.25">
      <c r="A473" s="5">
        <v>44120</v>
      </c>
      <c r="B473">
        <v>0.499</v>
      </c>
      <c r="C473">
        <v>0.51400000000000001</v>
      </c>
      <c r="D473">
        <v>0.42499999999999999</v>
      </c>
      <c r="E473">
        <v>0.43099999999999999</v>
      </c>
      <c r="F473">
        <v>11489728.596000001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-0.86516853932584259</v>
      </c>
      <c r="Q473">
        <f t="shared" si="980"/>
        <v>-9940551.7066516858</v>
      </c>
      <c r="R473">
        <f t="shared" si="981"/>
        <v>-87507021.440484017</v>
      </c>
      <c r="S473">
        <f t="shared" si="982"/>
        <v>-875.07021440484016</v>
      </c>
      <c r="T473">
        <f t="shared" si="983"/>
        <v>-0.87507021440484012</v>
      </c>
    </row>
    <row r="474" spans="1:20" x14ac:dyDescent="0.25">
      <c r="A474" s="5">
        <v>44119</v>
      </c>
      <c r="B474">
        <v>0.503</v>
      </c>
      <c r="C474">
        <v>0.50800000000000001</v>
      </c>
      <c r="D474">
        <v>0.48</v>
      </c>
      <c r="E474">
        <v>0.499</v>
      </c>
      <c r="F474">
        <v>7385313.0669999998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0.35714285714285715</v>
      </c>
      <c r="Q474">
        <f t="shared" si="980"/>
        <v>2637611.8096428569</v>
      </c>
      <c r="R474">
        <f t="shared" si="981"/>
        <v>-77566469.73383233</v>
      </c>
      <c r="S474">
        <f t="shared" si="982"/>
        <v>-775.66469733832332</v>
      </c>
      <c r="T474">
        <f t="shared" si="983"/>
        <v>-0.77566469733832333</v>
      </c>
    </row>
    <row r="475" spans="1:20" x14ac:dyDescent="0.25">
      <c r="A475" s="5">
        <v>44118</v>
      </c>
      <c r="B475">
        <v>0.54800000000000004</v>
      </c>
      <c r="C475">
        <v>0.55400000000000005</v>
      </c>
      <c r="D475">
        <v>0.47799999999999998</v>
      </c>
      <c r="E475">
        <v>0.503</v>
      </c>
      <c r="F475">
        <v>10776793.696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-0.34210526315789475</v>
      </c>
      <c r="Q475">
        <f t="shared" si="980"/>
        <v>-3686797.8433684213</v>
      </c>
      <c r="R475">
        <f t="shared" si="981"/>
        <v>-80204081.543475181</v>
      </c>
      <c r="S475">
        <f t="shared" si="982"/>
        <v>-802.04081543475183</v>
      </c>
      <c r="T475">
        <f t="shared" si="983"/>
        <v>-0.80204081543475181</v>
      </c>
    </row>
    <row r="476" spans="1:20" x14ac:dyDescent="0.25">
      <c r="A476" s="5">
        <v>44117</v>
      </c>
      <c r="B476">
        <v>0.57099999999999995</v>
      </c>
      <c r="C476">
        <v>0.57399999999999995</v>
      </c>
      <c r="D476">
        <v>0.53200000000000003</v>
      </c>
      <c r="E476">
        <v>0.54500000000000004</v>
      </c>
      <c r="F476">
        <v>6544549.2340000002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-0.38095238095237932</v>
      </c>
      <c r="Q476">
        <f t="shared" si="980"/>
        <v>-2493161.6129523702</v>
      </c>
      <c r="R476">
        <f t="shared" si="981"/>
        <v>-76517283.700106755</v>
      </c>
      <c r="S476">
        <f t="shared" si="982"/>
        <v>-765.17283700106759</v>
      </c>
      <c r="T476">
        <f t="shared" si="983"/>
        <v>-0.76517283700106764</v>
      </c>
    </row>
    <row r="477" spans="1:20" x14ac:dyDescent="0.25">
      <c r="A477" s="5">
        <v>44116</v>
      </c>
      <c r="B477">
        <v>0.55800000000000005</v>
      </c>
      <c r="C477">
        <v>0.59899999999999998</v>
      </c>
      <c r="D477">
        <v>0.53600000000000003</v>
      </c>
      <c r="E477">
        <v>0.57099999999999995</v>
      </c>
      <c r="F477">
        <v>8421794.8499999996</v>
      </c>
      <c r="G477">
        <v>0</v>
      </c>
      <c r="L477" t="s">
        <v>8</v>
      </c>
      <c r="M477" t="s">
        <v>7</v>
      </c>
      <c r="N477" t="s">
        <v>8</v>
      </c>
      <c r="P477">
        <f t="shared" si="979"/>
        <v>0.11111111111110955</v>
      </c>
      <c r="Q477">
        <f t="shared" si="980"/>
        <v>935754.98333332012</v>
      </c>
      <c r="R477">
        <f t="shared" si="981"/>
        <v>-74024122.087154388</v>
      </c>
      <c r="S477">
        <f t="shared" si="982"/>
        <v>-740.24122087154387</v>
      </c>
      <c r="T477">
        <f t="shared" si="983"/>
        <v>-0.74024122087154387</v>
      </c>
    </row>
    <row r="478" spans="1:20" x14ac:dyDescent="0.25">
      <c r="A478" s="5">
        <v>44115</v>
      </c>
      <c r="B478">
        <v>0.55900000000000005</v>
      </c>
      <c r="C478">
        <v>0.57999999999999996</v>
      </c>
      <c r="D478">
        <v>0.52500000000000002</v>
      </c>
      <c r="E478">
        <v>0.55900000000000005</v>
      </c>
      <c r="F478">
        <v>8386741.9979999997</v>
      </c>
      <c r="G478">
        <v>0</v>
      </c>
      <c r="L478" t="s">
        <v>7</v>
      </c>
      <c r="M478" t="s">
        <v>7</v>
      </c>
      <c r="N478" t="s">
        <v>8</v>
      </c>
      <c r="P478">
        <f t="shared" si="979"/>
        <v>0.23636363636363886</v>
      </c>
      <c r="Q478">
        <f t="shared" si="980"/>
        <v>1982320.8358909299</v>
      </c>
      <c r="R478">
        <f t="shared" si="981"/>
        <v>-74959877.070487708</v>
      </c>
      <c r="S478">
        <f t="shared" si="982"/>
        <v>-749.5987707048771</v>
      </c>
      <c r="T478">
        <f t="shared" si="983"/>
        <v>-0.74959877070487713</v>
      </c>
    </row>
    <row r="479" spans="1:20" x14ac:dyDescent="0.25">
      <c r="A479" s="5">
        <v>44114</v>
      </c>
      <c r="B479">
        <v>0.623</v>
      </c>
      <c r="C479">
        <v>0.64700000000000002</v>
      </c>
      <c r="D479">
        <v>0.54700000000000004</v>
      </c>
      <c r="E479">
        <v>0.55800000000000005</v>
      </c>
      <c r="F479">
        <v>11517182.202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-0.7799999999999998</v>
      </c>
      <c r="Q479">
        <f t="shared" si="980"/>
        <v>-8983402.1175599974</v>
      </c>
      <c r="R479">
        <f t="shared" si="981"/>
        <v>-76942197.906378642</v>
      </c>
      <c r="S479">
        <f t="shared" si="982"/>
        <v>-769.42197906378647</v>
      </c>
      <c r="T479">
        <f t="shared" si="983"/>
        <v>-0.76942197906378651</v>
      </c>
    </row>
    <row r="480" spans="1:20" x14ac:dyDescent="0.25">
      <c r="A480" s="5">
        <v>44113</v>
      </c>
      <c r="B480">
        <v>0.55900000000000005</v>
      </c>
      <c r="C480">
        <v>0.63900000000000001</v>
      </c>
      <c r="D480">
        <v>0.51800000000000002</v>
      </c>
      <c r="E480">
        <v>0.623</v>
      </c>
      <c r="F480">
        <v>17919160.824000001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0.7355371900826444</v>
      </c>
      <c r="Q480">
        <f t="shared" si="980"/>
        <v>13180209.201123964</v>
      </c>
      <c r="R480">
        <f t="shared" si="981"/>
        <v>-67958795.788818642</v>
      </c>
      <c r="S480">
        <f t="shared" si="982"/>
        <v>-679.58795788818645</v>
      </c>
      <c r="T480">
        <f t="shared" si="983"/>
        <v>-0.67958795788818649</v>
      </c>
    </row>
    <row r="481" spans="1:20" x14ac:dyDescent="0.25">
      <c r="A481" s="5">
        <v>44112</v>
      </c>
      <c r="B481">
        <v>0.52600000000000002</v>
      </c>
      <c r="C481">
        <v>0.57899999999999996</v>
      </c>
      <c r="D481">
        <v>0.46200000000000002</v>
      </c>
      <c r="E481">
        <v>0.56100000000000005</v>
      </c>
      <c r="F481">
        <v>18193662.364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0.69230769230769373</v>
      </c>
      <c r="Q481">
        <f t="shared" si="980"/>
        <v>12595612.40584618</v>
      </c>
      <c r="R481">
        <f t="shared" si="981"/>
        <v>-81139004.98994261</v>
      </c>
      <c r="S481">
        <f t="shared" si="982"/>
        <v>-811.39004989942612</v>
      </c>
      <c r="T481">
        <f t="shared" si="983"/>
        <v>-0.81139004989942609</v>
      </c>
    </row>
    <row r="482" spans="1:20" x14ac:dyDescent="0.25">
      <c r="A482" s="5">
        <v>44111</v>
      </c>
      <c r="B482">
        <v>0.50700000000000001</v>
      </c>
      <c r="C482">
        <v>0.53</v>
      </c>
      <c r="D482">
        <v>0.45500000000000002</v>
      </c>
      <c r="E482">
        <v>0.52600000000000002</v>
      </c>
      <c r="F482">
        <v>18502756.368999999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0.8933333333333332</v>
      </c>
      <c r="Q482">
        <f t="shared" si="980"/>
        <v>16529129.022973331</v>
      </c>
      <c r="R482">
        <f t="shared" si="981"/>
        <v>-93734617.395788789</v>
      </c>
      <c r="S482">
        <f t="shared" si="982"/>
        <v>-937.34617395788791</v>
      </c>
      <c r="T482">
        <f t="shared" si="983"/>
        <v>-0.93734617395788788</v>
      </c>
    </row>
    <row r="483" spans="1:20" x14ac:dyDescent="0.25">
      <c r="A483" s="5">
        <v>44110</v>
      </c>
      <c r="B483">
        <v>0.63300000000000001</v>
      </c>
      <c r="C483">
        <v>0.63400000000000001</v>
      </c>
      <c r="D483">
        <v>0.49399999999999999</v>
      </c>
      <c r="E483">
        <v>0.50700000000000001</v>
      </c>
      <c r="F483">
        <v>18189571.862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-0.81428571428571417</v>
      </c>
      <c r="Q483">
        <f t="shared" si="980"/>
        <v>-14811508.516199999</v>
      </c>
      <c r="R483">
        <f t="shared" si="981"/>
        <v>-110263746.41876212</v>
      </c>
      <c r="S483">
        <f t="shared" si="982"/>
        <v>-1102.6374641876212</v>
      </c>
      <c r="T483">
        <f t="shared" si="983"/>
        <v>-1.1026374641876211</v>
      </c>
    </row>
    <row r="484" spans="1:20" x14ac:dyDescent="0.25">
      <c r="A484" s="5">
        <v>44109</v>
      </c>
      <c r="B484">
        <v>0.69699999999999995</v>
      </c>
      <c r="C484">
        <v>0.72099999999999997</v>
      </c>
      <c r="D484">
        <v>0.61399999999999999</v>
      </c>
      <c r="E484">
        <v>0.63200000000000001</v>
      </c>
      <c r="F484">
        <v>10043965.188999999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-0.66355140186915851</v>
      </c>
      <c r="Q484">
        <f t="shared" si="980"/>
        <v>-6664687.181485977</v>
      </c>
      <c r="R484">
        <f t="shared" si="981"/>
        <v>-95452237.902562112</v>
      </c>
      <c r="S484">
        <f t="shared" si="982"/>
        <v>-954.52237902562115</v>
      </c>
      <c r="T484">
        <f t="shared" si="983"/>
        <v>-0.9545223790256212</v>
      </c>
    </row>
    <row r="485" spans="1:20" x14ac:dyDescent="0.25">
      <c r="A485" s="5">
        <v>44108</v>
      </c>
      <c r="B485">
        <v>0.76600000000000001</v>
      </c>
      <c r="C485">
        <v>0.76900000000000002</v>
      </c>
      <c r="D485">
        <v>0.67400000000000004</v>
      </c>
      <c r="E485">
        <v>0.69699999999999995</v>
      </c>
      <c r="F485">
        <v>8981437.9900000002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-0.51578947368421235</v>
      </c>
      <c r="Q485">
        <f t="shared" si="980"/>
        <v>-4632531.17378949</v>
      </c>
      <c r="R485">
        <f t="shared" si="981"/>
        <v>-88787550.721076131</v>
      </c>
      <c r="S485">
        <f t="shared" si="982"/>
        <v>-887.87550721076127</v>
      </c>
      <c r="T485">
        <f t="shared" si="983"/>
        <v>-0.88787550721076125</v>
      </c>
    </row>
    <row r="486" spans="1:20" x14ac:dyDescent="0.25">
      <c r="A486" s="5">
        <v>44107</v>
      </c>
      <c r="B486">
        <v>0.76500000000000001</v>
      </c>
      <c r="C486">
        <v>0.81100000000000005</v>
      </c>
      <c r="D486">
        <v>0.74199999999999999</v>
      </c>
      <c r="E486">
        <v>0.76800000000000002</v>
      </c>
      <c r="F486">
        <v>7115744.2699999996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-0.24637681159420291</v>
      </c>
      <c r="Q486">
        <f t="shared" si="980"/>
        <v>-1753154.3853623187</v>
      </c>
      <c r="R486">
        <f t="shared" si="981"/>
        <v>-84155019.547286645</v>
      </c>
      <c r="S486">
        <f t="shared" si="982"/>
        <v>-841.55019547286645</v>
      </c>
      <c r="T486">
        <f t="shared" si="983"/>
        <v>-0.84155019547286647</v>
      </c>
    </row>
    <row r="487" spans="1:20" x14ac:dyDescent="0.25">
      <c r="A487" s="5">
        <v>44106</v>
      </c>
      <c r="B487">
        <v>0.86299999999999999</v>
      </c>
      <c r="C487">
        <v>0.877</v>
      </c>
      <c r="D487">
        <v>0.72599999999999998</v>
      </c>
      <c r="E487">
        <v>0.76500000000000001</v>
      </c>
      <c r="F487">
        <v>10249771.978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-0.48344370860927116</v>
      </c>
      <c r="Q487">
        <f t="shared" si="980"/>
        <v>-4955187.7774437051</v>
      </c>
      <c r="R487">
        <f t="shared" si="981"/>
        <v>-82401865.161924332</v>
      </c>
      <c r="S487">
        <f t="shared" si="982"/>
        <v>-824.01865161924331</v>
      </c>
      <c r="T487">
        <f t="shared" si="983"/>
        <v>-0.82401865161924337</v>
      </c>
    </row>
    <row r="488" spans="1:20" x14ac:dyDescent="0.25">
      <c r="A488" s="5">
        <v>44105</v>
      </c>
      <c r="B488">
        <v>0.95</v>
      </c>
      <c r="C488">
        <v>0.98499999999999999</v>
      </c>
      <c r="D488">
        <v>0.82299999999999995</v>
      </c>
      <c r="E488">
        <v>0.86399999999999999</v>
      </c>
      <c r="F488">
        <v>9131513.0329999998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-0.4938271604938268</v>
      </c>
      <c r="Q488">
        <f t="shared" si="980"/>
        <v>-4509389.1520987619</v>
      </c>
      <c r="R488">
        <f t="shared" si="981"/>
        <v>-77446677.384480625</v>
      </c>
      <c r="S488">
        <f t="shared" si="982"/>
        <v>-774.4667738448062</v>
      </c>
      <c r="T488">
        <f t="shared" si="983"/>
        <v>-0.77446677384480622</v>
      </c>
    </row>
    <row r="489" spans="1:20" x14ac:dyDescent="0.25">
      <c r="A489" s="5">
        <v>44104</v>
      </c>
      <c r="B489">
        <v>0.95299999999999996</v>
      </c>
      <c r="C489">
        <v>0.97</v>
      </c>
      <c r="D489">
        <v>0.90900000000000003</v>
      </c>
      <c r="E489">
        <v>0.94899999999999995</v>
      </c>
      <c r="F489">
        <v>6921674.6739999996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0.31147540983606431</v>
      </c>
      <c r="Q489">
        <f t="shared" si="980"/>
        <v>2155931.4558360567</v>
      </c>
      <c r="R489">
        <f t="shared" si="981"/>
        <v>-72937288.232381865</v>
      </c>
      <c r="S489">
        <f t="shared" si="982"/>
        <v>-729.37288232381866</v>
      </c>
      <c r="T489">
        <f t="shared" si="983"/>
        <v>-0.72937288232381869</v>
      </c>
    </row>
    <row r="490" spans="1:20" x14ac:dyDescent="0.25">
      <c r="A490" s="5">
        <v>44103</v>
      </c>
      <c r="B490">
        <v>1.0009999999999999</v>
      </c>
      <c r="C490">
        <v>1.0209999999999999</v>
      </c>
      <c r="D490">
        <v>0.90600000000000003</v>
      </c>
      <c r="E490">
        <v>0.95099999999999996</v>
      </c>
      <c r="F490">
        <v>7314006.5970000001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-0.2173913043478265</v>
      </c>
      <c r="Q490">
        <f t="shared" si="980"/>
        <v>-1590001.4341304379</v>
      </c>
      <c r="R490">
        <f t="shared" si="981"/>
        <v>-75093219.688217923</v>
      </c>
      <c r="S490">
        <f t="shared" si="982"/>
        <v>-750.93219688217926</v>
      </c>
      <c r="T490">
        <f t="shared" si="983"/>
        <v>-0.75093219688217927</v>
      </c>
    </row>
    <row r="491" spans="1:20" x14ac:dyDescent="0.25">
      <c r="A491" s="5">
        <v>44102</v>
      </c>
      <c r="B491">
        <v>1.04</v>
      </c>
      <c r="C491">
        <v>1.1000000000000001</v>
      </c>
      <c r="D491">
        <v>0.97099999999999997</v>
      </c>
      <c r="E491">
        <v>1.002</v>
      </c>
      <c r="F491">
        <v>9448248.8839999996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-0.51937984496124034</v>
      </c>
      <c r="Q491">
        <f t="shared" si="980"/>
        <v>-4907230.0405271323</v>
      </c>
      <c r="R491">
        <f t="shared" si="981"/>
        <v>-73503218.254087478</v>
      </c>
      <c r="S491">
        <f t="shared" si="982"/>
        <v>-735.03218254087483</v>
      </c>
      <c r="T491">
        <f t="shared" si="983"/>
        <v>-0.73503218254087488</v>
      </c>
    </row>
    <row r="492" spans="1:20" x14ac:dyDescent="0.25">
      <c r="A492" s="5">
        <v>44101</v>
      </c>
      <c r="B492">
        <v>1.1140000000000001</v>
      </c>
      <c r="C492">
        <v>1.135</v>
      </c>
      <c r="D492">
        <v>0.97799999999999998</v>
      </c>
      <c r="E492">
        <v>1.04</v>
      </c>
      <c r="F492">
        <v>9173508.3690000009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-0.21019108280254722</v>
      </c>
      <c r="Q492">
        <f t="shared" si="980"/>
        <v>-1928189.6571783391</v>
      </c>
      <c r="R492">
        <f t="shared" si="981"/>
        <v>-68595988.213560343</v>
      </c>
      <c r="S492">
        <f t="shared" si="982"/>
        <v>-685.95988213560338</v>
      </c>
      <c r="T492">
        <f t="shared" si="983"/>
        <v>-0.68595988213560333</v>
      </c>
    </row>
    <row r="493" spans="1:20" x14ac:dyDescent="0.25">
      <c r="A493" s="5">
        <v>44100</v>
      </c>
      <c r="B493">
        <v>0.97399999999999998</v>
      </c>
      <c r="C493">
        <v>1.143</v>
      </c>
      <c r="D493">
        <v>0.97</v>
      </c>
      <c r="E493">
        <v>1.1140000000000001</v>
      </c>
      <c r="F493">
        <v>13117289.978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0.66473988439306464</v>
      </c>
      <c r="Q493">
        <f t="shared" si="980"/>
        <v>8719585.8235260248</v>
      </c>
      <c r="R493">
        <f t="shared" si="981"/>
        <v>-66667798.556382</v>
      </c>
      <c r="S493">
        <f t="shared" si="982"/>
        <v>-666.67798556382002</v>
      </c>
      <c r="T493">
        <f t="shared" si="983"/>
        <v>-0.66667798556381996</v>
      </c>
    </row>
    <row r="494" spans="1:20" x14ac:dyDescent="0.25">
      <c r="A494" s="5">
        <v>44099</v>
      </c>
      <c r="B494">
        <v>0.99199999999999999</v>
      </c>
      <c r="C494">
        <v>1.044</v>
      </c>
      <c r="D494">
        <v>0.879</v>
      </c>
      <c r="E494">
        <v>0.97499999999999998</v>
      </c>
      <c r="F494">
        <v>13394313.563999999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0.16363636363636308</v>
      </c>
      <c r="Q494">
        <f t="shared" si="980"/>
        <v>2191796.7650181744</v>
      </c>
      <c r="R494">
        <f t="shared" si="981"/>
        <v>-75387384.379908025</v>
      </c>
      <c r="S494">
        <f t="shared" si="982"/>
        <v>-753.8738437990803</v>
      </c>
      <c r="T494">
        <f t="shared" si="983"/>
        <v>-0.75387384379908029</v>
      </c>
    </row>
    <row r="495" spans="1:20" x14ac:dyDescent="0.25">
      <c r="A495" s="5">
        <v>44098</v>
      </c>
      <c r="B495">
        <v>0.88700000000000001</v>
      </c>
      <c r="C495">
        <v>1.004</v>
      </c>
      <c r="D495">
        <v>0.875</v>
      </c>
      <c r="E495">
        <v>0.99299999999999999</v>
      </c>
      <c r="F495">
        <v>9493710.1300000008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0.82945736434108508</v>
      </c>
      <c r="Q495">
        <f t="shared" si="980"/>
        <v>7874627.7822480612</v>
      </c>
      <c r="R495">
        <f t="shared" si="981"/>
        <v>-77579181.144926205</v>
      </c>
      <c r="S495">
        <f t="shared" si="982"/>
        <v>-775.79181144926201</v>
      </c>
      <c r="T495">
        <f t="shared" si="983"/>
        <v>-0.77579181144926201</v>
      </c>
    </row>
    <row r="496" spans="1:20" x14ac:dyDescent="0.25">
      <c r="A496" s="5">
        <v>44097</v>
      </c>
      <c r="B496">
        <v>1.079</v>
      </c>
      <c r="C496">
        <v>1.133</v>
      </c>
      <c r="D496">
        <v>0.86399999999999999</v>
      </c>
      <c r="E496">
        <v>0.88800000000000001</v>
      </c>
      <c r="F496">
        <v>12161063.817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-0.82156133828996269</v>
      </c>
      <c r="Q496">
        <f t="shared" si="980"/>
        <v>-9991059.8645241614</v>
      </c>
      <c r="R496">
        <f t="shared" si="981"/>
        <v>-85453808.92717427</v>
      </c>
      <c r="S496">
        <f t="shared" si="982"/>
        <v>-854.53808927174271</v>
      </c>
      <c r="T496">
        <f t="shared" si="983"/>
        <v>-0.85453808927174268</v>
      </c>
    </row>
    <row r="497" spans="1:20" x14ac:dyDescent="0.25">
      <c r="A497" s="5">
        <v>44096</v>
      </c>
      <c r="B497">
        <v>1.0900000000000001</v>
      </c>
      <c r="C497">
        <v>1.1519999999999999</v>
      </c>
      <c r="D497">
        <v>1</v>
      </c>
      <c r="E497">
        <v>1.077</v>
      </c>
      <c r="F497">
        <v>11367668.864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1.3157894736842125E-2</v>
      </c>
      <c r="Q497">
        <f t="shared" si="980"/>
        <v>149574.59031578971</v>
      </c>
      <c r="R497">
        <f t="shared" si="981"/>
        <v>-75462749.062650114</v>
      </c>
      <c r="S497">
        <f t="shared" si="982"/>
        <v>-754.62749062650119</v>
      </c>
      <c r="T497">
        <f t="shared" si="983"/>
        <v>-0.75462749062650114</v>
      </c>
    </row>
    <row r="498" spans="1:20" x14ac:dyDescent="0.25">
      <c r="A498" s="5">
        <v>44095</v>
      </c>
      <c r="B498">
        <v>1.361</v>
      </c>
      <c r="C498">
        <v>1.403</v>
      </c>
      <c r="D498">
        <v>1.07</v>
      </c>
      <c r="E498">
        <v>1.0880000000000001</v>
      </c>
      <c r="F498">
        <v>14672700.471999999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-0.89189189189189177</v>
      </c>
      <c r="Q498">
        <f t="shared" si="980"/>
        <v>-13086462.583135132</v>
      </c>
      <c r="R498">
        <f t="shared" si="981"/>
        <v>-75612323.652965903</v>
      </c>
      <c r="S498">
        <f t="shared" si="982"/>
        <v>-756.12323652965904</v>
      </c>
      <c r="T498">
        <f t="shared" si="983"/>
        <v>-0.75612323652965907</v>
      </c>
    </row>
    <row r="499" spans="1:20" x14ac:dyDescent="0.25">
      <c r="A499" s="5">
        <v>44094</v>
      </c>
      <c r="B499">
        <v>1.482</v>
      </c>
      <c r="C499">
        <v>1.6379999999999999</v>
      </c>
      <c r="D499">
        <v>1.2989999999999999</v>
      </c>
      <c r="E499">
        <v>1.361</v>
      </c>
      <c r="F499">
        <v>15526291.727</v>
      </c>
      <c r="G499">
        <v>0</v>
      </c>
      <c r="L499" t="s">
        <v>7</v>
      </c>
      <c r="M499" t="s">
        <v>7</v>
      </c>
      <c r="N499" t="s">
        <v>8</v>
      </c>
      <c r="P499">
        <f t="shared" si="979"/>
        <v>-0.63421828908554534</v>
      </c>
      <c r="Q499">
        <f t="shared" si="980"/>
        <v>-9847058.1749409977</v>
      </c>
      <c r="R499">
        <f t="shared" si="981"/>
        <v>-62525861.069830775</v>
      </c>
      <c r="S499">
        <f t="shared" si="982"/>
        <v>-625.25861069830773</v>
      </c>
      <c r="T499">
        <f t="shared" si="983"/>
        <v>-0.62525861069830768</v>
      </c>
    </row>
    <row r="500" spans="1:20" x14ac:dyDescent="0.25">
      <c r="A500" s="5">
        <v>44093</v>
      </c>
      <c r="B500">
        <v>1.258</v>
      </c>
      <c r="C500">
        <v>1.649</v>
      </c>
      <c r="D500">
        <v>1.2330000000000001</v>
      </c>
      <c r="E500">
        <v>1.4830000000000001</v>
      </c>
      <c r="F500">
        <v>16055050.814999999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0.20192307692307715</v>
      </c>
      <c r="Q500">
        <f t="shared" si="980"/>
        <v>3241885.2607211573</v>
      </c>
      <c r="R500">
        <f t="shared" si="981"/>
        <v>-52678802.894889779</v>
      </c>
      <c r="S500">
        <f t="shared" si="982"/>
        <v>-526.78802894889782</v>
      </c>
      <c r="T500">
        <f t="shared" si="983"/>
        <v>-0.52678802894889787</v>
      </c>
    </row>
    <row r="501" spans="1:20" x14ac:dyDescent="0.25">
      <c r="A501" s="5">
        <v>44092</v>
      </c>
      <c r="B501">
        <v>1.3320000000000001</v>
      </c>
      <c r="C501">
        <v>1.4330000000000001</v>
      </c>
      <c r="D501">
        <v>1.222</v>
      </c>
      <c r="E501">
        <v>1.258</v>
      </c>
      <c r="F501">
        <v>10518595.219000001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-0.65876777251184815</v>
      </c>
      <c r="Q501">
        <f t="shared" si="980"/>
        <v>-6929311.542374406</v>
      </c>
      <c r="R501">
        <f t="shared" si="981"/>
        <v>-55920688.155610934</v>
      </c>
      <c r="S501">
        <f t="shared" si="982"/>
        <v>-559.20688155610935</v>
      </c>
      <c r="T501">
        <f t="shared" si="983"/>
        <v>-0.55920688155610931</v>
      </c>
    </row>
    <row r="502" spans="1:20" x14ac:dyDescent="0.25">
      <c r="A502" s="5">
        <v>44091</v>
      </c>
      <c r="B502">
        <v>1.2809999999999999</v>
      </c>
      <c r="C502">
        <v>1.4330000000000001</v>
      </c>
      <c r="D502">
        <v>1.196</v>
      </c>
      <c r="E502">
        <v>1.333</v>
      </c>
      <c r="F502">
        <v>10784967.312999999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0.1561181434599152</v>
      </c>
      <c r="Q502">
        <f t="shared" si="980"/>
        <v>1683729.07418143</v>
      </c>
      <c r="R502">
        <f t="shared" si="981"/>
        <v>-48991376.613236532</v>
      </c>
      <c r="S502">
        <f t="shared" si="982"/>
        <v>-489.91376613236531</v>
      </c>
      <c r="T502">
        <f t="shared" si="983"/>
        <v>-0.48991376613236531</v>
      </c>
    </row>
    <row r="503" spans="1:20" x14ac:dyDescent="0.25">
      <c r="A503" s="5">
        <v>44090</v>
      </c>
      <c r="B503">
        <v>1.417</v>
      </c>
      <c r="C503">
        <v>1.4630000000000001</v>
      </c>
      <c r="D503">
        <v>1.198</v>
      </c>
      <c r="E503">
        <v>1.2809999999999999</v>
      </c>
      <c r="F503">
        <v>12854255.481000001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-0.37358490566037794</v>
      </c>
      <c r="Q503">
        <f t="shared" si="980"/>
        <v>-4802155.8212037813</v>
      </c>
      <c r="R503">
        <f t="shared" si="981"/>
        <v>-50675105.687417962</v>
      </c>
      <c r="S503">
        <f t="shared" si="982"/>
        <v>-506.7510568741796</v>
      </c>
      <c r="T503">
        <f t="shared" si="983"/>
        <v>-0.50675105687417965</v>
      </c>
    </row>
    <row r="504" spans="1:20" x14ac:dyDescent="0.25">
      <c r="A504" s="5">
        <v>44089</v>
      </c>
      <c r="B504">
        <v>1.8460000000000001</v>
      </c>
      <c r="C504">
        <v>1.889</v>
      </c>
      <c r="D504">
        <v>1.337</v>
      </c>
      <c r="E504">
        <v>1.415</v>
      </c>
      <c r="F504">
        <v>10844631.257999999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-0.71739130434782583</v>
      </c>
      <c r="Q504">
        <f t="shared" si="980"/>
        <v>-7779844.1633478226</v>
      </c>
      <c r="R504">
        <f t="shared" si="981"/>
        <v>-45872949.866214179</v>
      </c>
      <c r="S504">
        <f t="shared" si="982"/>
        <v>-458.72949866214179</v>
      </c>
      <c r="T504">
        <f t="shared" si="983"/>
        <v>-0.4587294986621418</v>
      </c>
    </row>
    <row r="505" spans="1:20" x14ac:dyDescent="0.25">
      <c r="A505" s="5">
        <v>44088</v>
      </c>
      <c r="B505">
        <v>1.9079999999999999</v>
      </c>
      <c r="C505">
        <v>1.982</v>
      </c>
      <c r="D505">
        <v>1.7869999999999999</v>
      </c>
      <c r="E505">
        <v>1.843</v>
      </c>
      <c r="F505">
        <v>7171169.585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-0.42564102564102529</v>
      </c>
      <c r="Q505">
        <f t="shared" si="980"/>
        <v>-3052343.9772051256</v>
      </c>
      <c r="R505">
        <f t="shared" si="981"/>
        <v>-38093105.702866353</v>
      </c>
      <c r="S505">
        <f t="shared" si="982"/>
        <v>-380.93105702866353</v>
      </c>
      <c r="T505">
        <f t="shared" si="983"/>
        <v>-0.38093105702866353</v>
      </c>
    </row>
    <row r="506" spans="1:20" x14ac:dyDescent="0.25">
      <c r="A506" s="5">
        <v>44087</v>
      </c>
      <c r="B506">
        <v>2.101</v>
      </c>
      <c r="C506">
        <v>2.14</v>
      </c>
      <c r="D506">
        <v>1.76</v>
      </c>
      <c r="E506">
        <v>1.9079999999999999</v>
      </c>
      <c r="F506">
        <v>9602679.523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-0.22105263157894808</v>
      </c>
      <c r="Q506">
        <f t="shared" si="980"/>
        <v>-2122697.5787684279</v>
      </c>
      <c r="R506">
        <f t="shared" si="981"/>
        <v>-35040761.725661226</v>
      </c>
      <c r="S506">
        <f t="shared" si="982"/>
        <v>-350.40761725661224</v>
      </c>
      <c r="T506">
        <f t="shared" si="983"/>
        <v>-0.35040761725661224</v>
      </c>
    </row>
    <row r="507" spans="1:20" x14ac:dyDescent="0.25">
      <c r="A507" s="5">
        <v>44086</v>
      </c>
      <c r="B507">
        <v>1.9</v>
      </c>
      <c r="C507">
        <v>2.1469999999999998</v>
      </c>
      <c r="D507">
        <v>1.81</v>
      </c>
      <c r="E507">
        <v>2.1030000000000002</v>
      </c>
      <c r="F507">
        <v>11820422.808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0.73887240356083306</v>
      </c>
      <c r="Q507">
        <f t="shared" si="980"/>
        <v>8733784.2112522516</v>
      </c>
      <c r="R507">
        <f t="shared" si="981"/>
        <v>-32918064.146892801</v>
      </c>
      <c r="S507">
        <f t="shared" si="982"/>
        <v>-329.180641468928</v>
      </c>
      <c r="T507">
        <f t="shared" si="983"/>
        <v>-0.329180641468928</v>
      </c>
    </row>
    <row r="508" spans="1:20" x14ac:dyDescent="0.25">
      <c r="A508" s="5">
        <v>44085</v>
      </c>
      <c r="B508">
        <v>1.9610000000000001</v>
      </c>
      <c r="C508">
        <v>2.0089999999999999</v>
      </c>
      <c r="D508">
        <v>1.7030000000000001</v>
      </c>
      <c r="E508">
        <v>1.901</v>
      </c>
      <c r="F508">
        <v>8378489.6909999996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0.29411764705882398</v>
      </c>
      <c r="Q508">
        <f t="shared" si="980"/>
        <v>2464261.6738235331</v>
      </c>
      <c r="R508">
        <f t="shared" si="981"/>
        <v>-41651848.358145051</v>
      </c>
      <c r="S508">
        <f t="shared" si="982"/>
        <v>-416.51848358145048</v>
      </c>
      <c r="T508">
        <f t="shared" si="983"/>
        <v>-0.41651848358145049</v>
      </c>
    </row>
    <row r="509" spans="1:20" x14ac:dyDescent="0.25">
      <c r="A509" s="5">
        <v>44084</v>
      </c>
      <c r="B509">
        <v>1.97</v>
      </c>
      <c r="C509">
        <v>2.1970000000000001</v>
      </c>
      <c r="D509">
        <v>1.925</v>
      </c>
      <c r="E509">
        <v>1.96</v>
      </c>
      <c r="F509">
        <v>9833403.8499999996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-0.74264705882352999</v>
      </c>
      <c r="Q509">
        <f t="shared" si="980"/>
        <v>-7302748.4474264756</v>
      </c>
      <c r="R509">
        <f t="shared" si="981"/>
        <v>-44116110.031968586</v>
      </c>
      <c r="S509">
        <f t="shared" si="982"/>
        <v>-441.16110031968589</v>
      </c>
      <c r="T509">
        <f t="shared" si="983"/>
        <v>-0.44116110031968586</v>
      </c>
    </row>
    <row r="510" spans="1:20" x14ac:dyDescent="0.25">
      <c r="A510" s="5">
        <v>44083</v>
      </c>
      <c r="B510">
        <v>1.8380000000000001</v>
      </c>
      <c r="C510">
        <v>2.1429999999999998</v>
      </c>
      <c r="D510">
        <v>1.772</v>
      </c>
      <c r="E510">
        <v>1.9730000000000001</v>
      </c>
      <c r="F510">
        <v>8816283.9690000005</v>
      </c>
      <c r="G510">
        <v>0</v>
      </c>
      <c r="L510" t="s">
        <v>8</v>
      </c>
      <c r="M510" t="s">
        <v>7</v>
      </c>
      <c r="N510" t="s">
        <v>8</v>
      </c>
      <c r="P510">
        <f t="shared" si="979"/>
        <v>8.3557951482480811E-2</v>
      </c>
      <c r="Q510">
        <f t="shared" si="980"/>
        <v>736670.62813747535</v>
      </c>
      <c r="R510">
        <f t="shared" si="981"/>
        <v>-36813361.584542111</v>
      </c>
      <c r="S510">
        <f t="shared" si="982"/>
        <v>-368.1336158454211</v>
      </c>
      <c r="T510">
        <f t="shared" si="983"/>
        <v>-0.36813361584542109</v>
      </c>
    </row>
    <row r="511" spans="1:20" x14ac:dyDescent="0.25">
      <c r="A511" s="5">
        <v>44082</v>
      </c>
      <c r="B511">
        <v>2.1</v>
      </c>
      <c r="C511">
        <v>2.15</v>
      </c>
      <c r="D511">
        <v>1.7569999999999999</v>
      </c>
      <c r="E511">
        <v>1.839</v>
      </c>
      <c r="F511">
        <v>6501641.7829999998</v>
      </c>
      <c r="G511">
        <v>0</v>
      </c>
      <c r="L511" t="s">
        <v>7</v>
      </c>
      <c r="M511" t="s">
        <v>8</v>
      </c>
      <c r="N511" t="s">
        <v>8</v>
      </c>
      <c r="P511">
        <f t="shared" si="979"/>
        <v>-0.58269720101781131</v>
      </c>
      <c r="Q511">
        <f t="shared" si="980"/>
        <v>-3788488.4689745521</v>
      </c>
      <c r="R511">
        <f t="shared" si="981"/>
        <v>-37550032.212679587</v>
      </c>
      <c r="S511">
        <f t="shared" si="982"/>
        <v>-375.50032212679588</v>
      </c>
      <c r="T511">
        <f t="shared" si="983"/>
        <v>-0.3755003221267959</v>
      </c>
    </row>
    <row r="512" spans="1:20" x14ac:dyDescent="0.25">
      <c r="A512" s="5">
        <v>44081</v>
      </c>
      <c r="B512">
        <v>2.161</v>
      </c>
      <c r="C512">
        <v>2.298</v>
      </c>
      <c r="D512">
        <v>1.7</v>
      </c>
      <c r="E512">
        <v>2.097</v>
      </c>
      <c r="F512">
        <v>8069814.767</v>
      </c>
      <c r="G512">
        <v>0</v>
      </c>
      <c r="L512" t="s">
        <v>8</v>
      </c>
      <c r="M512" t="s">
        <v>7</v>
      </c>
      <c r="N512" t="s">
        <v>8</v>
      </c>
      <c r="P512">
        <f t="shared" si="979"/>
        <v>0.32775919732441461</v>
      </c>
      <c r="Q512">
        <f t="shared" si="980"/>
        <v>2644956.0105886278</v>
      </c>
      <c r="R512">
        <f t="shared" si="981"/>
        <v>-33761543.743705034</v>
      </c>
      <c r="S512">
        <f t="shared" si="982"/>
        <v>-337.61543743705033</v>
      </c>
      <c r="T512">
        <f t="shared" si="983"/>
        <v>-0.33761543743705036</v>
      </c>
    </row>
    <row r="513" spans="1:20" x14ac:dyDescent="0.25">
      <c r="A513" s="5">
        <v>44080</v>
      </c>
      <c r="B513">
        <v>1.897</v>
      </c>
      <c r="C513">
        <v>2.335</v>
      </c>
      <c r="D513">
        <v>1.5</v>
      </c>
      <c r="E513">
        <v>2.16</v>
      </c>
      <c r="F513">
        <v>12841820.034</v>
      </c>
      <c r="G513">
        <v>0</v>
      </c>
      <c r="L513" t="s">
        <v>7</v>
      </c>
      <c r="M513" t="s">
        <v>8</v>
      </c>
      <c r="N513" t="s">
        <v>8</v>
      </c>
      <c r="P513">
        <f t="shared" si="979"/>
        <v>0.58083832335329377</v>
      </c>
      <c r="Q513">
        <f t="shared" si="980"/>
        <v>7459021.2173532983</v>
      </c>
      <c r="R513">
        <f t="shared" si="981"/>
        <v>-36406499.754293665</v>
      </c>
      <c r="S513">
        <f t="shared" si="982"/>
        <v>-364.06499754293668</v>
      </c>
      <c r="T513">
        <f t="shared" si="983"/>
        <v>-0.3640649975429367</v>
      </c>
    </row>
    <row r="514" spans="1:20" x14ac:dyDescent="0.25">
      <c r="A514" s="5">
        <v>44079</v>
      </c>
      <c r="B514">
        <v>2.851</v>
      </c>
      <c r="C514">
        <v>3.073</v>
      </c>
      <c r="D514">
        <v>1.5489999999999999</v>
      </c>
      <c r="E514">
        <v>1.901</v>
      </c>
      <c r="F514">
        <v>10874401.789999999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-0.53805774278215213</v>
      </c>
      <c r="Q514">
        <f t="shared" si="980"/>
        <v>-5851056.0812335946</v>
      </c>
      <c r="R514">
        <f t="shared" si="981"/>
        <v>-43865520.971646965</v>
      </c>
      <c r="S514">
        <f t="shared" si="982"/>
        <v>-438.65520971646964</v>
      </c>
      <c r="T514">
        <f t="shared" si="983"/>
        <v>-0.43865520971646965</v>
      </c>
    </row>
    <row r="515" spans="1:20" x14ac:dyDescent="0.25">
      <c r="A515" s="5">
        <v>44078</v>
      </c>
      <c r="B515">
        <v>2.9129999999999998</v>
      </c>
      <c r="C515">
        <v>3.294</v>
      </c>
      <c r="D515">
        <v>2.6659999999999999</v>
      </c>
      <c r="E515">
        <v>2.85</v>
      </c>
      <c r="F515">
        <v>9011295.3049999997</v>
      </c>
      <c r="G515">
        <v>0</v>
      </c>
      <c r="L515" t="s">
        <v>7</v>
      </c>
      <c r="M515" t="s">
        <v>8</v>
      </c>
      <c r="N515" t="s">
        <v>7</v>
      </c>
      <c r="P515">
        <f t="shared" si="979"/>
        <v>-0.41401273885350276</v>
      </c>
      <c r="Q515">
        <f t="shared" si="980"/>
        <v>-3730791.0498407604</v>
      </c>
      <c r="R515">
        <f t="shared" si="981"/>
        <v>-38014464.890413374</v>
      </c>
      <c r="S515">
        <f t="shared" si="982"/>
        <v>-380.14464890413376</v>
      </c>
      <c r="T515">
        <f t="shared" si="983"/>
        <v>-0.38014464890413374</v>
      </c>
    </row>
    <row r="516" spans="1:20" x14ac:dyDescent="0.25">
      <c r="A516" s="5">
        <v>44077</v>
      </c>
      <c r="B516">
        <v>4.3259999999999996</v>
      </c>
      <c r="C516">
        <v>4.359</v>
      </c>
      <c r="D516">
        <v>2.7330000000000001</v>
      </c>
      <c r="E516">
        <v>2.9129999999999998</v>
      </c>
      <c r="F516">
        <v>13872548.791999999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-0.77859778597786011</v>
      </c>
      <c r="Q516">
        <f t="shared" si="980"/>
        <v>-10801135.775321037</v>
      </c>
      <c r="R516">
        <f t="shared" si="981"/>
        <v>-34283673.84057261</v>
      </c>
      <c r="S516">
        <f t="shared" si="982"/>
        <v>-342.83673840572612</v>
      </c>
      <c r="T516">
        <f t="shared" si="983"/>
        <v>-0.34283673840572615</v>
      </c>
    </row>
    <row r="517" spans="1:20" x14ac:dyDescent="0.25">
      <c r="A517" s="5">
        <v>44076</v>
      </c>
      <c r="B517">
        <v>5.3559999999999999</v>
      </c>
      <c r="C517">
        <v>5.3689999999999998</v>
      </c>
      <c r="D517">
        <v>3.8</v>
      </c>
      <c r="E517">
        <v>4.3259999999999996</v>
      </c>
      <c r="F517">
        <v>13213895.280999999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-0.32950924155513089</v>
      </c>
      <c r="Q517">
        <f t="shared" si="980"/>
        <v>-4354100.6120312335</v>
      </c>
      <c r="R517">
        <f t="shared" si="981"/>
        <v>-23482538.065251578</v>
      </c>
      <c r="S517">
        <f t="shared" si="982"/>
        <v>-234.82538065251578</v>
      </c>
      <c r="T517">
        <f t="shared" si="983"/>
        <v>-0.23482538065251576</v>
      </c>
    </row>
    <row r="518" spans="1:20" x14ac:dyDescent="0.25">
      <c r="A518" s="5">
        <v>44075</v>
      </c>
      <c r="B518">
        <v>4.3330000000000002</v>
      </c>
      <c r="C518">
        <v>5.7009999999999996</v>
      </c>
      <c r="D518">
        <v>4.141</v>
      </c>
      <c r="E518">
        <v>5.335</v>
      </c>
      <c r="F518">
        <v>21189407.359000001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0.5307692307692311</v>
      </c>
      <c r="Q518">
        <f t="shared" ref="Q518:Q581" si="985">F518*P518</f>
        <v>11246685.444392316</v>
      </c>
      <c r="R518">
        <f t="shared" ref="R518:R581" si="986">R519+Q518</f>
        <v>-19128437.453220345</v>
      </c>
      <c r="S518">
        <f t="shared" ref="S518:S581" si="987">R518/100000</f>
        <v>-191.28437453220346</v>
      </c>
      <c r="T518">
        <f t="shared" ref="T518:T581" si="988">S518/1000</f>
        <v>-0.19128437453220345</v>
      </c>
    </row>
    <row r="519" spans="1:20" x14ac:dyDescent="0.25">
      <c r="A519" s="5">
        <v>44074</v>
      </c>
      <c r="B519">
        <v>3.5569999999999999</v>
      </c>
      <c r="C519">
        <v>4.4429999999999996</v>
      </c>
      <c r="D519">
        <v>3.423</v>
      </c>
      <c r="E519">
        <v>4.3369999999999997</v>
      </c>
      <c r="F519">
        <v>7516192.0429999996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0.79215686274509822</v>
      </c>
      <c r="Q519">
        <f t="shared" si="985"/>
        <v>5954003.1085725501</v>
      </c>
      <c r="R519">
        <f t="shared" si="986"/>
        <v>-30375122.897612661</v>
      </c>
      <c r="S519">
        <f t="shared" si="987"/>
        <v>-303.75122897612658</v>
      </c>
      <c r="T519">
        <f t="shared" si="988"/>
        <v>-0.30375122897612661</v>
      </c>
    </row>
    <row r="520" spans="1:20" x14ac:dyDescent="0.25">
      <c r="A520" s="5">
        <v>44073</v>
      </c>
      <c r="B520">
        <v>3.1070000000000002</v>
      </c>
      <c r="C520">
        <v>3.75</v>
      </c>
      <c r="D520">
        <v>3.08</v>
      </c>
      <c r="E520">
        <v>3.5539999999999998</v>
      </c>
      <c r="F520">
        <v>7510633.0319999997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0.41492537313432776</v>
      </c>
      <c r="Q520">
        <f t="shared" si="985"/>
        <v>3116352.2132776072</v>
      </c>
      <c r="R520">
        <f t="shared" si="986"/>
        <v>-36329126.006185211</v>
      </c>
      <c r="S520">
        <f t="shared" si="987"/>
        <v>-363.29126006185209</v>
      </c>
      <c r="T520">
        <f t="shared" si="988"/>
        <v>-0.36329126006185208</v>
      </c>
    </row>
    <row r="521" spans="1:20" x14ac:dyDescent="0.25">
      <c r="A521" s="5">
        <v>44072</v>
      </c>
      <c r="B521">
        <v>3.532</v>
      </c>
      <c r="C521">
        <v>3.5489999999999999</v>
      </c>
      <c r="D521">
        <v>3.0830000000000002</v>
      </c>
      <c r="E521">
        <v>3.109</v>
      </c>
      <c r="F521">
        <v>4563202.8930000002</v>
      </c>
      <c r="G521">
        <v>0</v>
      </c>
      <c r="L521" t="s">
        <v>7</v>
      </c>
      <c r="M521" t="s">
        <v>7</v>
      </c>
      <c r="N521" t="s">
        <v>7</v>
      </c>
      <c r="P521">
        <f t="shared" si="984"/>
        <v>-0.88841201716738272</v>
      </c>
      <c r="Q521">
        <f t="shared" si="985"/>
        <v>-4054004.2869141665</v>
      </c>
      <c r="R521">
        <f t="shared" si="986"/>
        <v>-39445478.219462819</v>
      </c>
      <c r="S521">
        <f t="shared" si="987"/>
        <v>-394.45478219462819</v>
      </c>
      <c r="T521">
        <f t="shared" si="988"/>
        <v>-0.39445478219462821</v>
      </c>
    </row>
    <row r="522" spans="1:20" x14ac:dyDescent="0.25">
      <c r="A522" s="5">
        <v>44071</v>
      </c>
      <c r="B522">
        <v>3.3439999999999999</v>
      </c>
      <c r="C522">
        <v>4</v>
      </c>
      <c r="D522">
        <v>3.34</v>
      </c>
      <c r="E522">
        <v>3.5270000000000001</v>
      </c>
      <c r="F522">
        <v>5469740.8090000004</v>
      </c>
      <c r="G522">
        <v>0</v>
      </c>
      <c r="L522" t="s">
        <v>7</v>
      </c>
      <c r="M522" t="s">
        <v>8</v>
      </c>
      <c r="N522" t="s">
        <v>8</v>
      </c>
      <c r="P522">
        <f t="shared" si="984"/>
        <v>-0.43333333333333263</v>
      </c>
      <c r="Q522">
        <f t="shared" si="985"/>
        <v>-2370221.0172333298</v>
      </c>
      <c r="R522">
        <f t="shared" si="986"/>
        <v>-35391473.93254865</v>
      </c>
      <c r="S522">
        <f t="shared" si="987"/>
        <v>-353.91473932548649</v>
      </c>
      <c r="T522">
        <f t="shared" si="988"/>
        <v>-0.3539147393254865</v>
      </c>
    </row>
    <row r="523" spans="1:20" x14ac:dyDescent="0.25">
      <c r="A523" s="5">
        <v>44070</v>
      </c>
      <c r="B523">
        <v>3.5579999999999998</v>
      </c>
      <c r="C523">
        <v>4.3159999999999998</v>
      </c>
      <c r="D523">
        <v>3.2</v>
      </c>
      <c r="E523">
        <v>3.3439999999999999</v>
      </c>
      <c r="F523">
        <v>10622222.280999999</v>
      </c>
      <c r="G523">
        <v>0</v>
      </c>
      <c r="L523" t="s">
        <v>8</v>
      </c>
      <c r="M523" t="s">
        <v>7</v>
      </c>
      <c r="N523" t="s">
        <v>8</v>
      </c>
      <c r="P523">
        <f t="shared" si="984"/>
        <v>-0.74193548387096819</v>
      </c>
      <c r="Q523">
        <f t="shared" si="985"/>
        <v>-7881003.627838714</v>
      </c>
      <c r="R523">
        <f t="shared" si="986"/>
        <v>-33021252.915315323</v>
      </c>
      <c r="S523">
        <f t="shared" si="987"/>
        <v>-330.21252915315324</v>
      </c>
      <c r="T523">
        <f t="shared" si="988"/>
        <v>-0.33021252915315324</v>
      </c>
    </row>
    <row r="524" spans="1:20" x14ac:dyDescent="0.25">
      <c r="A524" s="5">
        <v>44069</v>
      </c>
      <c r="B524">
        <v>2.8580000000000001</v>
      </c>
      <c r="C524">
        <v>4.1500000000000004</v>
      </c>
      <c r="D524">
        <v>2.8149999999999999</v>
      </c>
      <c r="E524">
        <v>3.556</v>
      </c>
      <c r="F524">
        <v>9770163.8330000006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0.11011235955056162</v>
      </c>
      <c r="Q524">
        <f t="shared" si="985"/>
        <v>1075815.7928471894</v>
      </c>
      <c r="R524">
        <f t="shared" si="986"/>
        <v>-25140249.287476607</v>
      </c>
      <c r="S524">
        <f t="shared" si="987"/>
        <v>-251.40249287476607</v>
      </c>
      <c r="T524">
        <f t="shared" si="988"/>
        <v>-0.25140249287476607</v>
      </c>
    </row>
    <row r="525" spans="1:20" x14ac:dyDescent="0.25">
      <c r="A525" s="5">
        <v>44068</v>
      </c>
      <c r="B525">
        <v>2.8839999999999999</v>
      </c>
      <c r="C525">
        <v>3.411</v>
      </c>
      <c r="D525">
        <v>2.68</v>
      </c>
      <c r="E525">
        <v>2.8570000000000002</v>
      </c>
      <c r="F525">
        <v>5472771.8669999996</v>
      </c>
      <c r="G525">
        <v>0</v>
      </c>
      <c r="L525" t="s">
        <v>8</v>
      </c>
      <c r="M525" t="s">
        <v>8</v>
      </c>
      <c r="N525" t="s">
        <v>7</v>
      </c>
      <c r="P525">
        <f t="shared" si="984"/>
        <v>-0.51573187414500665</v>
      </c>
      <c r="Q525">
        <f t="shared" si="985"/>
        <v>-2822482.891735977</v>
      </c>
      <c r="R525">
        <f t="shared" si="986"/>
        <v>-26216065.080323797</v>
      </c>
      <c r="S525">
        <f t="shared" si="987"/>
        <v>-262.16065080323796</v>
      </c>
      <c r="T525">
        <f t="shared" si="988"/>
        <v>-0.26216065080323797</v>
      </c>
    </row>
    <row r="526" spans="1:20" x14ac:dyDescent="0.25">
      <c r="A526" s="5">
        <v>44067</v>
      </c>
      <c r="B526">
        <v>2.6850000000000001</v>
      </c>
      <c r="C526">
        <v>3.1</v>
      </c>
      <c r="D526">
        <v>2.5950000000000002</v>
      </c>
      <c r="E526">
        <v>2.8969999999999998</v>
      </c>
      <c r="F526">
        <v>4249210.8389999997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0.19603960396039471</v>
      </c>
      <c r="Q526">
        <f t="shared" si="985"/>
        <v>833013.61002177652</v>
      </c>
      <c r="R526">
        <f t="shared" si="986"/>
        <v>-23393582.188587818</v>
      </c>
      <c r="S526">
        <f t="shared" si="987"/>
        <v>-233.93582188587817</v>
      </c>
      <c r="T526">
        <f t="shared" si="988"/>
        <v>-0.23393582188587816</v>
      </c>
    </row>
    <row r="527" spans="1:20" x14ac:dyDescent="0.25">
      <c r="A527" s="5">
        <v>44066</v>
      </c>
      <c r="B527">
        <v>3.0569999999999999</v>
      </c>
      <c r="C527">
        <v>3.09</v>
      </c>
      <c r="D527">
        <v>2.58</v>
      </c>
      <c r="E527">
        <v>2.6949999999999998</v>
      </c>
      <c r="F527">
        <v>3452913.3650000002</v>
      </c>
      <c r="G527">
        <v>0</v>
      </c>
      <c r="L527" t="s">
        <v>7</v>
      </c>
      <c r="M527" t="s">
        <v>7</v>
      </c>
      <c r="N527" t="s">
        <v>7</v>
      </c>
      <c r="P527">
        <f t="shared" si="984"/>
        <v>-0.54901960784313797</v>
      </c>
      <c r="Q527">
        <f t="shared" si="985"/>
        <v>-1895717.14156863</v>
      </c>
      <c r="R527">
        <f t="shared" si="986"/>
        <v>-24226595.798609596</v>
      </c>
      <c r="S527">
        <f t="shared" si="987"/>
        <v>-242.26595798609597</v>
      </c>
      <c r="T527">
        <f t="shared" si="988"/>
        <v>-0.24226595798609596</v>
      </c>
    </row>
    <row r="528" spans="1:20" x14ac:dyDescent="0.25">
      <c r="A528" s="5">
        <v>44065</v>
      </c>
      <c r="B528">
        <v>3.23</v>
      </c>
      <c r="C528">
        <v>3.27</v>
      </c>
      <c r="D528">
        <v>2.7149999999999999</v>
      </c>
      <c r="E528">
        <v>3.0569999999999999</v>
      </c>
      <c r="F528">
        <v>3407375.5060000001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0.23243243243243236</v>
      </c>
      <c r="Q528">
        <f t="shared" si="985"/>
        <v>791984.57707027008</v>
      </c>
      <c r="R528">
        <f t="shared" si="986"/>
        <v>-22330878.657040965</v>
      </c>
      <c r="S528">
        <f t="shared" si="987"/>
        <v>-223.30878657040964</v>
      </c>
      <c r="T528">
        <f t="shared" si="988"/>
        <v>-0.22330878657040965</v>
      </c>
    </row>
    <row r="529" spans="1:20" x14ac:dyDescent="0.25">
      <c r="A529" s="5">
        <v>44064</v>
      </c>
      <c r="B529">
        <v>3.8839999999999999</v>
      </c>
      <c r="C529">
        <v>4.069</v>
      </c>
      <c r="D529">
        <v>3.2</v>
      </c>
      <c r="E529">
        <v>3.23</v>
      </c>
      <c r="F529">
        <v>4839799.2130000005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-0.93095512082853893</v>
      </c>
      <c r="Q529">
        <f t="shared" si="985"/>
        <v>-4505635.8611242827</v>
      </c>
      <c r="R529">
        <f t="shared" si="986"/>
        <v>-23122863.234111235</v>
      </c>
      <c r="S529">
        <f t="shared" si="987"/>
        <v>-231.22863234111236</v>
      </c>
      <c r="T529">
        <f t="shared" si="988"/>
        <v>-0.23122863234111235</v>
      </c>
    </row>
    <row r="530" spans="1:20" x14ac:dyDescent="0.25">
      <c r="A530" s="5">
        <v>44063</v>
      </c>
      <c r="B530">
        <v>3.919</v>
      </c>
      <c r="C530">
        <v>4.6749999999999998</v>
      </c>
      <c r="D530">
        <v>3.8090000000000002</v>
      </c>
      <c r="E530">
        <v>3.89</v>
      </c>
      <c r="F530">
        <v>4503665.09</v>
      </c>
      <c r="G530">
        <v>0</v>
      </c>
      <c r="L530" t="s">
        <v>7</v>
      </c>
      <c r="M530" t="s">
        <v>7</v>
      </c>
      <c r="N530" t="s">
        <v>8</v>
      </c>
      <c r="P530">
        <f t="shared" si="984"/>
        <v>-0.81293302540415702</v>
      </c>
      <c r="Q530">
        <f t="shared" si="985"/>
        <v>-3661178.0870207851</v>
      </c>
      <c r="R530">
        <f t="shared" si="986"/>
        <v>-18617227.372986954</v>
      </c>
      <c r="S530">
        <f t="shared" si="987"/>
        <v>-186.17227372986954</v>
      </c>
      <c r="T530">
        <f t="shared" si="988"/>
        <v>-0.18617227372986955</v>
      </c>
    </row>
    <row r="531" spans="1:20" x14ac:dyDescent="0.25">
      <c r="A531" s="5">
        <v>44062</v>
      </c>
      <c r="B531">
        <v>3.6</v>
      </c>
      <c r="C531">
        <v>5.03</v>
      </c>
      <c r="D531">
        <v>3.3050000000000002</v>
      </c>
      <c r="E531">
        <v>3.919</v>
      </c>
      <c r="F531">
        <v>7644862.3049999997</v>
      </c>
      <c r="G531">
        <v>0</v>
      </c>
      <c r="L531" t="s">
        <v>8</v>
      </c>
      <c r="M531" t="s">
        <v>8</v>
      </c>
      <c r="N531" t="s">
        <v>8</v>
      </c>
      <c r="P531">
        <f t="shared" si="984"/>
        <v>-0.28811594202898566</v>
      </c>
      <c r="Q531">
        <f t="shared" si="985"/>
        <v>-2202606.7046869574</v>
      </c>
      <c r="R531">
        <f t="shared" si="986"/>
        <v>-14956049.285966169</v>
      </c>
      <c r="S531">
        <f t="shared" si="987"/>
        <v>-149.56049285966168</v>
      </c>
      <c r="T531">
        <f t="shared" si="988"/>
        <v>-0.14956049285966169</v>
      </c>
    </row>
    <row r="532" spans="1:20" x14ac:dyDescent="0.25">
      <c r="A532" s="5">
        <v>44061</v>
      </c>
      <c r="B532">
        <v>4.375</v>
      </c>
      <c r="C532">
        <v>4.4859999999999998</v>
      </c>
      <c r="D532">
        <v>3.173</v>
      </c>
      <c r="E532">
        <v>3.6</v>
      </c>
      <c r="F532">
        <v>5891300.5439999998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-0.34958111195734937</v>
      </c>
      <c r="Q532">
        <f t="shared" si="985"/>
        <v>-2059487.3950464572</v>
      </c>
      <c r="R532">
        <f t="shared" si="986"/>
        <v>-12753442.581279211</v>
      </c>
      <c r="S532">
        <f t="shared" si="987"/>
        <v>-127.53442581279211</v>
      </c>
      <c r="T532">
        <f t="shared" si="988"/>
        <v>-0.12753442581279212</v>
      </c>
    </row>
    <row r="533" spans="1:20" x14ac:dyDescent="0.25">
      <c r="A533" s="5">
        <v>44060</v>
      </c>
      <c r="B533">
        <v>5.7809999999999997</v>
      </c>
      <c r="C533">
        <v>5.94</v>
      </c>
      <c r="D533">
        <v>4.1820000000000004</v>
      </c>
      <c r="E533">
        <v>4.38</v>
      </c>
      <c r="F533">
        <v>4726877.3609999996</v>
      </c>
      <c r="G533">
        <v>0</v>
      </c>
      <c r="L533" t="s">
        <v>7</v>
      </c>
      <c r="M533" t="s">
        <v>7</v>
      </c>
      <c r="N533" t="s">
        <v>7</v>
      </c>
      <c r="P533">
        <f t="shared" si="984"/>
        <v>-0.7747440273037548</v>
      </c>
      <c r="Q533">
        <f t="shared" si="985"/>
        <v>-3662120.0032320842</v>
      </c>
      <c r="R533">
        <f t="shared" si="986"/>
        <v>-10693955.186232753</v>
      </c>
      <c r="S533">
        <f t="shared" si="987"/>
        <v>-106.93955186232753</v>
      </c>
      <c r="T533">
        <f t="shared" si="988"/>
        <v>-0.10693955186232754</v>
      </c>
    </row>
    <row r="534" spans="1:20" x14ac:dyDescent="0.25">
      <c r="A534" s="5">
        <v>44059</v>
      </c>
      <c r="B534">
        <v>6.91</v>
      </c>
      <c r="C534">
        <v>7.6959999999999997</v>
      </c>
      <c r="D534">
        <v>5.734</v>
      </c>
      <c r="E534">
        <v>5.782</v>
      </c>
      <c r="F534">
        <v>3224235.06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-0.95107033639143723</v>
      </c>
      <c r="Q534">
        <f t="shared" si="985"/>
        <v>-3066474.323119266</v>
      </c>
      <c r="R534">
        <f t="shared" si="986"/>
        <v>-7031835.1830006689</v>
      </c>
      <c r="S534">
        <f t="shared" si="987"/>
        <v>-70.318351830006691</v>
      </c>
      <c r="T534">
        <f t="shared" si="988"/>
        <v>-7.031835183000669E-2</v>
      </c>
    </row>
    <row r="535" spans="1:20" x14ac:dyDescent="0.25">
      <c r="A535" s="5">
        <v>44058</v>
      </c>
      <c r="B535">
        <v>5</v>
      </c>
      <c r="C535">
        <v>23.254999999999999</v>
      </c>
      <c r="D535">
        <v>5</v>
      </c>
      <c r="E535">
        <v>6.91</v>
      </c>
      <c r="F535">
        <v>5014732.4210000001</v>
      </c>
      <c r="G535">
        <v>0</v>
      </c>
      <c r="P535">
        <f t="shared" si="984"/>
        <v>-0.79074226239386469</v>
      </c>
      <c r="Q535">
        <f t="shared" si="985"/>
        <v>-3965360.8598814025</v>
      </c>
      <c r="R535">
        <f t="shared" si="986"/>
        <v>-3965360.8598814025</v>
      </c>
      <c r="S535">
        <f t="shared" si="987"/>
        <v>-39.653608598814024</v>
      </c>
      <c r="T535">
        <f t="shared" si="988"/>
        <v>-3.9653608598814026E-2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537" zoomScale="90" zoomScaleNormal="90" workbookViewId="0">
      <pane xSplit="4" topLeftCell="ES1" activePane="topRight" state="frozen"/>
      <selection activeCell="A109" sqref="A109"/>
      <selection pane="topRight" activeCell="JN535" sqref="JN53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$A$534</v>
      </c>
      <c r="D111" s="1" t="str">
        <f>ADDRESS(C121-1,D121,1,1)</f>
        <v>$JN$534</v>
      </c>
      <c r="E111"/>
    </row>
    <row r="112" spans="1:5" x14ac:dyDescent="0.25">
      <c r="A112" s="7">
        <v>12164.144957890772</v>
      </c>
      <c r="C112" s="1" t="str">
        <f>ADDRESS(C121,1,1,1)</f>
        <v>$A$535</v>
      </c>
      <c r="D112" s="1" t="str">
        <f>ADDRESS(C121,D121-1,1,1)</f>
        <v>$JM$535</v>
      </c>
      <c r="E112"/>
    </row>
    <row r="113" spans="1:5" x14ac:dyDescent="0.25">
      <c r="A113" s="7">
        <v>11925.63231165762</v>
      </c>
      <c r="C113" s="1" t="str">
        <f>ADDRESS(C121+1,1,1,1)</f>
        <v>$A$536</v>
      </c>
      <c r="D113" s="1" t="str">
        <f>ADDRESS(C121-1,D121+1,1,1)</f>
        <v>$JO$534</v>
      </c>
    </row>
    <row r="114" spans="1:5" x14ac:dyDescent="0.25">
      <c r="A114" s="7">
        <v>11691.796383978059</v>
      </c>
      <c r="C114" s="1" t="str">
        <f>ADDRESS(C121,D121,1,1)</f>
        <v>$JN$535</v>
      </c>
      <c r="D114" s="1" t="str">
        <f>ADDRESS(C121+1,D121+1,1,1)</f>
        <v>$JO$536</v>
      </c>
    </row>
    <row r="115" spans="1:5" x14ac:dyDescent="0.25">
      <c r="A115" s="7">
        <v>11462.545474488292</v>
      </c>
      <c r="C115" s="1" t="str">
        <f>ADDRESS(C121+1,D121,1,1)</f>
        <v>$JN$536</v>
      </c>
    </row>
    <row r="116" spans="1:5" x14ac:dyDescent="0.25">
      <c r="A116" s="7">
        <v>11237.789680870874</v>
      </c>
      <c r="C116" s="1">
        <f>C117-1</f>
        <v>534</v>
      </c>
    </row>
    <row r="117" spans="1:5" x14ac:dyDescent="0.25">
      <c r="A117" s="7">
        <v>11017.440863598895</v>
      </c>
      <c r="C117" s="1">
        <f>C121</f>
        <v>535</v>
      </c>
      <c r="D117" s="1">
        <f>D121</f>
        <v>274</v>
      </c>
    </row>
    <row r="118" spans="1:5" x14ac:dyDescent="0.25">
      <c r="A118" s="7">
        <v>10801.412611371465</v>
      </c>
      <c r="C118" s="1">
        <f>C117+1</f>
        <v>536</v>
      </c>
      <c r="D118" s="1">
        <f>D117+1</f>
        <v>275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535</v>
      </c>
      <c r="D121" s="19">
        <v>274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R535</v>
      </c>
      <c r="D123" s="1" t="str">
        <f>"C"&amp;D121</f>
        <v>C274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2.8003281854481812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264" x14ac:dyDescent="0.25">
      <c r="A481" s="7">
        <v>8.1586481992426112</v>
      </c>
      <c r="B481"/>
      <c r="C481"/>
      <c r="D481"/>
      <c r="E481"/>
    </row>
    <row r="482" spans="1:264" x14ac:dyDescent="0.25">
      <c r="A482" s="7">
        <v>7.9986747051398144</v>
      </c>
      <c r="B482"/>
      <c r="C482"/>
      <c r="D482"/>
      <c r="E482"/>
    </row>
    <row r="483" spans="1:264" x14ac:dyDescent="0.25">
      <c r="A483" s="7">
        <v>7.8418379462155041</v>
      </c>
      <c r="B483"/>
      <c r="C483"/>
      <c r="D483"/>
      <c r="E483"/>
    </row>
    <row r="484" spans="1:264" x14ac:dyDescent="0.25">
      <c r="A484" s="7">
        <v>7.688076417858337</v>
      </c>
      <c r="B484"/>
      <c r="C484"/>
      <c r="D484"/>
      <c r="E484" t="s">
        <v>8</v>
      </c>
    </row>
    <row r="485" spans="1:264" x14ac:dyDescent="0.25">
      <c r="A485" s="7">
        <v>7.5373298214297417</v>
      </c>
      <c r="B485"/>
      <c r="C485"/>
      <c r="D485"/>
      <c r="E485" t="s">
        <v>8</v>
      </c>
      <c r="F485" s="27" t="s">
        <v>7</v>
      </c>
    </row>
    <row r="486" spans="1:264" x14ac:dyDescent="0.25">
      <c r="A486" s="7">
        <v>7.389539040617394</v>
      </c>
      <c r="B486"/>
      <c r="C486"/>
      <c r="D486"/>
      <c r="E486" t="s">
        <v>8</v>
      </c>
      <c r="F486" s="27" t="s">
        <v>7</v>
      </c>
    </row>
    <row r="487" spans="1:264" x14ac:dyDescent="0.25">
      <c r="A487" s="7">
        <v>7.2446461182523469</v>
      </c>
      <c r="B487"/>
      <c r="C487"/>
      <c r="D487"/>
      <c r="E487" t="s">
        <v>8</v>
      </c>
      <c r="F487" s="27" t="s">
        <v>7</v>
      </c>
    </row>
    <row r="488" spans="1:264" x14ac:dyDescent="0.25">
      <c r="A488" s="7">
        <v>7.1025942335807324</v>
      </c>
      <c r="B488"/>
      <c r="C488"/>
      <c r="D488"/>
      <c r="E488" t="s">
        <v>8</v>
      </c>
      <c r="F488" s="27" t="s">
        <v>7</v>
      </c>
    </row>
    <row r="489" spans="1:264" x14ac:dyDescent="0.25">
      <c r="A489" s="7">
        <v>6.9633276799811101</v>
      </c>
      <c r="B489"/>
      <c r="C489"/>
      <c r="D489"/>
      <c r="E489" t="s">
        <v>8</v>
      </c>
      <c r="F489" s="27" t="s">
        <v>7</v>
      </c>
    </row>
    <row r="490" spans="1:264" x14ac:dyDescent="0.25">
      <c r="A490" s="7">
        <v>6.8267918431187349</v>
      </c>
      <c r="B490"/>
      <c r="C490"/>
      <c r="D490"/>
      <c r="E490" t="s">
        <v>8</v>
      </c>
      <c r="F490" s="27" t="s">
        <v>7</v>
      </c>
    </row>
    <row r="491" spans="1:264" x14ac:dyDescent="0.25">
      <c r="A491" s="7">
        <v>6.692933179528171</v>
      </c>
      <c r="B491"/>
      <c r="C491"/>
      <c r="D491"/>
      <c r="E491" t="s">
        <v>8</v>
      </c>
      <c r="F491" s="27" t="s">
        <v>7</v>
      </c>
      <c r="JC491" s="27" t="s">
        <v>8</v>
      </c>
    </row>
    <row r="492" spans="1:264" x14ac:dyDescent="0.25">
      <c r="A492" s="7">
        <v>6.5616991956158541</v>
      </c>
      <c r="B492"/>
      <c r="C492"/>
      <c r="D492"/>
      <c r="E492" t="s">
        <v>8</v>
      </c>
      <c r="F492" s="27" t="s">
        <v>7</v>
      </c>
      <c r="JC492" s="27" t="s">
        <v>8</v>
      </c>
      <c r="JD492" s="27" t="s">
        <v>7</v>
      </c>
    </row>
    <row r="493" spans="1:264" x14ac:dyDescent="0.25">
      <c r="A493" s="7">
        <v>6.4330384270743668</v>
      </c>
      <c r="B493"/>
      <c r="C493"/>
      <c r="D493"/>
      <c r="E493" t="s">
        <v>8</v>
      </c>
      <c r="F493" s="27" t="s">
        <v>7</v>
      </c>
      <c r="JC493" s="27" t="s">
        <v>8</v>
      </c>
      <c r="JD493" s="27" t="s">
        <v>7</v>
      </c>
    </row>
    <row r="494" spans="1:264" x14ac:dyDescent="0.25">
      <c r="A494" s="7">
        <v>6.3069004187003594</v>
      </c>
      <c r="B494"/>
      <c r="C494"/>
      <c r="D494"/>
      <c r="E494" t="s">
        <v>8</v>
      </c>
      <c r="F494" s="27" t="s">
        <v>7</v>
      </c>
      <c r="IM494" s="27" t="s">
        <v>8</v>
      </c>
      <c r="JC494" s="27" t="s">
        <v>8</v>
      </c>
      <c r="JD494" s="27" t="s">
        <v>7</v>
      </c>
    </row>
    <row r="495" spans="1:264" x14ac:dyDescent="0.25">
      <c r="A495" s="7">
        <v>6.1832357046081956</v>
      </c>
      <c r="B495"/>
      <c r="C495"/>
      <c r="D495"/>
      <c r="E495" t="s">
        <v>8</v>
      </c>
      <c r="F495" s="27" t="s">
        <v>7</v>
      </c>
      <c r="IM495" s="27" t="s">
        <v>8</v>
      </c>
      <c r="IN495" s="27" t="s">
        <v>7</v>
      </c>
      <c r="JC495" s="27" t="s">
        <v>8</v>
      </c>
      <c r="JD495" s="27" t="s">
        <v>7</v>
      </c>
    </row>
    <row r="496" spans="1:264" x14ac:dyDescent="0.25">
      <c r="A496" s="7">
        <v>6.0619957888315641</v>
      </c>
      <c r="B496"/>
      <c r="C496"/>
      <c r="D496"/>
      <c r="E496" t="s">
        <v>8</v>
      </c>
      <c r="F496" s="27" t="s">
        <v>7</v>
      </c>
      <c r="IM496" s="27" t="s">
        <v>8</v>
      </c>
      <c r="IN496" s="27" t="s">
        <v>7</v>
      </c>
      <c r="JA496" s="27" t="s">
        <v>8</v>
      </c>
      <c r="JC496" s="27" t="s">
        <v>8</v>
      </c>
      <c r="JD496" s="27" t="s">
        <v>7</v>
      </c>
    </row>
    <row r="497" spans="1:270" x14ac:dyDescent="0.25">
      <c r="A497" s="7">
        <v>5.9431331263054545</v>
      </c>
      <c r="B497"/>
      <c r="C497"/>
      <c r="D497"/>
      <c r="E497" t="s">
        <v>8</v>
      </c>
      <c r="F497" s="27" t="s">
        <v>7</v>
      </c>
      <c r="IM497" s="27" t="s">
        <v>8</v>
      </c>
      <c r="IN497" s="27" t="s">
        <v>7</v>
      </c>
      <c r="JA497" s="27" t="s">
        <v>8</v>
      </c>
      <c r="JB497" s="27" t="s">
        <v>7</v>
      </c>
      <c r="JC497" s="27" t="s">
        <v>8</v>
      </c>
      <c r="JD497" s="27" t="s">
        <v>7</v>
      </c>
    </row>
    <row r="498" spans="1:270" x14ac:dyDescent="0.25">
      <c r="A498" s="7">
        <v>5.8266011042210337</v>
      </c>
      <c r="B498"/>
      <c r="C498"/>
      <c r="D498"/>
      <c r="E498" t="s">
        <v>8</v>
      </c>
      <c r="F498" s="27" t="s">
        <v>7</v>
      </c>
      <c r="IM498" s="27" t="s">
        <v>8</v>
      </c>
      <c r="IN498" s="27" t="s">
        <v>7</v>
      </c>
      <c r="JA498" s="27" t="s">
        <v>8</v>
      </c>
      <c r="JB498" s="27" t="s">
        <v>7</v>
      </c>
      <c r="JC498" s="27" t="s">
        <v>8</v>
      </c>
      <c r="JD498" s="27" t="s">
        <v>7</v>
      </c>
    </row>
    <row r="499" spans="1:270" x14ac:dyDescent="0.25">
      <c r="A499" s="7">
        <v>5.7123540237461112</v>
      </c>
      <c r="B499"/>
      <c r="C499"/>
      <c r="D499"/>
      <c r="E499" t="s">
        <v>8</v>
      </c>
      <c r="F499" s="27" t="s">
        <v>7</v>
      </c>
      <c r="IM499" s="27" t="s">
        <v>8</v>
      </c>
      <c r="IN499" s="27" t="s">
        <v>7</v>
      </c>
      <c r="JA499" s="27" t="s">
        <v>8</v>
      </c>
      <c r="JB499" s="27" t="s">
        <v>7</v>
      </c>
      <c r="JC499" s="27" t="s">
        <v>8</v>
      </c>
      <c r="JD499" s="27" t="s">
        <v>7</v>
      </c>
    </row>
    <row r="500" spans="1:270" x14ac:dyDescent="0.25">
      <c r="A500" s="7">
        <v>5.6003470821040304</v>
      </c>
      <c r="B500"/>
      <c r="C500"/>
      <c r="D500"/>
      <c r="E500" t="s">
        <v>8</v>
      </c>
      <c r="F500" s="27" t="s">
        <v>7</v>
      </c>
      <c r="K500" s="27" t="s">
        <v>8</v>
      </c>
      <c r="IM500" s="27" t="s">
        <v>8</v>
      </c>
      <c r="IN500" s="27" t="s">
        <v>7</v>
      </c>
      <c r="JA500" s="27" t="s">
        <v>8</v>
      </c>
      <c r="JB500" s="27" t="s">
        <v>7</v>
      </c>
      <c r="JC500" s="27" t="s">
        <v>8</v>
      </c>
      <c r="JD500" s="27" t="s">
        <v>7</v>
      </c>
    </row>
    <row r="501" spans="1:270" x14ac:dyDescent="0.25">
      <c r="A501" s="7">
        <v>5.4905363550039512</v>
      </c>
      <c r="B501"/>
      <c r="C501"/>
      <c r="D501"/>
      <c r="E501" t="s">
        <v>8</v>
      </c>
      <c r="F501" s="27" t="s">
        <v>7</v>
      </c>
      <c r="K501" s="27" t="s">
        <v>8</v>
      </c>
      <c r="L501" s="27" t="s">
        <v>7</v>
      </c>
      <c r="HS501" s="27" t="s">
        <v>8</v>
      </c>
      <c r="IM501" s="27" t="s">
        <v>8</v>
      </c>
      <c r="IN501" s="27" t="s">
        <v>7</v>
      </c>
      <c r="JA501" s="27" t="s">
        <v>8</v>
      </c>
      <c r="JB501" s="27" t="s">
        <v>7</v>
      </c>
      <c r="JC501" s="27" t="s">
        <v>8</v>
      </c>
      <c r="JD501" s="27" t="s">
        <v>7</v>
      </c>
      <c r="JE501" s="27" t="s">
        <v>8</v>
      </c>
    </row>
    <row r="502" spans="1:270" x14ac:dyDescent="0.25">
      <c r="A502" s="7">
        <v>5.3828787794156385</v>
      </c>
      <c r="B502"/>
      <c r="C502"/>
      <c r="D502"/>
      <c r="E502" t="s">
        <v>8</v>
      </c>
      <c r="F502" s="27" t="s">
        <v>7</v>
      </c>
      <c r="K502" s="27" t="s">
        <v>8</v>
      </c>
      <c r="L502" s="27" t="s">
        <v>7</v>
      </c>
      <c r="HS502" s="27" t="s">
        <v>8</v>
      </c>
      <c r="HT502" s="27" t="s">
        <v>7</v>
      </c>
      <c r="IM502" s="27" t="s">
        <v>8</v>
      </c>
      <c r="IN502" s="27" t="s">
        <v>7</v>
      </c>
      <c r="IQ502" s="27" t="s">
        <v>8</v>
      </c>
      <c r="JA502" s="27" t="s">
        <v>8</v>
      </c>
      <c r="JB502" s="27" t="s">
        <v>7</v>
      </c>
      <c r="JC502" s="27" t="s">
        <v>8</v>
      </c>
      <c r="JD502" s="27" t="s">
        <v>7</v>
      </c>
      <c r="JE502" s="27" t="s">
        <v>8</v>
      </c>
      <c r="JF502" s="27" t="s">
        <v>7</v>
      </c>
      <c r="JI502" s="27" t="s">
        <v>8</v>
      </c>
    </row>
    <row r="503" spans="1:270" x14ac:dyDescent="0.25">
      <c r="A503" s="7">
        <v>5.2773321366819985</v>
      </c>
      <c r="B503"/>
      <c r="C503"/>
      <c r="D503"/>
      <c r="E503" t="s">
        <v>8</v>
      </c>
      <c r="F503" s="27" t="s">
        <v>7</v>
      </c>
      <c r="K503" s="27" t="s">
        <v>8</v>
      </c>
      <c r="L503" s="27" t="s">
        <v>7</v>
      </c>
      <c r="HQ503" s="27" t="s">
        <v>8</v>
      </c>
      <c r="HS503" s="27" t="s">
        <v>8</v>
      </c>
      <c r="HT503" s="27" t="s">
        <v>7</v>
      </c>
      <c r="HU503" s="27" t="s">
        <v>8</v>
      </c>
      <c r="IM503" s="27" t="s">
        <v>8</v>
      </c>
      <c r="IN503" s="27" t="s">
        <v>7</v>
      </c>
      <c r="IQ503" s="27" t="s">
        <v>8</v>
      </c>
      <c r="IR503" s="27" t="s">
        <v>7</v>
      </c>
      <c r="JA503" s="27" t="s">
        <v>8</v>
      </c>
      <c r="JB503" s="27" t="s">
        <v>7</v>
      </c>
      <c r="JC503" s="27" t="s">
        <v>8</v>
      </c>
      <c r="JD503" s="27" t="s">
        <v>7</v>
      </c>
      <c r="JE503" s="27" t="s">
        <v>8</v>
      </c>
      <c r="JF503" s="27" t="s">
        <v>7</v>
      </c>
      <c r="JI503" s="27" t="s">
        <v>8</v>
      </c>
      <c r="JJ503" s="27" t="s">
        <v>7</v>
      </c>
    </row>
    <row r="504" spans="1:270" x14ac:dyDescent="0.25">
      <c r="A504" s="7">
        <v>5.1738550359627435</v>
      </c>
      <c r="B504"/>
      <c r="C504"/>
      <c r="D504"/>
      <c r="E504" t="s">
        <v>8</v>
      </c>
      <c r="F504" s="27" t="s">
        <v>7</v>
      </c>
      <c r="K504" s="27" t="s">
        <v>8</v>
      </c>
      <c r="L504" s="27" t="s">
        <v>7</v>
      </c>
      <c r="HQ504" s="27" t="s">
        <v>8</v>
      </c>
      <c r="HR504" s="27" t="s">
        <v>7</v>
      </c>
      <c r="HS504" s="27" t="s">
        <v>8</v>
      </c>
      <c r="HT504" s="27" t="s">
        <v>7</v>
      </c>
      <c r="HU504" s="27" t="s">
        <v>8</v>
      </c>
      <c r="HV504" s="27" t="s">
        <v>7</v>
      </c>
      <c r="IM504" s="27" t="s">
        <v>8</v>
      </c>
      <c r="IN504" s="27" t="s">
        <v>7</v>
      </c>
      <c r="IQ504" s="27" t="s">
        <v>8</v>
      </c>
      <c r="IR504" s="27" t="s">
        <v>7</v>
      </c>
      <c r="JA504" s="27" t="s">
        <v>8</v>
      </c>
      <c r="JB504" s="27" t="s">
        <v>7</v>
      </c>
      <c r="JC504" s="27" t="s">
        <v>8</v>
      </c>
      <c r="JD504" s="27" t="s">
        <v>7</v>
      </c>
      <c r="JE504" s="27" t="s">
        <v>8</v>
      </c>
      <c r="JF504" s="27" t="s">
        <v>7</v>
      </c>
      <c r="JI504" s="27" t="s">
        <v>8</v>
      </c>
      <c r="JJ504" s="27" t="s">
        <v>7</v>
      </c>
    </row>
    <row r="505" spans="1:270" x14ac:dyDescent="0.25">
      <c r="A505" s="7">
        <v>5.07240689800269</v>
      </c>
      <c r="B505"/>
      <c r="C505"/>
      <c r="D505"/>
      <c r="E505" t="s">
        <v>8</v>
      </c>
      <c r="F505" s="27" t="s">
        <v>7</v>
      </c>
      <c r="K505" s="27" t="s">
        <v>8</v>
      </c>
      <c r="L505" s="27" t="s">
        <v>7</v>
      </c>
      <c r="HQ505" s="27" t="s">
        <v>8</v>
      </c>
      <c r="HR505" s="27" t="s">
        <v>7</v>
      </c>
      <c r="HS505" s="27" t="s">
        <v>8</v>
      </c>
      <c r="HT505" s="27" t="s">
        <v>7</v>
      </c>
      <c r="HU505" s="27" t="s">
        <v>8</v>
      </c>
      <c r="HV505" s="27" t="s">
        <v>7</v>
      </c>
      <c r="IK505" s="27" t="s">
        <v>8</v>
      </c>
      <c r="IM505" s="27" t="s">
        <v>8</v>
      </c>
      <c r="IN505" s="27" t="s">
        <v>7</v>
      </c>
      <c r="IQ505" s="27" t="s">
        <v>8</v>
      </c>
      <c r="IR505" s="27" t="s">
        <v>7</v>
      </c>
      <c r="JA505" s="27" t="s">
        <v>8</v>
      </c>
      <c r="JB505" s="27" t="s">
        <v>7</v>
      </c>
      <c r="JC505" s="27" t="s">
        <v>8</v>
      </c>
      <c r="JD505" s="27" t="s">
        <v>7</v>
      </c>
      <c r="JF505" s="27" t="s">
        <v>7</v>
      </c>
      <c r="JI505" s="27" t="s">
        <v>8</v>
      </c>
      <c r="JJ505" s="27" t="s">
        <v>7</v>
      </c>
    </row>
    <row r="506" spans="1:270" x14ac:dyDescent="0.25">
      <c r="A506" s="7">
        <v>4.9729479392183231</v>
      </c>
      <c r="B506"/>
      <c r="C506"/>
      <c r="D506"/>
      <c r="E506" t="s">
        <v>8</v>
      </c>
      <c r="F506" s="27" t="s">
        <v>7</v>
      </c>
      <c r="G506" s="27" t="s">
        <v>8</v>
      </c>
      <c r="K506" s="27" t="s">
        <v>8</v>
      </c>
      <c r="L506" s="27" t="s">
        <v>7</v>
      </c>
      <c r="HQ506" s="27" t="s">
        <v>8</v>
      </c>
      <c r="HR506" s="27" t="s">
        <v>7</v>
      </c>
      <c r="HS506" s="27" t="s">
        <v>8</v>
      </c>
      <c r="HT506" s="27" t="s">
        <v>7</v>
      </c>
      <c r="HU506" s="27" t="s">
        <v>8</v>
      </c>
      <c r="HV506" s="27" t="s">
        <v>7</v>
      </c>
      <c r="IC506" s="27" t="s">
        <v>8</v>
      </c>
      <c r="IK506" s="27" t="s">
        <v>8</v>
      </c>
      <c r="IL506" s="27" t="s">
        <v>7</v>
      </c>
      <c r="IM506" s="27" t="s">
        <v>8</v>
      </c>
      <c r="IN506" s="27" t="s">
        <v>7</v>
      </c>
      <c r="IO506" s="27" t="s">
        <v>8</v>
      </c>
      <c r="IQ506" s="27" t="s">
        <v>8</v>
      </c>
      <c r="IR506" s="27" t="s">
        <v>7</v>
      </c>
      <c r="JA506" s="27" t="s">
        <v>8</v>
      </c>
      <c r="JB506" s="27" t="s">
        <v>7</v>
      </c>
      <c r="JC506" s="27" t="s">
        <v>8</v>
      </c>
      <c r="JF506" s="27" t="s">
        <v>7</v>
      </c>
      <c r="JI506" s="27" t="s">
        <v>8</v>
      </c>
      <c r="JJ506" s="27" t="s">
        <v>7</v>
      </c>
    </row>
    <row r="507" spans="1:270" x14ac:dyDescent="0.25">
      <c r="A507" s="7">
        <v>4.8754391560963954</v>
      </c>
      <c r="B507"/>
      <c r="C507"/>
      <c r="D507"/>
      <c r="E507" t="s">
        <v>8</v>
      </c>
      <c r="F507" s="27" t="s">
        <v>7</v>
      </c>
      <c r="G507" s="27" t="s">
        <v>8</v>
      </c>
      <c r="H507" s="27" t="s">
        <v>7</v>
      </c>
      <c r="K507" s="27" t="s">
        <v>8</v>
      </c>
      <c r="L507" s="27" t="s">
        <v>7</v>
      </c>
      <c r="HQ507" s="27" t="s">
        <v>8</v>
      </c>
      <c r="HR507" s="27" t="s">
        <v>7</v>
      </c>
      <c r="HS507" s="27" t="s">
        <v>8</v>
      </c>
      <c r="HT507" s="27" t="s">
        <v>7</v>
      </c>
      <c r="HU507" s="27" t="s">
        <v>8</v>
      </c>
      <c r="HV507" s="27" t="s">
        <v>7</v>
      </c>
      <c r="IC507" s="27" t="s">
        <v>8</v>
      </c>
      <c r="ID507" s="27" t="s">
        <v>7</v>
      </c>
      <c r="IK507" s="27" t="s">
        <v>8</v>
      </c>
      <c r="IL507" s="27" t="s">
        <v>7</v>
      </c>
      <c r="IM507" s="27" t="s">
        <v>8</v>
      </c>
      <c r="IN507" s="27" t="s">
        <v>7</v>
      </c>
      <c r="IO507" s="27" t="s">
        <v>8</v>
      </c>
      <c r="IP507" s="27" t="s">
        <v>7</v>
      </c>
      <c r="IQ507" s="27" t="s">
        <v>8</v>
      </c>
      <c r="IR507" s="27" t="s">
        <v>7</v>
      </c>
      <c r="JA507" s="27" t="s">
        <v>8</v>
      </c>
      <c r="JB507" s="27" t="s">
        <v>7</v>
      </c>
      <c r="JC507" s="27" t="s">
        <v>8</v>
      </c>
      <c r="JF507" s="27" t="s">
        <v>7</v>
      </c>
      <c r="JI507" s="27" t="s">
        <v>8</v>
      </c>
      <c r="JJ507" s="27" t="s">
        <v>7</v>
      </c>
    </row>
    <row r="508" spans="1:270" x14ac:dyDescent="0.25">
      <c r="A508" s="7">
        <v>4.7798423098984264</v>
      </c>
      <c r="B508"/>
      <c r="C508"/>
      <c r="D508"/>
      <c r="E508" t="s">
        <v>8</v>
      </c>
      <c r="F508" s="27" t="s">
        <v>7</v>
      </c>
      <c r="G508" s="27" t="s">
        <v>8</v>
      </c>
      <c r="H508" s="27" t="s">
        <v>7</v>
      </c>
      <c r="K508" s="27" t="s">
        <v>8</v>
      </c>
      <c r="L508" s="27" t="s">
        <v>7</v>
      </c>
      <c r="HQ508" s="27" t="s">
        <v>8</v>
      </c>
      <c r="HR508" s="27" t="s">
        <v>7</v>
      </c>
      <c r="HS508" s="27" t="s">
        <v>8</v>
      </c>
      <c r="HT508" s="27" t="s">
        <v>7</v>
      </c>
      <c r="HU508" s="27" t="s">
        <v>8</v>
      </c>
      <c r="HV508" s="27" t="s">
        <v>7</v>
      </c>
      <c r="IC508" s="27" t="s">
        <v>8</v>
      </c>
      <c r="ID508" s="27" t="s">
        <v>7</v>
      </c>
      <c r="IK508" s="27" t="s">
        <v>8</v>
      </c>
      <c r="IL508" s="27" t="s">
        <v>7</v>
      </c>
      <c r="IN508" s="27" t="s">
        <v>7</v>
      </c>
      <c r="IO508" s="27" t="s">
        <v>8</v>
      </c>
      <c r="IP508" s="27" t="s">
        <v>7</v>
      </c>
      <c r="IQ508" s="27" t="s">
        <v>8</v>
      </c>
      <c r="IR508" s="27" t="s">
        <v>7</v>
      </c>
      <c r="JA508" s="27" t="s">
        <v>8</v>
      </c>
      <c r="JB508" s="27" t="s">
        <v>7</v>
      </c>
      <c r="JC508" s="27" t="s">
        <v>8</v>
      </c>
      <c r="JF508" s="27" t="s">
        <v>7</v>
      </c>
      <c r="JG508" s="27" t="s">
        <v>8</v>
      </c>
      <c r="JI508" s="27" t="s">
        <v>8</v>
      </c>
      <c r="JJ508" s="27" t="s">
        <v>7</v>
      </c>
    </row>
    <row r="509" spans="1:270" x14ac:dyDescent="0.25">
      <c r="A509" s="7">
        <v>4.6861199116651235</v>
      </c>
      <c r="B509"/>
      <c r="C509"/>
      <c r="D509"/>
      <c r="E509" t="s">
        <v>8</v>
      </c>
      <c r="F509" s="27" t="s">
        <v>7</v>
      </c>
      <c r="G509" s="27" t="s">
        <v>8</v>
      </c>
      <c r="H509" s="27" t="s">
        <v>7</v>
      </c>
      <c r="K509" s="27" t="s">
        <v>8</v>
      </c>
      <c r="L509" s="27" t="s">
        <v>7</v>
      </c>
      <c r="HQ509" s="27" t="s">
        <v>8</v>
      </c>
      <c r="HR509" s="27" t="s">
        <v>7</v>
      </c>
      <c r="HS509" s="27" t="s">
        <v>8</v>
      </c>
      <c r="HT509" s="27" t="s">
        <v>7</v>
      </c>
      <c r="HU509" s="27" t="s">
        <v>8</v>
      </c>
      <c r="HV509" s="27" t="s">
        <v>7</v>
      </c>
      <c r="IA509" s="27" t="s">
        <v>8</v>
      </c>
      <c r="IC509" s="27" t="s">
        <v>8</v>
      </c>
      <c r="ID509" s="27" t="s">
        <v>7</v>
      </c>
      <c r="IK509" s="27" t="s">
        <v>8</v>
      </c>
      <c r="IN509" s="27" t="s">
        <v>7</v>
      </c>
      <c r="IO509" s="27" t="s">
        <v>8</v>
      </c>
      <c r="IP509" s="27" t="s">
        <v>7</v>
      </c>
      <c r="IQ509" s="27" t="s">
        <v>8</v>
      </c>
      <c r="IR509" s="27" t="s">
        <v>7</v>
      </c>
      <c r="JA509" s="27" t="s">
        <v>8</v>
      </c>
      <c r="JB509" s="27" t="s">
        <v>7</v>
      </c>
      <c r="JF509" s="27" t="s">
        <v>7</v>
      </c>
      <c r="JG509" s="27" t="s">
        <v>8</v>
      </c>
      <c r="JH509" s="27" t="s">
        <v>7</v>
      </c>
      <c r="JI509" s="27" t="s">
        <v>8</v>
      </c>
      <c r="JJ509" s="27" t="s">
        <v>7</v>
      </c>
    </row>
    <row r="510" spans="1:270" x14ac:dyDescent="0.25">
      <c r="A510" s="7">
        <v>4.5942352075148269</v>
      </c>
      <c r="B510"/>
      <c r="C510"/>
      <c r="D510"/>
      <c r="E510" t="s">
        <v>8</v>
      </c>
      <c r="F510" s="27" t="s">
        <v>7</v>
      </c>
      <c r="G510" s="27" t="s">
        <v>8</v>
      </c>
      <c r="H510" s="27" t="s">
        <v>7</v>
      </c>
      <c r="K510" s="27" t="s">
        <v>8</v>
      </c>
      <c r="L510" s="27" t="s">
        <v>7</v>
      </c>
      <c r="DY510" s="27" t="s">
        <v>8</v>
      </c>
      <c r="HQ510" s="27" t="s">
        <v>8</v>
      </c>
      <c r="HR510" s="27" t="s">
        <v>7</v>
      </c>
      <c r="HS510" s="27" t="s">
        <v>8</v>
      </c>
      <c r="HT510" s="27" t="s">
        <v>7</v>
      </c>
      <c r="HV510" s="27" t="s">
        <v>7</v>
      </c>
      <c r="HW510" s="27" t="s">
        <v>8</v>
      </c>
      <c r="IA510" s="27" t="s">
        <v>8</v>
      </c>
      <c r="IB510" s="27" t="s">
        <v>7</v>
      </c>
      <c r="IC510" s="27" t="s">
        <v>8</v>
      </c>
      <c r="ID510" s="27" t="s">
        <v>7</v>
      </c>
      <c r="IK510" s="27" t="s">
        <v>8</v>
      </c>
      <c r="IN510" s="27" t="s">
        <v>7</v>
      </c>
      <c r="IO510" s="27" t="s">
        <v>8</v>
      </c>
      <c r="IP510" s="27" t="s">
        <v>7</v>
      </c>
      <c r="IR510" s="27" t="s">
        <v>7</v>
      </c>
      <c r="IY510" s="27" t="s">
        <v>8</v>
      </c>
      <c r="JA510" s="27" t="s">
        <v>8</v>
      </c>
      <c r="JF510" s="27" t="s">
        <v>7</v>
      </c>
      <c r="JG510" s="27" t="s">
        <v>8</v>
      </c>
      <c r="JH510" s="27" t="s">
        <v>7</v>
      </c>
      <c r="JI510" s="27" t="s">
        <v>8</v>
      </c>
      <c r="JJ510" s="27" t="s">
        <v>7</v>
      </c>
    </row>
    <row r="511" spans="1:270" x14ac:dyDescent="0.25">
      <c r="A511" s="7">
        <v>4.5041521642302227</v>
      </c>
      <c r="B511"/>
      <c r="C511"/>
      <c r="D511"/>
      <c r="E511" t="s">
        <v>8</v>
      </c>
      <c r="F511" s="27" t="s">
        <v>7</v>
      </c>
      <c r="G511" s="27" t="s">
        <v>8</v>
      </c>
      <c r="H511" s="27" t="s">
        <v>7</v>
      </c>
      <c r="K511" s="27" t="s">
        <v>8</v>
      </c>
      <c r="L511" s="27" t="s">
        <v>7</v>
      </c>
      <c r="DY511" s="27" t="s">
        <v>8</v>
      </c>
      <c r="DZ511" s="27" t="s">
        <v>7</v>
      </c>
      <c r="HQ511" s="27" t="s">
        <v>8</v>
      </c>
      <c r="HR511" s="27" t="s">
        <v>7</v>
      </c>
      <c r="HS511" s="27" t="s">
        <v>8</v>
      </c>
      <c r="HV511" s="27" t="s">
        <v>7</v>
      </c>
      <c r="HW511" s="27" t="s">
        <v>8</v>
      </c>
      <c r="HX511" s="27" t="s">
        <v>7</v>
      </c>
      <c r="HY511" s="27" t="s">
        <v>8</v>
      </c>
      <c r="IA511" s="27" t="s">
        <v>8</v>
      </c>
      <c r="IB511" s="27" t="s">
        <v>7</v>
      </c>
      <c r="IC511" s="27" t="s">
        <v>8</v>
      </c>
      <c r="ID511" s="27" t="s">
        <v>7</v>
      </c>
      <c r="IK511" s="27" t="s">
        <v>8</v>
      </c>
      <c r="IN511" s="27" t="s">
        <v>7</v>
      </c>
      <c r="IO511" s="27" t="s">
        <v>8</v>
      </c>
      <c r="IR511" s="27" t="s">
        <v>7</v>
      </c>
      <c r="IY511" s="27" t="s">
        <v>8</v>
      </c>
      <c r="IZ511" s="27" t="s">
        <v>7</v>
      </c>
      <c r="JA511" s="27" t="s">
        <v>8</v>
      </c>
      <c r="JF511" s="27" t="s">
        <v>7</v>
      </c>
      <c r="JG511" s="27" t="s">
        <v>8</v>
      </c>
      <c r="JH511" s="27" t="s">
        <v>7</v>
      </c>
      <c r="JI511" s="27" t="s">
        <v>8</v>
      </c>
      <c r="JJ511" s="27" t="s">
        <v>7</v>
      </c>
    </row>
    <row r="512" spans="1:270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G512" s="27" t="s">
        <v>8</v>
      </c>
      <c r="H512" s="27" t="s">
        <v>7</v>
      </c>
      <c r="K512" s="27" t="s">
        <v>8</v>
      </c>
      <c r="L512" s="27" t="s">
        <v>7</v>
      </c>
      <c r="DY512" s="27" t="s">
        <v>8</v>
      </c>
      <c r="DZ512" s="27" t="s">
        <v>7</v>
      </c>
      <c r="HQ512" s="27" t="s">
        <v>8</v>
      </c>
      <c r="HR512" s="27" t="s">
        <v>7</v>
      </c>
      <c r="HS512" s="27" t="s">
        <v>8</v>
      </c>
      <c r="HV512" s="27" t="s">
        <v>7</v>
      </c>
      <c r="HW512" s="27" t="s">
        <v>8</v>
      </c>
      <c r="HX512" s="27" t="s">
        <v>7</v>
      </c>
      <c r="HY512" s="27" t="s">
        <v>8</v>
      </c>
      <c r="HZ512" s="27" t="s">
        <v>7</v>
      </c>
      <c r="IA512" s="27" t="s">
        <v>8</v>
      </c>
      <c r="IB512" s="27" t="s">
        <v>7</v>
      </c>
      <c r="IC512" s="27" t="s">
        <v>8</v>
      </c>
      <c r="ID512" s="27" t="s">
        <v>7</v>
      </c>
      <c r="IE512" s="27" t="s">
        <v>8</v>
      </c>
      <c r="IK512" s="27" t="s">
        <v>8</v>
      </c>
      <c r="IN512" s="27" t="s">
        <v>7</v>
      </c>
      <c r="IO512" s="27" t="s">
        <v>8</v>
      </c>
      <c r="IR512" s="27" t="s">
        <v>7</v>
      </c>
      <c r="IY512" s="27" t="s">
        <v>8</v>
      </c>
      <c r="IZ512" s="27" t="s">
        <v>7</v>
      </c>
      <c r="JA512" s="27" t="s">
        <v>8</v>
      </c>
      <c r="JF512" s="27" t="s">
        <v>7</v>
      </c>
      <c r="JH512" s="27" t="s">
        <v>7</v>
      </c>
      <c r="JI512" s="27" t="s">
        <v>8</v>
      </c>
      <c r="JJ512" s="27" t="s">
        <v>7</v>
      </c>
    </row>
    <row r="513" spans="1:274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G513" s="27" t="s">
        <v>8</v>
      </c>
      <c r="H513" s="27" t="s">
        <v>7</v>
      </c>
      <c r="K513" s="27" t="s">
        <v>8</v>
      </c>
      <c r="L513" s="27" t="s">
        <v>7</v>
      </c>
      <c r="DY513" s="27" t="s">
        <v>8</v>
      </c>
      <c r="DZ513" s="27" t="s">
        <v>7</v>
      </c>
      <c r="HQ513" s="27" t="s">
        <v>8</v>
      </c>
      <c r="HR513" s="27" t="s">
        <v>7</v>
      </c>
      <c r="HS513" s="27" t="s">
        <v>8</v>
      </c>
      <c r="HV513" s="27" t="s">
        <v>7</v>
      </c>
      <c r="HW513" s="27" t="s">
        <v>8</v>
      </c>
      <c r="HX513" s="27" t="s">
        <v>7</v>
      </c>
      <c r="HY513" s="27" t="s">
        <v>8</v>
      </c>
      <c r="HZ513" s="27" t="s">
        <v>7</v>
      </c>
      <c r="IA513" s="27" t="s">
        <v>8</v>
      </c>
      <c r="IB513" s="27" t="s">
        <v>7</v>
      </c>
      <c r="ID513" s="27" t="s">
        <v>7</v>
      </c>
      <c r="IE513" s="27" t="s">
        <v>8</v>
      </c>
      <c r="IF513" s="27" t="s">
        <v>7</v>
      </c>
      <c r="IG513" s="27" t="s">
        <v>8</v>
      </c>
      <c r="IK513" s="27" t="s">
        <v>8</v>
      </c>
      <c r="IN513" s="27" t="s">
        <v>7</v>
      </c>
      <c r="IO513" s="27" t="s">
        <v>8</v>
      </c>
      <c r="IR513" s="27" t="s">
        <v>7</v>
      </c>
      <c r="IY513" s="27" t="s">
        <v>8</v>
      </c>
      <c r="IZ513" s="27" t="s">
        <v>7</v>
      </c>
      <c r="JA513" s="27" t="s">
        <v>8</v>
      </c>
      <c r="JH513" s="27" t="s">
        <v>7</v>
      </c>
      <c r="JI513" s="27" t="s">
        <v>8</v>
      </c>
      <c r="JJ513" s="27" t="s">
        <v>7</v>
      </c>
    </row>
    <row r="514" spans="1:274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G514" s="27" t="s">
        <v>8</v>
      </c>
      <c r="H514" s="27" t="s">
        <v>7</v>
      </c>
      <c r="I514" s="27" t="s">
        <v>8</v>
      </c>
      <c r="K514" s="27" t="s">
        <v>8</v>
      </c>
      <c r="L514" s="27" t="s">
        <v>7</v>
      </c>
      <c r="DY514" s="27" t="s">
        <v>8</v>
      </c>
      <c r="DZ514" s="27" t="s">
        <v>7</v>
      </c>
      <c r="EO514" s="27" t="s">
        <v>8</v>
      </c>
      <c r="HQ514" s="27" t="s">
        <v>8</v>
      </c>
      <c r="HR514" s="27" t="s">
        <v>7</v>
      </c>
      <c r="HS514" s="27" t="s">
        <v>8</v>
      </c>
      <c r="HV514" s="27" t="s">
        <v>7</v>
      </c>
      <c r="HX514" s="27" t="s">
        <v>7</v>
      </c>
      <c r="HY514" s="27" t="s">
        <v>8</v>
      </c>
      <c r="HZ514" s="27" t="s">
        <v>7</v>
      </c>
      <c r="IA514" s="27" t="s">
        <v>8</v>
      </c>
      <c r="ID514" s="27" t="s">
        <v>7</v>
      </c>
      <c r="IE514" s="27" t="s">
        <v>8</v>
      </c>
      <c r="IF514" s="27" t="s">
        <v>7</v>
      </c>
      <c r="IG514" s="27" t="s">
        <v>8</v>
      </c>
      <c r="IH514" s="27" t="s">
        <v>7</v>
      </c>
      <c r="II514" s="27" t="s">
        <v>8</v>
      </c>
      <c r="IK514" s="27" t="s">
        <v>8</v>
      </c>
      <c r="IN514" s="27" t="s">
        <v>7</v>
      </c>
      <c r="IR514" s="27" t="s">
        <v>7</v>
      </c>
      <c r="IY514" s="27" t="s">
        <v>8</v>
      </c>
      <c r="IZ514" s="27" t="s">
        <v>7</v>
      </c>
      <c r="JA514" s="27" t="s">
        <v>8</v>
      </c>
      <c r="JH514" s="27" t="s">
        <v>7</v>
      </c>
      <c r="JI514" s="27" t="s">
        <v>8</v>
      </c>
      <c r="JJ514" s="27" t="s">
        <v>7</v>
      </c>
    </row>
    <row r="515" spans="1:274" x14ac:dyDescent="0.25">
      <c r="A515" s="7">
        <v>4.1611403750515157</v>
      </c>
      <c r="B515"/>
      <c r="C515"/>
      <c r="D515"/>
      <c r="E515" t="s">
        <v>8</v>
      </c>
      <c r="F515" s="27" t="s">
        <v>7</v>
      </c>
      <c r="G515" s="27" t="s">
        <v>8</v>
      </c>
      <c r="H515" s="27" t="s">
        <v>7</v>
      </c>
      <c r="I515" s="27" t="s">
        <v>8</v>
      </c>
      <c r="J515" s="27" t="s">
        <v>7</v>
      </c>
      <c r="K515" s="27" t="s">
        <v>8</v>
      </c>
      <c r="L515" s="27" t="s">
        <v>7</v>
      </c>
      <c r="DY515" s="27" t="s">
        <v>8</v>
      </c>
      <c r="DZ515" s="27" t="s">
        <v>7</v>
      </c>
      <c r="EO515" s="27" t="s">
        <v>8</v>
      </c>
      <c r="EP515" s="27" t="s">
        <v>7</v>
      </c>
      <c r="HQ515" s="27" t="s">
        <v>8</v>
      </c>
      <c r="HR515" s="27" t="s">
        <v>7</v>
      </c>
      <c r="HS515" s="27" t="s">
        <v>8</v>
      </c>
      <c r="HX515" s="27" t="s">
        <v>7</v>
      </c>
      <c r="HY515" s="27" t="s">
        <v>8</v>
      </c>
      <c r="HZ515" s="27" t="s">
        <v>7</v>
      </c>
      <c r="IA515" s="27" t="s">
        <v>8</v>
      </c>
      <c r="ID515" s="27" t="s">
        <v>7</v>
      </c>
      <c r="IE515" s="27" t="s">
        <v>8</v>
      </c>
      <c r="IF515" s="27" t="s">
        <v>7</v>
      </c>
      <c r="IG515" s="27" t="s">
        <v>8</v>
      </c>
      <c r="IH515" s="27" t="s">
        <v>7</v>
      </c>
      <c r="II515" s="27" t="s">
        <v>8</v>
      </c>
      <c r="IJ515" s="27" t="s">
        <v>7</v>
      </c>
      <c r="IK515" s="27" t="s">
        <v>8</v>
      </c>
      <c r="IR515" s="27" t="s">
        <v>7</v>
      </c>
      <c r="IU515" s="27" t="s">
        <v>8</v>
      </c>
      <c r="IY515" s="27" t="s">
        <v>8</v>
      </c>
      <c r="IZ515" s="27" t="s">
        <v>7</v>
      </c>
      <c r="JA515" s="27" t="s">
        <v>8</v>
      </c>
      <c r="JH515" s="27" t="s">
        <v>7</v>
      </c>
      <c r="JI515" s="27" t="s">
        <v>8</v>
      </c>
      <c r="JJ515" s="27" t="s">
        <v>7</v>
      </c>
    </row>
    <row r="516" spans="1:274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G516" s="27" t="s">
        <v>8</v>
      </c>
      <c r="H516" s="27" t="s">
        <v>7</v>
      </c>
      <c r="I516" s="27" t="s">
        <v>8</v>
      </c>
      <c r="J516" s="27" t="s">
        <v>7</v>
      </c>
      <c r="K516" s="27" t="s">
        <v>8</v>
      </c>
      <c r="L516" s="27" t="s">
        <v>7</v>
      </c>
      <c r="DY516" s="27" t="s">
        <v>8</v>
      </c>
      <c r="DZ516" s="27" t="s">
        <v>7</v>
      </c>
      <c r="EO516" s="27" t="s">
        <v>8</v>
      </c>
      <c r="EP516" s="27" t="s">
        <v>7</v>
      </c>
      <c r="HQ516" s="27" t="s">
        <v>8</v>
      </c>
      <c r="HR516" s="27" t="s">
        <v>7</v>
      </c>
      <c r="HX516" s="27" t="s">
        <v>7</v>
      </c>
      <c r="HZ516" s="27" t="s">
        <v>7</v>
      </c>
      <c r="IA516" s="27" t="s">
        <v>8</v>
      </c>
      <c r="ID516" s="27" t="s">
        <v>7</v>
      </c>
      <c r="IE516" s="27" t="s">
        <v>8</v>
      </c>
      <c r="IF516" s="27" t="s">
        <v>7</v>
      </c>
      <c r="IG516" s="27" t="s">
        <v>8</v>
      </c>
      <c r="IH516" s="27" t="s">
        <v>7</v>
      </c>
      <c r="II516" s="27" t="s">
        <v>8</v>
      </c>
      <c r="IJ516" s="27" t="s">
        <v>7</v>
      </c>
      <c r="IK516" s="27" t="s">
        <v>8</v>
      </c>
      <c r="IR516" s="27" t="s">
        <v>7</v>
      </c>
      <c r="IU516" s="27" t="s">
        <v>8</v>
      </c>
      <c r="IV516" s="27" t="s">
        <v>7</v>
      </c>
      <c r="IY516" s="27" t="s">
        <v>8</v>
      </c>
      <c r="IZ516" s="27" t="s">
        <v>7</v>
      </c>
      <c r="JA516" s="27" t="s">
        <v>8</v>
      </c>
      <c r="JH516" s="27" t="s">
        <v>7</v>
      </c>
      <c r="JJ516" s="27" t="s">
        <v>7</v>
      </c>
    </row>
    <row r="517" spans="1:274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G517" s="27" t="s">
        <v>8</v>
      </c>
      <c r="H517" s="27" t="s">
        <v>7</v>
      </c>
      <c r="I517" s="27" t="s">
        <v>8</v>
      </c>
      <c r="J517" s="27" t="s">
        <v>7</v>
      </c>
      <c r="K517" s="27" t="s">
        <v>8</v>
      </c>
      <c r="L517" s="27" t="s">
        <v>7</v>
      </c>
      <c r="DY517" s="27" t="s">
        <v>8</v>
      </c>
      <c r="DZ517" s="27" t="s">
        <v>7</v>
      </c>
      <c r="EO517" s="27" t="s">
        <v>8</v>
      </c>
      <c r="EP517" s="27" t="s">
        <v>7</v>
      </c>
      <c r="HQ517" s="27" t="s">
        <v>8</v>
      </c>
      <c r="HZ517" s="27" t="s">
        <v>7</v>
      </c>
      <c r="IA517" s="27" t="s">
        <v>8</v>
      </c>
      <c r="ID517" s="27" t="s">
        <v>7</v>
      </c>
      <c r="IE517" s="27" t="s">
        <v>8</v>
      </c>
      <c r="IF517" s="27" t="s">
        <v>7</v>
      </c>
      <c r="IG517" s="27" t="s">
        <v>8</v>
      </c>
      <c r="IH517" s="27" t="s">
        <v>7</v>
      </c>
      <c r="II517" s="27" t="s">
        <v>8</v>
      </c>
      <c r="IJ517" s="27" t="s">
        <v>7</v>
      </c>
      <c r="IK517" s="27" t="s">
        <v>8</v>
      </c>
      <c r="IR517" s="27" t="s">
        <v>7</v>
      </c>
      <c r="IU517" s="27" t="s">
        <v>8</v>
      </c>
      <c r="IV517" s="27" t="s">
        <v>7</v>
      </c>
      <c r="IY517" s="27" t="s">
        <v>8</v>
      </c>
      <c r="IZ517" s="27" t="s">
        <v>7</v>
      </c>
      <c r="JA517" s="27" t="s">
        <v>8</v>
      </c>
      <c r="JJ517" s="27" t="s">
        <v>7</v>
      </c>
    </row>
    <row r="518" spans="1:274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G518" s="27" t="s">
        <v>8</v>
      </c>
      <c r="H518" s="27" t="s">
        <v>7</v>
      </c>
      <c r="I518" s="27" t="s">
        <v>8</v>
      </c>
      <c r="J518" s="27" t="s">
        <v>7</v>
      </c>
      <c r="K518" s="27" t="s">
        <v>8</v>
      </c>
      <c r="L518" s="27" t="s">
        <v>7</v>
      </c>
      <c r="DY518" s="27" t="s">
        <v>8</v>
      </c>
      <c r="DZ518" s="27" t="s">
        <v>7</v>
      </c>
      <c r="EM518" s="27" t="s">
        <v>8</v>
      </c>
      <c r="EO518" s="27" t="s">
        <v>8</v>
      </c>
      <c r="EP518" s="27" t="s">
        <v>7</v>
      </c>
      <c r="HQ518" s="27" t="s">
        <v>8</v>
      </c>
      <c r="HZ518" s="27" t="s">
        <v>7</v>
      </c>
      <c r="ID518" s="27" t="s">
        <v>7</v>
      </c>
      <c r="IE518" s="27" t="s">
        <v>8</v>
      </c>
      <c r="IF518" s="27" t="s">
        <v>7</v>
      </c>
      <c r="IH518" s="27" t="s">
        <v>7</v>
      </c>
      <c r="II518" s="27" t="s">
        <v>8</v>
      </c>
      <c r="IJ518" s="27" t="s">
        <v>7</v>
      </c>
      <c r="IK518" s="27" t="s">
        <v>8</v>
      </c>
      <c r="IR518" s="27" t="s">
        <v>7</v>
      </c>
      <c r="IS518" s="27" t="s">
        <v>8</v>
      </c>
      <c r="IU518" s="27" t="s">
        <v>8</v>
      </c>
      <c r="IV518" s="27" t="s">
        <v>7</v>
      </c>
      <c r="IY518" s="27" t="s">
        <v>8</v>
      </c>
      <c r="IZ518" s="27" t="s">
        <v>7</v>
      </c>
      <c r="JA518" s="27" t="s">
        <v>8</v>
      </c>
      <c r="JJ518" s="27" t="s">
        <v>7</v>
      </c>
    </row>
    <row r="519" spans="1:274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G519" s="27" t="s">
        <v>8</v>
      </c>
      <c r="H519" s="27" t="s">
        <v>7</v>
      </c>
      <c r="I519" s="27" t="s">
        <v>8</v>
      </c>
      <c r="J519" s="27" t="s">
        <v>7</v>
      </c>
      <c r="K519" s="27" t="s">
        <v>8</v>
      </c>
      <c r="L519" s="27" t="s">
        <v>7</v>
      </c>
      <c r="DY519" s="27" t="s">
        <v>8</v>
      </c>
      <c r="DZ519" s="27" t="s">
        <v>7</v>
      </c>
      <c r="EM519" s="27" t="s">
        <v>8</v>
      </c>
      <c r="EN519" s="27" t="s">
        <v>7</v>
      </c>
      <c r="EO519" s="27" t="s">
        <v>8</v>
      </c>
      <c r="EP519" s="27" t="s">
        <v>7</v>
      </c>
      <c r="HQ519" s="27" t="s">
        <v>8</v>
      </c>
      <c r="ID519" s="27" t="s">
        <v>7</v>
      </c>
      <c r="IE519" s="27" t="s">
        <v>8</v>
      </c>
      <c r="IH519" s="27" t="s">
        <v>7</v>
      </c>
      <c r="II519" s="27" t="s">
        <v>8</v>
      </c>
      <c r="IJ519" s="27" t="s">
        <v>7</v>
      </c>
      <c r="IK519" s="27" t="s">
        <v>8</v>
      </c>
      <c r="IR519" s="27" t="s">
        <v>7</v>
      </c>
      <c r="IS519" s="27" t="s">
        <v>8</v>
      </c>
      <c r="IT519" s="27" t="s">
        <v>7</v>
      </c>
      <c r="IU519" s="27" t="s">
        <v>8</v>
      </c>
      <c r="IV519" s="27" t="s">
        <v>7</v>
      </c>
      <c r="IW519" s="27" t="s">
        <v>8</v>
      </c>
      <c r="IY519" s="27" t="s">
        <v>8</v>
      </c>
      <c r="IZ519" s="27" t="s">
        <v>7</v>
      </c>
      <c r="JJ519" s="27" t="s">
        <v>7</v>
      </c>
    </row>
    <row r="520" spans="1:274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G520" s="27" t="s">
        <v>8</v>
      </c>
      <c r="H520" s="27" t="s">
        <v>7</v>
      </c>
      <c r="I520" s="27" t="s">
        <v>8</v>
      </c>
      <c r="J520" s="27" t="s">
        <v>7</v>
      </c>
      <c r="K520" s="27" t="s">
        <v>8</v>
      </c>
      <c r="L520" s="27" t="s">
        <v>7</v>
      </c>
      <c r="DY520" s="27" t="s">
        <v>8</v>
      </c>
      <c r="DZ520" s="27" t="s">
        <v>7</v>
      </c>
      <c r="EM520" s="27" t="s">
        <v>8</v>
      </c>
      <c r="EN520" s="27" t="s">
        <v>7</v>
      </c>
      <c r="EO520" s="27" t="s">
        <v>8</v>
      </c>
      <c r="EP520" s="27" t="s">
        <v>7</v>
      </c>
      <c r="HQ520" s="27" t="s">
        <v>8</v>
      </c>
      <c r="ID520" s="27" t="s">
        <v>7</v>
      </c>
      <c r="IE520" s="27" t="s">
        <v>8</v>
      </c>
      <c r="IH520" s="27" t="s">
        <v>7</v>
      </c>
      <c r="II520" s="27" t="s">
        <v>8</v>
      </c>
      <c r="IJ520" s="27" t="s">
        <v>7</v>
      </c>
      <c r="IR520" s="27" t="s">
        <v>7</v>
      </c>
      <c r="IS520" s="27" t="s">
        <v>8</v>
      </c>
      <c r="IT520" s="27" t="s">
        <v>7</v>
      </c>
      <c r="IU520" s="27" t="s">
        <v>8</v>
      </c>
      <c r="IV520" s="27" t="s">
        <v>7</v>
      </c>
      <c r="IW520" s="27" t="s">
        <v>8</v>
      </c>
      <c r="IX520" s="27" t="s">
        <v>7</v>
      </c>
      <c r="IY520" s="27" t="s">
        <v>8</v>
      </c>
      <c r="JJ520" s="27" t="s">
        <v>7</v>
      </c>
    </row>
    <row r="521" spans="1:274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G521" s="27" t="s">
        <v>8</v>
      </c>
      <c r="H521" s="27" t="s">
        <v>7</v>
      </c>
      <c r="I521" s="27" t="s">
        <v>8</v>
      </c>
      <c r="J521" s="27" t="s">
        <v>7</v>
      </c>
      <c r="K521" s="27" t="s">
        <v>8</v>
      </c>
      <c r="L521" s="27" t="s">
        <v>7</v>
      </c>
      <c r="DY521" s="27" t="s">
        <v>8</v>
      </c>
      <c r="DZ521" s="27" t="s">
        <v>7</v>
      </c>
      <c r="EM521" s="27" t="s">
        <v>8</v>
      </c>
      <c r="EN521" s="27" t="s">
        <v>7</v>
      </c>
      <c r="EO521" s="27" t="s">
        <v>8</v>
      </c>
      <c r="EP521" s="27" t="s">
        <v>7</v>
      </c>
      <c r="HQ521" s="27" t="s">
        <v>8</v>
      </c>
      <c r="ID521" s="27" t="s">
        <v>7</v>
      </c>
      <c r="IH521" s="27" t="s">
        <v>7</v>
      </c>
      <c r="II521" s="27" t="s">
        <v>8</v>
      </c>
      <c r="IR521" s="27" t="s">
        <v>7</v>
      </c>
      <c r="IS521" s="27" t="s">
        <v>8</v>
      </c>
      <c r="IT521" s="27" t="s">
        <v>7</v>
      </c>
      <c r="IU521" s="27" t="s">
        <v>8</v>
      </c>
      <c r="IV521" s="27" t="s">
        <v>7</v>
      </c>
      <c r="IW521" s="27" t="s">
        <v>8</v>
      </c>
      <c r="IX521" s="27" t="s">
        <v>7</v>
      </c>
      <c r="IY521" s="27" t="s">
        <v>8</v>
      </c>
      <c r="JJ521" s="27" t="s">
        <v>7</v>
      </c>
    </row>
    <row r="522" spans="1:274" x14ac:dyDescent="0.25">
      <c r="A522" s="7">
        <v>3.6225231081424152</v>
      </c>
      <c r="B522"/>
      <c r="C522"/>
      <c r="D522"/>
      <c r="E522" t="s">
        <v>8</v>
      </c>
      <c r="F522" s="27" t="s">
        <v>7</v>
      </c>
      <c r="G522" s="27" t="s">
        <v>8</v>
      </c>
      <c r="H522" s="27" t="s">
        <v>7</v>
      </c>
      <c r="I522" s="27" t="s">
        <v>8</v>
      </c>
      <c r="J522" s="27" t="s">
        <v>7</v>
      </c>
      <c r="K522" s="27" t="s">
        <v>8</v>
      </c>
      <c r="L522" s="27" t="s">
        <v>7</v>
      </c>
      <c r="CM522" s="27" t="s">
        <v>8</v>
      </c>
      <c r="DY522" s="27" t="s">
        <v>8</v>
      </c>
      <c r="DZ522" s="27" t="s">
        <v>7</v>
      </c>
      <c r="EM522" s="27" t="s">
        <v>8</v>
      </c>
      <c r="EN522" s="27" t="s">
        <v>7</v>
      </c>
      <c r="EO522" s="27" t="s">
        <v>8</v>
      </c>
      <c r="EP522" s="27" t="s">
        <v>7</v>
      </c>
      <c r="HQ522" s="27" t="s">
        <v>8</v>
      </c>
      <c r="IH522" s="27" t="s">
        <v>7</v>
      </c>
      <c r="II522" s="27" t="s">
        <v>8</v>
      </c>
      <c r="IR522" s="27" t="s">
        <v>7</v>
      </c>
      <c r="IS522" s="27" t="s">
        <v>8</v>
      </c>
      <c r="IT522" s="27" t="s">
        <v>7</v>
      </c>
      <c r="IU522" s="27" t="s">
        <v>8</v>
      </c>
      <c r="IV522" s="27" t="s">
        <v>7</v>
      </c>
      <c r="IW522" s="27" t="s">
        <v>8</v>
      </c>
      <c r="IX522" s="27" t="s">
        <v>7</v>
      </c>
      <c r="IY522" s="27" t="s">
        <v>8</v>
      </c>
      <c r="JJ522" s="27" t="s">
        <v>7</v>
      </c>
    </row>
    <row r="523" spans="1:274" x14ac:dyDescent="0.25">
      <c r="A523" s="7">
        <v>3.5514932432768775</v>
      </c>
      <c r="B523"/>
      <c r="C523"/>
      <c r="D523"/>
      <c r="E523" t="s">
        <v>8</v>
      </c>
      <c r="F523" s="27" t="s">
        <v>7</v>
      </c>
      <c r="G523" s="27" t="s">
        <v>8</v>
      </c>
      <c r="H523" s="27" t="s">
        <v>7</v>
      </c>
      <c r="I523" s="27" t="s">
        <v>8</v>
      </c>
      <c r="J523" s="27" t="s">
        <v>7</v>
      </c>
      <c r="K523" s="27" t="s">
        <v>8</v>
      </c>
      <c r="L523" s="27" t="s">
        <v>7</v>
      </c>
      <c r="CM523" s="27" t="s">
        <v>8</v>
      </c>
      <c r="CN523" s="27" t="s">
        <v>7</v>
      </c>
      <c r="CO523" s="27" t="s">
        <v>8</v>
      </c>
      <c r="DO523" s="27" t="s">
        <v>8</v>
      </c>
      <c r="DY523" s="27" t="s">
        <v>8</v>
      </c>
      <c r="DZ523" s="27" t="s">
        <v>7</v>
      </c>
      <c r="EM523" s="27" t="s">
        <v>8</v>
      </c>
      <c r="EN523" s="27" t="s">
        <v>7</v>
      </c>
      <c r="EO523" s="27" t="s">
        <v>8</v>
      </c>
      <c r="EP523" s="27" t="s">
        <v>7</v>
      </c>
      <c r="EQ523" s="27" t="s">
        <v>8</v>
      </c>
      <c r="HQ523" s="27" t="s">
        <v>8</v>
      </c>
      <c r="IH523" s="27" t="s">
        <v>7</v>
      </c>
      <c r="II523" s="27" t="s">
        <v>8</v>
      </c>
      <c r="IR523" s="27" t="s">
        <v>7</v>
      </c>
      <c r="IS523" s="27" t="s">
        <v>8</v>
      </c>
      <c r="IT523" s="27" t="s">
        <v>7</v>
      </c>
      <c r="IU523" s="27" t="s">
        <v>8</v>
      </c>
      <c r="IV523" s="27" t="s">
        <v>7</v>
      </c>
      <c r="IW523" s="27" t="s">
        <v>8</v>
      </c>
      <c r="IX523" s="27" t="s">
        <v>7</v>
      </c>
      <c r="IY523" s="27" t="s">
        <v>8</v>
      </c>
      <c r="JJ523" s="27" t="s">
        <v>7</v>
      </c>
    </row>
    <row r="524" spans="1:274" x14ac:dyDescent="0.25">
      <c r="A524" s="7">
        <v>3.4818561208596837</v>
      </c>
      <c r="B524"/>
      <c r="C524"/>
      <c r="D524"/>
      <c r="E524" t="s">
        <v>8</v>
      </c>
      <c r="F524" s="27" t="s">
        <v>7</v>
      </c>
      <c r="G524" s="27" t="s">
        <v>8</v>
      </c>
      <c r="H524" s="27" t="s">
        <v>7</v>
      </c>
      <c r="I524" s="27" t="s">
        <v>8</v>
      </c>
      <c r="J524" s="27" t="s">
        <v>7</v>
      </c>
      <c r="K524" s="27" t="s">
        <v>8</v>
      </c>
      <c r="L524" s="27" t="s">
        <v>7</v>
      </c>
      <c r="CM524" s="27" t="s">
        <v>8</v>
      </c>
      <c r="CN524" s="27" t="s">
        <v>7</v>
      </c>
      <c r="CO524" s="27" t="s">
        <v>8</v>
      </c>
      <c r="CP524" s="27" t="s">
        <v>7</v>
      </c>
      <c r="DO524" s="27" t="s">
        <v>8</v>
      </c>
      <c r="DP524" s="27" t="s">
        <v>7</v>
      </c>
      <c r="DQ524" s="27" t="s">
        <v>8</v>
      </c>
      <c r="DS524" s="27" t="s">
        <v>8</v>
      </c>
      <c r="DY524" s="27" t="s">
        <v>8</v>
      </c>
      <c r="DZ524" s="27" t="s">
        <v>7</v>
      </c>
      <c r="EA524" s="27" t="s">
        <v>8</v>
      </c>
      <c r="EI524" s="27" t="s">
        <v>8</v>
      </c>
      <c r="EM524" s="27" t="s">
        <v>8</v>
      </c>
      <c r="EN524" s="27" t="s">
        <v>7</v>
      </c>
      <c r="EO524" s="27" t="s">
        <v>8</v>
      </c>
      <c r="EP524" s="27" t="s">
        <v>7</v>
      </c>
      <c r="EQ524" s="27" t="s">
        <v>8</v>
      </c>
      <c r="ER524" s="27" t="s">
        <v>7</v>
      </c>
      <c r="HQ524" s="27" t="s">
        <v>8</v>
      </c>
      <c r="IH524" s="27" t="s">
        <v>7</v>
      </c>
      <c r="II524" s="27" t="s">
        <v>8</v>
      </c>
      <c r="IR524" s="27" t="s">
        <v>7</v>
      </c>
      <c r="IS524" s="27" t="s">
        <v>8</v>
      </c>
      <c r="IT524" s="27" t="s">
        <v>7</v>
      </c>
      <c r="IU524" s="27" t="s">
        <v>8</v>
      </c>
      <c r="IV524" s="27" t="s">
        <v>7</v>
      </c>
      <c r="IW524" s="27" t="s">
        <v>8</v>
      </c>
      <c r="IX524" s="27" t="s">
        <v>7</v>
      </c>
      <c r="IY524" s="27" t="s">
        <v>8</v>
      </c>
      <c r="JJ524" s="27" t="s">
        <v>7</v>
      </c>
    </row>
    <row r="525" spans="1:274" x14ac:dyDescent="0.25">
      <c r="A525" s="7">
        <v>3.4135844322153761</v>
      </c>
      <c r="B525"/>
      <c r="C525"/>
      <c r="D525"/>
      <c r="E525" t="s">
        <v>8</v>
      </c>
      <c r="F525" s="27" t="s">
        <v>7</v>
      </c>
      <c r="G525" s="27" t="s">
        <v>8</v>
      </c>
      <c r="H525" s="27" t="s">
        <v>7</v>
      </c>
      <c r="I525" s="27" t="s">
        <v>8</v>
      </c>
      <c r="J525" s="27" t="s">
        <v>7</v>
      </c>
      <c r="K525" s="27" t="s">
        <v>8</v>
      </c>
      <c r="L525" s="27" t="s">
        <v>7</v>
      </c>
      <c r="CM525" s="27" t="s">
        <v>8</v>
      </c>
      <c r="CN525" s="27" t="s">
        <v>7</v>
      </c>
      <c r="CO525" s="27" t="s">
        <v>8</v>
      </c>
      <c r="CP525" s="27" t="s">
        <v>7</v>
      </c>
      <c r="DO525" s="27" t="s">
        <v>8</v>
      </c>
      <c r="DP525" s="27" t="s">
        <v>7</v>
      </c>
      <c r="DQ525" s="27" t="s">
        <v>8</v>
      </c>
      <c r="DR525" s="27" t="s">
        <v>7</v>
      </c>
      <c r="DS525" s="27" t="s">
        <v>8</v>
      </c>
      <c r="DT525" s="27" t="s">
        <v>7</v>
      </c>
      <c r="DY525" s="27" t="s">
        <v>8</v>
      </c>
      <c r="DZ525" s="27" t="s">
        <v>7</v>
      </c>
      <c r="EA525" s="27" t="s">
        <v>8</v>
      </c>
      <c r="EB525" s="27" t="s">
        <v>7</v>
      </c>
      <c r="EI525" s="27" t="s">
        <v>8</v>
      </c>
      <c r="EJ525" s="27" t="s">
        <v>7</v>
      </c>
      <c r="EM525" s="27" t="s">
        <v>8</v>
      </c>
      <c r="EN525" s="27" t="s">
        <v>7</v>
      </c>
      <c r="EO525" s="27" t="s">
        <v>8</v>
      </c>
      <c r="EP525" s="27" t="s">
        <v>7</v>
      </c>
      <c r="EQ525" s="27" t="s">
        <v>8</v>
      </c>
      <c r="ER525" s="27" t="s">
        <v>7</v>
      </c>
      <c r="HA525" s="27" t="s">
        <v>8</v>
      </c>
      <c r="HQ525" s="27" t="s">
        <v>8</v>
      </c>
      <c r="IH525" s="27" t="s">
        <v>7</v>
      </c>
      <c r="II525" s="27" t="s">
        <v>8</v>
      </c>
      <c r="IR525" s="27" t="s">
        <v>7</v>
      </c>
      <c r="IS525" s="27" t="s">
        <v>8</v>
      </c>
      <c r="IT525" s="27" t="s">
        <v>7</v>
      </c>
      <c r="IU525" s="27" t="s">
        <v>8</v>
      </c>
      <c r="IV525" s="27" t="s">
        <v>7</v>
      </c>
      <c r="IW525" s="27" t="s">
        <v>8</v>
      </c>
      <c r="IX525" s="27" t="s">
        <v>7</v>
      </c>
      <c r="IY525" s="27" t="s">
        <v>8</v>
      </c>
      <c r="JJ525" s="27" t="s">
        <v>7</v>
      </c>
    </row>
    <row r="526" spans="1:274" x14ac:dyDescent="0.25">
      <c r="A526" s="7">
        <v>3.3466514041327216</v>
      </c>
      <c r="B526"/>
      <c r="C526"/>
      <c r="D526"/>
      <c r="E526" t="s">
        <v>8</v>
      </c>
      <c r="F526" s="27" t="s">
        <v>7</v>
      </c>
      <c r="G526" s="27" t="s">
        <v>8</v>
      </c>
      <c r="H526" s="27" t="s">
        <v>7</v>
      </c>
      <c r="I526" s="27" t="s">
        <v>8</v>
      </c>
      <c r="J526" s="27" t="s">
        <v>7</v>
      </c>
      <c r="K526" s="27" t="s">
        <v>8</v>
      </c>
      <c r="L526" s="27" t="s">
        <v>7</v>
      </c>
      <c r="CM526" s="27" t="s">
        <v>8</v>
      </c>
      <c r="CN526" s="27" t="s">
        <v>7</v>
      </c>
      <c r="CO526" s="27" t="s">
        <v>8</v>
      </c>
      <c r="CP526" s="27" t="s">
        <v>7</v>
      </c>
      <c r="DO526" s="27" t="s">
        <v>8</v>
      </c>
      <c r="DP526" s="27" t="s">
        <v>7</v>
      </c>
      <c r="DQ526" s="27" t="s">
        <v>8</v>
      </c>
      <c r="DR526" s="27" t="s">
        <v>7</v>
      </c>
      <c r="DS526" s="27" t="s">
        <v>8</v>
      </c>
      <c r="DT526" s="27" t="s">
        <v>7</v>
      </c>
      <c r="DY526" s="27" t="s">
        <v>8</v>
      </c>
      <c r="DZ526" s="27" t="s">
        <v>7</v>
      </c>
      <c r="EA526" s="27" t="s">
        <v>8</v>
      </c>
      <c r="EB526" s="27" t="s">
        <v>7</v>
      </c>
      <c r="EI526" s="27" t="s">
        <v>8</v>
      </c>
      <c r="EJ526" s="27" t="s">
        <v>7</v>
      </c>
      <c r="EK526" s="27" t="s">
        <v>8</v>
      </c>
      <c r="EM526" s="27" t="s">
        <v>8</v>
      </c>
      <c r="EN526" s="27" t="s">
        <v>7</v>
      </c>
      <c r="EO526" s="27" t="s">
        <v>8</v>
      </c>
      <c r="EP526" s="27" t="s">
        <v>7</v>
      </c>
      <c r="EQ526" s="27" t="s">
        <v>8</v>
      </c>
      <c r="ER526" s="27" t="s">
        <v>7</v>
      </c>
      <c r="HA526" s="27" t="s">
        <v>8</v>
      </c>
      <c r="HB526" s="27" t="s">
        <v>7</v>
      </c>
      <c r="HQ526" s="27" t="s">
        <v>8</v>
      </c>
      <c r="IH526" s="27" t="s">
        <v>7</v>
      </c>
      <c r="II526" s="27" t="s">
        <v>8</v>
      </c>
      <c r="IR526" s="27" t="s">
        <v>7</v>
      </c>
      <c r="IS526" s="27" t="s">
        <v>8</v>
      </c>
      <c r="IT526" s="27" t="s">
        <v>7</v>
      </c>
      <c r="IU526" s="27" t="s">
        <v>8</v>
      </c>
      <c r="IV526" s="27" t="s">
        <v>7</v>
      </c>
      <c r="IX526" s="27" t="s">
        <v>7</v>
      </c>
      <c r="IY526" s="27" t="s">
        <v>8</v>
      </c>
      <c r="JJ526" s="27" t="s">
        <v>7</v>
      </c>
    </row>
    <row r="527" spans="1:274" x14ac:dyDescent="0.25">
      <c r="A527" s="7">
        <v>3.2810307883654133</v>
      </c>
      <c r="B527"/>
      <c r="C527"/>
      <c r="D527"/>
      <c r="E527" t="s">
        <v>8</v>
      </c>
      <c r="F527" s="27" t="s">
        <v>7</v>
      </c>
      <c r="G527" s="27" t="s">
        <v>8</v>
      </c>
      <c r="H527" s="27" t="s">
        <v>7</v>
      </c>
      <c r="I527" s="27" t="s">
        <v>8</v>
      </c>
      <c r="J527" s="27" t="s">
        <v>7</v>
      </c>
      <c r="K527" s="27" t="s">
        <v>8</v>
      </c>
      <c r="L527" s="27" t="s">
        <v>7</v>
      </c>
      <c r="CM527" s="27" t="s">
        <v>8</v>
      </c>
      <c r="CN527" s="27" t="s">
        <v>7</v>
      </c>
      <c r="CO527" s="27" t="s">
        <v>8</v>
      </c>
      <c r="CP527" s="27" t="s">
        <v>7</v>
      </c>
      <c r="DO527" s="27" t="s">
        <v>8</v>
      </c>
      <c r="DP527" s="27" t="s">
        <v>7</v>
      </c>
      <c r="DQ527" s="27" t="s">
        <v>8</v>
      </c>
      <c r="DR527" s="27" t="s">
        <v>7</v>
      </c>
      <c r="DS527" s="27" t="s">
        <v>8</v>
      </c>
      <c r="DT527" s="27" t="s">
        <v>7</v>
      </c>
      <c r="DY527" s="27" t="s">
        <v>8</v>
      </c>
      <c r="DZ527" s="27" t="s">
        <v>7</v>
      </c>
      <c r="EA527" s="27" t="s">
        <v>8</v>
      </c>
      <c r="EB527" s="27" t="s">
        <v>7</v>
      </c>
      <c r="EC527" s="27" t="s">
        <v>8</v>
      </c>
      <c r="EI527" s="27" t="s">
        <v>8</v>
      </c>
      <c r="EJ527" s="27" t="s">
        <v>7</v>
      </c>
      <c r="EK527" s="27" t="s">
        <v>8</v>
      </c>
      <c r="EL527" s="27" t="s">
        <v>7</v>
      </c>
      <c r="EM527" s="27" t="s">
        <v>8</v>
      </c>
      <c r="EN527" s="27" t="s">
        <v>7</v>
      </c>
      <c r="EO527" s="27" t="s">
        <v>8</v>
      </c>
      <c r="EP527" s="27" t="s">
        <v>7</v>
      </c>
      <c r="EQ527" s="27" t="s">
        <v>8</v>
      </c>
      <c r="ER527" s="27" t="s">
        <v>7</v>
      </c>
      <c r="HA527" s="27" t="s">
        <v>8</v>
      </c>
      <c r="HB527" s="27" t="s">
        <v>7</v>
      </c>
      <c r="HQ527" s="27" t="s">
        <v>8</v>
      </c>
      <c r="IH527" s="27" t="s">
        <v>7</v>
      </c>
      <c r="IR527" s="27" t="s">
        <v>7</v>
      </c>
      <c r="IS527" s="27" t="s">
        <v>8</v>
      </c>
      <c r="IT527" s="27" t="s">
        <v>7</v>
      </c>
      <c r="IU527" s="27" t="s">
        <v>8</v>
      </c>
      <c r="IX527" s="27" t="s">
        <v>7</v>
      </c>
      <c r="JJ527" s="27" t="s">
        <v>7</v>
      </c>
      <c r="JM527" s="27" t="s">
        <v>8</v>
      </c>
    </row>
    <row r="528" spans="1:274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H528" s="27" t="s">
        <v>7</v>
      </c>
      <c r="I528" s="27" t="s">
        <v>8</v>
      </c>
      <c r="J528" s="27" t="s">
        <v>7</v>
      </c>
      <c r="K528" s="27" t="s">
        <v>8</v>
      </c>
      <c r="L528" s="27" t="s">
        <v>7</v>
      </c>
      <c r="CM528" s="27" t="s">
        <v>8</v>
      </c>
      <c r="CN528" s="27" t="s">
        <v>7</v>
      </c>
      <c r="CO528" s="27" t="s">
        <v>8</v>
      </c>
      <c r="CP528" s="27" t="s">
        <v>7</v>
      </c>
      <c r="CU528" s="27" t="s">
        <v>8</v>
      </c>
      <c r="DO528" s="27" t="s">
        <v>8</v>
      </c>
      <c r="DP528" s="27" t="s">
        <v>7</v>
      </c>
      <c r="DQ528" s="27" t="s">
        <v>8</v>
      </c>
      <c r="DR528" s="27" t="s">
        <v>7</v>
      </c>
      <c r="DS528" s="27" t="s">
        <v>8</v>
      </c>
      <c r="DT528" s="27" t="s">
        <v>7</v>
      </c>
      <c r="DY528" s="27" t="s">
        <v>8</v>
      </c>
      <c r="DZ528" s="27" t="s">
        <v>7</v>
      </c>
      <c r="EA528" s="27" t="s">
        <v>8</v>
      </c>
      <c r="EB528" s="27" t="s">
        <v>7</v>
      </c>
      <c r="EC528" s="27" t="s">
        <v>8</v>
      </c>
      <c r="ED528" s="27" t="s">
        <v>7</v>
      </c>
      <c r="EI528" s="27" t="s">
        <v>8</v>
      </c>
      <c r="EJ528" s="27" t="s">
        <v>7</v>
      </c>
      <c r="EK528" s="27" t="s">
        <v>8</v>
      </c>
      <c r="EL528" s="27" t="s">
        <v>7</v>
      </c>
      <c r="EM528" s="27" t="s">
        <v>8</v>
      </c>
      <c r="EN528" s="27" t="s">
        <v>7</v>
      </c>
      <c r="EO528" s="27" t="s">
        <v>8</v>
      </c>
      <c r="EP528" s="27" t="s">
        <v>7</v>
      </c>
      <c r="EQ528" s="27" t="s">
        <v>8</v>
      </c>
      <c r="ER528" s="27" t="s">
        <v>7</v>
      </c>
      <c r="HA528" s="27" t="s">
        <v>8</v>
      </c>
      <c r="HB528" s="27" t="s">
        <v>7</v>
      </c>
      <c r="HQ528" s="27" t="s">
        <v>8</v>
      </c>
      <c r="IR528" s="27" t="s">
        <v>7</v>
      </c>
      <c r="IS528" s="27" t="s">
        <v>8</v>
      </c>
      <c r="IT528" s="27" t="s">
        <v>7</v>
      </c>
      <c r="JJ528" s="27" t="s">
        <v>7</v>
      </c>
      <c r="JM528" s="27" t="s">
        <v>8</v>
      </c>
      <c r="JN528" s="27" t="s">
        <v>7</v>
      </c>
    </row>
    <row r="529" spans="1:274" x14ac:dyDescent="0.25">
      <c r="A529" s="7">
        <v>3.1536243640574906</v>
      </c>
      <c r="B529"/>
      <c r="C529"/>
      <c r="D529"/>
      <c r="E529" t="s">
        <v>8</v>
      </c>
      <c r="H529" s="27" t="s">
        <v>7</v>
      </c>
      <c r="I529" s="27" t="s">
        <v>8</v>
      </c>
      <c r="J529" s="27" t="s">
        <v>7</v>
      </c>
      <c r="K529" s="27" t="s">
        <v>8</v>
      </c>
      <c r="L529" s="27" t="s">
        <v>7</v>
      </c>
      <c r="CM529" s="27" t="s">
        <v>8</v>
      </c>
      <c r="CN529" s="27" t="s">
        <v>7</v>
      </c>
      <c r="CO529" s="27" t="s">
        <v>8</v>
      </c>
      <c r="CP529" s="27" t="s">
        <v>7</v>
      </c>
      <c r="CU529" s="27" t="s">
        <v>8</v>
      </c>
      <c r="CV529" s="27" t="s">
        <v>7</v>
      </c>
      <c r="DO529" s="27" t="s">
        <v>8</v>
      </c>
      <c r="DP529" s="27" t="s">
        <v>7</v>
      </c>
      <c r="DQ529" s="27" t="s">
        <v>8</v>
      </c>
      <c r="DR529" s="27" t="s">
        <v>7</v>
      </c>
      <c r="DS529" s="27" t="s">
        <v>8</v>
      </c>
      <c r="DT529" s="27" t="s">
        <v>7</v>
      </c>
      <c r="DW529" s="27" t="s">
        <v>8</v>
      </c>
      <c r="DY529" s="27" t="s">
        <v>8</v>
      </c>
      <c r="DZ529" s="27" t="s">
        <v>7</v>
      </c>
      <c r="EA529" s="27" t="s">
        <v>8</v>
      </c>
      <c r="EB529" s="27" t="s">
        <v>7</v>
      </c>
      <c r="EC529" s="27" t="s">
        <v>8</v>
      </c>
      <c r="ED529" s="27" t="s">
        <v>7</v>
      </c>
      <c r="EG529" s="27" t="s">
        <v>8</v>
      </c>
      <c r="EI529" s="27" t="s">
        <v>8</v>
      </c>
      <c r="EJ529" s="27" t="s">
        <v>7</v>
      </c>
      <c r="EK529" s="27" t="s">
        <v>8</v>
      </c>
      <c r="EL529" s="27" t="s">
        <v>7</v>
      </c>
      <c r="EM529" s="27" t="s">
        <v>8</v>
      </c>
      <c r="EN529" s="27" t="s">
        <v>7</v>
      </c>
      <c r="EO529" s="27" t="s">
        <v>8</v>
      </c>
      <c r="EP529" s="27" t="s">
        <v>7</v>
      </c>
      <c r="EQ529" s="27" t="s">
        <v>8</v>
      </c>
      <c r="ER529" s="27" t="s">
        <v>7</v>
      </c>
      <c r="HA529" s="27" t="s">
        <v>8</v>
      </c>
      <c r="HB529" s="27" t="s">
        <v>7</v>
      </c>
      <c r="HM529" s="27" t="s">
        <v>8</v>
      </c>
      <c r="HQ529" s="27" t="s">
        <v>8</v>
      </c>
      <c r="IR529" s="27" t="s">
        <v>7</v>
      </c>
      <c r="IS529" s="27" t="s">
        <v>8</v>
      </c>
      <c r="JJ529" s="27" t="s">
        <v>7</v>
      </c>
      <c r="JM529" s="27" t="s">
        <v>8</v>
      </c>
      <c r="JN529" s="27" t="s">
        <v>7</v>
      </c>
    </row>
    <row r="530" spans="1:274" x14ac:dyDescent="0.25">
      <c r="A530" s="7">
        <v>3.0917885922132262</v>
      </c>
      <c r="B530"/>
      <c r="C530"/>
      <c r="D530"/>
      <c r="E530" t="s">
        <v>8</v>
      </c>
      <c r="H530" s="27" t="s">
        <v>7</v>
      </c>
      <c r="I530" s="27" t="s">
        <v>8</v>
      </c>
      <c r="J530" s="27" t="s">
        <v>7</v>
      </c>
      <c r="L530" s="27" t="s">
        <v>7</v>
      </c>
      <c r="CM530" s="27" t="s">
        <v>8</v>
      </c>
      <c r="CN530" s="27" t="s">
        <v>7</v>
      </c>
      <c r="CO530" s="27" t="s">
        <v>8</v>
      </c>
      <c r="CP530" s="27" t="s">
        <v>7</v>
      </c>
      <c r="CU530" s="27" t="s">
        <v>8</v>
      </c>
      <c r="CV530" s="27" t="s">
        <v>7</v>
      </c>
      <c r="DO530" s="27" t="s">
        <v>8</v>
      </c>
      <c r="DP530" s="27" t="s">
        <v>7</v>
      </c>
      <c r="DQ530" s="27" t="s">
        <v>8</v>
      </c>
      <c r="DR530" s="27" t="s">
        <v>7</v>
      </c>
      <c r="DS530" s="27" t="s">
        <v>8</v>
      </c>
      <c r="DT530" s="27" t="s">
        <v>7</v>
      </c>
      <c r="DU530" s="27" t="s">
        <v>8</v>
      </c>
      <c r="DW530" s="27" t="s">
        <v>8</v>
      </c>
      <c r="DX530" s="27" t="s">
        <v>7</v>
      </c>
      <c r="DY530" s="27" t="s">
        <v>8</v>
      </c>
      <c r="DZ530" s="27" t="s">
        <v>7</v>
      </c>
      <c r="EA530" s="27" t="s">
        <v>8</v>
      </c>
      <c r="EB530" s="27" t="s">
        <v>7</v>
      </c>
      <c r="EC530" s="27" t="s">
        <v>8</v>
      </c>
      <c r="ED530" s="27" t="s">
        <v>7</v>
      </c>
      <c r="EG530" s="27" t="s">
        <v>8</v>
      </c>
      <c r="EH530" s="27" t="s">
        <v>7</v>
      </c>
      <c r="EI530" s="27" t="s">
        <v>8</v>
      </c>
      <c r="EJ530" s="27" t="s">
        <v>7</v>
      </c>
      <c r="EL530" s="27" t="s">
        <v>7</v>
      </c>
      <c r="EM530" s="27" t="s">
        <v>8</v>
      </c>
      <c r="EN530" s="27" t="s">
        <v>7</v>
      </c>
      <c r="EO530" s="27" t="s">
        <v>8</v>
      </c>
      <c r="EP530" s="27" t="s">
        <v>7</v>
      </c>
      <c r="EQ530" s="27" t="s">
        <v>8</v>
      </c>
      <c r="ER530" s="27" t="s">
        <v>7</v>
      </c>
      <c r="HA530" s="27" t="s">
        <v>8</v>
      </c>
      <c r="HB530" s="27" t="s">
        <v>7</v>
      </c>
      <c r="HK530" s="27" t="s">
        <v>8</v>
      </c>
      <c r="HM530" s="27" t="s">
        <v>8</v>
      </c>
      <c r="HN530" s="27" t="s">
        <v>7</v>
      </c>
      <c r="HQ530" s="27" t="s">
        <v>8</v>
      </c>
      <c r="IR530" s="27" t="s">
        <v>7</v>
      </c>
      <c r="IS530" s="27" t="s">
        <v>8</v>
      </c>
      <c r="JJ530" s="27" t="s">
        <v>7</v>
      </c>
      <c r="JK530" s="27" t="s">
        <v>8</v>
      </c>
      <c r="JM530" s="27" t="s">
        <v>8</v>
      </c>
      <c r="JN530" s="27" t="s">
        <v>7</v>
      </c>
    </row>
    <row r="531" spans="1:274" x14ac:dyDescent="0.25">
      <c r="A531" s="7">
        <v>3.0311652864835552</v>
      </c>
      <c r="B531"/>
      <c r="C531"/>
      <c r="D531"/>
      <c r="E531" t="s">
        <v>8</v>
      </c>
      <c r="H531" s="27" t="s">
        <v>7</v>
      </c>
      <c r="I531" s="27" t="s">
        <v>8</v>
      </c>
      <c r="L531" s="27" t="s">
        <v>7</v>
      </c>
      <c r="CM531" s="27" t="s">
        <v>8</v>
      </c>
      <c r="CN531" s="27" t="s">
        <v>7</v>
      </c>
      <c r="CO531" s="27" t="s">
        <v>8</v>
      </c>
      <c r="CP531" s="27" t="s">
        <v>7</v>
      </c>
      <c r="CU531" s="27" t="s">
        <v>8</v>
      </c>
      <c r="CV531" s="27" t="s">
        <v>7</v>
      </c>
      <c r="DO531" s="27" t="s">
        <v>8</v>
      </c>
      <c r="DP531" s="27" t="s">
        <v>7</v>
      </c>
      <c r="DQ531" s="27" t="s">
        <v>8</v>
      </c>
      <c r="DR531" s="27" t="s">
        <v>7</v>
      </c>
      <c r="DS531" s="27" t="s">
        <v>8</v>
      </c>
      <c r="DT531" s="27" t="s">
        <v>7</v>
      </c>
      <c r="DU531" s="27" t="s">
        <v>8</v>
      </c>
      <c r="DV531" s="27" t="s">
        <v>7</v>
      </c>
      <c r="DW531" s="27" t="s">
        <v>8</v>
      </c>
      <c r="DX531" s="27" t="s">
        <v>7</v>
      </c>
      <c r="DY531" s="27" t="s">
        <v>8</v>
      </c>
      <c r="DZ531" s="27" t="s">
        <v>7</v>
      </c>
      <c r="EA531" s="27" t="s">
        <v>8</v>
      </c>
      <c r="EB531" s="27" t="s">
        <v>7</v>
      </c>
      <c r="EC531" s="27" t="s">
        <v>8</v>
      </c>
      <c r="ED531" s="27" t="s">
        <v>7</v>
      </c>
      <c r="EG531" s="27" t="s">
        <v>8</v>
      </c>
      <c r="EH531" s="27" t="s">
        <v>7</v>
      </c>
      <c r="EI531" s="27" t="s">
        <v>8</v>
      </c>
      <c r="EL531" s="27" t="s">
        <v>7</v>
      </c>
      <c r="EM531" s="27" t="s">
        <v>8</v>
      </c>
      <c r="EN531" s="27" t="s">
        <v>7</v>
      </c>
      <c r="EO531" s="27" t="s">
        <v>8</v>
      </c>
      <c r="EP531" s="27" t="s">
        <v>7</v>
      </c>
      <c r="EQ531" s="27" t="s">
        <v>8</v>
      </c>
      <c r="ER531" s="27" t="s">
        <v>7</v>
      </c>
      <c r="HA531" s="27" t="s">
        <v>8</v>
      </c>
      <c r="HB531" s="27" t="s">
        <v>7</v>
      </c>
      <c r="HI531" s="27" t="s">
        <v>8</v>
      </c>
      <c r="HK531" s="27" t="s">
        <v>8</v>
      </c>
      <c r="HL531" s="27" t="s">
        <v>7</v>
      </c>
      <c r="HM531" s="27" t="s">
        <v>8</v>
      </c>
      <c r="HN531" s="27" t="s">
        <v>7</v>
      </c>
      <c r="HO531" s="27" t="s">
        <v>8</v>
      </c>
      <c r="HQ531" s="27" t="s">
        <v>8</v>
      </c>
      <c r="IR531" s="27" t="s">
        <v>7</v>
      </c>
      <c r="IS531" s="27" t="s">
        <v>8</v>
      </c>
      <c r="JJ531" s="27" t="s">
        <v>7</v>
      </c>
      <c r="JK531" s="27" t="s">
        <v>8</v>
      </c>
      <c r="JL531" s="27" t="s">
        <v>7</v>
      </c>
      <c r="JM531" s="27" t="s">
        <v>8</v>
      </c>
      <c r="JN531" s="27" t="s">
        <v>7</v>
      </c>
    </row>
    <row r="532" spans="1:274" x14ac:dyDescent="0.25">
      <c r="A532" s="7">
        <v>2.9717306730230932</v>
      </c>
      <c r="B532"/>
      <c r="C532"/>
      <c r="D532"/>
      <c r="E532" t="s">
        <v>8</v>
      </c>
      <c r="H532" s="27" t="s">
        <v>7</v>
      </c>
      <c r="I532" s="27" t="s">
        <v>8</v>
      </c>
      <c r="L532" s="27" t="s">
        <v>7</v>
      </c>
      <c r="CM532" s="27" t="s">
        <v>8</v>
      </c>
      <c r="CN532" s="27" t="s">
        <v>7</v>
      </c>
      <c r="CO532" s="27" t="s">
        <v>8</v>
      </c>
      <c r="CP532" s="27" t="s">
        <v>7</v>
      </c>
      <c r="CS532" s="27" t="s">
        <v>8</v>
      </c>
      <c r="CU532" s="27" t="s">
        <v>8</v>
      </c>
      <c r="CV532" s="27" t="s">
        <v>7</v>
      </c>
      <c r="DK532" s="27" t="s">
        <v>8</v>
      </c>
      <c r="DM532" s="27" t="s">
        <v>8</v>
      </c>
      <c r="DO532" s="27" t="s">
        <v>8</v>
      </c>
      <c r="DP532" s="27" t="s">
        <v>7</v>
      </c>
      <c r="DR532" s="27" t="s">
        <v>7</v>
      </c>
      <c r="DS532" s="27" t="s">
        <v>8</v>
      </c>
      <c r="DT532" s="27" t="s">
        <v>7</v>
      </c>
      <c r="DU532" s="27" t="s">
        <v>8</v>
      </c>
      <c r="DV532" s="27" t="s">
        <v>7</v>
      </c>
      <c r="DW532" s="27" t="s">
        <v>8</v>
      </c>
      <c r="DX532" s="27" t="s">
        <v>7</v>
      </c>
      <c r="DZ532" s="27" t="s">
        <v>7</v>
      </c>
      <c r="EA532" s="27" t="s">
        <v>8</v>
      </c>
      <c r="EB532" s="27" t="s">
        <v>7</v>
      </c>
      <c r="EC532" s="27" t="s">
        <v>8</v>
      </c>
      <c r="ED532" s="27" t="s">
        <v>7</v>
      </c>
      <c r="EG532" s="27" t="s">
        <v>8</v>
      </c>
      <c r="EH532" s="27" t="s">
        <v>7</v>
      </c>
      <c r="EI532" s="27" t="s">
        <v>8</v>
      </c>
      <c r="EL532" s="27" t="s">
        <v>7</v>
      </c>
      <c r="EM532" s="27" t="s">
        <v>8</v>
      </c>
      <c r="EN532" s="27" t="s">
        <v>7</v>
      </c>
      <c r="EO532" s="27" t="s">
        <v>8</v>
      </c>
      <c r="EP532" s="27" t="s">
        <v>7</v>
      </c>
      <c r="EQ532" s="27" t="s">
        <v>8</v>
      </c>
      <c r="ER532" s="27" t="s">
        <v>7</v>
      </c>
      <c r="HA532" s="27" t="s">
        <v>8</v>
      </c>
      <c r="HB532" s="27" t="s">
        <v>7</v>
      </c>
      <c r="HI532" s="27" t="s">
        <v>8</v>
      </c>
      <c r="HJ532" s="27" t="s">
        <v>7</v>
      </c>
      <c r="HK532" s="27" t="s">
        <v>8</v>
      </c>
      <c r="HL532" s="27" t="s">
        <v>7</v>
      </c>
      <c r="HM532" s="27" t="s">
        <v>8</v>
      </c>
      <c r="HN532" s="27" t="s">
        <v>7</v>
      </c>
      <c r="HO532" s="27" t="s">
        <v>8</v>
      </c>
      <c r="HP532" s="27" t="s">
        <v>7</v>
      </c>
      <c r="HQ532" s="27" t="s">
        <v>8</v>
      </c>
      <c r="IR532" s="27" t="s">
        <v>7</v>
      </c>
      <c r="IS532" s="27" t="s">
        <v>8</v>
      </c>
      <c r="JJ532" s="27" t="s">
        <v>7</v>
      </c>
      <c r="JK532" s="27" t="s">
        <v>8</v>
      </c>
      <c r="JL532" s="27" t="s">
        <v>7</v>
      </c>
      <c r="JM532" s="27" t="s">
        <v>8</v>
      </c>
      <c r="JN532" s="27" t="s">
        <v>7</v>
      </c>
    </row>
    <row r="533" spans="1:274" x14ac:dyDescent="0.25">
      <c r="A533" s="7">
        <v>2.9134614441402875</v>
      </c>
      <c r="B533"/>
      <c r="C533"/>
      <c r="D533"/>
      <c r="E533" t="s">
        <v>8</v>
      </c>
      <c r="H533" s="27" t="s">
        <v>7</v>
      </c>
      <c r="I533" s="27" t="s">
        <v>8</v>
      </c>
      <c r="L533" s="27" t="s">
        <v>7</v>
      </c>
      <c r="CM533" s="27" t="s">
        <v>8</v>
      </c>
      <c r="CN533" s="27" t="s">
        <v>7</v>
      </c>
      <c r="CO533" s="27" t="s">
        <v>8</v>
      </c>
      <c r="CP533" s="27" t="s">
        <v>7</v>
      </c>
      <c r="CS533" s="27" t="s">
        <v>8</v>
      </c>
      <c r="CT533" s="27" t="s">
        <v>7</v>
      </c>
      <c r="CU533" s="27" t="s">
        <v>8</v>
      </c>
      <c r="CV533" s="27" t="s">
        <v>7</v>
      </c>
      <c r="DK533" s="27" t="s">
        <v>8</v>
      </c>
      <c r="DL533" s="27" t="s">
        <v>7</v>
      </c>
      <c r="DM533" s="27" t="s">
        <v>8</v>
      </c>
      <c r="DN533" s="27" t="s">
        <v>7</v>
      </c>
      <c r="DO533" s="27" t="s">
        <v>8</v>
      </c>
      <c r="DR533" s="27" t="s">
        <v>7</v>
      </c>
      <c r="DS533" s="27" t="s">
        <v>8</v>
      </c>
      <c r="DT533" s="27" t="s">
        <v>7</v>
      </c>
      <c r="DU533" s="27" t="s">
        <v>8</v>
      </c>
      <c r="DV533" s="27" t="s">
        <v>7</v>
      </c>
      <c r="DZ533" s="27" t="s">
        <v>7</v>
      </c>
      <c r="EA533" s="27" t="s">
        <v>8</v>
      </c>
      <c r="EB533" s="27" t="s">
        <v>7</v>
      </c>
      <c r="EC533" s="27" t="s">
        <v>8</v>
      </c>
      <c r="ED533" s="27" t="s">
        <v>7</v>
      </c>
      <c r="EG533" s="27" t="s">
        <v>8</v>
      </c>
      <c r="EH533" s="27" t="s">
        <v>7</v>
      </c>
      <c r="EI533" s="27" t="s">
        <v>8</v>
      </c>
      <c r="EL533" s="27" t="s">
        <v>7</v>
      </c>
      <c r="EM533" s="27" t="s">
        <v>8</v>
      </c>
      <c r="EN533" s="27" t="s">
        <v>7</v>
      </c>
      <c r="EO533" s="27" t="s">
        <v>8</v>
      </c>
      <c r="EP533" s="27" t="s">
        <v>7</v>
      </c>
      <c r="EQ533" s="27" t="s">
        <v>8</v>
      </c>
      <c r="ER533" s="27" t="s">
        <v>7</v>
      </c>
      <c r="HA533" s="27" t="s">
        <v>8</v>
      </c>
      <c r="HB533" s="27" t="s">
        <v>7</v>
      </c>
      <c r="HG533" s="27" t="s">
        <v>8</v>
      </c>
      <c r="HI533" s="27" t="s">
        <v>8</v>
      </c>
      <c r="HJ533" s="27" t="s">
        <v>7</v>
      </c>
      <c r="HK533" s="27" t="s">
        <v>8</v>
      </c>
      <c r="HL533" s="27" t="s">
        <v>7</v>
      </c>
      <c r="HM533" s="27" t="s">
        <v>8</v>
      </c>
      <c r="HN533" s="27" t="s">
        <v>7</v>
      </c>
      <c r="HO533" s="27" t="s">
        <v>8</v>
      </c>
      <c r="HP533" s="27" t="s">
        <v>7</v>
      </c>
      <c r="HQ533" s="27" t="s">
        <v>8</v>
      </c>
      <c r="IR533" s="27" t="s">
        <v>7</v>
      </c>
      <c r="IS533" s="27" t="s">
        <v>8</v>
      </c>
      <c r="JJ533" s="27" t="s">
        <v>7</v>
      </c>
      <c r="JK533" s="27" t="s">
        <v>8</v>
      </c>
      <c r="JL533" s="27" t="s">
        <v>7</v>
      </c>
      <c r="JM533" s="27" t="s">
        <v>8</v>
      </c>
      <c r="JN533" s="27" t="s">
        <v>7</v>
      </c>
    </row>
    <row r="534" spans="1:274" x14ac:dyDescent="0.25">
      <c r="A534" s="7">
        <v>2.8563347491571447</v>
      </c>
      <c r="B534"/>
      <c r="C534"/>
      <c r="D534"/>
      <c r="E534" t="s">
        <v>8</v>
      </c>
      <c r="H534" s="27" t="s">
        <v>7</v>
      </c>
      <c r="I534" s="27" t="s">
        <v>8</v>
      </c>
      <c r="L534" s="27" t="s">
        <v>7</v>
      </c>
      <c r="CM534" s="27" t="s">
        <v>8</v>
      </c>
      <c r="CN534" s="27" t="s">
        <v>7</v>
      </c>
      <c r="CO534" s="27" t="s">
        <v>8</v>
      </c>
      <c r="CP534" s="27" t="s">
        <v>7</v>
      </c>
      <c r="CQ534" s="27" t="s">
        <v>8</v>
      </c>
      <c r="CS534" s="27" t="s">
        <v>8</v>
      </c>
      <c r="CT534" s="27" t="s">
        <v>7</v>
      </c>
      <c r="CU534" s="27" t="s">
        <v>8</v>
      </c>
      <c r="CV534" s="27" t="s">
        <v>7</v>
      </c>
      <c r="DK534" s="27" t="s">
        <v>8</v>
      </c>
      <c r="DL534" s="27" t="s">
        <v>7</v>
      </c>
      <c r="DM534" s="27" t="s">
        <v>8</v>
      </c>
      <c r="DN534" s="27" t="s">
        <v>7</v>
      </c>
      <c r="DO534" s="27" t="s">
        <v>8</v>
      </c>
      <c r="DR534" s="27" t="s">
        <v>7</v>
      </c>
      <c r="DT534" s="27" t="s">
        <v>7</v>
      </c>
      <c r="DU534" s="27" t="s">
        <v>8</v>
      </c>
      <c r="DZ534" s="27" t="s">
        <v>7</v>
      </c>
      <c r="EA534" s="27" t="s">
        <v>8</v>
      </c>
      <c r="EB534" s="27" t="s">
        <v>7</v>
      </c>
      <c r="EC534" s="27" t="s">
        <v>8</v>
      </c>
      <c r="ED534" s="27" t="s">
        <v>7</v>
      </c>
      <c r="EG534" s="27" t="s">
        <v>8</v>
      </c>
      <c r="EH534" s="27" t="s">
        <v>7</v>
      </c>
      <c r="EL534" s="27" t="s">
        <v>7</v>
      </c>
      <c r="EM534" s="27" t="s">
        <v>8</v>
      </c>
      <c r="EN534" s="27" t="s">
        <v>7</v>
      </c>
      <c r="EO534" s="27" t="s">
        <v>8</v>
      </c>
      <c r="EP534" s="27" t="s">
        <v>7</v>
      </c>
      <c r="ER534" s="27" t="s">
        <v>7</v>
      </c>
      <c r="FA534" s="27" t="s">
        <v>8</v>
      </c>
      <c r="HA534" s="27" t="s">
        <v>8</v>
      </c>
      <c r="HB534" s="27" t="s">
        <v>7</v>
      </c>
      <c r="HG534" s="27" t="s">
        <v>8</v>
      </c>
      <c r="HH534" s="27" t="s">
        <v>7</v>
      </c>
      <c r="HI534" s="27" t="s">
        <v>8</v>
      </c>
      <c r="HJ534" s="27" t="s">
        <v>7</v>
      </c>
      <c r="HK534" s="27" t="s">
        <v>8</v>
      </c>
      <c r="HL534" s="27" t="s">
        <v>7</v>
      </c>
      <c r="HM534" s="27" t="s">
        <v>8</v>
      </c>
      <c r="HN534" s="27" t="s">
        <v>7</v>
      </c>
      <c r="HP534" s="27" t="s">
        <v>7</v>
      </c>
      <c r="HQ534" s="27" t="s">
        <v>8</v>
      </c>
      <c r="IR534" s="27" t="s">
        <v>7</v>
      </c>
      <c r="IS534" s="27" t="s">
        <v>8</v>
      </c>
      <c r="JJ534" s="27" t="s">
        <v>7</v>
      </c>
      <c r="JK534" s="27" t="s">
        <v>8</v>
      </c>
      <c r="JL534" s="27" t="s">
        <v>7</v>
      </c>
      <c r="JM534" s="27" t="s">
        <v>8</v>
      </c>
      <c r="JN534" s="27" t="s">
        <v>7</v>
      </c>
    </row>
    <row r="535" spans="1:274" x14ac:dyDescent="0.25">
      <c r="A535" s="7">
        <v>2.8003281854481812</v>
      </c>
      <c r="B535"/>
      <c r="C535"/>
      <c r="D535"/>
      <c r="E535" t="s">
        <v>8</v>
      </c>
      <c r="H535" s="27" t="s">
        <v>7</v>
      </c>
      <c r="I535" s="27" t="s">
        <v>8</v>
      </c>
      <c r="L535" s="27" t="s">
        <v>7</v>
      </c>
      <c r="CI535" s="27" t="s">
        <v>8</v>
      </c>
      <c r="CM535" s="27" t="s">
        <v>8</v>
      </c>
      <c r="CN535" s="27" t="s">
        <v>7</v>
      </c>
      <c r="CO535" s="27" t="s">
        <v>8</v>
      </c>
      <c r="CP535" s="27" t="s">
        <v>7</v>
      </c>
      <c r="CQ535" s="27" t="s">
        <v>8</v>
      </c>
      <c r="CR535" s="27" t="s">
        <v>7</v>
      </c>
      <c r="CS535" s="27" t="s">
        <v>8</v>
      </c>
      <c r="CT535" s="27" t="s">
        <v>7</v>
      </c>
      <c r="CU535" s="27" t="s">
        <v>8</v>
      </c>
      <c r="CV535" s="27" t="s">
        <v>7</v>
      </c>
      <c r="DK535" s="27" t="s">
        <v>8</v>
      </c>
      <c r="DL535" s="27" t="s">
        <v>7</v>
      </c>
      <c r="DM535" s="27" t="s">
        <v>8</v>
      </c>
      <c r="DN535" s="27" t="s">
        <v>7</v>
      </c>
      <c r="DO535" s="27" t="s">
        <v>8</v>
      </c>
      <c r="DT535" s="27" t="s">
        <v>7</v>
      </c>
      <c r="DU535" s="27" t="s">
        <v>8</v>
      </c>
      <c r="DZ535" s="27" t="s">
        <v>7</v>
      </c>
      <c r="EA535" s="27" t="s">
        <v>8</v>
      </c>
      <c r="EB535" s="27" t="s">
        <v>7</v>
      </c>
      <c r="EC535" s="27" t="s">
        <v>8</v>
      </c>
      <c r="ED535" s="27" t="s">
        <v>7</v>
      </c>
      <c r="EG535" s="27" t="s">
        <v>8</v>
      </c>
      <c r="EL535" s="27" t="s">
        <v>7</v>
      </c>
      <c r="EM535" s="27" t="s">
        <v>8</v>
      </c>
      <c r="EN535" s="27" t="s">
        <v>7</v>
      </c>
      <c r="ER535" s="27" t="s">
        <v>7</v>
      </c>
      <c r="FA535" s="27" t="s">
        <v>8</v>
      </c>
      <c r="FB535" s="27" t="s">
        <v>7</v>
      </c>
      <c r="HA535" s="27" t="s">
        <v>8</v>
      </c>
      <c r="HB535" s="27" t="s">
        <v>7</v>
      </c>
      <c r="HC535" s="27" t="s">
        <v>8</v>
      </c>
      <c r="HG535" s="27" t="s">
        <v>8</v>
      </c>
      <c r="HH535" s="27" t="s">
        <v>7</v>
      </c>
      <c r="HI535" s="27" t="s">
        <v>8</v>
      </c>
      <c r="HJ535" s="27" t="s">
        <v>7</v>
      </c>
      <c r="HK535" s="27" t="s">
        <v>8</v>
      </c>
      <c r="HL535" s="27" t="s">
        <v>7</v>
      </c>
      <c r="HM535" s="27" t="s">
        <v>8</v>
      </c>
      <c r="HP535" s="27" t="s">
        <v>7</v>
      </c>
      <c r="HQ535" s="27" t="s">
        <v>8</v>
      </c>
      <c r="IR535" s="27" t="s">
        <v>7</v>
      </c>
      <c r="IS535" s="27" t="s">
        <v>8</v>
      </c>
      <c r="JJ535" s="27" t="s">
        <v>7</v>
      </c>
      <c r="JK535" s="27" t="s">
        <v>8</v>
      </c>
      <c r="JL535" s="27" t="s">
        <v>7</v>
      </c>
      <c r="JM535" s="27" t="s">
        <v>8</v>
      </c>
      <c r="JN535" s="27" t="s">
        <v>7</v>
      </c>
    </row>
    <row r="536" spans="1:274" x14ac:dyDescent="0.25">
      <c r="A536" s="7">
        <v>2.7454197896550796</v>
      </c>
      <c r="B536"/>
      <c r="C536"/>
      <c r="D536"/>
      <c r="E536" t="s">
        <v>8</v>
      </c>
      <c r="H536" s="27" t="s">
        <v>7</v>
      </c>
      <c r="I536" s="27" t="s">
        <v>8</v>
      </c>
      <c r="L536" s="27" t="s">
        <v>7</v>
      </c>
      <c r="CI536" s="27" t="s">
        <v>8</v>
      </c>
      <c r="CJ536" s="27" t="s">
        <v>7</v>
      </c>
      <c r="CK536" s="27" t="s">
        <v>8</v>
      </c>
      <c r="CM536" s="27" t="s">
        <v>8</v>
      </c>
      <c r="CN536" s="27" t="s">
        <v>7</v>
      </c>
      <c r="CO536" s="27" t="s">
        <v>8</v>
      </c>
      <c r="CP536" s="27" t="s">
        <v>7</v>
      </c>
      <c r="CQ536" s="27" t="s">
        <v>8</v>
      </c>
      <c r="CR536" s="27" t="s">
        <v>7</v>
      </c>
      <c r="CS536" s="27" t="s">
        <v>8</v>
      </c>
      <c r="CT536" s="27" t="s">
        <v>7</v>
      </c>
      <c r="CU536" s="27" t="s">
        <v>8</v>
      </c>
      <c r="CV536" s="27" t="s">
        <v>7</v>
      </c>
      <c r="DI536" s="27" t="s">
        <v>8</v>
      </c>
      <c r="DK536" s="27" t="s">
        <v>8</v>
      </c>
      <c r="DL536" s="27" t="s">
        <v>7</v>
      </c>
      <c r="DM536" s="27" t="s">
        <v>8</v>
      </c>
      <c r="DN536" s="27" t="s">
        <v>7</v>
      </c>
      <c r="DO536" s="27" t="s">
        <v>8</v>
      </c>
      <c r="DT536" s="27" t="s">
        <v>7</v>
      </c>
      <c r="DZ536" s="27" t="s">
        <v>7</v>
      </c>
      <c r="EA536" s="27" t="s">
        <v>8</v>
      </c>
      <c r="EB536" s="27" t="s">
        <v>7</v>
      </c>
      <c r="EC536" s="27" t="s">
        <v>8</v>
      </c>
      <c r="ED536" s="27" t="s">
        <v>7</v>
      </c>
      <c r="EG536" s="27" t="s">
        <v>8</v>
      </c>
      <c r="EL536" s="27" t="s">
        <v>7</v>
      </c>
      <c r="ER536" s="27" t="s">
        <v>7</v>
      </c>
      <c r="EY536" s="27" t="s">
        <v>8</v>
      </c>
      <c r="FA536" s="27" t="s">
        <v>8</v>
      </c>
      <c r="FB536" s="27" t="s">
        <v>7</v>
      </c>
      <c r="HA536" s="27" t="s">
        <v>8</v>
      </c>
      <c r="HB536" s="27" t="s">
        <v>7</v>
      </c>
      <c r="HC536" s="27" t="s">
        <v>8</v>
      </c>
      <c r="HD536" s="27" t="s">
        <v>7</v>
      </c>
      <c r="HE536" s="27" t="s">
        <v>8</v>
      </c>
      <c r="HG536" s="27" t="s">
        <v>8</v>
      </c>
      <c r="HH536" s="27" t="s">
        <v>7</v>
      </c>
      <c r="HI536" s="27" t="s">
        <v>8</v>
      </c>
      <c r="HJ536" s="27" t="s">
        <v>7</v>
      </c>
      <c r="HK536" s="27" t="s">
        <v>8</v>
      </c>
      <c r="HL536" s="27" t="s">
        <v>7</v>
      </c>
      <c r="HM536" s="27" t="s">
        <v>8</v>
      </c>
      <c r="HP536" s="27" t="s">
        <v>7</v>
      </c>
      <c r="HQ536" s="27" t="s">
        <v>8</v>
      </c>
      <c r="IR536" s="27" t="s">
        <v>7</v>
      </c>
      <c r="JJ536" s="27" t="s">
        <v>7</v>
      </c>
      <c r="JK536" s="27" t="s">
        <v>8</v>
      </c>
      <c r="JL536" s="27" t="s">
        <v>7</v>
      </c>
      <c r="JM536" s="27" t="s">
        <v>8</v>
      </c>
    </row>
    <row r="537" spans="1:274" x14ac:dyDescent="0.25">
      <c r="A537" s="7">
        <v>2.6915880290736074</v>
      </c>
      <c r="B537"/>
      <c r="C537"/>
      <c r="D537"/>
      <c r="E537" t="s">
        <v>8</v>
      </c>
      <c r="H537" s="27" t="s">
        <v>7</v>
      </c>
      <c r="I537" s="27" t="s">
        <v>8</v>
      </c>
      <c r="L537" s="27" t="s">
        <v>7</v>
      </c>
      <c r="CI537" s="27" t="s">
        <v>8</v>
      </c>
      <c r="CJ537" s="27" t="s">
        <v>7</v>
      </c>
      <c r="CK537" s="27" t="s">
        <v>8</v>
      </c>
      <c r="CL537" s="27" t="s">
        <v>7</v>
      </c>
      <c r="CM537" s="27" t="s">
        <v>8</v>
      </c>
      <c r="CN537" s="27" t="s">
        <v>7</v>
      </c>
      <c r="CP537" s="27" t="s">
        <v>7</v>
      </c>
      <c r="CQ537" s="27" t="s">
        <v>8</v>
      </c>
      <c r="CR537" s="27" t="s">
        <v>7</v>
      </c>
      <c r="CS537" s="27" t="s">
        <v>8</v>
      </c>
      <c r="CT537" s="27" t="s">
        <v>7</v>
      </c>
      <c r="CU537" s="27" t="s">
        <v>8</v>
      </c>
      <c r="CV537" s="27" t="s">
        <v>7</v>
      </c>
      <c r="DI537" s="27" t="s">
        <v>8</v>
      </c>
      <c r="DJ537" s="27" t="s">
        <v>7</v>
      </c>
      <c r="DK537" s="27" t="s">
        <v>8</v>
      </c>
      <c r="DL537" s="27" t="s">
        <v>7</v>
      </c>
      <c r="DM537" s="27" t="s">
        <v>8</v>
      </c>
      <c r="DN537" s="27" t="s">
        <v>7</v>
      </c>
      <c r="DO537" s="27" t="s">
        <v>8</v>
      </c>
      <c r="DZ537" s="27" t="s">
        <v>7</v>
      </c>
      <c r="EA537" s="27" t="s">
        <v>8</v>
      </c>
      <c r="EB537" s="27" t="s">
        <v>7</v>
      </c>
      <c r="EC537" s="27" t="s">
        <v>8</v>
      </c>
      <c r="ED537" s="27" t="s">
        <v>7</v>
      </c>
      <c r="EG537" s="27" t="s">
        <v>8</v>
      </c>
      <c r="ER537" s="27" t="s">
        <v>7</v>
      </c>
      <c r="EY537" s="27" t="s">
        <v>8</v>
      </c>
      <c r="EZ537" s="27" t="s">
        <v>7</v>
      </c>
      <c r="FA537" s="27" t="s">
        <v>8</v>
      </c>
      <c r="FB537" s="27" t="s">
        <v>7</v>
      </c>
      <c r="HA537" s="27" t="s">
        <v>8</v>
      </c>
      <c r="HB537" s="27" t="s">
        <v>7</v>
      </c>
      <c r="HC537" s="27" t="s">
        <v>8</v>
      </c>
      <c r="HD537" s="27" t="s">
        <v>7</v>
      </c>
      <c r="HE537" s="27" t="s">
        <v>8</v>
      </c>
      <c r="HF537" s="27" t="s">
        <v>7</v>
      </c>
      <c r="HG537" s="27" t="s">
        <v>8</v>
      </c>
      <c r="HH537" s="27" t="s">
        <v>7</v>
      </c>
      <c r="HI537" s="27" t="s">
        <v>8</v>
      </c>
      <c r="HJ537" s="27" t="s">
        <v>7</v>
      </c>
      <c r="HK537" s="27" t="s">
        <v>8</v>
      </c>
      <c r="HL537" s="27" t="s">
        <v>7</v>
      </c>
      <c r="HM537" s="27" t="s">
        <v>8</v>
      </c>
      <c r="HP537" s="27" t="s">
        <v>7</v>
      </c>
      <c r="JJ537" s="27" t="s">
        <v>7</v>
      </c>
      <c r="JK537" s="27" t="s">
        <v>8</v>
      </c>
      <c r="JL537" s="27" t="s">
        <v>7</v>
      </c>
      <c r="JM537" s="27" t="s">
        <v>8</v>
      </c>
    </row>
    <row r="538" spans="1:274" x14ac:dyDescent="0.25">
      <c r="A538" s="7">
        <v>2.6388117932094191</v>
      </c>
      <c r="B538"/>
      <c r="C538"/>
      <c r="D538"/>
      <c r="E538" t="s">
        <v>8</v>
      </c>
      <c r="H538" s="27" t="s">
        <v>7</v>
      </c>
      <c r="I538" s="27" t="s">
        <v>8</v>
      </c>
      <c r="L538" s="27" t="s">
        <v>7</v>
      </c>
      <c r="CI538" s="27" t="s">
        <v>8</v>
      </c>
      <c r="CJ538" s="27" t="s">
        <v>7</v>
      </c>
      <c r="CK538" s="27" t="s">
        <v>8</v>
      </c>
      <c r="CL538" s="27" t="s">
        <v>7</v>
      </c>
      <c r="CM538" s="27" t="s">
        <v>8</v>
      </c>
      <c r="CP538" s="27" t="s">
        <v>7</v>
      </c>
      <c r="CQ538" s="27" t="s">
        <v>8</v>
      </c>
      <c r="CR538" s="27" t="s">
        <v>7</v>
      </c>
      <c r="CS538" s="27" t="s">
        <v>8</v>
      </c>
      <c r="CT538" s="27" t="s">
        <v>7</v>
      </c>
      <c r="CU538" s="27" t="s">
        <v>8</v>
      </c>
      <c r="CV538" s="27" t="s">
        <v>7</v>
      </c>
      <c r="DA538" s="27" t="s">
        <v>8</v>
      </c>
      <c r="DI538" s="27" t="s">
        <v>8</v>
      </c>
      <c r="DJ538" s="27" t="s">
        <v>7</v>
      </c>
      <c r="DK538" s="27" t="s">
        <v>8</v>
      </c>
      <c r="DL538" s="27" t="s">
        <v>7</v>
      </c>
      <c r="DM538" s="27" t="s">
        <v>8</v>
      </c>
      <c r="DN538" s="27" t="s">
        <v>7</v>
      </c>
      <c r="DO538" s="27" t="s">
        <v>8</v>
      </c>
      <c r="DZ538" s="27" t="s">
        <v>7</v>
      </c>
      <c r="EA538" s="27" t="s">
        <v>8</v>
      </c>
      <c r="EB538" s="27" t="s">
        <v>7</v>
      </c>
      <c r="EC538" s="27" t="s">
        <v>8</v>
      </c>
      <c r="ED538" s="27" t="s">
        <v>7</v>
      </c>
      <c r="EE538" s="27" t="s">
        <v>8</v>
      </c>
      <c r="EG538" s="27" t="s">
        <v>8</v>
      </c>
      <c r="ER538" s="27" t="s">
        <v>7</v>
      </c>
      <c r="EY538" s="27" t="s">
        <v>8</v>
      </c>
      <c r="EZ538" s="27" t="s">
        <v>7</v>
      </c>
      <c r="FA538" s="27" t="s">
        <v>8</v>
      </c>
      <c r="FB538" s="27" t="s">
        <v>7</v>
      </c>
      <c r="GW538" s="27" t="s">
        <v>8</v>
      </c>
      <c r="HA538" s="27" t="s">
        <v>8</v>
      </c>
      <c r="HB538" s="27" t="s">
        <v>7</v>
      </c>
      <c r="HC538" s="27" t="s">
        <v>8</v>
      </c>
      <c r="HD538" s="27" t="s">
        <v>7</v>
      </c>
      <c r="HE538" s="27" t="s">
        <v>8</v>
      </c>
      <c r="HF538" s="27" t="s">
        <v>7</v>
      </c>
      <c r="HG538" s="27" t="s">
        <v>8</v>
      </c>
      <c r="HH538" s="27" t="s">
        <v>7</v>
      </c>
      <c r="HJ538" s="27" t="s">
        <v>7</v>
      </c>
      <c r="HL538" s="27" t="s">
        <v>7</v>
      </c>
      <c r="HM538" s="27" t="s">
        <v>8</v>
      </c>
      <c r="JJ538" s="27" t="s">
        <v>7</v>
      </c>
      <c r="JK538" s="27" t="s">
        <v>8</v>
      </c>
      <c r="JL538" s="27" t="s">
        <v>7</v>
      </c>
      <c r="JM538" s="27" t="s">
        <v>8</v>
      </c>
    </row>
    <row r="539" spans="1:274" x14ac:dyDescent="0.25">
      <c r="A539" s="7">
        <v>2.5870703854994304</v>
      </c>
      <c r="B539"/>
      <c r="C539"/>
      <c r="D539"/>
      <c r="E539" t="s">
        <v>8</v>
      </c>
      <c r="H539" s="27" t="s">
        <v>7</v>
      </c>
      <c r="L539" s="27" t="s">
        <v>7</v>
      </c>
      <c r="CI539" s="27" t="s">
        <v>8</v>
      </c>
      <c r="CJ539" s="27" t="s">
        <v>7</v>
      </c>
      <c r="CK539" s="27" t="s">
        <v>8</v>
      </c>
      <c r="CL539" s="27" t="s">
        <v>7</v>
      </c>
      <c r="CM539" s="27" t="s">
        <v>8</v>
      </c>
      <c r="CP539" s="27" t="s">
        <v>7</v>
      </c>
      <c r="CQ539" s="27" t="s">
        <v>8</v>
      </c>
      <c r="CR539" s="27" t="s">
        <v>7</v>
      </c>
      <c r="CS539" s="27" t="s">
        <v>8</v>
      </c>
      <c r="CT539" s="27" t="s">
        <v>7</v>
      </c>
      <c r="CV539" s="27" t="s">
        <v>7</v>
      </c>
      <c r="DA539" s="27" t="s">
        <v>8</v>
      </c>
      <c r="DB539" s="27" t="s">
        <v>7</v>
      </c>
      <c r="DG539" s="27" t="s">
        <v>8</v>
      </c>
      <c r="DI539" s="27" t="s">
        <v>8</v>
      </c>
      <c r="DJ539" s="27" t="s">
        <v>7</v>
      </c>
      <c r="DK539" s="27" t="s">
        <v>8</v>
      </c>
      <c r="DL539" s="27" t="s">
        <v>7</v>
      </c>
      <c r="DM539" s="27" t="s">
        <v>8</v>
      </c>
      <c r="DN539" s="27" t="s">
        <v>7</v>
      </c>
      <c r="DO539" s="27" t="s">
        <v>8</v>
      </c>
      <c r="DZ539" s="27" t="s">
        <v>7</v>
      </c>
      <c r="EA539" s="27" t="s">
        <v>8</v>
      </c>
      <c r="EB539" s="27" t="s">
        <v>7</v>
      </c>
      <c r="ED539" s="27" t="s">
        <v>7</v>
      </c>
      <c r="EE539" s="27" t="s">
        <v>8</v>
      </c>
      <c r="EF539" s="27" t="s">
        <v>7</v>
      </c>
      <c r="EG539" s="27" t="s">
        <v>8</v>
      </c>
      <c r="ER539" s="27" t="s">
        <v>7</v>
      </c>
      <c r="EY539" s="27" t="s">
        <v>8</v>
      </c>
      <c r="EZ539" s="27" t="s">
        <v>7</v>
      </c>
      <c r="FA539" s="27" t="s">
        <v>8</v>
      </c>
      <c r="FB539" s="27" t="s">
        <v>7</v>
      </c>
      <c r="GW539" s="27" t="s">
        <v>8</v>
      </c>
      <c r="GX539" s="27" t="s">
        <v>7</v>
      </c>
      <c r="HA539" s="27" t="s">
        <v>8</v>
      </c>
      <c r="HB539" s="27" t="s">
        <v>7</v>
      </c>
      <c r="HC539" s="27" t="s">
        <v>8</v>
      </c>
      <c r="HD539" s="27" t="s">
        <v>7</v>
      </c>
      <c r="HE539" s="27" t="s">
        <v>8</v>
      </c>
      <c r="HF539" s="27" t="s">
        <v>7</v>
      </c>
      <c r="HG539" s="27" t="s">
        <v>8</v>
      </c>
      <c r="HL539" s="27" t="s">
        <v>7</v>
      </c>
      <c r="HM539" s="27" t="s">
        <v>8</v>
      </c>
      <c r="JJ539" s="27" t="s">
        <v>7</v>
      </c>
      <c r="JL539" s="27" t="s">
        <v>7</v>
      </c>
      <c r="JM539" s="27" t="s">
        <v>8</v>
      </c>
    </row>
    <row r="540" spans="1:274" x14ac:dyDescent="0.25">
      <c r="A540" s="7">
        <v>2.53634351519552</v>
      </c>
      <c r="B540"/>
      <c r="C540"/>
      <c r="D540"/>
      <c r="E540" t="s">
        <v>8</v>
      </c>
      <c r="L540" s="27" t="s">
        <v>7</v>
      </c>
      <c r="CI540" s="27" t="s">
        <v>8</v>
      </c>
      <c r="CJ540" s="27" t="s">
        <v>7</v>
      </c>
      <c r="CK540" s="27" t="s">
        <v>8</v>
      </c>
      <c r="CL540" s="27" t="s">
        <v>7</v>
      </c>
      <c r="CM540" s="27" t="s">
        <v>8</v>
      </c>
      <c r="CP540" s="27" t="s">
        <v>7</v>
      </c>
      <c r="CQ540" s="27" t="s">
        <v>8</v>
      </c>
      <c r="CR540" s="27" t="s">
        <v>7</v>
      </c>
      <c r="CV540" s="27" t="s">
        <v>7</v>
      </c>
      <c r="DA540" s="27" t="s">
        <v>8</v>
      </c>
      <c r="DB540" s="27" t="s">
        <v>7</v>
      </c>
      <c r="DG540" s="27" t="s">
        <v>8</v>
      </c>
      <c r="DH540" s="27" t="s">
        <v>7</v>
      </c>
      <c r="DI540" s="27" t="s">
        <v>8</v>
      </c>
      <c r="DJ540" s="27" t="s">
        <v>7</v>
      </c>
      <c r="DK540" s="27" t="s">
        <v>8</v>
      </c>
      <c r="DL540" s="27" t="s">
        <v>7</v>
      </c>
      <c r="DM540" s="27" t="s">
        <v>8</v>
      </c>
      <c r="DN540" s="27" t="s">
        <v>7</v>
      </c>
      <c r="DO540" s="27" t="s">
        <v>8</v>
      </c>
      <c r="DZ540" s="27" t="s">
        <v>7</v>
      </c>
      <c r="EA540" s="27" t="s">
        <v>8</v>
      </c>
      <c r="ED540" s="27" t="s">
        <v>7</v>
      </c>
      <c r="EE540" s="27" t="s">
        <v>8</v>
      </c>
      <c r="EF540" s="27" t="s">
        <v>7</v>
      </c>
      <c r="EG540" s="27" t="s">
        <v>8</v>
      </c>
      <c r="ER540" s="27" t="s">
        <v>7</v>
      </c>
      <c r="EY540" s="27" t="s">
        <v>8</v>
      </c>
      <c r="EZ540" s="27" t="s">
        <v>7</v>
      </c>
      <c r="FA540" s="27" t="s">
        <v>8</v>
      </c>
      <c r="FB540" s="27" t="s">
        <v>7</v>
      </c>
      <c r="FC540" s="27" t="s">
        <v>8</v>
      </c>
      <c r="GW540" s="27" t="s">
        <v>8</v>
      </c>
      <c r="GX540" s="27" t="s">
        <v>7</v>
      </c>
      <c r="HA540" s="27" t="s">
        <v>8</v>
      </c>
      <c r="HB540" s="27" t="s">
        <v>7</v>
      </c>
      <c r="HC540" s="27" t="s">
        <v>8</v>
      </c>
      <c r="HD540" s="27" t="s">
        <v>7</v>
      </c>
      <c r="HE540" s="27" t="s">
        <v>8</v>
      </c>
      <c r="HF540" s="27" t="s">
        <v>7</v>
      </c>
      <c r="HG540" s="27" t="s">
        <v>8</v>
      </c>
      <c r="HL540" s="27" t="s">
        <v>7</v>
      </c>
      <c r="JL540" s="27" t="s">
        <v>7</v>
      </c>
      <c r="JM540" s="27" t="s">
        <v>8</v>
      </c>
    </row>
    <row r="541" spans="1:274" x14ac:dyDescent="0.25">
      <c r="A541" s="7">
        <v>2.4866112894073726</v>
      </c>
      <c r="B541"/>
      <c r="C541"/>
      <c r="D541"/>
      <c r="E541" t="s">
        <v>8</v>
      </c>
      <c r="L541" s="27" t="s">
        <v>7</v>
      </c>
      <c r="CI541" s="27" t="s">
        <v>8</v>
      </c>
      <c r="CJ541" s="27" t="s">
        <v>7</v>
      </c>
      <c r="CK541" s="27" t="s">
        <v>8</v>
      </c>
      <c r="CL541" s="27" t="s">
        <v>7</v>
      </c>
      <c r="CM541" s="27" t="s">
        <v>8</v>
      </c>
      <c r="CP541" s="27" t="s">
        <v>7</v>
      </c>
      <c r="CQ541" s="27" t="s">
        <v>8</v>
      </c>
      <c r="CV541" s="27" t="s">
        <v>7</v>
      </c>
      <c r="DA541" s="27" t="s">
        <v>8</v>
      </c>
      <c r="DB541" s="27" t="s">
        <v>7</v>
      </c>
      <c r="DG541" s="27" t="s">
        <v>8</v>
      </c>
      <c r="DH541" s="27" t="s">
        <v>7</v>
      </c>
      <c r="DI541" s="27" t="s">
        <v>8</v>
      </c>
      <c r="DJ541" s="27" t="s">
        <v>7</v>
      </c>
      <c r="DL541" s="27" t="s">
        <v>7</v>
      </c>
      <c r="DM541" s="27" t="s">
        <v>8</v>
      </c>
      <c r="DN541" s="27" t="s">
        <v>7</v>
      </c>
      <c r="DO541" s="27" t="s">
        <v>8</v>
      </c>
      <c r="DZ541" s="27" t="s">
        <v>7</v>
      </c>
      <c r="EA541" s="27" t="s">
        <v>8</v>
      </c>
      <c r="ED541" s="27" t="s">
        <v>7</v>
      </c>
      <c r="EE541" s="27" t="s">
        <v>8</v>
      </c>
      <c r="EF541" s="27" t="s">
        <v>7</v>
      </c>
      <c r="EG541" s="27" t="s">
        <v>8</v>
      </c>
      <c r="ER541" s="27" t="s">
        <v>7</v>
      </c>
      <c r="EY541" s="27" t="s">
        <v>8</v>
      </c>
      <c r="EZ541" s="27" t="s">
        <v>7</v>
      </c>
      <c r="FA541" s="27" t="s">
        <v>8</v>
      </c>
      <c r="FB541" s="27" t="s">
        <v>7</v>
      </c>
      <c r="FC541" s="27" t="s">
        <v>8</v>
      </c>
      <c r="FD541" s="27" t="s">
        <v>7</v>
      </c>
      <c r="GM541" s="27" t="s">
        <v>8</v>
      </c>
      <c r="GW541" s="27" t="s">
        <v>8</v>
      </c>
      <c r="GX541" s="27" t="s">
        <v>7</v>
      </c>
      <c r="HA541" s="27" t="s">
        <v>8</v>
      </c>
      <c r="HB541" s="27" t="s">
        <v>7</v>
      </c>
      <c r="HC541" s="27" t="s">
        <v>8</v>
      </c>
      <c r="HD541" s="27" t="s">
        <v>7</v>
      </c>
      <c r="HE541" s="27" t="s">
        <v>8</v>
      </c>
      <c r="HF541" s="27" t="s">
        <v>7</v>
      </c>
      <c r="HG541" s="27" t="s">
        <v>8</v>
      </c>
      <c r="JL541" s="27" t="s">
        <v>7</v>
      </c>
      <c r="JM541" s="27" t="s">
        <v>8</v>
      </c>
    </row>
    <row r="542" spans="1:274" x14ac:dyDescent="0.25">
      <c r="A542" s="7">
        <v>2.4378542053013459</v>
      </c>
      <c r="B542"/>
      <c r="C542"/>
      <c r="D542"/>
      <c r="E542" t="s">
        <v>8</v>
      </c>
      <c r="L542" s="27" t="s">
        <v>7</v>
      </c>
      <c r="CI542" s="27" t="s">
        <v>8</v>
      </c>
      <c r="CJ542" s="27" t="s">
        <v>7</v>
      </c>
      <c r="CK542" s="27" t="s">
        <v>8</v>
      </c>
      <c r="CL542" s="27" t="s">
        <v>7</v>
      </c>
      <c r="CP542" s="27" t="s">
        <v>7</v>
      </c>
      <c r="CQ542" s="27" t="s">
        <v>8</v>
      </c>
      <c r="CV542" s="27" t="s">
        <v>7</v>
      </c>
      <c r="DA542" s="27" t="s">
        <v>8</v>
      </c>
      <c r="DB542" s="27" t="s">
        <v>7</v>
      </c>
      <c r="DC542" s="27" t="s">
        <v>8</v>
      </c>
      <c r="DG542" s="27" t="s">
        <v>8</v>
      </c>
      <c r="DH542" s="27" t="s">
        <v>7</v>
      </c>
      <c r="DI542" s="27" t="s">
        <v>8</v>
      </c>
      <c r="DL542" s="27" t="s">
        <v>7</v>
      </c>
      <c r="DM542" s="27" t="s">
        <v>8</v>
      </c>
      <c r="DN542" s="27" t="s">
        <v>7</v>
      </c>
      <c r="DO542" s="27" t="s">
        <v>8</v>
      </c>
      <c r="DZ542" s="27" t="s">
        <v>7</v>
      </c>
      <c r="ED542" s="27" t="s">
        <v>7</v>
      </c>
      <c r="EE542" s="27" t="s">
        <v>8</v>
      </c>
      <c r="EF542" s="27" t="s">
        <v>7</v>
      </c>
      <c r="EG542" s="27" t="s">
        <v>8</v>
      </c>
      <c r="ER542" s="27" t="s">
        <v>7</v>
      </c>
      <c r="EY542" s="27" t="s">
        <v>8</v>
      </c>
      <c r="EZ542" s="27" t="s">
        <v>7</v>
      </c>
      <c r="FA542" s="27" t="s">
        <v>8</v>
      </c>
      <c r="FB542" s="27" t="s">
        <v>7</v>
      </c>
      <c r="FC542" s="27" t="s">
        <v>8</v>
      </c>
      <c r="FD542" s="27" t="s">
        <v>7</v>
      </c>
      <c r="GM542" s="27" t="s">
        <v>8</v>
      </c>
      <c r="GN542" s="27" t="s">
        <v>7</v>
      </c>
      <c r="GW542" s="27" t="s">
        <v>8</v>
      </c>
      <c r="GX542" s="27" t="s">
        <v>7</v>
      </c>
      <c r="GY542" s="27" t="s">
        <v>8</v>
      </c>
      <c r="HA542" s="27" t="s">
        <v>8</v>
      </c>
      <c r="HB542" s="27" t="s">
        <v>7</v>
      </c>
      <c r="HC542" s="27" t="s">
        <v>8</v>
      </c>
      <c r="HD542" s="27" t="s">
        <v>7</v>
      </c>
      <c r="HE542" s="27" t="s">
        <v>8</v>
      </c>
      <c r="HF542" s="27" t="s">
        <v>7</v>
      </c>
      <c r="HG542" s="27" t="s">
        <v>8</v>
      </c>
      <c r="JL542" s="27" t="s">
        <v>7</v>
      </c>
      <c r="JM542" s="27" t="s">
        <v>8</v>
      </c>
    </row>
    <row r="543" spans="1:274" x14ac:dyDescent="0.25">
      <c r="A543" s="7">
        <v>2.3900531424522997</v>
      </c>
      <c r="B543"/>
      <c r="C543"/>
      <c r="D543"/>
      <c r="E543" t="s">
        <v>8</v>
      </c>
      <c r="L543" s="27" t="s">
        <v>7</v>
      </c>
      <c r="CI543" s="27" t="s">
        <v>8</v>
      </c>
      <c r="CJ543" s="27" t="s">
        <v>7</v>
      </c>
      <c r="CK543" s="27" t="s">
        <v>8</v>
      </c>
      <c r="CP543" s="27" t="s">
        <v>7</v>
      </c>
      <c r="CQ543" s="27" t="s">
        <v>8</v>
      </c>
      <c r="CV543" s="27" t="s">
        <v>7</v>
      </c>
      <c r="CW543" s="27" t="s">
        <v>8</v>
      </c>
      <c r="DA543" s="27" t="s">
        <v>8</v>
      </c>
      <c r="DB543" s="27" t="s">
        <v>7</v>
      </c>
      <c r="DC543" s="27" t="s">
        <v>8</v>
      </c>
      <c r="DD543" s="27" t="s">
        <v>7</v>
      </c>
      <c r="DE543" s="27" t="s">
        <v>8</v>
      </c>
      <c r="DG543" s="27" t="s">
        <v>8</v>
      </c>
      <c r="DH543" s="27" t="s">
        <v>7</v>
      </c>
      <c r="DI543" s="27" t="s">
        <v>8</v>
      </c>
      <c r="DL543" s="27" t="s">
        <v>7</v>
      </c>
      <c r="DM543" s="27" t="s">
        <v>8</v>
      </c>
      <c r="DN543" s="27" t="s">
        <v>7</v>
      </c>
      <c r="DO543" s="27" t="s">
        <v>8</v>
      </c>
      <c r="ED543" s="27" t="s">
        <v>7</v>
      </c>
      <c r="EE543" s="27" t="s">
        <v>8</v>
      </c>
      <c r="EF543" s="27" t="s">
        <v>7</v>
      </c>
      <c r="EG543" s="27" t="s">
        <v>8</v>
      </c>
      <c r="ER543" s="27" t="s">
        <v>7</v>
      </c>
      <c r="ES543" s="27" t="s">
        <v>8</v>
      </c>
      <c r="EY543" s="27" t="s">
        <v>8</v>
      </c>
      <c r="EZ543" s="27" t="s">
        <v>7</v>
      </c>
      <c r="FA543" s="27" t="s">
        <v>8</v>
      </c>
      <c r="FB543" s="27" t="s">
        <v>7</v>
      </c>
      <c r="FC543" s="27" t="s">
        <v>8</v>
      </c>
      <c r="FD543" s="27" t="s">
        <v>7</v>
      </c>
      <c r="GM543" s="27" t="s">
        <v>8</v>
      </c>
      <c r="GN543" s="27" t="s">
        <v>7</v>
      </c>
      <c r="GS543" s="27" t="s">
        <v>8</v>
      </c>
      <c r="GW543" s="27" t="s">
        <v>8</v>
      </c>
      <c r="GX543" s="27" t="s">
        <v>7</v>
      </c>
      <c r="GY543" s="27" t="s">
        <v>8</v>
      </c>
      <c r="GZ543" s="27" t="s">
        <v>7</v>
      </c>
      <c r="HA543" s="27" t="s">
        <v>8</v>
      </c>
      <c r="HB543" s="27" t="s">
        <v>7</v>
      </c>
      <c r="HC543" s="27" t="s">
        <v>8</v>
      </c>
      <c r="HD543" s="27" t="s">
        <v>7</v>
      </c>
      <c r="HE543" s="27" t="s">
        <v>8</v>
      </c>
      <c r="HF543" s="27" t="s">
        <v>7</v>
      </c>
      <c r="HG543" s="27" t="s">
        <v>8</v>
      </c>
      <c r="JL543" s="27" t="s">
        <v>7</v>
      </c>
    </row>
    <row r="544" spans="1:274" x14ac:dyDescent="0.25">
      <c r="A544" s="7">
        <v>2.343189355345392</v>
      </c>
      <c r="B544"/>
      <c r="C544"/>
      <c r="D544"/>
      <c r="E544" t="s">
        <v>8</v>
      </c>
      <c r="L544" s="27" t="s">
        <v>7</v>
      </c>
      <c r="CE544" s="27" t="s">
        <v>8</v>
      </c>
      <c r="CI544" s="27" t="s">
        <v>8</v>
      </c>
      <c r="CJ544" s="27" t="s">
        <v>7</v>
      </c>
      <c r="CP544" s="27" t="s">
        <v>7</v>
      </c>
      <c r="CQ544" s="27" t="s">
        <v>8</v>
      </c>
      <c r="CV544" s="27" t="s">
        <v>7</v>
      </c>
      <c r="CW544" s="27" t="s">
        <v>8</v>
      </c>
      <c r="CX544" s="27" t="s">
        <v>7</v>
      </c>
      <c r="DA544" s="27" t="s">
        <v>8</v>
      </c>
      <c r="DB544" s="27" t="s">
        <v>7</v>
      </c>
      <c r="DC544" s="27" t="s">
        <v>8</v>
      </c>
      <c r="DD544" s="27" t="s">
        <v>7</v>
      </c>
      <c r="DE544" s="27" t="s">
        <v>8</v>
      </c>
      <c r="DF544" s="27" t="s">
        <v>7</v>
      </c>
      <c r="DG544" s="27" t="s">
        <v>8</v>
      </c>
      <c r="DH544" s="27" t="s">
        <v>7</v>
      </c>
      <c r="DI544" s="27" t="s">
        <v>8</v>
      </c>
      <c r="DL544" s="27" t="s">
        <v>7</v>
      </c>
      <c r="DM544" s="27" t="s">
        <v>8</v>
      </c>
      <c r="DN544" s="27" t="s">
        <v>7</v>
      </c>
      <c r="ED544" s="27" t="s">
        <v>7</v>
      </c>
      <c r="EE544" s="27" t="s">
        <v>8</v>
      </c>
      <c r="EF544" s="27" t="s">
        <v>7</v>
      </c>
      <c r="EG544" s="27" t="s">
        <v>8</v>
      </c>
      <c r="ER544" s="27" t="s">
        <v>7</v>
      </c>
      <c r="ES544" s="27" t="s">
        <v>8</v>
      </c>
      <c r="ET544" s="27" t="s">
        <v>7</v>
      </c>
      <c r="EY544" s="27" t="s">
        <v>8</v>
      </c>
      <c r="EZ544" s="27" t="s">
        <v>7</v>
      </c>
      <c r="FA544" s="27" t="s">
        <v>8</v>
      </c>
      <c r="FB544" s="27" t="s">
        <v>7</v>
      </c>
      <c r="FC544" s="27" t="s">
        <v>8</v>
      </c>
      <c r="FD544" s="27" t="s">
        <v>7</v>
      </c>
      <c r="FE544" s="27" t="s">
        <v>8</v>
      </c>
      <c r="GG544" s="31" t="s">
        <v>8</v>
      </c>
      <c r="GK544" s="27" t="s">
        <v>8</v>
      </c>
      <c r="GM544" s="27" t="s">
        <v>8</v>
      </c>
      <c r="GN544" s="27" t="s">
        <v>7</v>
      </c>
      <c r="GS544" s="27" t="s">
        <v>8</v>
      </c>
      <c r="GT544" s="27" t="s">
        <v>7</v>
      </c>
      <c r="GW544" s="27" t="s">
        <v>8</v>
      </c>
      <c r="GX544" s="27" t="s">
        <v>7</v>
      </c>
      <c r="GY544" s="27" t="s">
        <v>8</v>
      </c>
      <c r="GZ544" s="27" t="s">
        <v>7</v>
      </c>
      <c r="HA544" s="27" t="s">
        <v>8</v>
      </c>
      <c r="HB544" s="27" t="s">
        <v>7</v>
      </c>
      <c r="HC544" s="27" t="s">
        <v>8</v>
      </c>
      <c r="HD544" s="27" t="s">
        <v>7</v>
      </c>
      <c r="HE544" s="27" t="s">
        <v>8</v>
      </c>
      <c r="HF544" s="27" t="s">
        <v>7</v>
      </c>
      <c r="HG544" s="27" t="s">
        <v>8</v>
      </c>
    </row>
    <row r="545" spans="1:215" x14ac:dyDescent="0.25">
      <c r="A545" s="7">
        <v>2.2972444660248938</v>
      </c>
      <c r="B545"/>
      <c r="C545"/>
      <c r="D545"/>
      <c r="E545" t="s">
        <v>8</v>
      </c>
      <c r="L545" s="27" t="s">
        <v>7</v>
      </c>
      <c r="M545" s="27" t="s">
        <v>8</v>
      </c>
      <c r="CE545" s="27" t="s">
        <v>8</v>
      </c>
      <c r="CF545" s="27" t="s">
        <v>7</v>
      </c>
      <c r="CI545" s="27" t="s">
        <v>8</v>
      </c>
      <c r="CP545" s="27" t="s">
        <v>7</v>
      </c>
      <c r="CQ545" s="27" t="s">
        <v>8</v>
      </c>
      <c r="CV545" s="27" t="s">
        <v>7</v>
      </c>
      <c r="CW545" s="27" t="s">
        <v>8</v>
      </c>
      <c r="CX545" s="27" t="s">
        <v>7</v>
      </c>
      <c r="DA545" s="27" t="s">
        <v>8</v>
      </c>
      <c r="DB545" s="27" t="s">
        <v>7</v>
      </c>
      <c r="DC545" s="27" t="s">
        <v>8</v>
      </c>
      <c r="DD545" s="27" t="s">
        <v>7</v>
      </c>
      <c r="DE545" s="27" t="s">
        <v>8</v>
      </c>
      <c r="DF545" s="27" t="s">
        <v>7</v>
      </c>
      <c r="DG545" s="27" t="s">
        <v>8</v>
      </c>
      <c r="DH545" s="27" t="s">
        <v>7</v>
      </c>
      <c r="DL545" s="27" t="s">
        <v>7</v>
      </c>
      <c r="DM545" s="27" t="s">
        <v>8</v>
      </c>
      <c r="ED545" s="27" t="s">
        <v>7</v>
      </c>
      <c r="EE545" s="27" t="s">
        <v>8</v>
      </c>
      <c r="EF545" s="27" t="s">
        <v>7</v>
      </c>
      <c r="EG545" s="27" t="s">
        <v>8</v>
      </c>
      <c r="ER545" s="27" t="s">
        <v>7</v>
      </c>
      <c r="ES545" s="27" t="s">
        <v>8</v>
      </c>
      <c r="ET545" s="27" t="s">
        <v>7</v>
      </c>
      <c r="EY545" s="27" t="s">
        <v>8</v>
      </c>
      <c r="EZ545" s="27" t="s">
        <v>7</v>
      </c>
      <c r="FA545" s="27" t="s">
        <v>8</v>
      </c>
      <c r="FB545" s="27" t="s">
        <v>7</v>
      </c>
      <c r="FC545" s="27" t="s">
        <v>8</v>
      </c>
      <c r="FD545" s="27" t="s">
        <v>7</v>
      </c>
      <c r="FE545" s="27" t="s">
        <v>8</v>
      </c>
      <c r="FF545" s="27" t="s">
        <v>7</v>
      </c>
      <c r="GG545" s="27" t="s">
        <v>8</v>
      </c>
      <c r="GH545" s="31" t="s">
        <v>7</v>
      </c>
      <c r="GK545" s="27" t="s">
        <v>8</v>
      </c>
      <c r="GL545" s="27" t="s">
        <v>7</v>
      </c>
      <c r="GM545" s="27" t="s">
        <v>8</v>
      </c>
      <c r="GN545" s="27" t="s">
        <v>7</v>
      </c>
      <c r="GS545" s="27" t="s">
        <v>8</v>
      </c>
      <c r="GT545" s="27" t="s">
        <v>7</v>
      </c>
      <c r="GU545" s="27" t="s">
        <v>8</v>
      </c>
      <c r="GW545" s="27" t="s">
        <v>8</v>
      </c>
      <c r="GX545" s="27" t="s">
        <v>7</v>
      </c>
      <c r="GY545" s="27" t="s">
        <v>8</v>
      </c>
      <c r="GZ545" s="27" t="s">
        <v>7</v>
      </c>
      <c r="HA545" s="27" t="s">
        <v>8</v>
      </c>
      <c r="HB545" s="27" t="s">
        <v>7</v>
      </c>
      <c r="HC545" s="27" t="s">
        <v>8</v>
      </c>
      <c r="HD545" s="27" t="s">
        <v>7</v>
      </c>
      <c r="HE545" s="27" t="s">
        <v>8</v>
      </c>
      <c r="HF545" s="27" t="s">
        <v>7</v>
      </c>
      <c r="HG545" s="27" t="s">
        <v>8</v>
      </c>
    </row>
    <row r="546" spans="1:215" x14ac:dyDescent="0.25">
      <c r="A546" s="7">
        <v>2.252200456887151</v>
      </c>
      <c r="B546"/>
      <c r="C546"/>
      <c r="D546"/>
      <c r="E546" t="s">
        <v>8</v>
      </c>
      <c r="L546" s="27" t="s">
        <v>7</v>
      </c>
      <c r="M546" s="27" t="s">
        <v>8</v>
      </c>
      <c r="N546" s="27" t="s">
        <v>7</v>
      </c>
      <c r="CE546" s="27" t="s">
        <v>8</v>
      </c>
      <c r="CF546" s="27" t="s">
        <v>7</v>
      </c>
      <c r="CI546" s="27" t="s">
        <v>8</v>
      </c>
      <c r="CP546" s="27" t="s">
        <v>7</v>
      </c>
      <c r="CQ546" s="27" t="s">
        <v>8</v>
      </c>
      <c r="CV546" s="27" t="s">
        <v>7</v>
      </c>
      <c r="CW546" s="27" t="s">
        <v>8</v>
      </c>
      <c r="CX546" s="27" t="s">
        <v>7</v>
      </c>
      <c r="DA546" s="27" t="s">
        <v>8</v>
      </c>
      <c r="DB546" s="27" t="s">
        <v>7</v>
      </c>
      <c r="DC546" s="27" t="s">
        <v>8</v>
      </c>
      <c r="DD546" s="27" t="s">
        <v>7</v>
      </c>
      <c r="DE546" s="27" t="s">
        <v>8</v>
      </c>
      <c r="DF546" s="27" t="s">
        <v>7</v>
      </c>
      <c r="DG546" s="27" t="s">
        <v>8</v>
      </c>
      <c r="DL546" s="27" t="s">
        <v>7</v>
      </c>
      <c r="ED546" s="27" t="s">
        <v>7</v>
      </c>
      <c r="EF546" s="27" t="s">
        <v>7</v>
      </c>
      <c r="EG546" s="27" t="s">
        <v>8</v>
      </c>
      <c r="ER546" s="27" t="s">
        <v>7</v>
      </c>
      <c r="ES546" s="27" t="s">
        <v>8</v>
      </c>
      <c r="ET546" s="27" t="s">
        <v>7</v>
      </c>
      <c r="EY546" s="27" t="s">
        <v>8</v>
      </c>
      <c r="EZ546" s="27" t="s">
        <v>7</v>
      </c>
      <c r="FA546" s="27" t="s">
        <v>8</v>
      </c>
      <c r="FB546" s="27" t="s">
        <v>7</v>
      </c>
      <c r="FC546" s="27" t="s">
        <v>8</v>
      </c>
      <c r="FD546" s="27" t="s">
        <v>7</v>
      </c>
      <c r="FE546" s="27" t="s">
        <v>8</v>
      </c>
      <c r="FF546" s="27" t="s">
        <v>7</v>
      </c>
      <c r="GG546" s="27" t="s">
        <v>8</v>
      </c>
      <c r="GH546" s="27" t="s">
        <v>7</v>
      </c>
      <c r="GI546" s="31" t="s">
        <v>8</v>
      </c>
      <c r="GK546" s="27" t="s">
        <v>8</v>
      </c>
      <c r="GL546" s="27" t="s">
        <v>7</v>
      </c>
      <c r="GM546" s="27" t="s">
        <v>8</v>
      </c>
      <c r="GN546" s="27" t="s">
        <v>7</v>
      </c>
      <c r="GS546" s="27" t="s">
        <v>8</v>
      </c>
      <c r="GT546" s="27" t="s">
        <v>7</v>
      </c>
      <c r="GU546" s="27" t="s">
        <v>8</v>
      </c>
      <c r="GV546" s="27" t="s">
        <v>7</v>
      </c>
      <c r="GW546" s="27" t="s">
        <v>8</v>
      </c>
      <c r="GX546" s="27" t="s">
        <v>7</v>
      </c>
      <c r="GY546" s="27" t="s">
        <v>8</v>
      </c>
      <c r="GZ546" s="27" t="s">
        <v>7</v>
      </c>
      <c r="HA546" s="27" t="s">
        <v>8</v>
      </c>
      <c r="HB546" s="27" t="s">
        <v>7</v>
      </c>
      <c r="HC546" s="27" t="s">
        <v>8</v>
      </c>
      <c r="HD546" s="27" t="s">
        <v>7</v>
      </c>
      <c r="HF546" s="27" t="s">
        <v>7</v>
      </c>
    </row>
    <row r="547" spans="1:215" x14ac:dyDescent="0.25">
      <c r="A547" s="7">
        <v>2.208039663614854</v>
      </c>
      <c r="B547"/>
      <c r="C547"/>
      <c r="D547"/>
      <c r="E547" t="s">
        <v>8</v>
      </c>
      <c r="L547" s="27" t="s">
        <v>7</v>
      </c>
      <c r="M547" s="27" t="s">
        <v>8</v>
      </c>
      <c r="N547" s="27" t="s">
        <v>7</v>
      </c>
      <c r="CE547" s="27" t="s">
        <v>8</v>
      </c>
      <c r="CF547" s="27" t="s">
        <v>7</v>
      </c>
      <c r="CI547" s="27" t="s">
        <v>8</v>
      </c>
      <c r="CP547" s="27" t="s">
        <v>7</v>
      </c>
      <c r="CQ547" s="27" t="s">
        <v>8</v>
      </c>
      <c r="CV547" s="27" t="s">
        <v>7</v>
      </c>
      <c r="CW547" s="27" t="s">
        <v>8</v>
      </c>
      <c r="CX547" s="27" t="s">
        <v>7</v>
      </c>
      <c r="DA547" s="27" t="s">
        <v>8</v>
      </c>
      <c r="DB547" s="27" t="s">
        <v>7</v>
      </c>
      <c r="DC547" s="27" t="s">
        <v>8</v>
      </c>
      <c r="DD547" s="27" t="s">
        <v>7</v>
      </c>
      <c r="DE547" s="27" t="s">
        <v>8</v>
      </c>
      <c r="DF547" s="27" t="s">
        <v>7</v>
      </c>
      <c r="DG547" s="27" t="s">
        <v>8</v>
      </c>
      <c r="EF547" s="27" t="s">
        <v>7</v>
      </c>
      <c r="ER547" s="27" t="s">
        <v>7</v>
      </c>
      <c r="ES547" s="27" t="s">
        <v>8</v>
      </c>
      <c r="ET547" s="27" t="s">
        <v>7</v>
      </c>
      <c r="EY547" s="27" t="s">
        <v>8</v>
      </c>
      <c r="EZ547" s="27" t="s">
        <v>7</v>
      </c>
      <c r="FA547" s="27" t="s">
        <v>8</v>
      </c>
      <c r="FB547" s="27" t="s">
        <v>7</v>
      </c>
      <c r="FC547" s="27" t="s">
        <v>8</v>
      </c>
      <c r="FD547" s="27" t="s">
        <v>7</v>
      </c>
      <c r="FE547" s="27" t="s">
        <v>8</v>
      </c>
      <c r="FF547" s="27" t="s">
        <v>7</v>
      </c>
      <c r="GG547" s="27" t="s">
        <v>8</v>
      </c>
      <c r="GH547" s="27" t="s">
        <v>7</v>
      </c>
      <c r="GI547" s="27" t="s">
        <v>8</v>
      </c>
      <c r="GJ547" s="31" t="s">
        <v>7</v>
      </c>
      <c r="GK547" s="27" t="s">
        <v>8</v>
      </c>
      <c r="GL547" s="27" t="s">
        <v>7</v>
      </c>
      <c r="GM547" s="27" t="s">
        <v>8</v>
      </c>
      <c r="GN547" s="27" t="s">
        <v>7</v>
      </c>
      <c r="GO547" s="27" t="s">
        <v>8</v>
      </c>
      <c r="GQ547" s="27" t="s">
        <v>8</v>
      </c>
      <c r="GS547" s="27" t="s">
        <v>8</v>
      </c>
      <c r="GT547" s="27" t="s">
        <v>7</v>
      </c>
      <c r="GU547" s="27" t="s">
        <v>8</v>
      </c>
      <c r="GV547" s="27" t="s">
        <v>7</v>
      </c>
      <c r="GW547" s="27" t="s">
        <v>8</v>
      </c>
      <c r="GX547" s="27" t="s">
        <v>7</v>
      </c>
      <c r="GY547" s="27" t="s">
        <v>8</v>
      </c>
      <c r="GZ547" s="27" t="s">
        <v>7</v>
      </c>
      <c r="HA547" s="27" t="s">
        <v>8</v>
      </c>
      <c r="HB547" s="27" t="s">
        <v>7</v>
      </c>
      <c r="HC547" s="27" t="s">
        <v>8</v>
      </c>
    </row>
    <row r="548" spans="1:215" x14ac:dyDescent="0.25">
      <c r="A548" s="7">
        <v>2.1647447682498568</v>
      </c>
      <c r="B548"/>
      <c r="C548"/>
      <c r="D548"/>
      <c r="E548" t="s">
        <v>8</v>
      </c>
      <c r="L548" s="27" t="s">
        <v>7</v>
      </c>
      <c r="M548" s="27" t="s">
        <v>8</v>
      </c>
      <c r="N548" s="27" t="s">
        <v>7</v>
      </c>
      <c r="O548" s="27" t="s">
        <v>8</v>
      </c>
      <c r="CE548" s="27" t="s">
        <v>8</v>
      </c>
      <c r="CF548" s="27" t="s">
        <v>7</v>
      </c>
      <c r="CG548" s="27" t="s">
        <v>8</v>
      </c>
      <c r="CI548" s="27" t="s">
        <v>8</v>
      </c>
      <c r="CP548" s="27" t="s">
        <v>7</v>
      </c>
      <c r="CQ548" s="27" t="s">
        <v>8</v>
      </c>
      <c r="CV548" s="27" t="s">
        <v>7</v>
      </c>
      <c r="CW548" s="27" t="s">
        <v>8</v>
      </c>
      <c r="CX548" s="27" t="s">
        <v>7</v>
      </c>
      <c r="DA548" s="27" t="s">
        <v>8</v>
      </c>
      <c r="DB548" s="27" t="s">
        <v>7</v>
      </c>
      <c r="DC548" s="27" t="s">
        <v>8</v>
      </c>
      <c r="DD548" s="27" t="s">
        <v>7</v>
      </c>
      <c r="DE548" s="27" t="s">
        <v>8</v>
      </c>
      <c r="DF548" s="27" t="s">
        <v>7</v>
      </c>
      <c r="DG548" s="27" t="s">
        <v>8</v>
      </c>
      <c r="ER548" s="27" t="s">
        <v>7</v>
      </c>
      <c r="ES548" s="27" t="s">
        <v>8</v>
      </c>
      <c r="ET548" s="27" t="s">
        <v>7</v>
      </c>
      <c r="EY548" s="27" t="s">
        <v>8</v>
      </c>
      <c r="EZ548" s="27" t="s">
        <v>7</v>
      </c>
      <c r="FB548" s="27" t="s">
        <v>7</v>
      </c>
      <c r="FC548" s="27" t="s">
        <v>8</v>
      </c>
      <c r="FD548" s="27" t="s">
        <v>7</v>
      </c>
      <c r="FE548" s="27" t="s">
        <v>8</v>
      </c>
      <c r="FF548" s="27" t="s">
        <v>7</v>
      </c>
      <c r="GE548" s="27" t="s">
        <v>8</v>
      </c>
      <c r="GG548" s="27" t="s">
        <v>8</v>
      </c>
      <c r="GH548" s="27" t="s">
        <v>7</v>
      </c>
      <c r="GI548" s="27" t="s">
        <v>8</v>
      </c>
      <c r="GJ548" s="27" t="s">
        <v>7</v>
      </c>
      <c r="GK548" s="31" t="s">
        <v>8</v>
      </c>
      <c r="GL548" s="27" t="s">
        <v>7</v>
      </c>
      <c r="GN548" s="27" t="s">
        <v>7</v>
      </c>
      <c r="GO548" s="27" t="s">
        <v>8</v>
      </c>
      <c r="GP548" s="27" t="s">
        <v>7</v>
      </c>
      <c r="GQ548" s="27" t="s">
        <v>8</v>
      </c>
      <c r="GR548" s="27" t="s">
        <v>7</v>
      </c>
      <c r="GS548" s="27" t="s">
        <v>8</v>
      </c>
      <c r="GT548" s="27" t="s">
        <v>7</v>
      </c>
      <c r="GV548" s="27" t="s">
        <v>7</v>
      </c>
      <c r="GX548" s="27" t="s">
        <v>7</v>
      </c>
      <c r="GY548" s="27" t="s">
        <v>8</v>
      </c>
      <c r="GZ548" s="27" t="s">
        <v>7</v>
      </c>
      <c r="HA548" s="27" t="s">
        <v>8</v>
      </c>
      <c r="HB548" s="27" t="s">
        <v>7</v>
      </c>
    </row>
    <row r="549" spans="1:215" x14ac:dyDescent="0.25">
      <c r="A549" s="7">
        <v>2.1222987924018204</v>
      </c>
      <c r="B549"/>
      <c r="C549"/>
      <c r="D549"/>
      <c r="E549" t="s">
        <v>8</v>
      </c>
      <c r="L549" s="27" t="s">
        <v>7</v>
      </c>
      <c r="M549" s="27" t="s">
        <v>8</v>
      </c>
      <c r="N549" s="27" t="s">
        <v>7</v>
      </c>
      <c r="O549" s="27" t="s">
        <v>8</v>
      </c>
      <c r="P549" s="27" t="s">
        <v>7</v>
      </c>
      <c r="Q549" s="27" t="s">
        <v>8</v>
      </c>
      <c r="CE549" s="27" t="s">
        <v>8</v>
      </c>
      <c r="CF549" s="27" t="s">
        <v>7</v>
      </c>
      <c r="CG549" s="27" t="s">
        <v>8</v>
      </c>
      <c r="CH549" s="27" t="s">
        <v>7</v>
      </c>
      <c r="CI549" s="27" t="s">
        <v>8</v>
      </c>
      <c r="CP549" s="27" t="s">
        <v>7</v>
      </c>
      <c r="CQ549" s="27" t="s">
        <v>8</v>
      </c>
      <c r="CV549" s="27" t="s">
        <v>7</v>
      </c>
      <c r="CW549" s="27" t="s">
        <v>8</v>
      </c>
      <c r="CX549" s="27" t="s">
        <v>7</v>
      </c>
      <c r="DA549" s="27" t="s">
        <v>8</v>
      </c>
      <c r="DB549" s="27" t="s">
        <v>7</v>
      </c>
      <c r="DC549" s="27" t="s">
        <v>8</v>
      </c>
      <c r="DD549" s="27" t="s">
        <v>7</v>
      </c>
      <c r="DE549" s="27" t="s">
        <v>8</v>
      </c>
      <c r="DF549" s="27" t="s">
        <v>7</v>
      </c>
      <c r="DG549" s="27" t="s">
        <v>8</v>
      </c>
      <c r="ER549" s="27" t="s">
        <v>7</v>
      </c>
      <c r="ES549" s="27" t="s">
        <v>8</v>
      </c>
      <c r="ET549" s="27" t="s">
        <v>7</v>
      </c>
      <c r="EY549" s="27" t="s">
        <v>8</v>
      </c>
      <c r="FB549" s="27" t="s">
        <v>7</v>
      </c>
      <c r="FC549" s="27" t="s">
        <v>8</v>
      </c>
      <c r="FD549" s="27" t="s">
        <v>7</v>
      </c>
      <c r="FE549" s="27" t="s">
        <v>8</v>
      </c>
      <c r="FF549" s="27" t="s">
        <v>7</v>
      </c>
      <c r="GE549" s="27" t="s">
        <v>8</v>
      </c>
      <c r="GF549" s="27" t="s">
        <v>7</v>
      </c>
      <c r="GG549" s="27" t="s">
        <v>8</v>
      </c>
      <c r="GH549" s="27" t="s">
        <v>7</v>
      </c>
      <c r="GI549" s="27" t="s">
        <v>8</v>
      </c>
      <c r="GJ549" s="27" t="s">
        <v>7</v>
      </c>
      <c r="GK549" s="27" t="s">
        <v>8</v>
      </c>
      <c r="GL549" s="31"/>
      <c r="GN549" s="27" t="s">
        <v>7</v>
      </c>
      <c r="GO549" s="27" t="s">
        <v>8</v>
      </c>
      <c r="GP549" s="27" t="s">
        <v>7</v>
      </c>
      <c r="GQ549" s="27" t="s">
        <v>8</v>
      </c>
      <c r="GR549" s="27" t="s">
        <v>7</v>
      </c>
      <c r="GS549" s="27" t="s">
        <v>8</v>
      </c>
      <c r="GX549" s="27" t="s">
        <v>7</v>
      </c>
      <c r="GY549" s="27" t="s">
        <v>8</v>
      </c>
      <c r="GZ549" s="27" t="s">
        <v>7</v>
      </c>
    </row>
    <row r="550" spans="1:215" x14ac:dyDescent="0.25">
      <c r="A550" s="7">
        <v>2.0806850905900198</v>
      </c>
      <c r="B550"/>
      <c r="C550"/>
      <c r="D550"/>
      <c r="E550" t="s">
        <v>8</v>
      </c>
      <c r="L550" s="27" t="s">
        <v>7</v>
      </c>
      <c r="M550" s="27" t="s">
        <v>8</v>
      </c>
      <c r="N550" s="27" t="s">
        <v>7</v>
      </c>
      <c r="O550" s="27" t="s">
        <v>8</v>
      </c>
      <c r="P550" s="27" t="s">
        <v>7</v>
      </c>
      <c r="Q550" s="27" t="s">
        <v>8</v>
      </c>
      <c r="R550" s="27" t="s">
        <v>7</v>
      </c>
      <c r="CE550" s="27" t="s">
        <v>8</v>
      </c>
      <c r="CF550" s="27" t="s">
        <v>7</v>
      </c>
      <c r="CG550" s="27" t="s">
        <v>8</v>
      </c>
      <c r="CH550" s="27" t="s">
        <v>7</v>
      </c>
      <c r="CI550" s="27" t="s">
        <v>8</v>
      </c>
      <c r="CP550" s="27" t="s">
        <v>7</v>
      </c>
      <c r="CV550" s="27" t="s">
        <v>7</v>
      </c>
      <c r="CW550" s="27" t="s">
        <v>8</v>
      </c>
      <c r="CX550" s="27" t="s">
        <v>7</v>
      </c>
      <c r="CY550" s="27" t="s">
        <v>8</v>
      </c>
      <c r="DA550" s="27" t="s">
        <v>8</v>
      </c>
      <c r="DB550" s="27" t="s">
        <v>7</v>
      </c>
      <c r="DC550" s="27" t="s">
        <v>8</v>
      </c>
      <c r="DD550" s="27" t="s">
        <v>7</v>
      </c>
      <c r="DE550" s="27" t="s">
        <v>8</v>
      </c>
      <c r="DF550" s="27" t="s">
        <v>7</v>
      </c>
      <c r="ER550" s="27" t="s">
        <v>7</v>
      </c>
      <c r="ES550" s="27" t="s">
        <v>8</v>
      </c>
      <c r="ET550" s="27" t="s">
        <v>7</v>
      </c>
      <c r="EY550" s="27" t="s">
        <v>8</v>
      </c>
      <c r="FB550" s="27" t="s">
        <v>7</v>
      </c>
      <c r="FC550" s="27" t="s">
        <v>8</v>
      </c>
      <c r="FD550" s="27" t="s">
        <v>7</v>
      </c>
      <c r="FE550" s="27" t="s">
        <v>8</v>
      </c>
      <c r="FF550" s="27" t="s">
        <v>7</v>
      </c>
      <c r="FO550" s="27" t="s">
        <v>8</v>
      </c>
      <c r="GE550" s="27" t="s">
        <v>8</v>
      </c>
      <c r="GF550" s="27" t="s">
        <v>7</v>
      </c>
      <c r="GG550" s="27" t="s">
        <v>8</v>
      </c>
      <c r="GH550" s="27" t="s">
        <v>7</v>
      </c>
      <c r="GJ550" s="27" t="s">
        <v>7</v>
      </c>
      <c r="GK550" s="27" t="s">
        <v>8</v>
      </c>
      <c r="GM550" s="31"/>
      <c r="GN550" s="27" t="s">
        <v>7</v>
      </c>
      <c r="GP550" s="27" t="s">
        <v>7</v>
      </c>
      <c r="GQ550" s="27" t="s">
        <v>8</v>
      </c>
      <c r="GR550" s="27" t="s">
        <v>7</v>
      </c>
      <c r="GS550" s="27" t="s">
        <v>8</v>
      </c>
      <c r="GX550" s="27" t="s">
        <v>7</v>
      </c>
      <c r="GY550" s="27" t="s">
        <v>8</v>
      </c>
    </row>
    <row r="551" spans="1:215" x14ac:dyDescent="0.25">
      <c r="A551" s="7">
        <v>2.0398873437157055</v>
      </c>
      <c r="B551"/>
      <c r="C551"/>
      <c r="D551"/>
      <c r="E551" t="s">
        <v>8</v>
      </c>
      <c r="L551" s="27" t="s">
        <v>7</v>
      </c>
      <c r="M551" s="27" t="s">
        <v>8</v>
      </c>
      <c r="N551" s="27" t="s">
        <v>7</v>
      </c>
      <c r="O551" s="27" t="s">
        <v>8</v>
      </c>
      <c r="P551" s="27" t="s">
        <v>7</v>
      </c>
      <c r="Q551" s="27" t="s">
        <v>8</v>
      </c>
      <c r="R551" s="27" t="s">
        <v>7</v>
      </c>
      <c r="CE551" s="27" t="s">
        <v>8</v>
      </c>
      <c r="CF551" s="27" t="s">
        <v>7</v>
      </c>
      <c r="CG551" s="27" t="s">
        <v>8</v>
      </c>
      <c r="CH551" s="27" t="s">
        <v>7</v>
      </c>
      <c r="CI551" s="27" t="s">
        <v>8</v>
      </c>
      <c r="CV551" s="27" t="s">
        <v>7</v>
      </c>
      <c r="CW551" s="27" t="s">
        <v>8</v>
      </c>
      <c r="CX551" s="27" t="s">
        <v>7</v>
      </c>
      <c r="CY551" s="27" t="s">
        <v>8</v>
      </c>
      <c r="CZ551" s="27" t="s">
        <v>7</v>
      </c>
      <c r="DA551" s="27" t="s">
        <v>8</v>
      </c>
      <c r="DB551" s="27" t="s">
        <v>7</v>
      </c>
      <c r="DC551" s="27" t="s">
        <v>8</v>
      </c>
      <c r="DD551" s="27" t="s">
        <v>7</v>
      </c>
      <c r="DE551" s="27" t="s">
        <v>8</v>
      </c>
      <c r="ER551" s="27" t="s">
        <v>7</v>
      </c>
      <c r="ES551" s="27" t="s">
        <v>8</v>
      </c>
      <c r="ET551" s="27" t="s">
        <v>7</v>
      </c>
      <c r="EY551" s="27" t="s">
        <v>8</v>
      </c>
      <c r="FB551" s="27" t="s">
        <v>7</v>
      </c>
      <c r="FC551" s="27" t="s">
        <v>8</v>
      </c>
      <c r="FD551" s="27" t="s">
        <v>7</v>
      </c>
      <c r="FF551" s="27" t="s">
        <v>7</v>
      </c>
      <c r="FO551" s="27" t="s">
        <v>8</v>
      </c>
      <c r="FP551" s="27" t="s">
        <v>7</v>
      </c>
      <c r="GE551" s="27" t="s">
        <v>8</v>
      </c>
      <c r="GF551" s="27" t="s">
        <v>7</v>
      </c>
      <c r="GG551" s="27" t="s">
        <v>8</v>
      </c>
      <c r="GJ551" s="27" t="s">
        <v>7</v>
      </c>
      <c r="GK551" s="27" t="s">
        <v>8</v>
      </c>
      <c r="GN551" s="31"/>
      <c r="GP551" s="27" t="s">
        <v>7</v>
      </c>
      <c r="GQ551" s="27" t="s">
        <v>8</v>
      </c>
      <c r="GR551" s="27" t="s">
        <v>7</v>
      </c>
      <c r="GX551" s="27" t="s">
        <v>7</v>
      </c>
      <c r="GY551" s="27" t="s">
        <v>8</v>
      </c>
    </row>
    <row r="552" spans="1:215" x14ac:dyDescent="0.25">
      <c r="A552" s="7">
        <v>1.9998895526624565</v>
      </c>
      <c r="B552"/>
      <c r="C552"/>
      <c r="D552"/>
      <c r="E552" t="s">
        <v>8</v>
      </c>
      <c r="L552" s="27" t="s">
        <v>7</v>
      </c>
      <c r="M552" s="27" t="s">
        <v>8</v>
      </c>
      <c r="N552" s="27" t="s">
        <v>7</v>
      </c>
      <c r="O552" s="27" t="s">
        <v>8</v>
      </c>
      <c r="P552" s="27" t="s">
        <v>7</v>
      </c>
      <c r="Q552" s="27" t="s">
        <v>8</v>
      </c>
      <c r="R552" s="27" t="s">
        <v>7</v>
      </c>
      <c r="CE552" s="27" t="s">
        <v>8</v>
      </c>
      <c r="CF552" s="27" t="s">
        <v>7</v>
      </c>
      <c r="CG552" s="27" t="s">
        <v>8</v>
      </c>
      <c r="CH552" s="27" t="s">
        <v>7</v>
      </c>
      <c r="CI552" s="27" t="s">
        <v>8</v>
      </c>
      <c r="CV552" s="27" t="s">
        <v>7</v>
      </c>
      <c r="CW552" s="27" t="s">
        <v>8</v>
      </c>
      <c r="CX552" s="27" t="s">
        <v>7</v>
      </c>
      <c r="CY552" s="27" t="s">
        <v>8</v>
      </c>
      <c r="CZ552" s="27" t="s">
        <v>7</v>
      </c>
      <c r="DA552" s="27" t="s">
        <v>8</v>
      </c>
      <c r="DB552" s="27" t="s">
        <v>7</v>
      </c>
      <c r="DC552" s="27" t="s">
        <v>8</v>
      </c>
      <c r="DD552" s="27" t="s">
        <v>7</v>
      </c>
      <c r="DE552" s="27" t="s">
        <v>8</v>
      </c>
      <c r="ER552" s="27" t="s">
        <v>7</v>
      </c>
      <c r="ES552" s="27" t="s">
        <v>8</v>
      </c>
      <c r="ET552" s="27" t="s">
        <v>7</v>
      </c>
      <c r="EY552" s="27" t="s">
        <v>8</v>
      </c>
      <c r="FB552" s="27" t="s">
        <v>7</v>
      </c>
      <c r="FF552" s="27" t="s">
        <v>7</v>
      </c>
      <c r="FO552" s="27" t="s">
        <v>8</v>
      </c>
      <c r="FP552" s="27" t="s">
        <v>7</v>
      </c>
      <c r="GE552" s="27" t="s">
        <v>8</v>
      </c>
      <c r="GF552" s="27" t="s">
        <v>7</v>
      </c>
      <c r="GG552" s="27" t="s">
        <v>8</v>
      </c>
      <c r="GJ552" s="27" t="s">
        <v>7</v>
      </c>
      <c r="GK552" s="27" t="s">
        <v>8</v>
      </c>
      <c r="GP552" s="27" t="s">
        <v>7</v>
      </c>
      <c r="GX552" s="27" t="s">
        <v>7</v>
      </c>
      <c r="GY552" s="27" t="s">
        <v>8</v>
      </c>
    </row>
    <row r="553" spans="1:215" x14ac:dyDescent="0.25">
      <c r="A553" s="7">
        <v>1.9606760320220162</v>
      </c>
      <c r="B553"/>
      <c r="C553"/>
      <c r="D553"/>
      <c r="E553" t="s">
        <v>8</v>
      </c>
      <c r="L553" s="27" t="s">
        <v>7</v>
      </c>
      <c r="M553" s="27" t="s">
        <v>8</v>
      </c>
      <c r="N553" s="27" t="s">
        <v>7</v>
      </c>
      <c r="O553" s="27" t="s">
        <v>8</v>
      </c>
      <c r="P553" s="27" t="s">
        <v>7</v>
      </c>
      <c r="Q553" s="27" t="s">
        <v>8</v>
      </c>
      <c r="R553" s="27" t="s">
        <v>7</v>
      </c>
      <c r="S553" s="27" t="s">
        <v>8</v>
      </c>
      <c r="CE553" s="27" t="s">
        <v>8</v>
      </c>
      <c r="CF553" s="27" t="s">
        <v>7</v>
      </c>
      <c r="CG553" s="27" t="s">
        <v>8</v>
      </c>
      <c r="CH553" s="27" t="s">
        <v>7</v>
      </c>
      <c r="CI553" s="27" t="s">
        <v>8</v>
      </c>
      <c r="CV553" s="27" t="s">
        <v>7</v>
      </c>
      <c r="CW553" s="27" t="s">
        <v>8</v>
      </c>
      <c r="CX553" s="27" t="s">
        <v>7</v>
      </c>
      <c r="CY553" s="27" t="s">
        <v>8</v>
      </c>
      <c r="CZ553" s="27" t="s">
        <v>7</v>
      </c>
      <c r="DA553" s="27" t="s">
        <v>8</v>
      </c>
      <c r="DB553" s="27" t="s">
        <v>7</v>
      </c>
      <c r="DC553" s="27" t="s">
        <v>8</v>
      </c>
      <c r="DD553" s="27" t="s">
        <v>7</v>
      </c>
      <c r="ER553" s="27" t="s">
        <v>7</v>
      </c>
      <c r="ES553" s="27" t="s">
        <v>8</v>
      </c>
      <c r="ET553" s="27" t="s">
        <v>7</v>
      </c>
      <c r="EU553" s="27" t="s">
        <v>8</v>
      </c>
      <c r="EY553" s="27" t="s">
        <v>8</v>
      </c>
      <c r="FF553" s="27" t="s">
        <v>7</v>
      </c>
      <c r="FG553" s="27" t="s">
        <v>8</v>
      </c>
      <c r="FO553" s="27" t="s">
        <v>8</v>
      </c>
      <c r="FP553" s="27" t="s">
        <v>7</v>
      </c>
      <c r="GC553" s="27" t="s">
        <v>8</v>
      </c>
      <c r="GE553" s="27" t="s">
        <v>8</v>
      </c>
      <c r="GF553" s="27" t="s">
        <v>7</v>
      </c>
      <c r="GJ553" s="27" t="s">
        <v>7</v>
      </c>
      <c r="GK553" s="27" t="s">
        <v>8</v>
      </c>
      <c r="GX553" s="27" t="s">
        <v>7</v>
      </c>
      <c r="GY553" s="27" t="s">
        <v>8</v>
      </c>
    </row>
    <row r="554" spans="1:215" x14ac:dyDescent="0.25">
      <c r="A554" s="7">
        <v>1.9222314039431532</v>
      </c>
      <c r="B554"/>
      <c r="C554"/>
      <c r="D554"/>
      <c r="E554" t="s">
        <v>8</v>
      </c>
      <c r="L554" s="27" t="s">
        <v>7</v>
      </c>
      <c r="M554" s="27" t="s">
        <v>8</v>
      </c>
      <c r="N554" s="27" t="s">
        <v>7</v>
      </c>
      <c r="O554" s="27" t="s">
        <v>8</v>
      </c>
      <c r="P554" s="27" t="s">
        <v>7</v>
      </c>
      <c r="Q554" s="27" t="s">
        <v>8</v>
      </c>
      <c r="R554" s="27" t="s">
        <v>7</v>
      </c>
      <c r="S554" s="27" t="s">
        <v>8</v>
      </c>
      <c r="T554" s="27" t="s">
        <v>7</v>
      </c>
      <c r="CE554" s="27" t="s">
        <v>8</v>
      </c>
      <c r="CF554" s="27" t="s">
        <v>7</v>
      </c>
      <c r="CG554" s="27" t="s">
        <v>8</v>
      </c>
      <c r="CH554" s="27" t="s">
        <v>7</v>
      </c>
      <c r="CI554" s="27" t="s">
        <v>8</v>
      </c>
      <c r="CV554" s="27" t="s">
        <v>7</v>
      </c>
      <c r="CW554" s="27" t="s">
        <v>8</v>
      </c>
      <c r="CX554" s="27" t="s">
        <v>7</v>
      </c>
      <c r="CY554" s="27" t="s">
        <v>8</v>
      </c>
      <c r="CZ554" s="27" t="s">
        <v>7</v>
      </c>
      <c r="DA554" s="27" t="s">
        <v>8</v>
      </c>
      <c r="DB554" s="27" t="s">
        <v>7</v>
      </c>
      <c r="ER554" s="27" t="s">
        <v>7</v>
      </c>
      <c r="ES554" s="27" t="s">
        <v>8</v>
      </c>
      <c r="ET554" s="27" t="s">
        <v>7</v>
      </c>
      <c r="EU554" s="27" t="s">
        <v>8</v>
      </c>
      <c r="EV554" s="27" t="s">
        <v>7</v>
      </c>
      <c r="EW554" s="27" t="s">
        <v>8</v>
      </c>
      <c r="EY554" s="27" t="s">
        <v>8</v>
      </c>
      <c r="FF554" s="27" t="s">
        <v>7</v>
      </c>
      <c r="FG554" s="27" t="s">
        <v>8</v>
      </c>
      <c r="FH554" s="27" t="s">
        <v>7</v>
      </c>
      <c r="FO554" s="27" t="s">
        <v>8</v>
      </c>
      <c r="FP554" s="27" t="s">
        <v>7</v>
      </c>
      <c r="GC554" s="27" t="s">
        <v>8</v>
      </c>
      <c r="GD554" s="27" t="s">
        <v>7</v>
      </c>
      <c r="GE554" s="27" t="s">
        <v>8</v>
      </c>
      <c r="GJ554" s="27" t="s">
        <v>7</v>
      </c>
      <c r="GK554" s="27" t="s">
        <v>8</v>
      </c>
      <c r="GX554" s="27" t="s">
        <v>7</v>
      </c>
      <c r="GY554" s="27" t="s">
        <v>8</v>
      </c>
    </row>
    <row r="555" spans="1:215" x14ac:dyDescent="0.25">
      <c r="A555" s="7">
        <v>1.8845405921011305</v>
      </c>
      <c r="B555"/>
      <c r="C555"/>
      <c r="D555"/>
      <c r="E555" t="s">
        <v>8</v>
      </c>
      <c r="L555" s="27" t="s">
        <v>7</v>
      </c>
      <c r="M555" s="27" t="s">
        <v>8</v>
      </c>
      <c r="N555" s="27" t="s">
        <v>7</v>
      </c>
      <c r="O555" s="27" t="s">
        <v>8</v>
      </c>
      <c r="P555" s="27" t="s">
        <v>7</v>
      </c>
      <c r="Q555" s="27" t="s">
        <v>8</v>
      </c>
      <c r="R555" s="27" t="s">
        <v>7</v>
      </c>
      <c r="S555" s="27" t="s">
        <v>8</v>
      </c>
      <c r="T555" s="27" t="s">
        <v>7</v>
      </c>
      <c r="CE555" s="27" t="s">
        <v>8</v>
      </c>
      <c r="CF555" s="27" t="s">
        <v>7</v>
      </c>
      <c r="CG555" s="27" t="s">
        <v>8</v>
      </c>
      <c r="CH555" s="27" t="s">
        <v>7</v>
      </c>
      <c r="CV555" s="27" t="s">
        <v>7</v>
      </c>
      <c r="CW555" s="27" t="s">
        <v>8</v>
      </c>
      <c r="CX555" s="27" t="s">
        <v>7</v>
      </c>
      <c r="CY555" s="27" t="s">
        <v>8</v>
      </c>
      <c r="CZ555" s="27" t="s">
        <v>7</v>
      </c>
      <c r="DA555" s="27" t="s">
        <v>8</v>
      </c>
      <c r="ER555" s="27" t="s">
        <v>7</v>
      </c>
      <c r="ES555" s="27" t="s">
        <v>8</v>
      </c>
      <c r="ET555" s="27" t="s">
        <v>7</v>
      </c>
      <c r="EU555" s="27" t="s">
        <v>8</v>
      </c>
      <c r="EV555" s="27" t="s">
        <v>7</v>
      </c>
      <c r="EW555" s="27" t="s">
        <v>8</v>
      </c>
      <c r="EX555" s="27" t="s">
        <v>7</v>
      </c>
      <c r="EY555" s="27" t="s">
        <v>8</v>
      </c>
      <c r="FF555" s="27" t="s">
        <v>7</v>
      </c>
      <c r="FG555" s="27" t="s">
        <v>8</v>
      </c>
      <c r="FH555" s="27" t="s">
        <v>7</v>
      </c>
      <c r="FM555" s="27" t="s">
        <v>8</v>
      </c>
      <c r="FO555" s="27" t="s">
        <v>8</v>
      </c>
      <c r="FP555" s="27" t="s">
        <v>7</v>
      </c>
      <c r="GC555" s="27" t="s">
        <v>8</v>
      </c>
      <c r="GD555" s="27" t="s">
        <v>7</v>
      </c>
      <c r="GE555" s="27" t="s">
        <v>8</v>
      </c>
      <c r="GJ555" s="27" t="s">
        <v>7</v>
      </c>
      <c r="GK555" s="27" t="s">
        <v>8</v>
      </c>
      <c r="GX555" s="27" t="s">
        <v>7</v>
      </c>
      <c r="GY555" s="27" t="s">
        <v>8</v>
      </c>
    </row>
    <row r="556" spans="1:215" x14ac:dyDescent="0.25">
      <c r="A556" s="7">
        <v>1.8475888157854219</v>
      </c>
      <c r="B556"/>
      <c r="C556"/>
      <c r="D556"/>
      <c r="E556" t="s">
        <v>8</v>
      </c>
      <c r="L556" s="27" t="s">
        <v>7</v>
      </c>
      <c r="M556" s="27" t="s">
        <v>8</v>
      </c>
      <c r="N556" s="27" t="s">
        <v>7</v>
      </c>
      <c r="O556" s="27" t="s">
        <v>8</v>
      </c>
      <c r="P556" s="27" t="s">
        <v>7</v>
      </c>
      <c r="Q556" s="27" t="s">
        <v>8</v>
      </c>
      <c r="R556" s="27" t="s">
        <v>7</v>
      </c>
      <c r="S556" s="27" t="s">
        <v>8</v>
      </c>
      <c r="T556" s="27" t="s">
        <v>7</v>
      </c>
      <c r="CE556" s="27" t="s">
        <v>8</v>
      </c>
      <c r="CF556" s="27" t="s">
        <v>7</v>
      </c>
      <c r="CG556" s="27" t="s">
        <v>8</v>
      </c>
      <c r="CV556" s="27" t="s">
        <v>7</v>
      </c>
      <c r="CW556" s="27" t="s">
        <v>8</v>
      </c>
      <c r="CX556" s="27" t="s">
        <v>7</v>
      </c>
      <c r="CY556" s="27" t="s">
        <v>8</v>
      </c>
      <c r="CZ556" s="27" t="s">
        <v>7</v>
      </c>
      <c r="DA556" s="27" t="s">
        <v>8</v>
      </c>
      <c r="ER556" s="27" t="s">
        <v>7</v>
      </c>
      <c r="ES556" s="27" t="s">
        <v>8</v>
      </c>
      <c r="ET556" s="27" t="s">
        <v>7</v>
      </c>
      <c r="EU556" s="27" t="s">
        <v>8</v>
      </c>
      <c r="EV556" s="27" t="s">
        <v>7</v>
      </c>
      <c r="EW556" s="27" t="s">
        <v>8</v>
      </c>
      <c r="EX556" s="27" t="s">
        <v>7</v>
      </c>
      <c r="EY556" s="27" t="s">
        <v>8</v>
      </c>
      <c r="FF556" s="27" t="s">
        <v>7</v>
      </c>
      <c r="FH556" s="27" t="s">
        <v>7</v>
      </c>
      <c r="FK556" s="27" t="s">
        <v>8</v>
      </c>
      <c r="FM556" s="27" t="s">
        <v>8</v>
      </c>
      <c r="FN556" s="27" t="s">
        <v>7</v>
      </c>
      <c r="FO556" s="27" t="s">
        <v>8</v>
      </c>
      <c r="FP556" s="27" t="s">
        <v>7</v>
      </c>
      <c r="GC556" s="27" t="s">
        <v>8</v>
      </c>
      <c r="GD556" s="27" t="s">
        <v>7</v>
      </c>
      <c r="GE556" s="27" t="s">
        <v>8</v>
      </c>
      <c r="GJ556" s="27" t="s">
        <v>7</v>
      </c>
      <c r="GX556" s="27" t="s">
        <v>7</v>
      </c>
      <c r="GY556" s="27" t="s">
        <v>8</v>
      </c>
    </row>
    <row r="557" spans="1:215" x14ac:dyDescent="0.25">
      <c r="A557" s="7">
        <v>1.8113615841033548</v>
      </c>
      <c r="B557"/>
      <c r="C557"/>
      <c r="D557"/>
      <c r="E557" t="s">
        <v>8</v>
      </c>
      <c r="L557" s="27" t="s">
        <v>7</v>
      </c>
      <c r="M557" s="27" t="s">
        <v>8</v>
      </c>
      <c r="N557" s="27" t="s">
        <v>7</v>
      </c>
      <c r="O557" s="27" t="s">
        <v>8</v>
      </c>
      <c r="P557" s="27" t="s">
        <v>7</v>
      </c>
      <c r="Q557" s="27" t="s">
        <v>8</v>
      </c>
      <c r="R557" s="27" t="s">
        <v>7</v>
      </c>
      <c r="S557" s="27" t="s">
        <v>8</v>
      </c>
      <c r="T557" s="27" t="s">
        <v>7</v>
      </c>
      <c r="CE557" s="27" t="s">
        <v>8</v>
      </c>
      <c r="CF557" s="27" t="s">
        <v>7</v>
      </c>
      <c r="CG557" s="27" t="s">
        <v>8</v>
      </c>
      <c r="CV557" s="27" t="s">
        <v>7</v>
      </c>
      <c r="CW557" s="27" t="s">
        <v>8</v>
      </c>
      <c r="CX557" s="27" t="s">
        <v>7</v>
      </c>
      <c r="CZ557" s="27" t="s">
        <v>7</v>
      </c>
      <c r="DA557" s="27" t="s">
        <v>8</v>
      </c>
      <c r="ER557" s="27" t="s">
        <v>7</v>
      </c>
      <c r="ES557" s="27" t="s">
        <v>8</v>
      </c>
      <c r="ET557" s="27" t="s">
        <v>7</v>
      </c>
      <c r="EU557" s="27" t="s">
        <v>8</v>
      </c>
      <c r="EV557" s="27" t="s">
        <v>7</v>
      </c>
      <c r="EW557" s="27" t="s">
        <v>8</v>
      </c>
      <c r="EX557" s="27" t="s">
        <v>7</v>
      </c>
      <c r="EY557" s="27" t="s">
        <v>8</v>
      </c>
      <c r="FH557" s="27" t="s">
        <v>7</v>
      </c>
      <c r="FK557" s="27" t="s">
        <v>8</v>
      </c>
      <c r="FL557" s="27" t="s">
        <v>7</v>
      </c>
      <c r="FM557" s="27" t="s">
        <v>8</v>
      </c>
      <c r="FN557" s="27" t="s">
        <v>7</v>
      </c>
      <c r="FO557" s="27" t="s">
        <v>8</v>
      </c>
      <c r="FP557" s="27" t="s">
        <v>7</v>
      </c>
      <c r="GC557" s="27" t="s">
        <v>8</v>
      </c>
      <c r="GD557" s="27" t="s">
        <v>7</v>
      </c>
      <c r="GE557" s="27" t="s">
        <v>8</v>
      </c>
      <c r="GX557" s="27" t="s">
        <v>7</v>
      </c>
      <c r="GY557" s="27" t="s">
        <v>8</v>
      </c>
    </row>
    <row r="558" spans="1:215" x14ac:dyDescent="0.25">
      <c r="A558" s="7">
        <v>1.7758446902974065</v>
      </c>
      <c r="B558"/>
      <c r="C558"/>
      <c r="D558"/>
      <c r="E558" t="s">
        <v>8</v>
      </c>
      <c r="L558" s="27" t="s">
        <v>7</v>
      </c>
      <c r="M558" s="27" t="s">
        <v>8</v>
      </c>
      <c r="N558" s="27" t="s">
        <v>7</v>
      </c>
      <c r="P558" s="27" t="s">
        <v>7</v>
      </c>
      <c r="Q558" s="27" t="s">
        <v>8</v>
      </c>
      <c r="R558" s="27" t="s">
        <v>7</v>
      </c>
      <c r="T558" s="27" t="s">
        <v>7</v>
      </c>
      <c r="CC558" s="27" t="s">
        <v>8</v>
      </c>
      <c r="CE558" s="27" t="s">
        <v>8</v>
      </c>
      <c r="CF558" s="27" t="s">
        <v>7</v>
      </c>
      <c r="CG558" s="27" t="s">
        <v>8</v>
      </c>
      <c r="CV558" s="27" t="s">
        <v>7</v>
      </c>
      <c r="CW558" s="27" t="s">
        <v>8</v>
      </c>
      <c r="CZ558" s="27" t="s">
        <v>7</v>
      </c>
      <c r="DA558" s="27" t="s">
        <v>8</v>
      </c>
      <c r="ER558" s="27" t="s">
        <v>7</v>
      </c>
      <c r="ES558" s="27" t="s">
        <v>8</v>
      </c>
      <c r="ET558" s="27" t="s">
        <v>7</v>
      </c>
      <c r="EU558" s="27" t="s">
        <v>8</v>
      </c>
      <c r="EV558" s="27" t="s">
        <v>7</v>
      </c>
      <c r="EW558" s="27" t="s">
        <v>8</v>
      </c>
      <c r="EX558" s="27" t="s">
        <v>7</v>
      </c>
      <c r="EY558" s="27" t="s">
        <v>8</v>
      </c>
      <c r="FH558" s="27" t="s">
        <v>7</v>
      </c>
      <c r="FK558" s="27" t="s">
        <v>8</v>
      </c>
      <c r="FL558" s="27" t="s">
        <v>7</v>
      </c>
      <c r="FM558" s="27" t="s">
        <v>8</v>
      </c>
      <c r="FN558" s="27" t="s">
        <v>7</v>
      </c>
      <c r="FO558" s="27" t="s">
        <v>8</v>
      </c>
      <c r="FP558" s="27" t="s">
        <v>7</v>
      </c>
      <c r="FQ558" s="27" t="s">
        <v>8</v>
      </c>
      <c r="GA558" s="27" t="s">
        <v>8</v>
      </c>
      <c r="GC558" s="27" t="s">
        <v>8</v>
      </c>
      <c r="GD558" s="27" t="s">
        <v>7</v>
      </c>
      <c r="GE558" s="27" t="s">
        <v>8</v>
      </c>
      <c r="GN558" s="31"/>
      <c r="GX558" s="27" t="s">
        <v>7</v>
      </c>
      <c r="GY558" s="27" t="s">
        <v>8</v>
      </c>
    </row>
    <row r="559" spans="1:215" x14ac:dyDescent="0.25">
      <c r="A559" s="7">
        <v>1.7410242061739281</v>
      </c>
      <c r="B559"/>
      <c r="C559"/>
      <c r="D559"/>
      <c r="E559" t="s">
        <v>8</v>
      </c>
      <c r="L559" s="27" t="s">
        <v>7</v>
      </c>
      <c r="M559" s="27" t="s">
        <v>8</v>
      </c>
      <c r="P559" s="27" t="s">
        <v>7</v>
      </c>
      <c r="Q559" s="27" t="s">
        <v>8</v>
      </c>
      <c r="T559" s="27" t="s">
        <v>7</v>
      </c>
      <c r="CC559" s="27" t="s">
        <v>8</v>
      </c>
      <c r="CD559" s="27" t="s">
        <v>7</v>
      </c>
      <c r="CE559" s="27" t="s">
        <v>8</v>
      </c>
      <c r="CF559" s="27" t="s">
        <v>7</v>
      </c>
      <c r="CV559" s="27" t="s">
        <v>7</v>
      </c>
      <c r="CZ559" s="27" t="s">
        <v>7</v>
      </c>
      <c r="DA559" s="27" t="s">
        <v>8</v>
      </c>
      <c r="ER559" s="27" t="s">
        <v>7</v>
      </c>
      <c r="ES559" s="27" t="s">
        <v>8</v>
      </c>
      <c r="ET559" s="27" t="s">
        <v>7</v>
      </c>
      <c r="EU559" s="27" t="s">
        <v>8</v>
      </c>
      <c r="EV559" s="27" t="s">
        <v>7</v>
      </c>
      <c r="EW559" s="27" t="s">
        <v>8</v>
      </c>
      <c r="EX559" s="27" t="s">
        <v>7</v>
      </c>
      <c r="EY559" s="27" t="s">
        <v>8</v>
      </c>
      <c r="FH559" s="27" t="s">
        <v>7</v>
      </c>
      <c r="FK559" s="27" t="s">
        <v>8</v>
      </c>
      <c r="FL559" s="27" t="s">
        <v>7</v>
      </c>
      <c r="FM559" s="27" t="s">
        <v>8</v>
      </c>
      <c r="FN559" s="27" t="s">
        <v>7</v>
      </c>
      <c r="FO559" s="27" t="s">
        <v>8</v>
      </c>
      <c r="FP559" s="27" t="s">
        <v>7</v>
      </c>
      <c r="FQ559" s="27" t="s">
        <v>8</v>
      </c>
      <c r="FR559" s="27" t="s">
        <v>7</v>
      </c>
      <c r="GA559" s="27" t="s">
        <v>8</v>
      </c>
      <c r="GB559" s="27" t="s">
        <v>7</v>
      </c>
      <c r="GC559" s="27" t="s">
        <v>8</v>
      </c>
      <c r="GD559" s="27" t="s">
        <v>7</v>
      </c>
      <c r="GM559" s="31"/>
      <c r="GX559" s="27" t="s">
        <v>7</v>
      </c>
      <c r="GY559" s="27" t="s">
        <v>8</v>
      </c>
    </row>
    <row r="560" spans="1:215" x14ac:dyDescent="0.25">
      <c r="A560" s="7">
        <v>1.7068864766411058</v>
      </c>
      <c r="B560"/>
      <c r="C560"/>
      <c r="D560"/>
      <c r="E560" t="s">
        <v>8</v>
      </c>
      <c r="L560" s="27" t="s">
        <v>7</v>
      </c>
      <c r="M560" s="27" t="s">
        <v>8</v>
      </c>
      <c r="P560" s="27" t="s">
        <v>7</v>
      </c>
      <c r="T560" s="27" t="s">
        <v>7</v>
      </c>
      <c r="CC560" s="27" t="s">
        <v>8</v>
      </c>
      <c r="CD560" s="27" t="s">
        <v>7</v>
      </c>
      <c r="CE560" s="27" t="s">
        <v>8</v>
      </c>
      <c r="CZ560" s="27" t="s">
        <v>7</v>
      </c>
      <c r="DA560" s="27" t="s">
        <v>8</v>
      </c>
      <c r="ER560" s="27" t="s">
        <v>7</v>
      </c>
      <c r="ES560" s="27" t="s">
        <v>8</v>
      </c>
      <c r="ET560" s="27" t="s">
        <v>7</v>
      </c>
      <c r="EU560" s="27" t="s">
        <v>8</v>
      </c>
      <c r="EV560" s="27" t="s">
        <v>7</v>
      </c>
      <c r="EW560" s="27" t="s">
        <v>8</v>
      </c>
      <c r="EX560" s="27" t="s">
        <v>7</v>
      </c>
      <c r="EY560" s="27" t="s">
        <v>8</v>
      </c>
      <c r="FH560" s="27" t="s">
        <v>7</v>
      </c>
      <c r="FI560" s="27" t="s">
        <v>8</v>
      </c>
      <c r="FK560" s="27" t="s">
        <v>8</v>
      </c>
      <c r="FL560" s="27" t="s">
        <v>7</v>
      </c>
      <c r="FM560" s="27" t="s">
        <v>8</v>
      </c>
      <c r="FN560" s="27" t="s">
        <v>7</v>
      </c>
      <c r="FP560" s="27" t="s">
        <v>7</v>
      </c>
      <c r="FQ560" s="27" t="s">
        <v>8</v>
      </c>
      <c r="FR560" s="27" t="s">
        <v>7</v>
      </c>
      <c r="FY560" s="27" t="s">
        <v>8</v>
      </c>
      <c r="GA560" s="27" t="s">
        <v>8</v>
      </c>
      <c r="GB560" s="27" t="s">
        <v>7</v>
      </c>
      <c r="GC560" s="27" t="s">
        <v>8</v>
      </c>
      <c r="GL560" s="31"/>
      <c r="GX560" s="27" t="s">
        <v>7</v>
      </c>
      <c r="GY560" s="27" t="s">
        <v>8</v>
      </c>
    </row>
    <row r="561" spans="1:207" x14ac:dyDescent="0.25">
      <c r="A561" s="7">
        <v>1.6734181143540252</v>
      </c>
      <c r="B561"/>
      <c r="C561"/>
      <c r="D561"/>
      <c r="E561" t="s">
        <v>8</v>
      </c>
      <c r="L561" s="27" t="s">
        <v>7</v>
      </c>
      <c r="M561" s="27" t="s">
        <v>8</v>
      </c>
      <c r="T561" s="27" t="s">
        <v>7</v>
      </c>
      <c r="CC561" s="27" t="s">
        <v>8</v>
      </c>
      <c r="CD561" s="27" t="s">
        <v>7</v>
      </c>
      <c r="CE561" s="27" t="s">
        <v>8</v>
      </c>
      <c r="CZ561" s="27" t="s">
        <v>7</v>
      </c>
      <c r="DA561" s="27" t="s">
        <v>8</v>
      </c>
      <c r="ER561" s="27" t="s">
        <v>7</v>
      </c>
      <c r="ES561" s="27" t="s">
        <v>8</v>
      </c>
      <c r="ET561" s="27" t="s">
        <v>7</v>
      </c>
      <c r="EU561" s="27" t="s">
        <v>8</v>
      </c>
      <c r="EV561" s="27" t="s">
        <v>7</v>
      </c>
      <c r="EW561" s="27" t="s">
        <v>8</v>
      </c>
      <c r="EX561" s="27" t="s">
        <v>7</v>
      </c>
      <c r="EY561" s="27" t="s">
        <v>8</v>
      </c>
      <c r="FH561" s="27" t="s">
        <v>7</v>
      </c>
      <c r="FI561" s="27" t="s">
        <v>8</v>
      </c>
      <c r="FJ561" s="27" t="s">
        <v>7</v>
      </c>
      <c r="FK561" s="27" t="s">
        <v>8</v>
      </c>
      <c r="FL561" s="27" t="s">
        <v>7</v>
      </c>
      <c r="FM561" s="27" t="s">
        <v>8</v>
      </c>
      <c r="FP561" s="33" t="s">
        <v>7</v>
      </c>
      <c r="FR561" s="27" t="s">
        <v>7</v>
      </c>
      <c r="FY561" s="27" t="s">
        <v>8</v>
      </c>
      <c r="FZ561" s="27" t="s">
        <v>7</v>
      </c>
      <c r="GA561" s="27" t="s">
        <v>8</v>
      </c>
      <c r="GB561" s="27" t="s">
        <v>7</v>
      </c>
      <c r="GC561" s="27" t="s">
        <v>8</v>
      </c>
      <c r="GK561" s="31"/>
      <c r="GX561" s="27" t="s">
        <v>7</v>
      </c>
      <c r="GY561" s="27" t="s">
        <v>8</v>
      </c>
    </row>
    <row r="562" spans="1:207" x14ac:dyDescent="0.25">
      <c r="A562" s="7">
        <v>1.6406059944647307</v>
      </c>
      <c r="B562"/>
      <c r="C562"/>
      <c r="D562"/>
      <c r="E562" t="s">
        <v>8</v>
      </c>
      <c r="L562" s="27" t="s">
        <v>7</v>
      </c>
      <c r="M562" s="27" t="s">
        <v>8</v>
      </c>
      <c r="T562" s="27" t="s">
        <v>7</v>
      </c>
      <c r="W562" s="27" t="s">
        <v>8</v>
      </c>
      <c r="CC562" s="27" t="s">
        <v>8</v>
      </c>
      <c r="CD562" s="27" t="s">
        <v>7</v>
      </c>
      <c r="CE562" s="27" t="s">
        <v>8</v>
      </c>
      <c r="CZ562" s="27" t="s">
        <v>7</v>
      </c>
      <c r="ER562" s="27" t="s">
        <v>7</v>
      </c>
      <c r="ES562" s="27" t="s">
        <v>8</v>
      </c>
      <c r="ET562" s="27" t="s">
        <v>7</v>
      </c>
      <c r="EU562" s="27" t="s">
        <v>8</v>
      </c>
      <c r="EV562" s="27" t="s">
        <v>7</v>
      </c>
      <c r="EW562" s="27" t="s">
        <v>8</v>
      </c>
      <c r="EX562" s="27" t="s">
        <v>7</v>
      </c>
      <c r="EY562" s="27" t="s">
        <v>8</v>
      </c>
      <c r="FH562" s="27" t="s">
        <v>7</v>
      </c>
      <c r="FI562" s="27" t="s">
        <v>8</v>
      </c>
      <c r="FJ562" s="27" t="s">
        <v>7</v>
      </c>
      <c r="FK562" s="27" t="s">
        <v>8</v>
      </c>
      <c r="FL562" s="27" t="s">
        <v>7</v>
      </c>
      <c r="FM562" s="27" t="s">
        <v>8</v>
      </c>
      <c r="FR562" s="27" t="s">
        <v>7</v>
      </c>
      <c r="FS562" s="27" t="s">
        <v>8</v>
      </c>
      <c r="FY562" s="27" t="s">
        <v>8</v>
      </c>
      <c r="FZ562" s="27" t="s">
        <v>7</v>
      </c>
      <c r="GA562" s="27" t="s">
        <v>8</v>
      </c>
      <c r="GB562" s="27" t="s">
        <v>7</v>
      </c>
      <c r="GC562" s="27" t="s">
        <v>8</v>
      </c>
      <c r="GJ562" s="31"/>
      <c r="GX562" s="27" t="s">
        <v>7</v>
      </c>
    </row>
    <row r="563" spans="1:207" x14ac:dyDescent="0.25">
      <c r="A563" s="7">
        <v>1.6084372494752261</v>
      </c>
      <c r="B563"/>
      <c r="C563"/>
      <c r="D563"/>
      <c r="E563" t="s">
        <v>8</v>
      </c>
      <c r="L563" s="27" t="s">
        <v>7</v>
      </c>
      <c r="M563" s="27" t="s">
        <v>8</v>
      </c>
      <c r="T563" s="27" t="s">
        <v>7</v>
      </c>
      <c r="W563" s="27" t="s">
        <v>8</v>
      </c>
      <c r="X563" s="27" t="s">
        <v>7</v>
      </c>
      <c r="CC563" s="27" t="s">
        <v>8</v>
      </c>
      <c r="CD563" s="27" t="s">
        <v>7</v>
      </c>
      <c r="CE563" s="27" t="s">
        <v>8</v>
      </c>
      <c r="ER563" s="27" t="s">
        <v>7</v>
      </c>
      <c r="ES563" s="27" t="s">
        <v>8</v>
      </c>
      <c r="ET563" s="27" t="s">
        <v>7</v>
      </c>
      <c r="EU563" s="27" t="s">
        <v>8</v>
      </c>
      <c r="EV563" s="27" t="s">
        <v>7</v>
      </c>
      <c r="EW563" s="27" t="s">
        <v>8</v>
      </c>
      <c r="EX563" s="27" t="s">
        <v>7</v>
      </c>
      <c r="EY563" s="27" t="s">
        <v>8</v>
      </c>
      <c r="FH563" s="27" t="s">
        <v>7</v>
      </c>
      <c r="FI563" s="27" t="s">
        <v>8</v>
      </c>
      <c r="FJ563" s="27" t="s">
        <v>7</v>
      </c>
      <c r="FK563" s="27" t="s">
        <v>8</v>
      </c>
      <c r="FL563" s="27" t="s">
        <v>7</v>
      </c>
      <c r="FM563" s="27" t="s">
        <v>8</v>
      </c>
      <c r="FR563" s="27" t="s">
        <v>7</v>
      </c>
      <c r="FS563" s="27" t="s">
        <v>8</v>
      </c>
      <c r="FT563" s="27" t="s">
        <v>7</v>
      </c>
      <c r="FW563" s="27" t="s">
        <v>8</v>
      </c>
      <c r="FY563" s="27" t="s">
        <v>8</v>
      </c>
      <c r="FZ563" s="27" t="s">
        <v>7</v>
      </c>
      <c r="GA563" s="27" t="s">
        <v>8</v>
      </c>
      <c r="GB563" s="27" t="s">
        <v>7</v>
      </c>
      <c r="GC563" s="27" t="s">
        <v>8</v>
      </c>
      <c r="GI563" s="31"/>
    </row>
    <row r="564" spans="1:207" x14ac:dyDescent="0.25">
      <c r="A564" s="7">
        <v>1.5768992641913981</v>
      </c>
      <c r="B564"/>
      <c r="C564"/>
      <c r="D564"/>
      <c r="E564" t="s">
        <v>8</v>
      </c>
      <c r="L564" s="27" t="s">
        <v>7</v>
      </c>
      <c r="M564" s="27" t="s">
        <v>8</v>
      </c>
      <c r="T564" s="27" t="s">
        <v>7</v>
      </c>
      <c r="W564" s="27" t="s">
        <v>8</v>
      </c>
      <c r="X564" s="27" t="s">
        <v>7</v>
      </c>
      <c r="CC564" s="27" t="s">
        <v>8</v>
      </c>
      <c r="CD564" s="27" t="s">
        <v>7</v>
      </c>
      <c r="CE564" s="27" t="s">
        <v>8</v>
      </c>
      <c r="ER564" s="27" t="s">
        <v>7</v>
      </c>
      <c r="ES564" s="27" t="s">
        <v>8</v>
      </c>
      <c r="ET564" s="27" t="s">
        <v>7</v>
      </c>
      <c r="EU564" s="27" t="s">
        <v>8</v>
      </c>
      <c r="EV564" s="27" t="s">
        <v>7</v>
      </c>
      <c r="EW564" s="27" t="s">
        <v>8</v>
      </c>
      <c r="EX564" s="27" t="s">
        <v>7</v>
      </c>
      <c r="EY564" s="27" t="s">
        <v>8</v>
      </c>
      <c r="FH564" s="27" t="s">
        <v>7</v>
      </c>
      <c r="FI564" s="27" t="s">
        <v>8</v>
      </c>
      <c r="FJ564" s="27" t="s">
        <v>7</v>
      </c>
      <c r="FK564" s="27" t="s">
        <v>8</v>
      </c>
      <c r="FL564" s="27" t="s">
        <v>7</v>
      </c>
      <c r="FR564" s="27" t="s">
        <v>7</v>
      </c>
      <c r="FS564" s="27" t="s">
        <v>8</v>
      </c>
      <c r="FT564" s="27" t="s">
        <v>7</v>
      </c>
      <c r="FW564" s="27" t="s">
        <v>8</v>
      </c>
      <c r="FX564" s="27" t="s">
        <v>7</v>
      </c>
      <c r="FY564" s="27" t="s">
        <v>8</v>
      </c>
      <c r="FZ564" s="27" t="s">
        <v>7</v>
      </c>
      <c r="GA564" s="27" t="s">
        <v>8</v>
      </c>
      <c r="GB564" s="27" t="s">
        <v>7</v>
      </c>
      <c r="GC564" s="27" t="s">
        <v>8</v>
      </c>
      <c r="GH564" s="31"/>
    </row>
    <row r="565" spans="1:207" x14ac:dyDescent="0.25">
      <c r="A565" s="7">
        <v>1.5459796707758806</v>
      </c>
      <c r="B565"/>
      <c r="C565"/>
      <c r="D565"/>
      <c r="E565" t="s">
        <v>8</v>
      </c>
      <c r="L565" s="27" t="s">
        <v>7</v>
      </c>
      <c r="M565" s="27" t="s">
        <v>8</v>
      </c>
      <c r="T565" s="27" t="s">
        <v>7</v>
      </c>
      <c r="W565" s="27" t="s">
        <v>8</v>
      </c>
      <c r="X565" s="27" t="s">
        <v>7</v>
      </c>
      <c r="CC565" s="27" t="s">
        <v>8</v>
      </c>
      <c r="CD565" s="27" t="s">
        <v>7</v>
      </c>
      <c r="CE565" s="27" t="s">
        <v>8</v>
      </c>
      <c r="ER565" s="27" t="s">
        <v>7</v>
      </c>
      <c r="ES565" s="27" t="s">
        <v>8</v>
      </c>
      <c r="ET565" s="27" t="s">
        <v>7</v>
      </c>
      <c r="EV565" s="27" t="s">
        <v>7</v>
      </c>
      <c r="EW565" s="27" t="s">
        <v>8</v>
      </c>
      <c r="EX565" s="27" t="s">
        <v>7</v>
      </c>
      <c r="EY565" s="27" t="s">
        <v>8</v>
      </c>
      <c r="FH565" s="27" t="s">
        <v>7</v>
      </c>
      <c r="FI565" s="27" t="s">
        <v>8</v>
      </c>
      <c r="FJ565" s="27" t="s">
        <v>7</v>
      </c>
      <c r="FK565" s="27" t="s">
        <v>8</v>
      </c>
      <c r="FR565" s="27" t="s">
        <v>7</v>
      </c>
      <c r="FS565" s="27" t="s">
        <v>8</v>
      </c>
      <c r="FT565" s="27" t="s">
        <v>7</v>
      </c>
      <c r="FW565" s="27" t="s">
        <v>8</v>
      </c>
      <c r="FX565" s="27" t="s">
        <v>7</v>
      </c>
      <c r="FY565" s="27" t="s">
        <v>8</v>
      </c>
      <c r="FZ565" s="27" t="s">
        <v>7</v>
      </c>
      <c r="GA565" s="27" t="s">
        <v>8</v>
      </c>
      <c r="GB565" s="27" t="s">
        <v>7</v>
      </c>
      <c r="GG565" s="31"/>
    </row>
    <row r="566" spans="1:207" x14ac:dyDescent="0.25">
      <c r="A566" s="7">
        <v>1.5156663438979221</v>
      </c>
      <c r="B566"/>
      <c r="C566"/>
      <c r="D566"/>
      <c r="E566" t="s">
        <v>8</v>
      </c>
      <c r="L566" s="27" t="s">
        <v>7</v>
      </c>
      <c r="T566" s="27" t="s">
        <v>7</v>
      </c>
      <c r="W566" s="27" t="s">
        <v>8</v>
      </c>
      <c r="X566" s="27" t="s">
        <v>7</v>
      </c>
      <c r="CC566" s="27" t="s">
        <v>8</v>
      </c>
      <c r="CD566" s="27" t="s">
        <v>7</v>
      </c>
      <c r="CE566" s="27" t="s">
        <v>8</v>
      </c>
      <c r="ER566" s="27" t="s">
        <v>7</v>
      </c>
      <c r="EV566" s="27" t="s">
        <v>7</v>
      </c>
      <c r="EW566" s="27" t="s">
        <v>8</v>
      </c>
      <c r="EX566" s="27" t="s">
        <v>7</v>
      </c>
      <c r="EY566" s="27" t="s">
        <v>8</v>
      </c>
      <c r="FH566" s="27" t="s">
        <v>7</v>
      </c>
      <c r="FI566" s="27" t="s">
        <v>8</v>
      </c>
      <c r="FJ566" s="27" t="s">
        <v>7</v>
      </c>
      <c r="FK566" s="27" t="s">
        <v>8</v>
      </c>
      <c r="FR566" s="27" t="s">
        <v>7</v>
      </c>
      <c r="FT566" s="27" t="s">
        <v>7</v>
      </c>
      <c r="FW566" s="27" t="s">
        <v>8</v>
      </c>
      <c r="FX566" s="27" t="s">
        <v>7</v>
      </c>
      <c r="FY566" s="27" t="s">
        <v>8</v>
      </c>
      <c r="FZ566" s="27" t="s">
        <v>7</v>
      </c>
      <c r="GA566" s="27" t="s">
        <v>8</v>
      </c>
      <c r="GF566" s="31"/>
    </row>
    <row r="567" spans="1:207" x14ac:dyDescent="0.25">
      <c r="A567" s="7">
        <v>1.4859473959783549</v>
      </c>
      <c r="B567"/>
      <c r="C567"/>
      <c r="D567"/>
      <c r="E567" t="s">
        <v>8</v>
      </c>
      <c r="T567" s="27" t="s">
        <v>7</v>
      </c>
      <c r="W567" s="27" t="s">
        <v>8</v>
      </c>
      <c r="X567" s="27" t="s">
        <v>7</v>
      </c>
      <c r="CC567" s="27" t="s">
        <v>8</v>
      </c>
      <c r="CD567" s="27" t="s">
        <v>7</v>
      </c>
      <c r="CE567" s="27" t="s">
        <v>8</v>
      </c>
      <c r="EV567" s="27" t="s">
        <v>7</v>
      </c>
      <c r="EW567" s="27" t="s">
        <v>8</v>
      </c>
      <c r="EX567" s="27" t="s">
        <v>7</v>
      </c>
      <c r="FH567" s="27" t="s">
        <v>7</v>
      </c>
      <c r="FI567" s="27" t="s">
        <v>8</v>
      </c>
      <c r="FJ567" s="27" t="s">
        <v>7</v>
      </c>
      <c r="FK567" s="27" t="s">
        <v>8</v>
      </c>
      <c r="FT567" s="27" t="s">
        <v>7</v>
      </c>
      <c r="FU567" s="27" t="s">
        <v>8</v>
      </c>
      <c r="FW567" s="34" t="s">
        <v>8</v>
      </c>
      <c r="FX567" s="27" t="s">
        <v>7</v>
      </c>
      <c r="FZ567" s="27" t="s">
        <v>7</v>
      </c>
      <c r="GE567" s="31"/>
    </row>
    <row r="568" spans="1:207" x14ac:dyDescent="0.25">
      <c r="A568" s="7">
        <v>1.4568111725277988</v>
      </c>
      <c r="B568"/>
      <c r="C568"/>
      <c r="D568"/>
      <c r="E568" t="s">
        <v>8</v>
      </c>
      <c r="T568" s="27" t="s">
        <v>7</v>
      </c>
      <c r="W568" s="27" t="s">
        <v>8</v>
      </c>
      <c r="X568" s="27" t="s">
        <v>7</v>
      </c>
      <c r="CC568" s="27" t="s">
        <v>8</v>
      </c>
      <c r="CD568" s="27" t="s">
        <v>7</v>
      </c>
      <c r="CE568" s="27" t="s">
        <v>8</v>
      </c>
      <c r="EV568" s="27" t="s">
        <v>7</v>
      </c>
      <c r="EW568" s="27" t="s">
        <v>8</v>
      </c>
      <c r="FH568" s="27" t="s">
        <v>7</v>
      </c>
      <c r="FI568" s="27" t="s">
        <v>8</v>
      </c>
      <c r="FJ568" s="27" t="s">
        <v>7</v>
      </c>
      <c r="FK568" s="27" t="s">
        <v>8</v>
      </c>
      <c r="FT568" s="27" t="s">
        <v>7</v>
      </c>
      <c r="FU568" s="27" t="s">
        <v>8</v>
      </c>
      <c r="FV568" s="27" t="s">
        <v>7</v>
      </c>
      <c r="FW568" s="27" t="s">
        <v>8</v>
      </c>
      <c r="GD568" s="31"/>
    </row>
    <row r="569" spans="1:207" x14ac:dyDescent="0.25">
      <c r="A569" s="7">
        <v>1.4282462475762734</v>
      </c>
      <c r="B569"/>
      <c r="C569"/>
      <c r="D569"/>
      <c r="E569" t="s">
        <v>8</v>
      </c>
      <c r="T569" s="27" t="s">
        <v>7</v>
      </c>
      <c r="U569" s="27" t="s">
        <v>8</v>
      </c>
      <c r="W569" s="27" t="s">
        <v>8</v>
      </c>
      <c r="X569" s="27" t="s">
        <v>7</v>
      </c>
      <c r="CC569" s="27" t="s">
        <v>8</v>
      </c>
      <c r="CD569" s="27" t="s">
        <v>7</v>
      </c>
      <c r="CE569" s="27" t="s">
        <v>8</v>
      </c>
      <c r="EV569" s="27" t="s">
        <v>7</v>
      </c>
      <c r="EW569" s="27" t="s">
        <v>8</v>
      </c>
      <c r="FH569" s="27" t="s">
        <v>7</v>
      </c>
      <c r="FI569" s="27" t="s">
        <v>8</v>
      </c>
      <c r="FJ569" s="27" t="s">
        <v>7</v>
      </c>
      <c r="FK569" s="27" t="s">
        <v>8</v>
      </c>
      <c r="FT569" s="27" t="s">
        <v>7</v>
      </c>
      <c r="FU569" s="27" t="s">
        <v>8</v>
      </c>
      <c r="FV569" s="27" t="s">
        <v>7</v>
      </c>
      <c r="FW569" s="27" t="s">
        <v>8</v>
      </c>
      <c r="GC569" s="31"/>
    </row>
    <row r="570" spans="1:207" x14ac:dyDescent="0.25">
      <c r="A570" s="7">
        <v>1.4002414191924248</v>
      </c>
      <c r="B570"/>
      <c r="C570"/>
      <c r="D570"/>
      <c r="E570" t="s">
        <v>8</v>
      </c>
      <c r="T570" s="27" t="s">
        <v>7</v>
      </c>
      <c r="U570" s="27" t="s">
        <v>8</v>
      </c>
      <c r="V570" s="27" t="s">
        <v>7</v>
      </c>
      <c r="W570" s="27" t="s">
        <v>8</v>
      </c>
      <c r="X570" s="27" t="s">
        <v>7</v>
      </c>
      <c r="CC570" s="27" t="s">
        <v>8</v>
      </c>
      <c r="CD570" s="27" t="s">
        <v>7</v>
      </c>
      <c r="CE570" s="27" t="s">
        <v>8</v>
      </c>
      <c r="EV570" s="27" t="s">
        <v>7</v>
      </c>
      <c r="EW570" s="27" t="s">
        <v>8</v>
      </c>
      <c r="FH570" s="27" t="s">
        <v>7</v>
      </c>
      <c r="FI570" s="27" t="s">
        <v>8</v>
      </c>
      <c r="FJ570" s="27" t="s">
        <v>7</v>
      </c>
      <c r="FK570" s="27" t="s">
        <v>8</v>
      </c>
      <c r="FT570" s="27" t="s">
        <v>7</v>
      </c>
      <c r="FV570" s="27" t="s">
        <v>7</v>
      </c>
      <c r="FW570" s="27" t="s">
        <v>8</v>
      </c>
      <c r="GB570" s="31"/>
    </row>
    <row r="571" spans="1:207" x14ac:dyDescent="0.25">
      <c r="A571" s="7">
        <v>1.3727857050906125</v>
      </c>
      <c r="B571"/>
      <c r="C571"/>
      <c r="D571"/>
      <c r="E571" t="s">
        <v>8</v>
      </c>
      <c r="T571" s="27" t="s">
        <v>7</v>
      </c>
      <c r="U571" s="27" t="s">
        <v>8</v>
      </c>
      <c r="V571" s="27" t="s">
        <v>7</v>
      </c>
      <c r="W571" s="27" t="s">
        <v>8</v>
      </c>
      <c r="X571" s="27" t="s">
        <v>7</v>
      </c>
      <c r="CC571" s="27" t="s">
        <v>8</v>
      </c>
      <c r="CD571" s="27" t="s">
        <v>7</v>
      </c>
      <c r="CE571" s="27" t="s">
        <v>8</v>
      </c>
      <c r="EV571" s="27" t="s">
        <v>7</v>
      </c>
      <c r="EW571" s="27" t="s">
        <v>8</v>
      </c>
      <c r="FH571" s="27" t="s">
        <v>7</v>
      </c>
      <c r="FI571" s="27" t="s">
        <v>8</v>
      </c>
      <c r="FJ571" s="27" t="s">
        <v>7</v>
      </c>
      <c r="FV571" s="27" t="s">
        <v>7</v>
      </c>
      <c r="FW571" s="27" t="s">
        <v>8</v>
      </c>
      <c r="GA571" s="31"/>
    </row>
    <row r="572" spans="1:207" x14ac:dyDescent="0.25">
      <c r="A572" s="7">
        <v>1.3458683383241299</v>
      </c>
      <c r="B572"/>
      <c r="C572"/>
      <c r="D572"/>
      <c r="E572" t="s">
        <v>8</v>
      </c>
      <c r="T572" s="27" t="s">
        <v>7</v>
      </c>
      <c r="U572" s="27" t="s">
        <v>8</v>
      </c>
      <c r="V572" s="27" t="s">
        <v>7</v>
      </c>
      <c r="W572" s="27" t="s">
        <v>8</v>
      </c>
      <c r="X572" s="27" t="s">
        <v>7</v>
      </c>
      <c r="CC572" s="27" t="s">
        <v>8</v>
      </c>
      <c r="CD572" s="27" t="s">
        <v>7</v>
      </c>
      <c r="CE572" s="27" t="s">
        <v>8</v>
      </c>
      <c r="EV572" s="27" t="s">
        <v>7</v>
      </c>
      <c r="EW572" s="27" t="s">
        <v>8</v>
      </c>
      <c r="FH572" s="27" t="s">
        <v>7</v>
      </c>
      <c r="FI572" s="27" t="s">
        <v>8</v>
      </c>
      <c r="FV572" s="18" t="s">
        <v>7</v>
      </c>
      <c r="FW572" s="27" t="s">
        <v>8</v>
      </c>
      <c r="FZ572" s="31"/>
    </row>
    <row r="573" spans="1:207" x14ac:dyDescent="0.25">
      <c r="A573" s="7">
        <v>1.3194787630628724</v>
      </c>
      <c r="B573"/>
      <c r="C573"/>
      <c r="D573"/>
      <c r="E573" t="s">
        <v>8</v>
      </c>
      <c r="T573" s="27" t="s">
        <v>7</v>
      </c>
      <c r="U573" s="27" t="s">
        <v>8</v>
      </c>
      <c r="V573" s="27" t="s">
        <v>7</v>
      </c>
      <c r="W573" s="27" t="s">
        <v>8</v>
      </c>
      <c r="X573" s="27" t="s">
        <v>7</v>
      </c>
      <c r="CC573" s="27" t="s">
        <v>8</v>
      </c>
      <c r="CD573" s="27" t="s">
        <v>7</v>
      </c>
      <c r="CE573" s="27" t="s">
        <v>8</v>
      </c>
      <c r="EV573" s="27" t="s">
        <v>7</v>
      </c>
      <c r="EW573" s="27" t="s">
        <v>8</v>
      </c>
      <c r="FH573" s="27" t="s">
        <v>7</v>
      </c>
      <c r="FI573" s="27" t="s">
        <v>8</v>
      </c>
      <c r="FV573" s="27" t="s">
        <v>7</v>
      </c>
      <c r="FW573" s="27" t="s">
        <v>8</v>
      </c>
      <c r="FY573" s="31"/>
    </row>
    <row r="574" spans="1:207" x14ac:dyDescent="0.25">
      <c r="A574" s="7">
        <v>1.2936066304537963</v>
      </c>
      <c r="B574"/>
      <c r="C574"/>
      <c r="D574"/>
      <c r="E574" t="s">
        <v>8</v>
      </c>
      <c r="T574" s="27" t="s">
        <v>7</v>
      </c>
      <c r="U574" s="27" t="s">
        <v>8</v>
      </c>
      <c r="V574" s="27" t="s">
        <v>7</v>
      </c>
      <c r="W574" s="27" t="s">
        <v>8</v>
      </c>
      <c r="X574" s="27" t="s">
        <v>7</v>
      </c>
      <c r="CC574" s="27" t="s">
        <v>8</v>
      </c>
      <c r="CD574" s="27" t="s">
        <v>7</v>
      </c>
      <c r="CE574" s="27" t="s">
        <v>8</v>
      </c>
      <c r="EV574" s="27" t="s">
        <v>7</v>
      </c>
      <c r="EW574" s="27" t="s">
        <v>8</v>
      </c>
      <c r="FH574" s="27" t="s">
        <v>7</v>
      </c>
      <c r="FI574" s="27" t="s">
        <v>8</v>
      </c>
      <c r="FV574" s="27" t="s">
        <v>7</v>
      </c>
      <c r="FW574" s="27" t="s">
        <v>8</v>
      </c>
      <c r="FX574" s="31"/>
    </row>
    <row r="575" spans="1:207" x14ac:dyDescent="0.25">
      <c r="A575" s="7">
        <v>1.2682417945625455</v>
      </c>
      <c r="B575"/>
      <c r="C575"/>
      <c r="D575"/>
      <c r="E575" t="s">
        <v>8</v>
      </c>
      <c r="T575" s="27" t="s">
        <v>7</v>
      </c>
      <c r="U575" s="27" t="s">
        <v>8</v>
      </c>
      <c r="V575" s="27" t="s">
        <v>7</v>
      </c>
      <c r="W575" s="27" t="s">
        <v>8</v>
      </c>
      <c r="X575" s="27" t="s">
        <v>7</v>
      </c>
      <c r="CC575" s="27" t="s">
        <v>8</v>
      </c>
      <c r="CD575" s="27" t="s">
        <v>7</v>
      </c>
      <c r="EV575" s="27" t="s">
        <v>7</v>
      </c>
      <c r="EW575" s="27" t="s">
        <v>8</v>
      </c>
      <c r="FH575" s="27" t="s">
        <v>7</v>
      </c>
      <c r="FI575" s="27" t="s">
        <v>8</v>
      </c>
      <c r="FV575" s="27" t="s">
        <v>7</v>
      </c>
      <c r="FW575" s="31" t="s">
        <v>8</v>
      </c>
    </row>
    <row r="576" spans="1:207" x14ac:dyDescent="0.25">
      <c r="A576" s="7">
        <v>1.2433743083946525</v>
      </c>
      <c r="B576"/>
      <c r="C576"/>
      <c r="D576"/>
      <c r="E576" t="s">
        <v>8</v>
      </c>
      <c r="T576" s="27" t="s">
        <v>7</v>
      </c>
      <c r="U576" s="27" t="s">
        <v>8</v>
      </c>
      <c r="V576" s="27" t="s">
        <v>7</v>
      </c>
      <c r="X576" s="27" t="s">
        <v>7</v>
      </c>
      <c r="CC576" s="27" t="s">
        <v>8</v>
      </c>
      <c r="EV576" s="27" t="s">
        <v>7</v>
      </c>
      <c r="EW576" s="27" t="s">
        <v>8</v>
      </c>
      <c r="FH576" s="27" t="s">
        <v>7</v>
      </c>
      <c r="FI576" s="27" t="s">
        <v>8</v>
      </c>
      <c r="FV576" s="31" t="s">
        <v>7</v>
      </c>
    </row>
    <row r="577" spans="1:164" x14ac:dyDescent="0.25">
      <c r="A577" s="7">
        <v>1.2189944199947573</v>
      </c>
      <c r="B577"/>
      <c r="C577"/>
      <c r="D577"/>
      <c r="E577" t="s">
        <v>8</v>
      </c>
      <c r="T577" s="27" t="s">
        <v>7</v>
      </c>
      <c r="X577" s="27" t="s">
        <v>7</v>
      </c>
      <c r="CC577" s="27" t="s">
        <v>8</v>
      </c>
      <c r="EV577" s="27" t="s">
        <v>7</v>
      </c>
      <c r="EW577" s="27" t="s">
        <v>8</v>
      </c>
      <c r="FH577" s="27" t="s">
        <v>7</v>
      </c>
    </row>
    <row r="578" spans="1:164" x14ac:dyDescent="0.25">
      <c r="A578" s="7">
        <v>1.1950925686223111</v>
      </c>
      <c r="B578"/>
      <c r="C578"/>
      <c r="D578"/>
      <c r="E578" t="s">
        <v>8</v>
      </c>
      <c r="X578" s="27" t="s">
        <v>7</v>
      </c>
      <c r="CC578" s="27" t="s">
        <v>8</v>
      </c>
      <c r="EV578" s="27" t="s">
        <v>7</v>
      </c>
      <c r="EW578" s="27" t="s">
        <v>8</v>
      </c>
    </row>
    <row r="579" spans="1:164" x14ac:dyDescent="0.25">
      <c r="A579" s="7">
        <v>1.1716593810022657</v>
      </c>
      <c r="B579"/>
      <c r="C579"/>
      <c r="D579"/>
      <c r="E579" t="s">
        <v>8</v>
      </c>
      <c r="X579" s="27" t="s">
        <v>7</v>
      </c>
      <c r="CC579" s="27" t="s">
        <v>8</v>
      </c>
      <c r="EV579" s="27" t="s">
        <v>7</v>
      </c>
      <c r="EW579" s="27" t="s">
        <v>8</v>
      </c>
    </row>
    <row r="580" spans="1:164" x14ac:dyDescent="0.25">
      <c r="A580" s="7">
        <v>1.14868566764928</v>
      </c>
      <c r="B580"/>
      <c r="C580"/>
      <c r="D580"/>
      <c r="E580" t="s">
        <v>8</v>
      </c>
      <c r="X580" s="27" t="s">
        <v>7</v>
      </c>
      <c r="CC580" s="27" t="s">
        <v>8</v>
      </c>
      <c r="EV580" s="27" t="s">
        <v>7</v>
      </c>
      <c r="EW580" s="27" t="s">
        <v>8</v>
      </c>
    </row>
    <row r="581" spans="1:164" x14ac:dyDescent="0.25">
      <c r="A581" s="7">
        <v>1.1261624192640001</v>
      </c>
      <c r="B581"/>
      <c r="C581"/>
      <c r="D581"/>
      <c r="E581" t="s">
        <v>8</v>
      </c>
      <c r="X581" s="27" t="s">
        <v>7</v>
      </c>
      <c r="Y581" s="27" t="s">
        <v>8</v>
      </c>
      <c r="CC581" s="27" t="s">
        <v>8</v>
      </c>
      <c r="EV581" s="27" t="s">
        <v>7</v>
      </c>
      <c r="EW581" s="27" t="s">
        <v>8</v>
      </c>
    </row>
    <row r="582" spans="1:164" x14ac:dyDescent="0.25">
      <c r="A582" s="7">
        <v>1.1040808032</v>
      </c>
      <c r="B582"/>
      <c r="C582"/>
      <c r="D582"/>
      <c r="E582" t="s">
        <v>8</v>
      </c>
      <c r="X582" s="27" t="s">
        <v>7</v>
      </c>
      <c r="Y582" s="27" t="s">
        <v>8</v>
      </c>
      <c r="Z582" s="27" t="s">
        <v>7</v>
      </c>
      <c r="CC582" s="27" t="s">
        <v>8</v>
      </c>
      <c r="EV582" s="27" t="s">
        <v>7</v>
      </c>
      <c r="EW582" s="27" t="s">
        <v>8</v>
      </c>
    </row>
    <row r="583" spans="1:164" x14ac:dyDescent="0.25">
      <c r="A583" s="7">
        <v>1.08243216</v>
      </c>
      <c r="B583"/>
      <c r="C583"/>
      <c r="D583"/>
      <c r="E583" t="s">
        <v>8</v>
      </c>
      <c r="X583" s="27" t="s">
        <v>7</v>
      </c>
      <c r="Y583" s="27" t="s">
        <v>8</v>
      </c>
      <c r="Z583" s="27" t="s">
        <v>7</v>
      </c>
      <c r="AA583" s="27" t="s">
        <v>8</v>
      </c>
      <c r="CC583" s="27" t="s">
        <v>8</v>
      </c>
      <c r="EV583" s="27" t="s">
        <v>7</v>
      </c>
      <c r="EW583" s="27" t="s">
        <v>8</v>
      </c>
    </row>
    <row r="584" spans="1:164" x14ac:dyDescent="0.25">
      <c r="A584" s="7">
        <v>1.0612079999999999</v>
      </c>
      <c r="B584"/>
      <c r="C584"/>
      <c r="D584"/>
      <c r="E584" t="s">
        <v>8</v>
      </c>
      <c r="X584" s="27" t="s">
        <v>7</v>
      </c>
      <c r="Y584" s="27" t="s">
        <v>8</v>
      </c>
      <c r="Z584" s="27" t="s">
        <v>7</v>
      </c>
      <c r="AA584" s="27" t="s">
        <v>8</v>
      </c>
      <c r="AB584" s="27" t="s">
        <v>7</v>
      </c>
      <c r="CC584" s="27" t="s">
        <v>8</v>
      </c>
      <c r="EV584" s="27" t="s">
        <v>7</v>
      </c>
    </row>
    <row r="585" spans="1:164" x14ac:dyDescent="0.25">
      <c r="A585" s="7">
        <v>1.0404</v>
      </c>
      <c r="B585"/>
      <c r="C585"/>
      <c r="D585"/>
      <c r="E585" t="s">
        <v>8</v>
      </c>
      <c r="X585" s="27" t="s">
        <v>7</v>
      </c>
      <c r="Y585" s="27" t="s">
        <v>8</v>
      </c>
      <c r="Z585" s="27" t="s">
        <v>7</v>
      </c>
      <c r="AA585" s="27" t="s">
        <v>8</v>
      </c>
      <c r="AB585" s="27" t="s">
        <v>7</v>
      </c>
      <c r="CC585" s="27" t="s">
        <v>8</v>
      </c>
    </row>
    <row r="586" spans="1:164" x14ac:dyDescent="0.25">
      <c r="A586" s="7">
        <v>1.02</v>
      </c>
      <c r="B586"/>
      <c r="C586"/>
      <c r="D586"/>
      <c r="E586" t="s">
        <v>8</v>
      </c>
      <c r="X586" s="27" t="s">
        <v>7</v>
      </c>
      <c r="Y586" s="27" t="s">
        <v>8</v>
      </c>
      <c r="Z586" s="27" t="s">
        <v>7</v>
      </c>
      <c r="AA586" s="27" t="s">
        <v>8</v>
      </c>
      <c r="AB586" s="27" t="s">
        <v>7</v>
      </c>
      <c r="CC586" s="27" t="s">
        <v>8</v>
      </c>
    </row>
    <row r="587" spans="1:164" x14ac:dyDescent="0.25">
      <c r="A587" s="7">
        <v>1</v>
      </c>
      <c r="B587"/>
      <c r="C587"/>
      <c r="D587"/>
      <c r="E587" s="29" t="s">
        <v>8</v>
      </c>
      <c r="X587" s="27" t="s">
        <v>7</v>
      </c>
      <c r="Y587" s="27" t="s">
        <v>8</v>
      </c>
      <c r="Z587" s="27" t="s">
        <v>7</v>
      </c>
      <c r="AA587" s="27" t="s">
        <v>8</v>
      </c>
      <c r="AB587" s="27" t="s">
        <v>7</v>
      </c>
      <c r="CC587" s="27" t="s">
        <v>8</v>
      </c>
    </row>
    <row r="588" spans="1:164" x14ac:dyDescent="0.25">
      <c r="A588" s="7">
        <v>0.98039215686274506</v>
      </c>
      <c r="B588"/>
      <c r="C588"/>
      <c r="D588"/>
      <c r="E588"/>
      <c r="X588" s="27" t="s">
        <v>7</v>
      </c>
      <c r="Y588" s="27" t="s">
        <v>8</v>
      </c>
      <c r="Z588" s="27" t="s">
        <v>7</v>
      </c>
      <c r="AB588" s="27" t="s">
        <v>7</v>
      </c>
      <c r="CC588" s="27" t="s">
        <v>8</v>
      </c>
    </row>
    <row r="589" spans="1:164" x14ac:dyDescent="0.25">
      <c r="A589" s="7">
        <v>0.96116878123798544</v>
      </c>
      <c r="B589"/>
      <c r="C589"/>
      <c r="D589"/>
      <c r="E589"/>
      <c r="X589" s="27" t="s">
        <v>7</v>
      </c>
      <c r="Y589" s="27" t="s">
        <v>8</v>
      </c>
      <c r="AB589" s="27" t="s">
        <v>7</v>
      </c>
      <c r="CC589" s="27" t="s">
        <v>8</v>
      </c>
    </row>
    <row r="590" spans="1:164" x14ac:dyDescent="0.25">
      <c r="A590" s="7">
        <v>0.94232233454704462</v>
      </c>
      <c r="B590"/>
      <c r="C590"/>
      <c r="D590"/>
      <c r="E590"/>
      <c r="X590" s="27" t="s">
        <v>7</v>
      </c>
      <c r="Y590" s="27" t="s">
        <v>8</v>
      </c>
      <c r="AB590" s="27" t="s">
        <v>7</v>
      </c>
      <c r="AY590" s="27" t="s">
        <v>8</v>
      </c>
      <c r="CC590" s="27" t="s">
        <v>8</v>
      </c>
    </row>
    <row r="591" spans="1:164" x14ac:dyDescent="0.25">
      <c r="A591" s="7">
        <v>0.92384542602651432</v>
      </c>
      <c r="B591"/>
      <c r="C591"/>
      <c r="D591"/>
      <c r="E591"/>
      <c r="X591" s="27" t="s">
        <v>7</v>
      </c>
      <c r="Y591" s="27" t="s">
        <v>8</v>
      </c>
      <c r="AB591" s="27" t="s">
        <v>7</v>
      </c>
      <c r="AY591" s="27" t="s">
        <v>8</v>
      </c>
      <c r="AZ591" s="27" t="s">
        <v>7</v>
      </c>
      <c r="CC591" s="27" t="s">
        <v>8</v>
      </c>
    </row>
    <row r="592" spans="1:164" x14ac:dyDescent="0.25">
      <c r="A592" s="7">
        <v>0.90573080982991594</v>
      </c>
      <c r="B592"/>
      <c r="C592"/>
      <c r="D592"/>
      <c r="E592"/>
      <c r="X592" s="27" t="s">
        <v>7</v>
      </c>
      <c r="Y592" s="27" t="s">
        <v>8</v>
      </c>
      <c r="AB592" s="27" t="s">
        <v>7</v>
      </c>
      <c r="AW592" s="27" t="s">
        <v>8</v>
      </c>
      <c r="AY592" s="27" t="s">
        <v>8</v>
      </c>
      <c r="AZ592" s="27" t="s">
        <v>7</v>
      </c>
      <c r="CC592" s="27" t="s">
        <v>8</v>
      </c>
    </row>
    <row r="593" spans="1:81" x14ac:dyDescent="0.25">
      <c r="A593" s="7">
        <v>0.8879713821861922</v>
      </c>
      <c r="B593"/>
      <c r="C593"/>
      <c r="D593"/>
      <c r="E593"/>
      <c r="X593" s="27" t="s">
        <v>7</v>
      </c>
      <c r="Y593" s="27" t="s">
        <v>8</v>
      </c>
      <c r="AB593" s="27" t="s">
        <v>7</v>
      </c>
      <c r="AW593" s="27" t="s">
        <v>8</v>
      </c>
      <c r="AX593" s="27" t="s">
        <v>7</v>
      </c>
      <c r="AY593" s="27" t="s">
        <v>8</v>
      </c>
      <c r="AZ593" s="27" t="s">
        <v>7</v>
      </c>
      <c r="CC593" s="27" t="s">
        <v>8</v>
      </c>
    </row>
    <row r="594" spans="1:81" x14ac:dyDescent="0.25">
      <c r="A594" s="7">
        <v>0.87056017861391399</v>
      </c>
      <c r="B594"/>
      <c r="C594"/>
      <c r="D594"/>
      <c r="E594"/>
      <c r="X594" s="27" t="s">
        <v>7</v>
      </c>
      <c r="AB594" s="27" t="s">
        <v>7</v>
      </c>
      <c r="AW594" s="27" t="s">
        <v>8</v>
      </c>
      <c r="AX594" s="27" t="s">
        <v>7</v>
      </c>
      <c r="AY594" s="27" t="s">
        <v>8</v>
      </c>
      <c r="AZ594" s="27" t="s">
        <v>7</v>
      </c>
      <c r="CC594" s="27" t="s">
        <v>8</v>
      </c>
    </row>
    <row r="595" spans="1:81" x14ac:dyDescent="0.25">
      <c r="A595" s="7">
        <v>0.85349037119011173</v>
      </c>
      <c r="B595"/>
      <c r="C595"/>
      <c r="D595"/>
      <c r="E595"/>
      <c r="AB595" s="27" t="s">
        <v>7</v>
      </c>
      <c r="AW595" s="27" t="s">
        <v>8</v>
      </c>
      <c r="AX595" s="27" t="s">
        <v>7</v>
      </c>
      <c r="AY595" s="27" t="s">
        <v>8</v>
      </c>
      <c r="AZ595" s="27" t="s">
        <v>7</v>
      </c>
      <c r="BC595" s="27" t="s">
        <v>8</v>
      </c>
      <c r="CC595" s="27" t="s">
        <v>8</v>
      </c>
    </row>
    <row r="596" spans="1:81" x14ac:dyDescent="0.25">
      <c r="A596" s="7">
        <v>0.83675526587265858</v>
      </c>
      <c r="B596"/>
      <c r="C596"/>
      <c r="D596"/>
      <c r="E596"/>
      <c r="AB596" s="27" t="s">
        <v>7</v>
      </c>
      <c r="AU596" s="27" t="s">
        <v>8</v>
      </c>
      <c r="AW596" s="27" t="s">
        <v>8</v>
      </c>
      <c r="AX596" s="27" t="s">
        <v>7</v>
      </c>
      <c r="AY596" s="27" t="s">
        <v>8</v>
      </c>
      <c r="AZ596" s="27" t="s">
        <v>7</v>
      </c>
      <c r="BC596" s="27" t="s">
        <v>8</v>
      </c>
      <c r="BD596" s="27" t="s">
        <v>7</v>
      </c>
      <c r="CA596" s="27" t="s">
        <v>8</v>
      </c>
      <c r="CC596" s="27" t="s">
        <v>8</v>
      </c>
    </row>
    <row r="597" spans="1:81" x14ac:dyDescent="0.25">
      <c r="A597" s="7">
        <v>0.82034829987515545</v>
      </c>
      <c r="B597"/>
      <c r="C597"/>
      <c r="D597"/>
      <c r="E597"/>
      <c r="AB597" s="27" t="s">
        <v>7</v>
      </c>
      <c r="AU597" s="27" t="s">
        <v>8</v>
      </c>
      <c r="AV597" s="27" t="s">
        <v>7</v>
      </c>
      <c r="AW597" s="27" t="s">
        <v>8</v>
      </c>
      <c r="AX597" s="27" t="s">
        <v>7</v>
      </c>
      <c r="AY597" s="27" t="s">
        <v>8</v>
      </c>
      <c r="AZ597" s="27" t="s">
        <v>7</v>
      </c>
      <c r="BC597" s="27" t="s">
        <v>8</v>
      </c>
      <c r="BD597" s="27" t="s">
        <v>7</v>
      </c>
      <c r="CA597" s="27" t="s">
        <v>8</v>
      </c>
      <c r="CB597" s="27" t="s">
        <v>7</v>
      </c>
      <c r="CC597" s="27" t="s">
        <v>8</v>
      </c>
    </row>
    <row r="598" spans="1:81" x14ac:dyDescent="0.25">
      <c r="A598" s="7">
        <v>0.80426303909328967</v>
      </c>
      <c r="B598"/>
      <c r="C598"/>
      <c r="D598"/>
      <c r="E598"/>
      <c r="AB598" s="27" t="s">
        <v>7</v>
      </c>
      <c r="AC598" s="27" t="s">
        <v>8</v>
      </c>
      <c r="AU598" s="27" t="s">
        <v>8</v>
      </c>
      <c r="AV598" s="27" t="s">
        <v>7</v>
      </c>
      <c r="AW598" s="27" t="s">
        <v>8</v>
      </c>
      <c r="AX598" s="27" t="s">
        <v>7</v>
      </c>
      <c r="AY598" s="27" t="s">
        <v>8</v>
      </c>
      <c r="AZ598" s="27" t="s">
        <v>7</v>
      </c>
      <c r="BC598" s="27" t="s">
        <v>8</v>
      </c>
      <c r="BD598" s="27" t="s">
        <v>7</v>
      </c>
      <c r="CA598" s="27" t="s">
        <v>8</v>
      </c>
      <c r="CB598" s="27" t="s">
        <v>7</v>
      </c>
      <c r="CC598" s="27" t="s">
        <v>8</v>
      </c>
    </row>
    <row r="599" spans="1:81" x14ac:dyDescent="0.25">
      <c r="A599" s="7">
        <v>0.78849317558165644</v>
      </c>
      <c r="B599"/>
      <c r="C599"/>
      <c r="D599"/>
      <c r="E599"/>
      <c r="AB599" s="27" t="s">
        <v>7</v>
      </c>
      <c r="AC599" s="27" t="s">
        <v>8</v>
      </c>
      <c r="AD599" s="27" t="s">
        <v>7</v>
      </c>
      <c r="AU599" s="27" t="s">
        <v>8</v>
      </c>
      <c r="AV599" s="27" t="s">
        <v>7</v>
      </c>
      <c r="AW599" s="27" t="s">
        <v>8</v>
      </c>
      <c r="AX599" s="27" t="s">
        <v>7</v>
      </c>
      <c r="AY599" s="27" t="s">
        <v>8</v>
      </c>
      <c r="AZ599" s="27" t="s">
        <v>7</v>
      </c>
      <c r="BA599" s="27" t="s">
        <v>8</v>
      </c>
      <c r="BC599" s="27" t="s">
        <v>8</v>
      </c>
      <c r="BD599" s="27" t="s">
        <v>7</v>
      </c>
      <c r="BY599" s="27" t="s">
        <v>8</v>
      </c>
      <c r="CA599" s="27" t="s">
        <v>8</v>
      </c>
      <c r="CB599" s="27" t="s">
        <v>7</v>
      </c>
      <c r="CC599" s="27" t="s">
        <v>8</v>
      </c>
    </row>
    <row r="600" spans="1:81" x14ac:dyDescent="0.25">
      <c r="A600" s="7">
        <v>0.77303252508005538</v>
      </c>
      <c r="B600"/>
      <c r="C600"/>
      <c r="D600"/>
      <c r="E600"/>
      <c r="AB600" s="27" t="s">
        <v>7</v>
      </c>
      <c r="AC600" s="27" t="s">
        <v>8</v>
      </c>
      <c r="AD600" s="27" t="s">
        <v>7</v>
      </c>
      <c r="AU600" s="27" t="s">
        <v>8</v>
      </c>
      <c r="AV600" s="27" t="s">
        <v>7</v>
      </c>
      <c r="AW600" s="27" t="s">
        <v>8</v>
      </c>
      <c r="AX600" s="27" t="s">
        <v>7</v>
      </c>
      <c r="AY600" s="27" t="s">
        <v>8</v>
      </c>
      <c r="AZ600" s="27" t="s">
        <v>7</v>
      </c>
      <c r="BA600" s="27" t="s">
        <v>8</v>
      </c>
      <c r="BB600" s="27" t="s">
        <v>7</v>
      </c>
      <c r="BC600" s="27" t="s">
        <v>8</v>
      </c>
      <c r="BD600" s="27" t="s">
        <v>7</v>
      </c>
      <c r="BY600" s="27" t="s">
        <v>8</v>
      </c>
      <c r="BZ600" s="27" t="s">
        <v>7</v>
      </c>
      <c r="CA600" s="27" t="s">
        <v>8</v>
      </c>
      <c r="CB600" s="27" t="s">
        <v>7</v>
      </c>
      <c r="CC600" s="27" t="s">
        <v>8</v>
      </c>
    </row>
    <row r="601" spans="1:81" x14ac:dyDescent="0.25">
      <c r="A601" s="7">
        <v>0.75787502458828959</v>
      </c>
      <c r="B601"/>
      <c r="C601"/>
      <c r="D601"/>
      <c r="E601"/>
      <c r="AB601" s="27" t="s">
        <v>7</v>
      </c>
      <c r="AC601" s="27" t="s">
        <v>8</v>
      </c>
      <c r="AD601" s="27" t="s">
        <v>7</v>
      </c>
      <c r="AU601" s="27" t="s">
        <v>8</v>
      </c>
      <c r="AV601" s="27" t="s">
        <v>7</v>
      </c>
      <c r="AW601" s="27" t="s">
        <v>8</v>
      </c>
      <c r="AX601" s="27" t="s">
        <v>7</v>
      </c>
      <c r="AY601" s="27" t="s">
        <v>8</v>
      </c>
      <c r="AZ601" s="27" t="s">
        <v>7</v>
      </c>
      <c r="BA601" s="27" t="s">
        <v>8</v>
      </c>
      <c r="BB601" s="27" t="s">
        <v>7</v>
      </c>
      <c r="BC601" s="27" t="s">
        <v>8</v>
      </c>
      <c r="BD601" s="27" t="s">
        <v>7</v>
      </c>
      <c r="BY601" s="27" t="s">
        <v>8</v>
      </c>
      <c r="BZ601" s="27" t="s">
        <v>7</v>
      </c>
      <c r="CA601" s="27" t="s">
        <v>8</v>
      </c>
      <c r="CB601" s="27" t="s">
        <v>7</v>
      </c>
      <c r="CC601" s="27" t="s">
        <v>8</v>
      </c>
    </row>
    <row r="602" spans="1:81" x14ac:dyDescent="0.25">
      <c r="A602" s="7">
        <v>0.74301472998851925</v>
      </c>
      <c r="B602"/>
      <c r="C602"/>
      <c r="D602"/>
      <c r="E602"/>
      <c r="AB602" s="27" t="s">
        <v>7</v>
      </c>
      <c r="AC602" s="27" t="s">
        <v>8</v>
      </c>
      <c r="AD602" s="27" t="s">
        <v>7</v>
      </c>
      <c r="AU602" s="27" t="s">
        <v>8</v>
      </c>
      <c r="AV602" s="27" t="s">
        <v>7</v>
      </c>
      <c r="AW602" s="27" t="s">
        <v>8</v>
      </c>
      <c r="AX602" s="27" t="s">
        <v>7</v>
      </c>
      <c r="AY602" s="27" t="s">
        <v>8</v>
      </c>
      <c r="AZ602" s="27" t="s">
        <v>7</v>
      </c>
      <c r="BA602" s="27" t="s">
        <v>8</v>
      </c>
      <c r="BB602" s="27" t="s">
        <v>7</v>
      </c>
      <c r="BC602" s="27" t="s">
        <v>8</v>
      </c>
      <c r="BD602" s="27" t="s">
        <v>7</v>
      </c>
      <c r="BE602" s="27" t="s">
        <v>8</v>
      </c>
      <c r="BY602" s="27" t="s">
        <v>8</v>
      </c>
      <c r="BZ602" s="27" t="s">
        <v>7</v>
      </c>
      <c r="CA602" s="27" t="s">
        <v>8</v>
      </c>
      <c r="CB602" s="27" t="s">
        <v>7</v>
      </c>
      <c r="CC602" s="27" t="s">
        <v>8</v>
      </c>
    </row>
    <row r="603" spans="1:81" x14ac:dyDescent="0.25">
      <c r="A603" s="7">
        <v>0.72844581371423456</v>
      </c>
      <c r="B603"/>
      <c r="C603"/>
      <c r="D603"/>
      <c r="E603"/>
      <c r="AB603" s="27" t="s">
        <v>7</v>
      </c>
      <c r="AD603" s="27" t="s">
        <v>7</v>
      </c>
      <c r="AU603" s="27" t="s">
        <v>8</v>
      </c>
      <c r="AV603" s="27" t="s">
        <v>7</v>
      </c>
      <c r="AW603" s="27" t="s">
        <v>8</v>
      </c>
      <c r="AX603" s="27" t="s">
        <v>7</v>
      </c>
      <c r="AY603" s="27" t="s">
        <v>8</v>
      </c>
      <c r="AZ603" s="27" t="s">
        <v>7</v>
      </c>
      <c r="BA603" s="27" t="s">
        <v>8</v>
      </c>
      <c r="BB603" s="27" t="s">
        <v>7</v>
      </c>
      <c r="BC603" s="27" t="s">
        <v>8</v>
      </c>
      <c r="BD603" s="27" t="s">
        <v>7</v>
      </c>
      <c r="BE603" s="27" t="s">
        <v>8</v>
      </c>
      <c r="BF603" s="27" t="s">
        <v>7</v>
      </c>
      <c r="BW603" s="27" t="s">
        <v>8</v>
      </c>
      <c r="BY603" s="27" t="s">
        <v>8</v>
      </c>
      <c r="BZ603" s="27" t="s">
        <v>7</v>
      </c>
      <c r="CA603" s="27" t="s">
        <v>8</v>
      </c>
      <c r="CB603" s="27" t="s">
        <v>7</v>
      </c>
      <c r="CC603" s="27" t="s">
        <v>8</v>
      </c>
    </row>
    <row r="604" spans="1:81" x14ac:dyDescent="0.25">
      <c r="A604" s="7">
        <v>0.71416256246493581</v>
      </c>
      <c r="B604"/>
      <c r="C604"/>
      <c r="D604"/>
      <c r="E604"/>
      <c r="AD604" s="27" t="s">
        <v>7</v>
      </c>
      <c r="AU604" s="27" t="s">
        <v>8</v>
      </c>
      <c r="AV604" s="27" t="s">
        <v>7</v>
      </c>
      <c r="AW604" s="27" t="s">
        <v>8</v>
      </c>
      <c r="AX604" s="27" t="s">
        <v>7</v>
      </c>
      <c r="AY604" s="27" t="s">
        <v>8</v>
      </c>
      <c r="AZ604" s="27" t="s">
        <v>7</v>
      </c>
      <c r="BA604" s="27" t="s">
        <v>8</v>
      </c>
      <c r="BB604" s="27" t="s">
        <v>7</v>
      </c>
      <c r="BC604" s="27" t="s">
        <v>8</v>
      </c>
      <c r="BD604" s="27" t="s">
        <v>7</v>
      </c>
      <c r="BE604" s="27" t="s">
        <v>8</v>
      </c>
      <c r="BF604" s="27" t="s">
        <v>7</v>
      </c>
      <c r="BW604" s="27" t="s">
        <v>8</v>
      </c>
      <c r="BX604" s="27" t="s">
        <v>7</v>
      </c>
      <c r="BY604" s="27" t="s">
        <v>8</v>
      </c>
      <c r="BZ604" s="27" t="s">
        <v>7</v>
      </c>
      <c r="CA604" s="27" t="s">
        <v>8</v>
      </c>
      <c r="CB604" s="27" t="s">
        <v>7</v>
      </c>
      <c r="CC604" s="27" t="s">
        <v>8</v>
      </c>
    </row>
    <row r="605" spans="1:81" x14ac:dyDescent="0.25">
      <c r="A605" s="7">
        <v>0.7001593749656233</v>
      </c>
      <c r="B605"/>
      <c r="C605"/>
      <c r="D605"/>
      <c r="E605"/>
      <c r="AD605" s="27" t="s">
        <v>7</v>
      </c>
      <c r="AU605" s="27" t="s">
        <v>8</v>
      </c>
      <c r="AV605" s="27" t="s">
        <v>7</v>
      </c>
      <c r="AX605" s="27" t="s">
        <v>7</v>
      </c>
      <c r="AZ605" s="27" t="s">
        <v>7</v>
      </c>
      <c r="BB605" s="27" t="s">
        <v>7</v>
      </c>
      <c r="BC605" s="27" t="s">
        <v>8</v>
      </c>
      <c r="BD605" s="27" t="s">
        <v>7</v>
      </c>
      <c r="BE605" s="27" t="s">
        <v>8</v>
      </c>
      <c r="BF605" s="27" t="s">
        <v>7</v>
      </c>
      <c r="BW605" s="27" t="s">
        <v>8</v>
      </c>
      <c r="BX605" s="27" t="s">
        <v>7</v>
      </c>
      <c r="BY605" s="27" t="s">
        <v>8</v>
      </c>
      <c r="BZ605" s="27" t="s">
        <v>7</v>
      </c>
      <c r="CA605" s="27" t="s">
        <v>8</v>
      </c>
      <c r="CB605" s="27" t="s">
        <v>7</v>
      </c>
      <c r="CC605" s="27" t="s">
        <v>8</v>
      </c>
    </row>
    <row r="606" spans="1:81" x14ac:dyDescent="0.25">
      <c r="A606" s="7">
        <v>0.68643075977021883</v>
      </c>
      <c r="B606"/>
      <c r="C606"/>
      <c r="D606"/>
      <c r="E606"/>
      <c r="AD606" s="27" t="s">
        <v>7</v>
      </c>
      <c r="AU606" s="27" t="s">
        <v>8</v>
      </c>
      <c r="BB606" s="27" t="s">
        <v>7</v>
      </c>
      <c r="BC606" s="27" t="s">
        <v>8</v>
      </c>
      <c r="BD606" s="27" t="s">
        <v>7</v>
      </c>
      <c r="BE606" s="27" t="s">
        <v>8</v>
      </c>
      <c r="BF606" s="27" t="s">
        <v>7</v>
      </c>
      <c r="BM606" s="27" t="s">
        <v>8</v>
      </c>
      <c r="BO606" s="27" t="s">
        <v>8</v>
      </c>
      <c r="BW606" s="27" t="s">
        <v>8</v>
      </c>
      <c r="BX606" s="27" t="s">
        <v>7</v>
      </c>
      <c r="BY606" s="27" t="s">
        <v>8</v>
      </c>
      <c r="BZ606" s="27" t="s">
        <v>7</v>
      </c>
      <c r="CA606" s="27" t="s">
        <v>8</v>
      </c>
      <c r="CB606" s="27" t="s">
        <v>7</v>
      </c>
      <c r="CC606" s="27" t="s">
        <v>8</v>
      </c>
    </row>
    <row r="607" spans="1:81" x14ac:dyDescent="0.25">
      <c r="A607" s="7">
        <v>0.67297133310805768</v>
      </c>
      <c r="B607"/>
      <c r="C607"/>
      <c r="D607"/>
      <c r="E607"/>
      <c r="AD607" s="27" t="s">
        <v>7</v>
      </c>
      <c r="AM607" s="27" t="s">
        <v>8</v>
      </c>
      <c r="AU607" s="27" t="s">
        <v>8</v>
      </c>
      <c r="BB607" s="27" t="s">
        <v>7</v>
      </c>
      <c r="BC607" s="27" t="s">
        <v>8</v>
      </c>
      <c r="BD607" s="27" t="s">
        <v>7</v>
      </c>
      <c r="BF607" s="27" t="s">
        <v>7</v>
      </c>
      <c r="BM607" s="27" t="s">
        <v>8</v>
      </c>
      <c r="BN607" s="27" t="s">
        <v>7</v>
      </c>
      <c r="BO607" s="27" t="s">
        <v>8</v>
      </c>
      <c r="BP607" s="27" t="s">
        <v>7</v>
      </c>
      <c r="BU607" s="27" t="s">
        <v>8</v>
      </c>
      <c r="BW607" s="27" t="s">
        <v>8</v>
      </c>
      <c r="BX607" s="27" t="s">
        <v>7</v>
      </c>
      <c r="BY607" s="27" t="s">
        <v>8</v>
      </c>
      <c r="BZ607" s="27" t="s">
        <v>7</v>
      </c>
      <c r="CA607" s="27" t="s">
        <v>8</v>
      </c>
      <c r="CB607" s="27" t="s">
        <v>7</v>
      </c>
      <c r="CC607" s="27" t="s">
        <v>8</v>
      </c>
    </row>
    <row r="608" spans="1:81" x14ac:dyDescent="0.25">
      <c r="A608" s="7">
        <v>0.65977581677260566</v>
      </c>
      <c r="B608"/>
      <c r="C608"/>
      <c r="D608"/>
      <c r="E608"/>
      <c r="AD608" s="27" t="s">
        <v>7</v>
      </c>
      <c r="AM608" s="27" t="s">
        <v>8</v>
      </c>
      <c r="AN608" s="27" t="s">
        <v>7</v>
      </c>
      <c r="AU608" s="27" t="s">
        <v>8</v>
      </c>
      <c r="BB608" s="27" t="s">
        <v>7</v>
      </c>
      <c r="BC608" s="27" t="s">
        <v>8</v>
      </c>
      <c r="BF608" s="27" t="s">
        <v>7</v>
      </c>
      <c r="BK608" s="27" t="s">
        <v>8</v>
      </c>
      <c r="BM608" s="27" t="s">
        <v>8</v>
      </c>
      <c r="BN608" s="27" t="s">
        <v>7</v>
      </c>
      <c r="BO608" s="27" t="s">
        <v>8</v>
      </c>
      <c r="BP608" s="27" t="s">
        <v>7</v>
      </c>
      <c r="BU608" s="27" t="s">
        <v>8</v>
      </c>
      <c r="BV608" s="27" t="s">
        <v>7</v>
      </c>
      <c r="BW608" s="27" t="s">
        <v>8</v>
      </c>
      <c r="BX608" s="27" t="s">
        <v>7</v>
      </c>
      <c r="BY608" s="27" t="s">
        <v>8</v>
      </c>
      <c r="BZ608" s="27" t="s">
        <v>7</v>
      </c>
      <c r="CA608" s="27" t="s">
        <v>8</v>
      </c>
      <c r="CB608" s="27" t="s">
        <v>7</v>
      </c>
      <c r="CC608" s="27" t="s">
        <v>8</v>
      </c>
    </row>
    <row r="609" spans="1:81" x14ac:dyDescent="0.25">
      <c r="A609" s="7">
        <v>0.64683903605157422</v>
      </c>
      <c r="B609"/>
      <c r="C609"/>
      <c r="D609"/>
      <c r="E609"/>
      <c r="AD609" s="27" t="s">
        <v>7</v>
      </c>
      <c r="AE609" s="27" t="s">
        <v>8</v>
      </c>
      <c r="AM609" s="27" t="s">
        <v>8</v>
      </c>
      <c r="AN609" s="27" t="s">
        <v>7</v>
      </c>
      <c r="AS609" s="27" t="s">
        <v>8</v>
      </c>
      <c r="AU609" s="27" t="s">
        <v>8</v>
      </c>
      <c r="BB609" s="27" t="s">
        <v>7</v>
      </c>
      <c r="BC609" s="27" t="s">
        <v>8</v>
      </c>
      <c r="BF609" s="27" t="s">
        <v>7</v>
      </c>
      <c r="BK609" s="27" t="s">
        <v>8</v>
      </c>
      <c r="BL609" s="27" t="s">
        <v>7</v>
      </c>
      <c r="BM609" s="27" t="s">
        <v>8</v>
      </c>
      <c r="BN609" s="27" t="s">
        <v>7</v>
      </c>
      <c r="BO609" s="27" t="s">
        <v>8</v>
      </c>
      <c r="BP609" s="27" t="s">
        <v>7</v>
      </c>
      <c r="BU609" s="27" t="s">
        <v>8</v>
      </c>
      <c r="BV609" s="27" t="s">
        <v>7</v>
      </c>
      <c r="BW609" s="27" t="s">
        <v>8</v>
      </c>
      <c r="BX609" s="27" t="s">
        <v>7</v>
      </c>
      <c r="BY609" s="27" t="s">
        <v>8</v>
      </c>
      <c r="BZ609" s="27" t="s">
        <v>7</v>
      </c>
      <c r="CA609" s="27" t="s">
        <v>8</v>
      </c>
      <c r="CB609" s="27" t="s">
        <v>7</v>
      </c>
      <c r="CC609" s="27" t="s">
        <v>8</v>
      </c>
    </row>
    <row r="610" spans="1:81" x14ac:dyDescent="0.25">
      <c r="A610" s="7">
        <v>0.63415591769762181</v>
      </c>
      <c r="B610"/>
      <c r="C610"/>
      <c r="D610"/>
      <c r="E610"/>
      <c r="AD610" s="27" t="s">
        <v>7</v>
      </c>
      <c r="AE610" s="27" t="s">
        <v>8</v>
      </c>
      <c r="AF610" s="27" t="s">
        <v>7</v>
      </c>
      <c r="AM610" s="27" t="s">
        <v>8</v>
      </c>
      <c r="AN610" s="27" t="s">
        <v>7</v>
      </c>
      <c r="AS610" s="27" t="s">
        <v>8</v>
      </c>
      <c r="AT610" s="27" t="s">
        <v>7</v>
      </c>
      <c r="AU610" s="27" t="s">
        <v>8</v>
      </c>
      <c r="BB610" s="27" t="s">
        <v>7</v>
      </c>
      <c r="BC610" s="27" t="s">
        <v>8</v>
      </c>
      <c r="BF610" s="27" t="s">
        <v>7</v>
      </c>
      <c r="BG610" s="27" t="s">
        <v>8</v>
      </c>
      <c r="BI610" s="27" t="s">
        <v>8</v>
      </c>
      <c r="BK610" s="27" t="s">
        <v>8</v>
      </c>
      <c r="BL610" s="27" t="s">
        <v>7</v>
      </c>
      <c r="BM610" s="27" t="s">
        <v>8</v>
      </c>
      <c r="BN610" s="27" t="s">
        <v>7</v>
      </c>
      <c r="BO610" s="27" t="s">
        <v>8</v>
      </c>
      <c r="BP610" s="27" t="s">
        <v>7</v>
      </c>
      <c r="BU610" s="27" t="s">
        <v>8</v>
      </c>
      <c r="BV610" s="27" t="s">
        <v>7</v>
      </c>
      <c r="BW610" s="27" t="s">
        <v>8</v>
      </c>
      <c r="BX610" s="27" t="s">
        <v>7</v>
      </c>
      <c r="BZ610" s="27" t="s">
        <v>7</v>
      </c>
      <c r="CA610" s="27" t="s">
        <v>8</v>
      </c>
      <c r="CB610" s="27" t="s">
        <v>7</v>
      </c>
      <c r="CC610" s="27" t="s">
        <v>8</v>
      </c>
    </row>
    <row r="611" spans="1:81" x14ac:dyDescent="0.25">
      <c r="A611" s="7">
        <v>0.62172148793884496</v>
      </c>
      <c r="B611"/>
      <c r="C611"/>
      <c r="D611"/>
      <c r="E611"/>
      <c r="AD611" s="27" t="s">
        <v>7</v>
      </c>
      <c r="AE611" s="27" t="s">
        <v>8</v>
      </c>
      <c r="AF611" s="27" t="s">
        <v>7</v>
      </c>
      <c r="AM611" s="27" t="s">
        <v>8</v>
      </c>
      <c r="AN611" s="27" t="s">
        <v>7</v>
      </c>
      <c r="AS611" s="27" t="s">
        <v>8</v>
      </c>
      <c r="AT611" s="27" t="s">
        <v>7</v>
      </c>
      <c r="AU611" s="27" t="s">
        <v>8</v>
      </c>
      <c r="BB611" s="27" t="s">
        <v>7</v>
      </c>
      <c r="BC611" s="27" t="s">
        <v>8</v>
      </c>
      <c r="BF611" s="27" t="s">
        <v>7</v>
      </c>
      <c r="BG611" s="27" t="s">
        <v>8</v>
      </c>
      <c r="BH611" s="27" t="s">
        <v>7</v>
      </c>
      <c r="BI611" s="27" t="s">
        <v>8</v>
      </c>
      <c r="BJ611" s="27" t="s">
        <v>7</v>
      </c>
      <c r="BK611" s="27" t="s">
        <v>8</v>
      </c>
      <c r="BL611" s="27" t="s">
        <v>7</v>
      </c>
      <c r="BM611" s="27" t="s">
        <v>8</v>
      </c>
      <c r="BN611" s="27" t="s">
        <v>7</v>
      </c>
      <c r="BP611" s="27" t="s">
        <v>7</v>
      </c>
      <c r="BU611" s="27" t="s">
        <v>8</v>
      </c>
      <c r="BV611" s="27" t="s">
        <v>7</v>
      </c>
      <c r="BW611" s="27" t="s">
        <v>8</v>
      </c>
      <c r="BZ611" s="27" t="s">
        <v>7</v>
      </c>
      <c r="CB611" s="27" t="s">
        <v>7</v>
      </c>
      <c r="CC611" s="27" t="s">
        <v>8</v>
      </c>
    </row>
    <row r="612" spans="1:81" x14ac:dyDescent="0.25">
      <c r="A612" s="7">
        <v>0.60953087052827937</v>
      </c>
      <c r="B612"/>
      <c r="C612"/>
      <c r="D612"/>
      <c r="E612"/>
      <c r="AD612" s="27" t="s">
        <v>7</v>
      </c>
      <c r="AE612" s="27" t="s">
        <v>8</v>
      </c>
      <c r="AF612" s="27" t="s">
        <v>7</v>
      </c>
      <c r="AM612" s="27" t="s">
        <v>8</v>
      </c>
      <c r="AN612" s="27" t="s">
        <v>7</v>
      </c>
      <c r="AS612" s="27" t="s">
        <v>8</v>
      </c>
      <c r="AT612" s="27" t="s">
        <v>7</v>
      </c>
      <c r="AU612" s="27" t="s">
        <v>8</v>
      </c>
      <c r="BB612" s="27" t="s">
        <v>7</v>
      </c>
      <c r="BC612" s="27" t="s">
        <v>8</v>
      </c>
      <c r="BF612" s="27" t="s">
        <v>7</v>
      </c>
      <c r="BG612" s="27" t="s">
        <v>8</v>
      </c>
      <c r="BH612" s="27" t="s">
        <v>7</v>
      </c>
      <c r="BI612" s="27" t="s">
        <v>8</v>
      </c>
      <c r="BJ612" s="27" t="s">
        <v>7</v>
      </c>
      <c r="BK612" s="27" t="s">
        <v>8</v>
      </c>
      <c r="BL612" s="27" t="s">
        <v>7</v>
      </c>
      <c r="BM612" s="27" t="s">
        <v>8</v>
      </c>
      <c r="BP612" s="27" t="s">
        <v>7</v>
      </c>
      <c r="BU612" s="27" t="s">
        <v>8</v>
      </c>
      <c r="BV612" s="27" t="s">
        <v>7</v>
      </c>
      <c r="BW612" s="27" t="s">
        <v>8</v>
      </c>
      <c r="CB612" s="27" t="s">
        <v>7</v>
      </c>
      <c r="CC612" s="27" t="s">
        <v>8</v>
      </c>
    </row>
    <row r="613" spans="1:81" x14ac:dyDescent="0.25">
      <c r="A613" s="7">
        <v>0.59757928483164646</v>
      </c>
      <c r="B613"/>
      <c r="C613"/>
      <c r="D613"/>
      <c r="E613"/>
      <c r="AD613" s="27" t="s">
        <v>7</v>
      </c>
      <c r="AE613" s="27" t="s">
        <v>8</v>
      </c>
      <c r="AF613" s="27" t="s">
        <v>7</v>
      </c>
      <c r="AG613" s="27" t="s">
        <v>8</v>
      </c>
      <c r="AM613" s="27" t="s">
        <v>8</v>
      </c>
      <c r="AN613" s="27" t="s">
        <v>7</v>
      </c>
      <c r="AS613" s="27" t="s">
        <v>8</v>
      </c>
      <c r="AT613" s="27" t="s">
        <v>7</v>
      </c>
      <c r="AU613" s="27" t="s">
        <v>8</v>
      </c>
      <c r="BB613" s="27" t="s">
        <v>7</v>
      </c>
      <c r="BC613" s="27" t="s">
        <v>8</v>
      </c>
      <c r="BF613" s="27" t="s">
        <v>7</v>
      </c>
      <c r="BG613" s="27" t="s">
        <v>8</v>
      </c>
      <c r="BH613" s="27" t="s">
        <v>7</v>
      </c>
      <c r="BI613" s="27" t="s">
        <v>8</v>
      </c>
      <c r="BJ613" s="27" t="s">
        <v>7</v>
      </c>
      <c r="BL613" s="27" t="s">
        <v>7</v>
      </c>
      <c r="BP613" s="27" t="s">
        <v>7</v>
      </c>
      <c r="BU613" s="27" t="s">
        <v>8</v>
      </c>
      <c r="BV613" s="27" t="s">
        <v>7</v>
      </c>
      <c r="BW613" s="27" t="s">
        <v>8</v>
      </c>
      <c r="CB613" s="27" t="s">
        <v>7</v>
      </c>
      <c r="CC613" s="27" t="s">
        <v>8</v>
      </c>
    </row>
    <row r="614" spans="1:81" x14ac:dyDescent="0.25">
      <c r="A614" s="7">
        <v>0.58586204395259456</v>
      </c>
      <c r="B614"/>
      <c r="C614"/>
      <c r="D614"/>
      <c r="E614"/>
      <c r="AD614" s="27" t="s">
        <v>7</v>
      </c>
      <c r="AE614" s="27" t="s">
        <v>8</v>
      </c>
      <c r="AF614" s="27" t="s">
        <v>7</v>
      </c>
      <c r="AG614" s="27" t="s">
        <v>8</v>
      </c>
      <c r="AH614" s="27" t="s">
        <v>7</v>
      </c>
      <c r="AM614" s="27" t="s">
        <v>8</v>
      </c>
      <c r="AN614" s="27" t="s">
        <v>7</v>
      </c>
      <c r="AS614" s="27" t="s">
        <v>8</v>
      </c>
      <c r="AT614" s="27" t="s">
        <v>7</v>
      </c>
      <c r="AU614" s="27" t="s">
        <v>8</v>
      </c>
      <c r="BB614" s="27" t="s">
        <v>7</v>
      </c>
      <c r="BC614" s="27" t="s">
        <v>8</v>
      </c>
      <c r="BF614" s="27" t="s">
        <v>7</v>
      </c>
      <c r="BG614" s="27" t="s">
        <v>8</v>
      </c>
      <c r="BH614" s="27" t="s">
        <v>7</v>
      </c>
      <c r="BI614" s="27" t="s">
        <v>8</v>
      </c>
      <c r="BP614" s="27" t="s">
        <v>7</v>
      </c>
      <c r="BU614" s="27" t="s">
        <v>8</v>
      </c>
      <c r="BV614" s="27" t="s">
        <v>7</v>
      </c>
      <c r="BW614" s="27" t="s">
        <v>8</v>
      </c>
      <c r="CB614" s="27" t="s">
        <v>7</v>
      </c>
      <c r="CC614" s="27" t="s">
        <v>8</v>
      </c>
    </row>
    <row r="615" spans="1:81" x14ac:dyDescent="0.25">
      <c r="A615" s="7">
        <v>0.57437455289470052</v>
      </c>
      <c r="B615"/>
      <c r="C615"/>
      <c r="D615"/>
      <c r="E615"/>
      <c r="AD615" s="27" t="s">
        <v>7</v>
      </c>
      <c r="AE615" s="27" t="s">
        <v>8</v>
      </c>
      <c r="AF615" s="27" t="s">
        <v>7</v>
      </c>
      <c r="AG615" s="27" t="s">
        <v>8</v>
      </c>
      <c r="AH615" s="27" t="s">
        <v>7</v>
      </c>
      <c r="AM615" s="27" t="s">
        <v>8</v>
      </c>
      <c r="AN615" s="27" t="s">
        <v>7</v>
      </c>
      <c r="AS615" s="27" t="s">
        <v>8</v>
      </c>
      <c r="AT615" s="27" t="s">
        <v>7</v>
      </c>
      <c r="AU615" s="27" t="s">
        <v>8</v>
      </c>
      <c r="BB615" s="27" t="s">
        <v>7</v>
      </c>
      <c r="BC615" s="27" t="s">
        <v>8</v>
      </c>
      <c r="BF615" s="27" t="s">
        <v>7</v>
      </c>
      <c r="BG615" s="27" t="s">
        <v>8</v>
      </c>
      <c r="BH615" s="27" t="s">
        <v>7</v>
      </c>
      <c r="BI615" s="27" t="s">
        <v>8</v>
      </c>
      <c r="BP615" s="27" t="s">
        <v>7</v>
      </c>
      <c r="BU615" s="27" t="s">
        <v>8</v>
      </c>
      <c r="BV615" s="27" t="s">
        <v>7</v>
      </c>
      <c r="CB615" s="27" t="s">
        <v>7</v>
      </c>
      <c r="CC615" s="27" t="s">
        <v>8</v>
      </c>
    </row>
    <row r="616" spans="1:81" x14ac:dyDescent="0.25">
      <c r="A616" s="7">
        <v>0.56311230675951029</v>
      </c>
      <c r="B616"/>
      <c r="C616"/>
      <c r="D616"/>
      <c r="E616"/>
      <c r="AD616" s="27" t="s">
        <v>7</v>
      </c>
      <c r="AE616" s="27" t="s">
        <v>8</v>
      </c>
      <c r="AF616" s="27" t="s">
        <v>7</v>
      </c>
      <c r="AG616" s="27" t="s">
        <v>8</v>
      </c>
      <c r="AH616" s="27" t="s">
        <v>7</v>
      </c>
      <c r="AM616" s="27" t="s">
        <v>8</v>
      </c>
      <c r="AN616" s="27" t="s">
        <v>7</v>
      </c>
      <c r="AS616" s="27" t="s">
        <v>8</v>
      </c>
      <c r="AT616" s="27" t="s">
        <v>7</v>
      </c>
      <c r="AU616" s="27" t="s">
        <v>8</v>
      </c>
      <c r="BB616" s="27" t="s">
        <v>7</v>
      </c>
      <c r="BC616" s="27" t="s">
        <v>8</v>
      </c>
      <c r="BF616" s="27" t="s">
        <v>7</v>
      </c>
      <c r="BH616" s="27" t="s">
        <v>7</v>
      </c>
      <c r="BI616" s="27" t="s">
        <v>8</v>
      </c>
      <c r="BP616" s="27" t="s">
        <v>7</v>
      </c>
      <c r="BU616" s="27" t="s">
        <v>8</v>
      </c>
      <c r="CB616" s="27" t="s">
        <v>7</v>
      </c>
      <c r="CC616" s="27" t="s">
        <v>8</v>
      </c>
    </row>
    <row r="617" spans="1:81" x14ac:dyDescent="0.25">
      <c r="A617" s="7">
        <v>0.55207088897991208</v>
      </c>
      <c r="B617"/>
      <c r="C617"/>
      <c r="D617"/>
      <c r="E617"/>
      <c r="AD617" s="27" t="s">
        <v>7</v>
      </c>
      <c r="AE617" s="27" t="s">
        <v>8</v>
      </c>
      <c r="AF617" s="27" t="s">
        <v>7</v>
      </c>
      <c r="AG617" s="27" t="s">
        <v>8</v>
      </c>
      <c r="AH617" s="27" t="s">
        <v>7</v>
      </c>
      <c r="AM617" s="27" t="s">
        <v>8</v>
      </c>
      <c r="AN617" s="27" t="s">
        <v>7</v>
      </c>
      <c r="AS617" s="27" t="s">
        <v>8</v>
      </c>
      <c r="AT617" s="27" t="s">
        <v>7</v>
      </c>
      <c r="AU617" s="27" t="s">
        <v>8</v>
      </c>
      <c r="BB617" s="27" t="s">
        <v>7</v>
      </c>
      <c r="BC617" s="27" t="s">
        <v>8</v>
      </c>
      <c r="BH617" s="27" t="s">
        <v>7</v>
      </c>
      <c r="BI617" s="27" t="s">
        <v>8</v>
      </c>
      <c r="BP617" s="27" t="s">
        <v>7</v>
      </c>
      <c r="BU617" s="27" t="s">
        <v>8</v>
      </c>
      <c r="CB617" s="27" t="s">
        <v>7</v>
      </c>
      <c r="CC617" s="27" t="s">
        <v>8</v>
      </c>
    </row>
    <row r="618" spans="1:81" x14ac:dyDescent="0.25">
      <c r="A618" s="7">
        <v>0.54124596958814908</v>
      </c>
      <c r="B618"/>
      <c r="C618"/>
      <c r="D618"/>
      <c r="E618"/>
      <c r="AD618" s="27" t="s">
        <v>7</v>
      </c>
      <c r="AE618" s="27" t="s">
        <v>8</v>
      </c>
      <c r="AF618" s="27" t="s">
        <v>7</v>
      </c>
      <c r="AG618" s="27" t="s">
        <v>8</v>
      </c>
      <c r="AH618" s="27" t="s">
        <v>7</v>
      </c>
      <c r="AM618" s="27" t="s">
        <v>8</v>
      </c>
      <c r="AN618" s="27" t="s">
        <v>7</v>
      </c>
      <c r="AQ618" s="27" t="s">
        <v>8</v>
      </c>
      <c r="AS618" s="27" t="s">
        <v>8</v>
      </c>
      <c r="AT618" s="27" t="s">
        <v>7</v>
      </c>
      <c r="AU618" s="27" t="s">
        <v>8</v>
      </c>
      <c r="BB618" s="27" t="s">
        <v>7</v>
      </c>
      <c r="BC618" s="27" t="s">
        <v>8</v>
      </c>
      <c r="BH618" s="27" t="s">
        <v>7</v>
      </c>
      <c r="BP618" s="27" t="s">
        <v>7</v>
      </c>
      <c r="BU618" s="27" t="s">
        <v>8</v>
      </c>
      <c r="CB618" s="27" t="s">
        <v>7</v>
      </c>
    </row>
    <row r="619" spans="1:81" x14ac:dyDescent="0.25">
      <c r="A619" s="7">
        <v>0.53063330351779314</v>
      </c>
      <c r="B619"/>
      <c r="C619"/>
      <c r="D619"/>
      <c r="E619"/>
      <c r="AD619" s="27" t="s">
        <v>7</v>
      </c>
      <c r="AE619" s="27" t="s">
        <v>8</v>
      </c>
      <c r="AF619" s="27" t="s">
        <v>7</v>
      </c>
      <c r="AH619" s="27" t="s">
        <v>7</v>
      </c>
      <c r="AM619" s="27" t="s">
        <v>8</v>
      </c>
      <c r="AN619" s="27" t="s">
        <v>7</v>
      </c>
      <c r="AQ619" s="27" t="s">
        <v>8</v>
      </c>
      <c r="AR619" s="27" t="s">
        <v>7</v>
      </c>
      <c r="AS619" s="27" t="s">
        <v>8</v>
      </c>
      <c r="AT619" s="27" t="s">
        <v>7</v>
      </c>
      <c r="AU619" s="27" t="s">
        <v>8</v>
      </c>
      <c r="BB619" s="27" t="s">
        <v>7</v>
      </c>
      <c r="BC619" s="27" t="s">
        <v>8</v>
      </c>
      <c r="BP619" s="27" t="s">
        <v>7</v>
      </c>
      <c r="BQ619" s="27" t="s">
        <v>8</v>
      </c>
      <c r="BU619" s="27" t="s">
        <v>8</v>
      </c>
    </row>
    <row r="620" spans="1:81" x14ac:dyDescent="0.25">
      <c r="A620" s="7">
        <v>0.52022872893901284</v>
      </c>
      <c r="B620"/>
      <c r="C620"/>
      <c r="D620"/>
      <c r="E620"/>
      <c r="AD620" s="27" t="s">
        <v>7</v>
      </c>
      <c r="AE620" s="27" t="s">
        <v>8</v>
      </c>
      <c r="AH620" s="27" t="s">
        <v>7</v>
      </c>
      <c r="AM620" s="27" t="s">
        <v>8</v>
      </c>
      <c r="AN620" s="27" t="s">
        <v>7</v>
      </c>
      <c r="AQ620" s="27" t="s">
        <v>8</v>
      </c>
      <c r="AR620" s="27" t="s">
        <v>7</v>
      </c>
      <c r="AS620" s="27" t="s">
        <v>8</v>
      </c>
      <c r="AT620" s="27" t="s">
        <v>7</v>
      </c>
      <c r="BB620" s="27" t="s">
        <v>7</v>
      </c>
      <c r="BC620" s="27" t="s">
        <v>8</v>
      </c>
      <c r="BP620" s="27" t="s">
        <v>7</v>
      </c>
      <c r="BQ620" s="27" t="s">
        <v>8</v>
      </c>
      <c r="BR620" s="27" t="s">
        <v>7</v>
      </c>
      <c r="BS620" s="27" t="s">
        <v>8</v>
      </c>
      <c r="BU620" s="27" t="s">
        <v>8</v>
      </c>
    </row>
    <row r="621" spans="1:81" x14ac:dyDescent="0.25">
      <c r="A621" s="7">
        <v>0.51002816562648323</v>
      </c>
      <c r="B621"/>
      <c r="C621"/>
      <c r="D621"/>
      <c r="E621"/>
      <c r="AD621" s="27" t="s">
        <v>7</v>
      </c>
      <c r="AE621" s="27" t="s">
        <v>8</v>
      </c>
      <c r="AH621" s="27" t="s">
        <v>7</v>
      </c>
      <c r="AM621" s="27" t="s">
        <v>8</v>
      </c>
      <c r="AN621" s="27" t="s">
        <v>7</v>
      </c>
      <c r="AQ621" s="27" t="s">
        <v>8</v>
      </c>
      <c r="AR621" s="27" t="s">
        <v>7</v>
      </c>
      <c r="AS621" s="27" t="s">
        <v>8</v>
      </c>
      <c r="BB621" s="27" t="s">
        <v>7</v>
      </c>
      <c r="BC621" s="27" t="s">
        <v>8</v>
      </c>
      <c r="BP621" s="27" t="s">
        <v>7</v>
      </c>
      <c r="BQ621" s="27" t="s">
        <v>8</v>
      </c>
      <c r="BR621" s="27" t="s">
        <v>7</v>
      </c>
      <c r="BS621" s="27" t="s">
        <v>8</v>
      </c>
      <c r="BT621" s="27" t="s">
        <v>7</v>
      </c>
      <c r="BU621" s="27" t="s">
        <v>8</v>
      </c>
    </row>
    <row r="622" spans="1:81" x14ac:dyDescent="0.25">
      <c r="A622" s="7">
        <v>0.50002761335929735</v>
      </c>
      <c r="B622"/>
      <c r="C622"/>
      <c r="D622"/>
      <c r="E622"/>
      <c r="AD622" s="27" t="s">
        <v>7</v>
      </c>
      <c r="AE622" s="27" t="s">
        <v>8</v>
      </c>
      <c r="AH622" s="27" t="s">
        <v>7</v>
      </c>
      <c r="AM622" s="27" t="s">
        <v>8</v>
      </c>
      <c r="AN622" s="27" t="s">
        <v>7</v>
      </c>
      <c r="AQ622" s="27" t="s">
        <v>8</v>
      </c>
      <c r="AR622" s="27" t="s">
        <v>7</v>
      </c>
      <c r="AS622" s="27" t="s">
        <v>8</v>
      </c>
      <c r="BB622" s="27" t="s">
        <v>7</v>
      </c>
      <c r="BC622" s="27" t="s">
        <v>8</v>
      </c>
      <c r="BP622" s="27" t="s">
        <v>7</v>
      </c>
      <c r="BQ622" s="27" t="s">
        <v>8</v>
      </c>
      <c r="BR622" s="27" t="s">
        <v>7</v>
      </c>
      <c r="BS622" s="27" t="s">
        <v>8</v>
      </c>
      <c r="BT622" s="27" t="s">
        <v>7</v>
      </c>
      <c r="BU622" s="27" t="s">
        <v>8</v>
      </c>
    </row>
    <row r="623" spans="1:81" x14ac:dyDescent="0.25">
      <c r="A623" s="7">
        <v>0.49022315035225228</v>
      </c>
      <c r="B623"/>
      <c r="C623"/>
      <c r="D623"/>
      <c r="E623"/>
      <c r="AD623" s="27" t="s">
        <v>7</v>
      </c>
      <c r="AE623" s="27" t="s">
        <v>8</v>
      </c>
      <c r="AH623" s="27" t="s">
        <v>7</v>
      </c>
      <c r="AM623" s="27" t="s">
        <v>8</v>
      </c>
      <c r="AN623" s="27" t="s">
        <v>7</v>
      </c>
      <c r="AQ623" s="27" t="s">
        <v>8</v>
      </c>
      <c r="AR623" s="27" t="s">
        <v>7</v>
      </c>
      <c r="AS623" s="27" t="s">
        <v>8</v>
      </c>
      <c r="BB623" s="27" t="s">
        <v>7</v>
      </c>
      <c r="BP623" s="27" t="s">
        <v>7</v>
      </c>
      <c r="BQ623" s="27" t="s">
        <v>8</v>
      </c>
      <c r="BR623" s="27" t="s">
        <v>7</v>
      </c>
      <c r="BS623" s="27" t="s">
        <v>8</v>
      </c>
      <c r="BT623" s="27" t="s">
        <v>7</v>
      </c>
      <c r="BU623" s="27" t="s">
        <v>8</v>
      </c>
    </row>
    <row r="624" spans="1:81" x14ac:dyDescent="0.25">
      <c r="A624" s="7">
        <v>0.48061093171789437</v>
      </c>
      <c r="B624"/>
      <c r="C624"/>
      <c r="D624"/>
      <c r="E624"/>
      <c r="AD624" s="27" t="s">
        <v>7</v>
      </c>
      <c r="AE624" s="27" t="s">
        <v>8</v>
      </c>
      <c r="AH624" s="27" t="s">
        <v>7</v>
      </c>
      <c r="AM624" s="27" t="s">
        <v>8</v>
      </c>
      <c r="AN624" s="27" t="s">
        <v>7</v>
      </c>
      <c r="AQ624" s="27" t="s">
        <v>8</v>
      </c>
      <c r="AR624" s="27" t="s">
        <v>7</v>
      </c>
      <c r="AS624" s="27" t="s">
        <v>8</v>
      </c>
      <c r="BP624" s="27" t="s">
        <v>7</v>
      </c>
      <c r="BQ624" s="27" t="s">
        <v>8</v>
      </c>
      <c r="BR624" s="27" t="s">
        <v>7</v>
      </c>
      <c r="BS624" s="27" t="s">
        <v>8</v>
      </c>
      <c r="BT624" s="27" t="s">
        <v>7</v>
      </c>
      <c r="BU624" s="27" t="s">
        <v>8</v>
      </c>
    </row>
    <row r="625" spans="1:73" x14ac:dyDescent="0.25">
      <c r="A625" s="7">
        <v>0.47118718795871994</v>
      </c>
      <c r="B625"/>
      <c r="C625"/>
      <c r="D625"/>
      <c r="E625"/>
      <c r="AD625" s="27" t="s">
        <v>7</v>
      </c>
      <c r="AE625" s="27" t="s">
        <v>8</v>
      </c>
      <c r="AH625" s="27" t="s">
        <v>7</v>
      </c>
      <c r="AI625" s="27" t="s">
        <v>8</v>
      </c>
      <c r="AM625" s="27" t="s">
        <v>8</v>
      </c>
      <c r="AN625" s="27" t="s">
        <v>7</v>
      </c>
      <c r="AQ625" s="27" t="s">
        <v>8</v>
      </c>
      <c r="AR625" s="27" t="s">
        <v>7</v>
      </c>
      <c r="AS625" s="27" t="s">
        <v>8</v>
      </c>
      <c r="BP625" s="27" t="s">
        <v>7</v>
      </c>
      <c r="BQ625" s="27" t="s">
        <v>8</v>
      </c>
      <c r="BR625" s="27" t="s">
        <v>7</v>
      </c>
      <c r="BS625" s="27" t="s">
        <v>8</v>
      </c>
      <c r="BT625" s="27" t="s">
        <v>7</v>
      </c>
      <c r="BU625" s="27" t="s">
        <v>8</v>
      </c>
    </row>
    <row r="626" spans="1:73" x14ac:dyDescent="0.25">
      <c r="A626" s="7">
        <v>0.46194822348894116</v>
      </c>
      <c r="B626"/>
      <c r="C626"/>
      <c r="D626"/>
      <c r="E626"/>
      <c r="AD626" s="27" t="s">
        <v>7</v>
      </c>
      <c r="AH626" s="27" t="s">
        <v>7</v>
      </c>
      <c r="AI626" s="27" t="s">
        <v>8</v>
      </c>
      <c r="AJ626" s="27" t="s">
        <v>7</v>
      </c>
      <c r="AM626" s="27" t="s">
        <v>8</v>
      </c>
      <c r="AN626" s="27" t="s">
        <v>7</v>
      </c>
      <c r="AQ626" s="27" t="s">
        <v>8</v>
      </c>
      <c r="AR626" s="27" t="s">
        <v>7</v>
      </c>
      <c r="AS626" s="27" t="s">
        <v>8</v>
      </c>
      <c r="BP626" s="27" t="s">
        <v>7</v>
      </c>
      <c r="BQ626" s="27" t="s">
        <v>8</v>
      </c>
      <c r="BR626" s="27" t="s">
        <v>7</v>
      </c>
      <c r="BS626" s="27" t="s">
        <v>8</v>
      </c>
      <c r="BT626" s="27" t="s">
        <v>7</v>
      </c>
      <c r="BU626" s="27" t="s">
        <v>8</v>
      </c>
    </row>
    <row r="627" spans="1:73" x14ac:dyDescent="0.25">
      <c r="A627" s="7">
        <v>0.45289041518523643</v>
      </c>
      <c r="B627"/>
      <c r="C627"/>
      <c r="D627"/>
      <c r="E627"/>
      <c r="AH627" s="27" t="s">
        <v>7</v>
      </c>
      <c r="AI627" s="27" t="s">
        <v>8</v>
      </c>
      <c r="AJ627" s="27" t="s">
        <v>7</v>
      </c>
      <c r="AM627" s="27" t="s">
        <v>8</v>
      </c>
      <c r="AN627" s="27" t="s">
        <v>7</v>
      </c>
      <c r="AQ627" s="27" t="s">
        <v>8</v>
      </c>
      <c r="AR627" s="27" t="s">
        <v>7</v>
      </c>
      <c r="AS627" s="27" t="s">
        <v>8</v>
      </c>
      <c r="BP627" s="27" t="s">
        <v>7</v>
      </c>
      <c r="BQ627" s="27" t="s">
        <v>8</v>
      </c>
      <c r="BR627" s="27" t="s">
        <v>7</v>
      </c>
      <c r="BS627" s="27" t="s">
        <v>8</v>
      </c>
      <c r="BT627" s="27" t="s">
        <v>7</v>
      </c>
      <c r="BU627" s="27" t="s">
        <v>8</v>
      </c>
    </row>
    <row r="628" spans="1:73" x14ac:dyDescent="0.25">
      <c r="A628" s="7">
        <v>0.44401021096591808</v>
      </c>
      <c r="B628"/>
      <c r="C628"/>
      <c r="D628"/>
      <c r="E628"/>
      <c r="AH628" s="27" t="s">
        <v>7</v>
      </c>
      <c r="AI628" s="27" t="s">
        <v>8</v>
      </c>
      <c r="AJ628" s="27" t="s">
        <v>7</v>
      </c>
      <c r="AM628" s="27" t="s">
        <v>8</v>
      </c>
      <c r="AN628" s="27" t="s">
        <v>7</v>
      </c>
      <c r="AO628" s="27" t="s">
        <v>8</v>
      </c>
      <c r="AQ628" s="27" t="s">
        <v>8</v>
      </c>
      <c r="AR628" s="27" t="s">
        <v>7</v>
      </c>
      <c r="AS628" s="27" t="s">
        <v>8</v>
      </c>
      <c r="BP628" s="27" t="s">
        <v>7</v>
      </c>
      <c r="BQ628" s="27" t="s">
        <v>8</v>
      </c>
      <c r="BR628" s="27" t="s">
        <v>7</v>
      </c>
      <c r="BT628" s="27" t="s">
        <v>7</v>
      </c>
    </row>
    <row r="629" spans="1:73" x14ac:dyDescent="0.25">
      <c r="A629" s="7">
        <v>0.4353041283979589</v>
      </c>
      <c r="B629"/>
      <c r="C629"/>
      <c r="D629"/>
      <c r="E629"/>
      <c r="AH629" s="27" t="s">
        <v>7</v>
      </c>
      <c r="AI629" s="27" t="s">
        <v>8</v>
      </c>
      <c r="AJ629" s="27" t="s">
        <v>7</v>
      </c>
      <c r="AM629" s="27" t="s">
        <v>8</v>
      </c>
      <c r="AN629" s="27" t="s">
        <v>7</v>
      </c>
      <c r="AO629" s="27" t="s">
        <v>8</v>
      </c>
      <c r="AP629" s="27" t="s">
        <v>7</v>
      </c>
      <c r="AQ629" s="27" t="s">
        <v>8</v>
      </c>
      <c r="AR629" s="27" t="s">
        <v>7</v>
      </c>
      <c r="AS629" s="27" t="s">
        <v>8</v>
      </c>
      <c r="BP629" s="27" t="s">
        <v>7</v>
      </c>
      <c r="BQ629" s="27" t="s">
        <v>8</v>
      </c>
    </row>
    <row r="630" spans="1:73" x14ac:dyDescent="0.25">
      <c r="A630" s="7">
        <v>0.4267687533313323</v>
      </c>
      <c r="B630"/>
      <c r="C630"/>
      <c r="D630"/>
      <c r="E630"/>
      <c r="AH630" s="27" t="s">
        <v>7</v>
      </c>
      <c r="AI630" s="27" t="s">
        <v>8</v>
      </c>
      <c r="AJ630" s="27" t="s">
        <v>7</v>
      </c>
      <c r="AK630" s="27" t="s">
        <v>8</v>
      </c>
      <c r="AM630" s="27" t="s">
        <v>8</v>
      </c>
      <c r="AN630" s="27" t="s">
        <v>7</v>
      </c>
      <c r="AO630" s="27" t="s">
        <v>8</v>
      </c>
      <c r="AP630" s="27" t="s">
        <v>7</v>
      </c>
      <c r="AQ630" s="27" t="s">
        <v>8</v>
      </c>
      <c r="AR630" s="27" t="s">
        <v>7</v>
      </c>
      <c r="BP630" s="27" t="s">
        <v>7</v>
      </c>
      <c r="BQ630" s="27" t="s">
        <v>8</v>
      </c>
    </row>
    <row r="631" spans="1:73" x14ac:dyDescent="0.25">
      <c r="A631" s="7">
        <v>0.41840073856012971</v>
      </c>
      <c r="B631"/>
      <c r="C631"/>
      <c r="D631"/>
      <c r="E631"/>
      <c r="AH631" s="27" t="s">
        <v>7</v>
      </c>
      <c r="AJ631" s="27" t="s">
        <v>7</v>
      </c>
      <c r="AK631" s="27" t="s">
        <v>8</v>
      </c>
      <c r="AL631" s="27" t="s">
        <v>7</v>
      </c>
      <c r="AM631" s="27" t="s">
        <v>8</v>
      </c>
      <c r="AN631" s="27" t="s">
        <v>7</v>
      </c>
      <c r="AO631" s="27" t="s">
        <v>8</v>
      </c>
      <c r="AP631" s="27" t="s">
        <v>7</v>
      </c>
      <c r="AQ631" s="27" t="s">
        <v>8</v>
      </c>
      <c r="BP631" s="27" t="s">
        <v>7</v>
      </c>
      <c r="BQ631" s="27" t="s">
        <v>8</v>
      </c>
    </row>
    <row r="632" spans="1:73" x14ac:dyDescent="0.25">
      <c r="A632" s="7">
        <v>0.41019680250993112</v>
      </c>
      <c r="B632"/>
      <c r="C632"/>
      <c r="D632"/>
      <c r="E632"/>
      <c r="AJ632" s="27" t="s">
        <v>7</v>
      </c>
      <c r="AK632" s="27" t="s">
        <v>8</v>
      </c>
      <c r="AL632" s="27" t="s">
        <v>7</v>
      </c>
      <c r="AM632" s="27" t="s">
        <v>8</v>
      </c>
      <c r="AN632" s="27" t="s">
        <v>7</v>
      </c>
      <c r="AO632" s="27" t="s">
        <v>8</v>
      </c>
      <c r="AP632" s="27" t="s">
        <v>7</v>
      </c>
      <c r="AQ632" s="27" t="s">
        <v>8</v>
      </c>
      <c r="BP632" s="27" t="s">
        <v>7</v>
      </c>
      <c r="BQ632" s="27" t="s">
        <v>8</v>
      </c>
    </row>
    <row r="633" spans="1:73" x14ac:dyDescent="0.25">
      <c r="A633" s="7">
        <v>0.40215372795091286</v>
      </c>
      <c r="B633"/>
      <c r="C633"/>
      <c r="D633"/>
      <c r="E633"/>
      <c r="AJ633" s="27" t="s">
        <v>7</v>
      </c>
      <c r="AK633" s="27" t="s">
        <v>8</v>
      </c>
      <c r="AL633" s="27" t="s">
        <v>7</v>
      </c>
      <c r="AM633" s="27" t="s">
        <v>8</v>
      </c>
      <c r="AN633" s="27" t="s">
        <v>7</v>
      </c>
      <c r="AO633" s="27" t="s">
        <v>8</v>
      </c>
      <c r="AP633" s="27" t="s">
        <v>7</v>
      </c>
      <c r="AQ633" s="27" t="s">
        <v>8</v>
      </c>
      <c r="BP633" s="27" t="s">
        <v>7</v>
      </c>
      <c r="BQ633" s="27" t="s">
        <v>8</v>
      </c>
    </row>
    <row r="634" spans="1:73" x14ac:dyDescent="0.25">
      <c r="A634" s="7">
        <v>0.39426836073618904</v>
      </c>
      <c r="B634"/>
      <c r="C634"/>
      <c r="D634"/>
      <c r="E634"/>
      <c r="AJ634" s="27" t="s">
        <v>7</v>
      </c>
      <c r="AK634" s="27" t="s">
        <v>8</v>
      </c>
      <c r="AL634" s="27" t="s">
        <v>7</v>
      </c>
      <c r="AM634" s="27" t="s">
        <v>8</v>
      </c>
      <c r="AN634" s="27" t="s">
        <v>7</v>
      </c>
      <c r="AO634" s="27" t="s">
        <v>8</v>
      </c>
      <c r="AP634" s="27" t="s">
        <v>7</v>
      </c>
      <c r="AQ634" s="27" t="s">
        <v>8</v>
      </c>
      <c r="BP634" s="27" t="s">
        <v>7</v>
      </c>
      <c r="BQ634" s="27" t="s">
        <v>8</v>
      </c>
    </row>
    <row r="635" spans="1:73" x14ac:dyDescent="0.25">
      <c r="A635" s="7">
        <v>0.38653760856489122</v>
      </c>
      <c r="B635"/>
      <c r="C635"/>
      <c r="D635"/>
      <c r="E635"/>
      <c r="AJ635" s="27" t="s">
        <v>7</v>
      </c>
      <c r="AK635" s="27" t="s">
        <v>8</v>
      </c>
      <c r="AL635" s="27" t="s">
        <v>7</v>
      </c>
      <c r="AM635" s="27" t="s">
        <v>8</v>
      </c>
      <c r="AN635" s="27" t="s">
        <v>7</v>
      </c>
      <c r="AO635" s="27" t="s">
        <v>8</v>
      </c>
      <c r="AP635" s="27" t="s">
        <v>7</v>
      </c>
      <c r="AQ635" s="27" t="s">
        <v>8</v>
      </c>
      <c r="BP635" s="27" t="s">
        <v>7</v>
      </c>
    </row>
    <row r="636" spans="1:73" x14ac:dyDescent="0.25">
      <c r="A636" s="7">
        <v>0.37895843976950117</v>
      </c>
      <c r="B636"/>
      <c r="C636"/>
      <c r="D636"/>
      <c r="E636"/>
      <c r="AJ636" s="27" t="s">
        <v>7</v>
      </c>
      <c r="AK636" s="27" t="s">
        <v>8</v>
      </c>
      <c r="AL636" s="27" t="s">
        <v>7</v>
      </c>
      <c r="AM636" s="27" t="s">
        <v>8</v>
      </c>
      <c r="AN636" s="27" t="s">
        <v>7</v>
      </c>
      <c r="AP636" s="27" t="s">
        <v>7</v>
      </c>
      <c r="AQ636" s="27" t="s">
        <v>8</v>
      </c>
    </row>
    <row r="637" spans="1:73" x14ac:dyDescent="0.25">
      <c r="A637" s="7">
        <v>0.37152788212696197</v>
      </c>
      <c r="B637"/>
      <c r="C637"/>
      <c r="D637"/>
      <c r="E637"/>
      <c r="AJ637" s="27" t="s">
        <v>7</v>
      </c>
      <c r="AK637" s="27" t="s">
        <v>8</v>
      </c>
      <c r="AL637" s="27" t="s">
        <v>7</v>
      </c>
      <c r="AM637" s="27" t="s">
        <v>8</v>
      </c>
      <c r="AP637" s="27" t="s">
        <v>7</v>
      </c>
      <c r="AQ637" s="27" t="s">
        <v>8</v>
      </c>
    </row>
    <row r="638" spans="1:73" x14ac:dyDescent="0.25">
      <c r="A638" s="7">
        <v>0.36424302169310002</v>
      </c>
      <c r="B638"/>
      <c r="C638"/>
      <c r="D638"/>
      <c r="E638"/>
      <c r="AJ638" s="27" t="s">
        <v>7</v>
      </c>
      <c r="AK638" s="27" t="s">
        <v>8</v>
      </c>
      <c r="AL638" s="27" t="s">
        <v>7</v>
      </c>
      <c r="AM638" s="27" t="s">
        <v>8</v>
      </c>
      <c r="AP638" s="27" t="s">
        <v>7</v>
      </c>
      <c r="AQ638" s="27" t="s">
        <v>8</v>
      </c>
    </row>
    <row r="639" spans="1:73" x14ac:dyDescent="0.25">
      <c r="A639" s="7">
        <v>0.35710100165990194</v>
      </c>
      <c r="B639"/>
      <c r="C639"/>
      <c r="D639"/>
      <c r="E639"/>
      <c r="AJ639" s="27" t="s">
        <v>7</v>
      </c>
      <c r="AL639" s="27" t="s">
        <v>7</v>
      </c>
      <c r="AM639" s="27" t="s">
        <v>8</v>
      </c>
      <c r="AP639" s="27" t="s">
        <v>7</v>
      </c>
      <c r="AQ639" s="27" t="s">
        <v>8</v>
      </c>
    </row>
    <row r="640" spans="1:73" x14ac:dyDescent="0.25">
      <c r="A640" s="7">
        <v>0.35009902123519804</v>
      </c>
      <c r="B640"/>
      <c r="C640"/>
      <c r="D640"/>
      <c r="E640"/>
      <c r="AL640" s="27" t="s">
        <v>7</v>
      </c>
      <c r="AM640" s="27" t="s">
        <v>8</v>
      </c>
      <c r="AP640" s="27" t="s">
        <v>7</v>
      </c>
      <c r="AQ640" s="27" t="s">
        <v>8</v>
      </c>
    </row>
    <row r="641" spans="1:43" x14ac:dyDescent="0.25">
      <c r="A641" s="7">
        <v>0.34323433454431179</v>
      </c>
      <c r="B641"/>
      <c r="C641"/>
      <c r="D641"/>
      <c r="E641"/>
      <c r="AL641" s="27" t="s">
        <v>7</v>
      </c>
      <c r="AM641" s="27" t="s">
        <v>8</v>
      </c>
      <c r="AP641" s="27" t="s">
        <v>7</v>
      </c>
      <c r="AQ641" s="27" t="s">
        <v>8</v>
      </c>
    </row>
    <row r="642" spans="1:43" x14ac:dyDescent="0.25">
      <c r="A642" s="7">
        <v>0.33650424955324681</v>
      </c>
      <c r="B642"/>
      <c r="C642"/>
      <c r="D642"/>
      <c r="E642"/>
      <c r="AL642" s="27" t="s">
        <v>7</v>
      </c>
      <c r="AM642" s="27" t="s">
        <v>8</v>
      </c>
      <c r="AP642" s="27" t="s">
        <v>7</v>
      </c>
    </row>
    <row r="643" spans="1:43" x14ac:dyDescent="0.25">
      <c r="A643" s="7">
        <v>0.3299061270129871</v>
      </c>
      <c r="B643"/>
      <c r="C643"/>
      <c r="D643"/>
      <c r="E643"/>
      <c r="AL643" s="27" t="s">
        <v>7</v>
      </c>
    </row>
    <row r="644" spans="1:43" x14ac:dyDescent="0.25">
      <c r="A644" s="7">
        <v>0.32343737942449713</v>
      </c>
      <c r="B644"/>
      <c r="C644"/>
      <c r="D644"/>
      <c r="E644"/>
    </row>
    <row r="645" spans="1:43" x14ac:dyDescent="0.25">
      <c r="A645" s="7">
        <v>0.31709547002401678</v>
      </c>
      <c r="B645"/>
      <c r="C645"/>
      <c r="D645"/>
      <c r="E645"/>
    </row>
    <row r="646" spans="1:43" x14ac:dyDescent="0.25">
      <c r="A646" s="7">
        <v>0.31087791178825175</v>
      </c>
      <c r="B646"/>
      <c r="C646"/>
      <c r="D646"/>
      <c r="E646"/>
    </row>
    <row r="647" spans="1:43" x14ac:dyDescent="0.25">
      <c r="A647" s="7">
        <v>0.30478226645907036</v>
      </c>
      <c r="B647"/>
      <c r="C647"/>
      <c r="D647"/>
      <c r="E647"/>
    </row>
    <row r="648" spans="1:43" x14ac:dyDescent="0.25">
      <c r="A648" s="7">
        <v>0.29880614358732388</v>
      </c>
      <c r="B648"/>
      <c r="C648"/>
      <c r="D648"/>
      <c r="E648"/>
    </row>
    <row r="649" spans="1:43" x14ac:dyDescent="0.25">
      <c r="A649" s="7">
        <v>0.2929471995954156</v>
      </c>
      <c r="B649"/>
      <c r="C649"/>
      <c r="D649"/>
      <c r="E649"/>
    </row>
    <row r="650" spans="1:43" x14ac:dyDescent="0.25">
      <c r="A650" s="7">
        <v>0.28720313685825055</v>
      </c>
      <c r="B650"/>
      <c r="C650"/>
      <c r="D650"/>
      <c r="E650"/>
    </row>
    <row r="651" spans="1:43" x14ac:dyDescent="0.25">
      <c r="A651" s="7">
        <v>0.28157170280220645</v>
      </c>
      <c r="B651"/>
      <c r="C651"/>
      <c r="D651"/>
      <c r="E651"/>
    </row>
    <row r="652" spans="1:43" x14ac:dyDescent="0.25">
      <c r="A652" s="7">
        <v>0.27605068902177105</v>
      </c>
      <c r="B652"/>
      <c r="C652"/>
      <c r="D652"/>
      <c r="E652"/>
    </row>
    <row r="653" spans="1:43" x14ac:dyDescent="0.25">
      <c r="A653" s="7">
        <v>0.27063793041350104</v>
      </c>
      <c r="B653"/>
      <c r="C653"/>
      <c r="D653"/>
      <c r="E653"/>
    </row>
    <row r="654" spans="1:43" x14ac:dyDescent="0.25">
      <c r="A654" s="7">
        <v>0.26533130432696184</v>
      </c>
      <c r="B654"/>
      <c r="C654"/>
      <c r="D654"/>
      <c r="E654"/>
    </row>
    <row r="655" spans="1:43" x14ac:dyDescent="0.25">
      <c r="A655" s="7">
        <v>0.26012872973231554</v>
      </c>
      <c r="B655"/>
      <c r="C655"/>
      <c r="D655"/>
      <c r="E655"/>
    </row>
    <row r="656" spans="1:43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36" operator="equal">
      <formula>$U$1</formula>
    </cfRule>
    <cfRule type="cellIs" dxfId="89" priority="937" operator="equal">
      <formula>$S$1</formula>
    </cfRule>
  </conditionalFormatting>
  <conditionalFormatting sqref="D27">
    <cfRule type="cellIs" dxfId="88" priority="934" operator="equal">
      <formula>$S$1</formula>
    </cfRule>
    <cfRule type="cellIs" dxfId="87" priority="935" operator="equal">
      <formula>$U$1</formula>
    </cfRule>
  </conditionalFormatting>
  <conditionalFormatting sqref="C164">
    <cfRule type="cellIs" dxfId="86" priority="932" operator="equal">
      <formula>$U$1</formula>
    </cfRule>
    <cfRule type="cellIs" dxfId="85" priority="933" operator="equal">
      <formula>$S$1</formula>
    </cfRule>
  </conditionalFormatting>
  <conditionalFormatting sqref="D164">
    <cfRule type="cellIs" dxfId="84" priority="930" operator="equal">
      <formula>$S$1</formula>
    </cfRule>
    <cfRule type="cellIs" dxfId="83" priority="931" operator="equal">
      <formula>$U$1</formula>
    </cfRule>
  </conditionalFormatting>
  <conditionalFormatting sqref="C55">
    <cfRule type="cellIs" dxfId="82" priority="928" operator="equal">
      <formula>$U$1</formula>
    </cfRule>
    <cfRule type="cellIs" dxfId="81" priority="929" operator="equal">
      <formula>$S$1</formula>
    </cfRule>
  </conditionalFormatting>
  <conditionalFormatting sqref="D55">
    <cfRule type="cellIs" dxfId="80" priority="926" operator="equal">
      <formula>$S$1</formula>
    </cfRule>
    <cfRule type="cellIs" dxfId="79" priority="927" operator="equal">
      <formula>$U$1</formula>
    </cfRule>
  </conditionalFormatting>
  <conditionalFormatting sqref="C89">
    <cfRule type="cellIs" dxfId="78" priority="924" operator="equal">
      <formula>$U$1</formula>
    </cfRule>
    <cfRule type="cellIs" dxfId="77" priority="925" operator="equal">
      <formula>$S$1</formula>
    </cfRule>
  </conditionalFormatting>
  <conditionalFormatting sqref="D89">
    <cfRule type="cellIs" dxfId="76" priority="922" operator="equal">
      <formula>$S$1</formula>
    </cfRule>
    <cfRule type="cellIs" dxfId="75" priority="923" operator="equal">
      <formula>$U$1</formula>
    </cfRule>
  </conditionalFormatting>
  <conditionalFormatting sqref="C136">
    <cfRule type="cellIs" dxfId="74" priority="920" operator="equal">
      <formula>$U$1</formula>
    </cfRule>
    <cfRule type="cellIs" dxfId="73" priority="921" operator="equal">
      <formula>$S$1</formula>
    </cfRule>
  </conditionalFormatting>
  <conditionalFormatting sqref="D136">
    <cfRule type="cellIs" dxfId="72" priority="918" operator="equal">
      <formula>$S$1</formula>
    </cfRule>
    <cfRule type="cellIs" dxfId="71" priority="919" operator="equal">
      <formula>$U$1</formula>
    </cfRule>
  </conditionalFormatting>
  <conditionalFormatting sqref="C1">
    <cfRule type="cellIs" dxfId="70" priority="91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95" zoomScale="90" zoomScaleNormal="90" workbookViewId="0">
      <pane xSplit="4" topLeftCell="DI1" activePane="topRight" state="frozen"/>
      <selection activeCell="A109" sqref="A109"/>
      <selection pane="topRight" activeCell="FH219" sqref="FH21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$A$218</v>
      </c>
      <c r="D111" s="1" t="str">
        <f>ADDRESS(C121-1,D121,1,1)</f>
        <v>$FH$218</v>
      </c>
      <c r="E111"/>
    </row>
    <row r="112" spans="1:5" x14ac:dyDescent="0.25">
      <c r="A112" s="30">
        <v>515.50191262726139</v>
      </c>
      <c r="C112" s="1" t="str">
        <f>ADDRESS(C121,1,1,1)</f>
        <v>$A$219</v>
      </c>
      <c r="D112" s="1" t="str">
        <f>ADDRESS(C121,D121-1,1,1)</f>
        <v>$FG$219</v>
      </c>
      <c r="E112"/>
    </row>
    <row r="113" spans="1:5" x14ac:dyDescent="0.25">
      <c r="A113" s="30">
        <v>490.95420250215363</v>
      </c>
      <c r="C113" s="1" t="str">
        <f>ADDRESS(C121+1,1,1,1)</f>
        <v>$A$220</v>
      </c>
      <c r="D113" s="1" t="str">
        <f>ADDRESS(C121-1,D121+1,1,1)</f>
        <v>$FI$218</v>
      </c>
    </row>
    <row r="114" spans="1:5" x14ac:dyDescent="0.25">
      <c r="A114" s="30">
        <v>467.57543095443202</v>
      </c>
      <c r="C114" s="1" t="str">
        <f>ADDRESS(C121,D121,1,1)</f>
        <v>$FH$219</v>
      </c>
      <c r="D114" s="1" t="str">
        <f>ADDRESS(C121+1,D121+1,1,1)</f>
        <v>$FI$220</v>
      </c>
    </row>
    <row r="115" spans="1:5" x14ac:dyDescent="0.25">
      <c r="A115" s="30">
        <v>445.30993424231622</v>
      </c>
      <c r="C115" s="1" t="str">
        <f>ADDRESS(C121+1,D121,1,1)</f>
        <v>$FH$220</v>
      </c>
    </row>
    <row r="116" spans="1:5" x14ac:dyDescent="0.25">
      <c r="A116" s="30">
        <v>424.10469927839637</v>
      </c>
      <c r="C116" s="1">
        <f>C117-1</f>
        <v>218</v>
      </c>
    </row>
    <row r="117" spans="1:5" x14ac:dyDescent="0.25">
      <c r="A117" s="30">
        <v>403.9092374079965</v>
      </c>
      <c r="C117" s="1">
        <f>C121</f>
        <v>219</v>
      </c>
      <c r="D117" s="1">
        <f>D121</f>
        <v>164</v>
      </c>
    </row>
    <row r="118" spans="1:5" x14ac:dyDescent="0.25">
      <c r="A118" s="30">
        <v>384.6754641980919</v>
      </c>
      <c r="C118" s="1">
        <f>C117+1</f>
        <v>220</v>
      </c>
      <c r="D118" s="1">
        <f>D117+1</f>
        <v>165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219</v>
      </c>
      <c r="D121" s="19">
        <v>164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R219</v>
      </c>
      <c r="D123" s="1" t="str">
        <f>"C"&amp;D121</f>
        <v>C164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2.7859625904016441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60" x14ac:dyDescent="0.25">
      <c r="A193" s="30">
        <v>9.9059710923258422</v>
      </c>
      <c r="E193"/>
    </row>
    <row r="194" spans="1:160" x14ac:dyDescent="0.25">
      <c r="A194" s="30">
        <v>9.4342581831674686</v>
      </c>
      <c r="E194"/>
    </row>
    <row r="195" spans="1:160" x14ac:dyDescent="0.25">
      <c r="A195" s="30">
        <v>8.9850077934928265</v>
      </c>
      <c r="E195"/>
    </row>
    <row r="196" spans="1:160" x14ac:dyDescent="0.25">
      <c r="A196" s="30">
        <v>8.5571502795169767</v>
      </c>
      <c r="E196"/>
    </row>
    <row r="197" spans="1:160" x14ac:dyDescent="0.25">
      <c r="A197" s="30">
        <v>8.1496669328733109</v>
      </c>
      <c r="E197"/>
    </row>
    <row r="198" spans="1:160" x14ac:dyDescent="0.25">
      <c r="A198" s="30">
        <v>7.7615875551174378</v>
      </c>
      <c r="E198"/>
    </row>
    <row r="199" spans="1:160" x14ac:dyDescent="0.25">
      <c r="A199" s="30">
        <v>7.3919881477308929</v>
      </c>
      <c r="E199" t="s">
        <v>8</v>
      </c>
    </row>
    <row r="200" spans="1:160" x14ac:dyDescent="0.25">
      <c r="A200" s="30">
        <v>7.0399887121246598</v>
      </c>
      <c r="E200" t="s">
        <v>8</v>
      </c>
      <c r="F200" s="27" t="s">
        <v>7</v>
      </c>
    </row>
    <row r="201" spans="1:160" x14ac:dyDescent="0.25">
      <c r="A201" s="30">
        <v>6.7047511544044376</v>
      </c>
      <c r="E201" t="s">
        <v>8</v>
      </c>
      <c r="F201" s="27" t="s">
        <v>7</v>
      </c>
      <c r="FA201" s="27" t="s">
        <v>8</v>
      </c>
    </row>
    <row r="202" spans="1:160" x14ac:dyDescent="0.25">
      <c r="A202" s="30">
        <v>6.3854772899089882</v>
      </c>
      <c r="E202" t="s">
        <v>8</v>
      </c>
      <c r="F202" s="27" t="s">
        <v>7</v>
      </c>
      <c r="EO202" s="31" t="s">
        <v>8</v>
      </c>
      <c r="FA202" s="27" t="s">
        <v>8</v>
      </c>
      <c r="FB202" s="27" t="s">
        <v>7</v>
      </c>
    </row>
    <row r="203" spans="1:160" x14ac:dyDescent="0.25">
      <c r="A203" s="30">
        <v>6.0814069427704647</v>
      </c>
      <c r="C203" s="7"/>
      <c r="D203"/>
      <c r="E203" t="s">
        <v>8</v>
      </c>
      <c r="F203" s="27" t="s">
        <v>7</v>
      </c>
      <c r="EO203" s="27" t="s">
        <v>8</v>
      </c>
      <c r="EP203" s="31" t="s">
        <v>7</v>
      </c>
      <c r="FA203" s="27" t="s">
        <v>8</v>
      </c>
      <c r="FB203" s="27" t="s">
        <v>7</v>
      </c>
    </row>
    <row r="204" spans="1:160" x14ac:dyDescent="0.25">
      <c r="A204" s="30">
        <v>5.7918161359718709</v>
      </c>
      <c r="E204" t="s">
        <v>8</v>
      </c>
      <c r="F204" s="27" t="s">
        <v>7</v>
      </c>
      <c r="EO204" s="27" t="s">
        <v>8</v>
      </c>
      <c r="EP204" s="27" t="s">
        <v>7</v>
      </c>
      <c r="EQ204" s="31"/>
      <c r="EY204" s="27" t="s">
        <v>8</v>
      </c>
      <c r="FA204" s="27" t="s">
        <v>8</v>
      </c>
      <c r="FB204" s="27" t="s">
        <v>7</v>
      </c>
    </row>
    <row r="205" spans="1:160" x14ac:dyDescent="0.25">
      <c r="A205" s="30">
        <v>5.5160153675922574</v>
      </c>
      <c r="E205" t="s">
        <v>8</v>
      </c>
      <c r="F205" s="27" t="s">
        <v>7</v>
      </c>
      <c r="M205" s="27" t="s">
        <v>8</v>
      </c>
      <c r="EO205" s="27" t="s">
        <v>8</v>
      </c>
      <c r="EP205" s="27" t="s">
        <v>7</v>
      </c>
      <c r="ER205" s="31"/>
      <c r="EY205" s="27" t="s">
        <v>8</v>
      </c>
      <c r="EZ205" s="27" t="s">
        <v>7</v>
      </c>
      <c r="FA205" s="27" t="s">
        <v>8</v>
      </c>
      <c r="FB205" s="27" t="s">
        <v>7</v>
      </c>
    </row>
    <row r="206" spans="1:160" x14ac:dyDescent="0.25">
      <c r="A206" s="30">
        <v>5.2533479691354827</v>
      </c>
      <c r="C206"/>
      <c r="D206"/>
      <c r="E206" t="s">
        <v>8</v>
      </c>
      <c r="F206" s="27" t="s">
        <v>7</v>
      </c>
      <c r="M206" s="27" t="s">
        <v>8</v>
      </c>
      <c r="N206" s="27" t="s">
        <v>7</v>
      </c>
      <c r="EG206" s="32" t="s">
        <v>8</v>
      </c>
      <c r="EI206" s="32" t="s">
        <v>8</v>
      </c>
      <c r="EO206" s="27" t="s">
        <v>8</v>
      </c>
      <c r="EP206" s="27" t="s">
        <v>7</v>
      </c>
      <c r="EQ206" s="27" t="s">
        <v>8</v>
      </c>
      <c r="ES206" s="31"/>
      <c r="EY206" s="27" t="s">
        <v>8</v>
      </c>
      <c r="EZ206" s="27" t="s">
        <v>7</v>
      </c>
      <c r="FA206" s="27" t="s">
        <v>8</v>
      </c>
      <c r="FB206" s="27" t="s">
        <v>7</v>
      </c>
      <c r="FC206" s="27" t="s">
        <v>8</v>
      </c>
    </row>
    <row r="207" spans="1:160" x14ac:dyDescent="0.25">
      <c r="A207" s="30">
        <v>5.0031885420337927</v>
      </c>
      <c r="E207" t="s">
        <v>8</v>
      </c>
      <c r="F207" s="27" t="s">
        <v>7</v>
      </c>
      <c r="G207" s="27" t="s">
        <v>8</v>
      </c>
      <c r="M207" s="27" t="s">
        <v>8</v>
      </c>
      <c r="N207" s="27" t="s">
        <v>7</v>
      </c>
      <c r="EG207" s="27" t="s">
        <v>8</v>
      </c>
      <c r="EH207" s="27" t="s">
        <v>7</v>
      </c>
      <c r="EI207" s="27" t="s">
        <v>8</v>
      </c>
      <c r="EJ207" s="31" t="s">
        <v>7</v>
      </c>
      <c r="EO207" s="27" t="s">
        <v>8</v>
      </c>
      <c r="EP207" s="27" t="s">
        <v>7</v>
      </c>
      <c r="EQ207" s="27" t="s">
        <v>8</v>
      </c>
      <c r="ER207" s="27" t="s">
        <v>7</v>
      </c>
      <c r="ET207" s="31"/>
      <c r="EY207" s="27" t="s">
        <v>8</v>
      </c>
      <c r="EZ207" s="27" t="s">
        <v>7</v>
      </c>
      <c r="FA207" s="27" t="s">
        <v>8</v>
      </c>
      <c r="FB207" s="27" t="s">
        <v>7</v>
      </c>
      <c r="FC207" s="27" t="s">
        <v>8</v>
      </c>
      <c r="FD207" s="27" t="s">
        <v>7</v>
      </c>
    </row>
    <row r="208" spans="1:160" x14ac:dyDescent="0.25">
      <c r="A208" s="30">
        <v>4.7649414686036122</v>
      </c>
      <c r="E208" t="s">
        <v>8</v>
      </c>
      <c r="F208" s="27" t="s">
        <v>7</v>
      </c>
      <c r="G208" s="27" t="s">
        <v>8</v>
      </c>
      <c r="H208" s="27" t="s">
        <v>7</v>
      </c>
      <c r="M208" s="27" t="s">
        <v>8</v>
      </c>
      <c r="N208" s="27" t="s">
        <v>7</v>
      </c>
      <c r="EG208" s="27" t="s">
        <v>8</v>
      </c>
      <c r="EH208" s="27" t="s">
        <v>7</v>
      </c>
      <c r="EI208" s="27" t="s">
        <v>8</v>
      </c>
      <c r="EJ208" s="27" t="s">
        <v>7</v>
      </c>
      <c r="EK208" s="31" t="s">
        <v>8</v>
      </c>
      <c r="EO208" s="27" t="s">
        <v>8</v>
      </c>
      <c r="EP208" s="27" t="s">
        <v>7</v>
      </c>
      <c r="EQ208" s="27" t="s">
        <v>8</v>
      </c>
      <c r="ER208" s="27" t="s">
        <v>7</v>
      </c>
      <c r="EU208" s="31"/>
      <c r="EY208" s="27" t="s">
        <v>8</v>
      </c>
      <c r="EZ208" s="27" t="s">
        <v>7</v>
      </c>
      <c r="FB208" s="27" t="s">
        <v>7</v>
      </c>
      <c r="FC208" s="27" t="s">
        <v>8</v>
      </c>
      <c r="FD208" s="27" t="s">
        <v>7</v>
      </c>
    </row>
    <row r="209" spans="1:164" x14ac:dyDescent="0.25">
      <c r="A209" s="30">
        <v>4.5380394939082018</v>
      </c>
      <c r="E209" t="s">
        <v>8</v>
      </c>
      <c r="F209" s="27" t="s">
        <v>7</v>
      </c>
      <c r="G209" s="27" t="s">
        <v>8</v>
      </c>
      <c r="H209" s="27" t="s">
        <v>7</v>
      </c>
      <c r="M209" s="27" t="s">
        <v>8</v>
      </c>
      <c r="N209" s="27" t="s">
        <v>7</v>
      </c>
      <c r="CI209" s="27" t="s">
        <v>8</v>
      </c>
      <c r="EG209" s="27" t="s">
        <v>8</v>
      </c>
      <c r="EH209" s="27" t="s">
        <v>7</v>
      </c>
      <c r="EI209" s="27" t="s">
        <v>8</v>
      </c>
      <c r="EJ209" s="27" t="s">
        <v>7</v>
      </c>
      <c r="EK209" s="27" t="s">
        <v>8</v>
      </c>
      <c r="EL209" s="31" t="s">
        <v>7</v>
      </c>
      <c r="EO209" s="27" t="s">
        <v>8</v>
      </c>
      <c r="EP209" s="27" t="s">
        <v>7</v>
      </c>
      <c r="EQ209" s="27" t="s">
        <v>8</v>
      </c>
      <c r="ER209" s="27" t="s">
        <v>7</v>
      </c>
      <c r="EV209" s="31"/>
      <c r="EW209" s="27" t="s">
        <v>8</v>
      </c>
      <c r="EY209" s="27" t="s">
        <v>8</v>
      </c>
      <c r="FB209" s="27" t="s">
        <v>7</v>
      </c>
      <c r="FC209" s="35" t="s">
        <v>8</v>
      </c>
      <c r="FD209" s="27" t="s">
        <v>7</v>
      </c>
    </row>
    <row r="210" spans="1:164" x14ac:dyDescent="0.25">
      <c r="A210" s="30">
        <v>4.3219423751506678</v>
      </c>
      <c r="C210"/>
      <c r="E210" t="s">
        <v>8</v>
      </c>
      <c r="F210" s="27" t="s">
        <v>7</v>
      </c>
      <c r="G210" s="27" t="s">
        <v>8</v>
      </c>
      <c r="H210" s="27" t="s">
        <v>7</v>
      </c>
      <c r="M210" s="27" t="s">
        <v>8</v>
      </c>
      <c r="N210" s="27" t="s">
        <v>7</v>
      </c>
      <c r="CI210" s="27" t="s">
        <v>8</v>
      </c>
      <c r="CJ210" s="27" t="s">
        <v>7</v>
      </c>
      <c r="EG210" s="27" t="s">
        <v>8</v>
      </c>
      <c r="EH210" s="27" t="s">
        <v>7</v>
      </c>
      <c r="EI210" s="27" t="s">
        <v>8</v>
      </c>
      <c r="EJ210" s="27" t="s">
        <v>7</v>
      </c>
      <c r="EK210" s="27" t="s">
        <v>8</v>
      </c>
      <c r="EL210" s="27" t="s">
        <v>7</v>
      </c>
      <c r="EM210" s="31" t="s">
        <v>8</v>
      </c>
      <c r="EO210" s="27" t="s">
        <v>8</v>
      </c>
      <c r="EP210" s="27" t="s">
        <v>7</v>
      </c>
      <c r="ER210" s="27" t="s">
        <v>7</v>
      </c>
      <c r="ES210" s="19"/>
      <c r="EW210" s="27" t="s">
        <v>8</v>
      </c>
      <c r="EX210" s="27" t="s">
        <v>7</v>
      </c>
      <c r="EY210" s="27" t="s">
        <v>8</v>
      </c>
      <c r="FB210" s="35" t="s">
        <v>7</v>
      </c>
      <c r="FC210" s="27" t="s">
        <v>8</v>
      </c>
      <c r="FD210" s="27" t="s">
        <v>7</v>
      </c>
    </row>
    <row r="211" spans="1:164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H211" s="27" t="s">
        <v>7</v>
      </c>
      <c r="I211" s="27" t="s">
        <v>8</v>
      </c>
      <c r="M211" s="27" t="s">
        <v>8</v>
      </c>
      <c r="N211" s="27" t="s">
        <v>7</v>
      </c>
      <c r="CI211" s="27" t="s">
        <v>8</v>
      </c>
      <c r="CJ211" s="27" t="s">
        <v>7</v>
      </c>
      <c r="CS211" s="31" t="s">
        <v>8</v>
      </c>
      <c r="EG211" s="27" t="s">
        <v>8</v>
      </c>
      <c r="EH211" s="27" t="s">
        <v>7</v>
      </c>
      <c r="EJ211" s="27" t="s">
        <v>7</v>
      </c>
      <c r="EK211" s="27" t="s">
        <v>8</v>
      </c>
      <c r="EL211" s="27" t="s">
        <v>7</v>
      </c>
      <c r="EM211" s="27" t="s">
        <v>8</v>
      </c>
      <c r="EN211" s="31" t="s">
        <v>7</v>
      </c>
      <c r="EO211" s="27" t="s">
        <v>8</v>
      </c>
      <c r="ER211" s="31" t="s">
        <v>7</v>
      </c>
      <c r="EU211" s="27" t="s">
        <v>8</v>
      </c>
      <c r="EW211" s="27" t="s">
        <v>8</v>
      </c>
      <c r="EX211" s="27" t="s">
        <v>7</v>
      </c>
      <c r="EY211" s="27" t="s">
        <v>8</v>
      </c>
      <c r="FA211" s="35"/>
      <c r="FB211" s="27" t="s">
        <v>7</v>
      </c>
      <c r="FD211" s="27" t="s">
        <v>7</v>
      </c>
    </row>
    <row r="212" spans="1:164" x14ac:dyDescent="0.25">
      <c r="A212" s="30">
        <v>3.9201291384586554</v>
      </c>
      <c r="E212" t="s">
        <v>8</v>
      </c>
      <c r="F212" s="27" t="s">
        <v>7</v>
      </c>
      <c r="G212" s="27" t="s">
        <v>8</v>
      </c>
      <c r="H212" s="27" t="s">
        <v>7</v>
      </c>
      <c r="I212" s="27" t="s">
        <v>8</v>
      </c>
      <c r="J212" s="27" t="s">
        <v>7</v>
      </c>
      <c r="K212" s="27" t="s">
        <v>8</v>
      </c>
      <c r="M212" s="27" t="s">
        <v>8</v>
      </c>
      <c r="N212" s="27" t="s">
        <v>7</v>
      </c>
      <c r="CI212" s="27" t="s">
        <v>8</v>
      </c>
      <c r="CJ212" s="27" t="s">
        <v>7</v>
      </c>
      <c r="CQ212" s="27" t="s">
        <v>8</v>
      </c>
      <c r="CS212" s="27" t="s">
        <v>8</v>
      </c>
      <c r="CT212" s="31" t="s">
        <v>7</v>
      </c>
      <c r="EG212" s="27" t="s">
        <v>8</v>
      </c>
      <c r="EJ212" s="27" t="s">
        <v>7</v>
      </c>
      <c r="EL212" s="27" t="s">
        <v>7</v>
      </c>
      <c r="EM212" s="27" t="s">
        <v>8</v>
      </c>
      <c r="EN212" s="27" t="s">
        <v>7</v>
      </c>
      <c r="EO212" s="27" t="s">
        <v>8</v>
      </c>
      <c r="EQ212" s="31"/>
      <c r="ER212" s="27" t="s">
        <v>7</v>
      </c>
      <c r="ES212" s="27" t="s">
        <v>8</v>
      </c>
      <c r="EU212" s="27" t="s">
        <v>8</v>
      </c>
      <c r="EV212" s="27" t="s">
        <v>7</v>
      </c>
      <c r="EW212" s="27" t="s">
        <v>8</v>
      </c>
      <c r="EX212" s="27" t="s">
        <v>7</v>
      </c>
      <c r="EZ212" s="31"/>
      <c r="FD212" s="27" t="s">
        <v>7</v>
      </c>
    </row>
    <row r="213" spans="1:164" x14ac:dyDescent="0.25">
      <c r="A213" s="30">
        <v>3.7334563223415764</v>
      </c>
      <c r="E213" t="s">
        <v>8</v>
      </c>
      <c r="F213" s="27" t="s">
        <v>7</v>
      </c>
      <c r="G213" s="27" t="s">
        <v>8</v>
      </c>
      <c r="H213" s="27" t="s">
        <v>7</v>
      </c>
      <c r="I213" s="27" t="s">
        <v>8</v>
      </c>
      <c r="J213" s="27" t="s">
        <v>7</v>
      </c>
      <c r="K213" s="27" t="s">
        <v>8</v>
      </c>
      <c r="L213" s="27" t="s">
        <v>7</v>
      </c>
      <c r="M213" s="27" t="s">
        <v>8</v>
      </c>
      <c r="N213" s="27" t="s">
        <v>7</v>
      </c>
      <c r="CI213" s="27" t="s">
        <v>8</v>
      </c>
      <c r="CJ213" s="27" t="s">
        <v>7</v>
      </c>
      <c r="CQ213" s="27" t="s">
        <v>8</v>
      </c>
      <c r="CR213" s="27" t="s">
        <v>7</v>
      </c>
      <c r="CS213" s="27" t="s">
        <v>8</v>
      </c>
      <c r="CT213" s="27" t="s">
        <v>7</v>
      </c>
      <c r="CU213" s="31"/>
      <c r="EG213" s="27" t="s">
        <v>8</v>
      </c>
      <c r="EL213" s="27" t="s">
        <v>7</v>
      </c>
      <c r="EN213" s="31" t="s">
        <v>7</v>
      </c>
      <c r="EO213" s="27" t="s">
        <v>8</v>
      </c>
      <c r="EP213" s="31"/>
      <c r="ER213" s="27" t="s">
        <v>7</v>
      </c>
      <c r="ES213" s="27" t="s">
        <v>8</v>
      </c>
      <c r="ET213" s="27" t="s">
        <v>7</v>
      </c>
      <c r="EU213" s="27" t="s">
        <v>8</v>
      </c>
      <c r="EV213" s="27" t="s">
        <v>7</v>
      </c>
      <c r="EW213" s="27" t="s">
        <v>8</v>
      </c>
      <c r="EY213" s="31"/>
      <c r="FD213" s="27" t="s">
        <v>7</v>
      </c>
    </row>
    <row r="214" spans="1:164" x14ac:dyDescent="0.25">
      <c r="A214" s="30">
        <v>3.5556726879443583</v>
      </c>
      <c r="E214" t="s">
        <v>8</v>
      </c>
      <c r="F214" s="27" t="s">
        <v>7</v>
      </c>
      <c r="G214" s="27" t="s">
        <v>8</v>
      </c>
      <c r="H214" s="27" t="s">
        <v>7</v>
      </c>
      <c r="I214" s="27" t="s">
        <v>8</v>
      </c>
      <c r="J214" s="27" t="s">
        <v>7</v>
      </c>
      <c r="K214" s="27" t="s">
        <v>8</v>
      </c>
      <c r="L214" s="27" t="s">
        <v>7</v>
      </c>
      <c r="M214" s="27" t="s">
        <v>8</v>
      </c>
      <c r="N214" s="27" t="s">
        <v>7</v>
      </c>
      <c r="BM214" s="27" t="s">
        <v>8</v>
      </c>
      <c r="BO214" s="27" t="s">
        <v>8</v>
      </c>
      <c r="CE214" s="27" t="s">
        <v>8</v>
      </c>
      <c r="CI214" s="27" t="s">
        <v>8</v>
      </c>
      <c r="CJ214" s="27" t="s">
        <v>7</v>
      </c>
      <c r="CQ214" s="27" t="s">
        <v>8</v>
      </c>
      <c r="CR214" s="27" t="s">
        <v>7</v>
      </c>
      <c r="CS214" s="27" t="s">
        <v>8</v>
      </c>
      <c r="CT214" s="27" t="s">
        <v>7</v>
      </c>
      <c r="CU214" s="27" t="s">
        <v>8</v>
      </c>
      <c r="CV214" s="31"/>
      <c r="EG214" s="27" t="s">
        <v>8</v>
      </c>
      <c r="EM214" s="31"/>
      <c r="EN214" s="27" t="s">
        <v>7</v>
      </c>
      <c r="EO214" s="31" t="s">
        <v>8</v>
      </c>
      <c r="ER214" s="27" t="s">
        <v>7</v>
      </c>
      <c r="ES214" s="27" t="s">
        <v>8</v>
      </c>
      <c r="ET214" s="27" t="s">
        <v>7</v>
      </c>
      <c r="EU214" s="27" t="s">
        <v>8</v>
      </c>
      <c r="EV214" s="27" t="s">
        <v>7</v>
      </c>
      <c r="EW214" s="27" t="s">
        <v>8</v>
      </c>
      <c r="EX214" s="31"/>
      <c r="FD214" s="27" t="s">
        <v>7</v>
      </c>
    </row>
    <row r="215" spans="1:164" x14ac:dyDescent="0.25">
      <c r="A215" s="30">
        <v>3.3863549408993889</v>
      </c>
      <c r="E215" t="s">
        <v>8</v>
      </c>
      <c r="F215" s="27" t="s">
        <v>7</v>
      </c>
      <c r="G215" s="27" t="s">
        <v>8</v>
      </c>
      <c r="H215" s="27" t="s">
        <v>7</v>
      </c>
      <c r="I215" s="27" t="s">
        <v>8</v>
      </c>
      <c r="J215" s="27" t="s">
        <v>7</v>
      </c>
      <c r="K215" s="27" t="s">
        <v>8</v>
      </c>
      <c r="L215" s="27" t="s">
        <v>7</v>
      </c>
      <c r="M215" s="27" t="s">
        <v>8</v>
      </c>
      <c r="N215" s="27" t="s">
        <v>7</v>
      </c>
      <c r="BM215" s="27" t="s">
        <v>8</v>
      </c>
      <c r="BN215" s="27" t="s">
        <v>7</v>
      </c>
      <c r="BO215" s="27" t="s">
        <v>8</v>
      </c>
      <c r="BP215" s="27" t="s">
        <v>7</v>
      </c>
      <c r="CE215" s="27" t="s">
        <v>8</v>
      </c>
      <c r="CF215" s="27" t="s">
        <v>7</v>
      </c>
      <c r="CG215" s="27" t="s">
        <v>8</v>
      </c>
      <c r="CI215" s="27" t="s">
        <v>8</v>
      </c>
      <c r="CJ215" s="27" t="s">
        <v>7</v>
      </c>
      <c r="CK215" s="27" t="s">
        <v>8</v>
      </c>
      <c r="CO215" s="27" t="s">
        <v>8</v>
      </c>
      <c r="CQ215" s="27" t="s">
        <v>8</v>
      </c>
      <c r="CR215" s="27" t="s">
        <v>7</v>
      </c>
      <c r="CS215" s="27" t="s">
        <v>8</v>
      </c>
      <c r="CT215" s="27" t="s">
        <v>7</v>
      </c>
      <c r="CU215" s="27" t="s">
        <v>8</v>
      </c>
      <c r="CV215" s="27" t="s">
        <v>7</v>
      </c>
      <c r="CW215" s="31"/>
      <c r="DY215" s="27" t="s">
        <v>8</v>
      </c>
      <c r="EG215" s="27" t="s">
        <v>8</v>
      </c>
      <c r="EL215" s="31"/>
      <c r="EN215" s="31" t="s">
        <v>7</v>
      </c>
      <c r="ER215" s="27" t="s">
        <v>7</v>
      </c>
      <c r="ES215" s="27" t="s">
        <v>8</v>
      </c>
      <c r="ET215" s="27" t="s">
        <v>7</v>
      </c>
      <c r="EU215" s="27" t="s">
        <v>8</v>
      </c>
      <c r="EV215" s="27" t="s">
        <v>7</v>
      </c>
      <c r="EW215" s="31" t="s">
        <v>8</v>
      </c>
      <c r="FD215" s="27" t="s">
        <v>7</v>
      </c>
    </row>
    <row r="216" spans="1:164" x14ac:dyDescent="0.25">
      <c r="A216" s="30">
        <v>3.2250999437137038</v>
      </c>
      <c r="E216" t="s">
        <v>8</v>
      </c>
      <c r="F216" s="27" t="s">
        <v>7</v>
      </c>
      <c r="H216" s="27" t="s">
        <v>7</v>
      </c>
      <c r="I216" s="27" t="s">
        <v>8</v>
      </c>
      <c r="J216" s="27" t="s">
        <v>7</v>
      </c>
      <c r="L216" s="27" t="s">
        <v>7</v>
      </c>
      <c r="N216" s="27" t="s">
        <v>7</v>
      </c>
      <c r="O216" s="27" t="s">
        <v>8</v>
      </c>
      <c r="BM216" s="27" t="s">
        <v>8</v>
      </c>
      <c r="BN216" s="27" t="s">
        <v>7</v>
      </c>
      <c r="BO216" s="27" t="s">
        <v>8</v>
      </c>
      <c r="BP216" s="27" t="s">
        <v>7</v>
      </c>
      <c r="BQ216" s="27" t="s">
        <v>8</v>
      </c>
      <c r="CE216" s="27" t="s">
        <v>8</v>
      </c>
      <c r="CF216" s="27" t="s">
        <v>7</v>
      </c>
      <c r="CG216" s="27" t="s">
        <v>8</v>
      </c>
      <c r="CH216" s="27" t="s">
        <v>7</v>
      </c>
      <c r="CI216" s="27" t="s">
        <v>8</v>
      </c>
      <c r="CJ216" s="27" t="s">
        <v>7</v>
      </c>
      <c r="CK216" s="27" t="s">
        <v>8</v>
      </c>
      <c r="CL216" s="27" t="s">
        <v>7</v>
      </c>
      <c r="CM216" s="27" t="s">
        <v>8</v>
      </c>
      <c r="CO216" s="27" t="s">
        <v>8</v>
      </c>
      <c r="CP216" s="27" t="s">
        <v>7</v>
      </c>
      <c r="CQ216" s="27" t="s">
        <v>8</v>
      </c>
      <c r="CR216" s="27" t="s">
        <v>7</v>
      </c>
      <c r="CS216" s="27" t="s">
        <v>8</v>
      </c>
      <c r="CT216" s="27" t="s">
        <v>7</v>
      </c>
      <c r="CU216" s="27" t="s">
        <v>8</v>
      </c>
      <c r="CV216" s="27" t="s">
        <v>7</v>
      </c>
      <c r="CX216" s="31"/>
      <c r="DY216" s="27" t="s">
        <v>8</v>
      </c>
      <c r="DZ216" s="27" t="s">
        <v>7</v>
      </c>
      <c r="EG216" s="27" t="s">
        <v>8</v>
      </c>
      <c r="EK216" s="31"/>
      <c r="ER216" s="27" t="s">
        <v>7</v>
      </c>
      <c r="ES216" s="27" t="s">
        <v>8</v>
      </c>
      <c r="ET216" s="32" t="s">
        <v>7</v>
      </c>
      <c r="EV216" s="32" t="s">
        <v>7</v>
      </c>
      <c r="FD216" s="27" t="s">
        <v>7</v>
      </c>
      <c r="FG216" s="27" t="s">
        <v>8</v>
      </c>
    </row>
    <row r="217" spans="1:164" x14ac:dyDescent="0.25">
      <c r="A217" s="30">
        <v>3.0715237559178128</v>
      </c>
      <c r="E217" t="s">
        <v>8</v>
      </c>
      <c r="H217" s="27" t="s">
        <v>7</v>
      </c>
      <c r="I217" s="27" t="s">
        <v>8</v>
      </c>
      <c r="N217" s="27" t="s">
        <v>7</v>
      </c>
      <c r="O217" s="27" t="s">
        <v>8</v>
      </c>
      <c r="P217" s="27" t="s">
        <v>7</v>
      </c>
      <c r="BM217" s="27" t="s">
        <v>8</v>
      </c>
      <c r="BN217" s="27" t="s">
        <v>7</v>
      </c>
      <c r="BO217" s="27" t="s">
        <v>8</v>
      </c>
      <c r="BP217" s="27" t="s">
        <v>7</v>
      </c>
      <c r="BQ217" s="27" t="s">
        <v>8</v>
      </c>
      <c r="BR217" s="27" t="s">
        <v>7</v>
      </c>
      <c r="CE217" s="27" t="s">
        <v>8</v>
      </c>
      <c r="CF217" s="27" t="s">
        <v>7</v>
      </c>
      <c r="CG217" s="27" t="s">
        <v>8</v>
      </c>
      <c r="CH217" s="27" t="s">
        <v>7</v>
      </c>
      <c r="CI217" s="27" t="s">
        <v>8</v>
      </c>
      <c r="CJ217" s="27" t="s">
        <v>7</v>
      </c>
      <c r="CK217" s="27" t="s">
        <v>8</v>
      </c>
      <c r="CL217" s="27" t="s">
        <v>7</v>
      </c>
      <c r="CM217" s="27" t="s">
        <v>8</v>
      </c>
      <c r="CN217" s="27" t="s">
        <v>7</v>
      </c>
      <c r="CO217" s="27" t="s">
        <v>8</v>
      </c>
      <c r="CP217" s="27" t="s">
        <v>7</v>
      </c>
      <c r="CQ217" s="27" t="s">
        <v>8</v>
      </c>
      <c r="CR217" s="27" t="s">
        <v>7</v>
      </c>
      <c r="CS217" s="27" t="s">
        <v>8</v>
      </c>
      <c r="CT217" s="27" t="s">
        <v>7</v>
      </c>
      <c r="CU217" s="27" t="s">
        <v>8</v>
      </c>
      <c r="CV217" s="27" t="s">
        <v>7</v>
      </c>
      <c r="CY217" s="31"/>
      <c r="DY217" s="27" t="s">
        <v>8</v>
      </c>
      <c r="DZ217" s="27" t="s">
        <v>7</v>
      </c>
      <c r="EE217" s="27" t="s">
        <v>8</v>
      </c>
      <c r="EG217" s="27" t="s">
        <v>8</v>
      </c>
      <c r="EJ217" s="31"/>
      <c r="ER217" s="27" t="s">
        <v>7</v>
      </c>
      <c r="ES217" s="27" t="s">
        <v>8</v>
      </c>
      <c r="FD217" s="27" t="s">
        <v>7</v>
      </c>
      <c r="FE217" s="27" t="s">
        <v>8</v>
      </c>
      <c r="FG217" s="27" t="s">
        <v>8</v>
      </c>
      <c r="FH217" s="27" t="s">
        <v>7</v>
      </c>
    </row>
    <row r="218" spans="1:164" x14ac:dyDescent="0.25">
      <c r="A218" s="30">
        <v>2.9252607199217264</v>
      </c>
      <c r="E218" t="s">
        <v>8</v>
      </c>
      <c r="H218" s="27" t="s">
        <v>7</v>
      </c>
      <c r="I218" s="27" t="s">
        <v>8</v>
      </c>
      <c r="N218" s="27" t="s">
        <v>7</v>
      </c>
      <c r="O218" s="27" t="s">
        <v>8</v>
      </c>
      <c r="P218" s="27" t="s">
        <v>7</v>
      </c>
      <c r="BM218" s="27" t="s">
        <v>8</v>
      </c>
      <c r="BN218" s="27" t="s">
        <v>7</v>
      </c>
      <c r="BO218" s="27" t="s">
        <v>8</v>
      </c>
      <c r="BP218" s="27" t="s">
        <v>7</v>
      </c>
      <c r="BQ218" s="27" t="s">
        <v>8</v>
      </c>
      <c r="BR218" s="27" t="s">
        <v>7</v>
      </c>
      <c r="CA218" s="27" t="s">
        <v>8</v>
      </c>
      <c r="CC218" s="27" t="s">
        <v>8</v>
      </c>
      <c r="CE218" s="27" t="s">
        <v>8</v>
      </c>
      <c r="CF218" s="27" t="s">
        <v>7</v>
      </c>
      <c r="CH218" s="27" t="s">
        <v>7</v>
      </c>
      <c r="CI218" s="27" t="s">
        <v>8</v>
      </c>
      <c r="CJ218" s="27" t="s">
        <v>7</v>
      </c>
      <c r="CK218" s="27" t="s">
        <v>8</v>
      </c>
      <c r="CL218" s="27" t="s">
        <v>7</v>
      </c>
      <c r="CM218" s="27" t="s">
        <v>8</v>
      </c>
      <c r="CN218" s="27" t="s">
        <v>7</v>
      </c>
      <c r="CO218" s="27" t="s">
        <v>8</v>
      </c>
      <c r="CP218" s="27" t="s">
        <v>7</v>
      </c>
      <c r="CQ218" s="27" t="s">
        <v>8</v>
      </c>
      <c r="CR218" s="27" t="s">
        <v>7</v>
      </c>
      <c r="CT218" s="27" t="s">
        <v>7</v>
      </c>
      <c r="CV218" s="27" t="s">
        <v>7</v>
      </c>
      <c r="CZ218" s="31"/>
      <c r="DY218" s="27" t="s">
        <v>8</v>
      </c>
      <c r="DZ218" s="27" t="s">
        <v>7</v>
      </c>
      <c r="EE218" s="27" t="s">
        <v>8</v>
      </c>
      <c r="EF218" s="27" t="s">
        <v>7</v>
      </c>
      <c r="EG218" s="27" t="s">
        <v>8</v>
      </c>
      <c r="EI218" s="31"/>
      <c r="ER218" s="27" t="s">
        <v>7</v>
      </c>
      <c r="ES218" s="27" t="s">
        <v>8</v>
      </c>
      <c r="FD218" s="27" t="s">
        <v>7</v>
      </c>
      <c r="FE218" s="27" t="s">
        <v>8</v>
      </c>
      <c r="FF218" s="27" t="s">
        <v>7</v>
      </c>
      <c r="FG218" s="27" t="s">
        <v>8</v>
      </c>
      <c r="FH218" s="27" t="s">
        <v>7</v>
      </c>
    </row>
    <row r="219" spans="1:164" x14ac:dyDescent="0.25">
      <c r="A219" s="30">
        <v>2.7859625904016441</v>
      </c>
      <c r="E219" t="s">
        <v>8</v>
      </c>
      <c r="H219" s="27" t="s">
        <v>7</v>
      </c>
      <c r="I219" s="27" t="s">
        <v>8</v>
      </c>
      <c r="N219" s="27" t="s">
        <v>7</v>
      </c>
      <c r="P219" s="27" t="s">
        <v>7</v>
      </c>
      <c r="BK219" s="27" t="s">
        <v>8</v>
      </c>
      <c r="BM219" s="27" t="s">
        <v>8</v>
      </c>
      <c r="BN219" s="27" t="s">
        <v>7</v>
      </c>
      <c r="BO219" s="27" t="s">
        <v>8</v>
      </c>
      <c r="BP219" s="27" t="s">
        <v>7</v>
      </c>
      <c r="BQ219" s="27" t="s">
        <v>8</v>
      </c>
      <c r="BR219" s="27" t="s">
        <v>7</v>
      </c>
      <c r="CA219" s="27" t="s">
        <v>8</v>
      </c>
      <c r="CB219" s="27" t="s">
        <v>7</v>
      </c>
      <c r="CC219" s="27" t="s">
        <v>8</v>
      </c>
      <c r="CD219" s="27" t="s">
        <v>7</v>
      </c>
      <c r="CE219" s="27" t="s">
        <v>8</v>
      </c>
      <c r="CH219" s="27" t="s">
        <v>7</v>
      </c>
      <c r="CJ219" s="27" t="s">
        <v>7</v>
      </c>
      <c r="CK219" s="27" t="s">
        <v>8</v>
      </c>
      <c r="CL219" s="27" t="s">
        <v>7</v>
      </c>
      <c r="CM219" s="27" t="s">
        <v>8</v>
      </c>
      <c r="CN219" s="27" t="s">
        <v>7</v>
      </c>
      <c r="CO219" s="27" t="s">
        <v>8</v>
      </c>
      <c r="CP219" s="27" t="s">
        <v>7</v>
      </c>
      <c r="CV219" s="27" t="s">
        <v>7</v>
      </c>
      <c r="DA219" s="31"/>
      <c r="DE219" s="31" t="s">
        <v>8</v>
      </c>
      <c r="DY219" s="27" t="s">
        <v>8</v>
      </c>
      <c r="DZ219" s="27" t="s">
        <v>7</v>
      </c>
      <c r="EA219" s="27" t="s">
        <v>8</v>
      </c>
      <c r="EE219" s="27" t="s">
        <v>8</v>
      </c>
      <c r="EF219" s="27" t="s">
        <v>7</v>
      </c>
      <c r="EG219" s="27" t="s">
        <v>8</v>
      </c>
      <c r="EH219" s="31"/>
      <c r="ER219" s="27" t="s">
        <v>7</v>
      </c>
      <c r="FD219" s="27" t="s">
        <v>7</v>
      </c>
      <c r="FE219" s="27" t="s">
        <v>8</v>
      </c>
      <c r="FF219" s="27" t="s">
        <v>7</v>
      </c>
      <c r="FG219" s="27" t="s">
        <v>8</v>
      </c>
      <c r="FH219" s="27" t="s">
        <v>7</v>
      </c>
    </row>
    <row r="220" spans="1:164" x14ac:dyDescent="0.25">
      <c r="A220" s="30">
        <v>2.6532977051444226</v>
      </c>
      <c r="E220" t="s">
        <v>8</v>
      </c>
      <c r="H220" s="27" t="s">
        <v>7</v>
      </c>
      <c r="P220" s="27" t="s">
        <v>7</v>
      </c>
      <c r="BK220" s="27" t="s">
        <v>8</v>
      </c>
      <c r="BL220" s="27" t="s">
        <v>7</v>
      </c>
      <c r="BM220" s="27" t="s">
        <v>8</v>
      </c>
      <c r="BN220" s="27" t="s">
        <v>7</v>
      </c>
      <c r="BP220" s="27" t="s">
        <v>7</v>
      </c>
      <c r="BQ220" s="27" t="s">
        <v>8</v>
      </c>
      <c r="BR220" s="27" t="s">
        <v>7</v>
      </c>
      <c r="CA220" s="27" t="s">
        <v>8</v>
      </c>
      <c r="CB220" s="27" t="s">
        <v>7</v>
      </c>
      <c r="CC220" s="27" t="s">
        <v>8</v>
      </c>
      <c r="CD220" s="27" t="s">
        <v>7</v>
      </c>
      <c r="CE220" s="27" t="s">
        <v>8</v>
      </c>
      <c r="CJ220" s="31" t="s">
        <v>7</v>
      </c>
      <c r="CK220" s="27" t="s">
        <v>8</v>
      </c>
      <c r="CL220" s="27" t="s">
        <v>7</v>
      </c>
      <c r="CN220" s="27" t="s">
        <v>7</v>
      </c>
      <c r="CO220" s="27" t="s">
        <v>8</v>
      </c>
      <c r="CV220" s="27" t="s">
        <v>7</v>
      </c>
      <c r="DB220" s="31"/>
      <c r="DE220" s="27" t="s">
        <v>8</v>
      </c>
      <c r="DF220" s="31" t="s">
        <v>7</v>
      </c>
      <c r="DS220" s="27" t="s">
        <v>8</v>
      </c>
      <c r="DY220" s="27" t="s">
        <v>8</v>
      </c>
      <c r="DZ220" s="27" t="s">
        <v>7</v>
      </c>
      <c r="EA220" s="27" t="s">
        <v>8</v>
      </c>
      <c r="EB220" s="27" t="s">
        <v>7</v>
      </c>
      <c r="EC220" s="27" t="s">
        <v>8</v>
      </c>
      <c r="EE220" s="27" t="s">
        <v>8</v>
      </c>
      <c r="EF220" s="27" t="s">
        <v>7</v>
      </c>
      <c r="EG220" s="31" t="s">
        <v>8</v>
      </c>
      <c r="FD220" s="27" t="s">
        <v>7</v>
      </c>
      <c r="FF220" s="27" t="s">
        <v>7</v>
      </c>
      <c r="FG220" s="27" t="s">
        <v>8</v>
      </c>
    </row>
    <row r="221" spans="1:164" x14ac:dyDescent="0.25">
      <c r="A221" s="30">
        <v>2.5269501953756404</v>
      </c>
      <c r="E221" t="s">
        <v>8</v>
      </c>
      <c r="P221" s="27" t="s">
        <v>7</v>
      </c>
      <c r="BK221" s="27" t="s">
        <v>8</v>
      </c>
      <c r="BL221" s="27" t="s">
        <v>7</v>
      </c>
      <c r="BM221" s="27" t="s">
        <v>8</v>
      </c>
      <c r="BP221" s="27" t="s">
        <v>7</v>
      </c>
      <c r="BQ221" s="27" t="s">
        <v>8</v>
      </c>
      <c r="BR221" s="27" t="s">
        <v>7</v>
      </c>
      <c r="BW221" s="27" t="s">
        <v>8</v>
      </c>
      <c r="CA221" s="27" t="s">
        <v>8</v>
      </c>
      <c r="CB221" s="27" t="s">
        <v>7</v>
      </c>
      <c r="CC221" s="27" t="s">
        <v>8</v>
      </c>
      <c r="CD221" s="27" t="s">
        <v>7</v>
      </c>
      <c r="CE221" s="27" t="s">
        <v>8</v>
      </c>
      <c r="CI221" s="31"/>
      <c r="CJ221" s="27" t="s">
        <v>7</v>
      </c>
      <c r="CK221" s="27" t="s">
        <v>8</v>
      </c>
      <c r="CN221" s="27" t="s">
        <v>7</v>
      </c>
      <c r="CO221" s="27" t="s">
        <v>8</v>
      </c>
      <c r="CV221" s="27" t="s">
        <v>7</v>
      </c>
      <c r="DC221" s="31"/>
      <c r="DE221" s="27" t="s">
        <v>8</v>
      </c>
      <c r="DF221" s="27" t="s">
        <v>7</v>
      </c>
      <c r="DG221" s="31" t="s">
        <v>8</v>
      </c>
      <c r="DS221" s="27" t="s">
        <v>8</v>
      </c>
      <c r="DT221" s="27" t="s">
        <v>7</v>
      </c>
      <c r="DY221" s="27" t="s">
        <v>8</v>
      </c>
      <c r="DZ221" s="27" t="s">
        <v>7</v>
      </c>
      <c r="EA221" s="27" t="s">
        <v>8</v>
      </c>
      <c r="EB221" s="27" t="s">
        <v>7</v>
      </c>
      <c r="EC221" s="27" t="s">
        <v>8</v>
      </c>
      <c r="ED221" s="27" t="s">
        <v>7</v>
      </c>
      <c r="EE221" s="27" t="s">
        <v>8</v>
      </c>
      <c r="EF221" s="31" t="s">
        <v>7</v>
      </c>
      <c r="FF221" s="27" t="s">
        <v>7</v>
      </c>
      <c r="FG221" s="27" t="s">
        <v>8</v>
      </c>
    </row>
    <row r="222" spans="1:164" x14ac:dyDescent="0.25">
      <c r="A222" s="30">
        <v>2.4066192336910861</v>
      </c>
      <c r="E222" t="s">
        <v>8</v>
      </c>
      <c r="P222" s="27" t="s">
        <v>7</v>
      </c>
      <c r="BK222" s="27" t="s">
        <v>8</v>
      </c>
      <c r="BL222" s="27" t="s">
        <v>7</v>
      </c>
      <c r="BP222" s="27" t="s">
        <v>7</v>
      </c>
      <c r="BQ222" s="27" t="s">
        <v>8</v>
      </c>
      <c r="BR222" s="27" t="s">
        <v>7</v>
      </c>
      <c r="BW222" s="27" t="s">
        <v>8</v>
      </c>
      <c r="BX222" s="27" t="s">
        <v>7</v>
      </c>
      <c r="BY222" s="27" t="s">
        <v>8</v>
      </c>
      <c r="CA222" s="27" t="s">
        <v>8</v>
      </c>
      <c r="CB222" s="27" t="s">
        <v>7</v>
      </c>
      <c r="CC222" s="27" t="s">
        <v>8</v>
      </c>
      <c r="CD222" s="27" t="s">
        <v>7</v>
      </c>
      <c r="CH222" s="31"/>
      <c r="CJ222" s="27" t="s">
        <v>7</v>
      </c>
      <c r="CN222" s="27" t="s">
        <v>7</v>
      </c>
      <c r="CO222" s="27" t="s">
        <v>8</v>
      </c>
      <c r="CV222" s="27" t="s">
        <v>7</v>
      </c>
      <c r="CW222" s="27" t="s">
        <v>8</v>
      </c>
      <c r="DD222" s="31"/>
      <c r="DE222" s="27" t="s">
        <v>8</v>
      </c>
      <c r="DF222" s="27" t="s">
        <v>7</v>
      </c>
      <c r="DG222" s="27" t="s">
        <v>8</v>
      </c>
      <c r="DH222" s="31" t="s">
        <v>7</v>
      </c>
      <c r="DQ222" s="27" t="s">
        <v>8</v>
      </c>
      <c r="DS222" s="27" t="s">
        <v>8</v>
      </c>
      <c r="DT222" s="27" t="s">
        <v>7</v>
      </c>
      <c r="DU222" s="32" t="s">
        <v>8</v>
      </c>
      <c r="DW222" s="32" t="s">
        <v>8</v>
      </c>
      <c r="DY222" s="27" t="s">
        <v>8</v>
      </c>
      <c r="DZ222" s="27" t="s">
        <v>7</v>
      </c>
      <c r="EA222" s="27" t="s">
        <v>8</v>
      </c>
      <c r="EB222" s="27" t="s">
        <v>7</v>
      </c>
      <c r="EC222" s="27" t="s">
        <v>8</v>
      </c>
      <c r="ED222" s="27" t="s">
        <v>7</v>
      </c>
      <c r="EE222" s="31" t="s">
        <v>8</v>
      </c>
      <c r="FF222" s="27" t="s">
        <v>7</v>
      </c>
    </row>
    <row r="223" spans="1:164" x14ac:dyDescent="0.25">
      <c r="A223" s="30">
        <v>2.2920183178010345</v>
      </c>
      <c r="E223" t="s">
        <v>8</v>
      </c>
      <c r="P223" s="27" t="s">
        <v>7</v>
      </c>
      <c r="Q223" s="27" t="s">
        <v>8</v>
      </c>
      <c r="BG223" s="27" t="s">
        <v>8</v>
      </c>
      <c r="BK223" s="27" t="s">
        <v>8</v>
      </c>
      <c r="BP223" s="27" t="s">
        <v>7</v>
      </c>
      <c r="BQ223" s="27" t="s">
        <v>8</v>
      </c>
      <c r="BR223" s="27" t="s">
        <v>7</v>
      </c>
      <c r="BS223" s="27" t="s">
        <v>8</v>
      </c>
      <c r="BW223" s="27" t="s">
        <v>8</v>
      </c>
      <c r="BX223" s="27" t="s">
        <v>7</v>
      </c>
      <c r="BY223" s="27" t="s">
        <v>8</v>
      </c>
      <c r="BZ223" s="27" t="s">
        <v>7</v>
      </c>
      <c r="CA223" s="27" t="s">
        <v>8</v>
      </c>
      <c r="CB223" s="27" t="s">
        <v>7</v>
      </c>
      <c r="CG223" s="31"/>
      <c r="CN223" s="27" t="s">
        <v>7</v>
      </c>
      <c r="CV223" s="27" t="s">
        <v>7</v>
      </c>
      <c r="CW223" s="27" t="s">
        <v>8</v>
      </c>
      <c r="CX223" s="27" t="s">
        <v>7</v>
      </c>
      <c r="DE223" s="31" t="s">
        <v>8</v>
      </c>
      <c r="DF223" s="27" t="s">
        <v>7</v>
      </c>
      <c r="DG223" s="27" t="s">
        <v>8</v>
      </c>
      <c r="DH223" s="27" t="s">
        <v>7</v>
      </c>
      <c r="DI223" s="31"/>
      <c r="DO223" s="27" t="s">
        <v>8</v>
      </c>
      <c r="DQ223" s="27" t="s">
        <v>8</v>
      </c>
      <c r="DR223" s="27" t="s">
        <v>7</v>
      </c>
      <c r="DS223" s="27" t="s">
        <v>8</v>
      </c>
      <c r="DT223" s="27" t="s">
        <v>7</v>
      </c>
      <c r="DU223" s="27" t="s">
        <v>8</v>
      </c>
      <c r="DV223" s="27" t="s">
        <v>7</v>
      </c>
      <c r="DW223" s="27" t="s">
        <v>8</v>
      </c>
      <c r="DX223" s="27" t="s">
        <v>7</v>
      </c>
      <c r="DY223" s="27" t="s">
        <v>8</v>
      </c>
      <c r="DZ223" s="27" t="s">
        <v>7</v>
      </c>
      <c r="EA223" s="27" t="s">
        <v>8</v>
      </c>
      <c r="EB223" s="27" t="s">
        <v>7</v>
      </c>
      <c r="EC223" s="27" t="s">
        <v>8</v>
      </c>
      <c r="ED223" s="31" t="s">
        <v>7</v>
      </c>
    </row>
    <row r="224" spans="1:164" x14ac:dyDescent="0.25">
      <c r="A224" s="30">
        <v>2.1828745883819374</v>
      </c>
      <c r="E224" t="s">
        <v>8</v>
      </c>
      <c r="P224" s="27" t="s">
        <v>7</v>
      </c>
      <c r="Q224" s="27" t="s">
        <v>8</v>
      </c>
      <c r="R224" s="27" t="s">
        <v>7</v>
      </c>
      <c r="U224" s="27" t="s">
        <v>8</v>
      </c>
      <c r="BG224" s="27" t="s">
        <v>8</v>
      </c>
      <c r="BH224" s="27" t="s">
        <v>7</v>
      </c>
      <c r="BI224" s="27" t="s">
        <v>8</v>
      </c>
      <c r="BK224" s="27" t="s">
        <v>8</v>
      </c>
      <c r="BP224" s="27" t="s">
        <v>7</v>
      </c>
      <c r="BR224" s="27" t="s">
        <v>7</v>
      </c>
      <c r="BS224" s="27" t="s">
        <v>8</v>
      </c>
      <c r="BT224" s="27" t="s">
        <v>7</v>
      </c>
      <c r="BW224" s="27" t="s">
        <v>8</v>
      </c>
      <c r="BX224" s="27" t="s">
        <v>7</v>
      </c>
      <c r="BY224" s="27" t="s">
        <v>8</v>
      </c>
      <c r="BZ224" s="27" t="s">
        <v>7</v>
      </c>
      <c r="CA224" s="27" t="s">
        <v>8</v>
      </c>
      <c r="CF224" s="31"/>
      <c r="CV224" s="27" t="s">
        <v>7</v>
      </c>
      <c r="CW224" s="27" t="s">
        <v>8</v>
      </c>
      <c r="CX224" s="27" t="s">
        <v>7</v>
      </c>
      <c r="DE224" s="27" t="s">
        <v>8</v>
      </c>
      <c r="DF224" s="27" t="s">
        <v>7</v>
      </c>
      <c r="DG224" s="27" t="s">
        <v>8</v>
      </c>
      <c r="DH224" s="27" t="s">
        <v>7</v>
      </c>
      <c r="DJ224" s="31"/>
      <c r="DO224" s="27" t="s">
        <v>8</v>
      </c>
      <c r="DP224" s="27" t="s">
        <v>7</v>
      </c>
      <c r="DQ224" s="27" t="s">
        <v>8</v>
      </c>
      <c r="DR224" s="27" t="s">
        <v>7</v>
      </c>
      <c r="DS224" s="27" t="s">
        <v>8</v>
      </c>
      <c r="DT224" s="27" t="s">
        <v>7</v>
      </c>
      <c r="DU224" s="27" t="s">
        <v>8</v>
      </c>
      <c r="DV224" s="27" t="s">
        <v>7</v>
      </c>
      <c r="DW224" s="27" t="s">
        <v>8</v>
      </c>
      <c r="DX224" s="27" t="s">
        <v>7</v>
      </c>
      <c r="DY224" s="27" t="s">
        <v>8</v>
      </c>
      <c r="DZ224" s="27" t="s">
        <v>7</v>
      </c>
      <c r="EB224" s="27" t="s">
        <v>7</v>
      </c>
      <c r="EC224" s="31" t="s">
        <v>8</v>
      </c>
    </row>
    <row r="225" spans="1:132" x14ac:dyDescent="0.25">
      <c r="A225" s="30">
        <v>2.0789281794113688</v>
      </c>
      <c r="E225" t="s">
        <v>8</v>
      </c>
      <c r="P225" s="27" t="s">
        <v>7</v>
      </c>
      <c r="Q225" s="27" t="s">
        <v>8</v>
      </c>
      <c r="R225" s="27" t="s">
        <v>7</v>
      </c>
      <c r="S225" s="27" t="s">
        <v>8</v>
      </c>
      <c r="U225" s="27" t="s">
        <v>8</v>
      </c>
      <c r="V225" s="27" t="s">
        <v>7</v>
      </c>
      <c r="W225" s="27" t="s">
        <v>8</v>
      </c>
      <c r="BG225" s="27" t="s">
        <v>8</v>
      </c>
      <c r="BH225" s="27" t="s">
        <v>7</v>
      </c>
      <c r="BI225" s="27" t="s">
        <v>8</v>
      </c>
      <c r="BJ225" s="27" t="s">
        <v>7</v>
      </c>
      <c r="BK225" s="27" t="s">
        <v>8</v>
      </c>
      <c r="BR225" s="27" t="s">
        <v>7</v>
      </c>
      <c r="BS225" s="27" t="s">
        <v>8</v>
      </c>
      <c r="BT225" s="27" t="s">
        <v>7</v>
      </c>
      <c r="BU225" s="27" t="s">
        <v>8</v>
      </c>
      <c r="BW225" s="27" t="s">
        <v>8</v>
      </c>
      <c r="BX225" s="27" t="s">
        <v>7</v>
      </c>
      <c r="BY225" s="27" t="s">
        <v>8</v>
      </c>
      <c r="BZ225" s="27" t="s">
        <v>7</v>
      </c>
      <c r="CA225" s="27" t="s">
        <v>8</v>
      </c>
      <c r="CE225" s="31"/>
      <c r="CV225" s="27" t="s">
        <v>7</v>
      </c>
      <c r="CW225" s="27" t="s">
        <v>8</v>
      </c>
      <c r="CX225" s="27" t="s">
        <v>7</v>
      </c>
      <c r="DE225" s="27" t="s">
        <v>8</v>
      </c>
      <c r="DF225" s="27" t="s">
        <v>7</v>
      </c>
      <c r="DH225" s="27" t="s">
        <v>7</v>
      </c>
      <c r="DK225" s="31" t="s">
        <v>8</v>
      </c>
      <c r="DO225" s="34" t="s">
        <v>8</v>
      </c>
      <c r="DP225" s="27" t="s">
        <v>7</v>
      </c>
      <c r="DQ225" s="27" t="s">
        <v>8</v>
      </c>
      <c r="DR225" s="31" t="s">
        <v>7</v>
      </c>
      <c r="DT225" s="27" t="s">
        <v>7</v>
      </c>
      <c r="DU225" s="27" t="s">
        <v>8</v>
      </c>
      <c r="DV225" s="32" t="s">
        <v>7</v>
      </c>
      <c r="DX225" s="32" t="s">
        <v>7</v>
      </c>
      <c r="EB225" s="31" t="s">
        <v>7</v>
      </c>
    </row>
    <row r="226" spans="1:132" x14ac:dyDescent="0.25">
      <c r="A226" s="30">
        <v>1.9799315994393987</v>
      </c>
      <c r="E226" t="s">
        <v>8</v>
      </c>
      <c r="P226" s="27" t="s">
        <v>7</v>
      </c>
      <c r="Q226" s="27" t="s">
        <v>8</v>
      </c>
      <c r="R226" s="27" t="s">
        <v>7</v>
      </c>
      <c r="S226" s="27" t="s">
        <v>8</v>
      </c>
      <c r="T226" s="27" t="s">
        <v>7</v>
      </c>
      <c r="U226" s="27" t="s">
        <v>8</v>
      </c>
      <c r="V226" s="27" t="s">
        <v>7</v>
      </c>
      <c r="W226" s="27" t="s">
        <v>8</v>
      </c>
      <c r="X226" s="27" t="s">
        <v>7</v>
      </c>
      <c r="BG226" s="27" t="s">
        <v>8</v>
      </c>
      <c r="BH226" s="27" t="s">
        <v>7</v>
      </c>
      <c r="BI226" s="27" t="s">
        <v>8</v>
      </c>
      <c r="BJ226" s="27" t="s">
        <v>7</v>
      </c>
      <c r="BK226" s="27" t="s">
        <v>8</v>
      </c>
      <c r="BR226" s="27" t="s">
        <v>7</v>
      </c>
      <c r="BS226" s="27" t="s">
        <v>8</v>
      </c>
      <c r="BT226" s="27" t="s">
        <v>7</v>
      </c>
      <c r="BU226" s="27" t="s">
        <v>8</v>
      </c>
      <c r="BV226" s="27" t="s">
        <v>7</v>
      </c>
      <c r="BW226" s="27" t="s">
        <v>8</v>
      </c>
      <c r="BX226" s="27" t="s">
        <v>7</v>
      </c>
      <c r="BZ226" s="27" t="s">
        <v>7</v>
      </c>
      <c r="CD226" s="31"/>
      <c r="CV226" s="27" t="s">
        <v>7</v>
      </c>
      <c r="CW226" s="27" t="s">
        <v>8</v>
      </c>
      <c r="CX226" s="27" t="s">
        <v>7</v>
      </c>
      <c r="CY226" s="27" t="s">
        <v>8</v>
      </c>
      <c r="DE226" s="27" t="s">
        <v>8</v>
      </c>
      <c r="DH226" s="33" t="s">
        <v>7</v>
      </c>
      <c r="DK226" s="27" t="s">
        <v>8</v>
      </c>
      <c r="DL226" s="31" t="s">
        <v>7</v>
      </c>
      <c r="DM226" s="27" t="s">
        <v>8</v>
      </c>
      <c r="DO226" s="27" t="s">
        <v>8</v>
      </c>
      <c r="DP226" s="27" t="s">
        <v>7</v>
      </c>
      <c r="DQ226" s="31" t="s">
        <v>8</v>
      </c>
      <c r="DT226" s="27" t="s">
        <v>7</v>
      </c>
      <c r="DU226" s="27" t="s">
        <v>8</v>
      </c>
    </row>
    <row r="227" spans="1:132" x14ac:dyDescent="0.25">
      <c r="A227" s="30">
        <v>1.8856491423232367</v>
      </c>
      <c r="E227" t="s">
        <v>8</v>
      </c>
      <c r="P227" s="27" t="s">
        <v>7</v>
      </c>
      <c r="Q227" s="27" t="s">
        <v>8</v>
      </c>
      <c r="R227" s="27" t="s">
        <v>7</v>
      </c>
      <c r="S227" s="27" t="s">
        <v>8</v>
      </c>
      <c r="T227" s="27" t="s">
        <v>7</v>
      </c>
      <c r="U227" s="27" t="s">
        <v>8</v>
      </c>
      <c r="V227" s="27" t="s">
        <v>7</v>
      </c>
      <c r="W227" s="27" t="s">
        <v>8</v>
      </c>
      <c r="X227" s="27" t="s">
        <v>7</v>
      </c>
      <c r="BG227" s="27" t="s">
        <v>8</v>
      </c>
      <c r="BH227" s="27" t="s">
        <v>7</v>
      </c>
      <c r="BI227" s="27" t="s">
        <v>8</v>
      </c>
      <c r="BJ227" s="27" t="s">
        <v>7</v>
      </c>
      <c r="BR227" s="27" t="s">
        <v>7</v>
      </c>
      <c r="BS227" s="27" t="s">
        <v>8</v>
      </c>
      <c r="BT227" s="27" t="s">
        <v>7</v>
      </c>
      <c r="BU227" s="27" t="s">
        <v>8</v>
      </c>
      <c r="BV227" s="27" t="s">
        <v>7</v>
      </c>
      <c r="BW227" s="27" t="s">
        <v>8</v>
      </c>
      <c r="CC227" s="31"/>
      <c r="CV227" s="27" t="s">
        <v>7</v>
      </c>
      <c r="CW227" s="27" t="s">
        <v>8</v>
      </c>
      <c r="CX227" s="27" t="s">
        <v>7</v>
      </c>
      <c r="CY227" s="27" t="s">
        <v>8</v>
      </c>
      <c r="CZ227" s="27" t="s">
        <v>7</v>
      </c>
      <c r="DC227" s="27" t="s">
        <v>8</v>
      </c>
      <c r="DE227" s="27" t="s">
        <v>8</v>
      </c>
      <c r="DH227" s="27" t="s">
        <v>7</v>
      </c>
      <c r="DK227" s="27" t="s">
        <v>8</v>
      </c>
      <c r="DL227" s="27" t="s">
        <v>7</v>
      </c>
      <c r="DM227" s="31" t="s">
        <v>8</v>
      </c>
      <c r="DN227" s="27" t="s">
        <v>7</v>
      </c>
      <c r="DO227" s="27" t="s">
        <v>8</v>
      </c>
      <c r="DP227" s="31" t="s">
        <v>7</v>
      </c>
      <c r="DT227" s="31" t="s">
        <v>7</v>
      </c>
      <c r="DU227" s="27" t="s">
        <v>8</v>
      </c>
    </row>
    <row r="228" spans="1:132" x14ac:dyDescent="0.25">
      <c r="A228" s="30">
        <v>1.7958563260221301</v>
      </c>
      <c r="C228" s="7"/>
      <c r="D228"/>
      <c r="E228" t="s">
        <v>8</v>
      </c>
      <c r="P228" s="27" t="s">
        <v>7</v>
      </c>
      <c r="Q228" s="27" t="s">
        <v>8</v>
      </c>
      <c r="R228" s="27" t="s">
        <v>7</v>
      </c>
      <c r="S228" s="27" t="s">
        <v>8</v>
      </c>
      <c r="T228" s="27" t="s">
        <v>7</v>
      </c>
      <c r="V228" s="27" t="s">
        <v>7</v>
      </c>
      <c r="W228" s="27" t="s">
        <v>8</v>
      </c>
      <c r="X228" s="27" t="s">
        <v>7</v>
      </c>
      <c r="BG228" s="27" t="s">
        <v>8</v>
      </c>
      <c r="BH228" s="27" t="s">
        <v>7</v>
      </c>
      <c r="BR228" s="27" t="s">
        <v>7</v>
      </c>
      <c r="BS228" s="27" t="s">
        <v>8</v>
      </c>
      <c r="BT228" s="27" t="s">
        <v>7</v>
      </c>
      <c r="BV228" s="27" t="s">
        <v>7</v>
      </c>
      <c r="BW228" s="27" t="s">
        <v>8</v>
      </c>
      <c r="CB228" s="31"/>
      <c r="CV228" s="27" t="s">
        <v>7</v>
      </c>
      <c r="CW228" s="27" t="s">
        <v>8</v>
      </c>
      <c r="CX228" s="27" t="s">
        <v>7</v>
      </c>
      <c r="CY228" s="27" t="s">
        <v>8</v>
      </c>
      <c r="CZ228" s="27" t="s">
        <v>7</v>
      </c>
      <c r="DC228" s="27" t="s">
        <v>8</v>
      </c>
      <c r="DD228" s="27" t="s">
        <v>7</v>
      </c>
      <c r="DE228" s="27" t="s">
        <v>8</v>
      </c>
      <c r="DH228" s="27" t="s">
        <v>7</v>
      </c>
      <c r="DK228" s="34" t="s">
        <v>8</v>
      </c>
      <c r="DL228" s="27" t="s">
        <v>7</v>
      </c>
      <c r="DM228" s="27" t="s">
        <v>8</v>
      </c>
      <c r="DN228" s="31" t="s">
        <v>7</v>
      </c>
      <c r="DO228" s="31" t="s">
        <v>8</v>
      </c>
      <c r="DS228" s="31"/>
      <c r="DT228" s="27" t="s">
        <v>7</v>
      </c>
      <c r="DU228" s="27" t="s">
        <v>8</v>
      </c>
    </row>
    <row r="229" spans="1:132" x14ac:dyDescent="0.25">
      <c r="A229" s="30">
        <v>1.7103393581163142</v>
      </c>
      <c r="E229" t="s">
        <v>8</v>
      </c>
      <c r="P229" s="27" t="s">
        <v>7</v>
      </c>
      <c r="Q229" s="27" t="s">
        <v>8</v>
      </c>
      <c r="R229" s="27" t="s">
        <v>7</v>
      </c>
      <c r="V229" s="27" t="s">
        <v>7</v>
      </c>
      <c r="X229" s="27" t="s">
        <v>7</v>
      </c>
      <c r="BE229" s="27" t="s">
        <v>8</v>
      </c>
      <c r="BG229" s="27" t="s">
        <v>8</v>
      </c>
      <c r="BR229" s="27" t="s">
        <v>7</v>
      </c>
      <c r="BV229" s="27" t="s">
        <v>7</v>
      </c>
      <c r="BW229" s="27" t="s">
        <v>8</v>
      </c>
      <c r="CA229" s="31"/>
      <c r="CV229" s="27" t="s">
        <v>7</v>
      </c>
      <c r="CW229" s="27" t="s">
        <v>8</v>
      </c>
      <c r="CX229" s="27" t="s">
        <v>7</v>
      </c>
      <c r="CY229" s="27" t="s">
        <v>8</v>
      </c>
      <c r="CZ229" s="27" t="s">
        <v>7</v>
      </c>
      <c r="DC229" s="27" t="s">
        <v>8</v>
      </c>
      <c r="DD229" s="27" t="s">
        <v>7</v>
      </c>
      <c r="DE229" s="27" t="s">
        <v>8</v>
      </c>
      <c r="DH229" s="27" t="s">
        <v>7</v>
      </c>
      <c r="DI229" s="27" t="s">
        <v>8</v>
      </c>
      <c r="DK229" s="27" t="s">
        <v>8</v>
      </c>
      <c r="DL229" s="27" t="s">
        <v>7</v>
      </c>
      <c r="DM229" s="27" t="s">
        <v>8</v>
      </c>
      <c r="DN229" s="31" t="s">
        <v>7</v>
      </c>
      <c r="DO229" s="19"/>
      <c r="DR229" s="31"/>
      <c r="DT229" s="27" t="s">
        <v>7</v>
      </c>
    </row>
    <row r="230" spans="1:132" x14ac:dyDescent="0.25">
      <c r="A230" s="30">
        <v>1.628894626777442</v>
      </c>
      <c r="E230" t="s">
        <v>8</v>
      </c>
      <c r="P230" s="27" t="s">
        <v>7</v>
      </c>
      <c r="Q230" s="27" t="s">
        <v>8</v>
      </c>
      <c r="X230" s="27" t="s">
        <v>7</v>
      </c>
      <c r="Y230" s="27" t="s">
        <v>8</v>
      </c>
      <c r="BE230" s="27" t="s">
        <v>8</v>
      </c>
      <c r="BF230" s="27" t="s">
        <v>7</v>
      </c>
      <c r="BG230" s="27" t="s">
        <v>8</v>
      </c>
      <c r="BV230" s="27" t="s">
        <v>7</v>
      </c>
      <c r="BZ230" s="31"/>
      <c r="CV230" s="27" t="s">
        <v>7</v>
      </c>
      <c r="CW230" s="27" t="s">
        <v>8</v>
      </c>
      <c r="CX230" s="27" t="s">
        <v>7</v>
      </c>
      <c r="CY230" s="27" t="s">
        <v>8</v>
      </c>
      <c r="CZ230" s="27" t="s">
        <v>7</v>
      </c>
      <c r="DA230" s="27" t="s">
        <v>8</v>
      </c>
      <c r="DC230" s="27" t="s">
        <v>8</v>
      </c>
      <c r="DD230" s="27" t="s">
        <v>7</v>
      </c>
      <c r="DE230" s="27" t="s">
        <v>8</v>
      </c>
      <c r="DH230" s="27" t="s">
        <v>7</v>
      </c>
      <c r="DI230" s="27" t="s">
        <v>8</v>
      </c>
      <c r="DJ230" s="27" t="s">
        <v>7</v>
      </c>
      <c r="DK230" s="27" t="s">
        <v>8</v>
      </c>
      <c r="DL230" s="27" t="s">
        <v>7</v>
      </c>
      <c r="DM230" s="27" t="s">
        <v>8</v>
      </c>
      <c r="DQ230" s="31"/>
    </row>
    <row r="231" spans="1:132" x14ac:dyDescent="0.25">
      <c r="A231" s="30">
        <v>1.5513282159785162</v>
      </c>
      <c r="C231"/>
      <c r="D231"/>
      <c r="E231" t="s">
        <v>8</v>
      </c>
      <c r="P231" s="27" t="s">
        <v>7</v>
      </c>
      <c r="X231" s="27" t="s">
        <v>7</v>
      </c>
      <c r="Y231" s="27" t="s">
        <v>8</v>
      </c>
      <c r="Z231" s="27" t="s">
        <v>7</v>
      </c>
      <c r="BE231" s="27" t="s">
        <v>8</v>
      </c>
      <c r="BF231" s="27" t="s">
        <v>7</v>
      </c>
      <c r="BG231" s="27" t="s">
        <v>8</v>
      </c>
      <c r="BY231" s="31"/>
      <c r="CV231" s="27" t="s">
        <v>7</v>
      </c>
      <c r="CX231" s="27" t="s">
        <v>7</v>
      </c>
      <c r="CZ231" s="27" t="s">
        <v>7</v>
      </c>
      <c r="DA231" s="27" t="s">
        <v>8</v>
      </c>
      <c r="DB231" s="27" t="s">
        <v>7</v>
      </c>
      <c r="DC231" s="27" t="s">
        <v>8</v>
      </c>
      <c r="DD231" s="27" t="s">
        <v>7</v>
      </c>
      <c r="DH231" s="27" t="s">
        <v>7</v>
      </c>
      <c r="DI231" s="27" t="s">
        <v>8</v>
      </c>
      <c r="DJ231" s="27" t="s">
        <v>7</v>
      </c>
      <c r="DK231" s="27" t="s">
        <v>8</v>
      </c>
      <c r="DL231" s="27" t="s">
        <v>7</v>
      </c>
      <c r="DM231" s="27" t="s">
        <v>8</v>
      </c>
      <c r="DP231" s="31"/>
    </row>
    <row r="232" spans="1:132" x14ac:dyDescent="0.25">
      <c r="A232" s="30">
        <v>1.477455443789063</v>
      </c>
      <c r="E232" t="s">
        <v>8</v>
      </c>
      <c r="X232" s="27" t="s">
        <v>7</v>
      </c>
      <c r="Y232" s="27" t="s">
        <v>8</v>
      </c>
      <c r="Z232" s="27" t="s">
        <v>7</v>
      </c>
      <c r="BE232" s="27" t="s">
        <v>8</v>
      </c>
      <c r="BF232" s="27" t="s">
        <v>7</v>
      </c>
      <c r="BG232" s="27" t="s">
        <v>8</v>
      </c>
      <c r="BX232" s="31"/>
      <c r="CZ232" s="27" t="s">
        <v>7</v>
      </c>
      <c r="DA232" s="27" t="s">
        <v>8</v>
      </c>
      <c r="DB232" s="27" t="s">
        <v>7</v>
      </c>
      <c r="DC232" s="27" t="s">
        <v>8</v>
      </c>
      <c r="DH232" s="27" t="s">
        <v>7</v>
      </c>
      <c r="DI232" s="27" t="s">
        <v>8</v>
      </c>
      <c r="DJ232" s="27" t="s">
        <v>7</v>
      </c>
      <c r="DK232" s="27" t="s">
        <v>8</v>
      </c>
      <c r="DL232" s="27" t="s">
        <v>7</v>
      </c>
      <c r="DM232" s="27" t="s">
        <v>8</v>
      </c>
      <c r="DO232" s="31"/>
    </row>
    <row r="233" spans="1:132" x14ac:dyDescent="0.25">
      <c r="A233" s="30">
        <v>1.4071004226562505</v>
      </c>
      <c r="E233" t="s">
        <v>8</v>
      </c>
      <c r="X233" s="27" t="s">
        <v>7</v>
      </c>
      <c r="Y233" s="27" t="s">
        <v>8</v>
      </c>
      <c r="Z233" s="27" t="s">
        <v>7</v>
      </c>
      <c r="BE233" s="27" t="s">
        <v>8</v>
      </c>
      <c r="BF233" s="27" t="s">
        <v>7</v>
      </c>
      <c r="BG233" s="27" t="s">
        <v>8</v>
      </c>
      <c r="BW233" s="31"/>
      <c r="CZ233" s="27" t="s">
        <v>7</v>
      </c>
      <c r="DA233" s="27" t="s">
        <v>8</v>
      </c>
      <c r="DB233" s="27" t="s">
        <v>7</v>
      </c>
      <c r="DH233" s="27" t="s">
        <v>7</v>
      </c>
      <c r="DI233" s="27" t="s">
        <v>8</v>
      </c>
      <c r="DJ233" s="27" t="s">
        <v>7</v>
      </c>
      <c r="DL233" s="27" t="s">
        <v>7</v>
      </c>
      <c r="DM233" s="27" t="s">
        <v>8</v>
      </c>
      <c r="DN233" s="31"/>
    </row>
    <row r="234" spans="1:132" x14ac:dyDescent="0.25">
      <c r="A234" s="30">
        <v>1.3400956406250004</v>
      </c>
      <c r="E234" t="s">
        <v>8</v>
      </c>
      <c r="X234" s="27" t="s">
        <v>7</v>
      </c>
      <c r="Y234" s="27" t="s">
        <v>8</v>
      </c>
      <c r="Z234" s="27" t="s">
        <v>7</v>
      </c>
      <c r="BE234" s="27" t="s">
        <v>8</v>
      </c>
      <c r="BF234" s="27" t="s">
        <v>7</v>
      </c>
      <c r="BG234" s="27" t="s">
        <v>8</v>
      </c>
      <c r="BV234" s="31"/>
      <c r="CZ234" s="27" t="s">
        <v>7</v>
      </c>
      <c r="DA234" s="27" t="s">
        <v>8</v>
      </c>
      <c r="DH234" s="27" t="s">
        <v>7</v>
      </c>
      <c r="DI234" s="27" t="s">
        <v>8</v>
      </c>
      <c r="DL234" s="33" t="s">
        <v>7</v>
      </c>
      <c r="DM234" s="31" t="s">
        <v>8</v>
      </c>
    </row>
    <row r="235" spans="1:132" x14ac:dyDescent="0.25">
      <c r="A235" s="30">
        <v>1.2762815625000004</v>
      </c>
      <c r="C235"/>
      <c r="E235" t="s">
        <v>8</v>
      </c>
      <c r="X235" s="27" t="s">
        <v>7</v>
      </c>
      <c r="Y235" s="27" t="s">
        <v>8</v>
      </c>
      <c r="Z235" s="27" t="s">
        <v>7</v>
      </c>
      <c r="BE235" s="27" t="s">
        <v>8</v>
      </c>
      <c r="BF235" s="27" t="s">
        <v>7</v>
      </c>
      <c r="BU235" s="31"/>
      <c r="CZ235" s="27" t="s">
        <v>7</v>
      </c>
      <c r="DA235" s="27" t="s">
        <v>8</v>
      </c>
      <c r="DH235" s="27" t="s">
        <v>7</v>
      </c>
      <c r="DL235" s="31" t="s">
        <v>7</v>
      </c>
    </row>
    <row r="236" spans="1:132" x14ac:dyDescent="0.25">
      <c r="A236" s="30">
        <v>1.2155062500000002</v>
      </c>
      <c r="E236" t="s">
        <v>8</v>
      </c>
      <c r="X236" s="27" t="s">
        <v>7</v>
      </c>
      <c r="Z236" s="27" t="s">
        <v>7</v>
      </c>
      <c r="BE236" s="27" t="s">
        <v>8</v>
      </c>
      <c r="BT236" s="31"/>
      <c r="CZ236" s="27" t="s">
        <v>7</v>
      </c>
      <c r="DA236" s="27" t="s">
        <v>8</v>
      </c>
    </row>
    <row r="237" spans="1:13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Z237" s="27" t="s">
        <v>7</v>
      </c>
      <c r="BE237" s="27" t="s">
        <v>8</v>
      </c>
      <c r="BS237" s="31"/>
      <c r="CZ237" s="27" t="s">
        <v>7</v>
      </c>
      <c r="DA237" s="27" t="s">
        <v>8</v>
      </c>
    </row>
    <row r="238" spans="1:132" x14ac:dyDescent="0.25">
      <c r="A238" s="30">
        <v>1.1025</v>
      </c>
      <c r="E238" t="s">
        <v>8</v>
      </c>
      <c r="Z238" s="27" t="s">
        <v>7</v>
      </c>
      <c r="AA238" s="27" t="s">
        <v>8</v>
      </c>
      <c r="BE238" s="27" t="s">
        <v>8</v>
      </c>
      <c r="BR238" s="31"/>
      <c r="CZ238" s="27" t="s">
        <v>7</v>
      </c>
    </row>
    <row r="239" spans="1:132" x14ac:dyDescent="0.25">
      <c r="A239" s="30">
        <v>1.05</v>
      </c>
      <c r="E239" t="s">
        <v>8</v>
      </c>
      <c r="Z239" s="27" t="s">
        <v>7</v>
      </c>
      <c r="AA239" s="27" t="s">
        <v>8</v>
      </c>
      <c r="AB239" s="27" t="s">
        <v>7</v>
      </c>
      <c r="BE239" s="27" t="s">
        <v>8</v>
      </c>
      <c r="BQ239" s="31"/>
    </row>
    <row r="240" spans="1:132" x14ac:dyDescent="0.25">
      <c r="A240" s="30">
        <v>1</v>
      </c>
      <c r="E240" s="29" t="s">
        <v>8</v>
      </c>
      <c r="Z240" s="27" t="s">
        <v>7</v>
      </c>
      <c r="AA240" s="27" t="s">
        <v>8</v>
      </c>
      <c r="AB240" s="27" t="s">
        <v>7</v>
      </c>
      <c r="BE240" s="27" t="s">
        <v>8</v>
      </c>
      <c r="BP240" s="31"/>
    </row>
    <row r="241" spans="1:67" x14ac:dyDescent="0.25">
      <c r="A241" s="30">
        <v>0.952380952380952</v>
      </c>
      <c r="B241"/>
      <c r="C241"/>
      <c r="D241"/>
      <c r="E241"/>
      <c r="Z241" s="27" t="s">
        <v>7</v>
      </c>
      <c r="AA241" s="27" t="s">
        <v>8</v>
      </c>
      <c r="AB241" s="27" t="s">
        <v>7</v>
      </c>
      <c r="AQ241" s="27" t="s">
        <v>8</v>
      </c>
      <c r="BE241" s="27" t="s">
        <v>8</v>
      </c>
      <c r="BO241" s="31"/>
    </row>
    <row r="242" spans="1:67" x14ac:dyDescent="0.25">
      <c r="A242" s="30">
        <v>0.90702947845804915</v>
      </c>
      <c r="B242"/>
      <c r="C242"/>
      <c r="D242"/>
      <c r="E242"/>
      <c r="Z242" s="27" t="s">
        <v>7</v>
      </c>
      <c r="AB242" s="27" t="s">
        <v>7</v>
      </c>
      <c r="AO242" s="27" t="s">
        <v>8</v>
      </c>
      <c r="AQ242" s="27" t="s">
        <v>8</v>
      </c>
      <c r="AR242" s="27" t="s">
        <v>7</v>
      </c>
      <c r="BE242" s="27" t="s">
        <v>8</v>
      </c>
      <c r="BN242" s="31"/>
    </row>
    <row r="243" spans="1:67" x14ac:dyDescent="0.25">
      <c r="A243" s="30">
        <v>0.86383759853147501</v>
      </c>
      <c r="B243"/>
      <c r="C243"/>
      <c r="D243"/>
      <c r="E243"/>
      <c r="AB243" s="27" t="s">
        <v>7</v>
      </c>
      <c r="AO243" s="27" t="s">
        <v>8</v>
      </c>
      <c r="AP243" s="27" t="s">
        <v>7</v>
      </c>
      <c r="AQ243" s="27" t="s">
        <v>8</v>
      </c>
      <c r="AR243" s="27" t="s">
        <v>7</v>
      </c>
      <c r="BE243" s="27" t="s">
        <v>8</v>
      </c>
      <c r="BM243" s="31"/>
    </row>
    <row r="244" spans="1:67" x14ac:dyDescent="0.25">
      <c r="A244" s="30">
        <v>0.82270247479188063</v>
      </c>
      <c r="B244"/>
      <c r="C244"/>
      <c r="D244"/>
      <c r="E244"/>
      <c r="AB244" s="27" t="s">
        <v>7</v>
      </c>
      <c r="AM244" s="27" t="s">
        <v>8</v>
      </c>
      <c r="AO244" s="27" t="s">
        <v>8</v>
      </c>
      <c r="AP244" s="27" t="s">
        <v>7</v>
      </c>
      <c r="AQ244" s="27" t="s">
        <v>8</v>
      </c>
      <c r="AR244" s="27" t="s">
        <v>7</v>
      </c>
      <c r="AS244" s="27" t="s">
        <v>8</v>
      </c>
      <c r="BC244" s="27" t="s">
        <v>8</v>
      </c>
      <c r="BE244" s="27" t="s">
        <v>8</v>
      </c>
      <c r="BL244" s="31"/>
    </row>
    <row r="245" spans="1:67" x14ac:dyDescent="0.25">
      <c r="A245" s="30">
        <v>0.78352616646845741</v>
      </c>
      <c r="B245"/>
      <c r="C245"/>
      <c r="D245"/>
      <c r="E245"/>
      <c r="AB245" s="27" t="s">
        <v>7</v>
      </c>
      <c r="AM245" s="27" t="s">
        <v>8</v>
      </c>
      <c r="AN245" s="27" t="s">
        <v>7</v>
      </c>
      <c r="AO245" s="27" t="s">
        <v>8</v>
      </c>
      <c r="AP245" s="27" t="s">
        <v>7</v>
      </c>
      <c r="AQ245" s="27" t="s">
        <v>8</v>
      </c>
      <c r="AR245" s="27" t="s">
        <v>7</v>
      </c>
      <c r="AS245" s="27" t="s">
        <v>8</v>
      </c>
      <c r="AT245" s="27" t="s">
        <v>7</v>
      </c>
      <c r="BA245" s="27" t="s">
        <v>8</v>
      </c>
      <c r="BC245" s="27" t="s">
        <v>8</v>
      </c>
      <c r="BD245" s="27" t="s">
        <v>7</v>
      </c>
      <c r="BE245" s="27" t="s">
        <v>8</v>
      </c>
      <c r="BK245" s="31"/>
    </row>
    <row r="246" spans="1:67" x14ac:dyDescent="0.25">
      <c r="A246" s="30">
        <v>0.74621539663662584</v>
      </c>
      <c r="B246"/>
      <c r="C246"/>
      <c r="D246"/>
      <c r="E246"/>
      <c r="AB246" s="27" t="s">
        <v>7</v>
      </c>
      <c r="AM246" s="27" t="s">
        <v>8</v>
      </c>
      <c r="AN246" s="27" t="s">
        <v>7</v>
      </c>
      <c r="AO246" s="27" t="s">
        <v>8</v>
      </c>
      <c r="AP246" s="27" t="s">
        <v>7</v>
      </c>
      <c r="AQ246" s="27" t="s">
        <v>8</v>
      </c>
      <c r="AR246" s="27" t="s">
        <v>7</v>
      </c>
      <c r="AS246" s="27" t="s">
        <v>8</v>
      </c>
      <c r="AT246" s="27" t="s">
        <v>7</v>
      </c>
      <c r="BA246" s="27" t="s">
        <v>8</v>
      </c>
      <c r="BB246" s="27" t="s">
        <v>7</v>
      </c>
      <c r="BC246" s="27" t="s">
        <v>8</v>
      </c>
      <c r="BD246" s="27" t="s">
        <v>7</v>
      </c>
      <c r="BE246" s="27" t="s">
        <v>8</v>
      </c>
      <c r="BJ246" s="31"/>
    </row>
    <row r="247" spans="1:67" x14ac:dyDescent="0.25">
      <c r="A247" s="30">
        <v>0.71068133013011958</v>
      </c>
      <c r="B247"/>
      <c r="C247"/>
      <c r="D247"/>
      <c r="E247"/>
      <c r="AB247" s="27" t="s">
        <v>7</v>
      </c>
      <c r="AM247" s="27" t="s">
        <v>8</v>
      </c>
      <c r="AN247" s="27" t="s">
        <v>7</v>
      </c>
      <c r="AP247" s="27" t="s">
        <v>7</v>
      </c>
      <c r="AR247" s="27" t="s">
        <v>7</v>
      </c>
      <c r="AS247" s="27" t="s">
        <v>8</v>
      </c>
      <c r="AT247" s="27" t="s">
        <v>7</v>
      </c>
      <c r="BA247" s="27" t="s">
        <v>8</v>
      </c>
      <c r="BB247" s="27" t="s">
        <v>7</v>
      </c>
      <c r="BC247" s="27" t="s">
        <v>8</v>
      </c>
      <c r="BD247" s="27" t="s">
        <v>7</v>
      </c>
      <c r="BE247" s="27" t="s">
        <v>8</v>
      </c>
      <c r="BI247" s="31"/>
    </row>
    <row r="248" spans="1:67" x14ac:dyDescent="0.25">
      <c r="A248" s="30">
        <v>0.676839362028685</v>
      </c>
      <c r="B248"/>
      <c r="C248"/>
      <c r="D248"/>
      <c r="E248"/>
      <c r="AB248" s="27" t="s">
        <v>7</v>
      </c>
      <c r="AG248" s="27" t="s">
        <v>8</v>
      </c>
      <c r="AM248" s="27" t="s">
        <v>8</v>
      </c>
      <c r="AR248" s="27" t="s">
        <v>7</v>
      </c>
      <c r="AS248" s="27" t="s">
        <v>8</v>
      </c>
      <c r="AT248" s="27" t="s">
        <v>7</v>
      </c>
      <c r="AU248" s="27" t="s">
        <v>8</v>
      </c>
      <c r="AY248" s="27" t="s">
        <v>8</v>
      </c>
      <c r="BA248" s="27" t="s">
        <v>8</v>
      </c>
      <c r="BB248" s="27" t="s">
        <v>7</v>
      </c>
      <c r="BC248" s="27" t="s">
        <v>8</v>
      </c>
      <c r="BD248" s="27" t="s">
        <v>7</v>
      </c>
      <c r="BE248" s="27" t="s">
        <v>8</v>
      </c>
      <c r="BH248" s="31"/>
    </row>
    <row r="249" spans="1:67" x14ac:dyDescent="0.25">
      <c r="A249" s="30">
        <v>0.64460891621779492</v>
      </c>
      <c r="B249"/>
      <c r="C249"/>
      <c r="D249"/>
      <c r="E249"/>
      <c r="AB249" s="27" t="s">
        <v>7</v>
      </c>
      <c r="AC249" s="27" t="s">
        <v>8</v>
      </c>
      <c r="AG249" s="27" t="s">
        <v>8</v>
      </c>
      <c r="AH249" s="27" t="s">
        <v>7</v>
      </c>
      <c r="AK249" s="27" t="s">
        <v>8</v>
      </c>
      <c r="AM249" s="27" t="s">
        <v>8</v>
      </c>
      <c r="AR249" s="27" t="s">
        <v>7</v>
      </c>
      <c r="AS249" s="27" t="s">
        <v>8</v>
      </c>
      <c r="AT249" s="27" t="s">
        <v>7</v>
      </c>
      <c r="AU249" s="27" t="s">
        <v>8</v>
      </c>
      <c r="AV249" s="27" t="s">
        <v>7</v>
      </c>
      <c r="AY249" s="27" t="s">
        <v>8</v>
      </c>
      <c r="AZ249" s="27" t="s">
        <v>7</v>
      </c>
      <c r="BA249" s="27" t="s">
        <v>8</v>
      </c>
      <c r="BB249" s="27" t="s">
        <v>7</v>
      </c>
      <c r="BD249" s="27" t="s">
        <v>7</v>
      </c>
      <c r="BE249" s="27" t="s">
        <v>8</v>
      </c>
      <c r="BG249" s="31"/>
    </row>
    <row r="250" spans="1:67" x14ac:dyDescent="0.25">
      <c r="A250" s="30">
        <v>0.61391325354075688</v>
      </c>
      <c r="B250"/>
      <c r="C250"/>
      <c r="D250"/>
      <c r="E250"/>
      <c r="AB250" s="27" t="s">
        <v>7</v>
      </c>
      <c r="AC250" s="27" t="s">
        <v>8</v>
      </c>
      <c r="AD250" s="27" t="s">
        <v>7</v>
      </c>
      <c r="AG250" s="27" t="s">
        <v>8</v>
      </c>
      <c r="AH250" s="27" t="s">
        <v>7</v>
      </c>
      <c r="AK250" s="27" t="s">
        <v>8</v>
      </c>
      <c r="AL250" s="27" t="s">
        <v>7</v>
      </c>
      <c r="AM250" s="27" t="s">
        <v>8</v>
      </c>
      <c r="AR250" s="27" t="s">
        <v>7</v>
      </c>
      <c r="AS250" s="27" t="s">
        <v>8</v>
      </c>
      <c r="AT250" s="27" t="s">
        <v>7</v>
      </c>
      <c r="AU250" s="27" t="s">
        <v>8</v>
      </c>
      <c r="AV250" s="27" t="s">
        <v>7</v>
      </c>
      <c r="AY250" s="27" t="s">
        <v>8</v>
      </c>
      <c r="AZ250" s="27" t="s">
        <v>7</v>
      </c>
      <c r="BA250" s="27" t="s">
        <v>8</v>
      </c>
      <c r="BD250" s="27" t="s">
        <v>7</v>
      </c>
      <c r="BE250" s="27" t="s">
        <v>8</v>
      </c>
      <c r="BF250" s="31"/>
    </row>
    <row r="251" spans="1:67" x14ac:dyDescent="0.25">
      <c r="A251" s="30">
        <v>0.58467928908643485</v>
      </c>
      <c r="B251"/>
      <c r="C251"/>
      <c r="D251"/>
      <c r="E251"/>
      <c r="AB251" s="27" t="s">
        <v>7</v>
      </c>
      <c r="AC251" s="27" t="s">
        <v>8</v>
      </c>
      <c r="AD251" s="27" t="s">
        <v>7</v>
      </c>
      <c r="AG251" s="27" t="s">
        <v>8</v>
      </c>
      <c r="AH251" s="27" t="s">
        <v>7</v>
      </c>
      <c r="AK251" s="27" t="s">
        <v>8</v>
      </c>
      <c r="AL251" s="27" t="s">
        <v>7</v>
      </c>
      <c r="AM251" s="27" t="s">
        <v>8</v>
      </c>
      <c r="AR251" s="27" t="s">
        <v>7</v>
      </c>
      <c r="AS251" s="27" t="s">
        <v>8</v>
      </c>
      <c r="AT251" s="27" t="s">
        <v>7</v>
      </c>
      <c r="AU251" s="27" t="s">
        <v>8</v>
      </c>
      <c r="AV251" s="27" t="s">
        <v>7</v>
      </c>
      <c r="AY251" s="27" t="s">
        <v>8</v>
      </c>
      <c r="AZ251" s="27" t="s">
        <v>7</v>
      </c>
      <c r="BD251" s="31" t="s">
        <v>7</v>
      </c>
      <c r="BE251" s="31" t="s">
        <v>8</v>
      </c>
    </row>
    <row r="252" spans="1:67" x14ac:dyDescent="0.25">
      <c r="A252" s="30">
        <v>0.55683741817755672</v>
      </c>
      <c r="B252"/>
      <c r="C252"/>
      <c r="D252"/>
      <c r="E252"/>
      <c r="AB252" s="27" t="s">
        <v>7</v>
      </c>
      <c r="AC252" s="27" t="s">
        <v>8</v>
      </c>
      <c r="AD252" s="27" t="s">
        <v>7</v>
      </c>
      <c r="AG252" s="27" t="s">
        <v>8</v>
      </c>
      <c r="AH252" s="27" t="s">
        <v>7</v>
      </c>
      <c r="AK252" s="27" t="s">
        <v>8</v>
      </c>
      <c r="AL252" s="27" t="s">
        <v>7</v>
      </c>
      <c r="AM252" s="27" t="s">
        <v>8</v>
      </c>
      <c r="AR252" s="27" t="s">
        <v>7</v>
      </c>
      <c r="AS252" s="27" t="s">
        <v>8</v>
      </c>
      <c r="AT252" s="27" t="s">
        <v>7</v>
      </c>
      <c r="AV252" s="27" t="s">
        <v>7</v>
      </c>
      <c r="AY252" s="27" t="s">
        <v>8</v>
      </c>
      <c r="BC252" s="31"/>
      <c r="BD252" s="27" t="s">
        <v>7</v>
      </c>
    </row>
    <row r="253" spans="1:67" x14ac:dyDescent="0.25">
      <c r="A253" s="30">
        <v>0.53032135064529184</v>
      </c>
      <c r="B253"/>
      <c r="C253"/>
      <c r="D253"/>
      <c r="E253"/>
      <c r="AB253" s="27" t="s">
        <v>7</v>
      </c>
      <c r="AC253" s="27" t="s">
        <v>8</v>
      </c>
      <c r="AD253" s="27" t="s">
        <v>7</v>
      </c>
      <c r="AG253" s="27" t="s">
        <v>8</v>
      </c>
      <c r="AH253" s="27" t="s">
        <v>7</v>
      </c>
      <c r="AI253" s="27" t="s">
        <v>8</v>
      </c>
      <c r="AK253" s="27" t="s">
        <v>8</v>
      </c>
      <c r="AL253" s="27" t="s">
        <v>7</v>
      </c>
      <c r="AR253" s="27" t="s">
        <v>7</v>
      </c>
      <c r="AS253" s="27" t="s">
        <v>8</v>
      </c>
      <c r="AV253" s="27" t="s">
        <v>7</v>
      </c>
      <c r="AW253" s="27" t="s">
        <v>8</v>
      </c>
      <c r="AY253" s="27" t="s">
        <v>8</v>
      </c>
      <c r="BB253" s="31"/>
    </row>
    <row r="254" spans="1:67" x14ac:dyDescent="0.25">
      <c r="A254" s="30">
        <v>0.50506795299551588</v>
      </c>
      <c r="B254"/>
      <c r="C254"/>
      <c r="D254"/>
      <c r="E254"/>
      <c r="AB254" s="27" t="s">
        <v>7</v>
      </c>
      <c r="AC254" s="27" t="s">
        <v>8</v>
      </c>
      <c r="AD254" s="27" t="s">
        <v>7</v>
      </c>
      <c r="AG254" s="27" t="s">
        <v>8</v>
      </c>
      <c r="AH254" s="27" t="s">
        <v>7</v>
      </c>
      <c r="AI254" s="27" t="s">
        <v>8</v>
      </c>
      <c r="AJ254" s="27" t="s">
        <v>7</v>
      </c>
      <c r="AK254" s="27" t="s">
        <v>8</v>
      </c>
      <c r="AR254" s="27" t="s">
        <v>7</v>
      </c>
      <c r="AV254" s="27" t="s">
        <v>7</v>
      </c>
      <c r="AW254" s="27" t="s">
        <v>8</v>
      </c>
      <c r="AX254" s="27" t="s">
        <v>7</v>
      </c>
      <c r="AY254" s="27" t="s">
        <v>8</v>
      </c>
      <c r="BA254" s="31"/>
    </row>
    <row r="255" spans="1:67" x14ac:dyDescent="0.25">
      <c r="A255" s="30">
        <v>0.48101709809096732</v>
      </c>
      <c r="E255"/>
      <c r="AB255" s="27" t="s">
        <v>7</v>
      </c>
      <c r="AC255" s="27" t="s">
        <v>8</v>
      </c>
      <c r="AD255" s="27" t="s">
        <v>7</v>
      </c>
      <c r="AG255" s="27" t="s">
        <v>8</v>
      </c>
      <c r="AH255" s="27" t="s">
        <v>7</v>
      </c>
      <c r="AI255" s="27" t="s">
        <v>8</v>
      </c>
      <c r="AJ255" s="27" t="s">
        <v>7</v>
      </c>
      <c r="AK255" s="27" t="s">
        <v>8</v>
      </c>
      <c r="AV255" s="27" t="s">
        <v>7</v>
      </c>
      <c r="AW255" s="27" t="s">
        <v>8</v>
      </c>
      <c r="AX255" s="27" t="s">
        <v>7</v>
      </c>
      <c r="AY255" s="27" t="s">
        <v>8</v>
      </c>
      <c r="AZ255" s="31"/>
    </row>
    <row r="256" spans="1:67" x14ac:dyDescent="0.25">
      <c r="A256" s="30">
        <v>0.45811152199139726</v>
      </c>
      <c r="E256"/>
      <c r="AB256" s="27" t="s">
        <v>7</v>
      </c>
      <c r="AD256" s="27" t="s">
        <v>7</v>
      </c>
      <c r="AG256" s="27" t="s">
        <v>8</v>
      </c>
      <c r="AH256" s="27" t="s">
        <v>7</v>
      </c>
      <c r="AI256" s="27" t="s">
        <v>8</v>
      </c>
      <c r="AJ256" s="27" t="s">
        <v>7</v>
      </c>
      <c r="AK256" s="27" t="s">
        <v>8</v>
      </c>
      <c r="AV256" s="27" t="s">
        <v>7</v>
      </c>
      <c r="AW256" s="27" t="s">
        <v>8</v>
      </c>
      <c r="AX256" s="27" t="s">
        <v>7</v>
      </c>
      <c r="AY256" s="31"/>
    </row>
    <row r="257" spans="1:50" x14ac:dyDescent="0.25">
      <c r="A257" s="30">
        <v>0.43629668761085438</v>
      </c>
      <c r="B257"/>
      <c r="C257"/>
      <c r="D257"/>
      <c r="E257"/>
      <c r="AD257" s="27" t="s">
        <v>7</v>
      </c>
      <c r="AG257" s="27" t="s">
        <v>8</v>
      </c>
      <c r="AH257" s="27" t="s">
        <v>7</v>
      </c>
      <c r="AI257" s="27" t="s">
        <v>8</v>
      </c>
      <c r="AJ257" s="27" t="s">
        <v>7</v>
      </c>
      <c r="AV257" s="27" t="s">
        <v>7</v>
      </c>
      <c r="AW257" s="27" t="s">
        <v>8</v>
      </c>
      <c r="AX257" s="31"/>
    </row>
    <row r="258" spans="1:50" x14ac:dyDescent="0.25">
      <c r="A258" s="30">
        <v>0.41552065486748019</v>
      </c>
      <c r="B258"/>
      <c r="C258"/>
      <c r="D258"/>
      <c r="E258"/>
      <c r="AD258" s="27" t="s">
        <v>7</v>
      </c>
      <c r="AE258" s="27" t="s">
        <v>8</v>
      </c>
      <c r="AG258" s="27" t="s">
        <v>8</v>
      </c>
      <c r="AH258" s="27" t="s">
        <v>7</v>
      </c>
      <c r="AI258" s="27" t="s">
        <v>8</v>
      </c>
      <c r="AV258" s="27" t="s">
        <v>7</v>
      </c>
      <c r="AW258" s="31" t="s">
        <v>8</v>
      </c>
    </row>
    <row r="259" spans="1:50" x14ac:dyDescent="0.25">
      <c r="A259" s="30">
        <v>0.39573395701664765</v>
      </c>
      <c r="B259"/>
      <c r="C259"/>
      <c r="D259"/>
      <c r="E259"/>
      <c r="AD259" s="27" t="s">
        <v>7</v>
      </c>
      <c r="AE259" s="27" t="s">
        <v>8</v>
      </c>
      <c r="AF259" s="27" t="s">
        <v>7</v>
      </c>
      <c r="AG259" s="27" t="s">
        <v>8</v>
      </c>
      <c r="AH259" s="27" t="s">
        <v>7</v>
      </c>
      <c r="AI259" s="27" t="s">
        <v>8</v>
      </c>
      <c r="AV259" s="31" t="s">
        <v>7</v>
      </c>
    </row>
    <row r="260" spans="1:50" x14ac:dyDescent="0.25">
      <c r="A260" s="30">
        <v>0.37688948287299762</v>
      </c>
      <c r="B260"/>
      <c r="C260"/>
      <c r="D260"/>
      <c r="E260"/>
      <c r="AD260" s="27" t="s">
        <v>7</v>
      </c>
      <c r="AE260" s="27" t="s">
        <v>8</v>
      </c>
      <c r="AF260" s="27" t="s">
        <v>7</v>
      </c>
      <c r="AG260" s="27" t="s">
        <v>8</v>
      </c>
      <c r="AH260" s="27" t="s">
        <v>7</v>
      </c>
      <c r="AI260" s="27" t="s">
        <v>8</v>
      </c>
    </row>
    <row r="261" spans="1:50" x14ac:dyDescent="0.25">
      <c r="A261" s="30">
        <v>0.35894236464094997</v>
      </c>
      <c r="B261"/>
      <c r="C261"/>
      <c r="D261"/>
      <c r="E261"/>
      <c r="AD261" s="27" t="s">
        <v>7</v>
      </c>
      <c r="AF261" s="27" t="s">
        <v>7</v>
      </c>
      <c r="AG261" s="27" t="s">
        <v>8</v>
      </c>
      <c r="AH261" s="27" t="s">
        <v>7</v>
      </c>
      <c r="AI261" s="27" t="s">
        <v>8</v>
      </c>
    </row>
    <row r="262" spans="1:50" x14ac:dyDescent="0.25">
      <c r="A262" s="30">
        <v>0.34184987108661891</v>
      </c>
      <c r="B262"/>
      <c r="C262"/>
      <c r="D262"/>
      <c r="E262"/>
      <c r="AF262" s="27" t="s">
        <v>7</v>
      </c>
      <c r="AH262" s="27" t="s">
        <v>7</v>
      </c>
    </row>
    <row r="263" spans="1:50" x14ac:dyDescent="0.25">
      <c r="A263" s="30">
        <v>0.32557130579677979</v>
      </c>
      <c r="B263"/>
      <c r="C263"/>
      <c r="D263"/>
      <c r="E263"/>
    </row>
    <row r="264" spans="1:50" x14ac:dyDescent="0.25">
      <c r="A264" s="30">
        <v>0.3100679102826473</v>
      </c>
      <c r="B264"/>
      <c r="C264"/>
      <c r="D264"/>
      <c r="E264"/>
    </row>
    <row r="265" spans="1:50" x14ac:dyDescent="0.25">
      <c r="A265" s="30">
        <v>0.2953027716977592</v>
      </c>
      <c r="B265"/>
      <c r="C265"/>
      <c r="D265"/>
      <c r="E265"/>
    </row>
    <row r="266" spans="1:50" x14ac:dyDescent="0.25">
      <c r="A266" s="30">
        <v>0.28124073495024676</v>
      </c>
      <c r="B266"/>
      <c r="C266"/>
      <c r="D266"/>
      <c r="E266"/>
    </row>
    <row r="267" spans="1:50" x14ac:dyDescent="0.25">
      <c r="A267" s="30">
        <v>0.26784831900023492</v>
      </c>
      <c r="B267"/>
      <c r="C267"/>
      <c r="D267"/>
      <c r="E267"/>
    </row>
    <row r="268" spans="1:50" x14ac:dyDescent="0.25">
      <c r="A268" s="30">
        <v>0.25509363714308075</v>
      </c>
      <c r="B268"/>
      <c r="C268"/>
      <c r="D268"/>
      <c r="E268"/>
    </row>
    <row r="269" spans="1:50" x14ac:dyDescent="0.25">
      <c r="A269" s="30">
        <v>0.24294632108864825</v>
      </c>
      <c r="B269"/>
      <c r="C269"/>
      <c r="D269"/>
      <c r="E269"/>
    </row>
    <row r="270" spans="1:50" x14ac:dyDescent="0.25">
      <c r="A270" s="30">
        <v>0.23137744865585538</v>
      </c>
      <c r="B270"/>
      <c r="C270"/>
      <c r="D270"/>
      <c r="E270"/>
    </row>
    <row r="271" spans="1:50" x14ac:dyDescent="0.25">
      <c r="A271" s="30">
        <v>0.22035947491033836</v>
      </c>
      <c r="B271"/>
      <c r="C271"/>
      <c r="D271"/>
      <c r="E271"/>
    </row>
    <row r="272" spans="1:50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51" operator="equal">
      <formula>$U$1</formula>
    </cfRule>
    <cfRule type="cellIs" dxfId="67" priority="952" operator="equal">
      <formula>$S$1</formula>
    </cfRule>
  </conditionalFormatting>
  <conditionalFormatting sqref="D136">
    <cfRule type="cellIs" dxfId="66" priority="949" operator="equal">
      <formula>$S$1</formula>
    </cfRule>
    <cfRule type="cellIs" dxfId="65" priority="950" operator="equal">
      <formula>$U$1</formula>
    </cfRule>
  </conditionalFormatting>
  <conditionalFormatting sqref="C162">
    <cfRule type="cellIs" dxfId="64" priority="947" operator="equal">
      <formula>$U$1</formula>
    </cfRule>
    <cfRule type="cellIs" dxfId="63" priority="948" operator="equal">
      <formula>$S$1</formula>
    </cfRule>
  </conditionalFormatting>
  <conditionalFormatting sqref="D162">
    <cfRule type="cellIs" dxfId="62" priority="945" operator="equal">
      <formula>$S$1</formula>
    </cfRule>
    <cfRule type="cellIs" dxfId="61" priority="946" operator="equal">
      <formula>$U$1</formula>
    </cfRule>
  </conditionalFormatting>
  <conditionalFormatting sqref="C187">
    <cfRule type="cellIs" dxfId="60" priority="943" operator="equal">
      <formula>$U$1</formula>
    </cfRule>
    <cfRule type="cellIs" dxfId="59" priority="944" operator="equal">
      <formula>$S$1</formula>
    </cfRule>
  </conditionalFormatting>
  <conditionalFormatting sqref="D187">
    <cfRule type="cellIs" dxfId="58" priority="941" operator="equal">
      <formula>$S$1</formula>
    </cfRule>
    <cfRule type="cellIs" dxfId="57" priority="942" operator="equal">
      <formula>$U$1</formula>
    </cfRule>
  </conditionalFormatting>
  <conditionalFormatting sqref="C212">
    <cfRule type="cellIs" dxfId="56" priority="939" operator="equal">
      <formula>$U$1</formula>
    </cfRule>
    <cfRule type="cellIs" dxfId="55" priority="940" operator="equal">
      <formula>$S$1</formula>
    </cfRule>
  </conditionalFormatting>
  <conditionalFormatting sqref="D212">
    <cfRule type="cellIs" dxfId="54" priority="937" operator="equal">
      <formula>$S$1</formula>
    </cfRule>
    <cfRule type="cellIs" dxfId="53" priority="938" operator="equal">
      <formula>$U$1</formula>
    </cfRule>
  </conditionalFormatting>
  <conditionalFormatting sqref="C237">
    <cfRule type="cellIs" dxfId="52" priority="935" operator="equal">
      <formula>$U$1</formula>
    </cfRule>
    <cfRule type="cellIs" dxfId="51" priority="936" operator="equal">
      <formula>$S$1</formula>
    </cfRule>
  </conditionalFormatting>
  <conditionalFormatting sqref="D237">
    <cfRule type="cellIs" dxfId="50" priority="933" operator="equal">
      <formula>$S$1</formula>
    </cfRule>
    <cfRule type="cellIs" dxfId="49" priority="934" operator="equal">
      <formula>$U$1</formula>
    </cfRule>
  </conditionalFormatting>
  <conditionalFormatting sqref="C106">
    <cfRule type="cellIs" dxfId="48" priority="931" operator="equal">
      <formula>$U$1</formula>
    </cfRule>
    <cfRule type="cellIs" dxfId="47" priority="932" operator="equal">
      <formula>$S$1</formula>
    </cfRule>
  </conditionalFormatting>
  <conditionalFormatting sqref="D106">
    <cfRule type="cellIs" dxfId="46" priority="929" operator="equal">
      <formula>$S$1</formula>
    </cfRule>
    <cfRule type="cellIs" dxfId="45" priority="930" operator="equal">
      <formula>$U$1</formula>
    </cfRule>
  </conditionalFormatting>
  <conditionalFormatting sqref="C81">
    <cfRule type="cellIs" dxfId="44" priority="927" operator="equal">
      <formula>$U$1</formula>
    </cfRule>
    <cfRule type="cellIs" dxfId="43" priority="928" operator="equal">
      <formula>$S$1</formula>
    </cfRule>
  </conditionalFormatting>
  <conditionalFormatting sqref="D81">
    <cfRule type="cellIs" dxfId="42" priority="925" operator="equal">
      <formula>$S$1</formula>
    </cfRule>
    <cfRule type="cellIs" dxfId="41" priority="926" operator="equal">
      <formula>$U$1</formula>
    </cfRule>
  </conditionalFormatting>
  <conditionalFormatting sqref="C56">
    <cfRule type="cellIs" dxfId="40" priority="923" operator="equal">
      <formula>$U$1</formula>
    </cfRule>
    <cfRule type="cellIs" dxfId="39" priority="924" operator="equal">
      <formula>$S$1</formula>
    </cfRule>
  </conditionalFormatting>
  <conditionalFormatting sqref="D56">
    <cfRule type="cellIs" dxfId="38" priority="921" operator="equal">
      <formula>$S$1</formula>
    </cfRule>
    <cfRule type="cellIs" dxfId="37" priority="922" operator="equal">
      <formula>$U$1</formula>
    </cfRule>
  </conditionalFormatting>
  <conditionalFormatting sqref="C31">
    <cfRule type="cellIs" dxfId="36" priority="919" operator="equal">
      <formula>$U$1</formula>
    </cfRule>
    <cfRule type="cellIs" dxfId="35" priority="920" operator="equal">
      <formula>$S$1</formula>
    </cfRule>
  </conditionalFormatting>
  <conditionalFormatting sqref="D31">
    <cfRule type="cellIs" dxfId="34" priority="917" operator="equal">
      <formula>$S$1</formula>
    </cfRule>
    <cfRule type="cellIs" dxfId="33" priority="91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7" zoomScale="90" zoomScaleNormal="90" workbookViewId="0">
      <pane xSplit="4" topLeftCell="G1" activePane="topRight" state="frozen"/>
      <selection activeCell="A109" sqref="A109"/>
      <selection pane="topRight" activeCell="BJ111" sqref="BJ11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63" x14ac:dyDescent="0.25">
      <c r="A97" s="30">
        <v>9.849732675807628</v>
      </c>
      <c r="E97"/>
    </row>
    <row r="98" spans="1:63" x14ac:dyDescent="0.25">
      <c r="A98" s="30">
        <v>8.9543024325523888</v>
      </c>
      <c r="C98" s="1" t="s">
        <v>13</v>
      </c>
      <c r="E98"/>
    </row>
    <row r="99" spans="1:63" x14ac:dyDescent="0.25">
      <c r="A99" s="30">
        <v>8.140274938683989</v>
      </c>
      <c r="C99" s="1">
        <f>C88</f>
        <v>0</v>
      </c>
      <c r="E99"/>
    </row>
    <row r="100" spans="1:63" x14ac:dyDescent="0.25">
      <c r="A100" s="30">
        <v>7.4002499442581717</v>
      </c>
      <c r="C100"/>
      <c r="D100"/>
      <c r="E100" t="s">
        <v>8</v>
      </c>
    </row>
    <row r="101" spans="1:63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BI101" s="27" t="s">
        <v>8</v>
      </c>
    </row>
    <row r="102" spans="1:63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BG102" s="27" t="s">
        <v>8</v>
      </c>
      <c r="BI102" s="27" t="s">
        <v>8</v>
      </c>
      <c r="BJ102" s="27" t="s">
        <v>7</v>
      </c>
    </row>
    <row r="103" spans="1:63" x14ac:dyDescent="0.25">
      <c r="A103" s="30">
        <v>5.5599173134922388</v>
      </c>
      <c r="E103" t="s">
        <v>8</v>
      </c>
      <c r="F103" s="27" t="s">
        <v>7</v>
      </c>
      <c r="K103" s="27" t="s">
        <v>8</v>
      </c>
      <c r="BG103" s="27" t="s">
        <v>8</v>
      </c>
      <c r="BH103" s="27" t="s">
        <v>7</v>
      </c>
      <c r="BI103" s="27" t="s">
        <v>8</v>
      </c>
      <c r="BJ103" s="27" t="s">
        <v>7</v>
      </c>
    </row>
    <row r="104" spans="1:63" x14ac:dyDescent="0.25">
      <c r="A104" s="30">
        <v>5.0544702849929442</v>
      </c>
      <c r="E104" t="s">
        <v>8</v>
      </c>
      <c r="F104" s="27" t="s">
        <v>7</v>
      </c>
      <c r="K104" s="27" t="s">
        <v>8</v>
      </c>
      <c r="L104" s="27" t="s">
        <v>7</v>
      </c>
      <c r="BE104" s="27" t="s">
        <v>8</v>
      </c>
      <c r="BG104" s="27" t="s">
        <v>8</v>
      </c>
      <c r="BH104" s="27" t="s">
        <v>7</v>
      </c>
      <c r="BI104" s="27" t="s">
        <v>8</v>
      </c>
      <c r="BJ104" s="27" t="s">
        <v>7</v>
      </c>
    </row>
    <row r="105" spans="1:63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K105" s="27" t="s">
        <v>8</v>
      </c>
      <c r="L105" s="27" t="s">
        <v>7</v>
      </c>
      <c r="AM105" s="27" t="s">
        <v>8</v>
      </c>
      <c r="BE105" s="27" t="s">
        <v>8</v>
      </c>
      <c r="BF105" s="27" t="s">
        <v>7</v>
      </c>
      <c r="BG105" s="27" t="s">
        <v>8</v>
      </c>
      <c r="BH105" s="27" t="s">
        <v>7</v>
      </c>
      <c r="BI105" s="27" t="s">
        <v>8</v>
      </c>
      <c r="BJ105" s="27" t="s">
        <v>7</v>
      </c>
    </row>
    <row r="106" spans="1:63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  <c r="I106" s="27" t="s">
        <v>8</v>
      </c>
      <c r="K106" s="27" t="s">
        <v>8</v>
      </c>
      <c r="L106" s="27" t="s">
        <v>7</v>
      </c>
      <c r="AM106" s="27" t="s">
        <v>8</v>
      </c>
      <c r="AN106" s="27" t="s">
        <v>7</v>
      </c>
      <c r="AS106" s="31" t="s">
        <v>8</v>
      </c>
      <c r="BE106" s="27" t="s">
        <v>8</v>
      </c>
      <c r="BF106" s="27" t="s">
        <v>7</v>
      </c>
      <c r="BG106" s="27" t="s">
        <v>8</v>
      </c>
      <c r="BH106" s="27" t="s">
        <v>7</v>
      </c>
      <c r="BI106" s="27" t="s">
        <v>8</v>
      </c>
      <c r="BJ106" s="27" t="s">
        <v>7</v>
      </c>
    </row>
    <row r="107" spans="1:63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H107" s="27" t="s">
        <v>7</v>
      </c>
      <c r="I107" s="27" t="s">
        <v>8</v>
      </c>
      <c r="J107" s="27" t="s">
        <v>7</v>
      </c>
      <c r="K107" s="27" t="s">
        <v>8</v>
      </c>
      <c r="L107" s="27" t="s">
        <v>7</v>
      </c>
      <c r="AM107" s="27" t="s">
        <v>8</v>
      </c>
      <c r="AN107" s="27" t="s">
        <v>7</v>
      </c>
      <c r="AQ107" s="27" t="s">
        <v>8</v>
      </c>
      <c r="AS107" s="27" t="s">
        <v>8</v>
      </c>
      <c r="AT107" s="31" t="s">
        <v>7</v>
      </c>
      <c r="BE107" s="27" t="s">
        <v>8</v>
      </c>
      <c r="BF107" s="27" t="s">
        <v>7</v>
      </c>
      <c r="BG107" s="27" t="s">
        <v>8</v>
      </c>
      <c r="BH107" s="27" t="s">
        <v>7</v>
      </c>
      <c r="BI107" s="27" t="s">
        <v>8</v>
      </c>
      <c r="BJ107" s="27" t="s">
        <v>7</v>
      </c>
      <c r="BK107" s="31"/>
    </row>
    <row r="108" spans="1:63" x14ac:dyDescent="0.25">
      <c r="A108" s="30">
        <v>3.4522712143931042</v>
      </c>
      <c r="E108" t="s">
        <v>8</v>
      </c>
      <c r="F108" s="27" t="s">
        <v>7</v>
      </c>
      <c r="H108" s="27" t="s">
        <v>7</v>
      </c>
      <c r="I108" s="27" t="s">
        <v>8</v>
      </c>
      <c r="J108" s="27" t="s">
        <v>7</v>
      </c>
      <c r="K108" s="27" t="s">
        <v>8</v>
      </c>
      <c r="L108" s="27" t="s">
        <v>7</v>
      </c>
      <c r="AC108" s="27" t="s">
        <v>8</v>
      </c>
      <c r="AM108" s="27" t="s">
        <v>8</v>
      </c>
      <c r="AN108" s="27" t="s">
        <v>7</v>
      </c>
      <c r="AO108" s="27" t="s">
        <v>8</v>
      </c>
      <c r="AQ108" s="27" t="s">
        <v>8</v>
      </c>
      <c r="AR108" s="27" t="s">
        <v>7</v>
      </c>
      <c r="AS108" s="27" t="s">
        <v>8</v>
      </c>
      <c r="AT108" s="27" t="s">
        <v>7</v>
      </c>
      <c r="AU108" s="31"/>
      <c r="BE108" s="27" t="s">
        <v>8</v>
      </c>
      <c r="BF108" s="27" t="s">
        <v>7</v>
      </c>
      <c r="BH108" s="27" t="s">
        <v>7</v>
      </c>
      <c r="BI108" s="27" t="s">
        <v>8</v>
      </c>
      <c r="BJ108" s="31" t="s">
        <v>7</v>
      </c>
    </row>
    <row r="109" spans="1:63" x14ac:dyDescent="0.25">
      <c r="A109" s="30">
        <v>3.1384283767210035</v>
      </c>
      <c r="E109" t="s">
        <v>8</v>
      </c>
      <c r="H109" s="27" t="s">
        <v>7</v>
      </c>
      <c r="I109" s="27" t="s">
        <v>8</v>
      </c>
      <c r="J109" s="27" t="s">
        <v>7</v>
      </c>
      <c r="L109" s="27" t="s">
        <v>7</v>
      </c>
      <c r="AC109" s="27" t="s">
        <v>8</v>
      </c>
      <c r="AD109" s="27" t="s">
        <v>7</v>
      </c>
      <c r="AE109" s="27" t="s">
        <v>8</v>
      </c>
      <c r="AK109" s="27" t="s">
        <v>8</v>
      </c>
      <c r="AM109" s="27" t="s">
        <v>8</v>
      </c>
      <c r="AN109" s="27" t="s">
        <v>7</v>
      </c>
      <c r="AO109" s="27" t="s">
        <v>8</v>
      </c>
      <c r="AP109" s="27" t="s">
        <v>7</v>
      </c>
      <c r="AQ109" s="27" t="s">
        <v>8</v>
      </c>
      <c r="AR109" s="27" t="s">
        <v>7</v>
      </c>
      <c r="AS109" s="27" t="s">
        <v>8</v>
      </c>
      <c r="AT109" s="31" t="s">
        <v>7</v>
      </c>
      <c r="AV109" s="31"/>
      <c r="BC109" s="27" t="s">
        <v>8</v>
      </c>
      <c r="BE109" s="27" t="s">
        <v>8</v>
      </c>
      <c r="BH109" s="33" t="s">
        <v>7</v>
      </c>
      <c r="BI109" s="31" t="s">
        <v>8</v>
      </c>
      <c r="BJ109" s="27" t="s">
        <v>7</v>
      </c>
    </row>
    <row r="110" spans="1:63" x14ac:dyDescent="0.25">
      <c r="A110" s="30">
        <v>2.8531167061100029</v>
      </c>
      <c r="E110" t="s">
        <v>8</v>
      </c>
      <c r="H110" s="27" t="s">
        <v>7</v>
      </c>
      <c r="I110" s="27" t="s">
        <v>8</v>
      </c>
      <c r="L110" s="27" t="s">
        <v>7</v>
      </c>
      <c r="AC110" s="27" t="s">
        <v>8</v>
      </c>
      <c r="AD110" s="27" t="s">
        <v>7</v>
      </c>
      <c r="AE110" s="27" t="s">
        <v>8</v>
      </c>
      <c r="AF110" s="27" t="s">
        <v>7</v>
      </c>
      <c r="AK110" s="27" t="s">
        <v>8</v>
      </c>
      <c r="AL110" s="27" t="s">
        <v>7</v>
      </c>
      <c r="AM110" s="27" t="s">
        <v>8</v>
      </c>
      <c r="AN110" s="27" t="s">
        <v>7</v>
      </c>
      <c r="AO110" s="27" t="s">
        <v>8</v>
      </c>
      <c r="AP110" s="27" t="s">
        <v>7</v>
      </c>
      <c r="AQ110" s="27" t="s">
        <v>8</v>
      </c>
      <c r="AR110" s="27" t="s">
        <v>7</v>
      </c>
      <c r="AS110" s="31"/>
      <c r="AT110" s="27" t="s">
        <v>7</v>
      </c>
      <c r="AW110" s="31" t="s">
        <v>8</v>
      </c>
      <c r="BC110" s="27" t="s">
        <v>8</v>
      </c>
      <c r="BD110" s="27" t="s">
        <v>7</v>
      </c>
      <c r="BE110" s="27" t="s">
        <v>8</v>
      </c>
      <c r="BH110" s="31" t="s">
        <v>7</v>
      </c>
      <c r="BJ110" s="27" t="s">
        <v>7</v>
      </c>
    </row>
    <row r="111" spans="1:63" x14ac:dyDescent="0.25">
      <c r="A111" s="30">
        <v>2.5937424601000023</v>
      </c>
      <c r="C111" s="1" t="str">
        <f>ADDRESS(C121-1,1,1,1)</f>
        <v>$A$110</v>
      </c>
      <c r="D111" s="1" t="str">
        <f>ADDRESS(C121-1,D121,1,1)</f>
        <v>$BJ$110</v>
      </c>
      <c r="E111" t="s">
        <v>8</v>
      </c>
      <c r="H111" s="27" t="s">
        <v>7</v>
      </c>
      <c r="L111" s="27" t="s">
        <v>7</v>
      </c>
      <c r="AC111" s="27" t="s">
        <v>8</v>
      </c>
      <c r="AD111" s="27" t="s">
        <v>7</v>
      </c>
      <c r="AE111" s="27" t="s">
        <v>8</v>
      </c>
      <c r="AF111" s="27" t="s">
        <v>7</v>
      </c>
      <c r="AI111" s="27" t="s">
        <v>8</v>
      </c>
      <c r="AK111" s="27" t="s">
        <v>8</v>
      </c>
      <c r="AL111" s="27" t="s">
        <v>7</v>
      </c>
      <c r="AM111" s="27" t="s">
        <v>8</v>
      </c>
      <c r="AN111" s="27" t="s">
        <v>7</v>
      </c>
      <c r="AP111" s="27" t="s">
        <v>7</v>
      </c>
      <c r="AQ111" s="27" t="s">
        <v>8</v>
      </c>
      <c r="AR111" s="31"/>
      <c r="AT111" s="27" t="s">
        <v>7</v>
      </c>
      <c r="AW111" s="27" t="s">
        <v>8</v>
      </c>
      <c r="AX111" s="31" t="s">
        <v>7</v>
      </c>
      <c r="BA111" s="27" t="s">
        <v>8</v>
      </c>
      <c r="BC111" s="27" t="s">
        <v>8</v>
      </c>
      <c r="BD111" s="27" t="s">
        <v>7</v>
      </c>
      <c r="BE111" s="27" t="s">
        <v>8</v>
      </c>
      <c r="BG111" s="31"/>
      <c r="BJ111" s="27" t="s">
        <v>7</v>
      </c>
    </row>
    <row r="112" spans="1:63" x14ac:dyDescent="0.25">
      <c r="A112" s="30">
        <v>2.3579476910000019</v>
      </c>
      <c r="C112" s="1" t="str">
        <f>ADDRESS(C121,1,1,1)</f>
        <v>$A$111</v>
      </c>
      <c r="D112" s="1" t="str">
        <f>ADDRESS(C121,D121-1,1,1)</f>
        <v>$BI$111</v>
      </c>
      <c r="E112" t="s">
        <v>8</v>
      </c>
      <c r="L112" s="27" t="s">
        <v>7</v>
      </c>
      <c r="AC112" s="27" t="s">
        <v>8</v>
      </c>
      <c r="AD112" s="27" t="s">
        <v>7</v>
      </c>
      <c r="AE112" s="27" t="s">
        <v>8</v>
      </c>
      <c r="AF112" s="27" t="s">
        <v>7</v>
      </c>
      <c r="AG112" s="27" t="s">
        <v>8</v>
      </c>
      <c r="AI112" s="27" t="s">
        <v>8</v>
      </c>
      <c r="AJ112" s="27" t="s">
        <v>7</v>
      </c>
      <c r="AK112" s="27" t="s">
        <v>8</v>
      </c>
      <c r="AL112" s="27" t="s">
        <v>7</v>
      </c>
      <c r="AP112" s="27" t="s">
        <v>7</v>
      </c>
      <c r="AQ112" s="31"/>
      <c r="AT112" s="27" t="s">
        <v>7</v>
      </c>
      <c r="AU112" s="27" t="s">
        <v>8</v>
      </c>
      <c r="AW112" s="27" t="s">
        <v>8</v>
      </c>
      <c r="AX112" s="27" t="s">
        <v>7</v>
      </c>
      <c r="AY112" s="31"/>
      <c r="BA112" s="27" t="s">
        <v>8</v>
      </c>
      <c r="BB112" s="27" t="s">
        <v>7</v>
      </c>
      <c r="BC112" s="27" t="s">
        <v>8</v>
      </c>
      <c r="BD112" s="27" t="s">
        <v>7</v>
      </c>
      <c r="BE112" s="27" t="s">
        <v>8</v>
      </c>
      <c r="BF112" s="31"/>
    </row>
    <row r="113" spans="1:57" x14ac:dyDescent="0.25">
      <c r="A113" s="30">
        <v>2.1435888100000016</v>
      </c>
      <c r="C113" s="1" t="str">
        <f>ADDRESS(C121+1,1,1,1)</f>
        <v>$A$112</v>
      </c>
      <c r="D113" s="1" t="str">
        <f>ADDRESS(C121-1,D121+1,1,1)</f>
        <v>$BK$110</v>
      </c>
      <c r="E113" s="1" t="s">
        <v>8</v>
      </c>
      <c r="L113" s="27" t="s">
        <v>7</v>
      </c>
      <c r="M113" s="27" t="s">
        <v>8</v>
      </c>
      <c r="AC113" s="27" t="s">
        <v>8</v>
      </c>
      <c r="AD113" s="27" t="s">
        <v>7</v>
      </c>
      <c r="AF113" s="27" t="s">
        <v>7</v>
      </c>
      <c r="AG113" s="27" t="s">
        <v>8</v>
      </c>
      <c r="AH113" s="27" t="s">
        <v>7</v>
      </c>
      <c r="AI113" s="27" t="s">
        <v>8</v>
      </c>
      <c r="AJ113" s="27" t="s">
        <v>7</v>
      </c>
      <c r="AK113" s="27" t="s">
        <v>8</v>
      </c>
      <c r="AP113" s="31"/>
      <c r="AT113" s="27" t="s">
        <v>7</v>
      </c>
      <c r="AU113" s="27" t="s">
        <v>8</v>
      </c>
      <c r="AV113" s="27" t="s">
        <v>7</v>
      </c>
      <c r="AW113" s="27" t="s">
        <v>8</v>
      </c>
      <c r="AX113" s="27" t="s">
        <v>7</v>
      </c>
      <c r="AZ113" s="31"/>
      <c r="BA113" s="34" t="s">
        <v>8</v>
      </c>
      <c r="BB113" s="27" t="s">
        <v>7</v>
      </c>
      <c r="BC113" s="27" t="s">
        <v>8</v>
      </c>
      <c r="BD113" s="27" t="s">
        <v>7</v>
      </c>
      <c r="BE113" s="31"/>
    </row>
    <row r="114" spans="1:57" x14ac:dyDescent="0.25">
      <c r="A114" s="30">
        <v>1.9487171000000014</v>
      </c>
      <c r="C114" s="1" t="str">
        <f>ADDRESS(C121,D121,1,1)</f>
        <v>$BJ$111</v>
      </c>
      <c r="D114" s="1" t="str">
        <f>ADDRESS(C121+1,D121+1,1,1)</f>
        <v>$BK$112</v>
      </c>
      <c r="E114" s="1" t="s">
        <v>8</v>
      </c>
      <c r="L114" s="27" t="s">
        <v>7</v>
      </c>
      <c r="M114" s="27" t="s">
        <v>8</v>
      </c>
      <c r="N114" s="27" t="s">
        <v>7</v>
      </c>
      <c r="AC114" s="27" t="s">
        <v>8</v>
      </c>
      <c r="AF114" s="27" t="s">
        <v>7</v>
      </c>
      <c r="AG114" s="27" t="s">
        <v>8</v>
      </c>
      <c r="AH114" s="27" t="s">
        <v>7</v>
      </c>
      <c r="AI114" s="27" t="s">
        <v>8</v>
      </c>
      <c r="AJ114" s="27" t="s">
        <v>7</v>
      </c>
      <c r="AO114" s="31"/>
      <c r="AT114" s="27" t="s">
        <v>7</v>
      </c>
      <c r="AU114" s="27" t="s">
        <v>8</v>
      </c>
      <c r="AV114" s="27" t="s">
        <v>7</v>
      </c>
      <c r="AW114" s="27" t="s">
        <v>8</v>
      </c>
      <c r="AX114" s="27" t="s">
        <v>7</v>
      </c>
      <c r="AY114" s="27" t="s">
        <v>8</v>
      </c>
      <c r="BA114" s="31" t="s">
        <v>8</v>
      </c>
      <c r="BB114" s="27" t="s">
        <v>7</v>
      </c>
      <c r="BC114" s="27" t="s">
        <v>8</v>
      </c>
      <c r="BD114" s="31"/>
    </row>
    <row r="115" spans="1:57" x14ac:dyDescent="0.25">
      <c r="A115" s="30">
        <v>1.7715610000000011</v>
      </c>
      <c r="C115" s="1" t="str">
        <f>ADDRESS(C121+1,D121,1,1)</f>
        <v>$BJ$112</v>
      </c>
      <c r="E115" s="1" t="s">
        <v>8</v>
      </c>
      <c r="L115" s="27" t="s">
        <v>7</v>
      </c>
      <c r="M115" s="27" t="s">
        <v>8</v>
      </c>
      <c r="N115" s="27" t="s">
        <v>7</v>
      </c>
      <c r="AA115" s="27" t="s">
        <v>8</v>
      </c>
      <c r="AC115" s="27" t="s">
        <v>8</v>
      </c>
      <c r="AF115" s="27" t="s">
        <v>7</v>
      </c>
      <c r="AH115" s="27" t="s">
        <v>7</v>
      </c>
      <c r="AN115" s="31"/>
      <c r="AT115" s="27" t="s">
        <v>7</v>
      </c>
      <c r="AU115" s="27" t="s">
        <v>8</v>
      </c>
      <c r="AV115" s="27" t="s">
        <v>7</v>
      </c>
      <c r="AW115" s="27" t="s">
        <v>8</v>
      </c>
      <c r="AX115" s="27" t="s">
        <v>7</v>
      </c>
      <c r="AY115" s="27" t="s">
        <v>8</v>
      </c>
      <c r="AZ115" s="27" t="s">
        <v>7</v>
      </c>
      <c r="BA115" s="27" t="s">
        <v>8</v>
      </c>
      <c r="BB115" s="31" t="s">
        <v>7</v>
      </c>
      <c r="BC115" s="31"/>
    </row>
    <row r="116" spans="1:57" x14ac:dyDescent="0.25">
      <c r="A116" s="30">
        <v>1.6105100000000008</v>
      </c>
      <c r="C116" s="1">
        <f>C117-1</f>
        <v>110</v>
      </c>
      <c r="E116" s="1" t="s">
        <v>8</v>
      </c>
      <c r="L116" s="27" t="s">
        <v>7</v>
      </c>
      <c r="N116" s="27" t="s">
        <v>7</v>
      </c>
      <c r="O116" s="27" t="s">
        <v>8</v>
      </c>
      <c r="AA116" s="27" t="s">
        <v>8</v>
      </c>
      <c r="AB116" s="27" t="s">
        <v>7</v>
      </c>
      <c r="AC116" s="27" t="s">
        <v>8</v>
      </c>
      <c r="AM116" s="31"/>
      <c r="AT116" s="27" t="s">
        <v>7</v>
      </c>
      <c r="AV116" s="27" t="s">
        <v>7</v>
      </c>
      <c r="AW116" s="27" t="s">
        <v>8</v>
      </c>
      <c r="AX116" s="27" t="s">
        <v>7</v>
      </c>
      <c r="AY116" s="27" t="s">
        <v>8</v>
      </c>
      <c r="AZ116" s="27" t="s">
        <v>7</v>
      </c>
      <c r="BA116" s="27" t="s">
        <v>8</v>
      </c>
      <c r="BB116" s="31"/>
      <c r="BC116" s="19"/>
    </row>
    <row r="117" spans="1:57" x14ac:dyDescent="0.25">
      <c r="A117" s="30">
        <v>1.4641000000000006</v>
      </c>
      <c r="C117" s="1">
        <f>C121</f>
        <v>111</v>
      </c>
      <c r="D117" s="1">
        <f>D121</f>
        <v>62</v>
      </c>
      <c r="E117" s="1" t="s">
        <v>8</v>
      </c>
      <c r="N117" s="27" t="s">
        <v>7</v>
      </c>
      <c r="O117" s="27" t="s">
        <v>8</v>
      </c>
      <c r="P117" s="27" t="s">
        <v>7</v>
      </c>
      <c r="AA117" s="27" t="s">
        <v>8</v>
      </c>
      <c r="AB117" s="27" t="s">
        <v>7</v>
      </c>
      <c r="AC117" s="27" t="s">
        <v>8</v>
      </c>
      <c r="AL117" s="31"/>
      <c r="AV117" s="27" t="s">
        <v>7</v>
      </c>
      <c r="AW117" s="27" t="s">
        <v>8</v>
      </c>
      <c r="AX117" s="27" t="s">
        <v>7</v>
      </c>
      <c r="AY117" s="27" t="s">
        <v>8</v>
      </c>
      <c r="AZ117" s="27" t="s">
        <v>7</v>
      </c>
      <c r="BA117" s="31" t="s">
        <v>8</v>
      </c>
    </row>
    <row r="118" spans="1:57" x14ac:dyDescent="0.25">
      <c r="A118" s="30">
        <v>1.3310000000000004</v>
      </c>
      <c r="C118" s="1">
        <f>C117+1</f>
        <v>112</v>
      </c>
      <c r="D118" s="1">
        <f>D117+1</f>
        <v>63</v>
      </c>
      <c r="E118" s="1" t="s">
        <v>8</v>
      </c>
      <c r="N118" s="27" t="s">
        <v>7</v>
      </c>
      <c r="O118" s="27" t="s">
        <v>8</v>
      </c>
      <c r="P118" s="27" t="s">
        <v>7</v>
      </c>
      <c r="AA118" s="27" t="s">
        <v>8</v>
      </c>
      <c r="AB118" s="27" t="s">
        <v>7</v>
      </c>
      <c r="AK118" s="31"/>
      <c r="AV118" s="27" t="s">
        <v>7</v>
      </c>
      <c r="AW118" s="27" t="s">
        <v>8</v>
      </c>
      <c r="AX118" s="32" t="s">
        <v>7</v>
      </c>
      <c r="AZ118" s="32" t="s">
        <v>7</v>
      </c>
    </row>
    <row r="119" spans="1:57" x14ac:dyDescent="0.25">
      <c r="A119" s="30">
        <v>1.2100000000000002</v>
      </c>
      <c r="E119" s="1" t="s">
        <v>8</v>
      </c>
      <c r="N119" s="27" t="s">
        <v>7</v>
      </c>
      <c r="P119" s="27" t="s">
        <v>7</v>
      </c>
      <c r="AA119" s="27" t="s">
        <v>8</v>
      </c>
      <c r="AJ119" s="31"/>
      <c r="AV119" s="27" t="s">
        <v>7</v>
      </c>
      <c r="AW119" s="27" t="s">
        <v>8</v>
      </c>
    </row>
    <row r="120" spans="1:57" x14ac:dyDescent="0.25">
      <c r="A120" s="30">
        <v>1.1000000000000001</v>
      </c>
      <c r="C120" s="1" t="s">
        <v>9</v>
      </c>
      <c r="E120" s="1" t="s">
        <v>8</v>
      </c>
      <c r="P120" s="27" t="s">
        <v>7</v>
      </c>
      <c r="AA120" s="27" t="s">
        <v>8</v>
      </c>
      <c r="AI120" s="31"/>
      <c r="AV120" s="27" t="s">
        <v>7</v>
      </c>
    </row>
    <row r="121" spans="1:57" x14ac:dyDescent="0.25">
      <c r="A121" s="30">
        <v>1</v>
      </c>
      <c r="C121" s="18">
        <v>111</v>
      </c>
      <c r="D121" s="19">
        <v>62</v>
      </c>
      <c r="E121" s="18" t="s">
        <v>8</v>
      </c>
      <c r="P121" s="27" t="s">
        <v>7</v>
      </c>
      <c r="AA121" s="27" t="s">
        <v>8</v>
      </c>
      <c r="AH121" s="31"/>
    </row>
    <row r="122" spans="1:57" x14ac:dyDescent="0.25">
      <c r="A122" s="30">
        <v>0.90909090909090895</v>
      </c>
      <c r="C122" s="1" t="str">
        <f>INDEX(1:1048576,C117,D117)</f>
        <v>O</v>
      </c>
      <c r="P122" s="27" t="s">
        <v>7</v>
      </c>
      <c r="U122" s="27" t="s">
        <v>8</v>
      </c>
      <c r="AA122" s="27" t="s">
        <v>8</v>
      </c>
      <c r="AG122" s="31"/>
    </row>
    <row r="123" spans="1:57" x14ac:dyDescent="0.25">
      <c r="A123" s="30">
        <v>0.82644628099173523</v>
      </c>
      <c r="C123" s="1" t="str">
        <f>"R"&amp;C121</f>
        <v>R111</v>
      </c>
      <c r="D123" s="1" t="str">
        <f>"C"&amp;D121</f>
        <v>C62</v>
      </c>
      <c r="P123" s="27" t="s">
        <v>7</v>
      </c>
      <c r="U123" s="27" t="s">
        <v>8</v>
      </c>
      <c r="V123" s="27" t="s">
        <v>7</v>
      </c>
      <c r="W123" s="27" t="s">
        <v>8</v>
      </c>
      <c r="Y123" s="27" t="s">
        <v>8</v>
      </c>
      <c r="AA123" s="27" t="s">
        <v>8</v>
      </c>
      <c r="AF123" s="31"/>
    </row>
    <row r="124" spans="1:57" x14ac:dyDescent="0.25">
      <c r="A124" s="30">
        <v>0.75131480090157732</v>
      </c>
      <c r="C124" s="1">
        <f>SUM(C130:D130)</f>
        <v>0</v>
      </c>
      <c r="D124" s="1">
        <f>IF(C124=0,0,1)</f>
        <v>0</v>
      </c>
      <c r="P124" s="27" t="s">
        <v>7</v>
      </c>
      <c r="U124" s="27" t="s">
        <v>8</v>
      </c>
      <c r="V124" s="27" t="s">
        <v>7</v>
      </c>
      <c r="W124" s="27" t="s">
        <v>8</v>
      </c>
      <c r="X124" s="27" t="s">
        <v>7</v>
      </c>
      <c r="Y124" s="27" t="s">
        <v>8</v>
      </c>
      <c r="Z124" s="27" t="s">
        <v>7</v>
      </c>
      <c r="AA124" s="27" t="s">
        <v>8</v>
      </c>
      <c r="AE124" s="31"/>
    </row>
    <row r="125" spans="1:57" x14ac:dyDescent="0.25">
      <c r="A125" s="30">
        <v>0.68301345536507019</v>
      </c>
      <c r="P125" s="27" t="s">
        <v>7</v>
      </c>
      <c r="U125" s="27" t="s">
        <v>8</v>
      </c>
      <c r="V125" s="27" t="s">
        <v>7</v>
      </c>
      <c r="W125" s="27" t="s">
        <v>8</v>
      </c>
      <c r="X125" s="27" t="s">
        <v>7</v>
      </c>
      <c r="Y125" s="27" t="s">
        <v>8</v>
      </c>
      <c r="Z125" s="27" t="s">
        <v>7</v>
      </c>
      <c r="AA125" s="27" t="s">
        <v>8</v>
      </c>
      <c r="AD125" s="31"/>
    </row>
    <row r="126" spans="1:57" x14ac:dyDescent="0.25">
      <c r="A126" s="30">
        <v>0.6209213230591546</v>
      </c>
      <c r="C126" s="1" t="s">
        <v>10</v>
      </c>
      <c r="P126" s="27" t="s">
        <v>7</v>
      </c>
      <c r="Q126" s="27" t="s">
        <v>8</v>
      </c>
      <c r="S126" s="27" t="s">
        <v>8</v>
      </c>
      <c r="U126" s="27" t="s">
        <v>8</v>
      </c>
      <c r="V126" s="27" t="s">
        <v>7</v>
      </c>
      <c r="W126" s="27" t="s">
        <v>8</v>
      </c>
      <c r="X126" s="27" t="s">
        <v>7</v>
      </c>
      <c r="Y126" s="27" t="s">
        <v>8</v>
      </c>
      <c r="Z126" s="27" t="s">
        <v>7</v>
      </c>
      <c r="AA126" s="27" t="s">
        <v>8</v>
      </c>
      <c r="AC126" s="31"/>
    </row>
    <row r="127" spans="1:57" x14ac:dyDescent="0.25">
      <c r="A127" s="30">
        <v>0.56447393005377677</v>
      </c>
      <c r="C127" s="30">
        <v>2.5937424601000023</v>
      </c>
      <c r="D127"/>
      <c r="P127" s="27" t="s">
        <v>7</v>
      </c>
      <c r="Q127" s="27" t="s">
        <v>8</v>
      </c>
      <c r="R127" s="27" t="s">
        <v>7</v>
      </c>
      <c r="S127" s="27" t="s">
        <v>8</v>
      </c>
      <c r="T127" s="27" t="s">
        <v>7</v>
      </c>
      <c r="U127" s="27" t="s">
        <v>8</v>
      </c>
      <c r="V127" s="27" t="s">
        <v>7</v>
      </c>
      <c r="W127" s="27" t="s">
        <v>8</v>
      </c>
      <c r="X127" s="27" t="s">
        <v>7</v>
      </c>
      <c r="Y127" s="27" t="s">
        <v>8</v>
      </c>
      <c r="Z127" s="27" t="s">
        <v>7</v>
      </c>
      <c r="AB127" s="31"/>
    </row>
    <row r="128" spans="1:57" x14ac:dyDescent="0.25">
      <c r="A128" s="30">
        <v>0.51315811823070612</v>
      </c>
      <c r="P128" s="27" t="s">
        <v>7</v>
      </c>
      <c r="Q128" s="27" t="s">
        <v>8</v>
      </c>
      <c r="R128" s="27" t="s">
        <v>7</v>
      </c>
      <c r="S128" s="27" t="s">
        <v>8</v>
      </c>
      <c r="T128" s="27" t="s">
        <v>7</v>
      </c>
      <c r="U128" s="27" t="s">
        <v>8</v>
      </c>
      <c r="V128" s="27" t="s">
        <v>7</v>
      </c>
      <c r="X128" s="27" t="s">
        <v>7</v>
      </c>
      <c r="Y128" s="27" t="s">
        <v>8</v>
      </c>
      <c r="AA128" s="31"/>
    </row>
    <row r="129" spans="1:26" x14ac:dyDescent="0.25">
      <c r="A129" s="30">
        <v>0.46650738020973276</v>
      </c>
      <c r="C129" s="1" t="s">
        <v>11</v>
      </c>
      <c r="D129" s="1" t="s">
        <v>12</v>
      </c>
      <c r="E129"/>
      <c r="P129" s="27" t="s">
        <v>7</v>
      </c>
      <c r="R129" s="27" t="s">
        <v>7</v>
      </c>
      <c r="S129" s="27" t="s">
        <v>8</v>
      </c>
      <c r="T129" s="27" t="s">
        <v>7</v>
      </c>
      <c r="U129" s="27" t="s">
        <v>8</v>
      </c>
      <c r="X129" s="27" t="s">
        <v>7</v>
      </c>
      <c r="Y129" s="27" t="s">
        <v>8</v>
      </c>
      <c r="Z129" s="31"/>
    </row>
    <row r="130" spans="1:26" x14ac:dyDescent="0.25">
      <c r="A130" s="30">
        <v>0.42409761837248428</v>
      </c>
      <c r="C130" s="6"/>
      <c r="D130" s="6"/>
      <c r="E130"/>
      <c r="R130" s="27" t="s">
        <v>7</v>
      </c>
      <c r="S130" s="27" t="s">
        <v>8</v>
      </c>
      <c r="T130" s="27" t="s">
        <v>7</v>
      </c>
      <c r="U130" s="27" t="s">
        <v>8</v>
      </c>
      <c r="X130" s="27" t="s">
        <v>7</v>
      </c>
      <c r="Y130" s="31" t="s">
        <v>8</v>
      </c>
    </row>
    <row r="131" spans="1:26" x14ac:dyDescent="0.25">
      <c r="A131" s="30">
        <v>0.38554328942953109</v>
      </c>
      <c r="E131"/>
      <c r="R131" s="27" t="s">
        <v>7</v>
      </c>
      <c r="S131" s="27" t="s">
        <v>8</v>
      </c>
      <c r="T131" s="27" t="s">
        <v>7</v>
      </c>
      <c r="U131" s="27" t="s">
        <v>8</v>
      </c>
      <c r="X131" s="31" t="s">
        <v>7</v>
      </c>
    </row>
    <row r="132" spans="1:26" x14ac:dyDescent="0.25">
      <c r="A132" s="30">
        <v>0.35049389948139187</v>
      </c>
      <c r="C132" s="1" t="s">
        <v>13</v>
      </c>
      <c r="E132"/>
      <c r="R132" s="27" t="s">
        <v>7</v>
      </c>
      <c r="T132" s="27" t="s">
        <v>7</v>
      </c>
    </row>
    <row r="133" spans="1:26" x14ac:dyDescent="0.25">
      <c r="A133" s="30">
        <v>0.31863081771035617</v>
      </c>
      <c r="C133" s="1" t="str">
        <f>C122</f>
        <v>O</v>
      </c>
      <c r="E133"/>
    </row>
    <row r="134" spans="1:26" x14ac:dyDescent="0.25">
      <c r="A134" s="30">
        <v>0.28966437973668741</v>
      </c>
      <c r="C134"/>
      <c r="D134"/>
      <c r="E134"/>
    </row>
    <row r="135" spans="1:26" x14ac:dyDescent="0.25">
      <c r="A135" s="30">
        <v>0.2633312543060794</v>
      </c>
      <c r="C135" s="1" t="s">
        <v>14</v>
      </c>
      <c r="E135"/>
    </row>
    <row r="136" spans="1:2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26" x14ac:dyDescent="0.25">
      <c r="A137" s="30">
        <v>0.2176291357901482</v>
      </c>
      <c r="E137"/>
    </row>
    <row r="138" spans="1:2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26" x14ac:dyDescent="0.25">
      <c r="A139" s="30">
        <v>0.17985878990921333</v>
      </c>
      <c r="E139"/>
    </row>
    <row r="140" spans="1:26" x14ac:dyDescent="0.25">
      <c r="A140" s="30">
        <v>0.16350799082655756</v>
      </c>
      <c r="C140" s="1">
        <v>0</v>
      </c>
      <c r="E140"/>
    </row>
    <row r="141" spans="1:26" x14ac:dyDescent="0.25">
      <c r="A141" s="30">
        <v>0.14864362802414322</v>
      </c>
      <c r="C141" s="1">
        <v>1</v>
      </c>
      <c r="E141"/>
    </row>
    <row r="142" spans="1:26" x14ac:dyDescent="0.25">
      <c r="A142" s="30">
        <v>0.13513057093103928</v>
      </c>
      <c r="C142" s="1">
        <v>2</v>
      </c>
      <c r="E142"/>
    </row>
    <row r="143" spans="1:26" x14ac:dyDescent="0.25">
      <c r="A143" s="30">
        <v>0.12284597357367205</v>
      </c>
      <c r="C143" s="1">
        <v>3</v>
      </c>
      <c r="E143"/>
    </row>
    <row r="144" spans="1:26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5" operator="equal">
      <formula>$U$1</formula>
    </cfRule>
    <cfRule type="cellIs" dxfId="30" priority="936" operator="equal">
      <formula>$S$1</formula>
    </cfRule>
  </conditionalFormatting>
  <conditionalFormatting sqref="D136">
    <cfRule type="cellIs" dxfId="29" priority="933" operator="equal">
      <formula>$S$1</formula>
    </cfRule>
    <cfRule type="cellIs" dxfId="28" priority="934" operator="equal">
      <formula>$U$1</formula>
    </cfRule>
  </conditionalFormatting>
  <conditionalFormatting sqref="C102">
    <cfRule type="cellIs" dxfId="27" priority="931" operator="equal">
      <formula>$U$1</formula>
    </cfRule>
    <cfRule type="cellIs" dxfId="26" priority="932" operator="equal">
      <formula>$S$1</formula>
    </cfRule>
  </conditionalFormatting>
  <conditionalFormatting sqref="D102">
    <cfRule type="cellIs" dxfId="25" priority="929" operator="equal">
      <formula>$S$1</formula>
    </cfRule>
    <cfRule type="cellIs" dxfId="24" priority="930" operator="equal">
      <formula>$U$1</formula>
    </cfRule>
  </conditionalFormatting>
  <conditionalFormatting sqref="C77">
    <cfRule type="cellIs" dxfId="23" priority="927" operator="equal">
      <formula>$U$1</formula>
    </cfRule>
    <cfRule type="cellIs" dxfId="22" priority="928" operator="equal">
      <formula>$S$1</formula>
    </cfRule>
  </conditionalFormatting>
  <conditionalFormatting sqref="D77">
    <cfRule type="cellIs" dxfId="21" priority="925" operator="equal">
      <formula>$S$1</formula>
    </cfRule>
    <cfRule type="cellIs" dxfId="20" priority="926" operator="equal">
      <formula>$U$1</formula>
    </cfRule>
  </conditionalFormatting>
  <conditionalFormatting sqref="C52">
    <cfRule type="cellIs" dxfId="19" priority="923" operator="equal">
      <formula>$U$1</formula>
    </cfRule>
    <cfRule type="cellIs" dxfId="18" priority="924" operator="equal">
      <formula>$S$1</formula>
    </cfRule>
  </conditionalFormatting>
  <conditionalFormatting sqref="D52">
    <cfRule type="cellIs" dxfId="17" priority="921" operator="equal">
      <formula>$S$1</formula>
    </cfRule>
    <cfRule type="cellIs" dxfId="16" priority="922" operator="equal">
      <formula>$U$1</formula>
    </cfRule>
  </conditionalFormatting>
  <conditionalFormatting sqref="C26">
    <cfRule type="cellIs" dxfId="15" priority="919" operator="equal">
      <formula>$U$1</formula>
    </cfRule>
    <cfRule type="cellIs" dxfId="14" priority="920" operator="equal">
      <formula>$S$1</formula>
    </cfRule>
  </conditionalFormatting>
  <conditionalFormatting sqref="D26">
    <cfRule type="cellIs" dxfId="13" priority="917" operator="equal">
      <formula>$S$1</formula>
    </cfRule>
    <cfRule type="cellIs" dxfId="12" priority="91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5" sqref="G5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>
        <v>1.2433743083946525</v>
      </c>
      <c r="F3" s="7">
        <v>1.2682417945625455</v>
      </c>
      <c r="G3" s="7">
        <v>1.6084372494752261</v>
      </c>
      <c r="H3" s="25">
        <f>IF(G3="","",(3*(G3-F3))+E3)</f>
        <v>2.2639606731326944</v>
      </c>
      <c r="I3" s="7"/>
      <c r="J3" s="7">
        <f>(E3+G3)/2</f>
        <v>1.4259057789349394</v>
      </c>
      <c r="K3" s="7">
        <f>H3/2</f>
        <v>1.1319803365663472</v>
      </c>
      <c r="M3" s="26">
        <f>IF(OR(J3="",H3=""),"",H3/J3)</f>
        <v>1.5877351130617681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1.2762815625000004</v>
      </c>
      <c r="F4" s="30">
        <v>1.477455443789063</v>
      </c>
      <c r="G4" s="30">
        <v>2.0789281794113688</v>
      </c>
      <c r="H4" s="25">
        <f t="shared" ref="H4:H25" si="0">IF(G4="","",(3*(G4-F4))+E4)</f>
        <v>3.0806997693669178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30">
        <v>1.2762815625000004</v>
      </c>
      <c r="F5" s="30">
        <v>1.7958563260221301</v>
      </c>
      <c r="G5" s="30">
        <v>2.2920183178010345</v>
      </c>
      <c r="H5" s="25">
        <f t="shared" si="0"/>
        <v>2.7647675378367138</v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2022-01-28T01:15:18Z</dcterms:modified>
</cp:coreProperties>
</file>